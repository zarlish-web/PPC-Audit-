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Key Insights" sheetId="2" state="visible" r:id="rId4"/>
    <sheet name="Dashboard" sheetId="3" state="visible" r:id="rId5"/>
    <sheet name="Competitors" sheetId="4" state="visible" r:id="rId6"/>
    <sheet name="Our BFCM 2025" sheetId="5" state="visible" r:id="rId7"/>
    <sheet name="Our Daily 2025" sheetId="6" state="visible" r:id="rId8"/>
    <sheet name="Visibility History" sheetId="7" state="visible" r:id="rId9"/>
    <sheet name="Lift Inputs" sheetId="8" state="visible" r:id="rId10"/>
    <sheet name="Keepa Request" sheetId="9" state="visible" r:id="rId11"/>
    <sheet name="Data Gaps" sheetId="10" state="visible" r:id="rId12"/>
    <sheet name="Event Watch" sheetId="11" state="visible" r:id="rId13"/>
  </sheets>
  <definedNames>
    <definedName function="false" hidden="true" localSheetId="3" name="_xlnm._FilterDatabase" vbProcedure="false">Competitors!$A$2:$BO$618</definedName>
    <definedName function="false" hidden="true" localSheetId="8" name="_xlnm._FilterDatabase" vbProcedure="false">'Keepa Request'!$A$8:$H$341</definedName>
    <definedName function="false" hidden="true" localSheetId="5" name="_xlnm._FilterDatabase" vbProcedure="false">'Our Daily 2025'!$A$1:$I$1019</definedName>
    <definedName function="false" hidden="true" localSheetId="6" name="_xlnm._FilterDatabase" vbProcedure="false">'Visibility History'!$A$1:$U$144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R2" authorId="0">
      <text>
        <r>
          <rPr>
            <sz val="10"/>
            <rFont val="Arial"/>
            <family val="2"/>
          </rPr>
          <t xml:space="preserve">Median of the Competitors tab 'Price now' for this product, computed at build time (Oct 13). Re-run the build to refresh.</t>
        </r>
      </text>
    </comment>
    <comment ref="AA2" authorId="0">
      <text>
        <r>
          <rPr>
            <sz val="10"/>
            <rFont val="Arial"/>
            <family val="2"/>
          </rPr>
          <t xml:space="preserve">Median Data Dive variation count of mapped competitors, computed at build time.</t>
        </r>
      </text>
    </comment>
    <comment ref="AB2" authorId="0">
      <text>
        <r>
          <rPr>
            <sz val="10"/>
            <rFont val="Arial"/>
            <family val="2"/>
          </rPr>
          <t xml:space="preserve">From 'Our BFCM 2025': derived total sales per day in BFCM week (Nov 20-Dec 1, 2025) / per day in the 30 days before (Oct 21-Nov 19). Total sales = ad spend / TACoS.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H2" authorId="0">
      <text>
        <r>
          <rPr>
            <sz val="10"/>
            <rFont val="Arial"/>
            <family val="2"/>
          </rPr>
          <t xml:space="preserve">The child ASIN the Command Center snapshots for this competitor (its best seller / mapped child).</t>
        </r>
      </text>
    </comment>
    <comment ref="J2" authorId="0">
      <text>
        <r>
          <rPr>
            <sz val="10"/>
            <rFont val="Arial"/>
            <family val="2"/>
          </rPr>
          <t xml:space="preserve">Command Center mapping tier for this rival against this product: Aspirational / Beatable / Poor.</t>
        </r>
      </text>
    </comment>
    <comment ref="L2" authorId="0">
      <text>
        <r>
          <rPr>
            <sz val="10"/>
            <rFont val="Arial"/>
            <family val="2"/>
          </rPr>
          <t xml:space="preserve">List Price the Command Center snapshot holds (seen_on date). A List Price above the price is what Amazon can show as the strikethrough.</t>
        </r>
      </text>
    </comment>
    <comment ref="N2" authorId="0">
      <text>
        <r>
          <rPr>
            <sz val="10"/>
            <rFont val="Arial"/>
            <family val="2"/>
          </rPr>
          <t xml:space="preserve">&lt;=12%: inside the band where STR shows reliably (if sold at it). 12-25%: risky. &gt;25%: usually ignored by Amazon.</t>
        </r>
      </text>
    </comment>
    <comment ref="O2" authorId="0">
      <text>
        <r>
          <rPr>
            <sz val="10"/>
            <rFont val="Arial"/>
            <family val="2"/>
          </rPr>
          <t xml:space="preserve">Size read from the Data Dive / Command Center title. Blank = not stated; the gap then uses our Queen price (or our blended price) and says so.</t>
        </r>
      </text>
    </comment>
    <comment ref="Y2" authorId="0">
      <text>
        <r>
          <rPr>
            <sz val="10"/>
            <rFont val="Arial"/>
            <family val="2"/>
          </rPr>
          <t xml:space="preserve">Number of variations in the competitor's family (Data Dive).</t>
        </r>
      </text>
    </comment>
    <comment ref="AB2" authorId="0">
      <text>
        <r>
          <rPr>
            <sz val="10"/>
            <rFont val="Arial"/>
            <family val="2"/>
          </rPr>
          <t xml:space="preserve">Data Dive 30-day unit estimate for the competitor's whole listing family (all variations), not the single tracked child. Use with Variations to judge family size.</t>
        </r>
      </text>
    </comment>
    <comment ref="AF2" authorId="0">
      <text>
        <r>
          <rPr>
            <sz val="10"/>
            <rFont val="Arial"/>
            <family val="2"/>
          </rPr>
          <t xml:space="preserve">Share of the niche's keywords this ASIN advertises on (Data Dive).</t>
        </r>
      </text>
    </comment>
    <comment ref="AG2" authorId="0">
      <text>
        <r>
          <rPr>
            <sz val="10"/>
            <rFont val="Arial"/>
            <family val="2"/>
          </rPr>
          <t xml:space="preserve">Share of niche search volume where this ASIN holds a top-of-search ad (Data Dive).</t>
        </r>
      </text>
    </comment>
    <comment ref="AI2" authorId="0">
      <text>
        <r>
          <rPr>
            <sz val="10"/>
            <rFont val="Arial"/>
            <family val="2"/>
          </rPr>
          <t xml:space="preserve">Impression-like 7-day figure from the competitor's ASINsight export; not clicks or sales. Blank = unmeasured.</t>
        </r>
      </text>
    </comment>
  </commentList>
</comments>
</file>

<file path=xl/sharedStrings.xml><?xml version="1.0" encoding="utf-8"?>
<sst xmlns="http://schemas.openxmlformats.org/spreadsheetml/2006/main" count="13578" uniqueCount="1584">
  <si>
    <t xml:space="preserve">BFCM 2026 Competitor Tracker (v1)</t>
  </si>
  <si>
    <t xml:space="preserve">Owner: Shayan Rana  ·  Backup: Zarlish  ·  Due Thu Oct 15, 2026 (ClickUp BFCM-2026 › Competitor BFCM tracker)  ·  Built 2026-10-13 from the Command Center (primary) and Data Dive</t>
  </si>
  <si>
    <t xml:space="preserve">What it is for</t>
  </si>
  <si>
    <t xml:space="preserve">1. Lift forecast (Erik Oct 8 / Oct 13): tune our BFCM lift per product on what competitors did, not only our own history - deal type, depth and BSR change last BFCM, and how hard they push at events.</t>
  </si>
  <si>
    <t xml:space="preserve">2. Pricing and STR: where competitors set List Price today, how far over their price, and who already sits below our planned BFCM deal price (plan risk P2 'Competitors undercut on heroes' - report only, no regular-price cut without Joseph).</t>
  </si>
  <si>
    <t xml:space="preserve">3. Event watch: one log for Nov 20 - Dec 1 competitor checks.</t>
  </si>
  <si>
    <t xml:space="preserve">Tabs</t>
  </si>
  <si>
    <t xml:space="preserve">Dashboard - one row per our product: our profile (SKUs, sizes, colours, price, margin), the competitor set, price position, List Price/STR read, our BFCM 2025 lift, Prime Day 2026 visibility lift (ours vs theirs) and Keepa completion.</t>
  </si>
  <si>
    <t xml:space="preserve">Competitors - every mapped competitor for every product (Command Center map), with current price / List Price / BSR / weekly units, listing details (variations, age, ads) from Data Dive, ASINsight traffic, Prime Day 2026 visibility, and the yellow BFCM 2025 + STR columns to fill from Keepa.</t>
  </si>
  <si>
    <t xml:space="preserve">Our BFCM 2025 - our own result per product: BFCM week vs the 30 days before and vs December, from the Command Center PPC/TACoS data, plus the deals and events the Command Center logged.</t>
  </si>
  <si>
    <t xml:space="preserve">Our Daily 2025 - day-by-day Oct 15 - Dec 15, 2025 per product (ad spend, ad sales, orders) to see the shape of the lift.</t>
  </si>
  <si>
    <t xml:space="preserve">Visibility History - Command Center daily placement scores summarised per window, per ASIN (organic and advertising). Competitor history starts Jan-Apr 2026, ours goes back to Oct 2025.</t>
  </si>
  <si>
    <t xml:space="preserve">Lift Inputs - per product, every input the lift forecast needs in one place, with the competitor benchmarks rolling up live as Keepa columns are filled.</t>
  </si>
  <si>
    <t xml:space="preserve">Keepa Request - the exact ASIN list and file spec to pull from Keepa (also saved as keepa_request.csv for the retrieval agent).</t>
  </si>
  <si>
    <t xml:space="preserve">Data Gaps - what is missing, why, and exactly what to request.</t>
  </si>
  <si>
    <t xml:space="preserve">Event Watch - log for the run-up and Nov 20 - Dec 1.</t>
  </si>
  <si>
    <t xml:space="preserve">Colour legend</t>
  </si>
  <si>
    <t xml:space="preserve">Green header group = Command Center data (filled).  Blue = Data Dive (filled).  Purple = Command Center visibility history (filled).  Grey = formula.  YELLOW CELLS WITH BLUE TEXT = to fill (Keepa / Amazon page).</t>
  </si>
  <si>
    <t xml:space="preserve">Definitions</t>
  </si>
  <si>
    <t xml:space="preserve">BFCM 2025 window = Nov 20 - Dec 1, 2025 (Black Friday Nov 28, Cyber Monday Dec 1). Pre-event baseline = Oct 21 - Nov 19, 2025 (after PBDD Oct 7-8). Prime Day 2026 = Jun 23-26, 2026 vs Jun 1-20 baseline.</t>
  </si>
  <si>
    <t xml:space="preserve">List Price % over = List Price / price - 1. Joseph's STR study: Amazon shows the List Price reliably when it is 12% or less over the price AND the item actually sold at it recently; 30-50% over is usually ignored.</t>
  </si>
  <si>
    <t xml:space="preserve">Discount % = 1 - BFCM low price / pre-event typical price.  BSR lift (x) = pre-event avg BSR / BFCM-week avg BSR (2.0x = BSR halved ~ roughly double the sales rate).</t>
  </si>
  <si>
    <t xml:space="preserve">Visibility score = Command Center ASINsight placement score (organic or advertising). It is a score, not traffic or sales; compare an ASIN with itself across windows.</t>
  </si>
  <si>
    <t xml:space="preserve">Est weekly units = Command Center snapshot estimate (Oct 12, 2026). Units 30d (DD) = Data Dive estimate. Both are estimates; use them for ranking competitors and market share, not as exact sales.</t>
  </si>
  <si>
    <t xml:space="preserve">Our BFCM 2025 total sales are derived from the Command Center: ad spend / TACoS. Marked 'derived' wherever used.</t>
  </si>
  <si>
    <t xml:space="preserve">Family</t>
  </si>
  <si>
    <t xml:space="preserve">Our product</t>
  </si>
  <si>
    <t xml:space="preserve">Topic</t>
  </si>
  <si>
    <t xml:space="preserve">Insight (computed from the data on Oct 13, 2026)</t>
  </si>
  <si>
    <t xml:space="preserve">All</t>
  </si>
  <si>
    <t xml:space="preserve">Portfolio</t>
  </si>
  <si>
    <t xml:space="preserve">Our BFCM 2025 lift</t>
  </si>
  <si>
    <t xml:space="preserve">BFCM week 2025 daily total sales vs the 30 days before (derived from ad spend / TACoS): DC B4 4.25x, SL Cooling Comforter 3.39x, DC S6 3.08x, DC S4 2.64x, SSS4 2.59x, DC B6 2.49x, DC Satin Fitted 2.47x, DC Cooling 4pc 1.63x, DC Silk Pillowcase 1.35x, SL B6 1.20x, SL Cooling 4pc 1.14x. Ad spend per day rose DC B4 2.4x, SL Cooling Comforter 1.5x, DC S6 2.3x, DC S4 1.2x, SSS4 2.2x, DC B6 2.1x, DC Satin Fitted 1.7x, DC Cooling 4pc 2.2x, DC Silk Pillowcase 1.4x, SL B6 0.6x, SL Cooling 4pc 0.4x - lift came with heavier spend, so read lift and TACoS together.</t>
  </si>
  <si>
    <t xml:space="preserve">List Price / STR landscape</t>
  </si>
  <si>
    <t xml:space="preserve">155 of 616 mapped competitor rows (25%) carry a List Price above their price. 30 sit within 12% (the band Joseph's study found Amazon shows), 64 are more than 25% over (usually ignored). Median List Price premium where set: 23%. Whether Amazon actually displays each one still needs the page / STR Panel check (Competitors tab, 'STR showing now?').</t>
  </si>
  <si>
    <t xml:space="preserve">Prime Day 2026 behaviour</t>
  </si>
  <si>
    <t xml:space="preserve">259 competitor rows (86 brands) have Command Center visibility history over Prime Day 2026. Median organic visibility lift Jun 23-26 vs Jun 1-20: 1.07x. Competitor history does not reach BFCM 2025 (starts Jan-Apr 2026), so Prime Day is the closest in-house event read; BFCM 2025 needs Keepa.</t>
  </si>
  <si>
    <t xml:space="preserve">Bamboo</t>
  </si>
  <si>
    <t xml:space="preserve">Decolure Bamboo Sheets 4 Piece</t>
  </si>
  <si>
    <t xml:space="preserve">Who sells the most</t>
  </si>
  <si>
    <t xml:space="preserve">Top 5 of 55 mapped rivals by est weekly units: Love's cabin (Beatable) ~924/wk at $37.99, List Price $44.99 (+18%); Bedsure (Aspirational) ~809/wk at $62.99, List Price $69.99 (+11%); Pure Bamboo (Aspirational) ~809/wk at $109.99, no List Price; Hotel Sheets Direct (Aspirational) ~347/wk at $79.99, no List Price; KRIMANO (Beatable) ~185/wk at $84.99, no List Price. Tracked rivals ~5,455 units/wk; we sell ~453/wk (7.7% of the tracked set).</t>
  </si>
  <si>
    <t xml:space="preserve">List Price / STR</t>
  </si>
  <si>
    <t xml:space="preserve">15 of 55 rivals carry a List Price above price; 3 inside 12%: Bedsure +11%, AiAngu +7%, Kickoff Home +10%. These are the ones most likely to show a strikethrough at BFCM - check them on the page first.</t>
  </si>
  <si>
    <t xml:space="preserve">Our BFCM 2025</t>
  </si>
  <si>
    <t xml:space="preserve">BFCM week 2025 total sales 4.25x the prior-30-day daily rate; TACoS 6.3% in BFCM week vs 11.2% before; December ran 1.86x the pre-event rate.</t>
  </si>
  <si>
    <t xml:space="preserve">Prime Day 2026 visibility</t>
  </si>
  <si>
    <t xml:space="preserve">Our best child B08KQHRDDG: organic visibility 0.91x over Prime Day vs the 3 weeks before; mapped rivals' median 1.25x (n=14, rivals with a baseline score of 5+). Rivals gained more event visibility than we did.</t>
  </si>
  <si>
    <t xml:space="preserve">Price position</t>
  </si>
  <si>
    <t xml:space="preserve">29 of 55 rivals are priced below our same-size (or Queen) price today. Our blended price $80.69, contribution $34.45/unit, break-even ACoS 43%.</t>
  </si>
  <si>
    <t xml:space="preserve">Decolure Bamboo Sheets 6 Piece</t>
  </si>
  <si>
    <t xml:space="preserve">Top 5 of 46 mapped rivals by est weekly units: Love's cabin (Beatable) ~924/wk at $37.99, List Price $44.99 (+18%); Bedsure (Aspirational) ~809/wk at $62.99, List Price $69.99 (+11%); Pure Bamboo (Aspirational) ~809/wk at $109.99, no List Price; Hotel Sheets Direct (Aspirational) ~347/wk at $79.99, no List Price; KRIMANO (Beatable) ~185/wk at $84.99, no List Price. Tracked rivals ~4,821 units/wk; we sell ~476/wk (9.0% of the tracked set).</t>
  </si>
  <si>
    <t xml:space="preserve">14 of 46 rivals carry a List Price above price; 3 inside 12%: Bedsure +11%, AiAngu +7%, Kickoff Home +10%. These are the ones most likely to show a strikethrough at BFCM - check them on the page first.</t>
  </si>
  <si>
    <t xml:space="preserve">BFCM week 2025 total sales 2.49x the prior-30-day daily rate; TACoS 6.4% in BFCM week vs 7.4% before; December ran 1.36x the pre-event rate.</t>
  </si>
  <si>
    <t xml:space="preserve">Our best child B0CQ2XQF9N: organic visibility 1.44x over Prime Day vs the 3 weeks before; mapped rivals' median 1.25x (n=14, rivals with a baseline score of 5+). We held or out-gained rivals on event visibility.</t>
  </si>
  <si>
    <t xml:space="preserve">29 of 46 rivals are priced below our same-size (or Queen) price today. Our blended price $89.53, contribution $36.93/unit, break-even ACoS 41%.</t>
  </si>
  <si>
    <t xml:space="preserve">Sleephoria Bamboo Sheets 6 Piece</t>
  </si>
  <si>
    <t xml:space="preserve">Top 5 of 30 mapped rivals by est weekly units: Pure Bamboo (Aspirational) ~809/wk at $109.99, no List Price; Hotel Sheets Direct (Aspirational) ~347/wk at $79.99, no List Price; KRIMANO (Beatable) ~185/wk at $84.99, no List Price; Bambaw (Beatable) ~104/wk at $89.99, no List Price; Bedsure (Beatable) ~104/wk at $89.99, List Price $119.99 (+33%). Tracked rivals ~2,409 units/wk; we sell ~23/wk (0.9% of the tracked set).</t>
  </si>
  <si>
    <t xml:space="preserve">8 of 30 rivals carry a List Price above price; 2 inside 12%: AiAngu +7%, Kickoff Home +10%. These are the ones most likely to show a strikethrough at BFCM - check them on the page first.</t>
  </si>
  <si>
    <t xml:space="preserve">BFCM week 2025 total sales 1.20x the prior-30-day daily rate; TACoS 18.7% in BFCM week vs 35.5% before; December ran 2.26x the pre-event rate.</t>
  </si>
  <si>
    <t xml:space="preserve">Our best child B0DDTYDHVB: organic visibility 0.20x over Prime Day vs the 3 weeks before; mapped rivals' median 1.31x (n=9, rivals with a baseline score of 5+). Rivals gained more event visibility than we did.</t>
  </si>
  <si>
    <t xml:space="preserve">9 of 30 rivals are priced below our same-size (or Queen) price today. Our blended price $67.07, contribution $15.99/unit, break-even ACoS 24%.</t>
  </si>
  <si>
    <t xml:space="preserve">Sleephoria Bamboo Sheets 4 Piece</t>
  </si>
  <si>
    <t xml:space="preserve">Top 5 of 28 mapped rivals by est weekly units: Pure Bamboo (Aspirational) ~809/wk at $109.99, no List Price; Hotel Sheets Direct (Aspirational) ~347/wk at $79.99, no List Price; KRIMANO (Beatable) ~185/wk at $84.99, no List Price; Bambaw (Beatable) ~104/wk at $89.99, no List Price; Bedsure (Beatable) ~104/wk at $89.99, List Price $119.99 (+33%). Tracked rivals ~2,399 units/wk; we sell ~0/wk (0.0% of the tracked set).</t>
  </si>
  <si>
    <t xml:space="preserve">8 of 28 rivals carry a List Price above price; 2 inside 12%: AiAngu +7%, Kickoff Home +10%. These are the ones most likely to show a strikethrough at BFCM - check them on the page first.</t>
  </si>
  <si>
    <t xml:space="preserve">4 of 28 rivals are priced below our same-size (or Queen) price today. Our blended price $54.99, contribution $15.91/unit, break-even ACoS 29%.</t>
  </si>
  <si>
    <t xml:space="preserve">Decolure Bamboo Fitted Sheet</t>
  </si>
  <si>
    <t xml:space="preserve">Top 5 of 15 mapped rivals by est weekly units: Pure Bamboo (Aspirational) ~809/wk at $109.99, no List Price; Bedsure (untiered) ~809/wk at $62.99, List Price $69.99 (+11%); Bambaw (Beatable) ~104/wk at $89.99, no List Price; Bedsure (Beatable) ~104/wk at $89.99, List Price $119.99 (+33%); SONORO KATE (Beatable) ~104/wk at $79.99, no List Price. Tracked rivals ~2,428 units/wk; we sell ~26/wk (1.0% of the tracked set).</t>
  </si>
  <si>
    <t xml:space="preserve">5 of 15 rivals carry a List Price above price; 2 inside 12%: Kickoff Home +10%, Bedsure +11%. These are the ones most likely to show a strikethrough at BFCM - check them on the page first.</t>
  </si>
  <si>
    <t xml:space="preserve">Sleephoria Bamboo Pillowcases</t>
  </si>
  <si>
    <t xml:space="preserve">Top 5 of 6 mapped rivals by est weekly units:  (untiered) ~1,040/wk at $12.99, List Price $17.49 (+35%); BEDELITE (untiered) ~924/wk at $8.49, no List Price; WISHSMILE (untiered) ~809/wk at $12.99, no List Price;  (untiered) ~347/wk at $14.99, List Price $23.15 (+54%); ELIBABA (untiered) ~92/wk at $17.99, no List Price. Tracked rivals ~3,217 units/wk; we sell ~0/wk (0.0% of the tracked set).</t>
  </si>
  <si>
    <t xml:space="preserve">2 of 6 rivals carry a List Price above price; 0 inside 12%. These are the ones most likely to show a strikethrough at BFCM - check them on the page first.</t>
  </si>
  <si>
    <t xml:space="preserve">Satin</t>
  </si>
  <si>
    <t xml:space="preserve">Decolure Satin Sheets 4 Piece</t>
  </si>
  <si>
    <t xml:space="preserve">Top 5 of 26 mapped rivals by est weekly units: BEDELITE (Aspirational) ~1,963/wk at $17.99, no List Price; Love's cabin (Aspirational) ~809/wk at $16.13, List Price $19.99 (+24%); MR&amp;HM (Aspirational) ~809/wk at $19.99, no List Price; CozyLux (Beatable) ~347/wk at $13.99, List Price $18.99 (+36%); Lanest Housing (Beatable) ~208/wk at $22.99, no List Price. Tracked rivals ~4,991 units/wk; we sell ~657/wk (11.6% of the tracked set).</t>
  </si>
  <si>
    <t xml:space="preserve">3 of 26 rivals carry a List Price above price; 0 inside 12%. These are the ones most likely to show a strikethrough at BFCM - check them on the page first.</t>
  </si>
  <si>
    <t xml:space="preserve">BFCM week 2025 total sales 2.64x the prior-30-day daily rate; TACoS 4.9% in BFCM week vs 10.4% before; December ran 1.94x the pre-event rate.</t>
  </si>
  <si>
    <t xml:space="preserve">Our best child B0839MKJMV: organic visibility 1.24x over Prime Day vs the 3 weeks before; mapped rivals' median 0.99x (n=17, rivals with a baseline score of 5+). We held or out-gained rivals on event visibility.</t>
  </si>
  <si>
    <t xml:space="preserve">26 of 26 rivals are priced below our same-size (or Queen) price today. Our blended price $32.04, contribution $10.82/unit, break-even ACoS 34%.</t>
  </si>
  <si>
    <t xml:space="preserve">Decolure Satin Sheets 6 Piece</t>
  </si>
  <si>
    <t xml:space="preserve">Top 5 of 26 mapped rivals by est weekly units: BEDELITE (Aspirational) ~1,963/wk at $17.99, no List Price; Love's cabin (Aspirational) ~809/wk at $16.13, List Price $19.99 (+24%); MR&amp;HM (Aspirational) ~809/wk at $19.99, no List Price; CozyLux (Aspirational) ~347/wk at $13.99, List Price $18.99 (+36%); Lanest Housing (Aspirational) ~208/wk at $22.99, no List Price. Tracked rivals ~4,991 units/wk; we sell ~120/wk (2.3% of the tracked set).</t>
  </si>
  <si>
    <t xml:space="preserve">BFCM week 2025 total sales 3.08x the prior-30-day daily rate; TACoS 14.8% in BFCM week vs 19.9% before; December ran 2.53x the pre-event rate.</t>
  </si>
  <si>
    <t xml:space="preserve">Our best child B0C7FXXS6R: organic visibility 1.22x over Prime Day vs the 3 weeks before; mapped rivals' median 0.99x (n=17, rivals with a baseline score of 5+). We held or out-gained rivals on event visibility.</t>
  </si>
  <si>
    <t xml:space="preserve">26 of 26 rivals are priced below our same-size (or Queen) price today. Our blended price $32.90, contribution $9.00/unit, break-even ACoS 27%.</t>
  </si>
  <si>
    <t xml:space="preserve">Sleephoria Satin Sheets 4 Piece</t>
  </si>
  <si>
    <t xml:space="preserve">Top 5 of 29 mapped rivals by est weekly units: BEDELITE (Aspirational) ~1,963/wk at $17.99, no List Price; Love's cabin (Aspirational) ~809/wk at $16.13, List Price $19.99 (+24%); MR&amp;HM (Aspirational) ~809/wk at $19.99, no List Price; CozyLux (Aspirational) ~347/wk at $13.99, List Price $18.99 (+36%); BEDELITE (Aspirational) ~208/wk at $15.98, List Price $19.99 (+25%). Tracked rivals ~5,309 units/wk; we sell ~175/wk (3.2% of the tracked set).</t>
  </si>
  <si>
    <t xml:space="preserve">4 of 29 rivals carry a List Price above price; 0 inside 12%. These are the ones most likely to show a strikethrough at BFCM - check them on the page first.</t>
  </si>
  <si>
    <t xml:space="preserve">BFCM week 2025 total sales 2.59x the prior-30-day daily rate; TACoS 15.8% in BFCM week vs 18.3% before; December ran 5.01x the pre-event rate.</t>
  </si>
  <si>
    <t xml:space="preserve">Our best child B0DDRH9RD7: organic visibility 0.94x over Prime Day vs the 3 weeks before; mapped rivals' median 1.01x (n=20, rivals with a baseline score of 5+). Rivals gained more event visibility than we did.</t>
  </si>
  <si>
    <t xml:space="preserve">29 of 29 rivals are priced below our same-size (or Queen) price today. Our blended price $37.06, contribution $13.85/unit, break-even ACoS 37%.</t>
  </si>
  <si>
    <t xml:space="preserve">Sleephoria Satin Sheets 6pcs</t>
  </si>
  <si>
    <t xml:space="preserve">Top 5 of 27 mapped rivals by est weekly units: BEDELITE (untiered) ~1,963/wk at $17.99, no List Price; Love's cabin (untiered) ~809/wk at $16.13, List Price $19.99 (+24%); MR&amp;HM (untiered) ~809/wk at $19.99, no List Price; CozyLux (untiered) ~347/wk at $13.99, List Price $18.99 (+36%); BEDELITE (untiered) ~208/wk at $15.98, List Price $19.99 (+25%). Tracked rivals ~5,286 units/wk; we sell ~0/wk (0.0% of the tracked set).</t>
  </si>
  <si>
    <t xml:space="preserve">4 of 27 rivals carry a List Price above price; 0 inside 12%. These are the ones most likely to show a strikethrough at BFCM - check them on the page first.</t>
  </si>
  <si>
    <t xml:space="preserve">Decolure Satin Fitted Sheet</t>
  </si>
  <si>
    <t xml:space="preserve">Top 5 of 14 mapped rivals by est weekly units: BEDELITE (untiered) ~1,963/wk at $17.99, no List Price; Love's cabin (untiered) ~809/wk at $16.13, List Price $19.99 (+24%); MR&amp;HM (untiered) ~809/wk at $19.99, no List Price; BEDELITE (Beatable) ~208/wk at $13.99, no List Price; BEDELITE (Beatable) ~208/wk at $15.98, List Price $19.99 (+25%). Tracked rivals ~4,248 units/wk; we sell ~190/wk (4.3% of the tracked set).</t>
  </si>
  <si>
    <t xml:space="preserve">2 of 14 rivals carry a List Price above price; 0 inside 12%. These are the ones most likely to show a strikethrough at BFCM - check them on the page first.</t>
  </si>
  <si>
    <t xml:space="preserve">BFCM week 2025 total sales 2.47x the prior-30-day daily rate; TACoS 7.8% in BFCM week vs 11.2% before; December ran 1.51x the pre-event rate.</t>
  </si>
  <si>
    <t xml:space="preserve">Our best child B0DBW1PNJ8: organic visibility 1.08x over Prime Day vs the 3 weeks before; mapped rivals' median 1.12x (n=8, rivals with a baseline score of 5+). Rivals gained more event visibility than we did.</t>
  </si>
  <si>
    <t xml:space="preserve">12 of 14 rivals are priced below our same-size (or Queen) price today. Our blended price $19.34, contribution $5.91/unit, break-even ACoS 31%.</t>
  </si>
  <si>
    <t xml:space="preserve">Silk</t>
  </si>
  <si>
    <t xml:space="preserve">Decolure Silk Pillowcase</t>
  </si>
  <si>
    <t xml:space="preserve">Top 5 of 29 mapped rivals by est weekly units: INFIIXSO (Aspirational) ~1,732/wk at $57.98, no List Price; Gabire (untiered) ~1,732/wk at $19.99, no List Price; INFIIXSO (untiered) ~1,732/wk at $7.99, no List Price; DKBslik (untiered) ~1,040/wk at $11.95, no List Price; Suatien (untiered) ~924/wk at $11.99, no List Price. Tracked rivals ~9,718 units/wk; we sell ~31/wk (0.3% of the tracked set).</t>
  </si>
  <si>
    <t xml:space="preserve">2 of 29 rivals carry a List Price above price; 2 inside 12%: ZIMASILK +9%, ZIMASILK +6%. These are the ones most likely to show a strikethrough at BFCM - check them on the page first.</t>
  </si>
  <si>
    <t xml:space="preserve">BFCM week 2025 total sales 1.35x the prior-30-day daily rate; TACoS 33.6% in BFCM week vs 31.6% before; December ran 2.99x the pre-event rate.</t>
  </si>
  <si>
    <t xml:space="preserve">Our best child B0DBR5SY67: organic visibility 1.30x over Prime Day vs the 3 weeks before; mapped rivals' median 1.17x (n=8, rivals with a baseline score of 5+). We held or out-gained rivals on event visibility.</t>
  </si>
  <si>
    <t xml:space="preserve">Sleephoria Silk Sleep Mask - Contoured</t>
  </si>
  <si>
    <t xml:space="preserve">Top 5 of 27 mapped rivals by est weekly units: MZOO (Aspirational) ~13,857/wk at $13.99, List Price $17.99 (+29%); LitBear (Aspirational) ~3,464/wk at $12.95, List Price $14.39 (+11%); Kitsch (Aspirational) ~1,848/wk at $17.99, no List Price; YFONG (Aspirational) ~1,848/wk at $16.99, no List Price; FengXinZi Store (Aspirational) ~1,732/wk at $9.98, no List Price. Tracked rivals ~28,270 units/wk; we sell ~1/wk (0.0% of the tracked set).</t>
  </si>
  <si>
    <t xml:space="preserve">7 of 27 rivals carry a List Price above price; 5 inside 12%: LitBear +11%, Umisleep Store +6%, ZIMASILK +11%, LitBear +11%, ZIMASILK +11%. These are the ones most likely to show a strikethrough at BFCM - check them on the page first.</t>
  </si>
  <si>
    <t xml:space="preserve">Sleephoria Silk Sleep Mask - Velcro</t>
  </si>
  <si>
    <t xml:space="preserve">Top 5 of 15 mapped rivals by est weekly units: LitBear (untiered) ~3,464/wk at $12.95, List Price $14.39 (+11%); Kitsch (untiered) ~1,848/wk at $17.99, no List Price; LitBear (Aspirational) ~809/wk at $29.99, no List Price; LULUSILK (Aspirational) ~809/wk at $9.99, no List Price; spacepower (untiered) ~809/wk at $4.99, no List Price. Tracked rivals ~9,878 units/wk; we sell ~3/wk (0.0% of the tracked set).</t>
  </si>
  <si>
    <t xml:space="preserve">3 of 15 rivals carry a List Price above price; 2 inside 12%: Umisleep Store +6%, LitBear +11%. These are the ones most likely to show a strikethrough at BFCM - check them on the page first.</t>
  </si>
  <si>
    <t xml:space="preserve">Cooling</t>
  </si>
  <si>
    <t xml:space="preserve">Decolure Cooling Sheets 4 Piece</t>
  </si>
  <si>
    <t xml:space="preserve">Top 5 of 28 mapped rivals by est weekly units: Pure Bamboo (Aspirational) ~809/wk at $109.99, no List Price; Bedsure (untiered) ~809/wk at $62.99, List Price $69.99 (+11%); Hotel Sheets Direct (Aspirational) ~347/wk at $79.99, no List Price; Bambaw (Beatable) ~104/wk at $89.99, no List Price; Bedsure (Beatable) ~104/wk at $89.99, List Price $119.99 (+33%). Tracked rivals ~2,960 units/wk; we sell ~22/wk (0.7% of the tracked set).</t>
  </si>
  <si>
    <t xml:space="preserve">10 of 28 rivals carry a List Price above price; 1 inside 12%: Bedsure +11%. These are the ones most likely to show a strikethrough at BFCM - check them on the page first.</t>
  </si>
  <si>
    <t xml:space="preserve">BFCM week 2025 total sales 1.63x the prior-30-day daily rate; TACoS 6.8% in BFCM week vs 5.1% before; December ran 1.81x the pre-event rate.</t>
  </si>
  <si>
    <t xml:space="preserve">4 of 28 rivals are priced below our same-size (or Queen) price today. Our blended price $40.33, contribution $11.54/unit, break-even ACoS 29%.</t>
  </si>
  <si>
    <t xml:space="preserve">Sleephoria Cooling Sheets 4 Piece</t>
  </si>
  <si>
    <t xml:space="preserve">Top 5 of 36 mapped rivals by est weekly units: Love's cabin (untiered) ~924/wk at $37.99, List Price $44.99 (+18%); Pure Bamboo (Aspirational) ~809/wk at $109.99, no List Price; Bedsure (Beatable) ~809/wk at $62.99, List Price $69.99 (+11%); Hotel Sheets Direct (Aspirational) ~347/wk at $79.99, no List Price; KRIMANO (Beatable) ~185/wk at $84.99, no List Price. Tracked rivals ~4,540 units/wk; we sell ~83/wk (1.8% of the tracked set).</t>
  </si>
  <si>
    <t xml:space="preserve">15 of 36 rivals carry a List Price above price; 2 inside 12%: Bedsure +11%, Kickoff Home +10%. These are the ones most likely to show a strikethrough at BFCM - check them on the page first.</t>
  </si>
  <si>
    <t xml:space="preserve">BFCM week 2025 total sales 1.14x the prior-30-day daily rate; TACoS 1.6% in BFCM week vs 4.4% before; December ran 0.76x the pre-event rate.</t>
  </si>
  <si>
    <t xml:space="preserve">13 of 36 rivals are priced below our same-size (or Queen) price today. Our blended price $66.37, contribution $20.45/unit, break-even ACoS 31%.</t>
  </si>
  <si>
    <t xml:space="preserve">Sleephoria Cooling Sheets 6 Piece</t>
  </si>
  <si>
    <t xml:space="preserve">Top 5 of 7 mapped rivals by est weekly units: Bedsure (untiered) ~809/wk at $62.99, List Price $69.99 (+11%); REST (untiered) ~81/wk at $224.25, List Price $299.00 (+33%); Breescape (untiered) ~35/wk at $149.99, List Price $179.99 (+20%); Bedsure (untiered) ~5/wk at $149.99, no List Price; DOWNCOOL (untiered) ~5/wk at $139.99, no List Price. Tracked rivals ~940 units/wk; we sell ~0/wk (0.0% of the tracked set).</t>
  </si>
  <si>
    <t xml:space="preserve">4 of 7 rivals carry a List Price above price; 1 inside 12%: Bedsure +11%. These are the ones most likely to show a strikethrough at BFCM - check them on the page first.</t>
  </si>
  <si>
    <t xml:space="preserve">CooLinens Cooling Sheets 4 Piece</t>
  </si>
  <si>
    <t xml:space="preserve">Top 5 of 14 mapped rivals by est weekly units: Comfort Spaces (untiered) ~185/wk at $15.95, no List Price; REST (untiered) ~81/wk at $224.25, List Price $299.00 (+33%); Breescape (untiered) ~35/wk at $149.99, List Price $179.99 (+20%); Degrees of Comfort (untiered) ~35/wk at $24.99, List Price $29.99 (+20%); REST (untiered) ~35/wk at $164.25, List Price $219.00 (+33%). Tracked rivals ~416 units/wk; we sell ~10/wk (2.5% of the tracked set).</t>
  </si>
  <si>
    <t xml:space="preserve">6 of 14 rivals carry a List Price above price; 0 inside 12%. These are the ones most likely to show a strikethrough at BFCM - check them on the page first.</t>
  </si>
  <si>
    <t xml:space="preserve">CooLinens Cooling Pillowcases 2 Piece</t>
  </si>
  <si>
    <t xml:space="preserve">Top 5 of 15 mapped rivals by est weekly units: REST (Beatable) ~208/wk at $59.25, List Price $79.00 (+33%); Avolare (Aspirational) ~173/wk at $15.99, List Price $19.99 (+25%); CHOSHOME (Beatable) ~104/wk at $14.60, no List Price; HOMFINE (Beatable) ~81/wk at $11.99, no List Price; Elegear (Aspirational) ~35/wk at $16.88, no List Price. Tracked rivals ~737 units/wk; we sell ~78/wk (9.5% of the tracked set).</t>
  </si>
  <si>
    <t xml:space="preserve">3 of 15 rivals carry a List Price above price; 0 inside 12%. These are the ones most likely to show a strikethrough at BFCM - check them on the page first.</t>
  </si>
  <si>
    <t xml:space="preserve">Sleephoria Cooling Pillowcases</t>
  </si>
  <si>
    <t xml:space="preserve">Top 5 of 21 mapped rivals by est weekly units: Serta (Aspirational) ~1,040/wk at $19.10, no List Price; WISHSMILE (Aspirational) ~809/wk at $12.99, no List Price; REST (Beatable) ~208/wk at $59.25, List Price $79.00 (+33%); Avolare (Beatable) ~173/wk at $15.99, List Price $19.99 (+25%); CHOSHOME (Beatable) ~104/wk at $14.60, no List Price. Tracked rivals ~2,909 units/wk; we sell ~14/wk (0.5% of the tracked set).</t>
  </si>
  <si>
    <t xml:space="preserve">5 of 21 rivals carry a List Price above price; 0 inside 12%. These are the ones most likely to show a strikethrough at BFCM - check them on the page first.</t>
  </si>
  <si>
    <t xml:space="preserve">15 of 21 rivals are priced below our same-size (or Queen) price today. Our blended price $20.88, contribution $6.88/unit, break-even ACoS 33%.</t>
  </si>
  <si>
    <t xml:space="preserve">Sleephoria Cooling Comforter</t>
  </si>
  <si>
    <t xml:space="preserve">Top 5 of 18 mapped rivals by est weekly units: Bedsure (untiered) ~347/wk at $39.99, no List Price; REST (Beatable) ~220/wk at $186.75, List Price $249.00 (+33%); Bedsure (Beatable) ~185/wk at $44.99, List Price $59.99 (+33%); HOMFINE (Beatable) ~185/wk at $51.99, no List Price; Cozy Bliss (Aspirational) ~104/wk at $59.99, List Price $79.99 (+33%). Tracked rivals ~1,547 units/wk; we sell ~20/wk (1.2% of the tracked set).</t>
  </si>
  <si>
    <t xml:space="preserve">5 of 18 rivals carry a List Price above price; 0 inside 12%. These are the ones most likely to show a strikethrough at BFCM - check them on the page first.</t>
  </si>
  <si>
    <t xml:space="preserve">BFCM week 2025 total sales 3.39x the prior-30-day daily rate; TACoS 12.3% in BFCM week vs 27.0% before; December ran 4.21x the pre-event rate.</t>
  </si>
  <si>
    <t xml:space="preserve">Our best child B0F7M4Q2HQ: organic visibility 3.25x over Prime Day vs the 3 weeks before; mapped rivals' median 1.37x (n=8, rivals with a baseline score of 5+). We held or out-gained rivals on event visibility.</t>
  </si>
  <si>
    <t xml:space="preserve">16 of 18 rivals are priced below our same-size (or Queen) price today. Our blended price $67.68, contribution $15.06/unit, break-even ACoS 22%.</t>
  </si>
  <si>
    <t xml:space="preserve">Sleephoria Cooling Fitted Sheet</t>
  </si>
  <si>
    <t xml:space="preserve">Top 5 of 11 mapped rivals by est weekly units: Pure Bamboo (Aspirational) ~809/wk at $109.99, no List Price; Bedsure (untiered) ~809/wk at $62.99, List Price $69.99 (+11%); Bedsure (Beatable) ~104/wk at $89.99, List Price $119.99 (+33%); Zaizaihome (Beatable) ~81/wk at $29.99, no List Price;  (Beatable) ~81/wk at $44.99, no List Price. Tracked rivals ~2,050 units/wk; we sell ~128/wk (5.9% of the tracked set).</t>
  </si>
  <si>
    <t xml:space="preserve">5 of 11 rivals carry a List Price above price; 1 inside 12%: Bedsure +11%. These are the ones most likely to show a strikethrough at BFCM - check them on the page first.</t>
  </si>
  <si>
    <t xml:space="preserve">2 of 11 rivals are priced below our same-size (or Queen) price today. Our blended price $33.23, contribution $8.37/unit, break-even ACoS 25%.</t>
  </si>
  <si>
    <t xml:space="preserve">Other</t>
  </si>
  <si>
    <t xml:space="preserve">Sleephoria Quilt Set</t>
  </si>
  <si>
    <t xml:space="preserve">Top 5 of 19 mapped rivals by est weekly units: Love's cabin (Aspirational) ~809/wk at $25.99, List Price $31.99 (+23%); FLYMME (Aspirational) ~347/wk at $27.99, no List Price; WDCOZY (Beatable) ~347/wk at $44.99, no List Price; WRENSONGE (Beatable) ~220/wk at $39.99, no List Price; akkialla (Beatable) ~197/wk at $27.99, no List Price. Tracked rivals ~2,924 units/wk; we sell ~8/wk (0.3% of the tracked set).</t>
  </si>
  <si>
    <t xml:space="preserve">3 of 19 rivals carry a List Price above price; 2 inside 12%: Exclusivo Mezcla +11%, EverGrace +5%. These are the ones most likely to show a strikethrough at BFCM - check them on the page first.</t>
  </si>
  <si>
    <t xml:space="preserve">Decolure Linen Curtains</t>
  </si>
  <si>
    <t xml:space="preserve">Top 5 of 21 mapped rivals by est weekly units: MIULEE (Aspirational) ~3,464/wk at $25.95, no List Price; 100% Blackout Shield (Aspirational) ~2,079/wk at $32.97, List Price $39.99 (+21%); Nanspring (Aspirational) ~2,079/wk at $13.98, no List Price; Guken (Beatable) ~2,079/wk at $17.86, List Price $18.80 (+5%); H.VERSAILTEX (Aspirational) ~809/wk at $27.95, no List Price. Tracked rivals ~13,914 units/wk; we sell ~3/wk (0.0% of the tracked set).</t>
  </si>
  <si>
    <t xml:space="preserve">10 of 21 rivals carry a List Price above price; 1 inside 12%: Guken +5%. These are the ones most likely to show a strikethrough at BFCM - check them on the page first.</t>
  </si>
  <si>
    <t xml:space="preserve">Decolure Beach Towel</t>
  </si>
  <si>
    <t xml:space="preserve">Top 5 of 13 mapped rivals by est weekly units: Chakir Turkish (Aspirational) ~81/wk at $23.99, no List Price; Salt Earth (untiered) ~18/wk at $24.95, no List Price; Mebien touche de la nature (Aspirational) ~5/wk at $19.99, no List Price; Nature Is Gift (Aspirational) ~5/wk at $13.99, List Price $17.99 (+29%); SMYRNA TURKISH COTTON (Aspirational) ~5/wk at $7.99, no List Price. Tracked rivals ~154 units/wk; we sell ~0/wk (0.3% of the tracked set).</t>
  </si>
  <si>
    <t xml:space="preserve">1 of 13 rivals carry a List Price above price; 0 inside 12%. These are the ones most likely to show a strikethrough at BFCM - check them on the page first.</t>
  </si>
  <si>
    <t xml:space="preserve">Decolure Front Door Welcome Sign</t>
  </si>
  <si>
    <t xml:space="preserve">Top 5 of 17 mapped rivals by est weekly units: PERFNIQUE (Aspirational) ~104/wk at $34.99, no List Price; Seimip (Beatable) ~104/wk at $23.99, no List Price; DOUSUI (Beatable) ~81/wk at $24.99, no List Price; MONJITA (Aspirational) ~35/wk at $33.99, no List Price; Surfapans (Aspirational) ~35/wk at $40.99, no List Price. Tracked rivals ~514 units/wk; we sell ~0/wk (0.1% of the tracked set).</t>
  </si>
  <si>
    <t xml:space="preserve">3 of 17 rivals carry a List Price above price; 1 inside 12%: comurdyo +12%. These are the ones most likely to show a strikethrough at BFCM - check them on the page first.</t>
  </si>
  <si>
    <t xml:space="preserve">Decolure Waterproof Chair Cover</t>
  </si>
  <si>
    <t xml:space="preserve">Top 5 of 23 mapped rivals by est weekly units: BIETYONE (Aspirational) ~347/wk at $20.99, no List Price; Fafua (Aspirational) ~173/wk at $19.88, no List Price; Genina (Aspirational) ~173/wk at $22.07, no List Price; Artrello (Aspirational) ~92/wk at $23.99, no List Price; Easy-Going (Aspirational) ~92/wk at $25.99, no List Price. Tracked rivals ~1,672 units/wk; we sell ~8/wk (0.4% of the tracked set).</t>
  </si>
  <si>
    <t xml:space="preserve">5 of 23 rivals carry a List Price above price; 0 inside 12%. These are the ones most likely to show a strikethrough at BFCM - check them on the page first.</t>
  </si>
  <si>
    <t xml:space="preserve">Computed at build time from the Command Center (rosters, prices, List Price, est weekly units, our PPC/TACoS, visibility) and Data Dive. Estimates are estimates; Keepa fills the BFCM 2025 competitor history.</t>
  </si>
  <si>
    <t xml:space="preserve">PRODUCT</t>
  </si>
  <si>
    <t xml:space="preserve">OUR PRODUCT - Command Center</t>
  </si>
  <si>
    <t xml:space="preserve">COMPETITOR SET + OUR HISTORY (formulas)</t>
  </si>
  <si>
    <t xml:space="preserve">Prod ID</t>
  </si>
  <si>
    <t xml:space="preserve">BFCM role (plan)</t>
  </si>
  <si>
    <t xml:space="preserve">Stage</t>
  </si>
  <si>
    <t xml:space="preserve">Our parent ASIN</t>
  </si>
  <si>
    <t xml:space="preserve">Our SKUs (variations)</t>
  </si>
  <si>
    <t xml:space="preserve">Sizes</t>
  </si>
  <si>
    <t xml:space="preserve">Colours</t>
  </si>
  <si>
    <t xml:space="preserve">Our blended price ($)</t>
  </si>
  <si>
    <t xml:space="preserve">Contribution / unit ($)</t>
  </si>
  <si>
    <t xml:space="preserve">Break-even ACoS</t>
  </si>
  <si>
    <t xml:space="preserve">Our units 28d</t>
  </si>
  <si>
    <t xml:space="preserve">Competitors mapped</t>
  </si>
  <si>
    <t xml:space="preserve">Aspirational</t>
  </si>
  <si>
    <t xml:space="preserve">Beatable</t>
  </si>
  <si>
    <t xml:space="preserve">Poor</t>
  </si>
  <si>
    <t xml:space="preserve">Comp median price ($)</t>
  </si>
  <si>
    <t xml:space="preserve">Our price vs comp median</t>
  </si>
  <si>
    <t xml:space="preserve">Comps priced below us (same size)</t>
  </si>
  <si>
    <t xml:space="preserve">Comps with List Price set</t>
  </si>
  <si>
    <t xml:space="preserve">of which &lt;=12% over (STR zone)</t>
  </si>
  <si>
    <t xml:space="preserve">Comp avg List Price % over</t>
  </si>
  <si>
    <t xml:space="preserve">Comp est weekly units (sum)</t>
  </si>
  <si>
    <t xml:space="preserve">Our weekly units (28d/4)</t>
  </si>
  <si>
    <t xml:space="preserve">Our share of tracked units</t>
  </si>
  <si>
    <t xml:space="preserve">Comp median variations (DD)</t>
  </si>
  <si>
    <t xml:space="preserve">Our BFCM 2025 lift (daily sales vs 30d pre)</t>
  </si>
  <si>
    <t xml:space="preserve">Our BFCM 2025 TACoS</t>
  </si>
  <si>
    <t xml:space="preserve">Our PD 2026 organic vis lift</t>
  </si>
  <si>
    <t xml:space="preserve">Comp median PD 2026 organic vis lift</t>
  </si>
  <si>
    <t xml:space="preserve">Keepa rows filled</t>
  </si>
  <si>
    <t xml:space="preserve">Comp avg BFCM 2025 discount</t>
  </si>
  <si>
    <t xml:space="preserve">Comp avg BFCM 2025 BSR lift</t>
  </si>
  <si>
    <t xml:space="preserve">Hero: rank and profit</t>
  </si>
  <si>
    <t xml:space="preserve">Re-Launch</t>
  </si>
  <si>
    <t xml:space="preserve">B0BZQ1G5B8</t>
  </si>
  <si>
    <t xml:space="preserve">B0CQ31D5FM</t>
  </si>
  <si>
    <t xml:space="preserve">Core</t>
  </si>
  <si>
    <t xml:space="preserve">B0DDTY8HFR</t>
  </si>
  <si>
    <t xml:space="preserve">Production</t>
  </si>
  <si>
    <t xml:space="preserve">B0DDTRVWNR</t>
  </si>
  <si>
    <t xml:space="preserve">Excluded (ranking variations OOS to Dec 3)</t>
  </si>
  <si>
    <t xml:space="preserve">Launch</t>
  </si>
  <si>
    <t xml:space="preserve">B0FX2T8CG8</t>
  </si>
  <si>
    <t xml:space="preserve">B0FX2RDXXR</t>
  </si>
  <si>
    <t xml:space="preserve">Clearance with margin</t>
  </si>
  <si>
    <t xml:space="preserve">Maintenance</t>
  </si>
  <si>
    <t xml:space="preserve">B0CQRY9WLD</t>
  </si>
  <si>
    <t xml:space="preserve">B0D9QQWYP4</t>
  </si>
  <si>
    <t xml:space="preserve">B0DDR4HJCS</t>
  </si>
  <si>
    <t xml:space="preserve">B0H41WN38B</t>
  </si>
  <si>
    <t xml:space="preserve">Opportunistic</t>
  </si>
  <si>
    <t xml:space="preserve">B0DBVZV66D</t>
  </si>
  <si>
    <t xml:space="preserve">Gifting</t>
  </si>
  <si>
    <t xml:space="preserve">B0DBR7PBVP</t>
  </si>
  <si>
    <t xml:space="preserve">Liquidation</t>
  </si>
  <si>
    <t xml:space="preserve">B0F4XS1FWJ</t>
  </si>
  <si>
    <t xml:space="preserve">B0F4XQ7L8Q</t>
  </si>
  <si>
    <t xml:space="preserve">Off-season (aged variations only)</t>
  </si>
  <si>
    <t xml:space="preserve">B0CWJ2ZQJR</t>
  </si>
  <si>
    <t xml:space="preserve">B0F7LXFGLX</t>
  </si>
  <si>
    <t xml:space="preserve">B0H7JVGTZW</t>
  </si>
  <si>
    <t xml:space="preserve">B0H6K5RPX6</t>
  </si>
  <si>
    <t xml:space="preserve">B0H5X3L7M3</t>
  </si>
  <si>
    <t xml:space="preserve">Off-season</t>
  </si>
  <si>
    <t xml:space="preserve">B0F7LLMXSR</t>
  </si>
  <si>
    <t xml:space="preserve">Off-season (lost $2.4K at BFCM 2025)</t>
  </si>
  <si>
    <t xml:space="preserve">B0GHSH1BJK</t>
  </si>
  <si>
    <t xml:space="preserve">B0F7M4DPM6</t>
  </si>
  <si>
    <t xml:space="preserve">B0FGZF19SN</t>
  </si>
  <si>
    <t xml:space="preserve">B0F6371Q67</t>
  </si>
  <si>
    <t xml:space="preserve">B0DQ8NHCYM</t>
  </si>
  <si>
    <t xml:space="preserve">B0DQ83G9MC</t>
  </si>
  <si>
    <t xml:space="preserve">B0CY6QPTVJ</t>
  </si>
  <si>
    <t xml:space="preserve">Medians are build-time values; every other grey cell is a live formula over the Competitors and Our BFCM 2025 tabs. Our PD 2026 organic visibility lift is for our best-selling child ASIN.</t>
  </si>
  <si>
    <t xml:space="preserve">COMPETITOR (Command Center map)</t>
  </si>
  <si>
    <t xml:space="preserve">CURRENT MARKET - Command Center snapshot</t>
  </si>
  <si>
    <t xml:space="preserve">LISTING DETAIL - Data Dive</t>
  </si>
  <si>
    <t xml:space="preserve">VISIBILITY HISTORY - Command Center (2026)</t>
  </si>
  <si>
    <t xml:space="preserve">STR NOW - fill (Amazon page / Keepa)</t>
  </si>
  <si>
    <t xml:space="preserve">BFCM 2025 + PRICE HISTORY - fill from Keepa</t>
  </si>
  <si>
    <t xml:space="preserve">Comp ID</t>
  </si>
  <si>
    <t xml:space="preserve">Brand</t>
  </si>
  <si>
    <t xml:space="preserve">Parent ASIN</t>
  </si>
  <si>
    <t xml:space="preserve">Tracked child ASIN</t>
  </si>
  <si>
    <t xml:space="preserve">Title</t>
  </si>
  <si>
    <t xml:space="preserve">Mapping tier</t>
  </si>
  <si>
    <t xml:space="preserve">Price now ($)</t>
  </si>
  <si>
    <t xml:space="preserve">List Price now ($)</t>
  </si>
  <si>
    <t xml:space="preserve">List Price % over price</t>
  </si>
  <si>
    <t xml:space="preserve">List Price band</t>
  </si>
  <si>
    <t xml:space="preserve">Size (from title)</t>
  </si>
  <si>
    <t xml:space="preserve">Our price, same size ($)</t>
  </si>
  <si>
    <t xml:space="preserve">Their price vs ours (same size)</t>
  </si>
  <si>
    <t xml:space="preserve">Comparison basis</t>
  </si>
  <si>
    <t xml:space="preserve">BSR now</t>
  </si>
  <si>
    <t xml:space="preserve">Est weekly units</t>
  </si>
  <si>
    <t xml:space="preserve">Est monthly revenue ($)</t>
  </si>
  <si>
    <t xml:space="preserve">Rating</t>
  </si>
  <si>
    <t xml:space="preserve">Reviews</t>
  </si>
  <si>
    <t xml:space="preserve">Snapshot date</t>
  </si>
  <si>
    <t xml:space="preserve">Variations (DD)</t>
  </si>
  <si>
    <t xml:space="preserve">Listed (DD)</t>
  </si>
  <si>
    <t xml:space="preserve">Listing age (yrs)</t>
  </si>
  <si>
    <t xml:space="preserve">Family units 30d (DD est.)</t>
  </si>
  <si>
    <t xml:space="preserve">Fulfilment</t>
  </si>
  <si>
    <t xml:space="preserve">Active sellers</t>
  </si>
  <si>
    <t xml:space="preserve">Seller country</t>
  </si>
  <si>
    <t xml:space="preserve">Advertised KW %</t>
  </si>
  <si>
    <t xml:space="preserve">TOS ad SV %</t>
  </si>
  <si>
    <t xml:space="preserve">Page-1 KWs</t>
  </si>
  <si>
    <t xml:space="preserve">ASINsight 7d traffic</t>
  </si>
  <si>
    <t xml:space="preserve">ASINsight keywords</t>
  </si>
  <si>
    <t xml:space="preserve">Visibility history from</t>
  </si>
  <si>
    <t xml:space="preserve">Organic score Jun 1-20</t>
  </si>
  <si>
    <t xml:space="preserve">Organic score PD Jun 23-26</t>
  </si>
  <si>
    <t xml:space="preserve">PD organic lift</t>
  </si>
  <si>
    <t xml:space="preserve">Ad score Jun 1-20</t>
  </si>
  <si>
    <t xml:space="preserve">Ad score PD</t>
  </si>
  <si>
    <t xml:space="preserve">PD ad lift</t>
  </si>
  <si>
    <t xml:space="preserve">Organic score Q2 (Apr 1-Jun 20)</t>
  </si>
  <si>
    <t xml:space="preserve">Organic score Aug 18-Sep 16</t>
  </si>
  <si>
    <t xml:space="preserve">Organic trend (last30 vs Q2)</t>
  </si>
  <si>
    <t xml:space="preserve">STR showing now? (Y/N)</t>
  </si>
  <si>
    <t xml:space="preserve">STR label</t>
  </si>
  <si>
    <t xml:space="preserve">Sold at List Price in last 90d? (Y/N)</t>
  </si>
  <si>
    <t xml:space="preserve">Deal / coupon live now</t>
  </si>
  <si>
    <t xml:space="preserve">BFCM 2025 deal type</t>
  </si>
  <si>
    <t xml:space="preserve">Deal start</t>
  </si>
  <si>
    <t xml:space="preserve">Deal end</t>
  </si>
  <si>
    <t xml:space="preserve">Pre-event typical price ($)</t>
  </si>
  <si>
    <t xml:space="preserve">BFCM 2025 low price ($)</t>
  </si>
  <si>
    <t xml:space="preserve">BFCM 2025 discount %</t>
  </si>
  <si>
    <t xml:space="preserve">Coupon on top (%)</t>
  </si>
  <si>
    <t xml:space="preserve">BSR pre-event avg</t>
  </si>
  <si>
    <t xml:space="preserve">BSR BFCM week avg</t>
  </si>
  <si>
    <t xml:space="preserve">BSR lift (x)</t>
  </si>
  <si>
    <t xml:space="preserve">BSR Dec 2-31 avg</t>
  </si>
  <si>
    <t xml:space="preserve">OOS / lost Buy Box in BFCM? (Y/N)</t>
  </si>
  <si>
    <t xml:space="preserve">PBDD 2025 deal price ($)</t>
  </si>
  <si>
    <t xml:space="preserve">Lowest price last 90d ($)</t>
  </si>
  <si>
    <t xml:space="preserve">Price below our price?</t>
  </si>
  <si>
    <t xml:space="preserve">Below our 2026 deal price?</t>
  </si>
  <si>
    <t xml:space="preserve">Notes</t>
  </si>
  <si>
    <t xml:space="preserve">Bedsure</t>
  </si>
  <si>
    <t xml:space="preserve">B0BZ8T5BJ6</t>
  </si>
  <si>
    <t xml:space="preserve">B07YK8VTJV</t>
  </si>
  <si>
    <t xml:space="preserve">Bedsure PureWoven 100% Rayon Derived from Bamboo, Queen Sheets, 4 Pieces</t>
  </si>
  <si>
    <t xml:space="preserve">Queen</t>
  </si>
  <si>
    <t xml:space="preserve">Same size (Queen)</t>
  </si>
  <si>
    <t xml:space="preserve">FBA</t>
  </si>
  <si>
    <t xml:space="preserve">US</t>
  </si>
  <si>
    <t xml:space="preserve">2026-04-01</t>
  </si>
  <si>
    <t xml:space="preserve">Pure Bamboo</t>
  </si>
  <si>
    <t xml:space="preserve">B0CZQ52MTQ</t>
  </si>
  <si>
    <t xml:space="preserve">B07DZTQ4JC</t>
  </si>
  <si>
    <t xml:space="preserve">Pure Bamboo King Sheets, Genuine 100% Organic Viscose Derived from Bamboo Bed Sh</t>
  </si>
  <si>
    <t xml:space="preserve">King</t>
  </si>
  <si>
    <t xml:space="preserve">Same size (King)</t>
  </si>
  <si>
    <t xml:space="preserve">Hotel Sheets Direct</t>
  </si>
  <si>
    <t xml:space="preserve">B0G5N99X9R</t>
  </si>
  <si>
    <t xml:space="preserve">B01N9L2O9P</t>
  </si>
  <si>
    <t xml:space="preserve">Hotel Sheets Direct 4 Piece Bed Sheet Set Queen Size, 100% Viscose Derived from</t>
  </si>
  <si>
    <t xml:space="preserve">2026-01-01</t>
  </si>
  <si>
    <t xml:space="preserve">Love's cabin</t>
  </si>
  <si>
    <t xml:space="preserve">B0DN1GGFL7</t>
  </si>
  <si>
    <t xml:space="preserve">B0DN1DVKH5</t>
  </si>
  <si>
    <t xml:space="preserve">Love's cabin 4 Piece Queen Sheet Set, 100% Rayon Derived from Bamboo, Cooling &amp;</t>
  </si>
  <si>
    <t xml:space="preserve">CN</t>
  </si>
  <si>
    <t xml:space="preserve">KRIMANO</t>
  </si>
  <si>
    <t xml:space="preserve">B0FT7L9RSX</t>
  </si>
  <si>
    <t xml:space="preserve">B0FT7LZ2CD</t>
  </si>
  <si>
    <t xml:space="preserve">KRIMANO Bamboo Viscose Sheet Set King Size, Cooling Sheets Bed Set</t>
  </si>
  <si>
    <t xml:space="preserve">HK</t>
  </si>
  <si>
    <t xml:space="preserve">TRUE BAMBOO</t>
  </si>
  <si>
    <t xml:space="preserve">B0HHQ97HBL</t>
  </si>
  <si>
    <t xml:space="preserve">B0HD7R5L1D</t>
  </si>
  <si>
    <t xml:space="preserve">TRUE BAMBOO Sheets Set King Size - Silky Soft &amp; Cooling - Dark Gray</t>
  </si>
  <si>
    <t xml:space="preserve">Bambaw</t>
  </si>
  <si>
    <t xml:space="preserve">B07K6SYX8L</t>
  </si>
  <si>
    <t xml:space="preserve">B0DR99Q37Y</t>
  </si>
  <si>
    <t xml:space="preserve">Bambaw 100% Viscose Derived from Bamboo Sheets Queen Size Set – 4pcs Cooling She</t>
  </si>
  <si>
    <t xml:space="preserve">BE</t>
  </si>
  <si>
    <t xml:space="preserve">B0FB8XS4D1</t>
  </si>
  <si>
    <t xml:space="preserve">B0FB8XR43Q</t>
  </si>
  <si>
    <t xml:space="preserve">Bedsure PureWoven Organically Grown Bamboo Viscose Queen Sheet Set, 4PCS</t>
  </si>
  <si>
    <t xml:space="preserve">SONORO KATE</t>
  </si>
  <si>
    <t xml:space="preserve">B0F4852T9V</t>
  </si>
  <si>
    <t xml:space="preserve">B0F4873G4H</t>
  </si>
  <si>
    <t xml:space="preserve">Bamboo Sheets</t>
  </si>
  <si>
    <t xml:space="preserve">Size unknown - vs our Queen</t>
  </si>
  <si>
    <t xml:space="preserve">BC BELLA COTERIE</t>
  </si>
  <si>
    <t xml:space="preserve">B0H29V113N</t>
  </si>
  <si>
    <t xml:space="preserve">B08L86VLZB</t>
  </si>
  <si>
    <t xml:space="preserve">Bella Coterie Luxury Bamboo Viscose King Size Sheet Set</t>
  </si>
  <si>
    <t xml:space="preserve">BAMPURE</t>
  </si>
  <si>
    <t xml:space="preserve">B0HC778XB4</t>
  </si>
  <si>
    <t xml:space="preserve">B07XFP6BY2</t>
  </si>
  <si>
    <t xml:space="preserve">BAMPURE 100% Rayon from Bamboo Sheets King Size - 4pc Cooling King Sheets</t>
  </si>
  <si>
    <t xml:space="preserve">BEDELITE</t>
  </si>
  <si>
    <t xml:space="preserve">B0GT98GVQN</t>
  </si>
  <si>
    <t xml:space="preserve">B0GT8Z4X5D</t>
  </si>
  <si>
    <t xml:space="preserve">BEDELITE Bamboo Viscose Sheet Set, Queen Size, 4 Pieces, White</t>
  </si>
  <si>
    <t xml:space="preserve">B0F29FQLFD</t>
  </si>
  <si>
    <t xml:space="preserve">B0F29F1JM5</t>
  </si>
  <si>
    <t xml:space="preserve">SONORO KATE 100% Viscose Derived from Bamboo_Sheets Queen Size,4PC</t>
  </si>
  <si>
    <t xml:space="preserve">Davmabcjy</t>
  </si>
  <si>
    <t xml:space="preserve">B0HJZNMQ5G</t>
  </si>
  <si>
    <t xml:space="preserve">B0GXJYQR7H</t>
  </si>
  <si>
    <t xml:space="preserve">100% Organically Grown Bamboo Viscose King Sheet Set with Pockets on Side</t>
  </si>
  <si>
    <t xml:space="preserve">DOZ by SIJO</t>
  </si>
  <si>
    <t xml:space="preserve">B0DCZGYVZ9</t>
  </si>
  <si>
    <t xml:space="preserve">B0F24TRXCZ</t>
  </si>
  <si>
    <t xml:space="preserve">GOKOTTA</t>
  </si>
  <si>
    <t xml:space="preserve">B09WV7RN1V</t>
  </si>
  <si>
    <t xml:space="preserve">B0BR53P7DY</t>
  </si>
  <si>
    <t xml:space="preserve">GOKOTTA King Bamboo Rayon Sheets Set, Silky Soft Cooling Sheets Stay Put</t>
  </si>
  <si>
    <t xml:space="preserve">TH</t>
  </si>
  <si>
    <t xml:space="preserve">KARISSA MAE</t>
  </si>
  <si>
    <t xml:space="preserve">B0GT172Y8L</t>
  </si>
  <si>
    <t xml:space="preserve">B0G1CSCQTB</t>
  </si>
  <si>
    <t xml:space="preserve">Cooling Sheets</t>
  </si>
  <si>
    <t xml:space="preserve">Pillcase</t>
  </si>
  <si>
    <t xml:space="preserve">B0H1GGHHVN</t>
  </si>
  <si>
    <t xml:space="preserve">B0HFZQRXXQ</t>
  </si>
  <si>
    <t xml:space="preserve">100% Real Bamboo Viscose &amp; Lyocell Tencel Sheets Set Queen Size | Breathable &amp; C</t>
  </si>
  <si>
    <t xml:space="preserve">Bamboo Bay</t>
  </si>
  <si>
    <t xml:space="preserve">B0DLD8982V</t>
  </si>
  <si>
    <t xml:space="preserve">B08M9QK14J</t>
  </si>
  <si>
    <t xml:space="preserve">Bamboo Bay 4 Piece Queen Size Sheet Set, 100% Viscose Made from Bamboo, Breathab</t>
  </si>
  <si>
    <t xml:space="preserve">California Design Den</t>
  </si>
  <si>
    <t xml:space="preserve">B0HFBJPD56</t>
  </si>
  <si>
    <t xml:space="preserve">B0GWHPJ9SD</t>
  </si>
  <si>
    <t xml:space="preserve">California Design Den 100% Viscose from Bamboo Sheets Queen, Dark Olive</t>
  </si>
  <si>
    <t xml:space="preserve">B0HK71WHZW</t>
  </si>
  <si>
    <t xml:space="preserve">B0H1BWY4MD</t>
  </si>
  <si>
    <t xml:space="preserve">TWK</t>
  </si>
  <si>
    <t xml:space="preserve">B0HHQG3RSW</t>
  </si>
  <si>
    <t xml:space="preserve">B0G1N8QS55</t>
  </si>
  <si>
    <t xml:space="preserve">TWK Real 100% Viscose Derived from Bamboo Sheets Set Queen Size, Cooling &amp; Silky</t>
  </si>
  <si>
    <t xml:space="preserve">B0FH2WGKJV</t>
  </si>
  <si>
    <t xml:space="preserve">B07XC2KVM7</t>
  </si>
  <si>
    <t xml:space="preserve">B0GKBNZ8TC</t>
  </si>
  <si>
    <t xml:space="preserve">B0G674ZDTV</t>
  </si>
  <si>
    <t xml:space="preserve">4 Piece Bamboo Sheet Set</t>
  </si>
  <si>
    <t xml:space="preserve">B0HJYG8V9Q</t>
  </si>
  <si>
    <t xml:space="preserve">Cooling Hotel Bedding Sheet Set - 4pcs Bamboo Viscose &amp; Tencel Blend, Moisture-W</t>
  </si>
  <si>
    <t xml:space="preserve">Tafts</t>
  </si>
  <si>
    <t xml:space="preserve">B0D34K3FB9</t>
  </si>
  <si>
    <t xml:space="preserve">B07YSVNCVT</t>
  </si>
  <si>
    <t xml:space="preserve">Bamboo Sheets Queen Size, 100% Pure Viscose derived from Bamboo Bed Sheet Set, L</t>
  </si>
  <si>
    <t xml:space="preserve">B0HHRR4XGX</t>
  </si>
  <si>
    <t xml:space="preserve">AiAngu</t>
  </si>
  <si>
    <t xml:space="preserve">B0H3KP6R9B</t>
  </si>
  <si>
    <t xml:space="preserve">B0GX15Y7TT</t>
  </si>
  <si>
    <t xml:space="preserve">Cariloha</t>
  </si>
  <si>
    <t xml:space="preserve">B0F89K7BXJ</t>
  </si>
  <si>
    <t xml:space="preserve">B0DJV1K332</t>
  </si>
  <si>
    <t xml:space="preserve">Cariloha Aloha Soft Bamboo Viscose Sheet Set - Natural - Queen</t>
  </si>
  <si>
    <t xml:space="preserve">ACCURATEX</t>
  </si>
  <si>
    <t xml:space="preserve">B0GMGSMLQ1</t>
  </si>
  <si>
    <t xml:space="preserve">B09PYB9C45</t>
  </si>
  <si>
    <t xml:space="preserve">ACCURATEX Cooling Sheets for Hot Sleepers, King Size, Grey</t>
  </si>
  <si>
    <t xml:space="preserve">Cozy Earth</t>
  </si>
  <si>
    <t xml:space="preserve">B0DSQ9V4ML</t>
  </si>
  <si>
    <t xml:space="preserve">B0F22JR4S8</t>
  </si>
  <si>
    <t xml:space="preserve">Cozy Earth Luxury Bed Sheet Set, 100% Viscose from Bamboo Fabric</t>
  </si>
  <si>
    <t xml:space="preserve">DREAMCARE</t>
  </si>
  <si>
    <t xml:space="preserve">B0DVZFLVMG</t>
  </si>
  <si>
    <t xml:space="preserve">B0CF2MND41</t>
  </si>
  <si>
    <t xml:space="preserve">DREAMCARE 100% Rayon Bamboo Sheets King Size - 4pc Cooling Sheets King Size</t>
  </si>
  <si>
    <t xml:space="preserve">HOT SLEEPER SHEETS</t>
  </si>
  <si>
    <t xml:space="preserve">B0DM3GDCTR</t>
  </si>
  <si>
    <t xml:space="preserve">B0D3XQM7DL</t>
  </si>
  <si>
    <t xml:space="preserve">Cooling Sheets Set Queen Size, Viscose Derived from Bamboo for Hot Sleepers | De</t>
  </si>
  <si>
    <t xml:space="preserve">Shilucheng</t>
  </si>
  <si>
    <t xml:space="preserve">B09PYKYCCF</t>
  </si>
  <si>
    <t xml:space="preserve">Shilucheng 100% Viscose Derived from Bamboo_ Sheets Queen Size 4pcs</t>
  </si>
  <si>
    <t xml:space="preserve">Bamtek</t>
  </si>
  <si>
    <t xml:space="preserve">B0CZHCZQZ3</t>
  </si>
  <si>
    <t xml:space="preserve">B09TQ6ZVKZ</t>
  </si>
  <si>
    <t xml:space="preserve">Viscose Bamboo Sheets Queen Size 4PC Set - Cooling Bedding for Hot Sleepers with</t>
  </si>
  <si>
    <t xml:space="preserve">JSD</t>
  </si>
  <si>
    <t xml:space="preserve">B0DTY15N29</t>
  </si>
  <si>
    <t xml:space="preserve">B0DSZTLBV1</t>
  </si>
  <si>
    <t xml:space="preserve">JSD Sage Green 100% Viscose Derived from Bamboo Cooling Sheet Set Queen</t>
  </si>
  <si>
    <t xml:space="preserve">Kickoff Home</t>
  </si>
  <si>
    <t xml:space="preserve">B0D4KS4MVX</t>
  </si>
  <si>
    <t xml:space="preserve">B0CHN5ZPFH</t>
  </si>
  <si>
    <t xml:space="preserve">LB Luxury Bamboo Market</t>
  </si>
  <si>
    <t xml:space="preserve">B0D1HWHDL2</t>
  </si>
  <si>
    <t xml:space="preserve">B0CH7N9WVC</t>
  </si>
  <si>
    <t xml:space="preserve">B0F2TBWTZR</t>
  </si>
  <si>
    <t xml:space="preserve">Shilucheng 100% Viscose Derived from Bamboo_Sheets, Extra Deep Pocket</t>
  </si>
  <si>
    <t xml:space="preserve">B0DLF1SWJ5</t>
  </si>
  <si>
    <t xml:space="preserve">B07TBHLZJM</t>
  </si>
  <si>
    <t xml:space="preserve">LBRO2M</t>
  </si>
  <si>
    <t xml:space="preserve">B0F9FK3L6J</t>
  </si>
  <si>
    <t xml:space="preserve">B0F9FK7SMW</t>
  </si>
  <si>
    <t xml:space="preserve">LBRO2M Cooling Bed Sheet 100% Viscose Derived from Bamboo Sheet Set Queen Size 6</t>
  </si>
  <si>
    <t xml:space="preserve">B0GVP3B7LS</t>
  </si>
  <si>
    <t xml:space="preserve">TWK Luxury Sheet Set, Genuine 100% Viscose Derived from Bamboo, Cooling &amp; Breath</t>
  </si>
  <si>
    <t xml:space="preserve">FBM</t>
  </si>
  <si>
    <t xml:space="preserve">N/A</t>
  </si>
  <si>
    <t xml:space="preserve">B0DYT2QWLC</t>
  </si>
  <si>
    <t xml:space="preserve">TWK Luxury Sheet Set, Genuine 100% Organic Viscose Derived from Bamboo, Cooling</t>
  </si>
  <si>
    <t xml:space="preserve">B0GKFHP6L6</t>
  </si>
  <si>
    <t xml:space="preserve">B0GW7H7RHY</t>
  </si>
  <si>
    <t xml:space="preserve">Vesta</t>
  </si>
  <si>
    <t xml:space="preserve">B0CZRJY68B</t>
  </si>
  <si>
    <t xml:space="preserve">B0DM214YG3</t>
  </si>
  <si>
    <t xml:space="preserve">Vesta Sheet Set – Soft, Breathable &amp; Cooling, 100% Viscose Derived from Bamboo,</t>
  </si>
  <si>
    <t xml:space="preserve">CozyLux</t>
  </si>
  <si>
    <t xml:space="preserve">B0GC2GQNMT</t>
  </si>
  <si>
    <t xml:space="preserve">B0GC5CJGWC</t>
  </si>
  <si>
    <t xml:space="preserve">CozyLux King Size Sheets Set, 100% Rayon Derived from Bamboo, Sateen Weave</t>
  </si>
  <si>
    <t xml:space="preserve">Amazon Basics</t>
  </si>
  <si>
    <t xml:space="preserve">B0GFHP5V9H</t>
  </si>
  <si>
    <t xml:space="preserve">B0GFHGS4DP</t>
  </si>
  <si>
    <t xml:space="preserve">Amazon Basics Bamboo Viscose Sheet Set, 4-Piece, Queen, White</t>
  </si>
  <si>
    <t xml:space="preserve">CGK Unlimited</t>
  </si>
  <si>
    <t xml:space="preserve">B0F2GR2DKR</t>
  </si>
  <si>
    <t xml:space="preserve">B0D429MCF7</t>
  </si>
  <si>
    <t xml:space="preserve">100% Rayon Derived from Bamboo - Bamboo Sheets Queen Size - Black</t>
  </si>
  <si>
    <t xml:space="preserve">B0HJSVWNRS</t>
  </si>
  <si>
    <t xml:space="preserve">B0FWY1TGFK</t>
  </si>
  <si>
    <t xml:space="preserve">Shilucheng 4 Piece Queen Sheet Sets, Cooling Sheets, Dark Grey</t>
  </si>
  <si>
    <t xml:space="preserve">Cosy House Collection</t>
  </si>
  <si>
    <t xml:space="preserve">B0CLBDW265</t>
  </si>
  <si>
    <t xml:space="preserve">B0B4F4NTBL</t>
  </si>
  <si>
    <t xml:space="preserve">Cosy House Collection 100% Rayon Derived from Bamboo Bed Sheet Set</t>
  </si>
  <si>
    <t xml:space="preserve">MR&amp;HM</t>
  </si>
  <si>
    <t xml:space="preserve">B0DQDMN3WK</t>
  </si>
  <si>
    <t xml:space="preserve">B0DL5NCTYF</t>
  </si>
  <si>
    <t xml:space="preserve">MR&amp;HM Queen Sheets 4 Pieces, Rayon Derived from Bamboo Blend, Dark Grey</t>
  </si>
  <si>
    <t xml:space="preserve">KAKIJUMN</t>
  </si>
  <si>
    <t xml:space="preserve">B0HFVC6529</t>
  </si>
  <si>
    <t xml:space="preserve">B0H1MNZ16Z</t>
  </si>
  <si>
    <t xml:space="preserve">KAKIJUMN 6 Piece King Sheets Set, Rayon Derived from Bamboo Blend</t>
  </si>
  <si>
    <t xml:space="preserve">B098JT1RF2</t>
  </si>
  <si>
    <t xml:space="preserve">Shilucheng 4 Piece King Sheet Sets, Cooling Sheets, Dark Grey</t>
  </si>
  <si>
    <t xml:space="preserve">Brooklyn Loom</t>
  </si>
  <si>
    <t xml:space="preserve">B0H29TVSQX</t>
  </si>
  <si>
    <t xml:space="preserve">B0FQ8JCH46</t>
  </si>
  <si>
    <t xml:space="preserve">Brooklyn Loom 300 Thread Count Sateen 100% Rayon from Bamboo Deep Pocket 4 Piece</t>
  </si>
  <si>
    <t xml:space="preserve">MRIDU</t>
  </si>
  <si>
    <t xml:space="preserve">B0GSXPDW9C</t>
  </si>
  <si>
    <t xml:space="preserve">B0GSXRR9DN</t>
  </si>
  <si>
    <t xml:space="preserve">MRIDU Bamboo Viscose Sheet Set, 4-Piece, Pure White, King</t>
  </si>
  <si>
    <t xml:space="preserve">vs our blended price</t>
  </si>
  <si>
    <t xml:space="preserve">B0B6NZ1H4L</t>
  </si>
  <si>
    <t xml:space="preserve">B0B6P8YLQ7</t>
  </si>
  <si>
    <t xml:space="preserve">GOKOTTA Fitted Sheet Queen Only,100% Rayon Derived from Bamboo Fitted Sheet,Ultr</t>
  </si>
  <si>
    <t xml:space="preserve">REST</t>
  </si>
  <si>
    <t xml:space="preserve">B0C14HFDS1</t>
  </si>
  <si>
    <t xml:space="preserve">B0D4Y6RKLL</t>
  </si>
  <si>
    <t xml:space="preserve">REST® Evercool®+ Fitted Sheet, Full Size, Light Blue, 15" Deep (up to 18’’), Bre</t>
  </si>
  <si>
    <t xml:space="preserve">Full</t>
  </si>
  <si>
    <t xml:space="preserve">Zaizaihome</t>
  </si>
  <si>
    <t xml:space="preserve">B0CXPDKH51</t>
  </si>
  <si>
    <t xml:space="preserve">B0CXPKK5DD</t>
  </si>
  <si>
    <t xml:space="preserve">Bamboo Viscose Cooling Fitted Sheet King Size Only</t>
  </si>
  <si>
    <t xml:space="preserve">B0FW3SSM8K</t>
  </si>
  <si>
    <t xml:space="preserve">B0FW38KM4S</t>
  </si>
  <si>
    <t xml:space="preserve">Bedsure PureWoven Queen Fitted Sheet Qnly, 100% Rayon Derived from Bamboo</t>
  </si>
  <si>
    <t xml:space="preserve">B0FP7WBFNJ</t>
  </si>
  <si>
    <t xml:space="preserve">B0CZXZCTJP</t>
  </si>
  <si>
    <t xml:space="preserve">Bella Coterie | Luxury Bamboo Viscose King Size Fitted Sheet Only</t>
  </si>
  <si>
    <t xml:space="preserve">2026-04-03</t>
  </si>
  <si>
    <t xml:space="preserve">Cozy Bliss</t>
  </si>
  <si>
    <t xml:space="preserve">B0DT14Y4VJ</t>
  </si>
  <si>
    <t xml:space="preserve">B0DMNMPVJP</t>
  </si>
  <si>
    <t xml:space="preserve">Cooling Fitted Sheet</t>
  </si>
  <si>
    <t xml:space="preserve">B0DCZYVLFC</t>
  </si>
  <si>
    <t xml:space="preserve">B07JP2L1TG</t>
  </si>
  <si>
    <t xml:space="preserve">Bedsure PureWoven Pillow Cases Queen Set of 2, Rayon Derived from Bamboo</t>
  </si>
  <si>
    <t xml:space="preserve">B0BZ8RQ9RQ</t>
  </si>
  <si>
    <t xml:space="preserve">B08GWQY7B3</t>
  </si>
  <si>
    <t xml:space="preserve">BEDELITE Cooling Pillow Cases for Hot Sleepers &amp; Night Sweats, Rayon Derived fro</t>
  </si>
  <si>
    <t xml:space="preserve">WISHSMILE</t>
  </si>
  <si>
    <t xml:space="preserve">B09BKQK7RZ</t>
  </si>
  <si>
    <t xml:space="preserve">B09BL2SMVG</t>
  </si>
  <si>
    <t xml:space="preserve">WishSmile Cooling Queen Pillowcases Set of 2 Breathable Cool Silky Soft Rayon De</t>
  </si>
  <si>
    <t xml:space="preserve">B0DD7BMGZ7</t>
  </si>
  <si>
    <t xml:space="preserve">B0CRR369GQ</t>
  </si>
  <si>
    <t xml:space="preserve">Bedsure Zipper Pillow Cases Queen, Cooling Pillow Cases Queen Size Set of 2, Ray</t>
  </si>
  <si>
    <t xml:space="preserve">ELIBABA</t>
  </si>
  <si>
    <t xml:space="preserve">B0HGLD1P8V</t>
  </si>
  <si>
    <t xml:space="preserve">B0CQK3KHHH</t>
  </si>
  <si>
    <t xml:space="preserve">Cooling Side Sleeper Pillow Cases - Curved Rayon Derived from Bamboo Pillowcase</t>
  </si>
  <si>
    <t xml:space="preserve">2026-03-27</t>
  </si>
  <si>
    <t xml:space="preserve">Shunjie.Home</t>
  </si>
  <si>
    <t xml:space="preserve">B0CZFCD9CJ</t>
  </si>
  <si>
    <t xml:space="preserve">B0C2BNK3JD</t>
  </si>
  <si>
    <t xml:space="preserve">2 Pack Cooling Pillowcases for Hot Sleepers &amp; Night Sweats, 400 TC Bamboo Viscos</t>
  </si>
  <si>
    <t xml:space="preserve">B0FNMNMZ9T</t>
  </si>
  <si>
    <t xml:space="preserve">B0CSFTRP2X</t>
  </si>
  <si>
    <t xml:space="preserve">BEDELITE Satin Sheets Queen Size Bed Set, Black, 4 Pieces</t>
  </si>
  <si>
    <t xml:space="preserve">B08DHTB63X</t>
  </si>
  <si>
    <t xml:space="preserve">B0BNMC5G8R</t>
  </si>
  <si>
    <t xml:space="preserve">Love's cabin Satin Queen Sheets Set, 4 Pieces, Pink, 15" Deep Pocket</t>
  </si>
  <si>
    <t xml:space="preserve">B08NQ3W7PG</t>
  </si>
  <si>
    <t xml:space="preserve">B08HM6WT6X</t>
  </si>
  <si>
    <t xml:space="preserve">MR&amp;HM Satin Sheets Queen Size with Elastic Corner Straps, Black</t>
  </si>
  <si>
    <t xml:space="preserve">B08CQKS3KP</t>
  </si>
  <si>
    <t xml:space="preserve">B08P16XLP2</t>
  </si>
  <si>
    <t xml:space="preserve">CozyLux Satin Sheets Queen, 4-Piece 14-Inch Deep Pocket Sheet Set</t>
  </si>
  <si>
    <t xml:space="preserve">Lanest Housing</t>
  </si>
  <si>
    <t xml:space="preserve">B0DC3MX1DP</t>
  </si>
  <si>
    <t xml:space="preserve">B082B5CY3D</t>
  </si>
  <si>
    <t xml:space="preserve">Lanest Housing Silk Satin Sheets, Queen Size Satin Bed Sheet Set with Deep Pocke</t>
  </si>
  <si>
    <t xml:space="preserve">FreshCulture</t>
  </si>
  <si>
    <t xml:space="preserve">B0D9B18P6N</t>
  </si>
  <si>
    <t xml:space="preserve">B0D9BD63QH</t>
  </si>
  <si>
    <t xml:space="preserve">Satin Sheets</t>
  </si>
  <si>
    <t xml:space="preserve">Pure Bedding</t>
  </si>
  <si>
    <t xml:space="preserve">B0FMPQYB2J</t>
  </si>
  <si>
    <t xml:space="preserve">B083G81VSH</t>
  </si>
  <si>
    <t xml:space="preserve">Pure Bedding Satin Sheets Queen [4-Piece, Black] Hotel Luxury Silky Bed Sheets -</t>
  </si>
  <si>
    <t xml:space="preserve">AMZ</t>
  </si>
  <si>
    <t xml:space="preserve">(Amazon)</t>
  </si>
  <si>
    <t xml:space="preserve">SiinvdaBZX</t>
  </si>
  <si>
    <t xml:space="preserve">B0DD37S32L</t>
  </si>
  <si>
    <t xml:space="preserve">B08JP9DG5Z</t>
  </si>
  <si>
    <t xml:space="preserve">SiinvdaBZX 4Pcs Satin Sheet Set Queen Size 15-Inch Deep Pocket, Beige</t>
  </si>
  <si>
    <t xml:space="preserve">Cobedzy</t>
  </si>
  <si>
    <t xml:space="preserve">B099PPQ7T3</t>
  </si>
  <si>
    <t xml:space="preserve">B087CSRQQ4</t>
  </si>
  <si>
    <t xml:space="preserve">Horbaunal</t>
  </si>
  <si>
    <t xml:space="preserve">B0B4MQCT87</t>
  </si>
  <si>
    <t xml:space="preserve">B0B4MQ1PP1</t>
  </si>
  <si>
    <t xml:space="preserve">Horbaunal 6 Piece Satin Sheet Set Queen, Emerald Green Queen Bed Sheets</t>
  </si>
  <si>
    <t xml:space="preserve">VACVELT</t>
  </si>
  <si>
    <t xml:space="preserve">B0C9T1VY8J</t>
  </si>
  <si>
    <t xml:space="preserve">B0C1GJZB6F</t>
  </si>
  <si>
    <t xml:space="preserve">Homiest</t>
  </si>
  <si>
    <t xml:space="preserve">B0DYJKM99H</t>
  </si>
  <si>
    <t xml:space="preserve">B0DYJHHJQL</t>
  </si>
  <si>
    <t xml:space="preserve">LIFCOM</t>
  </si>
  <si>
    <t xml:space="preserve">B0DBVYL693</t>
  </si>
  <si>
    <t xml:space="preserve">B0DCC78S4N</t>
  </si>
  <si>
    <t xml:space="preserve">LIFCOM Satin Sheets Queen,4Pcs Bed Set with 15" Deep Pocket,Brown</t>
  </si>
  <si>
    <t xml:space="preserve">B07XBR22W1</t>
  </si>
  <si>
    <t xml:space="preserve">B0B5Z2B9NN</t>
  </si>
  <si>
    <t xml:space="preserve">Manyshofu</t>
  </si>
  <si>
    <t xml:space="preserve">B09YQW7HBK</t>
  </si>
  <si>
    <t xml:space="preserve">B09S5RNLN9</t>
  </si>
  <si>
    <t xml:space="preserve">Martex</t>
  </si>
  <si>
    <t xml:space="preserve">B0DLGX8P9D</t>
  </si>
  <si>
    <t xml:space="preserve">B07X49LFDC</t>
  </si>
  <si>
    <t xml:space="preserve">P Pothuiny</t>
  </si>
  <si>
    <t xml:space="preserve">B096P2MYZQ</t>
  </si>
  <si>
    <t xml:space="preserve">B08QMF6D5W</t>
  </si>
  <si>
    <t xml:space="preserve">P Pothuiny 6-Piece Queen Satin Sheet Set Burgundy Silky Sheets</t>
  </si>
  <si>
    <t xml:space="preserve">B0DCZYNBYS</t>
  </si>
  <si>
    <t xml:space="preserve">B0CJ8RYNTS</t>
  </si>
  <si>
    <t xml:space="preserve">GOLAL</t>
  </si>
  <si>
    <t xml:space="preserve">B0B1Q2JG5X</t>
  </si>
  <si>
    <t xml:space="preserve">B09G17SQXF</t>
  </si>
  <si>
    <t xml:space="preserve">GOLAL Satin Sheets Full Size - 4 Pieces Luxury Silky Soft Bed Sheets, Wrinkle-Fr</t>
  </si>
  <si>
    <t xml:space="preserve">Same size (Full)</t>
  </si>
  <si>
    <t xml:space="preserve">Vonty</t>
  </si>
  <si>
    <t xml:space="preserve">B0BDDJM9RW</t>
  </si>
  <si>
    <t xml:space="preserve">B0BDDGJ38X</t>
  </si>
  <si>
    <t xml:space="preserve">HommxJF</t>
  </si>
  <si>
    <t xml:space="preserve">B0BJZT93SL</t>
  </si>
  <si>
    <t xml:space="preserve">B09V52BVJB</t>
  </si>
  <si>
    <t xml:space="preserve">Madison Park</t>
  </si>
  <si>
    <t xml:space="preserve">B0DJ2HJ9M4</t>
  </si>
  <si>
    <t xml:space="preserve">B09HVCPNLX</t>
  </si>
  <si>
    <t xml:space="preserve">MK Home</t>
  </si>
  <si>
    <t xml:space="preserve">B07H522QXD</t>
  </si>
  <si>
    <t xml:space="preserve">B07FGFRZ94</t>
  </si>
  <si>
    <t xml:space="preserve">B0FB47M9WR</t>
  </si>
  <si>
    <t xml:space="preserve">B0BK1WH383</t>
  </si>
  <si>
    <t xml:space="preserve">Juicy Couture Queen Size Satin Bed Sheet Set, Deep Pocket Silky Satin Queen Shee</t>
  </si>
  <si>
    <t xml:space="preserve">Sasttie</t>
  </si>
  <si>
    <t xml:space="preserve">B0F2H9HX69</t>
  </si>
  <si>
    <t xml:space="preserve">B0F2H8LPB3</t>
  </si>
  <si>
    <t xml:space="preserve">Sasttie Satin Sheets Queen Size - 4 Pieces Luxury Soft Black Silky Bed Sheets Se</t>
  </si>
  <si>
    <t xml:space="preserve">Candoury</t>
  </si>
  <si>
    <t xml:space="preserve">B08RHZ9TMQ</t>
  </si>
  <si>
    <t xml:space="preserve">B08JKWGXZ9</t>
  </si>
  <si>
    <t xml:space="preserve">B0FPCM7DL3</t>
  </si>
  <si>
    <t xml:space="preserve">B0CSFV4FXW</t>
  </si>
  <si>
    <t xml:space="preserve">BEDELITE Satin Queen Fitted Sheet &amp; Pillowcases Set, Black, 3 Pieces</t>
  </si>
  <si>
    <t xml:space="preserve">B0BWJ4PYLN</t>
  </si>
  <si>
    <t xml:space="preserve">B0BWJ4MLLZ</t>
  </si>
  <si>
    <t xml:space="preserve">VACVELT 3pcs Queen Black Extra Deep Pocket Satin Fitted Sheet Set</t>
  </si>
  <si>
    <t xml:space="preserve">B0F7XQDVJY</t>
  </si>
  <si>
    <t xml:space="preserve">B0F7XRNKQY</t>
  </si>
  <si>
    <t xml:space="preserve">B0FNMFHHW7</t>
  </si>
  <si>
    <t xml:space="preserve">B0FL2BK9CR</t>
  </si>
  <si>
    <t xml:space="preserve">Satin Fitted Sheet</t>
  </si>
  <si>
    <t xml:space="preserve">B09WGRB6MD</t>
  </si>
  <si>
    <t xml:space="preserve">B09WHDR231</t>
  </si>
  <si>
    <t xml:space="preserve">NSGZ</t>
  </si>
  <si>
    <t xml:space="preserve">B0BV1JFXC4</t>
  </si>
  <si>
    <t xml:space="preserve">B0BV1HW54C</t>
  </si>
  <si>
    <t xml:space="preserve">B0DG238XCM</t>
  </si>
  <si>
    <t xml:space="preserve">B0DG2HRZKK</t>
  </si>
  <si>
    <t xml:space="preserve">Lirex</t>
  </si>
  <si>
    <t xml:space="preserve">B0D62YKYKZ</t>
  </si>
  <si>
    <t xml:space="preserve">B0D62TQYPX</t>
  </si>
  <si>
    <t xml:space="preserve">B0DWSHT8CF</t>
  </si>
  <si>
    <t xml:space="preserve">B0DWSK45RC</t>
  </si>
  <si>
    <t xml:space="preserve">B0BFB5DFVB</t>
  </si>
  <si>
    <t xml:space="preserve">B09W5W7VCC</t>
  </si>
  <si>
    <t xml:space="preserve">JUWENIN</t>
  </si>
  <si>
    <t xml:space="preserve">B0B1DX9FRV</t>
  </si>
  <si>
    <t xml:space="preserve">B0B1DVKHSJ</t>
  </si>
  <si>
    <t xml:space="preserve">INFIIXSO</t>
  </si>
  <si>
    <t xml:space="preserve">B0D9FCH7Q5</t>
  </si>
  <si>
    <t xml:space="preserve">B0BBSSRNHM</t>
  </si>
  <si>
    <t xml:space="preserve">Blissy Silk Pillowcase - 100% Pure Mulberry Silk - 22 Momme 6A High-Grade Fibers</t>
  </si>
  <si>
    <t xml:space="preserve">ZIMASILK</t>
  </si>
  <si>
    <t xml:space="preserve">B01LVZC25I</t>
  </si>
  <si>
    <t xml:space="preserve">B01LVU7THF</t>
  </si>
  <si>
    <t xml:space="preserve">ZIMASILK 100% Pure Mulberry Silk Pillow Cases for Hair and Skin, Soft, Hypoaller</t>
  </si>
  <si>
    <t xml:space="preserve">PROMEED</t>
  </si>
  <si>
    <t xml:space="preserve">B0HCMWNG9W</t>
  </si>
  <si>
    <t xml:space="preserve">B0B4RH938T</t>
  </si>
  <si>
    <t xml:space="preserve">Silk Pillowcase</t>
  </si>
  <si>
    <t xml:space="preserve">ALASKA BEAR</t>
  </si>
  <si>
    <t xml:space="preserve">B01KFPFUAE</t>
  </si>
  <si>
    <t xml:space="preserve">B00KDL108M</t>
  </si>
  <si>
    <t xml:space="preserve">Fishers Finery</t>
  </si>
  <si>
    <t xml:space="preserve">B0FKC1MD24</t>
  </si>
  <si>
    <t xml:space="preserve">B00FWZW55Q</t>
  </si>
  <si>
    <t xml:space="preserve">B0GXDFM5TS</t>
  </si>
  <si>
    <t xml:space="preserve">B094XT94FC</t>
  </si>
  <si>
    <t xml:space="preserve">B09ZRJBNY5</t>
  </si>
  <si>
    <t xml:space="preserve">B09NVRZBDJ</t>
  </si>
  <si>
    <t xml:space="preserve">Colorado Home Co</t>
  </si>
  <si>
    <t xml:space="preserve">B0CTCZGGHP</t>
  </si>
  <si>
    <t xml:space="preserve">B081CTM1T8</t>
  </si>
  <si>
    <t xml:space="preserve">B01MQIYMW3</t>
  </si>
  <si>
    <t xml:space="preserve">B01M1CKVJU</t>
  </si>
  <si>
    <t xml:space="preserve">ROSEWARD</t>
  </si>
  <si>
    <t xml:space="preserve">B0BXBPNMVW</t>
  </si>
  <si>
    <t xml:space="preserve">B0BXBN7JMP</t>
  </si>
  <si>
    <t xml:space="preserve">RENESSY</t>
  </si>
  <si>
    <t xml:space="preserve">B09G8P3X6L</t>
  </si>
  <si>
    <t xml:space="preserve">Brooklinen</t>
  </si>
  <si>
    <t xml:space="preserve">B0DVCCDL65</t>
  </si>
  <si>
    <t xml:space="preserve">B09NP72NNZ</t>
  </si>
  <si>
    <t xml:space="preserve">Gabire</t>
  </si>
  <si>
    <t xml:space="preserve">B0CKPNR7DW</t>
  </si>
  <si>
    <t xml:space="preserve">B0CKPKG71N</t>
  </si>
  <si>
    <t xml:space="preserve">Silk Pillow Cases</t>
  </si>
  <si>
    <t xml:space="preserve">B0DK5G1ZJP</t>
  </si>
  <si>
    <t xml:space="preserve">B0CGLG8CDW</t>
  </si>
  <si>
    <t xml:space="preserve">INFIIXSO Mulberry Silk Pillowcase for Hair and Skin, Silk Pillow Cases Standard</t>
  </si>
  <si>
    <t xml:space="preserve">Standard</t>
  </si>
  <si>
    <t xml:space="preserve">Same size (Standard)</t>
  </si>
  <si>
    <t xml:space="preserve">DKBslik</t>
  </si>
  <si>
    <t xml:space="preserve">B0B5WGXZTH</t>
  </si>
  <si>
    <t xml:space="preserve">B0B8DXN3K2</t>
  </si>
  <si>
    <t xml:space="preserve">Suatien</t>
  </si>
  <si>
    <t xml:space="preserve">B09HZYQK2C</t>
  </si>
  <si>
    <t xml:space="preserve">B09BFQG17F</t>
  </si>
  <si>
    <t xml:space="preserve">Mulberry Silk Pillowcase for Hair and Skin Standard Size 20"X 26" Pillow Case wi</t>
  </si>
  <si>
    <t xml:space="preserve">BLISSFORD</t>
  </si>
  <si>
    <t xml:space="preserve">B0FXBTQ86V</t>
  </si>
  <si>
    <t xml:space="preserve">B01N0Z6HVO</t>
  </si>
  <si>
    <t xml:space="preserve">Casbrove</t>
  </si>
  <si>
    <t xml:space="preserve">B09V4R7MMZ</t>
  </si>
  <si>
    <t xml:space="preserve">B0BXP2FQYZ</t>
  </si>
  <si>
    <t xml:space="preserve">Adubor</t>
  </si>
  <si>
    <t xml:space="preserve">B07XD9468J</t>
  </si>
  <si>
    <t xml:space="preserve">B07VKRTKRM</t>
  </si>
  <si>
    <t xml:space="preserve">Adubor 100% Silk Pillowcase - Mulberry Silk Pillow Cases, 22 Momme 6A Grade Fibe</t>
  </si>
  <si>
    <t xml:space="preserve">J JIMOO</t>
  </si>
  <si>
    <t xml:space="preserve">B0DS1T8ZR7</t>
  </si>
  <si>
    <t xml:space="preserve">B07RGFS927</t>
  </si>
  <si>
    <t xml:space="preserve">100% Mulberry Silk Pillowcase for Hair and Skin, 22 Momme Pure Natural Silk Pill</t>
  </si>
  <si>
    <t xml:space="preserve">Ravmix</t>
  </si>
  <si>
    <t xml:space="preserve">B0H9S9ZNL2</t>
  </si>
  <si>
    <t xml:space="preserve">B07KJYP1VC</t>
  </si>
  <si>
    <t xml:space="preserve">Ravmix 100% Silk Pillow Cases with Zipper, 21 Momme Mulberry Silk Pillowcase for</t>
  </si>
  <si>
    <t xml:space="preserve">INSSL</t>
  </si>
  <si>
    <t xml:space="preserve">B0BCGZVPCM</t>
  </si>
  <si>
    <t xml:space="preserve">B089SJQP45</t>
  </si>
  <si>
    <t xml:space="preserve">SIYUAN</t>
  </si>
  <si>
    <t xml:space="preserve">B0C395RDGT</t>
  </si>
  <si>
    <t xml:space="preserve">B0BBC1GN6H</t>
  </si>
  <si>
    <t xml:space="preserve">WLOSJ</t>
  </si>
  <si>
    <t xml:space="preserve">B0CZF5V1W7</t>
  </si>
  <si>
    <t xml:space="preserve">B09T6DV8BB</t>
  </si>
  <si>
    <t xml:space="preserve">Silk Pillow</t>
  </si>
  <si>
    <t xml:space="preserve">Kinself</t>
  </si>
  <si>
    <t xml:space="preserve">B0CM16H4RY</t>
  </si>
  <si>
    <t xml:space="preserve">B0CKLCLQ62</t>
  </si>
  <si>
    <t xml:space="preserve">Jocoku</t>
  </si>
  <si>
    <t xml:space="preserve">B08BFG7CNK</t>
  </si>
  <si>
    <t xml:space="preserve">B07JLLJSK5</t>
  </si>
  <si>
    <t xml:space="preserve">JOGJUE</t>
  </si>
  <si>
    <t xml:space="preserve">B094NS7KFX</t>
  </si>
  <si>
    <t xml:space="preserve">B07S2XV3TG</t>
  </si>
  <si>
    <t xml:space="preserve">SGMSILK</t>
  </si>
  <si>
    <t xml:space="preserve">B0CM9LCN75</t>
  </si>
  <si>
    <t xml:space="preserve">B0CM9N244T</t>
  </si>
  <si>
    <t xml:space="preserve">Slpbaby</t>
  </si>
  <si>
    <t xml:space="preserve">B075CNDRFJ</t>
  </si>
  <si>
    <t xml:space="preserve">B07TV3NVNX</t>
  </si>
  <si>
    <t xml:space="preserve">MZOO</t>
  </si>
  <si>
    <t xml:space="preserve">B0BQD58J7V</t>
  </si>
  <si>
    <t xml:space="preserve">B07KC5DWCC</t>
  </si>
  <si>
    <t xml:space="preserve">SS Silk Sleep Mask - Contoured</t>
  </si>
  <si>
    <t xml:space="preserve">LitBear</t>
  </si>
  <si>
    <t xml:space="preserve">B09YQ2GFGB</t>
  </si>
  <si>
    <t xml:space="preserve">B09H7FZ5JM</t>
  </si>
  <si>
    <t xml:space="preserve">SS Silk Sleep Mask</t>
  </si>
  <si>
    <t xml:space="preserve">Kitsch</t>
  </si>
  <si>
    <t xml:space="preserve">B0FNPM9ZM4</t>
  </si>
  <si>
    <t xml:space="preserve">B09GYPT47K</t>
  </si>
  <si>
    <t xml:space="preserve">YFONG</t>
  </si>
  <si>
    <t xml:space="preserve">B0F1MYF2WL</t>
  </si>
  <si>
    <t xml:space="preserve">B09C5PD9VD</t>
  </si>
  <si>
    <t xml:space="preserve">FengXinZi Store</t>
  </si>
  <si>
    <t xml:space="preserve">B09YRXKX5Z</t>
  </si>
  <si>
    <t xml:space="preserve">B09YRX2F83</t>
  </si>
  <si>
    <t xml:space="preserve">LULUSILK</t>
  </si>
  <si>
    <t xml:space="preserve">B074TBH52S</t>
  </si>
  <si>
    <t xml:space="preserve">B074TBYWGS</t>
  </si>
  <si>
    <t xml:space="preserve">BLSSNZ</t>
  </si>
  <si>
    <t xml:space="preserve">B0H5JPNHHN</t>
  </si>
  <si>
    <t xml:space="preserve">B0C1YYKVDQ</t>
  </si>
  <si>
    <t xml:space="preserve">Zenssia</t>
  </si>
  <si>
    <t xml:space="preserve">B0B5K41YD7</t>
  </si>
  <si>
    <t xml:space="preserve">B07V5BCQFW</t>
  </si>
  <si>
    <t xml:space="preserve">Zenssia 100% Mulberry Silk Sleep Mask Eye Mask for Man and Woman with Adjustable</t>
  </si>
  <si>
    <t xml:space="preserve">Jersey Slumber</t>
  </si>
  <si>
    <t xml:space="preserve">B0D4MHYD6C</t>
  </si>
  <si>
    <t xml:space="preserve">B014VYD7NW</t>
  </si>
  <si>
    <t xml:space="preserve">Umisleep Store</t>
  </si>
  <si>
    <t xml:space="preserve">B0FBWPMZHX</t>
  </si>
  <si>
    <t xml:space="preserve">B0F7R9NPSW</t>
  </si>
  <si>
    <t xml:space="preserve">B0CNX9RTK8</t>
  </si>
  <si>
    <t xml:space="preserve">B0BN559GVG</t>
  </si>
  <si>
    <t xml:space="preserve">BLISSY</t>
  </si>
  <si>
    <t xml:space="preserve">B0CWRWR64G</t>
  </si>
  <si>
    <t xml:space="preserve">B0BFDGC7CC</t>
  </si>
  <si>
    <t xml:space="preserve">iCooBreeze</t>
  </si>
  <si>
    <t xml:space="preserve">B0BBN7XTW5</t>
  </si>
  <si>
    <t xml:space="preserve">B0BBN627MK</t>
  </si>
  <si>
    <t xml:space="preserve">SECZIPE</t>
  </si>
  <si>
    <t xml:space="preserve">B0C6DZRBWV</t>
  </si>
  <si>
    <t xml:space="preserve">B0C6DYG511</t>
  </si>
  <si>
    <t xml:space="preserve">SECZIPE 100% Mulberry Silk Sleep Mask Eye Mask for Women Man with Adjustable Ban</t>
  </si>
  <si>
    <t xml:space="preserve">DROWSY</t>
  </si>
  <si>
    <t xml:space="preserve">B0GQZL7XLN</t>
  </si>
  <si>
    <t xml:space="preserve">B08NHHDLT6</t>
  </si>
  <si>
    <t xml:space="preserve">Manta Sleep</t>
  </si>
  <si>
    <t xml:space="preserve">B0DFJDJLDB</t>
  </si>
  <si>
    <t xml:space="preserve">B0D8M5MDCS</t>
  </si>
  <si>
    <t xml:space="preserve">OLESILK</t>
  </si>
  <si>
    <t xml:space="preserve">B07C7VH6CQ</t>
  </si>
  <si>
    <t xml:space="preserve">B07C7Y8QSW</t>
  </si>
  <si>
    <t xml:space="preserve">TheSleepGuard</t>
  </si>
  <si>
    <t xml:space="preserve">B0CJMDTVS2</t>
  </si>
  <si>
    <t xml:space="preserve">B0CJMHPKKC</t>
  </si>
  <si>
    <t xml:space="preserve">2025-10-11</t>
  </si>
  <si>
    <t xml:space="preserve">B0FV2TSFBG</t>
  </si>
  <si>
    <t xml:space="preserve">B0CZPYKHQW</t>
  </si>
  <si>
    <t xml:space="preserve">ATreebay</t>
  </si>
  <si>
    <t xml:space="preserve">B0DFGZZ7F1</t>
  </si>
  <si>
    <t xml:space="preserve">B0DFGZPP7K</t>
  </si>
  <si>
    <t xml:space="preserve">SLIP</t>
  </si>
  <si>
    <t xml:space="preserve">B0D94T2PG7</t>
  </si>
  <si>
    <t xml:space="preserve">B09CLHKX26</t>
  </si>
  <si>
    <t xml:space="preserve">B0GY143VLB</t>
  </si>
  <si>
    <t xml:space="preserve">B0G49VVD1Z</t>
  </si>
  <si>
    <t xml:space="preserve">B07KPF57S3</t>
  </si>
  <si>
    <t xml:space="preserve">B0BZRCV4BM</t>
  </si>
  <si>
    <t xml:space="preserve">B0D5R7CCZ2</t>
  </si>
  <si>
    <t xml:space="preserve">B0FDB7XXSL</t>
  </si>
  <si>
    <t xml:space="preserve">B0F9STVX64</t>
  </si>
  <si>
    <t xml:space="preserve">B0DSYXFT4M</t>
  </si>
  <si>
    <t xml:space="preserve">Back Bay Audio</t>
  </si>
  <si>
    <t xml:space="preserve">B0FSG756Y3</t>
  </si>
  <si>
    <t xml:space="preserve">B0DMFYTLQR</t>
  </si>
  <si>
    <t xml:space="preserve">spacepower</t>
  </si>
  <si>
    <t xml:space="preserve">B0H9RJ7HSY</t>
  </si>
  <si>
    <t xml:space="preserve">B07J41LJJZ</t>
  </si>
  <si>
    <t xml:space="preserve">B0D4Q3KB7S</t>
  </si>
  <si>
    <t xml:space="preserve">B0D4PKVNWB</t>
  </si>
  <si>
    <t xml:space="preserve">Bedlifes</t>
  </si>
  <si>
    <t xml:space="preserve">B0957W6SPP</t>
  </si>
  <si>
    <t xml:space="preserve">B0894QH86C</t>
  </si>
  <si>
    <t xml:space="preserve">B0HC6866B7</t>
  </si>
  <si>
    <t xml:space="preserve">B0D9JHBBCZ</t>
  </si>
  <si>
    <t xml:space="preserve">Breescape</t>
  </si>
  <si>
    <t xml:space="preserve">B0H41M1N4B</t>
  </si>
  <si>
    <t xml:space="preserve">B0DSPZJKTB</t>
  </si>
  <si>
    <t xml:space="preserve">B0C56VXVB3</t>
  </si>
  <si>
    <t xml:space="preserve">B0D25LDRPS</t>
  </si>
  <si>
    <t xml:space="preserve">Cooling Sheets 4/6 Pcs</t>
  </si>
  <si>
    <t xml:space="preserve">B0F2TDDFGJ</t>
  </si>
  <si>
    <t xml:space="preserve">B0CPDTJ5NN</t>
  </si>
  <si>
    <t xml:space="preserve">B0CPDR5DDM</t>
  </si>
  <si>
    <t xml:space="preserve">DOWNCOOL</t>
  </si>
  <si>
    <t xml:space="preserve">B0F93XRVSZ</t>
  </si>
  <si>
    <t xml:space="preserve">Elegear</t>
  </si>
  <si>
    <t xml:space="preserve">B0H7YWGBW3</t>
  </si>
  <si>
    <t xml:space="preserve">B0GCGXW1WT</t>
  </si>
  <si>
    <t xml:space="preserve">Elegear Silver Infused Cooling Bed Sheets Queen, Arc-Chill® 3.0 Cool Tech, Silve</t>
  </si>
  <si>
    <t xml:space="preserve">OMERAI</t>
  </si>
  <si>
    <t xml:space="preserve">B0HDC7BMTC</t>
  </si>
  <si>
    <t xml:space="preserve">B0FX8K1CG9</t>
  </si>
  <si>
    <t xml:space="preserve">B09PYQ2VQL</t>
  </si>
  <si>
    <t xml:space="preserve">Shilucheng 100% Viscose Derived from Bamboo_ Sheets King Size 4pcs</t>
  </si>
  <si>
    <t xml:space="preserve">David's Home</t>
  </si>
  <si>
    <t xml:space="preserve">B0D1SRR2H4</t>
  </si>
  <si>
    <t xml:space="preserve">B0D1RBXBNG</t>
  </si>
  <si>
    <t xml:space="preserve">2025-09-30</t>
  </si>
  <si>
    <t xml:space="preserve">B0FLDYD61P</t>
  </si>
  <si>
    <t xml:space="preserve">Pillcase Luxury Organic Tencel &amp; Viscose from Bamboo Cooling Sheet Set,Silky Sof</t>
  </si>
  <si>
    <t xml:space="preserve">SHEEX</t>
  </si>
  <si>
    <t xml:space="preserve">B081KX96XD</t>
  </si>
  <si>
    <t xml:space="preserve">B00EWJHJU4</t>
  </si>
  <si>
    <t xml:space="preserve">SHEEX - Original Performance Sheets Set (Queen) Graphite - Cooling Sheets - Mois</t>
  </si>
  <si>
    <t xml:space="preserve">Brookstone</t>
  </si>
  <si>
    <t xml:space="preserve">B0CXB579TZ</t>
  </si>
  <si>
    <t xml:space="preserve">B0CTKM53QJ</t>
  </si>
  <si>
    <t xml:space="preserve">B0FT4VV426</t>
  </si>
  <si>
    <t xml:space="preserve">B0FT4TC7NV</t>
  </si>
  <si>
    <t xml:space="preserve">Cooling Sheets Set Twin XL Size - 3 Piece Summer Bed Sheets for Hot Sleepers &amp; N</t>
  </si>
  <si>
    <t xml:space="preserve">Twin</t>
  </si>
  <si>
    <t xml:space="preserve">Same size (Twin)</t>
  </si>
  <si>
    <t xml:space="preserve">Comfort Spaces</t>
  </si>
  <si>
    <t xml:space="preserve">B0DCGL5646</t>
  </si>
  <si>
    <t xml:space="preserve">B09GV8SK79</t>
  </si>
  <si>
    <t xml:space="preserve">Comfort Spaces Coolmax Moisture Wicking Fitted Sheet ONLY Super Soft, Fade Resis</t>
  </si>
  <si>
    <t xml:space="preserve">Degrees of Comfort</t>
  </si>
  <si>
    <t xml:space="preserve">B0DXT68BBR</t>
  </si>
  <si>
    <t xml:space="preserve">B08YS6WZRR</t>
  </si>
  <si>
    <t xml:space="preserve">Coolmax® Cooling Sheets for Hot Sleepers, Queen Size, Grey</t>
  </si>
  <si>
    <t xml:space="preserve">B0DSPY326Y</t>
  </si>
  <si>
    <t xml:space="preserve">B0DSPYXPSP</t>
  </si>
  <si>
    <t xml:space="preserve">Breescape Cooling Sheets King Size - BlendTek Dry &amp; Cool Technology Cooling Bed</t>
  </si>
  <si>
    <t xml:space="preserve">B0H2797BXF</t>
  </si>
  <si>
    <t xml:space="preserve">B0DSQ26RH3</t>
  </si>
  <si>
    <t xml:space="preserve">Avolare</t>
  </si>
  <si>
    <t xml:space="preserve">B0GRV9GZ9L</t>
  </si>
  <si>
    <t xml:space="preserve">B08TBL21VT</t>
  </si>
  <si>
    <t xml:space="preserve">Avolare Cooling Pillow Cases Queen Size Set of 2,Arc-Chill 3.0 Cool Pillowcases</t>
  </si>
  <si>
    <t xml:space="preserve">B0HFSJ3HLW</t>
  </si>
  <si>
    <t xml:space="preserve">B07TMF54XC</t>
  </si>
  <si>
    <t xml:space="preserve">Elegear Cooling Pillow Cases for Hot Sleepers, Set of 2, Queen 20'' x 30''</t>
  </si>
  <si>
    <t xml:space="preserve">LUXEAR</t>
  </si>
  <si>
    <t xml:space="preserve">B0FRGBT861</t>
  </si>
  <si>
    <t xml:space="preserve">B07V6SKZ7V</t>
  </si>
  <si>
    <t xml:space="preserve">LUXEAR 2 Pack Cooling Pillow Cases for Hot Sleepers, Arc-Chill Q-Max &gt; 0.5 Cool</t>
  </si>
  <si>
    <t xml:space="preserve">B0C13Y18JW</t>
  </si>
  <si>
    <t xml:space="preserve">B0C141VGM6</t>
  </si>
  <si>
    <t xml:space="preserve">REST® Evercool®+ Cooling Pillowcases for Hot Sleepers, Standard, 2PCS</t>
  </si>
  <si>
    <t xml:space="preserve">CHOSHOME</t>
  </si>
  <si>
    <t xml:space="preserve">B0B75178W1</t>
  </si>
  <si>
    <t xml:space="preserve">B08X2KBD67</t>
  </si>
  <si>
    <t xml:space="preserve">CHOSHOME Cooling Pillow Cases Zipper Pillow Covers Q-Max &gt; 0.45 Zippered Pillowc</t>
  </si>
  <si>
    <t xml:space="preserve">HOMFINE</t>
  </si>
  <si>
    <t xml:space="preserve">B0CN6YFBVJ</t>
  </si>
  <si>
    <t xml:space="preserve">B0BLT2MCT6</t>
  </si>
  <si>
    <t xml:space="preserve">HOMFINE Cooling Pillowcases for Hot Sleepers King Size Set of 2, Grey</t>
  </si>
  <si>
    <t xml:space="preserve">QUTOOL</t>
  </si>
  <si>
    <t xml:space="preserve">B0DL5R7SSB</t>
  </si>
  <si>
    <t xml:space="preserve">B0DLB4PQS8</t>
  </si>
  <si>
    <t xml:space="preserve">Luxury Cooling Pillowcases Queen Size 2 Pack, Q-Max&gt;0.4 Cool Touch for Hot Sleep</t>
  </si>
  <si>
    <t xml:space="preserve">B0F53TNFSX</t>
  </si>
  <si>
    <t xml:space="preserve">B0DSQ12L6F</t>
  </si>
  <si>
    <t xml:space="preserve">Breescape Cooling Pillow Cases Queen Size Set of 2, BlendTek™ Cooling Technology</t>
  </si>
  <si>
    <t xml:space="preserve">Fittia</t>
  </si>
  <si>
    <t xml:space="preserve">B099JMGRBY</t>
  </si>
  <si>
    <t xml:space="preserve">B099J7KMK5</t>
  </si>
  <si>
    <t xml:space="preserve">FITTIA Cooling Pillow Cases with Zipper, 2 Pack, Standard Size 20"x26"</t>
  </si>
  <si>
    <t xml:space="preserve">B0GS2D7MBT</t>
  </si>
  <si>
    <t xml:space="preserve">B0CP3NX181</t>
  </si>
  <si>
    <t xml:space="preserve">Bedsure Cooling Pillow Cases Queen Size Set of 2 for Hot Sleepers, Grey</t>
  </si>
  <si>
    <t xml:space="preserve">Coop Home Goods</t>
  </si>
  <si>
    <t xml:space="preserve">B0DGH3JKZ5</t>
  </si>
  <si>
    <t xml:space="preserve">B08B448344</t>
  </si>
  <si>
    <t xml:space="preserve">Coop Home Goods Cool Side Pillowcase, Queen Size Cooling Pillow Case for Hot Sle</t>
  </si>
  <si>
    <t xml:space="preserve">Marchpower</t>
  </si>
  <si>
    <t xml:space="preserve">B0CFY7SVV7</t>
  </si>
  <si>
    <t xml:space="preserve">B095GTMX4Y</t>
  </si>
  <si>
    <t xml:space="preserve">Marchpower Cooling Pillow Cases for Hot Sleepers, Japanese Arc Chill Cooling Pil</t>
  </si>
  <si>
    <t xml:space="preserve">Rifens</t>
  </si>
  <si>
    <t xml:space="preserve">B0DJ933TY2</t>
  </si>
  <si>
    <t xml:space="preserve">Ice Cooling Pillowcase for Hot Sleepers, Instantly Cool, Stay Cold All Night, So</t>
  </si>
  <si>
    <t xml:space="preserve">Topcee</t>
  </si>
  <si>
    <t xml:space="preserve">B0BR9J5DGW</t>
  </si>
  <si>
    <t xml:space="preserve">Topcee Cooling Pillowcases, 2 Packs Queen Size Arc-Chill Q-Max&gt;0.5 Ultra Soft Co</t>
  </si>
  <si>
    <t xml:space="preserve">Niagara Sleep Solution</t>
  </si>
  <si>
    <t xml:space="preserve">B0CZB5B67X</t>
  </si>
  <si>
    <t xml:space="preserve">Niagara Set of 2 Cooling Pillow Cases Standard Size, CoolSpan™ Technology Q-Max</t>
  </si>
  <si>
    <t xml:space="preserve">Serta</t>
  </si>
  <si>
    <t xml:space="preserve">B0D15BSQCT</t>
  </si>
  <si>
    <t xml:space="preserve">B098TRFLHZ</t>
  </si>
  <si>
    <t xml:space="preserve">Serta Power Chill Cooling Pillow Protectors, Standard/Queen (2 Pack)</t>
  </si>
  <si>
    <t xml:space="preserve">B0H3PX4VQC</t>
  </si>
  <si>
    <t xml:space="preserve">Avolare Cooling Pillow Cases for Hot Sleepers Queen Size 2 Pack, Grey</t>
  </si>
  <si>
    <t xml:space="preserve">B0D4BZDBY7</t>
  </si>
  <si>
    <t xml:space="preserve">B0GKDH5DJ9</t>
  </si>
  <si>
    <t xml:space="preserve">Coop Home Goods Cool+ Cooling Pillow Case Set of 2, Dove Grey Queen Size Pillow</t>
  </si>
  <si>
    <t xml:space="preserve">B0CP7J6RB8</t>
  </si>
  <si>
    <t xml:space="preserve">B0CH8B5HZB</t>
  </si>
  <si>
    <t xml:space="preserve">Cozy Bliss 2 Pack Cooling Pillow Cases, Queen 20" x 30", Dark Gray</t>
  </si>
  <si>
    <t xml:space="preserve">B0BVQMYKYS</t>
  </si>
  <si>
    <t xml:space="preserve">B0BVQMB99W</t>
  </si>
  <si>
    <t xml:space="preserve">SL Cooling Comforter</t>
  </si>
  <si>
    <t xml:space="preserve">B0B5TLCZ4X</t>
  </si>
  <si>
    <t xml:space="preserve">B0B5TG8ZVW</t>
  </si>
  <si>
    <t xml:space="preserve">B0G3WWQ7DL</t>
  </si>
  <si>
    <t xml:space="preserve">B0G3W85TSH</t>
  </si>
  <si>
    <t xml:space="preserve">Cooling Comforter</t>
  </si>
  <si>
    <t xml:space="preserve">B0BNT8CPJF</t>
  </si>
  <si>
    <t xml:space="preserve">B0C3RB67HV</t>
  </si>
  <si>
    <t xml:space="preserve">bedsmile</t>
  </si>
  <si>
    <t xml:space="preserve">B0DWNGWXVQ</t>
  </si>
  <si>
    <t xml:space="preserve">B0DWNFHNXL</t>
  </si>
  <si>
    <t xml:space="preserve">B0DVSHCVND</t>
  </si>
  <si>
    <t xml:space="preserve">B0DMCWVMVH</t>
  </si>
  <si>
    <t xml:space="preserve">SL  Cooling Comforter</t>
  </si>
  <si>
    <t xml:space="preserve">EASELAND</t>
  </si>
  <si>
    <t xml:space="preserve">B0BQ6XYWKB</t>
  </si>
  <si>
    <t xml:space="preserve">B0BQ6YY21S</t>
  </si>
  <si>
    <t xml:space="preserve">B0D4J5Q1TK</t>
  </si>
  <si>
    <t xml:space="preserve">B094C72SZ4</t>
  </si>
  <si>
    <t xml:space="preserve">Gehtmnl</t>
  </si>
  <si>
    <t xml:space="preserve">B0GJTG1NBW</t>
  </si>
  <si>
    <t xml:space="preserve">B0GKHZKQ9W</t>
  </si>
  <si>
    <t xml:space="preserve">Vine Voice</t>
  </si>
  <si>
    <t xml:space="preserve">B0GVYJX6MB</t>
  </si>
  <si>
    <t xml:space="preserve">B0GK9776YF</t>
  </si>
  <si>
    <t xml:space="preserve">B0F38CR981</t>
  </si>
  <si>
    <t xml:space="preserve">B0DSPZQ9JG</t>
  </si>
  <si>
    <t xml:space="preserve">B0DYZMVM53</t>
  </si>
  <si>
    <t xml:space="preserve">B0DFW11ZMW</t>
  </si>
  <si>
    <t xml:space="preserve">Bedtter</t>
  </si>
  <si>
    <t xml:space="preserve">B0FKTNLQHJ</t>
  </si>
  <si>
    <t xml:space="preserve">B0F7GKNYTQ</t>
  </si>
  <si>
    <t xml:space="preserve">B099J44BKW</t>
  </si>
  <si>
    <t xml:space="preserve">B0BN5TKJ8D</t>
  </si>
  <si>
    <t xml:space="preserve">B0F5WP36DB</t>
  </si>
  <si>
    <t xml:space="preserve">B0G7YZWPHK</t>
  </si>
  <si>
    <t xml:space="preserve">jiaao</t>
  </si>
  <si>
    <t xml:space="preserve">B0GXZLZ3KB</t>
  </si>
  <si>
    <t xml:space="preserve">B0GR4L84HS</t>
  </si>
  <si>
    <t xml:space="preserve">MASVIS</t>
  </si>
  <si>
    <t xml:space="preserve">B0GBWB3NSS</t>
  </si>
  <si>
    <t xml:space="preserve">B0GBV12MKL</t>
  </si>
  <si>
    <t xml:space="preserve">Wolliwa</t>
  </si>
  <si>
    <t xml:space="preserve">B0FDWBSS6T</t>
  </si>
  <si>
    <t xml:space="preserve">B0DYNVCJG9</t>
  </si>
  <si>
    <t xml:space="preserve">B0GNMKSLRZ</t>
  </si>
  <si>
    <t xml:space="preserve">B0FQPCYCVQ</t>
  </si>
  <si>
    <t xml:space="preserve">B0859YNTXN</t>
  </si>
  <si>
    <t xml:space="preserve">B08LDD8HBW</t>
  </si>
  <si>
    <t xml:space="preserve">Love's cabin Quilts for Queen Bed Blue Bedspreads - Soft Bed Summer Lightweight</t>
  </si>
  <si>
    <t xml:space="preserve">FLYMME</t>
  </si>
  <si>
    <t xml:space="preserve">B0DS2L4CG2</t>
  </si>
  <si>
    <t xml:space="preserve">B0D8JF6DDS</t>
  </si>
  <si>
    <t xml:space="preserve">FLYMME Quilts Queen Size - Ultra Soft Navy Blue Quilt Lightweight Microfiber Bed</t>
  </si>
  <si>
    <t xml:space="preserve">HORIMOTE HOME</t>
  </si>
  <si>
    <t xml:space="preserve">B0BS5MVH9Q</t>
  </si>
  <si>
    <t xml:space="preserve">B085DLHZQ1</t>
  </si>
  <si>
    <t xml:space="preserve">HORIMOTE HOME Quilt Set Queen Size Navy Blue, Classic Geometric Diamond Stitched</t>
  </si>
  <si>
    <t xml:space="preserve">Exclusivo Mezcla</t>
  </si>
  <si>
    <t xml:space="preserve">B07TZHQQ2L</t>
  </si>
  <si>
    <t xml:space="preserve">B07S6N5C5P</t>
  </si>
  <si>
    <t xml:space="preserve">Exclusivo Mezcla Reversible Full Queen Quilt Bedding Set, Grey</t>
  </si>
  <si>
    <t xml:space="preserve">Maple&amp;Stone</t>
  </si>
  <si>
    <t xml:space="preserve">B09HGJGKYD</t>
  </si>
  <si>
    <t xml:space="preserve">B09P3NKL53</t>
  </si>
  <si>
    <t xml:space="preserve">Maple&amp;Stone White Quilt Set Queen Size, Lightweight Bedspread</t>
  </si>
  <si>
    <t xml:space="preserve">Mybedsoul</t>
  </si>
  <si>
    <t xml:space="preserve">B0B4JBJGT9</t>
  </si>
  <si>
    <t xml:space="preserve">B0BGS9VP2S</t>
  </si>
  <si>
    <t xml:space="preserve">Mybedsoul Boho Quilts Queen Size, Patchwork Floral Bedding Set, Blue</t>
  </si>
  <si>
    <t xml:space="preserve">Hansleep</t>
  </si>
  <si>
    <t xml:space="preserve">B089VRY7KD</t>
  </si>
  <si>
    <t xml:space="preserve">B089VT34WN</t>
  </si>
  <si>
    <t xml:space="preserve">Wake In Cloud</t>
  </si>
  <si>
    <t xml:space="preserve">B0D7V5YL6V</t>
  </si>
  <si>
    <t xml:space="preserve">B0CRPTW9GV</t>
  </si>
  <si>
    <t xml:space="preserve">WDCOZY</t>
  </si>
  <si>
    <t xml:space="preserve">B0CRH88PXZ</t>
  </si>
  <si>
    <t xml:space="preserve">B0DJ6XGCFD</t>
  </si>
  <si>
    <t xml:space="preserve">WDCOZY Beige Queen Size Quilts Bedding Sets with 2 Pillow Shams, Neutral Lightwe</t>
  </si>
  <si>
    <t xml:space="preserve">WRENSONGE</t>
  </si>
  <si>
    <t xml:space="preserve">B0CQSZMYXD</t>
  </si>
  <si>
    <t xml:space="preserve">B0CQT8LKMK</t>
  </si>
  <si>
    <t xml:space="preserve">Queen Quilt-Lightweight Bedspreads Olive Green Queen Size Quilt Bedding Set</t>
  </si>
  <si>
    <t xml:space="preserve">akkialla</t>
  </si>
  <si>
    <t xml:space="preserve">B0DKDSQXBH</t>
  </si>
  <si>
    <t xml:space="preserve">B0DD3YKGCZ</t>
  </si>
  <si>
    <t xml:space="preserve">akkialla Full/Queen Size Quilt Bedding Set,Beige Lightweight Microfiber Soft Bed</t>
  </si>
  <si>
    <t xml:space="preserve">EverGrace</t>
  </si>
  <si>
    <t xml:space="preserve">B0C4L25XW9</t>
  </si>
  <si>
    <t xml:space="preserve">B0D14LPTLP</t>
  </si>
  <si>
    <t xml:space="preserve">EverGrace Striped Channel Velvet Quilt Set, King Size, Urban Taupe</t>
  </si>
  <si>
    <t xml:space="preserve">B0D14LL4GY</t>
  </si>
  <si>
    <t xml:space="preserve">B0FH51CVXT</t>
  </si>
  <si>
    <t xml:space="preserve">Joyreap</t>
  </si>
  <si>
    <t xml:space="preserve">B0D1KPS93N</t>
  </si>
  <si>
    <t xml:space="preserve">B0D1KHV9TM</t>
  </si>
  <si>
    <t xml:space="preserve">Tyrot</t>
  </si>
  <si>
    <t xml:space="preserve">B0CY5H7RHH</t>
  </si>
  <si>
    <t xml:space="preserve">B0CY5BYX7W</t>
  </si>
  <si>
    <t xml:space="preserve">Tyrot 3 Piece Black Boho Floral King Quilt Bedding Sets</t>
  </si>
  <si>
    <t xml:space="preserve">Luxudecor</t>
  </si>
  <si>
    <t xml:space="preserve">B0GDXK4KHR</t>
  </si>
  <si>
    <t xml:space="preserve">B0FWQB61X1</t>
  </si>
  <si>
    <t xml:space="preserve">Luxudecor Quilts Queen Size Boho Sage Green Quilt Bedspreads Bedding Set, 3 Piec</t>
  </si>
  <si>
    <t xml:space="preserve">Ycosy</t>
  </si>
  <si>
    <t xml:space="preserve">B08MX8D8KK</t>
  </si>
  <si>
    <t xml:space="preserve">B0FC6F4RYY</t>
  </si>
  <si>
    <t xml:space="preserve">Anibedding</t>
  </si>
  <si>
    <t xml:space="preserve">B0F82F4MD4</t>
  </si>
  <si>
    <t xml:space="preserve">B0F8N6XCJ5</t>
  </si>
  <si>
    <t xml:space="preserve">DJY</t>
  </si>
  <si>
    <t xml:space="preserve">B0DHCGW8HR</t>
  </si>
  <si>
    <t xml:space="preserve">B0DHCG7VDK</t>
  </si>
  <si>
    <t xml:space="preserve">MIULEE</t>
  </si>
  <si>
    <t xml:space="preserve">B0H7XKHWFT</t>
  </si>
  <si>
    <t xml:space="preserve">B08SBYPF14</t>
  </si>
  <si>
    <t xml:space="preserve">MIULEE 100% Blackout Linen Curtains for Bedroom 52x84 Inches Natural Beige</t>
  </si>
  <si>
    <t xml:space="preserve">100% Blackout Shield</t>
  </si>
  <si>
    <t xml:space="preserve">B0D6GLVXHM</t>
  </si>
  <si>
    <t xml:space="preserve">B0BR3STN87</t>
  </si>
  <si>
    <t xml:space="preserve">Linen Total Blackout Curtains for Bedroom Living Room 84 Inch, Cream</t>
  </si>
  <si>
    <t xml:space="preserve">Nanspring</t>
  </si>
  <si>
    <t xml:space="preserve">B0BWJC73QX</t>
  </si>
  <si>
    <t xml:space="preserve">B0BWJDW3BX</t>
  </si>
  <si>
    <t xml:space="preserve">Cream Linen Back Tab Curtains 84 Inch Length for Living Room 2 Panel Set Neutral</t>
  </si>
  <si>
    <t xml:space="preserve">H.VERSAILTEX</t>
  </si>
  <si>
    <t xml:space="preserve">B0FGK6NVTC</t>
  </si>
  <si>
    <t xml:space="preserve">B07C9HL1G1</t>
  </si>
  <si>
    <t xml:space="preserve">H.VERSAILTEX 100% Blackout Linen Curtains 84" L 2 Panels Natural</t>
  </si>
  <si>
    <t xml:space="preserve">INOVADAY</t>
  </si>
  <si>
    <t xml:space="preserve">B09MT5BQHW</t>
  </si>
  <si>
    <t xml:space="preserve">B09MT485FQ</t>
  </si>
  <si>
    <t xml:space="preserve">INOVADAY 100% Blackout Curtains for Bedroom Black Out Curtains 84 Inch Long</t>
  </si>
  <si>
    <t xml:space="preserve">NICETOWN</t>
  </si>
  <si>
    <t xml:space="preserve">B0D3XTPMX3</t>
  </si>
  <si>
    <t xml:space="preserve">B0B7DX7C51</t>
  </si>
  <si>
    <t xml:space="preserve">NICETOWN Natural 100% Blackout Linen Curtains 84 inch Long Burg for Living Room,</t>
  </si>
  <si>
    <t xml:space="preserve">Yakamok</t>
  </si>
  <si>
    <t xml:space="preserve">B0CRVBZ5GJ</t>
  </si>
  <si>
    <t xml:space="preserve">B0CRTM5ZDN</t>
  </si>
  <si>
    <t xml:space="preserve">Yakamok Natural Linen Textured Curtains 84 Inches Long for Living Room</t>
  </si>
  <si>
    <t xml:space="preserve">Guken</t>
  </si>
  <si>
    <t xml:space="preserve">B0CYLVSHZV</t>
  </si>
  <si>
    <t xml:space="preserve">B0CYLS2C62</t>
  </si>
  <si>
    <t xml:space="preserve">Guken Cream Linen Blackout Curtains 84 Inch Length 2 Panels Set for Living Room</t>
  </si>
  <si>
    <t xml:space="preserve">BGment</t>
  </si>
  <si>
    <t xml:space="preserve">B0CJHW1J7V</t>
  </si>
  <si>
    <t xml:space="preserve">B0CJHZYHGB</t>
  </si>
  <si>
    <t xml:space="preserve">BGment Oatmeal Linen Curtains 84 Inch Length 2 Panels Set for Living Room</t>
  </si>
  <si>
    <t xml:space="preserve">Pitalk</t>
  </si>
  <si>
    <t xml:space="preserve">B0DG84J1H5</t>
  </si>
  <si>
    <t xml:space="preserve">B0DG84XRDW</t>
  </si>
  <si>
    <t xml:space="preserve">100% Blackout Curtains 84 Inch Length 2 Panels Set Neutral Boho Linen Farmhouse</t>
  </si>
  <si>
    <t xml:space="preserve">Topfinel</t>
  </si>
  <si>
    <t xml:space="preserve">B0F6YR5VMZ</t>
  </si>
  <si>
    <t xml:space="preserve">B0DFWPKBG1</t>
  </si>
  <si>
    <t xml:space="preserve">Topfinel Cream Linen Blackout Curtains 84 Inch Long for Bedroom Living Room, Ivo</t>
  </si>
  <si>
    <t xml:space="preserve">YoungsTex</t>
  </si>
  <si>
    <t xml:space="preserve">B0B5684GHJ</t>
  </si>
  <si>
    <t xml:space="preserve">B09Q2YTRL3</t>
  </si>
  <si>
    <t xml:space="preserve">Linen Curtains</t>
  </si>
  <si>
    <t xml:space="preserve">CUCRAF</t>
  </si>
  <si>
    <t xml:space="preserve">B0D7MDYKGV</t>
  </si>
  <si>
    <t xml:space="preserve">B08V8HD2WT</t>
  </si>
  <si>
    <t xml:space="preserve">CUCRAF 100% Blackout Window Curtains 84 inches Long 2 Panels Set, Faux Linen Loo</t>
  </si>
  <si>
    <t xml:space="preserve">Lajode</t>
  </si>
  <si>
    <t xml:space="preserve">B0CX3LSG5D</t>
  </si>
  <si>
    <t xml:space="preserve">B0CX47TFJ4</t>
  </si>
  <si>
    <t xml:space="preserve">Lajode Natural Linen Blackout Curtains for Bedroom - 52x84 Inch 2 Panels</t>
  </si>
  <si>
    <t xml:space="preserve">Threadmade</t>
  </si>
  <si>
    <t xml:space="preserve">B0H8T2BYZK</t>
  </si>
  <si>
    <t xml:space="preserve">B08N891RBV</t>
  </si>
  <si>
    <t xml:space="preserve">Threadmade Brighton Windowpane Plaid Blackout Window Curtain Panel, Linen - 52"</t>
  </si>
  <si>
    <t xml:space="preserve">Joydeco</t>
  </si>
  <si>
    <t xml:space="preserve">B0DBM44C7Y</t>
  </si>
  <si>
    <t xml:space="preserve">B0BYD1BPNB</t>
  </si>
  <si>
    <t xml:space="preserve">Joydeco Linen Curtains 96 inch Length 2 Panel Set, Light Filtering Curtain for L</t>
  </si>
  <si>
    <t xml:space="preserve">RYB HOME</t>
  </si>
  <si>
    <t xml:space="preserve">B0C7GWSQ7G</t>
  </si>
  <si>
    <t xml:space="preserve">B0C7GTHJP6</t>
  </si>
  <si>
    <t xml:space="preserve">RYB HOME Natural Beige 100% Blackout Curtains for Bedroom 84 Inch Long</t>
  </si>
  <si>
    <t xml:space="preserve">Jowels</t>
  </si>
  <si>
    <t xml:space="preserve">B0CX1RMCK5</t>
  </si>
  <si>
    <t xml:space="preserve">B0CWWWFZ16</t>
  </si>
  <si>
    <t xml:space="preserve">Jowels Natural Linen Grommet Curtains 84 Inch Long 2 Panels for Living Room</t>
  </si>
  <si>
    <t xml:space="preserve">Zyvola Store</t>
  </si>
  <si>
    <t xml:space="preserve">B0GYNL4FXW</t>
  </si>
  <si>
    <t xml:space="preserve">B0F538X5VQ</t>
  </si>
  <si>
    <t xml:space="preserve">Zyvola 100% Blackout Curtains 84 inch Length Faux Linen (W52 x L84, Beige)</t>
  </si>
  <si>
    <t xml:space="preserve">PONY DANCE</t>
  </si>
  <si>
    <t xml:space="preserve">B0DT64LH8Q</t>
  </si>
  <si>
    <t xml:space="preserve">B0DT5T2BXX</t>
  </si>
  <si>
    <t xml:space="preserve">PONY DANCE Linen Blackout Curtains for Bedroom 84 Inches Long, 2 Panels Set</t>
  </si>
  <si>
    <t xml:space="preserve">Zyvola</t>
  </si>
  <si>
    <t xml:space="preserve">B0GMBGGXCX</t>
  </si>
  <si>
    <t xml:space="preserve">B0F534LNF4</t>
  </si>
  <si>
    <t xml:space="preserve">Chakir Turkish</t>
  </si>
  <si>
    <t xml:space="preserve">B0DCV7WBJM</t>
  </si>
  <si>
    <t xml:space="preserve">B07M67HRKS</t>
  </si>
  <si>
    <t xml:space="preserve">WETCAT Turkish Beach Towel Oversized (38"x71") 100% Turkish Cotton, Made in Turk</t>
  </si>
  <si>
    <t xml:space="preserve">Mebien touche de la nature</t>
  </si>
  <si>
    <t xml:space="preserve">B07GFB5R1G</t>
  </si>
  <si>
    <t xml:space="preserve">B09WDMDJCH</t>
  </si>
  <si>
    <t xml:space="preserve">Turkish Beach Towel</t>
  </si>
  <si>
    <t xml:space="preserve">Nature Is Gift</t>
  </si>
  <si>
    <t xml:space="preserve">B00JQFVKUO</t>
  </si>
  <si>
    <t xml:space="preserve">B017NZZG12</t>
  </si>
  <si>
    <t xml:space="preserve">SMYRNA TURKISH COTTON</t>
  </si>
  <si>
    <t xml:space="preserve">B0D8ZW2F3C</t>
  </si>
  <si>
    <t xml:space="preserve">B0DQKM17ZF</t>
  </si>
  <si>
    <t xml:space="preserve">SMYRNA TURKISH COTTON Classical Series Original Turkish Beach Towel | Prewashed,</t>
  </si>
  <si>
    <t xml:space="preserve">Cape Comforts</t>
  </si>
  <si>
    <t xml:space="preserve">B0DGJ9RS81</t>
  </si>
  <si>
    <t xml:space="preserve">B0CNV2LF3N</t>
  </si>
  <si>
    <t xml:space="preserve">Casamollis</t>
  </si>
  <si>
    <t xml:space="preserve">B0C37T2QLC</t>
  </si>
  <si>
    <t xml:space="preserve">B0BT9RNGDQ</t>
  </si>
  <si>
    <t xml:space="preserve">Casamollis Turkish Beach Towel, Prewashed, 100% Cotton, Soft, Absorbent, Quick D</t>
  </si>
  <si>
    <t xml:space="preserve">FESHKA</t>
  </si>
  <si>
    <t xml:space="preserve">B0CCFV2DPC</t>
  </si>
  <si>
    <t xml:space="preserve">B0B2KVR9RB</t>
  </si>
  <si>
    <t xml:space="preserve">FESHKA Sand Proof Turkish Beach Towel – Oversized, Quick Dry &amp; Lightweight Trave</t>
  </si>
  <si>
    <t xml:space="preserve">Goroly Home</t>
  </si>
  <si>
    <t xml:space="preserve">B0CX5JQN29</t>
  </si>
  <si>
    <t xml:space="preserve">B08WS5MYK8</t>
  </si>
  <si>
    <t xml:space="preserve">Goroly Home Cotton Turkish Peshtemal Beach Towel, Extra Large, Thin Quick Dry Sa</t>
  </si>
  <si>
    <t xml:space="preserve">Organic Cotton Mart</t>
  </si>
  <si>
    <t xml:space="preserve">B095ZRFXH5</t>
  </si>
  <si>
    <t xml:space="preserve">B0961CH4WH</t>
  </si>
  <si>
    <t xml:space="preserve">PARK&amp;OZ</t>
  </si>
  <si>
    <t xml:space="preserve">B0DTSTCQF8</t>
  </si>
  <si>
    <t xml:space="preserve">B0BN99CBK2</t>
  </si>
  <si>
    <t xml:space="preserve">Your Choice</t>
  </si>
  <si>
    <t xml:space="preserve">B0B3DGBF86</t>
  </si>
  <si>
    <t xml:space="preserve">B09VC8ZM91</t>
  </si>
  <si>
    <t xml:space="preserve">Your Choice Turkish Beach Towel (71x41) - 100% Cotton Turkish Towel, Sand Free Q</t>
  </si>
  <si>
    <t xml:space="preserve">Salt Earth</t>
  </si>
  <si>
    <t xml:space="preserve">B0GTL61VXL</t>
  </si>
  <si>
    <t xml:space="preserve">B0F3X5N9F3</t>
  </si>
  <si>
    <t xml:space="preserve">36"x72" Cotton Turkish Quick Dry Sand Free Beach Towel 4 Pack (Alloy) | Salt Ear</t>
  </si>
  <si>
    <t xml:space="preserve">SUNSPUN LINENS</t>
  </si>
  <si>
    <t xml:space="preserve">B0CBMMBZ67</t>
  </si>
  <si>
    <t xml:space="preserve">B085Y7YSVZ</t>
  </si>
  <si>
    <t xml:space="preserve">SUNSPUN LINENS Turkish Beach Towel, 39x63in Extra Large Quick Dry Cotton Oversiz</t>
  </si>
  <si>
    <t xml:space="preserve">PERFNIQUE</t>
  </si>
  <si>
    <t xml:space="preserve">B0CBV2JW6G</t>
  </si>
  <si>
    <t xml:space="preserve">B09P4228F4</t>
  </si>
  <si>
    <t xml:space="preserve">Perfnique Welcome sign for front porch standing, 47 x 7.9 Inch Wooden Leaner Sig</t>
  </si>
  <si>
    <t xml:space="preserve">MONJITA</t>
  </si>
  <si>
    <t xml:space="preserve">B0BBQDKL36</t>
  </si>
  <si>
    <t xml:space="preserve">B0BBQ84DMS</t>
  </si>
  <si>
    <t xml:space="preserve">Monjita Welcome Sign for Front Porch Standing, Interchangeable Wooden Sign with</t>
  </si>
  <si>
    <t xml:space="preserve">Surfapans</t>
  </si>
  <si>
    <t xml:space="preserve">B0GLG3DN2P</t>
  </si>
  <si>
    <t xml:space="preserve">B0CL5YGW86</t>
  </si>
  <si>
    <t xml:space="preserve">Surfapans Welcome Sign for Front porch Standing 45"X9" Black</t>
  </si>
  <si>
    <t xml:space="preserve">Seimip</t>
  </si>
  <si>
    <t xml:space="preserve">B0DK6WGD3R</t>
  </si>
  <si>
    <t xml:space="preserve">B0D4Q71SDC</t>
  </si>
  <si>
    <t xml:space="preserve">Front Door Welcome Sign</t>
  </si>
  <si>
    <t xml:space="preserve">DOUSUI</t>
  </si>
  <si>
    <t xml:space="preserve">B0FSZBDYV5</t>
  </si>
  <si>
    <t xml:space="preserve">B0FSZ8GX57</t>
  </si>
  <si>
    <t xml:space="preserve">Vertical Wood Welcome Sign for Front Porch Vertical Decorative Sign Front Door O</t>
  </si>
  <si>
    <t xml:space="preserve">TQianJiang</t>
  </si>
  <si>
    <t xml:space="preserve">B0D2XCKW3D</t>
  </si>
  <si>
    <t xml:space="preserve">B0D2X1FT1X</t>
  </si>
  <si>
    <t xml:space="preserve">Interchangeable Welcome Sign for Front Porch Standing 47"X8" Wood</t>
  </si>
  <si>
    <t xml:space="preserve">comurdyo</t>
  </si>
  <si>
    <t xml:space="preserve">B0CLV68M42</t>
  </si>
  <si>
    <t xml:space="preserve">B0CLV2KQ6T</t>
  </si>
  <si>
    <t xml:space="preserve">comurdyo Welcome-ish Sign for Front porch Standing 45"X9" Wood Black</t>
  </si>
  <si>
    <t xml:space="preserve">LianheCy</t>
  </si>
  <si>
    <t xml:space="preserve">B0FSCRCQQR</t>
  </si>
  <si>
    <t xml:space="preserve">B0FSD5K63B</t>
  </si>
  <si>
    <t xml:space="preserve">MODE HOME</t>
  </si>
  <si>
    <t xml:space="preserve">B0BTW5F4LQ</t>
  </si>
  <si>
    <t xml:space="preserve">B0DM8RQ2MV</t>
  </si>
  <si>
    <t xml:space="preserve">MODE HOME Large Vertical Welcome Sign for Front Door Porch, 47x10 Inch Solid Woo</t>
  </si>
  <si>
    <t xml:space="preserve">SRSZHIYUE</t>
  </si>
  <si>
    <t xml:space="preserve">B0HDS72F19</t>
  </si>
  <si>
    <t xml:space="preserve">B0FLPZN8VF</t>
  </si>
  <si>
    <t xml:space="preserve">Yalikop</t>
  </si>
  <si>
    <t xml:space="preserve">B0FCS2QVKW</t>
  </si>
  <si>
    <t xml:space="preserve">B0FCRYV96S</t>
  </si>
  <si>
    <t xml:space="preserve">Yalikop Interchangeable Welcome Sign for Front Porch 47 x 7.9'', Wood Color</t>
  </si>
  <si>
    <t xml:space="preserve">Consevisen</t>
  </si>
  <si>
    <t xml:space="preserve">B0CKVSC1SZ</t>
  </si>
  <si>
    <t xml:space="preserve">B0CKVPXJ8Z</t>
  </si>
  <si>
    <t xml:space="preserve">Consevisen Welcome Sign for Front Door Porch Standing, Interchangeable 47 x 7.9</t>
  </si>
  <si>
    <t xml:space="preserve">flowtorely</t>
  </si>
  <si>
    <t xml:space="preserve">B0GMWJVN14</t>
  </si>
  <si>
    <t xml:space="preserve">B0D5HJM483</t>
  </si>
  <si>
    <t xml:space="preserve">Hentonwell</t>
  </si>
  <si>
    <t xml:space="preserve">B0FHWJW2GJ</t>
  </si>
  <si>
    <t xml:space="preserve">B0FHWKTVFW</t>
  </si>
  <si>
    <t xml:space="preserve">Welcome Porch Sign Decor,Hanging Wooden Door Sign,Rustic Porch Standing Decorati</t>
  </si>
  <si>
    <t xml:space="preserve">homuvdok</t>
  </si>
  <si>
    <t xml:space="preserve">B0G2XD3DW6</t>
  </si>
  <si>
    <t xml:space="preserve">B0FWC4V93F</t>
  </si>
  <si>
    <t xml:space="preserve">RLWangChao</t>
  </si>
  <si>
    <t xml:space="preserve">B0D1VHD6PY</t>
  </si>
  <si>
    <t xml:space="preserve">B0DG2RHFFV</t>
  </si>
  <si>
    <t xml:space="preserve">Dlerom</t>
  </si>
  <si>
    <t xml:space="preserve">B0GPNMM78R</t>
  </si>
  <si>
    <t xml:space="preserve">B0G82967V2</t>
  </si>
  <si>
    <t xml:space="preserve">Spring Summer Welcome for Front Porch Standing, Daisy Wooden Porch Sign for Fron</t>
  </si>
  <si>
    <t xml:space="preserve">BIETYONE</t>
  </si>
  <si>
    <t xml:space="preserve">B0D25V1C84</t>
  </si>
  <si>
    <t xml:space="preserve">B0DGGSVWZQ</t>
  </si>
  <si>
    <t xml:space="preserve">Waterproof Chair Cover</t>
  </si>
  <si>
    <t xml:space="preserve">Fafua</t>
  </si>
  <si>
    <t xml:space="preserve">B0D6R57FVR</t>
  </si>
  <si>
    <t xml:space="preserve">B0CQ7YQJ5H</t>
  </si>
  <si>
    <t xml:space="preserve">Fafua Chair Covers, Stretch Dining Room Chair Covers Set of 6, Removable Washabl</t>
  </si>
  <si>
    <t xml:space="preserve">Genina</t>
  </si>
  <si>
    <t xml:space="preserve">B0B136S1FV</t>
  </si>
  <si>
    <t xml:space="preserve">B0B136JQD1</t>
  </si>
  <si>
    <t xml:space="preserve">Genina Waterproof Dining Chair Covers Set of 4 Parsons Chair Slipcovers</t>
  </si>
  <si>
    <t xml:space="preserve">Artrello</t>
  </si>
  <si>
    <t xml:space="preserve">B0FSDPTLPL</t>
  </si>
  <si>
    <t xml:space="preserve">B08T761T9S</t>
  </si>
  <si>
    <t xml:space="preserve">Chair Covers for Dining Room - Stretch Chair Slipcovers for Decorative Seat Prot</t>
  </si>
  <si>
    <t xml:space="preserve">Easy-Going</t>
  </si>
  <si>
    <t xml:space="preserve">B0D56RHFVV</t>
  </si>
  <si>
    <t xml:space="preserve">B08TT88SXY</t>
  </si>
  <si>
    <t xml:space="preserve">Easy-Going 100% Waterproof Dining Room Chair Covers Set of 6, Large</t>
  </si>
  <si>
    <t xml:space="preserve">B0CD2CC5XV</t>
  </si>
  <si>
    <t xml:space="preserve">B095H7XNTP</t>
  </si>
  <si>
    <t xml:space="preserve">SearchI</t>
  </si>
  <si>
    <t xml:space="preserve">B0DC3S5WV2</t>
  </si>
  <si>
    <t xml:space="preserve">B09FL11K2J</t>
  </si>
  <si>
    <t xml:space="preserve">B0BYZ5J2G2</t>
  </si>
  <si>
    <t xml:space="preserve">B0B12QRW73</t>
  </si>
  <si>
    <t xml:space="preserve">Waterproof Dining Room Chair Covers, Stretch Parsons Chair Slipcovers</t>
  </si>
  <si>
    <t xml:space="preserve">B0HCPK37ZX</t>
  </si>
  <si>
    <t xml:space="preserve">B08Z3KC7KL</t>
  </si>
  <si>
    <t xml:space="preserve">Genina Waterproof Chair Covers for Dining Room Chair Slipcovers Set of 4</t>
  </si>
  <si>
    <t xml:space="preserve">B093Q37D94</t>
  </si>
  <si>
    <t xml:space="preserve">B07TKS5LN7</t>
  </si>
  <si>
    <t xml:space="preserve">H.VERSAILTEX Dining Chair Covers Stretch for Dining Room Set of 4 Parson Chair S</t>
  </si>
  <si>
    <t xml:space="preserve">Sufdari</t>
  </si>
  <si>
    <t xml:space="preserve">B0DHVVZF9Q</t>
  </si>
  <si>
    <t xml:space="preserve">B09GPP8TRT</t>
  </si>
  <si>
    <t xml:space="preserve">Sufdari Dining Chair Covers,Kitchen Cover,Parsons Slipcover,Spandex Protectors f</t>
  </si>
  <si>
    <t xml:space="preserve">YUEANG</t>
  </si>
  <si>
    <t xml:space="preserve">B0CJTP9JFK</t>
  </si>
  <si>
    <t xml:space="preserve">B0BYCSLWR6</t>
  </si>
  <si>
    <t xml:space="preserve">YUEANG Dining Chair Covers Set of 6, Stretch Parsons Chair Slipcovers</t>
  </si>
  <si>
    <t xml:space="preserve">Howhic</t>
  </si>
  <si>
    <t xml:space="preserve">B09645XQZT</t>
  </si>
  <si>
    <t xml:space="preserve">B08GCF617Q</t>
  </si>
  <si>
    <t xml:space="preserve">Lalluxy</t>
  </si>
  <si>
    <t xml:space="preserve">B0C53PPZMS</t>
  </si>
  <si>
    <t xml:space="preserve">B08FSDPZZP</t>
  </si>
  <si>
    <t xml:space="preserve">Lalluxy Stretchy Washable Parson Dining Chair Covers/Slipcovers Set of 4</t>
  </si>
  <si>
    <t xml:space="preserve">NZ</t>
  </si>
  <si>
    <t xml:space="preserve">B09GY7YG2P</t>
  </si>
  <si>
    <t xml:space="preserve">B081GQBPRT</t>
  </si>
  <si>
    <t xml:space="preserve">Smiry</t>
  </si>
  <si>
    <t xml:space="preserve">B0D4ZNRN1P</t>
  </si>
  <si>
    <t xml:space="preserve">B077XWCV6D</t>
  </si>
  <si>
    <t xml:space="preserve">Smiry Velvet Dining Chair Covers, Parsons Chair Slipcovers Set of 4</t>
  </si>
  <si>
    <t xml:space="preserve">SPRINGRICO</t>
  </si>
  <si>
    <t xml:space="preserve">B08K7PDZ1F</t>
  </si>
  <si>
    <t xml:space="preserve">B08K7LPC9L</t>
  </si>
  <si>
    <t xml:space="preserve">NORTHERN BROTHERS</t>
  </si>
  <si>
    <t xml:space="preserve">B0DFY9MKGZ</t>
  </si>
  <si>
    <t xml:space="preserve">B0D59BMBK7</t>
  </si>
  <si>
    <t xml:space="preserve">Fafua Stretch Dining Room Chair Covers Set of 6, Removable Washable Chair Covers</t>
  </si>
  <si>
    <t xml:space="preserve">B0BNHBKDGJ</t>
  </si>
  <si>
    <t xml:space="preserve">B0BNHCYG6Z</t>
  </si>
  <si>
    <t xml:space="preserve">B0BLMYTK9C</t>
  </si>
  <si>
    <t xml:space="preserve">B0BLN1DSXW</t>
  </si>
  <si>
    <t xml:space="preserve">YEMYHOM</t>
  </si>
  <si>
    <t xml:space="preserve">B0DM8Y65RT</t>
  </si>
  <si>
    <t xml:space="preserve">B0895VM7KG</t>
  </si>
  <si>
    <t xml:space="preserve">FORCHEER</t>
  </si>
  <si>
    <t xml:space="preserve">B07YDFJ5K2</t>
  </si>
  <si>
    <t xml:space="preserve">B0DD37H251</t>
  </si>
  <si>
    <t xml:space="preserve">Secgo</t>
  </si>
  <si>
    <t xml:space="preserve">B0DNTT71SM</t>
  </si>
  <si>
    <t xml:space="preserve">B0CYSX48KJ</t>
  </si>
  <si>
    <t xml:space="preserve">Mkt</t>
  </si>
  <si>
    <t xml:space="preserve">BFCM wk ad spend ($)</t>
  </si>
  <si>
    <t xml:space="preserve">BFCM wk ad sales ($)</t>
  </si>
  <si>
    <t xml:space="preserve">BFCM wk ACoS</t>
  </si>
  <si>
    <t xml:space="preserve">BFCM wk TACoS</t>
  </si>
  <si>
    <t xml:space="preserve">BFCM wk total sales ($, derived)</t>
  </si>
  <si>
    <t xml:space="preserve">BFCM wk ad orders</t>
  </si>
  <si>
    <t xml:space="preserve">BFCM wk CVR</t>
  </si>
  <si>
    <t xml:space="preserve">Pre-30d ad spend ($)</t>
  </si>
  <si>
    <t xml:space="preserve">Pre-30d TACoS</t>
  </si>
  <si>
    <t xml:space="preserve">Pre-30d total sales ($, derived)</t>
  </si>
  <si>
    <t xml:space="preserve">Dec TACoS</t>
  </si>
  <si>
    <t xml:space="preserve">Dec 2-31 total sales ($, derived)</t>
  </si>
  <si>
    <t xml:space="preserve">BFCM wk total sales / day</t>
  </si>
  <si>
    <t xml:space="preserve">Pre-30d total sales / day</t>
  </si>
  <si>
    <t xml:space="preserve">BFCM lift (x) vs pre-30d</t>
  </si>
  <si>
    <t xml:space="preserve">Dec total sales / day</t>
  </si>
  <si>
    <t xml:space="preserve">Dec vs pre-30d (x)</t>
  </si>
  <si>
    <t xml:space="preserve">BFCM wk ad sales vs prior 12d (x)</t>
  </si>
  <si>
    <t xml:space="preserve">Deals / events logged by the Command Center (Oct 15 - Dec 15, 2025)</t>
  </si>
  <si>
    <t xml:space="preserve">CA</t>
  </si>
  <si>
    <t xml:space="preserve">Source: Command Center PPC summary (ppc-daily-product-day). Total sales are derived as ad spend / TACoS. Sales carry 7-day attribution. Windows: BFCM wk Nov 20-Dec 1, 2025; pre-30d Oct 21-Nov 19, 2025; Dec 2-31, 2025.</t>
  </si>
  <si>
    <t xml:space="preserve">Product</t>
  </si>
  <si>
    <t xml:space="preserve">Date</t>
  </si>
  <si>
    <t xml:space="preserve">Ad spend ($)</t>
  </si>
  <si>
    <t xml:space="preserve">Ad sales ($)</t>
  </si>
  <si>
    <t xml:space="preserve">Ad orders</t>
  </si>
  <si>
    <t xml:space="preserve">Units</t>
  </si>
  <si>
    <t xml:space="preserve">Window</t>
  </si>
  <si>
    <t xml:space="preserve">Pre-30d</t>
  </si>
  <si>
    <t xml:space="preserve">BFCM wk</t>
  </si>
  <si>
    <t xml:space="preserve">ASIN</t>
  </si>
  <si>
    <t xml:space="preserve">Ours / competitor</t>
  </si>
  <si>
    <t xml:space="preserve">Mapped to (our product)</t>
  </si>
  <si>
    <t xml:space="preserve">History from</t>
  </si>
  <si>
    <t xml:space="preserve">History to</t>
  </si>
  <si>
    <t xml:space="preserve">Org Oct21-Nov19 2025</t>
  </si>
  <si>
    <t xml:space="preserve">Org BFCM wk 2025</t>
  </si>
  <si>
    <t xml:space="preserve">BFCM 2025 org lift</t>
  </si>
  <si>
    <t xml:space="preserve">Ad Oct21-Nov19 2025</t>
  </si>
  <si>
    <t xml:space="preserve">Ad BFCM wk 2025</t>
  </si>
  <si>
    <t xml:space="preserve">BFCM 2025 ad lift</t>
  </si>
  <si>
    <t xml:space="preserve">Org Jun 1-20 2026</t>
  </si>
  <si>
    <t xml:space="preserve">Org PD Jun 23-26</t>
  </si>
  <si>
    <t xml:space="preserve">PD org lift</t>
  </si>
  <si>
    <t xml:space="preserve">Ad Jun 1-20 2026</t>
  </si>
  <si>
    <t xml:space="preserve">Ad PD</t>
  </si>
  <si>
    <t xml:space="preserve">Org Q2</t>
  </si>
  <si>
    <t xml:space="preserve">Org Aug18-Sep16</t>
  </si>
  <si>
    <t xml:space="preserve">Org trend</t>
  </si>
  <si>
    <t xml:space="preserve">B0839MKJMV</t>
  </si>
  <si>
    <t xml:space="preserve">OURS</t>
  </si>
  <si>
    <t xml:space="preserve">Decolure</t>
  </si>
  <si>
    <t xml:space="preserve">2026-10-10</t>
  </si>
  <si>
    <t xml:space="preserve">B08KQHRDDG</t>
  </si>
  <si>
    <t xml:space="preserve">B0C7FXXS6R</t>
  </si>
  <si>
    <t xml:space="preserve">B0C9LS5H2T</t>
  </si>
  <si>
    <t xml:space="preserve">B0CQ2XQF9N</t>
  </si>
  <si>
    <t xml:space="preserve">2026-03-31</t>
  </si>
  <si>
    <t xml:space="preserve">B0DBR5SY67</t>
  </si>
  <si>
    <t xml:space="preserve">B0DBW1PNJ8</t>
  </si>
  <si>
    <t xml:space="preserve">B0DDRH9RD7</t>
  </si>
  <si>
    <t xml:space="preserve">Sleephoria</t>
  </si>
  <si>
    <t xml:space="preserve">B0DDTYDHVB</t>
  </si>
  <si>
    <t xml:space="preserve">B0F7M3YQ5R</t>
  </si>
  <si>
    <t xml:space="preserve">B0F7M4Q2HQ</t>
  </si>
  <si>
    <t xml:space="preserve">B0H5WWMPNN</t>
  </si>
  <si>
    <t xml:space="preserve">CooLinens</t>
  </si>
  <si>
    <t xml:space="preserve">2026-04-10</t>
  </si>
  <si>
    <t xml:space="preserve">2026-10-06</t>
  </si>
  <si>
    <t xml:space="preserve">competitor</t>
  </si>
  <si>
    <t xml:space="preserve">2026-09-27</t>
  </si>
  <si>
    <t xml:space="preserve">Sleephoria Silk Sleep Mask - Contoured; Sleephoria Silk Sleep Mask - Velcro</t>
  </si>
  <si>
    <t xml:space="preserve">2026-09-16</t>
  </si>
  <si>
    <t xml:space="preserve">Decolure Bamboo Sheets 4 Piece; Decolure Bamboo Sheets 6 Piece; Decolure Cooling Sheets 4 Piece; Sleephoria Bamboo Sheet</t>
  </si>
  <si>
    <t xml:space="preserve">Decolure Bamboo Fitted Sheet; Decolure Bamboo Sheets 4 Piece; Decolure Bamboo Sheets 6 Piece; Decolure Cooling Sheets 4 </t>
  </si>
  <si>
    <t xml:space="preserve">Decolure Satin Sheets 4 Piece; Decolure Satin Sheets 6 Piece; Sleephoria Satin Sheets 4 Piece; Sleephoria Satin Sheets 6</t>
  </si>
  <si>
    <t xml:space="preserve">2026-09-28</t>
  </si>
  <si>
    <t xml:space="preserve">CooLinens Cooling Pillowcases 2 Piece; Sleephoria Cooling Pillowcases</t>
  </si>
  <si>
    <t xml:space="preserve">Decolure Satin Fitted Sheet; Decolure Satin Sheets 4 Piece; Decolure Satin Sheets 6 Piece; Sleephoria Satin Sheets 4 Pie</t>
  </si>
  <si>
    <t xml:space="preserve">Decolure Bamboo Sheets 4 Piece; Decolure Bamboo Sheets 6 Piece</t>
  </si>
  <si>
    <t xml:space="preserve">Decolure Bamboo Sheets 4 Piece; Decolure Bamboo Sheets 6 Piece; Decolure Cooling Sheets 4 Piece</t>
  </si>
  <si>
    <t xml:space="preserve">Sleephoria Bamboo Pillowcases; Sleephoria Cooling Pillowcases</t>
  </si>
  <si>
    <t xml:space="preserve">Decolure Bamboo Sheets 4 Piece; Decolure Bamboo Sheets 6 Piece; Sleephoria Bamboo Sheets 4 Piece; Sleephoria Bamboo Shee</t>
  </si>
  <si>
    <t xml:space="preserve">2026-09-29</t>
  </si>
  <si>
    <t xml:space="preserve">Decolure Satin Fitted Sheet; Sleephoria Satin Sheets 4 Piece; Sleephoria Satin Sheets 6pcs</t>
  </si>
  <si>
    <t xml:space="preserve">Decolure Bamboo Fitted Sheet; Decolure Bamboo Sheets 4 Piece; Decolure Bamboo Sheets 6 Piece; Sleephoria Bamboo Sheets 4</t>
  </si>
  <si>
    <t xml:space="preserve">Decolure Bamboo Fitted Sheet; Sleephoria Cooling Fitted Sheet</t>
  </si>
  <si>
    <t xml:space="preserve">Decolure Cooling Sheets 4 Piece; Sleephoria Cooling Sheets 4 Piece; Sleephoria Cooling Sheets 6 Piece</t>
  </si>
  <si>
    <t xml:space="preserve">Decolure Satin Sheets 4 Piece; Decolure Satin Sheets 6 Piece; Sleephoria Satin Sheets 4 Piece</t>
  </si>
  <si>
    <t xml:space="preserve">Decolure Bamboo Sheets 4 Piece; Decolure Bamboo Sheets 6 Piece; Sleephoria Cooling Sheets 4 Piece</t>
  </si>
  <si>
    <t xml:space="preserve">CooLinens Cooling Sheets 4 Piece; Decolure Cooling Sheets 4 Piece; Sleephoria Cooling Sheets 4 Piece; Sleephoria Cooling</t>
  </si>
  <si>
    <t xml:space="preserve">Decolure Cooling Sheets 4 Piece; Sleephoria Cooling Sheets 4 Piece</t>
  </si>
  <si>
    <t xml:space="preserve">Decolure Bamboo Sheets 4 Piece; Decolure Bamboo Sheets 6 Piece; Decolure Cooling Sheets 4 Piece; Sleephoria Cooling Shee</t>
  </si>
  <si>
    <t xml:space="preserve">CooLinens Cooling Sheets 4 Piece; Decolure Cooling Sheets 4 Piece; Sleephoria Cooling Sheets 4 Piece</t>
  </si>
  <si>
    <t xml:space="preserve">Source: Command Center traffic_position_trends (ASINsight daily placement scores; feed retired Sep 16, 2026). Scores, not traffic. Competitor history starts Jan-Apr 2026, so BFCM 2025 columns are filled for our ASINs only.</t>
  </si>
  <si>
    <t xml:space="preserve">Planned 2026 deal type (fill)</t>
  </si>
  <si>
    <t xml:space="preserve">2026 deal dates (fill)</t>
  </si>
  <si>
    <t xml:space="preserve">2026 deal discount % (fill)</t>
  </si>
  <si>
    <t xml:space="preserve">2026 hero deal price $ (fill)</t>
  </si>
  <si>
    <t xml:space="preserve">Base units / day (28d)</t>
  </si>
  <si>
    <t xml:space="preserve">Our BFCM 2025 lift (x)</t>
  </si>
  <si>
    <t xml:space="preserve">Our PD26 organic vis lift</t>
  </si>
  <si>
    <t xml:space="preserve">Comp median PD26 organic vis lift</t>
  </si>
  <si>
    <t xml:space="preserve">Comp avg BFCM25 BSR lift (Keepa)</t>
  </si>
  <si>
    <t xml:space="preserve">Comp avg BFCM25 discount (Keepa)</t>
  </si>
  <si>
    <t xml:space="preserve">Our BFCM25 BSR lift (Keepa, fill)</t>
  </si>
  <si>
    <t xml:space="preserve">Comp BSR lift / ours</t>
  </si>
  <si>
    <t xml:space="preserve">Were we OOS / restricted in BFCM 2025? (fill)</t>
  </si>
  <si>
    <t xml:space="preserve">Notes for Joseph's forecast</t>
  </si>
  <si>
    <t xml:space="preserve">How to read it: 'Comp BSR lift / ours' &gt; 1 means competitors gained more rank in BFCM 2025 than we did - our own 2025 lift understates what the product can do (e.g. we were OOS or had no deal). Joseph applies it to the forecast; this tab only assembles the inputs.</t>
  </si>
  <si>
    <t xml:space="preserve">Yellow = fill. Planned 2026 deal type / dates / price come from Umair's deal coverage list and Joseph's D1 board. The hero deal price drives the 'Below our 2026 deal price?' flag on the Competitors tab.</t>
  </si>
  <si>
    <t xml:space="preserve">What to pull from Keepa (send this tab or keepa_request.csv to the retrieval agent)</t>
  </si>
  <si>
    <t xml:space="preserve">FILE 1 - Product Viewer export (one CSV, all ASINs below, domain Amazon.com): Keepa &gt; Data &gt; Product Viewer &gt; paste the ASIN list &gt; Export (CSV, all columns). Needed columns: ASIN, Title, Brand, Parent ASIN, Variation count / Variation ASINs, Buy Box: Current, Buy Box: 90 days avg, Buy Box: Lowest (90 days), List Price: Current, Sales Rank: Current, Sales Rank: 30/90 days avg, Bought in past month, Lightning Deals: Current, Coupon (one-time / S&amp;S), Reviews: Rating / Review Count, Buy Box Seller, Count of offers.</t>
  </si>
  <si>
    <t xml:space="preserve">FILE 2 - Price + rank history, one CSV per ASIN (or one long CSV with an ASIN column), daily rows Sep 1, 2025 - Jan 5, 2026 AND Jun 1 - Jul 5, 2026 AND Sep 1 - Oct 13, 2026. Columns: date, buy_box_price, new_price, amazon_price, list_price, lightning_deal_price, coupon (amount or %), sales_rank (main category), sales_rank_subcategory, out_of_stock (Y/N). From the Keepa graph: 'Export' / Download data, or Keepa API product?history=1&amp;days=420&amp;offers=20&amp;rating=1&amp;buybox=1&amp;stats=420.</t>
  </si>
  <si>
    <t xml:space="preserve">FILE 3 (optional, only if quick) - Keepa Deals history for Nov 20 - Dec 1, 2025 for the same ASINs (deal type and deal price as Keepa logged them).</t>
  </si>
  <si>
    <t xml:space="preserve">Format: CSV, comma separated, dates as YYYY-MM-DD, prices in USD as numbers (no $). Name files keepa_viewer.csv and keepa_history_&lt;ASIN&gt;.csv (or keepa_history_all.csv). I ingest them straight into the yellow columns.</t>
  </si>
  <si>
    <t xml:space="preserve">Priority: P1 = Aspirational/Beatable competitors on hero and core products + our own child ASINs (needed for the Thu Oct 15 v1). P2 = the rest of the mapped set. Canada: same pull on Amazon.ca for our CA ASINs once the CA competitor set is mapped (see Data Gaps).</t>
  </si>
  <si>
    <t xml:space="preserve">Priority</t>
  </si>
  <si>
    <t xml:space="preserve">ASIN (pull this)</t>
  </si>
  <si>
    <t xml:space="preserve">Tier</t>
  </si>
  <si>
    <t xml:space="preserve">Our product(s)</t>
  </si>
  <si>
    <t xml:space="preserve">P1</t>
  </si>
  <si>
    <t xml:space="preserve">B0FX2RGLBW</t>
  </si>
  <si>
    <t xml:space="preserve">B0DDTY5RQX</t>
  </si>
  <si>
    <t xml:space="preserve">B0F7LZQNHM</t>
  </si>
  <si>
    <t xml:space="preserve">B0F7LJS3N2</t>
  </si>
  <si>
    <t xml:space="preserve">B0CY63VCW1</t>
  </si>
  <si>
    <t xml:space="preserve">B0F63C8HL2</t>
  </si>
  <si>
    <t xml:space="preserve">B0DQ84FD76</t>
  </si>
  <si>
    <t xml:space="preserve">B0DQ92K585</t>
  </si>
  <si>
    <t xml:space="preserve">B0FGZDR11L</t>
  </si>
  <si>
    <t xml:space="preserve">B0F4XRFWGR</t>
  </si>
  <si>
    <t xml:space="preserve">Decolure Bamboo Fitted Sheet; Decolure Bamboo Sheets 4 Piece; Decolure Bamboo Sheets 6 Piece; Decolure Cooling Sheets 4 Piece; Sleephoria Bamboo Sheets 4 Piece; Sleephoria Bamboo Sheets 6 Piece</t>
  </si>
  <si>
    <t xml:space="preserve">Decolure Bamboo Sheets 4 Piece; Decolure Bamboo Sheets 6 Piece; Decolure Cooling Sheets 4 Piece; Sleephoria Bamboo Sheets 6 Piece</t>
  </si>
  <si>
    <t xml:space="preserve">Decolure Bamboo Fitted Sheet; Decolure Bamboo Sheets 4 Piece; Decolure Bamboo Sheets 6 Piece; Decolure Cooling Sheets 4 Piece; Sleephoria Bamboo Sheets 4 Piece; Sleephoria Bamboo Sheets 6 Piece; Sleephoria Cooling Sheets 4 Piece</t>
  </si>
  <si>
    <t xml:space="preserve">Decolure Bamboo Fitted Sheet; Decolure Bamboo Sheets 4 Piece; Decolure Bamboo Sheets 6 Piece; Decolure Cooling Sheets 4 Piece; Sleephoria Cooling Fitted Sheet; Sleephoria Cooling Sheets 4 Piece; Sleephoria Cooling Sheets 6 Piece</t>
  </si>
  <si>
    <t xml:space="preserve">Decolure Bamboo Fitted Sheet; Decolure Bamboo Sheets 4 Piece; Decolure Bamboo Sheets 6 Piece; Decolure Cooling Sheets 4 Piece; Sleephoria Bamboo Sheets 4 Piece; Sleephoria Bamboo Sheets 6 Piece; Sleephoria Cooling Fitted Sheet</t>
  </si>
  <si>
    <t xml:space="preserve">Decolure Bamboo Sheets 4 Piece; Decolure Bamboo Sheets 6 Piece; Decolure Cooling Sheets 4 Piece; Sleephoria Bamboo Sheets 4 Piece; Sleephoria Bamboo Sheets 6 Piece; Sleephoria Cooling Sheets 4 Piece</t>
  </si>
  <si>
    <t xml:space="preserve">Decolure Bamboo Sheets 4 Piece; Decolure Bamboo Sheets 6 Piece; Decolure Cooling Sheets 4 Piece; Sleephoria Cooling Sheets 4 Piece</t>
  </si>
  <si>
    <t xml:space="preserve">Decolure Bamboo Sheets 4 Piece; Decolure Bamboo Sheets 6 Piece; Sleephoria Bamboo Sheets 4 Piece; Sleephoria Bamboo Sheets 6 Piece; Sleephoria Cooling Sheets 4 Piece</t>
  </si>
  <si>
    <t xml:space="preserve">Decolure Bamboo Sheets 4 Piece; Sleephoria Cooling Sheets 4 Piece</t>
  </si>
  <si>
    <t xml:space="preserve">Decolure Bamboo Fitted Sheet; Decolure Bamboo Sheets 4 Piece; Decolure Bamboo Sheets 6 Piece; Decolure Cooling Sheets 4 Piece; Sleephoria Bamboo Sheets 4 Piece; Sleephoria Bamboo Sheets 6 Piece; Sleephoria Cooling Fitted Sheet; Sleephoria Cooling Sheets 4 Piece</t>
  </si>
  <si>
    <t xml:space="preserve">CooLinens Cooling Sheets 4 Piece; Decolure Cooling Sheets 4 Piece; Sleephoria Cooling Sheets 4 Piece; Sleephoria Cooling Sheets 6 Piece</t>
  </si>
  <si>
    <t xml:space="preserve">CooLinens Cooling Sheets 4 Piece; Decolure Cooling Sheets 4 Piece; Sleephoria Cooling Fitted Sheet; Sleephoria Cooling Sheets 4 Piece; Sleephoria Cooling Sheets 6 Piece</t>
  </si>
  <si>
    <t xml:space="preserve">CooLinens Cooling Sheets 4 Piece; Sleephoria Cooling Sheets 4 Piece</t>
  </si>
  <si>
    <t xml:space="preserve">Decolure Satin Fitted Sheet; Decolure Satin Sheets 4 Piece; Decolure Satin Sheets 6 Piece; Sleephoria Satin Sheets 4 Piece; Sleephoria Satin Sheets 6pcs</t>
  </si>
  <si>
    <t xml:space="preserve">Decolure Satin Sheets 4 Piece; Decolure Satin Sheets 6 Piece; Sleephoria Satin Sheets 4 Piece; Sleephoria Satin Sheets 6pcs</t>
  </si>
  <si>
    <t xml:space="preserve">P2</t>
  </si>
  <si>
    <t xml:space="preserve">Decolure Bamboo Sheets 4 Piece; Decolure Bamboo Sheets 6 Piece; Sleephoria Bamboo Sheets 4 Piece; Sleephoria Bamboo Sheets 6 Piece</t>
  </si>
  <si>
    <t xml:space="preserve">Decolure Bamboo Fitted Sheet; Decolure Bamboo Sheets 4 Piece; Decolure Bamboo Sheets 6 Piece; Sleephoria Bamboo Sheets 4 Piece; Sleephoria Bamboo Sheets 6 Piece; Sleephoria Cooling Sheets 4 Piece</t>
  </si>
  <si>
    <t xml:space="preserve">Decolure Bamboo Sheets 4 Piece; Decolure Bamboo Sheets 6 Piece; Decolure Cooling Sheets 4 Piece; Sleephoria Bamboo Sheets 4 Piece; Sleephoria Bamboo Sheets 6 Piece</t>
  </si>
  <si>
    <t xml:space="preserve">Gap</t>
  </si>
  <si>
    <t xml:space="preserve">Why it matters</t>
  </si>
  <si>
    <t xml:space="preserve">Where it can come from</t>
  </si>
  <si>
    <t xml:space="preserve">What exactly to request</t>
  </si>
  <si>
    <t xml:space="preserve">Owner</t>
  </si>
  <si>
    <t xml:space="preserve">Competitors' BFCM 2025 deal type, dates, prices, discount</t>
  </si>
  <si>
    <t xml:space="preserve">Core of the lift forecast and the deal-depth benchmark</t>
  </si>
  <si>
    <t xml:space="preserve">Keepa (not in Command Center)</t>
  </si>
  <si>
    <t xml:space="preserve">Keepa Request tab, File 2 (+ File 3) for the P1 ASINs</t>
  </si>
  <si>
    <t xml:space="preserve">Shayan Rana / retrieval agent</t>
  </si>
  <si>
    <t xml:space="preserve">Competitors' BSR before / during / after BFCM 2025</t>
  </si>
  <si>
    <t xml:space="preserve">BSR lift per competitor = the multiple Erik asked to tune our forecast against</t>
  </si>
  <si>
    <t xml:space="preserve">Keepa sales-rank history</t>
  </si>
  <si>
    <t xml:space="preserve">Keepa File 2, sales_rank column, Sep 1 2025 - Jan 5 2026</t>
  </si>
  <si>
    <t xml:space="preserve">Is the strikethrough actually SHOWING now, and its label</t>
  </si>
  <si>
    <t xml:space="preserve">Command Center holds the List Price, not whether Amazon displays it</t>
  </si>
  <si>
    <t xml:space="preserve">Amazon page check, or Joseph's Command Center STR Panel (Data Hub &gt; Competitors &gt; STR Panel, 300 competitor ASINs daily)</t>
  </si>
  <si>
    <t xml:space="preserve">Ask Joseph for an export of the STR Panel for these ASINs; else check P1 ASINs on the page</t>
  </si>
  <si>
    <t xml:space="preserve">Shayan Rana / Joseph</t>
  </si>
  <si>
    <t xml:space="preserve">Did the competitor sell at its List Price recently</t>
  </si>
  <si>
    <t xml:space="preserve">Joseph's study: STR shows when List Price &lt;=12% over AND sold at it</t>
  </si>
  <si>
    <t xml:space="preserve">Keepa price history (List Price vs Buy Box over 90 days)</t>
  </si>
  <si>
    <t xml:space="preserve">Keepa File 2, Sep 1 - Oct 13 2026 window</t>
  </si>
  <si>
    <t xml:space="preserve">Shayan Rana</t>
  </si>
  <si>
    <t xml:space="preserve">Competitor history for BFCM 2025 in Command Center</t>
  </si>
  <si>
    <t xml:space="preserve">Command Center competitor placement history starts Jan-Apr 2026 (feed retired Sep 16, 2026)</t>
  </si>
  <si>
    <t xml:space="preserve">Not recoverable from Command Center</t>
  </si>
  <si>
    <t xml:space="preserve">Covered by Keepa instead; Prime Day 2026 visibility is used as the event proxy</t>
  </si>
  <si>
    <t xml:space="preserve">-</t>
  </si>
  <si>
    <t xml:space="preserve">Canada competitor set</t>
  </si>
  <si>
    <t xml:space="preserve">CA files hold no competitor snapshots ('no snapshot in CA'), so CA has no competitor prices</t>
  </si>
  <si>
    <t xml:space="preserve">Command Center mapping for CA, or Keepa on Amazon.ca</t>
  </si>
  <si>
    <t xml:space="preserve">Ask Joseph to map CA rivals for B4, B6, S4, S6, SF, SSS4; then Keepa .ca pull</t>
  </si>
  <si>
    <t xml:space="preserve">Joseph / Shayan Rana</t>
  </si>
  <si>
    <t xml:space="preserve">Variation count + launch date for competitors missing from Data Dive</t>
  </si>
  <si>
    <t xml:space="preserve">Variation breadth and listing age shape how much a deal lifts the family</t>
  </si>
  <si>
    <t xml:space="preserve">Keepa Product Viewer (variation count, listed since)</t>
  </si>
  <si>
    <t xml:space="preserve">Keepa File 1 for rows with blank 'Variations (DD)'</t>
  </si>
  <si>
    <t xml:space="preserve">Retrieval agent</t>
  </si>
  <si>
    <t xml:space="preserve">Last year's deal prices and dates for OUR products</t>
  </si>
  <si>
    <t xml:space="preserve">Needed to read our own 2025 lift fairly (deal vs no deal, depth)</t>
  </si>
  <si>
    <t xml:space="preserve">Seller Central Promotions history / Umair; Keepa on our ASINs</t>
  </si>
  <si>
    <t xml:space="preserve">Umair: BFCM 2025 deal list per parent (type, dates, deal price); Keepa File 2 on our ASINs</t>
  </si>
  <si>
    <t xml:space="preserve">Umair / Shayan Rana</t>
  </si>
  <si>
    <t xml:space="preserve">Our stock position during BFCM 2025</t>
  </si>
  <si>
    <t xml:space="preserve">OOS variations suppress the lift we saw - Erik asked to adjust for it</t>
  </si>
  <si>
    <t xml:space="preserve">Inventory history (Haroon / David), Keepa OOS flags on our ASINs</t>
  </si>
  <si>
    <t xml:space="preserve">Days OOS per hero variation Nov 15 - Dec 5, 2025</t>
  </si>
  <si>
    <t xml:space="preserve">Haroon / David</t>
  </si>
  <si>
    <t xml:space="preserve">Planned 2026 deal type, dates, price per product</t>
  </si>
  <si>
    <t xml:space="preserve">Drives the undercut flag and the forecast scenario</t>
  </si>
  <si>
    <t xml:space="preserve">Umair's deal coverage list (due Oct 13) and Joseph's D1 board</t>
  </si>
  <si>
    <t xml:space="preserve">Fill the yellow cells on Lift Inputs</t>
  </si>
  <si>
    <t xml:space="preserve">ASINsight traffic for unmeasured competitors</t>
  </si>
  <si>
    <t xml:space="preserve">Many rivals carry no ASINsight export (traffic blank)</t>
  </si>
  <si>
    <t xml:space="preserve">ASINsight / Data Rova export per competitor</t>
  </si>
  <si>
    <t xml:space="preserve">Export for P1 competitors with blank 'ASINsight 7d traffic'</t>
  </si>
  <si>
    <t xml:space="preserve">Check date</t>
  </si>
  <si>
    <t xml:space="preserve">Time (ET)</t>
  </si>
  <si>
    <t xml:space="preserve">Competitor brand</t>
  </si>
  <si>
    <t xml:space="preserve">Price ($)</t>
  </si>
  <si>
    <t xml:space="preserve">List Price ($)</t>
  </si>
  <si>
    <t xml:space="preserve">STR showing (Y/N)</t>
  </si>
  <si>
    <t xml:space="preserve">Deal live (type)</t>
  </si>
  <si>
    <t xml:space="preserve">Deal price ($)</t>
  </si>
  <si>
    <t xml:space="preserve">Coupon (%)</t>
  </si>
  <si>
    <t xml:space="preserve">BSR</t>
  </si>
  <si>
    <t xml:space="preserve">Our deal price ($)</t>
  </si>
  <si>
    <t xml:space="preserve">Below our deal price?</t>
  </si>
  <si>
    <t xml:space="preserve">Posted in #bfcm-2026? (Y/N)</t>
  </si>
  <si>
    <t xml:space="preserve">10:00</t>
  </si>
  <si>
    <t xml:space="preserve">EXAMPLE - Pure Bamboo</t>
  </si>
  <si>
    <t xml:space="preserve">Y</t>
  </si>
  <si>
    <t xml:space="preserve">Best Deal</t>
  </si>
  <si>
    <t xml:space="preserve">Example row - overwrite</t>
  </si>
</sst>
</file>

<file path=xl/styles.xml><?xml version="1.0" encoding="utf-8"?>
<styleSheet xmlns="http://schemas.openxmlformats.org/spreadsheetml/2006/main">
  <numFmts count="13">
    <numFmt numFmtId="164" formatCode="General"/>
    <numFmt numFmtId="165" formatCode="\$#,##0.00"/>
    <numFmt numFmtId="166" formatCode="0.0%"/>
    <numFmt numFmtId="167" formatCode="#,##0"/>
    <numFmt numFmtId="168" formatCode="General"/>
    <numFmt numFmtId="169" formatCode="\+0%;\-0%;0%"/>
    <numFmt numFmtId="170" formatCode="0.00\x"/>
    <numFmt numFmtId="171" formatCode="0.0\x"/>
    <numFmt numFmtId="172" formatCode="\$#,##0"/>
    <numFmt numFmtId="173" formatCode="mmm\ d"/>
    <numFmt numFmtId="174" formatCode="yyyy\-mm\-dd"/>
    <numFmt numFmtId="175" formatCode="0.0"/>
    <numFmt numFmtId="176" formatCode="0%"/>
  </numFmts>
  <fonts count="17">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9"/>
      <name val="Arial"/>
      <family val="0"/>
      <charset val="1"/>
    </font>
    <font>
      <b val="true"/>
      <sz val="11"/>
      <name val="Arial"/>
      <family val="0"/>
      <charset val="1"/>
    </font>
    <font>
      <sz val="10"/>
      <name val="Arial"/>
      <family val="0"/>
      <charset val="1"/>
    </font>
    <font>
      <b val="true"/>
      <sz val="9"/>
      <color rgb="FFFFFFFF"/>
      <name val="Arial"/>
      <family val="0"/>
      <charset val="1"/>
    </font>
    <font>
      <sz val="9"/>
      <name val="Arial"/>
      <family val="0"/>
      <charset val="1"/>
    </font>
    <font>
      <b val="true"/>
      <sz val="9"/>
      <name val="Arial"/>
      <family val="0"/>
      <charset val="1"/>
    </font>
    <font>
      <b val="true"/>
      <sz val="9"/>
      <color rgb="FF1F3864"/>
      <name val="Arial"/>
      <family val="0"/>
      <charset val="1"/>
    </font>
    <font>
      <sz val="10"/>
      <name val="Arial"/>
      <family val="2"/>
    </font>
    <font>
      <sz val="9"/>
      <color rgb="FF0000FF"/>
      <name val="Arial"/>
      <family val="0"/>
      <charset val="1"/>
    </font>
    <font>
      <b val="true"/>
      <sz val="12"/>
      <name val="Arial"/>
      <family val="0"/>
      <charset val="1"/>
    </font>
    <font>
      <sz val="9"/>
      <color rgb="FF000000"/>
      <name val="Arial"/>
      <family val="0"/>
      <charset val="1"/>
    </font>
    <font>
      <i val="true"/>
      <sz val="9"/>
      <color rgb="FF0000FF"/>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D9E1F2"/>
        <bgColor rgb="FFDDEBF7"/>
      </patternFill>
    </fill>
    <fill>
      <patternFill patternType="solid">
        <fgColor rgb="FFFFF8E1"/>
        <bgColor rgb="FFFFF2CC"/>
      </patternFill>
    </fill>
    <fill>
      <patternFill patternType="solid">
        <fgColor rgb="FFEDEDED"/>
        <bgColor rgb="FFEDE7F6"/>
      </patternFill>
    </fill>
    <fill>
      <patternFill patternType="solid">
        <fgColor rgb="FFEDE7F6"/>
        <bgColor rgb="FFEDEDED"/>
      </patternFill>
    </fill>
    <fill>
      <patternFill patternType="solid">
        <fgColor rgb="FFE2EFDA"/>
        <bgColor rgb="FFEDEDED"/>
      </patternFill>
    </fill>
    <fill>
      <patternFill patternType="solid">
        <fgColor rgb="FFDDEBF7"/>
        <bgColor rgb="FFD9E1F2"/>
      </patternFill>
    </fill>
    <fill>
      <patternFill patternType="solid">
        <fgColor rgb="FFFFF2CC"/>
        <bgColor rgb="FFFFF8E1"/>
      </patternFill>
    </fill>
    <fill>
      <patternFill patternType="solid">
        <fgColor rgb="FFFCE4D6"/>
        <bgColor rgb="FFFFF2CC"/>
      </patternFill>
    </fill>
    <fill>
      <patternFill patternType="solid">
        <fgColor rgb="FFFFFF99"/>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center" vertical="center" textRotation="0" wrapText="false" indent="0" shrinkToFit="false"/>
      <protection locked="true" hidden="false"/>
    </xf>
    <xf numFmtId="164" fontId="11" fillId="6" borderId="0" xfId="0" applyFont="true" applyBorder="fals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8" fontId="9" fillId="5"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9" fontId="9" fillId="5"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70" fontId="9" fillId="5"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71" fontId="9" fillId="5" borderId="1" xfId="0" applyFont="true" applyBorder="true" applyAlignment="false" applyProtection="false">
      <alignment horizontal="general" vertical="bottom" textRotation="0" wrapText="false" indent="0" shrinkToFit="false"/>
      <protection locked="true" hidden="false"/>
    </xf>
    <xf numFmtId="164" fontId="11" fillId="7" borderId="0"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4" fontId="11" fillId="8" borderId="0" xfId="0" applyFont="true" applyBorder="true" applyAlignment="true" applyProtection="false">
      <alignment horizontal="center" vertical="center" textRotation="0" wrapText="fals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11" fillId="9" borderId="0" xfId="0" applyFont="true" applyBorder="true" applyAlignment="true" applyProtection="false">
      <alignment horizontal="center" vertical="center" textRotation="0" wrapText="false" indent="0" shrinkToFit="false"/>
      <protection locked="true" hidden="false"/>
    </xf>
    <xf numFmtId="164" fontId="11" fillId="10" borderId="0" xfId="0" applyFont="true" applyBorder="true" applyAlignment="true" applyProtection="false">
      <alignment horizontal="center" vertical="center" textRotation="0" wrapText="false" indent="0" shrinkToFit="false"/>
      <protection locked="true" hidden="false"/>
    </xf>
    <xf numFmtId="164" fontId="11" fillId="10" borderId="0" xfId="0" applyFont="true" applyBorder="false" applyAlignment="true" applyProtection="false">
      <alignment horizontal="center" vertical="center"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72" fontId="9" fillId="5" borderId="1" xfId="0" applyFont="true" applyBorder="true" applyAlignment="false" applyProtection="false">
      <alignment horizontal="general" vertical="bottom" textRotation="0" wrapText="false" indent="0" shrinkToFit="false"/>
      <protection locked="true" hidden="false"/>
    </xf>
    <xf numFmtId="173" fontId="9" fillId="0"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75" fontId="9" fillId="5" borderId="1" xfId="0" applyFont="true" applyBorder="true" applyAlignment="false" applyProtection="false">
      <alignment horizontal="general" vertical="bottom" textRotation="0" wrapText="false" indent="0" shrinkToFit="false"/>
      <protection locked="true" hidden="false"/>
    </xf>
    <xf numFmtId="176" fontId="9" fillId="0" borderId="1" xfId="0" applyFont="true" applyBorder="true" applyAlignment="false" applyProtection="false">
      <alignment horizontal="general" vertical="bottom" textRotation="0" wrapText="false" indent="0" shrinkToFit="false"/>
      <protection locked="true" hidden="false"/>
    </xf>
    <xf numFmtId="175" fontId="9" fillId="0" borderId="1" xfId="0" applyFont="true" applyBorder="true" applyAlignment="false" applyProtection="false">
      <alignment horizontal="general" vertical="bottom" textRotation="0" wrapText="false" indent="0" shrinkToFit="false"/>
      <protection locked="true" hidden="false"/>
    </xf>
    <xf numFmtId="164" fontId="13" fillId="11" borderId="1" xfId="0" applyFont="true" applyBorder="true" applyAlignment="false" applyProtection="false">
      <alignment horizontal="general" vertical="bottom" textRotation="0" wrapText="false" indent="0" shrinkToFit="false"/>
      <protection locked="true" hidden="false"/>
    </xf>
    <xf numFmtId="173" fontId="13" fillId="11" borderId="1" xfId="0" applyFont="true" applyBorder="true" applyAlignment="false" applyProtection="false">
      <alignment horizontal="general" vertical="bottom" textRotation="0" wrapText="false" indent="0" shrinkToFit="false"/>
      <protection locked="true" hidden="false"/>
    </xf>
    <xf numFmtId="165" fontId="13" fillId="11" borderId="1" xfId="0" applyFont="true" applyBorder="true" applyAlignment="false" applyProtection="false">
      <alignment horizontal="general" vertical="bottom" textRotation="0" wrapText="false" indent="0" shrinkToFit="false"/>
      <protection locked="true" hidden="false"/>
    </xf>
    <xf numFmtId="176" fontId="13" fillId="11" borderId="1" xfId="0" applyFont="true" applyBorder="true" applyAlignment="false" applyProtection="false">
      <alignment horizontal="general" vertical="bottom" textRotation="0" wrapText="false" indent="0" shrinkToFit="false"/>
      <protection locked="true" hidden="false"/>
    </xf>
    <xf numFmtId="167" fontId="13" fillId="11"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0" fontId="10" fillId="5"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71" fontId="13" fillId="11"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73" fontId="16" fillId="11" borderId="1" xfId="0" applyFont="true" applyBorder="true" applyAlignment="false" applyProtection="false">
      <alignment horizontal="general" vertical="bottom" textRotation="0" wrapText="false" indent="0" shrinkToFit="false"/>
      <protection locked="true" hidden="false"/>
    </xf>
    <xf numFmtId="164" fontId="16" fillId="11"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ED"/>
          <bgColor rgb="FF000000"/>
        </patternFill>
      </fill>
    </dxf>
    <dxf>
      <fill>
        <patternFill patternType="solid">
          <fgColor rgb="FFC6EFCE"/>
          <bgColor rgb="FF000000"/>
        </patternFill>
      </fill>
    </dxf>
    <dxf>
      <fill>
        <patternFill patternType="solid">
          <fgColor rgb="FFFFFF99"/>
          <bgColor rgb="FF000000"/>
        </patternFill>
      </fill>
    </dxf>
    <dxf>
      <fill>
        <patternFill patternType="solid">
          <fgColor rgb="FF0000FF"/>
          <bgColor rgb="FF000000"/>
        </patternFill>
      </fill>
    </dxf>
    <dxf>
      <fill>
        <patternFill patternType="solid">
          <fgColor rgb="FFF8CBAD"/>
          <bgColor rgb="FF000000"/>
        </patternFill>
      </fill>
    </dxf>
    <dxf>
      <fill>
        <patternFill patternType="solid">
          <fgColor rgb="FFC00000"/>
          <bgColor rgb="FF000000"/>
        </patternFill>
      </fill>
    </dxf>
    <dxf>
      <font>
        <name val="Arial"/>
        <charset val="1"/>
        <family val="0"/>
        <b val="1"/>
        <color rgb="FFC00000"/>
      </font>
      <fill>
        <patternFill>
          <bgColor rgb="FFF8CBAD"/>
        </patternFill>
      </fill>
    </dxf>
    <dxf>
      <fill>
        <patternFill>
          <bgColor rgb="FFC6EFCE"/>
        </patternFill>
      </fill>
    </dxf>
    <dxf>
      <fill>
        <patternFill patternType="solid">
          <fgColor rgb="FFFFF8E1"/>
          <bgColor rgb="FF000000"/>
        </patternFill>
      </fill>
    </dxf>
  </dxfs>
  <colors>
    <indexedColors>
      <rgbColor rgb="FF000000"/>
      <rgbColor rgb="FFFFFFFF"/>
      <rgbColor rgb="FFC00000"/>
      <rgbColor rgb="FF00FF00"/>
      <rgbColor rgb="FF0000FF"/>
      <rgbColor rgb="FFFFF2CC"/>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FDA"/>
      <rgbColor rgb="FFC6EFCE"/>
      <rgbColor rgb="FFFFFF99"/>
      <rgbColor rgb="FFEDE7F6"/>
      <rgbColor rgb="FFFCE4D6"/>
      <rgbColor rgb="FFEDEDED"/>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5" t="s">
        <v>3</v>
      </c>
    </row>
    <row r="6" customFormat="false" ht="23.85" hidden="false" customHeight="false" outlineLevel="0" collapsed="false">
      <c r="A6" s="5" t="s">
        <v>4</v>
      </c>
    </row>
    <row r="7" customFormat="false" ht="15" hidden="false" customHeight="false" outlineLevel="0" collapsed="false">
      <c r="A7" s="5" t="s">
        <v>5</v>
      </c>
    </row>
    <row r="8" customFormat="false" ht="15" hidden="false" customHeight="false" outlineLevel="0" collapsed="false">
      <c r="A8" s="3"/>
    </row>
    <row r="9" customFormat="false" ht="15" hidden="false" customHeight="false" outlineLevel="0" collapsed="false">
      <c r="A9" s="4" t="s">
        <v>6</v>
      </c>
    </row>
    <row r="10" customFormat="false" ht="23.85" hidden="false" customHeight="false" outlineLevel="0" collapsed="false">
      <c r="A10" s="5" t="s">
        <v>7</v>
      </c>
    </row>
    <row r="11" customFormat="false" ht="23.85" hidden="false" customHeight="false" outlineLevel="0" collapsed="false">
      <c r="A11" s="5" t="s">
        <v>8</v>
      </c>
    </row>
    <row r="12" customFormat="false" ht="23.85" hidden="false" customHeight="false" outlineLevel="0" collapsed="false">
      <c r="A12" s="5" t="s">
        <v>9</v>
      </c>
    </row>
    <row r="13" customFormat="false" ht="15" hidden="false" customHeight="false" outlineLevel="0" collapsed="false">
      <c r="A13" s="5" t="s">
        <v>10</v>
      </c>
    </row>
    <row r="14" customFormat="false" ht="15" hidden="false" customHeight="false" outlineLevel="0" collapsed="false">
      <c r="A14" s="5" t="s">
        <v>11</v>
      </c>
    </row>
    <row r="15" customFormat="false" ht="15" hidden="false" customHeight="false" outlineLevel="0" collapsed="false">
      <c r="A15" s="5" t="s">
        <v>12</v>
      </c>
    </row>
    <row r="16" customFormat="false" ht="15" hidden="false" customHeight="false" outlineLevel="0" collapsed="false">
      <c r="A16" s="5" t="s">
        <v>13</v>
      </c>
    </row>
    <row r="17" customFormat="false" ht="15" hidden="false" customHeight="false" outlineLevel="0" collapsed="false">
      <c r="A17" s="5" t="s">
        <v>14</v>
      </c>
    </row>
    <row r="18" customFormat="false" ht="15" hidden="false" customHeight="false" outlineLevel="0" collapsed="false">
      <c r="A18" s="5" t="s">
        <v>15</v>
      </c>
    </row>
    <row r="19" customFormat="false" ht="15" hidden="false" customHeight="false" outlineLevel="0" collapsed="false">
      <c r="A19" s="3"/>
    </row>
    <row r="20" customFormat="false" ht="15" hidden="false" customHeight="false" outlineLevel="0" collapsed="false">
      <c r="A20" s="4" t="s">
        <v>16</v>
      </c>
    </row>
    <row r="21" customFormat="false" ht="23.85" hidden="false" customHeight="false" outlineLevel="0" collapsed="false">
      <c r="A21" s="5" t="s">
        <v>17</v>
      </c>
    </row>
    <row r="22" customFormat="false" ht="15" hidden="false" customHeight="false" outlineLevel="0" collapsed="false">
      <c r="A22" s="3"/>
    </row>
    <row r="23" customFormat="false" ht="15" hidden="false" customHeight="false" outlineLevel="0" collapsed="false">
      <c r="A23" s="4" t="s">
        <v>18</v>
      </c>
    </row>
    <row r="24" customFormat="false" ht="23.85" hidden="false" customHeight="false" outlineLevel="0" collapsed="false">
      <c r="A24" s="5" t="s">
        <v>19</v>
      </c>
    </row>
    <row r="25" customFormat="false" ht="23.85" hidden="false" customHeight="false" outlineLevel="0" collapsed="false">
      <c r="A25" s="5" t="s">
        <v>20</v>
      </c>
    </row>
    <row r="26" customFormat="false" ht="15" hidden="false" customHeight="false" outlineLevel="0" collapsed="false">
      <c r="A26" s="5" t="s">
        <v>21</v>
      </c>
    </row>
    <row r="27" customFormat="false" ht="15" hidden="false" customHeight="false" outlineLevel="0" collapsed="false">
      <c r="A27" s="5" t="s">
        <v>22</v>
      </c>
    </row>
    <row r="28" customFormat="false" ht="23.85" hidden="false" customHeight="false" outlineLevel="0" collapsed="false">
      <c r="A28" s="5" t="s">
        <v>23</v>
      </c>
    </row>
    <row r="29" customFormat="false" ht="15" hidden="false" customHeight="false" outlineLevel="0" collapsed="false">
      <c r="A29"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16"/>
    <col collapsed="false" customWidth="true" hidden="false" outlineLevel="0" max="4" min="4" style="0" width="120"/>
  </cols>
  <sheetData>
    <row r="1" customFormat="false" ht="15" hidden="false" customHeight="false" outlineLevel="0" collapsed="false">
      <c r="A1" s="6" t="s">
        <v>25</v>
      </c>
      <c r="B1" s="6" t="s">
        <v>26</v>
      </c>
      <c r="C1" s="6" t="s">
        <v>27</v>
      </c>
      <c r="D1" s="6" t="s">
        <v>28</v>
      </c>
    </row>
    <row r="2" customFormat="false" ht="43.25" hidden="false" customHeight="false" outlineLevel="0" collapsed="false">
      <c r="A2" s="7" t="s">
        <v>29</v>
      </c>
      <c r="B2" s="7" t="s">
        <v>30</v>
      </c>
      <c r="C2" s="8" t="s">
        <v>31</v>
      </c>
      <c r="D2" s="7" t="s">
        <v>32</v>
      </c>
    </row>
    <row r="3" customFormat="false" ht="32.8" hidden="false" customHeight="false" outlineLevel="0" collapsed="false">
      <c r="A3" s="7" t="s">
        <v>29</v>
      </c>
      <c r="B3" s="7" t="s">
        <v>30</v>
      </c>
      <c r="C3" s="8" t="s">
        <v>33</v>
      </c>
      <c r="D3" s="7" t="s">
        <v>34</v>
      </c>
    </row>
    <row r="4" customFormat="false" ht="22.35" hidden="false" customHeight="false" outlineLevel="0" collapsed="false">
      <c r="A4" s="7" t="s">
        <v>29</v>
      </c>
      <c r="B4" s="7" t="s">
        <v>30</v>
      </c>
      <c r="C4" s="8" t="s">
        <v>35</v>
      </c>
      <c r="D4" s="7" t="s">
        <v>36</v>
      </c>
    </row>
    <row r="5" customFormat="false" ht="32.8" hidden="false" customHeight="false" outlineLevel="0" collapsed="false">
      <c r="A5" s="7" t="s">
        <v>37</v>
      </c>
      <c r="B5" s="7" t="s">
        <v>38</v>
      </c>
      <c r="C5" s="8" t="s">
        <v>39</v>
      </c>
      <c r="D5" s="7" t="s">
        <v>40</v>
      </c>
    </row>
    <row r="6" customFormat="false" ht="22.35" hidden="false" customHeight="false" outlineLevel="0" collapsed="false">
      <c r="A6" s="7" t="s">
        <v>37</v>
      </c>
      <c r="B6" s="7" t="s">
        <v>38</v>
      </c>
      <c r="C6" s="8" t="s">
        <v>41</v>
      </c>
      <c r="D6" s="7" t="s">
        <v>42</v>
      </c>
    </row>
    <row r="7" customFormat="false" ht="22.35" hidden="false" customHeight="false" outlineLevel="0" collapsed="false">
      <c r="A7" s="7" t="s">
        <v>37</v>
      </c>
      <c r="B7" s="7" t="s">
        <v>38</v>
      </c>
      <c r="C7" s="8" t="s">
        <v>43</v>
      </c>
      <c r="D7" s="7" t="s">
        <v>44</v>
      </c>
    </row>
    <row r="8" customFormat="false" ht="22.35" hidden="false" customHeight="false" outlineLevel="0" collapsed="false">
      <c r="A8" s="7" t="s">
        <v>37</v>
      </c>
      <c r="B8" s="7" t="s">
        <v>38</v>
      </c>
      <c r="C8" s="8" t="s">
        <v>45</v>
      </c>
      <c r="D8" s="7" t="s">
        <v>46</v>
      </c>
    </row>
    <row r="9" customFormat="false" ht="22.35" hidden="false" customHeight="false" outlineLevel="0" collapsed="false">
      <c r="A9" s="7" t="s">
        <v>37</v>
      </c>
      <c r="B9" s="7" t="s">
        <v>38</v>
      </c>
      <c r="C9" s="8" t="s">
        <v>47</v>
      </c>
      <c r="D9" s="7" t="s">
        <v>48</v>
      </c>
    </row>
    <row r="10" customFormat="false" ht="32.8" hidden="false" customHeight="false" outlineLevel="0" collapsed="false">
      <c r="A10" s="7" t="s">
        <v>37</v>
      </c>
      <c r="B10" s="7" t="s">
        <v>49</v>
      </c>
      <c r="C10" s="8" t="s">
        <v>39</v>
      </c>
      <c r="D10" s="7" t="s">
        <v>50</v>
      </c>
    </row>
    <row r="11" customFormat="false" ht="22.35" hidden="false" customHeight="false" outlineLevel="0" collapsed="false">
      <c r="A11" s="7" t="s">
        <v>37</v>
      </c>
      <c r="B11" s="7" t="s">
        <v>49</v>
      </c>
      <c r="C11" s="8" t="s">
        <v>41</v>
      </c>
      <c r="D11" s="7" t="s">
        <v>51</v>
      </c>
    </row>
    <row r="12" customFormat="false" ht="22.35" hidden="false" customHeight="false" outlineLevel="0" collapsed="false">
      <c r="A12" s="7" t="s">
        <v>37</v>
      </c>
      <c r="B12" s="7" t="s">
        <v>49</v>
      </c>
      <c r="C12" s="8" t="s">
        <v>43</v>
      </c>
      <c r="D12" s="7" t="s">
        <v>52</v>
      </c>
    </row>
    <row r="13" customFormat="false" ht="22.35" hidden="false" customHeight="false" outlineLevel="0" collapsed="false">
      <c r="A13" s="7" t="s">
        <v>37</v>
      </c>
      <c r="B13" s="7" t="s">
        <v>49</v>
      </c>
      <c r="C13" s="8" t="s">
        <v>45</v>
      </c>
      <c r="D13" s="7" t="s">
        <v>53</v>
      </c>
    </row>
    <row r="14" customFormat="false" ht="22.35" hidden="false" customHeight="false" outlineLevel="0" collapsed="false">
      <c r="A14" s="7" t="s">
        <v>37</v>
      </c>
      <c r="B14" s="7" t="s">
        <v>49</v>
      </c>
      <c r="C14" s="8" t="s">
        <v>47</v>
      </c>
      <c r="D14" s="7" t="s">
        <v>54</v>
      </c>
    </row>
    <row r="15" customFormat="false" ht="32.8" hidden="false" customHeight="false" outlineLevel="0" collapsed="false">
      <c r="A15" s="7" t="s">
        <v>37</v>
      </c>
      <c r="B15" s="7" t="s">
        <v>55</v>
      </c>
      <c r="C15" s="8" t="s">
        <v>39</v>
      </c>
      <c r="D15" s="7" t="s">
        <v>56</v>
      </c>
    </row>
    <row r="16" customFormat="false" ht="22.35" hidden="false" customHeight="false" outlineLevel="0" collapsed="false">
      <c r="A16" s="7" t="s">
        <v>37</v>
      </c>
      <c r="B16" s="7" t="s">
        <v>55</v>
      </c>
      <c r="C16" s="8" t="s">
        <v>41</v>
      </c>
      <c r="D16" s="7" t="s">
        <v>57</v>
      </c>
    </row>
    <row r="17" customFormat="false" ht="22.35" hidden="false" customHeight="false" outlineLevel="0" collapsed="false">
      <c r="A17" s="7" t="s">
        <v>37</v>
      </c>
      <c r="B17" s="7" t="s">
        <v>55</v>
      </c>
      <c r="C17" s="8" t="s">
        <v>43</v>
      </c>
      <c r="D17" s="7" t="s">
        <v>58</v>
      </c>
    </row>
    <row r="18" customFormat="false" ht="22.35" hidden="false" customHeight="false" outlineLevel="0" collapsed="false">
      <c r="A18" s="7" t="s">
        <v>37</v>
      </c>
      <c r="B18" s="7" t="s">
        <v>55</v>
      </c>
      <c r="C18" s="8" t="s">
        <v>45</v>
      </c>
      <c r="D18" s="7" t="s">
        <v>59</v>
      </c>
    </row>
    <row r="19" customFormat="false" ht="22.35" hidden="false" customHeight="false" outlineLevel="0" collapsed="false">
      <c r="A19" s="7" t="s">
        <v>37</v>
      </c>
      <c r="B19" s="7" t="s">
        <v>55</v>
      </c>
      <c r="C19" s="8" t="s">
        <v>47</v>
      </c>
      <c r="D19" s="7" t="s">
        <v>60</v>
      </c>
    </row>
    <row r="20" customFormat="false" ht="32.8" hidden="false" customHeight="false" outlineLevel="0" collapsed="false">
      <c r="A20" s="7" t="s">
        <v>37</v>
      </c>
      <c r="B20" s="7" t="s">
        <v>61</v>
      </c>
      <c r="C20" s="8" t="s">
        <v>39</v>
      </c>
      <c r="D20" s="7" t="s">
        <v>62</v>
      </c>
    </row>
    <row r="21" customFormat="false" ht="22.35" hidden="false" customHeight="false" outlineLevel="0" collapsed="false">
      <c r="A21" s="7" t="s">
        <v>37</v>
      </c>
      <c r="B21" s="7" t="s">
        <v>61</v>
      </c>
      <c r="C21" s="8" t="s">
        <v>41</v>
      </c>
      <c r="D21" s="7" t="s">
        <v>63</v>
      </c>
    </row>
    <row r="22" customFormat="false" ht="22.35" hidden="false" customHeight="false" outlineLevel="0" collapsed="false">
      <c r="A22" s="7" t="s">
        <v>37</v>
      </c>
      <c r="B22" s="7" t="s">
        <v>61</v>
      </c>
      <c r="C22" s="8" t="s">
        <v>47</v>
      </c>
      <c r="D22" s="7" t="s">
        <v>64</v>
      </c>
    </row>
    <row r="23" customFormat="false" ht="32.8" hidden="false" customHeight="false" outlineLevel="0" collapsed="false">
      <c r="A23" s="7" t="s">
        <v>37</v>
      </c>
      <c r="B23" s="7" t="s">
        <v>65</v>
      </c>
      <c r="C23" s="8" t="s">
        <v>39</v>
      </c>
      <c r="D23" s="7" t="s">
        <v>66</v>
      </c>
    </row>
    <row r="24" customFormat="false" ht="22.35" hidden="false" customHeight="false" outlineLevel="0" collapsed="false">
      <c r="A24" s="7" t="s">
        <v>37</v>
      </c>
      <c r="B24" s="7" t="s">
        <v>65</v>
      </c>
      <c r="C24" s="8" t="s">
        <v>41</v>
      </c>
      <c r="D24" s="7" t="s">
        <v>67</v>
      </c>
    </row>
    <row r="25" customFormat="false" ht="32.8" hidden="false" customHeight="false" outlineLevel="0" collapsed="false">
      <c r="A25" s="7" t="s">
        <v>37</v>
      </c>
      <c r="B25" s="7" t="s">
        <v>68</v>
      </c>
      <c r="C25" s="8" t="s">
        <v>39</v>
      </c>
      <c r="D25" s="7" t="s">
        <v>69</v>
      </c>
    </row>
    <row r="26" customFormat="false" ht="22.35" hidden="false" customHeight="false" outlineLevel="0" collapsed="false">
      <c r="A26" s="7" t="s">
        <v>37</v>
      </c>
      <c r="B26" s="7" t="s">
        <v>68</v>
      </c>
      <c r="C26" s="8" t="s">
        <v>41</v>
      </c>
      <c r="D26" s="7" t="s">
        <v>70</v>
      </c>
    </row>
    <row r="27" customFormat="false" ht="32.8" hidden="false" customHeight="false" outlineLevel="0" collapsed="false">
      <c r="A27" s="7" t="s">
        <v>71</v>
      </c>
      <c r="B27" s="7" t="s">
        <v>72</v>
      </c>
      <c r="C27" s="8" t="s">
        <v>39</v>
      </c>
      <c r="D27" s="7" t="s">
        <v>73</v>
      </c>
    </row>
    <row r="28" customFormat="false" ht="15" hidden="false" customHeight="false" outlineLevel="0" collapsed="false">
      <c r="A28" s="7" t="s">
        <v>71</v>
      </c>
      <c r="B28" s="7" t="s">
        <v>72</v>
      </c>
      <c r="C28" s="8" t="s">
        <v>41</v>
      </c>
      <c r="D28" s="7" t="s">
        <v>74</v>
      </c>
    </row>
    <row r="29" customFormat="false" ht="15" hidden="false" customHeight="false" outlineLevel="0" collapsed="false">
      <c r="A29" s="7" t="s">
        <v>71</v>
      </c>
      <c r="B29" s="7" t="s">
        <v>72</v>
      </c>
      <c r="C29" s="8" t="s">
        <v>43</v>
      </c>
      <c r="D29" s="7" t="s">
        <v>75</v>
      </c>
    </row>
    <row r="30" customFormat="false" ht="22.35" hidden="false" customHeight="false" outlineLevel="0" collapsed="false">
      <c r="A30" s="7" t="s">
        <v>71</v>
      </c>
      <c r="B30" s="7" t="s">
        <v>72</v>
      </c>
      <c r="C30" s="8" t="s">
        <v>45</v>
      </c>
      <c r="D30" s="7" t="s">
        <v>76</v>
      </c>
    </row>
    <row r="31" customFormat="false" ht="15" hidden="false" customHeight="false" outlineLevel="0" collapsed="false">
      <c r="A31" s="7" t="s">
        <v>71</v>
      </c>
      <c r="B31" s="7" t="s">
        <v>72</v>
      </c>
      <c r="C31" s="8" t="s">
        <v>47</v>
      </c>
      <c r="D31" s="7" t="s">
        <v>77</v>
      </c>
    </row>
    <row r="32" customFormat="false" ht="32.8" hidden="false" customHeight="false" outlineLevel="0" collapsed="false">
      <c r="A32" s="7" t="s">
        <v>71</v>
      </c>
      <c r="B32" s="7" t="s">
        <v>78</v>
      </c>
      <c r="C32" s="8" t="s">
        <v>39</v>
      </c>
      <c r="D32" s="7" t="s">
        <v>79</v>
      </c>
    </row>
    <row r="33" customFormat="false" ht="15" hidden="false" customHeight="false" outlineLevel="0" collapsed="false">
      <c r="A33" s="7" t="s">
        <v>71</v>
      </c>
      <c r="B33" s="7" t="s">
        <v>78</v>
      </c>
      <c r="C33" s="8" t="s">
        <v>41</v>
      </c>
      <c r="D33" s="7" t="s">
        <v>74</v>
      </c>
    </row>
    <row r="34" customFormat="false" ht="15" hidden="false" customHeight="false" outlineLevel="0" collapsed="false">
      <c r="A34" s="7" t="s">
        <v>71</v>
      </c>
      <c r="B34" s="7" t="s">
        <v>78</v>
      </c>
      <c r="C34" s="8" t="s">
        <v>43</v>
      </c>
      <c r="D34" s="7" t="s">
        <v>80</v>
      </c>
    </row>
    <row r="35" customFormat="false" ht="22.35" hidden="false" customHeight="false" outlineLevel="0" collapsed="false">
      <c r="A35" s="7" t="s">
        <v>71</v>
      </c>
      <c r="B35" s="7" t="s">
        <v>78</v>
      </c>
      <c r="C35" s="8" t="s">
        <v>45</v>
      </c>
      <c r="D35" s="7" t="s">
        <v>81</v>
      </c>
    </row>
    <row r="36" customFormat="false" ht="15" hidden="false" customHeight="false" outlineLevel="0" collapsed="false">
      <c r="A36" s="7" t="s">
        <v>71</v>
      </c>
      <c r="B36" s="7" t="s">
        <v>78</v>
      </c>
      <c r="C36" s="8" t="s">
        <v>47</v>
      </c>
      <c r="D36" s="7" t="s">
        <v>82</v>
      </c>
    </row>
    <row r="37" customFormat="false" ht="32.8" hidden="false" customHeight="false" outlineLevel="0" collapsed="false">
      <c r="A37" s="7" t="s">
        <v>71</v>
      </c>
      <c r="B37" s="7" t="s">
        <v>83</v>
      </c>
      <c r="C37" s="8" t="s">
        <v>39</v>
      </c>
      <c r="D37" s="7" t="s">
        <v>84</v>
      </c>
    </row>
    <row r="38" customFormat="false" ht="22.35" hidden="false" customHeight="false" outlineLevel="0" collapsed="false">
      <c r="A38" s="7" t="s">
        <v>71</v>
      </c>
      <c r="B38" s="7" t="s">
        <v>83</v>
      </c>
      <c r="C38" s="8" t="s">
        <v>41</v>
      </c>
      <c r="D38" s="7" t="s">
        <v>85</v>
      </c>
    </row>
    <row r="39" customFormat="false" ht="22.35" hidden="false" customHeight="false" outlineLevel="0" collapsed="false">
      <c r="A39" s="7" t="s">
        <v>71</v>
      </c>
      <c r="B39" s="7" t="s">
        <v>83</v>
      </c>
      <c r="C39" s="8" t="s">
        <v>43</v>
      </c>
      <c r="D39" s="7" t="s">
        <v>86</v>
      </c>
    </row>
    <row r="40" customFormat="false" ht="22.35" hidden="false" customHeight="false" outlineLevel="0" collapsed="false">
      <c r="A40" s="7" t="s">
        <v>71</v>
      </c>
      <c r="B40" s="7" t="s">
        <v>83</v>
      </c>
      <c r="C40" s="8" t="s">
        <v>45</v>
      </c>
      <c r="D40" s="7" t="s">
        <v>87</v>
      </c>
    </row>
    <row r="41" customFormat="false" ht="22.35" hidden="false" customHeight="false" outlineLevel="0" collapsed="false">
      <c r="A41" s="7" t="s">
        <v>71</v>
      </c>
      <c r="B41" s="7" t="s">
        <v>83</v>
      </c>
      <c r="C41" s="8" t="s">
        <v>47</v>
      </c>
      <c r="D41" s="7" t="s">
        <v>88</v>
      </c>
    </row>
    <row r="42" customFormat="false" ht="32.8" hidden="false" customHeight="false" outlineLevel="0" collapsed="false">
      <c r="A42" s="7" t="s">
        <v>71</v>
      </c>
      <c r="B42" s="7" t="s">
        <v>89</v>
      </c>
      <c r="C42" s="8" t="s">
        <v>39</v>
      </c>
      <c r="D42" s="7" t="s">
        <v>90</v>
      </c>
    </row>
    <row r="43" customFormat="false" ht="15" hidden="false" customHeight="false" outlineLevel="0" collapsed="false">
      <c r="A43" s="7" t="s">
        <v>71</v>
      </c>
      <c r="B43" s="7" t="s">
        <v>89</v>
      </c>
      <c r="C43" s="8" t="s">
        <v>41</v>
      </c>
      <c r="D43" s="7" t="s">
        <v>91</v>
      </c>
    </row>
    <row r="44" customFormat="false" ht="32.8" hidden="false" customHeight="false" outlineLevel="0" collapsed="false">
      <c r="A44" s="7" t="s">
        <v>71</v>
      </c>
      <c r="B44" s="7" t="s">
        <v>92</v>
      </c>
      <c r="C44" s="8" t="s">
        <v>39</v>
      </c>
      <c r="D44" s="7" t="s">
        <v>93</v>
      </c>
    </row>
    <row r="45" customFormat="false" ht="15" hidden="false" customHeight="false" outlineLevel="0" collapsed="false">
      <c r="A45" s="7" t="s">
        <v>71</v>
      </c>
      <c r="B45" s="7" t="s">
        <v>92</v>
      </c>
      <c r="C45" s="8" t="s">
        <v>41</v>
      </c>
      <c r="D45" s="7" t="s">
        <v>94</v>
      </c>
    </row>
    <row r="46" customFormat="false" ht="15" hidden="false" customHeight="false" outlineLevel="0" collapsed="false">
      <c r="A46" s="7" t="s">
        <v>71</v>
      </c>
      <c r="B46" s="7" t="s">
        <v>92</v>
      </c>
      <c r="C46" s="8" t="s">
        <v>43</v>
      </c>
      <c r="D46" s="7" t="s">
        <v>95</v>
      </c>
    </row>
    <row r="47" customFormat="false" ht="22.35" hidden="false" customHeight="false" outlineLevel="0" collapsed="false">
      <c r="A47" s="7" t="s">
        <v>71</v>
      </c>
      <c r="B47" s="7" t="s">
        <v>92</v>
      </c>
      <c r="C47" s="8" t="s">
        <v>45</v>
      </c>
      <c r="D47" s="7" t="s">
        <v>96</v>
      </c>
    </row>
    <row r="48" customFormat="false" ht="15" hidden="false" customHeight="false" outlineLevel="0" collapsed="false">
      <c r="A48" s="7" t="s">
        <v>71</v>
      </c>
      <c r="B48" s="7" t="s">
        <v>92</v>
      </c>
      <c r="C48" s="8" t="s">
        <v>47</v>
      </c>
      <c r="D48" s="7" t="s">
        <v>97</v>
      </c>
    </row>
    <row r="49" customFormat="false" ht="32.8" hidden="false" customHeight="false" outlineLevel="0" collapsed="false">
      <c r="A49" s="7" t="s">
        <v>98</v>
      </c>
      <c r="B49" s="7" t="s">
        <v>99</v>
      </c>
      <c r="C49" s="8" t="s">
        <v>39</v>
      </c>
      <c r="D49" s="7" t="s">
        <v>100</v>
      </c>
    </row>
    <row r="50" customFormat="false" ht="22.35" hidden="false" customHeight="false" outlineLevel="0" collapsed="false">
      <c r="A50" s="7" t="s">
        <v>98</v>
      </c>
      <c r="B50" s="7" t="s">
        <v>99</v>
      </c>
      <c r="C50" s="8" t="s">
        <v>41</v>
      </c>
      <c r="D50" s="7" t="s">
        <v>101</v>
      </c>
    </row>
    <row r="51" customFormat="false" ht="15" hidden="false" customHeight="false" outlineLevel="0" collapsed="false">
      <c r="A51" s="7" t="s">
        <v>98</v>
      </c>
      <c r="B51" s="7" t="s">
        <v>99</v>
      </c>
      <c r="C51" s="8" t="s">
        <v>43</v>
      </c>
      <c r="D51" s="7" t="s">
        <v>102</v>
      </c>
    </row>
    <row r="52" customFormat="false" ht="22.35" hidden="false" customHeight="false" outlineLevel="0" collapsed="false">
      <c r="A52" s="7" t="s">
        <v>98</v>
      </c>
      <c r="B52" s="7" t="s">
        <v>99</v>
      </c>
      <c r="C52" s="8" t="s">
        <v>45</v>
      </c>
      <c r="D52" s="7" t="s">
        <v>103</v>
      </c>
    </row>
    <row r="53" customFormat="false" ht="32.8" hidden="false" customHeight="false" outlineLevel="0" collapsed="false">
      <c r="A53" s="7" t="s">
        <v>98</v>
      </c>
      <c r="B53" s="7" t="s">
        <v>104</v>
      </c>
      <c r="C53" s="8" t="s">
        <v>39</v>
      </c>
      <c r="D53" s="7" t="s">
        <v>105</v>
      </c>
    </row>
    <row r="54" customFormat="false" ht="22.35" hidden="false" customHeight="false" outlineLevel="0" collapsed="false">
      <c r="A54" s="7" t="s">
        <v>98</v>
      </c>
      <c r="B54" s="7" t="s">
        <v>104</v>
      </c>
      <c r="C54" s="8" t="s">
        <v>41</v>
      </c>
      <c r="D54" s="7" t="s">
        <v>106</v>
      </c>
    </row>
    <row r="55" customFormat="false" ht="32.8" hidden="false" customHeight="false" outlineLevel="0" collapsed="false">
      <c r="A55" s="7" t="s">
        <v>98</v>
      </c>
      <c r="B55" s="7" t="s">
        <v>107</v>
      </c>
      <c r="C55" s="8" t="s">
        <v>39</v>
      </c>
      <c r="D55" s="7" t="s">
        <v>108</v>
      </c>
    </row>
    <row r="56" customFormat="false" ht="22.35" hidden="false" customHeight="false" outlineLevel="0" collapsed="false">
      <c r="A56" s="7" t="s">
        <v>98</v>
      </c>
      <c r="B56" s="7" t="s">
        <v>107</v>
      </c>
      <c r="C56" s="8" t="s">
        <v>41</v>
      </c>
      <c r="D56" s="7" t="s">
        <v>109</v>
      </c>
    </row>
    <row r="57" customFormat="false" ht="32.8" hidden="false" customHeight="false" outlineLevel="0" collapsed="false">
      <c r="A57" s="7" t="s">
        <v>110</v>
      </c>
      <c r="B57" s="7" t="s">
        <v>111</v>
      </c>
      <c r="C57" s="8" t="s">
        <v>39</v>
      </c>
      <c r="D57" s="7" t="s">
        <v>112</v>
      </c>
    </row>
    <row r="58" customFormat="false" ht="22.35" hidden="false" customHeight="false" outlineLevel="0" collapsed="false">
      <c r="A58" s="7" t="s">
        <v>110</v>
      </c>
      <c r="B58" s="7" t="s">
        <v>111</v>
      </c>
      <c r="C58" s="8" t="s">
        <v>41</v>
      </c>
      <c r="D58" s="7" t="s">
        <v>113</v>
      </c>
    </row>
    <row r="59" customFormat="false" ht="22.35" hidden="false" customHeight="false" outlineLevel="0" collapsed="false">
      <c r="A59" s="7" t="s">
        <v>110</v>
      </c>
      <c r="B59" s="7" t="s">
        <v>111</v>
      </c>
      <c r="C59" s="8" t="s">
        <v>43</v>
      </c>
      <c r="D59" s="7" t="s">
        <v>114</v>
      </c>
    </row>
    <row r="60" customFormat="false" ht="22.35" hidden="false" customHeight="false" outlineLevel="0" collapsed="false">
      <c r="A60" s="7" t="s">
        <v>110</v>
      </c>
      <c r="B60" s="7" t="s">
        <v>111</v>
      </c>
      <c r="C60" s="8" t="s">
        <v>47</v>
      </c>
      <c r="D60" s="7" t="s">
        <v>115</v>
      </c>
    </row>
    <row r="61" customFormat="false" ht="32.8" hidden="false" customHeight="false" outlineLevel="0" collapsed="false">
      <c r="A61" s="7" t="s">
        <v>110</v>
      </c>
      <c r="B61" s="7" t="s">
        <v>116</v>
      </c>
      <c r="C61" s="8" t="s">
        <v>39</v>
      </c>
      <c r="D61" s="7" t="s">
        <v>117</v>
      </c>
    </row>
    <row r="62" customFormat="false" ht="22.35" hidden="false" customHeight="false" outlineLevel="0" collapsed="false">
      <c r="A62" s="7" t="s">
        <v>110</v>
      </c>
      <c r="B62" s="7" t="s">
        <v>116</v>
      </c>
      <c r="C62" s="8" t="s">
        <v>41</v>
      </c>
      <c r="D62" s="7" t="s">
        <v>118</v>
      </c>
    </row>
    <row r="63" customFormat="false" ht="22.35" hidden="false" customHeight="false" outlineLevel="0" collapsed="false">
      <c r="A63" s="7" t="s">
        <v>110</v>
      </c>
      <c r="B63" s="7" t="s">
        <v>116</v>
      </c>
      <c r="C63" s="8" t="s">
        <v>43</v>
      </c>
      <c r="D63" s="7" t="s">
        <v>119</v>
      </c>
    </row>
    <row r="64" customFormat="false" ht="22.35" hidden="false" customHeight="false" outlineLevel="0" collapsed="false">
      <c r="A64" s="7" t="s">
        <v>110</v>
      </c>
      <c r="B64" s="7" t="s">
        <v>116</v>
      </c>
      <c r="C64" s="8" t="s">
        <v>47</v>
      </c>
      <c r="D64" s="7" t="s">
        <v>120</v>
      </c>
    </row>
    <row r="65" customFormat="false" ht="32.8" hidden="false" customHeight="false" outlineLevel="0" collapsed="false">
      <c r="A65" s="7" t="s">
        <v>110</v>
      </c>
      <c r="B65" s="7" t="s">
        <v>121</v>
      </c>
      <c r="C65" s="8" t="s">
        <v>39</v>
      </c>
      <c r="D65" s="7" t="s">
        <v>122</v>
      </c>
    </row>
    <row r="66" customFormat="false" ht="22.35" hidden="false" customHeight="false" outlineLevel="0" collapsed="false">
      <c r="A66" s="7" t="s">
        <v>110</v>
      </c>
      <c r="B66" s="7" t="s">
        <v>121</v>
      </c>
      <c r="C66" s="8" t="s">
        <v>41</v>
      </c>
      <c r="D66" s="7" t="s">
        <v>123</v>
      </c>
    </row>
    <row r="67" customFormat="false" ht="32.8" hidden="false" customHeight="false" outlineLevel="0" collapsed="false">
      <c r="A67" s="7" t="s">
        <v>110</v>
      </c>
      <c r="B67" s="7" t="s">
        <v>124</v>
      </c>
      <c r="C67" s="8" t="s">
        <v>39</v>
      </c>
      <c r="D67" s="7" t="s">
        <v>125</v>
      </c>
    </row>
    <row r="68" customFormat="false" ht="22.35" hidden="false" customHeight="false" outlineLevel="0" collapsed="false">
      <c r="A68" s="7" t="s">
        <v>110</v>
      </c>
      <c r="B68" s="7" t="s">
        <v>124</v>
      </c>
      <c r="C68" s="8" t="s">
        <v>41</v>
      </c>
      <c r="D68" s="7" t="s">
        <v>126</v>
      </c>
    </row>
    <row r="69" customFormat="false" ht="32.8" hidden="false" customHeight="false" outlineLevel="0" collapsed="false">
      <c r="A69" s="7" t="s">
        <v>110</v>
      </c>
      <c r="B69" s="7" t="s">
        <v>127</v>
      </c>
      <c r="C69" s="8" t="s">
        <v>39</v>
      </c>
      <c r="D69" s="7" t="s">
        <v>128</v>
      </c>
    </row>
    <row r="70" customFormat="false" ht="22.35" hidden="false" customHeight="false" outlineLevel="0" collapsed="false">
      <c r="A70" s="7" t="s">
        <v>110</v>
      </c>
      <c r="B70" s="7" t="s">
        <v>127</v>
      </c>
      <c r="C70" s="8" t="s">
        <v>41</v>
      </c>
      <c r="D70" s="7" t="s">
        <v>129</v>
      </c>
    </row>
    <row r="71" customFormat="false" ht="32.8" hidden="false" customHeight="false" outlineLevel="0" collapsed="false">
      <c r="A71" s="7" t="s">
        <v>110</v>
      </c>
      <c r="B71" s="7" t="s">
        <v>130</v>
      </c>
      <c r="C71" s="8" t="s">
        <v>39</v>
      </c>
      <c r="D71" s="7" t="s">
        <v>131</v>
      </c>
    </row>
    <row r="72" customFormat="false" ht="15" hidden="false" customHeight="false" outlineLevel="0" collapsed="false">
      <c r="A72" s="7" t="s">
        <v>110</v>
      </c>
      <c r="B72" s="7" t="s">
        <v>130</v>
      </c>
      <c r="C72" s="8" t="s">
        <v>41</v>
      </c>
      <c r="D72" s="7" t="s">
        <v>132</v>
      </c>
    </row>
    <row r="73" customFormat="false" ht="15" hidden="false" customHeight="false" outlineLevel="0" collapsed="false">
      <c r="A73" s="7" t="s">
        <v>110</v>
      </c>
      <c r="B73" s="7" t="s">
        <v>130</v>
      </c>
      <c r="C73" s="8" t="s">
        <v>47</v>
      </c>
      <c r="D73" s="7" t="s">
        <v>133</v>
      </c>
    </row>
    <row r="74" customFormat="false" ht="32.8" hidden="false" customHeight="false" outlineLevel="0" collapsed="false">
      <c r="A74" s="7" t="s">
        <v>110</v>
      </c>
      <c r="B74" s="7" t="s">
        <v>134</v>
      </c>
      <c r="C74" s="8" t="s">
        <v>39</v>
      </c>
      <c r="D74" s="7" t="s">
        <v>135</v>
      </c>
    </row>
    <row r="75" customFormat="false" ht="15" hidden="false" customHeight="false" outlineLevel="0" collapsed="false">
      <c r="A75" s="7" t="s">
        <v>110</v>
      </c>
      <c r="B75" s="7" t="s">
        <v>134</v>
      </c>
      <c r="C75" s="8" t="s">
        <v>41</v>
      </c>
      <c r="D75" s="7" t="s">
        <v>136</v>
      </c>
    </row>
    <row r="76" customFormat="false" ht="15" hidden="false" customHeight="false" outlineLevel="0" collapsed="false">
      <c r="A76" s="7" t="s">
        <v>110</v>
      </c>
      <c r="B76" s="7" t="s">
        <v>134</v>
      </c>
      <c r="C76" s="8" t="s">
        <v>43</v>
      </c>
      <c r="D76" s="7" t="s">
        <v>137</v>
      </c>
    </row>
    <row r="77" customFormat="false" ht="22.35" hidden="false" customHeight="false" outlineLevel="0" collapsed="false">
      <c r="A77" s="7" t="s">
        <v>110</v>
      </c>
      <c r="B77" s="7" t="s">
        <v>134</v>
      </c>
      <c r="C77" s="8" t="s">
        <v>45</v>
      </c>
      <c r="D77" s="7" t="s">
        <v>138</v>
      </c>
    </row>
    <row r="78" customFormat="false" ht="15" hidden="false" customHeight="false" outlineLevel="0" collapsed="false">
      <c r="A78" s="7" t="s">
        <v>110</v>
      </c>
      <c r="B78" s="7" t="s">
        <v>134</v>
      </c>
      <c r="C78" s="8" t="s">
        <v>47</v>
      </c>
      <c r="D78" s="7" t="s">
        <v>139</v>
      </c>
    </row>
    <row r="79" customFormat="false" ht="32.8" hidden="false" customHeight="false" outlineLevel="0" collapsed="false">
      <c r="A79" s="7" t="s">
        <v>110</v>
      </c>
      <c r="B79" s="7" t="s">
        <v>140</v>
      </c>
      <c r="C79" s="8" t="s">
        <v>39</v>
      </c>
      <c r="D79" s="7" t="s">
        <v>141</v>
      </c>
    </row>
    <row r="80" customFormat="false" ht="22.35" hidden="false" customHeight="false" outlineLevel="0" collapsed="false">
      <c r="A80" s="7" t="s">
        <v>110</v>
      </c>
      <c r="B80" s="7" t="s">
        <v>140</v>
      </c>
      <c r="C80" s="8" t="s">
        <v>41</v>
      </c>
      <c r="D80" s="7" t="s">
        <v>142</v>
      </c>
    </row>
    <row r="81" customFormat="false" ht="22.35" hidden="false" customHeight="false" outlineLevel="0" collapsed="false">
      <c r="A81" s="7" t="s">
        <v>110</v>
      </c>
      <c r="B81" s="7" t="s">
        <v>140</v>
      </c>
      <c r="C81" s="8" t="s">
        <v>47</v>
      </c>
      <c r="D81" s="7" t="s">
        <v>143</v>
      </c>
    </row>
    <row r="82" customFormat="false" ht="32.8" hidden="false" customHeight="false" outlineLevel="0" collapsed="false">
      <c r="A82" s="7" t="s">
        <v>144</v>
      </c>
      <c r="B82" s="7" t="s">
        <v>145</v>
      </c>
      <c r="C82" s="8" t="s">
        <v>39</v>
      </c>
      <c r="D82" s="7" t="s">
        <v>146</v>
      </c>
    </row>
    <row r="83" customFormat="false" ht="22.35" hidden="false" customHeight="false" outlineLevel="0" collapsed="false">
      <c r="A83" s="7" t="s">
        <v>144</v>
      </c>
      <c r="B83" s="7" t="s">
        <v>145</v>
      </c>
      <c r="C83" s="8" t="s">
        <v>41</v>
      </c>
      <c r="D83" s="7" t="s">
        <v>147</v>
      </c>
    </row>
    <row r="84" customFormat="false" ht="32.8" hidden="false" customHeight="false" outlineLevel="0" collapsed="false">
      <c r="A84" s="7" t="s">
        <v>144</v>
      </c>
      <c r="B84" s="7" t="s">
        <v>148</v>
      </c>
      <c r="C84" s="8" t="s">
        <v>39</v>
      </c>
      <c r="D84" s="7" t="s">
        <v>149</v>
      </c>
    </row>
    <row r="85" customFormat="false" ht="22.35" hidden="false" customHeight="false" outlineLevel="0" collapsed="false">
      <c r="A85" s="7" t="s">
        <v>144</v>
      </c>
      <c r="B85" s="7" t="s">
        <v>148</v>
      </c>
      <c r="C85" s="8" t="s">
        <v>41</v>
      </c>
      <c r="D85" s="7" t="s">
        <v>150</v>
      </c>
    </row>
    <row r="86" customFormat="false" ht="32.8" hidden="false" customHeight="false" outlineLevel="0" collapsed="false">
      <c r="A86" s="7" t="s">
        <v>144</v>
      </c>
      <c r="B86" s="7" t="s">
        <v>151</v>
      </c>
      <c r="C86" s="8" t="s">
        <v>39</v>
      </c>
      <c r="D86" s="7" t="s">
        <v>152</v>
      </c>
    </row>
    <row r="87" customFormat="false" ht="15" hidden="false" customHeight="false" outlineLevel="0" collapsed="false">
      <c r="A87" s="7" t="s">
        <v>144</v>
      </c>
      <c r="B87" s="7" t="s">
        <v>151</v>
      </c>
      <c r="C87" s="8" t="s">
        <v>41</v>
      </c>
      <c r="D87" s="7" t="s">
        <v>153</v>
      </c>
    </row>
    <row r="88" customFormat="false" ht="32.8" hidden="false" customHeight="false" outlineLevel="0" collapsed="false">
      <c r="A88" s="7" t="s">
        <v>144</v>
      </c>
      <c r="B88" s="7" t="s">
        <v>154</v>
      </c>
      <c r="C88" s="8" t="s">
        <v>39</v>
      </c>
      <c r="D88" s="7" t="s">
        <v>155</v>
      </c>
    </row>
    <row r="89" customFormat="false" ht="22.35" hidden="false" customHeight="false" outlineLevel="0" collapsed="false">
      <c r="A89" s="7" t="s">
        <v>144</v>
      </c>
      <c r="B89" s="7" t="s">
        <v>154</v>
      </c>
      <c r="C89" s="8" t="s">
        <v>41</v>
      </c>
      <c r="D89" s="7" t="s">
        <v>156</v>
      </c>
    </row>
    <row r="90" customFormat="false" ht="32.8" hidden="false" customHeight="false" outlineLevel="0" collapsed="false">
      <c r="A90" s="7" t="s">
        <v>144</v>
      </c>
      <c r="B90" s="7" t="s">
        <v>157</v>
      </c>
      <c r="C90" s="8" t="s">
        <v>39</v>
      </c>
      <c r="D90" s="7" t="s">
        <v>158</v>
      </c>
    </row>
    <row r="91" customFormat="false" ht="22.35" hidden="false" customHeight="false" outlineLevel="0" collapsed="false">
      <c r="A91" s="7" t="s">
        <v>144</v>
      </c>
      <c r="B91" s="7" t="s">
        <v>157</v>
      </c>
      <c r="C91" s="8" t="s">
        <v>41</v>
      </c>
      <c r="D91" s="7" t="s">
        <v>159</v>
      </c>
    </row>
    <row r="93" customFormat="false" ht="15" hidden="false" customHeight="false" outlineLevel="0" collapsed="false">
      <c r="A93" s="9"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
    <col collapsed="false" customWidth="true" hidden="false" outlineLevel="0" max="4" min="4" style="0" width="16"/>
    <col collapsed="false" customWidth="true" hidden="false" outlineLevel="0" max="5" min="5" style="0" width="10"/>
    <col collapsed="false" customWidth="true" hidden="false" outlineLevel="0" max="6" min="6" style="0" width="11"/>
    <col collapsed="false" customWidth="true" hidden="false" outlineLevel="0" max="7" min="7" style="0" width="7"/>
    <col collapsed="false" customWidth="true" hidden="false" outlineLevel="0" max="8" min="8" style="0" width="5"/>
    <col collapsed="false" customWidth="true" hidden="false" outlineLevel="0" max="9" min="9" style="0" width="6"/>
    <col collapsed="false" customWidth="true" hidden="false" outlineLevel="0" max="11" min="10" style="0" width="8"/>
    <col collapsed="false" customWidth="true" hidden="false" outlineLevel="0" max="14" min="12" style="0" width="7"/>
    <col collapsed="false" customWidth="true" hidden="false" outlineLevel="0" max="16" min="15" style="0" width="6"/>
    <col collapsed="false" customWidth="true" hidden="false" outlineLevel="0" max="17" min="17" style="0" width="5"/>
    <col collapsed="false" customWidth="true" hidden="false" outlineLevel="0" max="18" min="18" style="0" width="8"/>
    <col collapsed="false" customWidth="true" hidden="false" outlineLevel="0" max="19" min="19" style="0" width="7"/>
    <col collapsed="false" customWidth="true" hidden="false" outlineLevel="0" max="20" min="20" style="0" width="6"/>
    <col collapsed="false" customWidth="true" hidden="false" outlineLevel="0" max="23" min="21" style="0" width="7"/>
    <col collapsed="false" customWidth="true" hidden="false" outlineLevel="0" max="24" min="24" style="0" width="9"/>
    <col collapsed="false" customWidth="true" hidden="false" outlineLevel="0" max="25" min="25" style="0" width="8"/>
    <col collapsed="false" customWidth="true" hidden="false" outlineLevel="0" max="27" min="26" style="0" width="7"/>
    <col collapsed="false" customWidth="true" hidden="false" outlineLevel="0" max="28" min="28" style="0" width="8"/>
    <col collapsed="false" customWidth="true" hidden="false" outlineLevel="0" max="31" min="29" style="0" width="7"/>
    <col collapsed="false" customWidth="true" hidden="false" outlineLevel="0" max="32" min="32" style="0" width="6"/>
    <col collapsed="false" customWidth="true" hidden="false" outlineLevel="0" max="34" min="33" style="0" width="7"/>
  </cols>
  <sheetData>
    <row r="1" customFormat="false" ht="15" hidden="false" customHeight="false" outlineLevel="0" collapsed="false">
      <c r="A1" s="10" t="s">
        <v>161</v>
      </c>
      <c r="B1" s="10"/>
      <c r="C1" s="10"/>
      <c r="D1" s="10"/>
      <c r="E1" s="11" t="s">
        <v>162</v>
      </c>
      <c r="F1" s="11"/>
      <c r="G1" s="11"/>
      <c r="H1" s="11"/>
      <c r="I1" s="11"/>
      <c r="J1" s="11"/>
      <c r="K1" s="11"/>
      <c r="L1" s="11"/>
      <c r="M1" s="11"/>
      <c r="N1" s="12" t="s">
        <v>163</v>
      </c>
      <c r="O1" s="12"/>
      <c r="P1" s="12"/>
      <c r="Q1" s="12"/>
      <c r="R1" s="12"/>
      <c r="S1" s="12"/>
      <c r="T1" s="12"/>
      <c r="U1" s="12"/>
      <c r="V1" s="12"/>
      <c r="W1" s="12"/>
      <c r="X1" s="12"/>
      <c r="Y1" s="12"/>
      <c r="Z1" s="12"/>
      <c r="AA1" s="12"/>
      <c r="AB1" s="12"/>
      <c r="AC1" s="12"/>
      <c r="AD1" s="13"/>
      <c r="AE1" s="12" t="s">
        <v>163</v>
      </c>
      <c r="AF1" s="12"/>
      <c r="AG1" s="12"/>
      <c r="AH1" s="12"/>
    </row>
    <row r="2" customFormat="false" ht="60" hidden="false" customHeight="true" outlineLevel="0" collapsed="false">
      <c r="A2" s="14" t="s">
        <v>25</v>
      </c>
      <c r="B2" s="14" t="s">
        <v>26</v>
      </c>
      <c r="C2" s="14" t="s">
        <v>164</v>
      </c>
      <c r="D2" s="14" t="s">
        <v>165</v>
      </c>
      <c r="E2" s="14" t="s">
        <v>166</v>
      </c>
      <c r="F2" s="14" t="s">
        <v>167</v>
      </c>
      <c r="G2" s="14" t="s">
        <v>168</v>
      </c>
      <c r="H2" s="14" t="s">
        <v>169</v>
      </c>
      <c r="I2" s="14" t="s">
        <v>170</v>
      </c>
      <c r="J2" s="14" t="s">
        <v>171</v>
      </c>
      <c r="K2" s="14" t="s">
        <v>172</v>
      </c>
      <c r="L2" s="14" t="s">
        <v>173</v>
      </c>
      <c r="M2" s="14" t="s">
        <v>174</v>
      </c>
      <c r="N2" s="14" t="s">
        <v>175</v>
      </c>
      <c r="O2" s="14" t="s">
        <v>176</v>
      </c>
      <c r="P2" s="14" t="s">
        <v>177</v>
      </c>
      <c r="Q2" s="14" t="s">
        <v>178</v>
      </c>
      <c r="R2" s="14" t="s">
        <v>179</v>
      </c>
      <c r="S2" s="14" t="s">
        <v>180</v>
      </c>
      <c r="T2" s="14" t="s">
        <v>181</v>
      </c>
      <c r="U2" s="14" t="s">
        <v>182</v>
      </c>
      <c r="V2" s="14" t="s">
        <v>183</v>
      </c>
      <c r="W2" s="14" t="s">
        <v>184</v>
      </c>
      <c r="X2" s="14" t="s">
        <v>185</v>
      </c>
      <c r="Y2" s="14" t="s">
        <v>186</v>
      </c>
      <c r="Z2" s="14" t="s">
        <v>187</v>
      </c>
      <c r="AA2" s="14" t="s">
        <v>188</v>
      </c>
      <c r="AB2" s="14" t="s">
        <v>189</v>
      </c>
      <c r="AC2" s="14" t="s">
        <v>190</v>
      </c>
      <c r="AD2" s="14" t="s">
        <v>191</v>
      </c>
      <c r="AE2" s="14" t="s">
        <v>192</v>
      </c>
      <c r="AF2" s="14" t="s">
        <v>193</v>
      </c>
      <c r="AG2" s="14" t="s">
        <v>194</v>
      </c>
      <c r="AH2" s="14" t="s">
        <v>195</v>
      </c>
    </row>
    <row r="3" customFormat="false" ht="15" hidden="false" customHeight="false" outlineLevel="0" collapsed="false">
      <c r="A3" s="15" t="s">
        <v>37</v>
      </c>
      <c r="B3" s="15" t="s">
        <v>38</v>
      </c>
      <c r="C3" s="15" t="n">
        <v>59</v>
      </c>
      <c r="D3" s="15" t="s">
        <v>196</v>
      </c>
      <c r="E3" s="16" t="s">
        <v>197</v>
      </c>
      <c r="F3" s="16" t="s">
        <v>198</v>
      </c>
      <c r="G3" s="16" t="n">
        <v>81</v>
      </c>
      <c r="H3" s="16" t="n">
        <v>5</v>
      </c>
      <c r="I3" s="16" t="n">
        <v>16</v>
      </c>
      <c r="J3" s="17" t="n">
        <v>80.6942915931805</v>
      </c>
      <c r="K3" s="17" t="n">
        <v>34.4458436213992</v>
      </c>
      <c r="L3" s="18" t="n">
        <v>0.426868405946948</v>
      </c>
      <c r="M3" s="19" t="n">
        <v>1813</v>
      </c>
      <c r="N3" s="20" t="n">
        <f aca="false">COUNTIF(Competitors!$C$3:$C$618,$C3)</f>
        <v>55</v>
      </c>
      <c r="O3" s="20" t="n">
        <f aca="false">COUNTIFS(Competitors!$C$3:$C$618,$C3,Competitors!$J$3:$J$618,"Aspirational")</f>
        <v>3</v>
      </c>
      <c r="P3" s="20" t="n">
        <f aca="false">COUNTIFS(Competitors!$C$3:$C$618,$C3,Competitors!$J$3:$J$618,"Beatable")</f>
        <v>24</v>
      </c>
      <c r="Q3" s="20" t="n">
        <f aca="false">COUNTIFS(Competitors!$C$3:$C$618,$C3,Competitors!$J$3:$J$618,"Poor")</f>
        <v>18</v>
      </c>
      <c r="R3" s="21" t="n">
        <v>79.99</v>
      </c>
      <c r="S3" s="22" t="n">
        <f aca="false">IF(AND(ISNUMBER(J3),ISNUMBER(R3),R3&gt;0),J3/R3-1,"")</f>
        <v>0.00880474550794519</v>
      </c>
      <c r="T3" s="20" t="n">
        <f aca="false">COUNTIFS(Competitors!$C$3:$C$618,$C3,Competitors!$Q$3:$Q$618,"&lt;0")</f>
        <v>29</v>
      </c>
      <c r="U3" s="20" t="n">
        <f aca="false">COUNTIFS(Competitors!$C$3:$C$618,$C3,Competitors!$M$3:$M$618,"&gt;0")</f>
        <v>15</v>
      </c>
      <c r="V3" s="20" t="n">
        <f aca="false">COUNTIFS(Competitors!$C$3:$C$618,$C3,Competitors!$M$3:$M$618,"&gt;0",Competitors!$M$3:$M$618,"&lt;=0.12")</f>
        <v>3</v>
      </c>
      <c r="W3" s="23" t="n">
        <f aca="false">IFERROR(AVERAGEIFS(Competitors!$M$3:$M$618,Competitors!$C$3:$C$618,$C3,Competitors!$M$3:$M$618,"&gt;0"),"")</f>
        <v>0.221588237045171</v>
      </c>
      <c r="X3" s="24" t="n">
        <f aca="false">SUMIF(Competitors!$C$3:$C$618,$C3,Competitors!$T$3:$T$618)</f>
        <v>5455</v>
      </c>
      <c r="Y3" s="24" t="n">
        <f aca="false">IF(ISNUMBER(M3),M3/4,"")</f>
        <v>453.25</v>
      </c>
      <c r="Z3" s="23" t="n">
        <f aca="false">IF(AND(ISNUMBER(Y3),X3&gt;0),Y3/(Y3+X3),"")</f>
        <v>0.0767147632547709</v>
      </c>
      <c r="AA3" s="20" t="n">
        <v>56</v>
      </c>
      <c r="AB3" s="25" t="n">
        <f aca="false">IFERROR(IF(N(INDEX('Our BFCM 2025'!$S:$S,MATCH($C3,'Our BFCM 2025'!$C:$C,0)))=0,"",INDEX('Our BFCM 2025'!$S:$S,MATCH($C3,'Our BFCM 2025'!$C:$C,0))),"")</f>
        <v>4.25499842172625</v>
      </c>
      <c r="AC3" s="23" t="n">
        <f aca="false">IFERROR(IF(N(INDEX('Our BFCM 2025'!$H:$H,MATCH($C3,'Our BFCM 2025'!$C:$C,0)))=0,"",INDEX('Our BFCM 2025'!$H:$H,MATCH($C3,'Our BFCM 2025'!$C:$C,0))),"")</f>
        <v>0.0625285893332814</v>
      </c>
      <c r="AD3" s="26" t="n">
        <v>0.908141962421712</v>
      </c>
      <c r="AE3" s="25" t="n">
        <v>1.24628629911979</v>
      </c>
      <c r="AF3" s="20" t="n">
        <f aca="false">COUNTIFS(Competitors!$C$3:$C$618,$C3,Competitors!$AY$3:$AY$618,"&lt;&gt;")</f>
        <v>0</v>
      </c>
      <c r="AG3" s="23" t="str">
        <f aca="false">IFERROR(AVERAGEIFS(Competitors!$BD$3:$BD$618,Competitors!$C$3:$C$618,$C3),"")</f>
        <v/>
      </c>
      <c r="AH3" s="27" t="str">
        <f aca="false">IFERROR(AVERAGEIFS(Competitors!$BH$3:$BH$618,Competitors!$C$3:$C$618,$C3),"")</f>
        <v/>
      </c>
    </row>
    <row r="4" customFormat="false" ht="15" hidden="false" customHeight="false" outlineLevel="0" collapsed="false">
      <c r="A4" s="15" t="s">
        <v>37</v>
      </c>
      <c r="B4" s="15" t="s">
        <v>49</v>
      </c>
      <c r="C4" s="15" t="n">
        <v>30</v>
      </c>
      <c r="D4" s="15" t="s">
        <v>196</v>
      </c>
      <c r="E4" s="16" t="s">
        <v>197</v>
      </c>
      <c r="F4" s="16" t="s">
        <v>199</v>
      </c>
      <c r="G4" s="16" t="n">
        <v>86</v>
      </c>
      <c r="H4" s="16" t="n">
        <v>6</v>
      </c>
      <c r="I4" s="16" t="n">
        <v>17</v>
      </c>
      <c r="J4" s="17" t="n">
        <v>89.5294235997825</v>
      </c>
      <c r="K4" s="17" t="n">
        <v>36.9303045133224</v>
      </c>
      <c r="L4" s="18" t="n">
        <v>0.412493491284045</v>
      </c>
      <c r="M4" s="19" t="n">
        <v>1905</v>
      </c>
      <c r="N4" s="20" t="n">
        <f aca="false">COUNTIF(Competitors!$C$3:$C$618,$C4)</f>
        <v>46</v>
      </c>
      <c r="O4" s="20" t="n">
        <f aca="false">COUNTIFS(Competitors!$C$3:$C$618,$C4,Competitors!$J$3:$J$618,"Aspirational")</f>
        <v>4</v>
      </c>
      <c r="P4" s="20" t="n">
        <f aca="false">COUNTIFS(Competitors!$C$3:$C$618,$C4,Competitors!$J$3:$J$618,"Beatable")</f>
        <v>24</v>
      </c>
      <c r="Q4" s="20" t="n">
        <f aca="false">COUNTIFS(Competitors!$C$3:$C$618,$C4,Competitors!$J$3:$J$618,"Poor")</f>
        <v>18</v>
      </c>
      <c r="R4" s="21" t="n">
        <v>82.485</v>
      </c>
      <c r="S4" s="22" t="n">
        <f aca="false">IF(AND(ISNUMBER(J4),ISNUMBER(R4),R4&gt;0),J4/R4-1,"")</f>
        <v>0.0854024804483546</v>
      </c>
      <c r="T4" s="20" t="n">
        <f aca="false">COUNTIFS(Competitors!$C$3:$C$618,$C4,Competitors!$Q$3:$Q$618,"&lt;0")</f>
        <v>29</v>
      </c>
      <c r="U4" s="20" t="n">
        <f aca="false">COUNTIFS(Competitors!$C$3:$C$618,$C4,Competitors!$M$3:$M$618,"&gt;0")</f>
        <v>14</v>
      </c>
      <c r="V4" s="20" t="n">
        <f aca="false">COUNTIFS(Competitors!$C$3:$C$618,$C4,Competitors!$M$3:$M$618,"&gt;0",Competitors!$M$3:$M$618,"&lt;=0.12")</f>
        <v>3</v>
      </c>
      <c r="W4" s="23" t="n">
        <f aca="false">IFERROR(AVERAGEIFS(Competitors!$M$3:$M$618,Competitors!$C$3:$C$618,$C4,Competitors!$M$3:$M$618,"&gt;0"),"")</f>
        <v>0.219554173896591</v>
      </c>
      <c r="X4" s="24" t="n">
        <f aca="false">SUMIF(Competitors!$C$3:$C$618,$C4,Competitors!$T$3:$T$618)</f>
        <v>4821</v>
      </c>
      <c r="Y4" s="24" t="n">
        <f aca="false">IF(ISNUMBER(M4),M4/4,"")</f>
        <v>476.25</v>
      </c>
      <c r="Z4" s="23" t="n">
        <f aca="false">IF(AND(ISNUMBER(Y4),X4&gt;0),Y4/(Y4+X4),"")</f>
        <v>0.0899051394591533</v>
      </c>
      <c r="AA4" s="20" t="n">
        <v>52.5</v>
      </c>
      <c r="AB4" s="25" t="n">
        <f aca="false">IFERROR(IF(N(INDEX('Our BFCM 2025'!$S:$S,MATCH($C4,'Our BFCM 2025'!$C:$C,0)))=0,"",INDEX('Our BFCM 2025'!$S:$S,MATCH($C4,'Our BFCM 2025'!$C:$C,0))),"")</f>
        <v>2.48830239061316</v>
      </c>
      <c r="AC4" s="23" t="n">
        <f aca="false">IFERROR(IF(N(INDEX('Our BFCM 2025'!$H:$H,MATCH($C4,'Our BFCM 2025'!$C:$C,0)))=0,"",INDEX('Our BFCM 2025'!$H:$H,MATCH($C4,'Our BFCM 2025'!$C:$C,0))),"")</f>
        <v>0.0640323652709055</v>
      </c>
      <c r="AD4" s="26" t="n">
        <v>1.44209215442092</v>
      </c>
      <c r="AE4" s="25" t="n">
        <v>1.24628629911979</v>
      </c>
      <c r="AF4" s="20" t="n">
        <f aca="false">COUNTIFS(Competitors!$C$3:$C$618,$C4,Competitors!$AY$3:$AY$618,"&lt;&gt;")</f>
        <v>0</v>
      </c>
      <c r="AG4" s="23" t="str">
        <f aca="false">IFERROR(AVERAGEIFS(Competitors!$BD$3:$BD$618,Competitors!$C$3:$C$618,$C4),"")</f>
        <v/>
      </c>
      <c r="AH4" s="27" t="str">
        <f aca="false">IFERROR(AVERAGEIFS(Competitors!$BH$3:$BH$618,Competitors!$C$3:$C$618,$C4),"")</f>
        <v/>
      </c>
    </row>
    <row r="5" customFormat="false" ht="15" hidden="false" customHeight="false" outlineLevel="0" collapsed="false">
      <c r="A5" s="15" t="s">
        <v>37</v>
      </c>
      <c r="B5" s="15" t="s">
        <v>55</v>
      </c>
      <c r="C5" s="15" t="n">
        <v>32</v>
      </c>
      <c r="D5" s="15" t="s">
        <v>200</v>
      </c>
      <c r="E5" s="16" t="s">
        <v>197</v>
      </c>
      <c r="F5" s="16" t="s">
        <v>201</v>
      </c>
      <c r="G5" s="16" t="n">
        <v>78</v>
      </c>
      <c r="H5" s="16" t="n">
        <v>5</v>
      </c>
      <c r="I5" s="16" t="n">
        <v>16</v>
      </c>
      <c r="J5" s="17" t="n">
        <v>67.0679220779221</v>
      </c>
      <c r="K5" s="17" t="n">
        <v>15.992987012987</v>
      </c>
      <c r="L5" s="18" t="n">
        <v>0.238459557378351</v>
      </c>
      <c r="M5" s="19" t="n">
        <v>91</v>
      </c>
      <c r="N5" s="20" t="n">
        <f aca="false">COUNTIF(Competitors!$C$3:$C$618,$C5)</f>
        <v>30</v>
      </c>
      <c r="O5" s="20" t="n">
        <f aca="false">COUNTIFS(Competitors!$C$3:$C$618,$C5,Competitors!$J$3:$J$618,"Aspirational")</f>
        <v>4</v>
      </c>
      <c r="P5" s="20" t="n">
        <f aca="false">COUNTIFS(Competitors!$C$3:$C$618,$C5,Competitors!$J$3:$J$618,"Beatable")</f>
        <v>8</v>
      </c>
      <c r="Q5" s="20" t="n">
        <f aca="false">COUNTIFS(Competitors!$C$3:$C$618,$C5,Competitors!$J$3:$J$618,"Poor")</f>
        <v>18</v>
      </c>
      <c r="R5" s="21" t="n">
        <v>79.99</v>
      </c>
      <c r="S5" s="22" t="n">
        <f aca="false">IF(AND(ISNUMBER(J5),ISNUMBER(R5),R5&gt;0),J5/R5-1,"")</f>
        <v>-0.161546167296886</v>
      </c>
      <c r="T5" s="20" t="n">
        <f aca="false">COUNTIFS(Competitors!$C$3:$C$618,$C5,Competitors!$Q$3:$Q$618,"&lt;0")</f>
        <v>9</v>
      </c>
      <c r="U5" s="20" t="n">
        <f aca="false">COUNTIFS(Competitors!$C$3:$C$618,$C5,Competitors!$M$3:$M$618,"&gt;0")</f>
        <v>8</v>
      </c>
      <c r="V5" s="20" t="n">
        <f aca="false">COUNTIFS(Competitors!$C$3:$C$618,$C5,Competitors!$M$3:$M$618,"&gt;0",Competitors!$M$3:$M$618,"&lt;=0.12")</f>
        <v>2</v>
      </c>
      <c r="W5" s="23" t="n">
        <f aca="false">IFERROR(AVERAGEIFS(Competitors!$M$3:$M$618,Competitors!$C$3:$C$618,$C5,Competitors!$M$3:$M$618,"&gt;0"),"")</f>
        <v>0.23466750550911</v>
      </c>
      <c r="X5" s="24" t="n">
        <f aca="false">SUMIF(Competitors!$C$3:$C$618,$C5,Competitors!$T$3:$T$618)</f>
        <v>2409</v>
      </c>
      <c r="Y5" s="24" t="n">
        <f aca="false">IF(ISNUMBER(M5),M5/4,"")</f>
        <v>22.75</v>
      </c>
      <c r="Z5" s="23" t="n">
        <f aca="false">IF(AND(ISNUMBER(Y5),X5&gt;0),Y5/(Y5+X5),"")</f>
        <v>0.00935540248792022</v>
      </c>
      <c r="AA5" s="20" t="n">
        <v>42.5</v>
      </c>
      <c r="AB5" s="25" t="n">
        <f aca="false">IFERROR(IF(N(INDEX('Our BFCM 2025'!$S:$S,MATCH($C5,'Our BFCM 2025'!$C:$C,0)))=0,"",INDEX('Our BFCM 2025'!$S:$S,MATCH($C5,'Our BFCM 2025'!$C:$C,0))),"")</f>
        <v>1.20129003702319</v>
      </c>
      <c r="AC5" s="23" t="n">
        <f aca="false">IFERROR(IF(N(INDEX('Our BFCM 2025'!$H:$H,MATCH($C5,'Our BFCM 2025'!$C:$C,0)))=0,"",INDEX('Our BFCM 2025'!$H:$H,MATCH($C5,'Our BFCM 2025'!$C:$C,0))),"")</f>
        <v>0.18701620548344</v>
      </c>
      <c r="AD5" s="26" t="n">
        <v>0.198717948717949</v>
      </c>
      <c r="AE5" s="25" t="n">
        <v>1.31480853947814</v>
      </c>
      <c r="AF5" s="20" t="n">
        <f aca="false">COUNTIFS(Competitors!$C$3:$C$618,$C5,Competitors!$AY$3:$AY$618,"&lt;&gt;")</f>
        <v>0</v>
      </c>
      <c r="AG5" s="23" t="str">
        <f aca="false">IFERROR(AVERAGEIFS(Competitors!$BD$3:$BD$618,Competitors!$C$3:$C$618,$C5),"")</f>
        <v/>
      </c>
      <c r="AH5" s="27" t="str">
        <f aca="false">IFERROR(AVERAGEIFS(Competitors!$BH$3:$BH$618,Competitors!$C$3:$C$618,$C5),"")</f>
        <v/>
      </c>
    </row>
    <row r="6" customFormat="false" ht="15" hidden="false" customHeight="false" outlineLevel="0" collapsed="false">
      <c r="A6" s="15" t="s">
        <v>37</v>
      </c>
      <c r="B6" s="15" t="s">
        <v>61</v>
      </c>
      <c r="C6" s="15" t="n">
        <v>36</v>
      </c>
      <c r="D6" s="15" t="s">
        <v>200</v>
      </c>
      <c r="E6" s="16" t="s">
        <v>202</v>
      </c>
      <c r="F6" s="16" t="s">
        <v>203</v>
      </c>
      <c r="G6" s="16" t="n">
        <v>84</v>
      </c>
      <c r="H6" s="16" t="n">
        <v>5</v>
      </c>
      <c r="I6" s="16" t="n">
        <v>16</v>
      </c>
      <c r="J6" s="17" t="n">
        <v>54.99</v>
      </c>
      <c r="K6" s="17" t="n">
        <v>15.91</v>
      </c>
      <c r="L6" s="18" t="n">
        <v>0.289325331878523</v>
      </c>
      <c r="M6" s="19" t="n">
        <v>2</v>
      </c>
      <c r="N6" s="20" t="n">
        <f aca="false">COUNTIF(Competitors!$C$3:$C$618,$C6)</f>
        <v>28</v>
      </c>
      <c r="O6" s="20" t="n">
        <f aca="false">COUNTIFS(Competitors!$C$3:$C$618,$C6,Competitors!$J$3:$J$618,"Aspirational")</f>
        <v>2</v>
      </c>
      <c r="P6" s="20" t="n">
        <f aca="false">COUNTIFS(Competitors!$C$3:$C$618,$C6,Competitors!$J$3:$J$618,"Beatable")</f>
        <v>8</v>
      </c>
      <c r="Q6" s="20" t="n">
        <f aca="false">COUNTIFS(Competitors!$C$3:$C$618,$C6,Competitors!$J$3:$J$618,"Poor")</f>
        <v>18</v>
      </c>
      <c r="R6" s="21" t="n">
        <v>79.99</v>
      </c>
      <c r="S6" s="22" t="n">
        <f aca="false">IF(AND(ISNUMBER(J6),ISNUMBER(R6),R6&gt;0),J6/R6-1,"")</f>
        <v>-0.312539067383423</v>
      </c>
      <c r="T6" s="20" t="n">
        <f aca="false">COUNTIFS(Competitors!$C$3:$C$618,$C6,Competitors!$Q$3:$Q$618,"&lt;0")</f>
        <v>4</v>
      </c>
      <c r="U6" s="20" t="n">
        <f aca="false">COUNTIFS(Competitors!$C$3:$C$618,$C6,Competitors!$M$3:$M$618,"&gt;0")</f>
        <v>8</v>
      </c>
      <c r="V6" s="20" t="n">
        <f aca="false">COUNTIFS(Competitors!$C$3:$C$618,$C6,Competitors!$M$3:$M$618,"&gt;0",Competitors!$M$3:$M$618,"&lt;=0.12")</f>
        <v>2</v>
      </c>
      <c r="W6" s="23" t="n">
        <f aca="false">IFERROR(AVERAGEIFS(Competitors!$M$3:$M$618,Competitors!$C$3:$C$618,$C6,Competitors!$M$3:$M$618,"&gt;0"),"")</f>
        <v>0.23466750550911</v>
      </c>
      <c r="X6" s="24" t="n">
        <f aca="false">SUMIF(Competitors!$C$3:$C$618,$C6,Competitors!$T$3:$T$618)</f>
        <v>2399</v>
      </c>
      <c r="Y6" s="24" t="n">
        <f aca="false">IF(ISNUMBER(M6),M6/4,"")</f>
        <v>0.5</v>
      </c>
      <c r="Z6" s="23" t="n">
        <f aca="false">IF(AND(ISNUMBER(Y6),X6&gt;0),Y6/(Y6+X6),"")</f>
        <v>0.000208376745155241</v>
      </c>
      <c r="AA6" s="20" t="n">
        <v>42.5</v>
      </c>
      <c r="AB6" s="25" t="str">
        <f aca="false">IFERROR(IF(N(INDEX('Our BFCM 2025'!$S:$S,MATCH($C6,'Our BFCM 2025'!$C:$C,0)))=0,"",INDEX('Our BFCM 2025'!$S:$S,MATCH($C6,'Our BFCM 2025'!$C:$C,0))),"")</f>
        <v/>
      </c>
      <c r="AC6" s="23" t="str">
        <f aca="false">IFERROR(IF(N(INDEX('Our BFCM 2025'!$H:$H,MATCH($C6,'Our BFCM 2025'!$C:$C,0)))=0,"",INDEX('Our BFCM 2025'!$H:$H,MATCH($C6,'Our BFCM 2025'!$C:$C,0))),"")</f>
        <v/>
      </c>
      <c r="AD6" s="26"/>
      <c r="AE6" s="25" t="n">
        <v>1.31480853947814</v>
      </c>
      <c r="AF6" s="20" t="n">
        <f aca="false">COUNTIFS(Competitors!$C$3:$C$618,$C6,Competitors!$AY$3:$AY$618,"&lt;&gt;")</f>
        <v>0</v>
      </c>
      <c r="AG6" s="23" t="str">
        <f aca="false">IFERROR(AVERAGEIFS(Competitors!$BD$3:$BD$618,Competitors!$C$3:$C$618,$C6),"")</f>
        <v/>
      </c>
      <c r="AH6" s="27" t="str">
        <f aca="false">IFERROR(AVERAGEIFS(Competitors!$BH$3:$BH$618,Competitors!$C$3:$C$618,$C6),"")</f>
        <v/>
      </c>
    </row>
    <row r="7" customFormat="false" ht="15" hidden="false" customHeight="false" outlineLevel="0" collapsed="false">
      <c r="A7" s="15" t="s">
        <v>37</v>
      </c>
      <c r="B7" s="15" t="s">
        <v>65</v>
      </c>
      <c r="C7" s="15" t="n">
        <v>73</v>
      </c>
      <c r="D7" s="15" t="s">
        <v>204</v>
      </c>
      <c r="E7" s="16" t="s">
        <v>205</v>
      </c>
      <c r="F7" s="16" t="s">
        <v>206</v>
      </c>
      <c r="G7" s="16" t="n">
        <v>22</v>
      </c>
      <c r="H7" s="16" t="n">
        <v>2</v>
      </c>
      <c r="I7" s="16" t="n">
        <v>11</v>
      </c>
      <c r="J7" s="17"/>
      <c r="K7" s="17"/>
      <c r="L7" s="18"/>
      <c r="M7" s="19" t="n">
        <v>102</v>
      </c>
      <c r="N7" s="20" t="n">
        <f aca="false">COUNTIF(Competitors!$C$3:$C$618,$C7)</f>
        <v>15</v>
      </c>
      <c r="O7" s="20" t="n">
        <f aca="false">COUNTIFS(Competitors!$C$3:$C$618,$C7,Competitors!$J$3:$J$618,"Aspirational")</f>
        <v>3</v>
      </c>
      <c r="P7" s="20" t="n">
        <f aca="false">COUNTIFS(Competitors!$C$3:$C$618,$C7,Competitors!$J$3:$J$618,"Beatable")</f>
        <v>9</v>
      </c>
      <c r="Q7" s="20" t="n">
        <f aca="false">COUNTIFS(Competitors!$C$3:$C$618,$C7,Competitors!$J$3:$J$618,"Poor")</f>
        <v>1</v>
      </c>
      <c r="R7" s="21" t="n">
        <v>74.99</v>
      </c>
      <c r="S7" s="22" t="str">
        <f aca="false">IF(AND(ISNUMBER(J7),ISNUMBER(R7),R7&gt;0),J7/R7-1,"")</f>
        <v/>
      </c>
      <c r="T7" s="20" t="n">
        <f aca="false">COUNTIFS(Competitors!$C$3:$C$618,$C7,Competitors!$Q$3:$Q$618,"&lt;0")</f>
        <v>0</v>
      </c>
      <c r="U7" s="20" t="n">
        <f aca="false">COUNTIFS(Competitors!$C$3:$C$618,$C7,Competitors!$M$3:$M$618,"&gt;0")</f>
        <v>5</v>
      </c>
      <c r="V7" s="20" t="n">
        <f aca="false">COUNTIFS(Competitors!$C$3:$C$618,$C7,Competitors!$M$3:$M$618,"&gt;0",Competitors!$M$3:$M$618,"&lt;=0.12")</f>
        <v>2</v>
      </c>
      <c r="W7" s="23" t="n">
        <f aca="false">IFERROR(AVERAGEIFS(Competitors!$M$3:$M$618,Competitors!$C$3:$C$618,$C7,Competitors!$M$3:$M$618,"&gt;0"),"")</f>
        <v>0.253856502027666</v>
      </c>
      <c r="X7" s="24" t="n">
        <f aca="false">SUMIF(Competitors!$C$3:$C$618,$C7,Competitors!$T$3:$T$618)</f>
        <v>2428</v>
      </c>
      <c r="Y7" s="24" t="n">
        <f aca="false">IF(ISNUMBER(M7),M7/4,"")</f>
        <v>25.5</v>
      </c>
      <c r="Z7" s="23" t="n">
        <f aca="false">IF(AND(ISNUMBER(Y7),X7&gt;0),Y7/(Y7+X7),"")</f>
        <v>0.0103933156714897</v>
      </c>
      <c r="AA7" s="20" t="n">
        <v>104</v>
      </c>
      <c r="AB7" s="25" t="str">
        <f aca="false">IFERROR(IF(N(INDEX('Our BFCM 2025'!$S:$S,MATCH($C7,'Our BFCM 2025'!$C:$C,0)))=0,"",INDEX('Our BFCM 2025'!$S:$S,MATCH($C7,'Our BFCM 2025'!$C:$C,0))),"")</f>
        <v/>
      </c>
      <c r="AC7" s="23" t="str">
        <f aca="false">IFERROR(IF(N(INDEX('Our BFCM 2025'!$H:$H,MATCH($C7,'Our BFCM 2025'!$C:$C,0)))=0,"",INDEX('Our BFCM 2025'!$H:$H,MATCH($C7,'Our BFCM 2025'!$C:$C,0))),"")</f>
        <v/>
      </c>
      <c r="AD7" s="26"/>
      <c r="AE7" s="25" t="n">
        <v>1.24156722549612</v>
      </c>
      <c r="AF7" s="20" t="n">
        <f aca="false">COUNTIFS(Competitors!$C$3:$C$618,$C7,Competitors!$AY$3:$AY$618,"&lt;&gt;")</f>
        <v>0</v>
      </c>
      <c r="AG7" s="23" t="str">
        <f aca="false">IFERROR(AVERAGEIFS(Competitors!$BD$3:$BD$618,Competitors!$C$3:$C$618,$C7),"")</f>
        <v/>
      </c>
      <c r="AH7" s="27" t="str">
        <f aca="false">IFERROR(AVERAGEIFS(Competitors!$BH$3:$BH$618,Competitors!$C$3:$C$618,$C7),"")</f>
        <v/>
      </c>
    </row>
    <row r="8" customFormat="false" ht="15" hidden="false" customHeight="false" outlineLevel="0" collapsed="false">
      <c r="A8" s="15" t="s">
        <v>37</v>
      </c>
      <c r="B8" s="15" t="s">
        <v>68</v>
      </c>
      <c r="C8" s="15" t="n">
        <v>40</v>
      </c>
      <c r="D8" s="15" t="s">
        <v>144</v>
      </c>
      <c r="E8" s="16" t="s">
        <v>202</v>
      </c>
      <c r="F8" s="16" t="s">
        <v>207</v>
      </c>
      <c r="G8" s="16" t="n">
        <v>54</v>
      </c>
      <c r="H8" s="16" t="n">
        <v>3</v>
      </c>
      <c r="I8" s="16" t="n">
        <v>18</v>
      </c>
      <c r="J8" s="17"/>
      <c r="K8" s="17"/>
      <c r="L8" s="18"/>
      <c r="M8" s="19" t="n">
        <v>0</v>
      </c>
      <c r="N8" s="20" t="n">
        <f aca="false">COUNTIF(Competitors!$C$3:$C$618,$C8)</f>
        <v>6</v>
      </c>
      <c r="O8" s="20" t="n">
        <f aca="false">COUNTIFS(Competitors!$C$3:$C$618,$C8,Competitors!$J$3:$J$618,"Aspirational")</f>
        <v>0</v>
      </c>
      <c r="P8" s="20" t="n">
        <f aca="false">COUNTIFS(Competitors!$C$3:$C$618,$C8,Competitors!$J$3:$J$618,"Beatable")</f>
        <v>0</v>
      </c>
      <c r="Q8" s="20" t="n">
        <f aca="false">COUNTIFS(Competitors!$C$3:$C$618,$C8,Competitors!$J$3:$J$618,"Poor")</f>
        <v>0</v>
      </c>
      <c r="R8" s="21" t="n">
        <v>13.49</v>
      </c>
      <c r="S8" s="22" t="str">
        <f aca="false">IF(AND(ISNUMBER(J8),ISNUMBER(R8),R8&gt;0),J8/R8-1,"")</f>
        <v/>
      </c>
      <c r="T8" s="20" t="n">
        <f aca="false">COUNTIFS(Competitors!$C$3:$C$618,$C8,Competitors!$Q$3:$Q$618,"&lt;0")</f>
        <v>0</v>
      </c>
      <c r="U8" s="20" t="n">
        <f aca="false">COUNTIFS(Competitors!$C$3:$C$618,$C8,Competitors!$M$3:$M$618,"&gt;0")</f>
        <v>2</v>
      </c>
      <c r="V8" s="20" t="n">
        <f aca="false">COUNTIFS(Competitors!$C$3:$C$618,$C8,Competitors!$M$3:$M$618,"&gt;0",Competitors!$M$3:$M$618,"&lt;=0.12")</f>
        <v>0</v>
      </c>
      <c r="W8" s="23" t="n">
        <f aca="false">IFERROR(AVERAGEIFS(Competitors!$M$3:$M$618,Competitors!$C$3:$C$618,$C8,Competitors!$M$3:$M$618,"&gt;0"),"")</f>
        <v>0.445391615965686</v>
      </c>
      <c r="X8" s="24" t="n">
        <f aca="false">SUMIF(Competitors!$C$3:$C$618,$C8,Competitors!$T$3:$T$618)</f>
        <v>3217</v>
      </c>
      <c r="Y8" s="24" t="n">
        <f aca="false">IF(ISNUMBER(M8),M8/4,"")</f>
        <v>0</v>
      </c>
      <c r="Z8" s="23" t="n">
        <f aca="false">IF(AND(ISNUMBER(Y8),X8&gt;0),Y8/(Y8+X8),"")</f>
        <v>0</v>
      </c>
      <c r="AA8" s="20" t="n">
        <v>64</v>
      </c>
      <c r="AB8" s="25" t="str">
        <f aca="false">IFERROR(IF(N(INDEX('Our BFCM 2025'!$S:$S,MATCH($C8,'Our BFCM 2025'!$C:$C,0)))=0,"",INDEX('Our BFCM 2025'!$S:$S,MATCH($C8,'Our BFCM 2025'!$C:$C,0))),"")</f>
        <v/>
      </c>
      <c r="AC8" s="23" t="str">
        <f aca="false">IFERROR(IF(N(INDEX('Our BFCM 2025'!$H:$H,MATCH($C8,'Our BFCM 2025'!$C:$C,0)))=0,"",INDEX('Our BFCM 2025'!$H:$H,MATCH($C8,'Our BFCM 2025'!$C:$C,0))),"")</f>
        <v/>
      </c>
      <c r="AD8" s="26"/>
      <c r="AE8" s="25" t="n">
        <v>1.04149090582305</v>
      </c>
      <c r="AF8" s="20" t="n">
        <f aca="false">COUNTIFS(Competitors!$C$3:$C$618,$C8,Competitors!$AY$3:$AY$618,"&lt;&gt;")</f>
        <v>0</v>
      </c>
      <c r="AG8" s="23" t="str">
        <f aca="false">IFERROR(AVERAGEIFS(Competitors!$BD$3:$BD$618,Competitors!$C$3:$C$618,$C8),"")</f>
        <v/>
      </c>
      <c r="AH8" s="27" t="str">
        <f aca="false">IFERROR(AVERAGEIFS(Competitors!$BH$3:$BH$618,Competitors!$C$3:$C$618,$C8),"")</f>
        <v/>
      </c>
    </row>
    <row r="9" customFormat="false" ht="15" hidden="false" customHeight="false" outlineLevel="0" collapsed="false">
      <c r="A9" s="15" t="s">
        <v>71</v>
      </c>
      <c r="B9" s="15" t="s">
        <v>72</v>
      </c>
      <c r="C9" s="15" t="n">
        <v>37</v>
      </c>
      <c r="D9" s="15" t="s">
        <v>208</v>
      </c>
      <c r="E9" s="16" t="s">
        <v>209</v>
      </c>
      <c r="F9" s="16" t="s">
        <v>210</v>
      </c>
      <c r="G9" s="16" t="n">
        <v>125</v>
      </c>
      <c r="H9" s="16" t="n">
        <v>4</v>
      </c>
      <c r="I9" s="16" t="n">
        <v>29</v>
      </c>
      <c r="J9" s="17" t="n">
        <v>32.0372498090145</v>
      </c>
      <c r="K9" s="17" t="n">
        <v>10.823128342246</v>
      </c>
      <c r="L9" s="18" t="n">
        <v>0.33782950804974</v>
      </c>
      <c r="M9" s="19" t="n">
        <v>2627</v>
      </c>
      <c r="N9" s="20" t="n">
        <f aca="false">COUNTIF(Competitors!$C$3:$C$618,$C9)</f>
        <v>26</v>
      </c>
      <c r="O9" s="20" t="n">
        <f aca="false">COUNTIFS(Competitors!$C$3:$C$618,$C9,Competitors!$J$3:$J$618,"Aspirational")</f>
        <v>3</v>
      </c>
      <c r="P9" s="20" t="n">
        <f aca="false">COUNTIFS(Competitors!$C$3:$C$618,$C9,Competitors!$J$3:$J$618,"Beatable")</f>
        <v>13</v>
      </c>
      <c r="Q9" s="20" t="n">
        <f aca="false">COUNTIFS(Competitors!$C$3:$C$618,$C9,Competitors!$J$3:$J$618,"Poor")</f>
        <v>8</v>
      </c>
      <c r="R9" s="21" t="n">
        <v>22.49</v>
      </c>
      <c r="S9" s="22" t="n">
        <f aca="false">IF(AND(ISNUMBER(J9),ISNUMBER(R9),R9&gt;0),J9/R9-1,"")</f>
        <v>0.424510885238529</v>
      </c>
      <c r="T9" s="20" t="n">
        <f aca="false">COUNTIFS(Competitors!$C$3:$C$618,$C9,Competitors!$Q$3:$Q$618,"&lt;0")</f>
        <v>26</v>
      </c>
      <c r="U9" s="20" t="n">
        <f aca="false">COUNTIFS(Competitors!$C$3:$C$618,$C9,Competitors!$M$3:$M$618,"&gt;0")</f>
        <v>3</v>
      </c>
      <c r="V9" s="20" t="n">
        <f aca="false">COUNTIFS(Competitors!$C$3:$C$618,$C9,Competitors!$M$3:$M$618,"&gt;0",Competitors!$M$3:$M$618,"&lt;=0.12")</f>
        <v>0</v>
      </c>
      <c r="W9" s="23" t="n">
        <f aca="false">IFERROR(AVERAGEIFS(Competitors!$M$3:$M$618,Competitors!$C$3:$C$618,$C9,Competitors!$M$3:$M$618,"&gt;0"),"")</f>
        <v>0.259534882406756</v>
      </c>
      <c r="X9" s="24" t="n">
        <f aca="false">SUMIF(Competitors!$C$3:$C$618,$C9,Competitors!$T$3:$T$618)</f>
        <v>4991</v>
      </c>
      <c r="Y9" s="24" t="n">
        <f aca="false">IF(ISNUMBER(M9),M9/4,"")</f>
        <v>656.75</v>
      </c>
      <c r="Z9" s="23" t="n">
        <f aca="false">IF(AND(ISNUMBER(Y9),X9&gt;0),Y9/(Y9+X9),"")</f>
        <v>0.116285246337037</v>
      </c>
      <c r="AA9" s="20" t="n">
        <v>105.5</v>
      </c>
      <c r="AB9" s="25" t="n">
        <f aca="false">IFERROR(IF(N(INDEX('Our BFCM 2025'!$S:$S,MATCH($C9,'Our BFCM 2025'!$C:$C,0)))=0,"",INDEX('Our BFCM 2025'!$S:$S,MATCH($C9,'Our BFCM 2025'!$C:$C,0))),"")</f>
        <v>2.63613379818177</v>
      </c>
      <c r="AC9" s="23" t="n">
        <f aca="false">IFERROR(IF(N(INDEX('Our BFCM 2025'!$H:$H,MATCH($C9,'Our BFCM 2025'!$C:$C,0)))=0,"",INDEX('Our BFCM 2025'!$H:$H,MATCH($C9,'Our BFCM 2025'!$C:$C,0))),"")</f>
        <v>0.0486052539678985</v>
      </c>
      <c r="AD9" s="26" t="n">
        <v>1.24251497005988</v>
      </c>
      <c r="AE9" s="25" t="n">
        <v>0.986111111111111</v>
      </c>
      <c r="AF9" s="20" t="n">
        <f aca="false">COUNTIFS(Competitors!$C$3:$C$618,$C9,Competitors!$AY$3:$AY$618,"&lt;&gt;")</f>
        <v>0</v>
      </c>
      <c r="AG9" s="23" t="str">
        <f aca="false">IFERROR(AVERAGEIFS(Competitors!$BD$3:$BD$618,Competitors!$C$3:$C$618,$C9),"")</f>
        <v/>
      </c>
      <c r="AH9" s="27" t="str">
        <f aca="false">IFERROR(AVERAGEIFS(Competitors!$BH$3:$BH$618,Competitors!$C$3:$C$618,$C9),"")</f>
        <v/>
      </c>
    </row>
    <row r="10" customFormat="false" ht="15" hidden="false" customHeight="false" outlineLevel="0" collapsed="false">
      <c r="A10" s="15" t="s">
        <v>71</v>
      </c>
      <c r="B10" s="15" t="s">
        <v>78</v>
      </c>
      <c r="C10" s="15" t="n">
        <v>31</v>
      </c>
      <c r="D10" s="15" t="s">
        <v>208</v>
      </c>
      <c r="E10" s="16" t="s">
        <v>209</v>
      </c>
      <c r="F10" s="16" t="s">
        <v>211</v>
      </c>
      <c r="G10" s="16" t="n">
        <v>111</v>
      </c>
      <c r="H10" s="16" t="n">
        <v>4</v>
      </c>
      <c r="I10" s="16" t="n">
        <v>29</v>
      </c>
      <c r="J10" s="17" t="n">
        <v>32.9043215031315</v>
      </c>
      <c r="K10" s="17" t="n">
        <v>9.00150313152401</v>
      </c>
      <c r="L10" s="18" t="n">
        <v>0.273565985266322</v>
      </c>
      <c r="M10" s="19" t="n">
        <v>479</v>
      </c>
      <c r="N10" s="20" t="n">
        <f aca="false">COUNTIF(Competitors!$C$3:$C$618,$C10)</f>
        <v>26</v>
      </c>
      <c r="O10" s="20" t="n">
        <f aca="false">COUNTIFS(Competitors!$C$3:$C$618,$C10,Competitors!$J$3:$J$618,"Aspirational")</f>
        <v>6</v>
      </c>
      <c r="P10" s="20" t="n">
        <f aca="false">COUNTIFS(Competitors!$C$3:$C$618,$C10,Competitors!$J$3:$J$618,"Beatable")</f>
        <v>16</v>
      </c>
      <c r="Q10" s="20" t="n">
        <f aca="false">COUNTIFS(Competitors!$C$3:$C$618,$C10,Competitors!$J$3:$J$618,"Poor")</f>
        <v>2</v>
      </c>
      <c r="R10" s="21" t="n">
        <v>22.49</v>
      </c>
      <c r="S10" s="22" t="n">
        <f aca="false">IF(AND(ISNUMBER(J10),ISNUMBER(R10),R10&gt;0),J10/R10-1,"")</f>
        <v>0.463064539934706</v>
      </c>
      <c r="T10" s="20" t="n">
        <f aca="false">COUNTIFS(Competitors!$C$3:$C$618,$C10,Competitors!$Q$3:$Q$618,"&lt;0")</f>
        <v>26</v>
      </c>
      <c r="U10" s="20" t="n">
        <f aca="false">COUNTIFS(Competitors!$C$3:$C$618,$C10,Competitors!$M$3:$M$618,"&gt;0")</f>
        <v>3</v>
      </c>
      <c r="V10" s="20" t="n">
        <f aca="false">COUNTIFS(Competitors!$C$3:$C$618,$C10,Competitors!$M$3:$M$618,"&gt;0",Competitors!$M$3:$M$618,"&lt;=0.12")</f>
        <v>0</v>
      </c>
      <c r="W10" s="23" t="n">
        <f aca="false">IFERROR(AVERAGEIFS(Competitors!$M$3:$M$618,Competitors!$C$3:$C$618,$C10,Competitors!$M$3:$M$618,"&gt;0"),"")</f>
        <v>0.259534882406756</v>
      </c>
      <c r="X10" s="24" t="n">
        <f aca="false">SUMIF(Competitors!$C$3:$C$618,$C10,Competitors!$T$3:$T$618)</f>
        <v>4991</v>
      </c>
      <c r="Y10" s="24" t="n">
        <f aca="false">IF(ISNUMBER(M10),M10/4,"")</f>
        <v>119.75</v>
      </c>
      <c r="Z10" s="23" t="n">
        <f aca="false">IF(AND(ISNUMBER(Y10),X10&gt;0),Y10/(Y10+X10),"")</f>
        <v>0.0234310032774055</v>
      </c>
      <c r="AA10" s="20" t="n">
        <v>105.5</v>
      </c>
      <c r="AB10" s="25" t="n">
        <f aca="false">IFERROR(IF(N(INDEX('Our BFCM 2025'!$S:$S,MATCH($C10,'Our BFCM 2025'!$C:$C,0)))=0,"",INDEX('Our BFCM 2025'!$S:$S,MATCH($C10,'Our BFCM 2025'!$C:$C,0))),"")</f>
        <v>3.08474196776965</v>
      </c>
      <c r="AC10" s="23" t="n">
        <f aca="false">IFERROR(IF(N(INDEX('Our BFCM 2025'!$H:$H,MATCH($C10,'Our BFCM 2025'!$C:$C,0)))=0,"",INDEX('Our BFCM 2025'!$H:$H,MATCH($C10,'Our BFCM 2025'!$C:$C,0))),"")</f>
        <v>0.148449224069209</v>
      </c>
      <c r="AD10" s="26" t="n">
        <v>1.21574803149606</v>
      </c>
      <c r="AE10" s="25" t="n">
        <v>0.986111111111111</v>
      </c>
      <c r="AF10" s="20" t="n">
        <f aca="false">COUNTIFS(Competitors!$C$3:$C$618,$C10,Competitors!$AY$3:$AY$618,"&lt;&gt;")</f>
        <v>0</v>
      </c>
      <c r="AG10" s="23" t="str">
        <f aca="false">IFERROR(AVERAGEIFS(Competitors!$BD$3:$BD$618,Competitors!$C$3:$C$618,$C10),"")</f>
        <v/>
      </c>
      <c r="AH10" s="27" t="str">
        <f aca="false">IFERROR(AVERAGEIFS(Competitors!$BH$3:$BH$618,Competitors!$C$3:$C$618,$C10),"")</f>
        <v/>
      </c>
    </row>
    <row r="11" customFormat="false" ht="15" hidden="false" customHeight="false" outlineLevel="0" collapsed="false">
      <c r="A11" s="15" t="s">
        <v>71</v>
      </c>
      <c r="B11" s="15" t="s">
        <v>83</v>
      </c>
      <c r="C11" s="15" t="n">
        <v>39</v>
      </c>
      <c r="D11" s="15" t="s">
        <v>208</v>
      </c>
      <c r="E11" s="16" t="s">
        <v>209</v>
      </c>
      <c r="F11" s="16" t="s">
        <v>212</v>
      </c>
      <c r="G11" s="16" t="n">
        <v>116</v>
      </c>
      <c r="H11" s="16" t="n">
        <v>4</v>
      </c>
      <c r="I11" s="16" t="n">
        <v>29</v>
      </c>
      <c r="J11" s="17" t="n">
        <v>37.0557142857143</v>
      </c>
      <c r="K11" s="17" t="n">
        <v>13.8520857142857</v>
      </c>
      <c r="L11" s="18" t="n">
        <v>0.373817803307761</v>
      </c>
      <c r="M11" s="19" t="n">
        <v>700</v>
      </c>
      <c r="N11" s="20" t="n">
        <f aca="false">COUNTIF(Competitors!$C$3:$C$618,$C11)</f>
        <v>29</v>
      </c>
      <c r="O11" s="20" t="n">
        <f aca="false">COUNTIFS(Competitors!$C$3:$C$618,$C11,Competitors!$J$3:$J$618,"Aspirational")</f>
        <v>5</v>
      </c>
      <c r="P11" s="20" t="n">
        <f aca="false">COUNTIFS(Competitors!$C$3:$C$618,$C11,Competitors!$J$3:$J$618,"Beatable")</f>
        <v>8</v>
      </c>
      <c r="Q11" s="20" t="n">
        <f aca="false">COUNTIFS(Competitors!$C$3:$C$618,$C11,Competitors!$J$3:$J$618,"Poor")</f>
        <v>16</v>
      </c>
      <c r="R11" s="21" t="n">
        <v>21.99</v>
      </c>
      <c r="S11" s="22" t="n">
        <f aca="false">IF(AND(ISNUMBER(J11),ISNUMBER(R11),R11&gt;0),J11/R11-1,"")</f>
        <v>0.685116611446762</v>
      </c>
      <c r="T11" s="20" t="n">
        <f aca="false">COUNTIFS(Competitors!$C$3:$C$618,$C11,Competitors!$Q$3:$Q$618,"&lt;0")</f>
        <v>29</v>
      </c>
      <c r="U11" s="20" t="n">
        <f aca="false">COUNTIFS(Competitors!$C$3:$C$618,$C11,Competitors!$M$3:$M$618,"&gt;0")</f>
        <v>4</v>
      </c>
      <c r="V11" s="20" t="n">
        <f aca="false">COUNTIFS(Competitors!$C$3:$C$618,$C11,Competitors!$M$3:$M$618,"&gt;0",Competitors!$M$3:$M$618,"&lt;=0.12")</f>
        <v>0</v>
      </c>
      <c r="W11" s="23" t="n">
        <f aca="false">IFERROR(AVERAGEIFS(Competitors!$M$3:$M$618,Competitors!$C$3:$C$618,$C11,Competitors!$M$3:$M$618,"&gt;0"),"")</f>
        <v>0.257385830140486</v>
      </c>
      <c r="X11" s="24" t="n">
        <f aca="false">SUMIF(Competitors!$C$3:$C$618,$C11,Competitors!$T$3:$T$618)</f>
        <v>5309</v>
      </c>
      <c r="Y11" s="24" t="n">
        <f aca="false">IF(ISNUMBER(M11),M11/4,"")</f>
        <v>175</v>
      </c>
      <c r="Z11" s="23" t="n">
        <f aca="false">IF(AND(ISNUMBER(Y11),X11&gt;0),Y11/(Y11+X11),"")</f>
        <v>0.0319110138584975</v>
      </c>
      <c r="AA11" s="20" t="n">
        <v>101.5</v>
      </c>
      <c r="AB11" s="25" t="n">
        <f aca="false">IFERROR(IF(N(INDEX('Our BFCM 2025'!$S:$S,MATCH($C11,'Our BFCM 2025'!$C:$C,0)))=0,"",INDEX('Our BFCM 2025'!$S:$S,MATCH($C11,'Our BFCM 2025'!$C:$C,0))),"")</f>
        <v>2.58972243360095</v>
      </c>
      <c r="AC11" s="23" t="n">
        <f aca="false">IFERROR(IF(N(INDEX('Our BFCM 2025'!$H:$H,MATCH($C11,'Our BFCM 2025'!$C:$C,0)))=0,"",INDEX('Our BFCM 2025'!$H:$H,MATCH($C11,'Our BFCM 2025'!$C:$C,0))),"")</f>
        <v>0.157655488833264</v>
      </c>
      <c r="AD11" s="26" t="n">
        <v>0.944</v>
      </c>
      <c r="AE11" s="25" t="n">
        <v>1.00892857142857</v>
      </c>
      <c r="AF11" s="20" t="n">
        <f aca="false">COUNTIFS(Competitors!$C$3:$C$618,$C11,Competitors!$AY$3:$AY$618,"&lt;&gt;")</f>
        <v>0</v>
      </c>
      <c r="AG11" s="23" t="str">
        <f aca="false">IFERROR(AVERAGEIFS(Competitors!$BD$3:$BD$618,Competitors!$C$3:$C$618,$C11),"")</f>
        <v/>
      </c>
      <c r="AH11" s="27" t="str">
        <f aca="false">IFERROR(AVERAGEIFS(Competitors!$BH$3:$BH$618,Competitors!$C$3:$C$618,$C11),"")</f>
        <v/>
      </c>
    </row>
    <row r="12" customFormat="false" ht="15" hidden="false" customHeight="false" outlineLevel="0" collapsed="false">
      <c r="A12" s="15" t="s">
        <v>71</v>
      </c>
      <c r="B12" s="15" t="s">
        <v>89</v>
      </c>
      <c r="C12" s="15" t="n">
        <v>74</v>
      </c>
      <c r="D12" s="15" t="s">
        <v>208</v>
      </c>
      <c r="E12" s="16" t="s">
        <v>202</v>
      </c>
      <c r="F12" s="16" t="s">
        <v>213</v>
      </c>
      <c r="G12" s="16" t="n">
        <v>116</v>
      </c>
      <c r="H12" s="16" t="n">
        <v>4</v>
      </c>
      <c r="I12" s="16" t="n">
        <v>29</v>
      </c>
      <c r="J12" s="17"/>
      <c r="K12" s="17"/>
      <c r="L12" s="18"/>
      <c r="M12" s="19" t="n">
        <v>0</v>
      </c>
      <c r="N12" s="20" t="n">
        <f aca="false">COUNTIF(Competitors!$C$3:$C$618,$C12)</f>
        <v>27</v>
      </c>
      <c r="O12" s="20" t="n">
        <f aca="false">COUNTIFS(Competitors!$C$3:$C$618,$C12,Competitors!$J$3:$J$618,"Aspirational")</f>
        <v>0</v>
      </c>
      <c r="P12" s="20" t="n">
        <f aca="false">COUNTIFS(Competitors!$C$3:$C$618,$C12,Competitors!$J$3:$J$618,"Beatable")</f>
        <v>0</v>
      </c>
      <c r="Q12" s="20" t="n">
        <f aca="false">COUNTIFS(Competitors!$C$3:$C$618,$C12,Competitors!$J$3:$J$618,"Poor")</f>
        <v>0</v>
      </c>
      <c r="R12" s="21" t="n">
        <v>21.99</v>
      </c>
      <c r="S12" s="22" t="str">
        <f aca="false">IF(AND(ISNUMBER(J12),ISNUMBER(R12),R12&gt;0),J12/R12-1,"")</f>
        <v/>
      </c>
      <c r="T12" s="20" t="n">
        <f aca="false">COUNTIFS(Competitors!$C$3:$C$618,$C12,Competitors!$Q$3:$Q$618,"&lt;0")</f>
        <v>0</v>
      </c>
      <c r="U12" s="20" t="n">
        <f aca="false">COUNTIFS(Competitors!$C$3:$C$618,$C12,Competitors!$M$3:$M$618,"&gt;0")</f>
        <v>4</v>
      </c>
      <c r="V12" s="20" t="n">
        <f aca="false">COUNTIFS(Competitors!$C$3:$C$618,$C12,Competitors!$M$3:$M$618,"&gt;0",Competitors!$M$3:$M$618,"&lt;=0.12")</f>
        <v>0</v>
      </c>
      <c r="W12" s="23" t="n">
        <f aca="false">IFERROR(AVERAGEIFS(Competitors!$M$3:$M$618,Competitors!$C$3:$C$618,$C12,Competitors!$M$3:$M$618,"&gt;0"),"")</f>
        <v>0.257385830140486</v>
      </c>
      <c r="X12" s="24" t="n">
        <f aca="false">SUMIF(Competitors!$C$3:$C$618,$C12,Competitors!$T$3:$T$618)</f>
        <v>5286</v>
      </c>
      <c r="Y12" s="24" t="n">
        <f aca="false">IF(ISNUMBER(M12),M12/4,"")</f>
        <v>0</v>
      </c>
      <c r="Z12" s="23" t="n">
        <f aca="false">IF(AND(ISNUMBER(Y12),X12&gt;0),Y12/(Y12+X12),"")</f>
        <v>0</v>
      </c>
      <c r="AA12" s="20" t="n">
        <v>107</v>
      </c>
      <c r="AB12" s="25" t="str">
        <f aca="false">IFERROR(IF(N(INDEX('Our BFCM 2025'!$S:$S,MATCH($C12,'Our BFCM 2025'!$C:$C,0)))=0,"",INDEX('Our BFCM 2025'!$S:$S,MATCH($C12,'Our BFCM 2025'!$C:$C,0))),"")</f>
        <v/>
      </c>
      <c r="AC12" s="23" t="str">
        <f aca="false">IFERROR(IF(N(INDEX('Our BFCM 2025'!$H:$H,MATCH($C12,'Our BFCM 2025'!$C:$C,0)))=0,"",INDEX('Our BFCM 2025'!$H:$H,MATCH($C12,'Our BFCM 2025'!$C:$C,0))),"")</f>
        <v/>
      </c>
      <c r="AD12" s="26"/>
      <c r="AE12" s="25" t="n">
        <v>1.01785714285714</v>
      </c>
      <c r="AF12" s="20" t="n">
        <f aca="false">COUNTIFS(Competitors!$C$3:$C$618,$C12,Competitors!$AY$3:$AY$618,"&lt;&gt;")</f>
        <v>0</v>
      </c>
      <c r="AG12" s="23" t="str">
        <f aca="false">IFERROR(AVERAGEIFS(Competitors!$BD$3:$BD$618,Competitors!$C$3:$C$618,$C12),"")</f>
        <v/>
      </c>
      <c r="AH12" s="27" t="str">
        <f aca="false">IFERROR(AVERAGEIFS(Competitors!$BH$3:$BH$618,Competitors!$C$3:$C$618,$C12),"")</f>
        <v/>
      </c>
    </row>
    <row r="13" customFormat="false" ht="15" hidden="false" customHeight="false" outlineLevel="0" collapsed="false">
      <c r="A13" s="15" t="s">
        <v>71</v>
      </c>
      <c r="B13" s="15" t="s">
        <v>92</v>
      </c>
      <c r="C13" s="15" t="n">
        <v>38</v>
      </c>
      <c r="D13" s="15" t="s">
        <v>214</v>
      </c>
      <c r="E13" s="16" t="s">
        <v>209</v>
      </c>
      <c r="F13" s="16" t="s">
        <v>215</v>
      </c>
      <c r="G13" s="16" t="n">
        <v>68</v>
      </c>
      <c r="H13" s="16" t="n">
        <v>4</v>
      </c>
      <c r="I13" s="16" t="n">
        <v>17</v>
      </c>
      <c r="J13" s="17" t="n">
        <v>19.3442424242424</v>
      </c>
      <c r="K13" s="17" t="n">
        <v>5.91042160737813</v>
      </c>
      <c r="L13" s="18" t="n">
        <v>0.305539057966474</v>
      </c>
      <c r="M13" s="19" t="n">
        <v>759</v>
      </c>
      <c r="N13" s="20" t="n">
        <f aca="false">COUNTIF(Competitors!$C$3:$C$618,$C13)</f>
        <v>14</v>
      </c>
      <c r="O13" s="20" t="n">
        <f aca="false">COUNTIFS(Competitors!$C$3:$C$618,$C13,Competitors!$J$3:$J$618,"Aspirational")</f>
        <v>0</v>
      </c>
      <c r="P13" s="20" t="n">
        <f aca="false">COUNTIFS(Competitors!$C$3:$C$618,$C13,Competitors!$J$3:$J$618,"Beatable")</f>
        <v>5</v>
      </c>
      <c r="Q13" s="20" t="n">
        <f aca="false">COUNTIFS(Competitors!$C$3:$C$618,$C13,Competitors!$J$3:$J$618,"Poor")</f>
        <v>5</v>
      </c>
      <c r="R13" s="21" t="n">
        <v>16.055</v>
      </c>
      <c r="S13" s="22" t="n">
        <f aca="false">IF(AND(ISNUMBER(J13),ISNUMBER(R13),R13&gt;0),J13/R13-1,"")</f>
        <v>0.204873399205383</v>
      </c>
      <c r="T13" s="20" t="n">
        <f aca="false">COUNTIFS(Competitors!$C$3:$C$618,$C13,Competitors!$Q$3:$Q$618,"&lt;0")</f>
        <v>12</v>
      </c>
      <c r="U13" s="20" t="n">
        <f aca="false">COUNTIFS(Competitors!$C$3:$C$618,$C13,Competitors!$M$3:$M$618,"&gt;0")</f>
        <v>2</v>
      </c>
      <c r="V13" s="20" t="n">
        <f aca="false">COUNTIFS(Competitors!$C$3:$C$618,$C13,Competitors!$M$3:$M$618,"&gt;0",Competitors!$M$3:$M$618,"&lt;=0.12")</f>
        <v>0</v>
      </c>
      <c r="W13" s="23" t="n">
        <f aca="false">IFERROR(AVERAGEIFS(Competitors!$M$3:$M$618,Competitors!$C$3:$C$618,$C13,Competitors!$M$3:$M$618,"&gt;0"),"")</f>
        <v>0.245122157501589</v>
      </c>
      <c r="X13" s="24" t="n">
        <f aca="false">SUMIF(Competitors!$C$3:$C$618,$C13,Competitors!$T$3:$T$618)</f>
        <v>4248</v>
      </c>
      <c r="Y13" s="24" t="n">
        <f aca="false">IF(ISNUMBER(M13),M13/4,"")</f>
        <v>189.75</v>
      </c>
      <c r="Z13" s="23" t="n">
        <f aca="false">IF(AND(ISNUMBER(Y13),X13&gt;0),Y13/(Y13+X13),"")</f>
        <v>0.0427581544701707</v>
      </c>
      <c r="AA13" s="20" t="n">
        <v>128</v>
      </c>
      <c r="AB13" s="25" t="n">
        <f aca="false">IFERROR(IF(N(INDEX('Our BFCM 2025'!$S:$S,MATCH($C13,'Our BFCM 2025'!$C:$C,0)))=0,"",INDEX('Our BFCM 2025'!$S:$S,MATCH($C13,'Our BFCM 2025'!$C:$C,0))),"")</f>
        <v>2.46933371991109</v>
      </c>
      <c r="AC13" s="23" t="n">
        <f aca="false">IFERROR(IF(N(INDEX('Our BFCM 2025'!$H:$H,MATCH($C13,'Our BFCM 2025'!$C:$C,0)))=0,"",INDEX('Our BFCM 2025'!$H:$H,MATCH($C13,'Our BFCM 2025'!$C:$C,0))),"")</f>
        <v>0.0778377816660717</v>
      </c>
      <c r="AD13" s="26" t="n">
        <v>1.07692307692308</v>
      </c>
      <c r="AE13" s="25" t="n">
        <v>1.11675351128306</v>
      </c>
      <c r="AF13" s="20" t="n">
        <f aca="false">COUNTIFS(Competitors!$C$3:$C$618,$C13,Competitors!$AY$3:$AY$618,"&lt;&gt;")</f>
        <v>0</v>
      </c>
      <c r="AG13" s="23" t="str">
        <f aca="false">IFERROR(AVERAGEIFS(Competitors!$BD$3:$BD$618,Competitors!$C$3:$C$618,$C13),"")</f>
        <v/>
      </c>
      <c r="AH13" s="27" t="str">
        <f aca="false">IFERROR(AVERAGEIFS(Competitors!$BH$3:$BH$618,Competitors!$C$3:$C$618,$C13),"")</f>
        <v/>
      </c>
    </row>
    <row r="14" customFormat="false" ht="15" hidden="false" customHeight="false" outlineLevel="0" collapsed="false">
      <c r="A14" s="15" t="s">
        <v>98</v>
      </c>
      <c r="B14" s="15" t="s">
        <v>99</v>
      </c>
      <c r="C14" s="15" t="n">
        <v>55</v>
      </c>
      <c r="D14" s="15" t="s">
        <v>216</v>
      </c>
      <c r="E14" s="16" t="s">
        <v>197</v>
      </c>
      <c r="F14" s="16" t="s">
        <v>217</v>
      </c>
      <c r="G14" s="16" t="n">
        <v>18</v>
      </c>
      <c r="H14" s="16" t="n">
        <v>3</v>
      </c>
      <c r="I14" s="16" t="n">
        <v>6</v>
      </c>
      <c r="J14" s="17" t="n">
        <v>50.2034482758621</v>
      </c>
      <c r="K14" s="17" t="n">
        <v>18.4601724137931</v>
      </c>
      <c r="L14" s="18" t="n">
        <v>0.367707260114019</v>
      </c>
      <c r="M14" s="19" t="n">
        <v>125</v>
      </c>
      <c r="N14" s="20" t="n">
        <f aca="false">COUNTIF(Competitors!$C$3:$C$618,$C14)</f>
        <v>29</v>
      </c>
      <c r="O14" s="20" t="n">
        <f aca="false">COUNTIFS(Competitors!$C$3:$C$618,$C14,Competitors!$J$3:$J$618,"Aspirational")</f>
        <v>5</v>
      </c>
      <c r="P14" s="20" t="n">
        <f aca="false">COUNTIFS(Competitors!$C$3:$C$618,$C14,Competitors!$J$3:$J$618,"Beatable")</f>
        <v>6</v>
      </c>
      <c r="Q14" s="20" t="n">
        <f aca="false">COUNTIFS(Competitors!$C$3:$C$618,$C14,Competitors!$J$3:$J$618,"Poor")</f>
        <v>1</v>
      </c>
      <c r="R14" s="21" t="n">
        <v>21.99</v>
      </c>
      <c r="S14" s="22" t="n">
        <f aca="false">IF(AND(ISNUMBER(J14),ISNUMBER(R14),R14&gt;0),J14/R14-1,"")</f>
        <v>1.28301265465494</v>
      </c>
      <c r="T14" s="20" t="n">
        <f aca="false">COUNTIFS(Competitors!$C$3:$C$618,$C14,Competitors!$Q$3:$Q$618,"&lt;0")</f>
        <v>25</v>
      </c>
      <c r="U14" s="20" t="n">
        <f aca="false">COUNTIFS(Competitors!$C$3:$C$618,$C14,Competitors!$M$3:$M$618,"&gt;0")</f>
        <v>2</v>
      </c>
      <c r="V14" s="20" t="n">
        <f aca="false">COUNTIFS(Competitors!$C$3:$C$618,$C14,Competitors!$M$3:$M$618,"&gt;0",Competitors!$M$3:$M$618,"&lt;=0.12")</f>
        <v>2</v>
      </c>
      <c r="W14" s="23" t="n">
        <f aca="false">IFERROR(AVERAGEIFS(Competitors!$M$3:$M$618,Competitors!$C$3:$C$618,$C14,Competitors!$M$3:$M$618,"&gt;0"),"")</f>
        <v>0.0712860987002528</v>
      </c>
      <c r="X14" s="24" t="n">
        <f aca="false">SUMIF(Competitors!$C$3:$C$618,$C14,Competitors!$T$3:$T$618)</f>
        <v>9718</v>
      </c>
      <c r="Y14" s="24" t="n">
        <f aca="false">IF(ISNUMBER(M14),M14/4,"")</f>
        <v>31.25</v>
      </c>
      <c r="Z14" s="23" t="n">
        <f aca="false">IF(AND(ISNUMBER(Y14),X14&gt;0),Y14/(Y14+X14),"")</f>
        <v>0.00320537477241839</v>
      </c>
      <c r="AA14" s="20" t="n">
        <v>67</v>
      </c>
      <c r="AB14" s="25" t="n">
        <f aca="false">IFERROR(IF(N(INDEX('Our BFCM 2025'!$S:$S,MATCH($C14,'Our BFCM 2025'!$C:$C,0)))=0,"",INDEX('Our BFCM 2025'!$S:$S,MATCH($C14,'Our BFCM 2025'!$C:$C,0))),"")</f>
        <v>1.35284789313679</v>
      </c>
      <c r="AC14" s="23" t="n">
        <f aca="false">IFERROR(IF(N(INDEX('Our BFCM 2025'!$H:$H,MATCH($C14,'Our BFCM 2025'!$C:$C,0)))=0,"",INDEX('Our BFCM 2025'!$H:$H,MATCH($C14,'Our BFCM 2025'!$C:$C,0))),"")</f>
        <v>0.335716119196335</v>
      </c>
      <c r="AD14" s="26" t="n">
        <v>1.29775280898876</v>
      </c>
      <c r="AE14" s="25" t="n">
        <v>1.16506053360093</v>
      </c>
      <c r="AF14" s="20" t="n">
        <f aca="false">COUNTIFS(Competitors!$C$3:$C$618,$C14,Competitors!$AY$3:$AY$618,"&lt;&gt;")</f>
        <v>0</v>
      </c>
      <c r="AG14" s="23" t="str">
        <f aca="false">IFERROR(AVERAGEIFS(Competitors!$BD$3:$BD$618,Competitors!$C$3:$C$618,$C14),"")</f>
        <v/>
      </c>
      <c r="AH14" s="27" t="str">
        <f aca="false">IFERROR(AVERAGEIFS(Competitors!$BH$3:$BH$618,Competitors!$C$3:$C$618,$C14),"")</f>
        <v/>
      </c>
    </row>
    <row r="15" customFormat="false" ht="15" hidden="false" customHeight="false" outlineLevel="0" collapsed="false">
      <c r="A15" s="15" t="s">
        <v>98</v>
      </c>
      <c r="B15" s="15" t="s">
        <v>104</v>
      </c>
      <c r="C15" s="15" t="n">
        <v>56</v>
      </c>
      <c r="D15" s="15" t="s">
        <v>216</v>
      </c>
      <c r="E15" s="16" t="s">
        <v>218</v>
      </c>
      <c r="F15" s="16" t="s">
        <v>219</v>
      </c>
      <c r="G15" s="16" t="n">
        <v>4</v>
      </c>
      <c r="H15" s="16" t="n">
        <v>1</v>
      </c>
      <c r="I15" s="16" t="n">
        <v>4</v>
      </c>
      <c r="J15" s="17" t="n">
        <v>25.95</v>
      </c>
      <c r="K15" s="17" t="n">
        <v>8.34</v>
      </c>
      <c r="L15" s="18" t="n">
        <v>0.321387283236994</v>
      </c>
      <c r="M15" s="19" t="n">
        <v>4</v>
      </c>
      <c r="N15" s="20" t="n">
        <f aca="false">COUNTIF(Competitors!$C$3:$C$618,$C15)</f>
        <v>27</v>
      </c>
      <c r="O15" s="20" t="n">
        <f aca="false">COUNTIFS(Competitors!$C$3:$C$618,$C15,Competitors!$J$3:$J$618,"Aspirational")</f>
        <v>10</v>
      </c>
      <c r="P15" s="20" t="n">
        <f aca="false">COUNTIFS(Competitors!$C$3:$C$618,$C15,Competitors!$J$3:$J$618,"Beatable")</f>
        <v>15</v>
      </c>
      <c r="Q15" s="20" t="n">
        <f aca="false">COUNTIFS(Competitors!$C$3:$C$618,$C15,Competitors!$J$3:$J$618,"Poor")</f>
        <v>1</v>
      </c>
      <c r="R15" s="21" t="n">
        <v>22.49</v>
      </c>
      <c r="S15" s="22" t="n">
        <f aca="false">IF(AND(ISNUMBER(J15),ISNUMBER(R15),R15&gt;0),J15/R15-1,"")</f>
        <v>0.153846153846154</v>
      </c>
      <c r="T15" s="20" t="n">
        <f aca="false">COUNTIFS(Competitors!$C$3:$C$618,$C15,Competitors!$Q$3:$Q$618,"&lt;0")</f>
        <v>18</v>
      </c>
      <c r="U15" s="20" t="n">
        <f aca="false">COUNTIFS(Competitors!$C$3:$C$618,$C15,Competitors!$M$3:$M$618,"&gt;0")</f>
        <v>7</v>
      </c>
      <c r="V15" s="20" t="n">
        <f aca="false">COUNTIFS(Competitors!$C$3:$C$618,$C15,Competitors!$M$3:$M$618,"&gt;0",Competitors!$M$3:$M$618,"&lt;=0.12")</f>
        <v>5</v>
      </c>
      <c r="W15" s="23" t="n">
        <f aca="false">IFERROR(AVERAGEIFS(Competitors!$M$3:$M$618,Competitors!$C$3:$C$618,$C15,Competitors!$M$3:$M$618,"&gt;0"),"")</f>
        <v>0.225489169000928</v>
      </c>
      <c r="X15" s="24" t="n">
        <f aca="false">SUMIF(Competitors!$C$3:$C$618,$C15,Competitors!$T$3:$T$618)</f>
        <v>28270</v>
      </c>
      <c r="Y15" s="24" t="n">
        <f aca="false">IF(ISNUMBER(M15),M15/4,"")</f>
        <v>1</v>
      </c>
      <c r="Z15" s="23" t="n">
        <f aca="false">IF(AND(ISNUMBER(Y15),X15&gt;0),Y15/(Y15+X15),"")</f>
        <v>3.53719359060521E-005</v>
      </c>
      <c r="AA15" s="20" t="n">
        <v>5.5</v>
      </c>
      <c r="AB15" s="25" t="str">
        <f aca="false">IFERROR(IF(N(INDEX('Our BFCM 2025'!$S:$S,MATCH($C15,'Our BFCM 2025'!$C:$C,0)))=0,"",INDEX('Our BFCM 2025'!$S:$S,MATCH($C15,'Our BFCM 2025'!$C:$C,0))),"")</f>
        <v/>
      </c>
      <c r="AC15" s="23" t="str">
        <f aca="false">IFERROR(IF(N(INDEX('Our BFCM 2025'!$H:$H,MATCH($C15,'Our BFCM 2025'!$C:$C,0)))=0,"",INDEX('Our BFCM 2025'!$H:$H,MATCH($C15,'Our BFCM 2025'!$C:$C,0))),"")</f>
        <v/>
      </c>
      <c r="AD15" s="26"/>
      <c r="AE15" s="25" t="n">
        <v>1.05563975561671</v>
      </c>
      <c r="AF15" s="20" t="n">
        <f aca="false">COUNTIFS(Competitors!$C$3:$C$618,$C15,Competitors!$AY$3:$AY$618,"&lt;&gt;")</f>
        <v>0</v>
      </c>
      <c r="AG15" s="23" t="str">
        <f aca="false">IFERROR(AVERAGEIFS(Competitors!$BD$3:$BD$618,Competitors!$C$3:$C$618,$C15),"")</f>
        <v/>
      </c>
      <c r="AH15" s="27" t="str">
        <f aca="false">IFERROR(AVERAGEIFS(Competitors!$BH$3:$BH$618,Competitors!$C$3:$C$618,$C15),"")</f>
        <v/>
      </c>
    </row>
    <row r="16" customFormat="false" ht="15" hidden="false" customHeight="false" outlineLevel="0" collapsed="false">
      <c r="A16" s="15" t="s">
        <v>98</v>
      </c>
      <c r="B16" s="15" t="s">
        <v>107</v>
      </c>
      <c r="C16" s="15" t="n">
        <v>57</v>
      </c>
      <c r="D16" s="15" t="s">
        <v>216</v>
      </c>
      <c r="E16" s="16" t="s">
        <v>205</v>
      </c>
      <c r="F16" s="16" t="s">
        <v>220</v>
      </c>
      <c r="G16" s="16" t="n">
        <v>4</v>
      </c>
      <c r="H16" s="16" t="n">
        <v>1</v>
      </c>
      <c r="I16" s="16" t="n">
        <v>4</v>
      </c>
      <c r="J16" s="17" t="n">
        <v>20.4115384615385</v>
      </c>
      <c r="K16" s="17" t="n">
        <v>5.83230769230769</v>
      </c>
      <c r="L16" s="18" t="n">
        <v>0.285735820614283</v>
      </c>
      <c r="M16" s="19" t="n">
        <v>13</v>
      </c>
      <c r="N16" s="20" t="n">
        <f aca="false">COUNTIF(Competitors!$C$3:$C$618,$C16)</f>
        <v>15</v>
      </c>
      <c r="O16" s="20" t="n">
        <f aca="false">COUNTIFS(Competitors!$C$3:$C$618,$C16,Competitors!$J$3:$J$618,"Aspirational")</f>
        <v>6</v>
      </c>
      <c r="P16" s="20" t="n">
        <f aca="false">COUNTIFS(Competitors!$C$3:$C$618,$C16,Competitors!$J$3:$J$618,"Beatable")</f>
        <v>5</v>
      </c>
      <c r="Q16" s="20" t="n">
        <f aca="false">COUNTIFS(Competitors!$C$3:$C$618,$C16,Competitors!$J$3:$J$618,"Poor")</f>
        <v>0</v>
      </c>
      <c r="R16" s="21" t="n">
        <v>17.99</v>
      </c>
      <c r="S16" s="22" t="n">
        <f aca="false">IF(AND(ISNUMBER(J16),ISNUMBER(R16),R16&gt;0),J16/R16-1,"")</f>
        <v>0.134604694915979</v>
      </c>
      <c r="T16" s="20" t="n">
        <f aca="false">COUNTIFS(Competitors!$C$3:$C$618,$C16,Competitors!$Q$3:$Q$618,"&lt;0")</f>
        <v>10</v>
      </c>
      <c r="U16" s="20" t="n">
        <f aca="false">COUNTIFS(Competitors!$C$3:$C$618,$C16,Competitors!$M$3:$M$618,"&gt;0")</f>
        <v>3</v>
      </c>
      <c r="V16" s="20" t="n">
        <f aca="false">COUNTIFS(Competitors!$C$3:$C$618,$C16,Competitors!$M$3:$M$618,"&gt;0",Competitors!$M$3:$M$618,"&lt;=0.12")</f>
        <v>2</v>
      </c>
      <c r="W16" s="23" t="n">
        <f aca="false">IFERROR(AVERAGEIFS(Competitors!$M$3:$M$618,Competitors!$C$3:$C$618,$C16,Competitors!$M$3:$M$618,"&gt;0"),"")</f>
        <v>0.319677692999913</v>
      </c>
      <c r="X16" s="24" t="n">
        <f aca="false">SUMIF(Competitors!$C$3:$C$618,$C16,Competitors!$T$3:$T$618)</f>
        <v>9878</v>
      </c>
      <c r="Y16" s="24" t="n">
        <f aca="false">IF(ISNUMBER(M16),M16/4,"")</f>
        <v>3.25</v>
      </c>
      <c r="Z16" s="23" t="n">
        <f aca="false">IF(AND(ISNUMBER(Y16),X16&gt;0),Y16/(Y16+X16),"")</f>
        <v>0.000328905755850727</v>
      </c>
      <c r="AA16" s="20" t="n">
        <v>5.5</v>
      </c>
      <c r="AB16" s="25" t="str">
        <f aca="false">IFERROR(IF(N(INDEX('Our BFCM 2025'!$S:$S,MATCH($C16,'Our BFCM 2025'!$C:$C,0)))=0,"",INDEX('Our BFCM 2025'!$S:$S,MATCH($C16,'Our BFCM 2025'!$C:$C,0))),"")</f>
        <v/>
      </c>
      <c r="AC16" s="23" t="str">
        <f aca="false">IFERROR(IF(N(INDEX('Our BFCM 2025'!$H:$H,MATCH($C16,'Our BFCM 2025'!$C:$C,0)))=0,"",INDEX('Our BFCM 2025'!$H:$H,MATCH($C16,'Our BFCM 2025'!$C:$C,0))),"")</f>
        <v/>
      </c>
      <c r="AD16" s="26"/>
      <c r="AE16" s="25" t="n">
        <v>0.971398855954238</v>
      </c>
      <c r="AF16" s="20" t="n">
        <f aca="false">COUNTIFS(Competitors!$C$3:$C$618,$C16,Competitors!$AY$3:$AY$618,"&lt;&gt;")</f>
        <v>0</v>
      </c>
      <c r="AG16" s="23" t="str">
        <f aca="false">IFERROR(AVERAGEIFS(Competitors!$BD$3:$BD$618,Competitors!$C$3:$C$618,$C16),"")</f>
        <v/>
      </c>
      <c r="AH16" s="27" t="str">
        <f aca="false">IFERROR(AVERAGEIFS(Competitors!$BH$3:$BH$618,Competitors!$C$3:$C$618,$C16),"")</f>
        <v/>
      </c>
    </row>
    <row r="17" customFormat="false" ht="15" hidden="false" customHeight="false" outlineLevel="0" collapsed="false">
      <c r="A17" s="15" t="s">
        <v>110</v>
      </c>
      <c r="B17" s="15" t="s">
        <v>111</v>
      </c>
      <c r="C17" s="15" t="n">
        <v>48</v>
      </c>
      <c r="D17" s="15" t="s">
        <v>221</v>
      </c>
      <c r="E17" s="16" t="s">
        <v>197</v>
      </c>
      <c r="F17" s="16" t="s">
        <v>222</v>
      </c>
      <c r="G17" s="16" t="n">
        <v>61</v>
      </c>
      <c r="H17" s="16" t="n">
        <v>6</v>
      </c>
      <c r="I17" s="16" t="n">
        <v>16</v>
      </c>
      <c r="J17" s="17" t="n">
        <v>40.3264705882353</v>
      </c>
      <c r="K17" s="17" t="n">
        <v>11.542</v>
      </c>
      <c r="L17" s="18" t="n">
        <v>0.286213988768142</v>
      </c>
      <c r="M17" s="19" t="n">
        <v>89</v>
      </c>
      <c r="N17" s="20" t="n">
        <f aca="false">COUNTIF(Competitors!$C$3:$C$618,$C17)</f>
        <v>28</v>
      </c>
      <c r="O17" s="20" t="n">
        <f aca="false">COUNTIFS(Competitors!$C$3:$C$618,$C17,Competitors!$J$3:$J$618,"Aspirational")</f>
        <v>5</v>
      </c>
      <c r="P17" s="20" t="n">
        <f aca="false">COUNTIFS(Competitors!$C$3:$C$618,$C17,Competitors!$J$3:$J$618,"Beatable")</f>
        <v>19</v>
      </c>
      <c r="Q17" s="20" t="n">
        <f aca="false">COUNTIFS(Competitors!$C$3:$C$618,$C17,Competitors!$J$3:$J$618,"Poor")</f>
        <v>2</v>
      </c>
      <c r="R17" s="21" t="n">
        <v>84.99</v>
      </c>
      <c r="S17" s="22" t="n">
        <f aca="false">IF(AND(ISNUMBER(J17),ISNUMBER(R17),R17&gt;0),J17/R17-1,"")</f>
        <v>-0.525515112504585</v>
      </c>
      <c r="T17" s="20" t="n">
        <f aca="false">COUNTIFS(Competitors!$C$3:$C$618,$C17,Competitors!$Q$3:$Q$618,"&lt;0")</f>
        <v>4</v>
      </c>
      <c r="U17" s="20" t="n">
        <f aca="false">COUNTIFS(Competitors!$C$3:$C$618,$C17,Competitors!$M$3:$M$618,"&gt;0")</f>
        <v>10</v>
      </c>
      <c r="V17" s="20" t="n">
        <f aca="false">COUNTIFS(Competitors!$C$3:$C$618,$C17,Competitors!$M$3:$M$618,"&gt;0",Competitors!$M$3:$M$618,"&lt;=0.12")</f>
        <v>1</v>
      </c>
      <c r="W17" s="23" t="n">
        <f aca="false">IFERROR(AVERAGEIFS(Competitors!$M$3:$M$618,Competitors!$C$3:$C$618,$C17,Competitors!$M$3:$M$618,"&gt;0"),"")</f>
        <v>0.278618129226305</v>
      </c>
      <c r="X17" s="24" t="n">
        <f aca="false">SUMIF(Competitors!$C$3:$C$618,$C17,Competitors!$T$3:$T$618)</f>
        <v>2960</v>
      </c>
      <c r="Y17" s="24" t="n">
        <f aca="false">IF(ISNUMBER(M17),M17/4,"")</f>
        <v>22.25</v>
      </c>
      <c r="Z17" s="23" t="n">
        <f aca="false">IF(AND(ISNUMBER(Y17),X17&gt;0),Y17/(Y17+X17),"")</f>
        <v>0.00746080979126499</v>
      </c>
      <c r="AA17" s="20" t="n">
        <v>70</v>
      </c>
      <c r="AB17" s="25" t="n">
        <f aca="false">IFERROR(IF(N(INDEX('Our BFCM 2025'!$S:$S,MATCH($C17,'Our BFCM 2025'!$C:$C,0)))=0,"",INDEX('Our BFCM 2025'!$S:$S,MATCH($C17,'Our BFCM 2025'!$C:$C,0))),"")</f>
        <v>1.62839143677733</v>
      </c>
      <c r="AC17" s="23" t="n">
        <f aca="false">IFERROR(IF(N(INDEX('Our BFCM 2025'!$H:$H,MATCH($C17,'Our BFCM 2025'!$C:$C,0)))=0,"",INDEX('Our BFCM 2025'!$H:$H,MATCH($C17,'Our BFCM 2025'!$C:$C,0))),"")</f>
        <v>0.0684689550010325</v>
      </c>
      <c r="AD17" s="26"/>
      <c r="AE17" s="25" t="n">
        <v>1.31480853947814</v>
      </c>
      <c r="AF17" s="20" t="n">
        <f aca="false">COUNTIFS(Competitors!$C$3:$C$618,$C17,Competitors!$AY$3:$AY$618,"&lt;&gt;")</f>
        <v>0</v>
      </c>
      <c r="AG17" s="23" t="str">
        <f aca="false">IFERROR(AVERAGEIFS(Competitors!$BD$3:$BD$618,Competitors!$C$3:$C$618,$C17),"")</f>
        <v/>
      </c>
      <c r="AH17" s="27" t="str">
        <f aca="false">IFERROR(AVERAGEIFS(Competitors!$BH$3:$BH$618,Competitors!$C$3:$C$618,$C17),"")</f>
        <v/>
      </c>
    </row>
    <row r="18" customFormat="false" ht="15" hidden="false" customHeight="false" outlineLevel="0" collapsed="false">
      <c r="A18" s="15" t="s">
        <v>110</v>
      </c>
      <c r="B18" s="15" t="s">
        <v>116</v>
      </c>
      <c r="C18" s="15" t="n">
        <v>45</v>
      </c>
      <c r="D18" s="15" t="s">
        <v>221</v>
      </c>
      <c r="E18" s="16" t="s">
        <v>197</v>
      </c>
      <c r="F18" s="16" t="s">
        <v>223</v>
      </c>
      <c r="G18" s="16" t="n">
        <v>61</v>
      </c>
      <c r="H18" s="16" t="n">
        <v>5</v>
      </c>
      <c r="I18" s="16" t="n">
        <v>13</v>
      </c>
      <c r="J18" s="17" t="n">
        <v>66.3695180722892</v>
      </c>
      <c r="K18" s="17" t="n">
        <v>20.4528313253012</v>
      </c>
      <c r="L18" s="18" t="n">
        <v>0.308166036447999</v>
      </c>
      <c r="M18" s="19" t="n">
        <v>332</v>
      </c>
      <c r="N18" s="20" t="n">
        <f aca="false">COUNTIF(Competitors!$C$3:$C$618,$C18)</f>
        <v>36</v>
      </c>
      <c r="O18" s="20" t="n">
        <f aca="false">COUNTIFS(Competitors!$C$3:$C$618,$C18,Competitors!$J$3:$J$618,"Aspirational")</f>
        <v>2</v>
      </c>
      <c r="P18" s="20" t="n">
        <f aca="false">COUNTIFS(Competitors!$C$3:$C$618,$C18,Competitors!$J$3:$J$618,"Beatable")</f>
        <v>11</v>
      </c>
      <c r="Q18" s="20" t="n">
        <f aca="false">COUNTIFS(Competitors!$C$3:$C$618,$C18,Competitors!$J$3:$J$618,"Poor")</f>
        <v>6</v>
      </c>
      <c r="R18" s="21" t="n">
        <v>79.495</v>
      </c>
      <c r="S18" s="22" t="n">
        <f aca="false">IF(AND(ISNUMBER(J18),ISNUMBER(R18),R18&gt;0),J18/R18-1,"")</f>
        <v>-0.165110785932585</v>
      </c>
      <c r="T18" s="20" t="n">
        <f aca="false">COUNTIFS(Competitors!$C$3:$C$618,$C18,Competitors!$Q$3:$Q$618,"&lt;0")</f>
        <v>13</v>
      </c>
      <c r="U18" s="20" t="n">
        <f aca="false">COUNTIFS(Competitors!$C$3:$C$618,$C18,Competitors!$M$3:$M$618,"&gt;0")</f>
        <v>15</v>
      </c>
      <c r="V18" s="20" t="n">
        <f aca="false">COUNTIFS(Competitors!$C$3:$C$618,$C18,Competitors!$M$3:$M$618,"&gt;0",Competitors!$M$3:$M$618,"&lt;=0.12")</f>
        <v>2</v>
      </c>
      <c r="W18" s="23" t="n">
        <f aca="false">IFERROR(AVERAGEIFS(Competitors!$M$3:$M$618,Competitors!$C$3:$C$618,$C18,Competitors!$M$3:$M$618,"&gt;0"),"")</f>
        <v>0.224747760127685</v>
      </c>
      <c r="X18" s="24" t="n">
        <f aca="false">SUMIF(Competitors!$C$3:$C$618,$C18,Competitors!$T$3:$T$618)</f>
        <v>4540</v>
      </c>
      <c r="Y18" s="24" t="n">
        <f aca="false">IF(ISNUMBER(M18),M18/4,"")</f>
        <v>83</v>
      </c>
      <c r="Z18" s="23" t="n">
        <f aca="false">IF(AND(ISNUMBER(Y18),X18&gt;0),Y18/(Y18+X18),"")</f>
        <v>0.017953709712308</v>
      </c>
      <c r="AA18" s="20" t="n">
        <v>79</v>
      </c>
      <c r="AB18" s="25" t="n">
        <f aca="false">IFERROR(IF(N(INDEX('Our BFCM 2025'!$S:$S,MATCH($C18,'Our BFCM 2025'!$C:$C,0)))=0,"",INDEX('Our BFCM 2025'!$S:$S,MATCH($C18,'Our BFCM 2025'!$C:$C,0))),"")</f>
        <v>1.14442761532111</v>
      </c>
      <c r="AC18" s="23" t="n">
        <f aca="false">IFERROR(IF(N(INDEX('Our BFCM 2025'!$H:$H,MATCH($C18,'Our BFCM 2025'!$C:$C,0)))=0,"",INDEX('Our BFCM 2025'!$H:$H,MATCH($C18,'Our BFCM 2025'!$C:$C,0))),"")</f>
        <v>0.0160618097914486</v>
      </c>
      <c r="AD18" s="26"/>
      <c r="AE18" s="25" t="n">
        <v>1.31246845027764</v>
      </c>
      <c r="AF18" s="20" t="n">
        <f aca="false">COUNTIFS(Competitors!$C$3:$C$618,$C18,Competitors!$AY$3:$AY$618,"&lt;&gt;")</f>
        <v>0</v>
      </c>
      <c r="AG18" s="23" t="str">
        <f aca="false">IFERROR(AVERAGEIFS(Competitors!$BD$3:$BD$618,Competitors!$C$3:$C$618,$C18),"")</f>
        <v/>
      </c>
      <c r="AH18" s="27" t="str">
        <f aca="false">IFERROR(AVERAGEIFS(Competitors!$BH$3:$BH$618,Competitors!$C$3:$C$618,$C18),"")</f>
        <v/>
      </c>
    </row>
    <row r="19" customFormat="false" ht="15" hidden="false" customHeight="false" outlineLevel="0" collapsed="false">
      <c r="A19" s="15" t="s">
        <v>110</v>
      </c>
      <c r="B19" s="15" t="s">
        <v>121</v>
      </c>
      <c r="C19" s="15" t="n">
        <v>76</v>
      </c>
      <c r="D19" s="15" t="s">
        <v>221</v>
      </c>
      <c r="E19" s="16" t="s">
        <v>202</v>
      </c>
      <c r="F19" s="16" t="s">
        <v>224</v>
      </c>
      <c r="G19" s="16" t="n">
        <v>60</v>
      </c>
      <c r="H19" s="16" t="n">
        <v>5</v>
      </c>
      <c r="I19" s="16" t="n">
        <v>12</v>
      </c>
      <c r="J19" s="17"/>
      <c r="K19" s="17"/>
      <c r="L19" s="18"/>
      <c r="M19" s="19" t="n">
        <v>0</v>
      </c>
      <c r="N19" s="20" t="n">
        <f aca="false">COUNTIF(Competitors!$C$3:$C$618,$C19)</f>
        <v>7</v>
      </c>
      <c r="O19" s="20" t="n">
        <f aca="false">COUNTIFS(Competitors!$C$3:$C$618,$C19,Competitors!$J$3:$J$618,"Aspirational")</f>
        <v>0</v>
      </c>
      <c r="P19" s="20" t="n">
        <f aca="false">COUNTIFS(Competitors!$C$3:$C$618,$C19,Competitors!$J$3:$J$618,"Beatable")</f>
        <v>0</v>
      </c>
      <c r="Q19" s="20" t="n">
        <f aca="false">COUNTIFS(Competitors!$C$3:$C$618,$C19,Competitors!$J$3:$J$618,"Poor")</f>
        <v>0</v>
      </c>
      <c r="R19" s="21" t="n">
        <v>139.99</v>
      </c>
      <c r="S19" s="22" t="str">
        <f aca="false">IF(AND(ISNUMBER(J19),ISNUMBER(R19),R19&gt;0),J19/R19-1,"")</f>
        <v/>
      </c>
      <c r="T19" s="20" t="n">
        <f aca="false">COUNTIFS(Competitors!$C$3:$C$618,$C19,Competitors!$Q$3:$Q$618,"&lt;0")</f>
        <v>0</v>
      </c>
      <c r="U19" s="20" t="n">
        <f aca="false">COUNTIFS(Competitors!$C$3:$C$618,$C19,Competitors!$M$3:$M$618,"&gt;0")</f>
        <v>4</v>
      </c>
      <c r="V19" s="20" t="n">
        <f aca="false">COUNTIFS(Competitors!$C$3:$C$618,$C19,Competitors!$M$3:$M$618,"&gt;0",Competitors!$M$3:$M$618,"&lt;=0.12")</f>
        <v>1</v>
      </c>
      <c r="W19" s="23" t="n">
        <f aca="false">IFERROR(AVERAGEIFS(Competitors!$M$3:$M$618,Competitors!$C$3:$C$618,$C19,Competitors!$M$3:$M$618,"&gt;0"),"")</f>
        <v>0.259979054584259</v>
      </c>
      <c r="X19" s="24" t="n">
        <f aca="false">SUMIF(Competitors!$C$3:$C$618,$C19,Competitors!$T$3:$T$618)</f>
        <v>940</v>
      </c>
      <c r="Y19" s="24" t="n">
        <f aca="false">IF(ISNUMBER(M19),M19/4,"")</f>
        <v>0</v>
      </c>
      <c r="Z19" s="23" t="n">
        <f aca="false">IF(AND(ISNUMBER(Y19),X19&gt;0),Y19/(Y19+X19),"")</f>
        <v>0</v>
      </c>
      <c r="AA19" s="20" t="n">
        <v>131</v>
      </c>
      <c r="AB19" s="25" t="str">
        <f aca="false">IFERROR(IF(N(INDEX('Our BFCM 2025'!$S:$S,MATCH($C19,'Our BFCM 2025'!$C:$C,0)))=0,"",INDEX('Our BFCM 2025'!$S:$S,MATCH($C19,'Our BFCM 2025'!$C:$C,0))),"")</f>
        <v/>
      </c>
      <c r="AC19" s="23" t="str">
        <f aca="false">IFERROR(IF(N(INDEX('Our BFCM 2025'!$H:$H,MATCH($C19,'Our BFCM 2025'!$C:$C,0)))=0,"",INDEX('Our BFCM 2025'!$H:$H,MATCH($C19,'Our BFCM 2025'!$C:$C,0))),"")</f>
        <v/>
      </c>
      <c r="AD19" s="26"/>
      <c r="AE19" s="25" t="n">
        <v>1.25494758626279</v>
      </c>
      <c r="AF19" s="20" t="n">
        <f aca="false">COUNTIFS(Competitors!$C$3:$C$618,$C19,Competitors!$AY$3:$AY$618,"&lt;&gt;")</f>
        <v>0</v>
      </c>
      <c r="AG19" s="23" t="str">
        <f aca="false">IFERROR(AVERAGEIFS(Competitors!$BD$3:$BD$618,Competitors!$C$3:$C$618,$C19),"")</f>
        <v/>
      </c>
      <c r="AH19" s="27" t="str">
        <f aca="false">IFERROR(AVERAGEIFS(Competitors!$BH$3:$BH$618,Competitors!$C$3:$C$618,$C19),"")</f>
        <v/>
      </c>
    </row>
    <row r="20" customFormat="false" ht="15" hidden="false" customHeight="false" outlineLevel="0" collapsed="false">
      <c r="A20" s="15" t="s">
        <v>110</v>
      </c>
      <c r="B20" s="15" t="s">
        <v>124</v>
      </c>
      <c r="C20" s="15" t="n">
        <v>69</v>
      </c>
      <c r="D20" s="15" t="s">
        <v>205</v>
      </c>
      <c r="E20" s="16" t="s">
        <v>202</v>
      </c>
      <c r="F20" s="16" t="s">
        <v>225</v>
      </c>
      <c r="G20" s="16" t="n">
        <v>60</v>
      </c>
      <c r="H20" s="16" t="n">
        <v>5</v>
      </c>
      <c r="I20" s="16" t="n">
        <v>12</v>
      </c>
      <c r="J20" s="17"/>
      <c r="K20" s="17"/>
      <c r="L20" s="18"/>
      <c r="M20" s="19" t="n">
        <v>42</v>
      </c>
      <c r="N20" s="20" t="n">
        <f aca="false">COUNTIF(Competitors!$C$3:$C$618,$C20)</f>
        <v>14</v>
      </c>
      <c r="O20" s="20" t="n">
        <f aca="false">COUNTIFS(Competitors!$C$3:$C$618,$C20,Competitors!$J$3:$J$618,"Aspirational")</f>
        <v>0</v>
      </c>
      <c r="P20" s="20" t="n">
        <f aca="false">COUNTIFS(Competitors!$C$3:$C$618,$C20,Competitors!$J$3:$J$618,"Beatable")</f>
        <v>0</v>
      </c>
      <c r="Q20" s="20" t="n">
        <f aca="false">COUNTIFS(Competitors!$C$3:$C$618,$C20,Competitors!$J$3:$J$618,"Poor")</f>
        <v>0</v>
      </c>
      <c r="R20" s="21" t="n">
        <v>137.995</v>
      </c>
      <c r="S20" s="22" t="str">
        <f aca="false">IF(AND(ISNUMBER(J20),ISNUMBER(R20),R20&gt;0),J20/R20-1,"")</f>
        <v/>
      </c>
      <c r="T20" s="20" t="n">
        <f aca="false">COUNTIFS(Competitors!$C$3:$C$618,$C20,Competitors!$Q$3:$Q$618,"&lt;0")</f>
        <v>0</v>
      </c>
      <c r="U20" s="20" t="n">
        <f aca="false">COUNTIFS(Competitors!$C$3:$C$618,$C20,Competitors!$M$3:$M$618,"&gt;0")</f>
        <v>6</v>
      </c>
      <c r="V20" s="20" t="n">
        <f aca="false">COUNTIFS(Competitors!$C$3:$C$618,$C20,Competitors!$M$3:$M$618,"&gt;0",Competitors!$M$3:$M$618,"&lt;=0.12")</f>
        <v>0</v>
      </c>
      <c r="W20" s="23" t="n">
        <f aca="false">IFERROR(AVERAGEIFS(Competitors!$M$3:$M$618,Competitors!$C$3:$C$618,$C20,Competitors!$M$3:$M$618,"&gt;0"),"")</f>
        <v>0.273116229449533</v>
      </c>
      <c r="X20" s="24" t="n">
        <f aca="false">SUMIF(Competitors!$C$3:$C$618,$C20,Competitors!$T$3:$T$618)</f>
        <v>416</v>
      </c>
      <c r="Y20" s="24" t="n">
        <f aca="false">IF(ISNUMBER(M20),M20/4,"")</f>
        <v>10.5</v>
      </c>
      <c r="Z20" s="23" t="n">
        <f aca="false">IF(AND(ISNUMBER(Y20),X20&gt;0),Y20/(Y20+X20),"")</f>
        <v>0.0246189917936694</v>
      </c>
      <c r="AA20" s="20" t="n">
        <v>31</v>
      </c>
      <c r="AB20" s="25" t="str">
        <f aca="false">IFERROR(IF(N(INDEX('Our BFCM 2025'!$S:$S,MATCH($C20,'Our BFCM 2025'!$C:$C,0)))=0,"",INDEX('Our BFCM 2025'!$S:$S,MATCH($C20,'Our BFCM 2025'!$C:$C,0))),"")</f>
        <v/>
      </c>
      <c r="AC20" s="23" t="str">
        <f aca="false">IFERROR(IF(N(INDEX('Our BFCM 2025'!$H:$H,MATCH($C20,'Our BFCM 2025'!$C:$C,0)))=0,"",INDEX('Our BFCM 2025'!$H:$H,MATCH($C20,'Our BFCM 2025'!$C:$C,0))),"")</f>
        <v/>
      </c>
      <c r="AD20" s="26"/>
      <c r="AE20" s="25" t="n">
        <v>0.964060126329256</v>
      </c>
      <c r="AF20" s="20" t="n">
        <f aca="false">COUNTIFS(Competitors!$C$3:$C$618,$C20,Competitors!$AY$3:$AY$618,"&lt;&gt;")</f>
        <v>0</v>
      </c>
      <c r="AG20" s="23" t="str">
        <f aca="false">IFERROR(AVERAGEIFS(Competitors!$BD$3:$BD$618,Competitors!$C$3:$C$618,$C20),"")</f>
        <v/>
      </c>
      <c r="AH20" s="27" t="str">
        <f aca="false">IFERROR(AVERAGEIFS(Competitors!$BH$3:$BH$618,Competitors!$C$3:$C$618,$C20),"")</f>
        <v/>
      </c>
    </row>
    <row r="21" customFormat="false" ht="15" hidden="false" customHeight="false" outlineLevel="0" collapsed="false">
      <c r="A21" s="15" t="s">
        <v>110</v>
      </c>
      <c r="B21" s="15" t="s">
        <v>127</v>
      </c>
      <c r="C21" s="15" t="n">
        <v>70</v>
      </c>
      <c r="D21" s="15" t="s">
        <v>205</v>
      </c>
      <c r="E21" s="16" t="s">
        <v>205</v>
      </c>
      <c r="F21" s="16" t="s">
        <v>226</v>
      </c>
      <c r="G21" s="16" t="n">
        <v>12</v>
      </c>
      <c r="H21" s="16" t="n">
        <v>3</v>
      </c>
      <c r="I21" s="16" t="n">
        <v>4</v>
      </c>
      <c r="J21" s="17"/>
      <c r="K21" s="17"/>
      <c r="L21" s="18"/>
      <c r="M21" s="19" t="n">
        <v>310</v>
      </c>
      <c r="N21" s="20" t="n">
        <f aca="false">COUNTIF(Competitors!$C$3:$C$618,$C21)</f>
        <v>15</v>
      </c>
      <c r="O21" s="20" t="n">
        <f aca="false">COUNTIFS(Competitors!$C$3:$C$618,$C21,Competitors!$J$3:$J$618,"Aspirational")</f>
        <v>3</v>
      </c>
      <c r="P21" s="20" t="n">
        <f aca="false">COUNTIFS(Competitors!$C$3:$C$618,$C21,Competitors!$J$3:$J$618,"Beatable")</f>
        <v>11</v>
      </c>
      <c r="Q21" s="20" t="n">
        <f aca="false">COUNTIFS(Competitors!$C$3:$C$618,$C21,Competitors!$J$3:$J$618,"Poor")</f>
        <v>1</v>
      </c>
      <c r="R21" s="21" t="n">
        <v>18.95</v>
      </c>
      <c r="S21" s="22" t="str">
        <f aca="false">IF(AND(ISNUMBER(J21),ISNUMBER(R21),R21&gt;0),J21/R21-1,"")</f>
        <v/>
      </c>
      <c r="T21" s="20" t="n">
        <f aca="false">COUNTIFS(Competitors!$C$3:$C$618,$C21,Competitors!$Q$3:$Q$618,"&lt;0")</f>
        <v>0</v>
      </c>
      <c r="U21" s="20" t="n">
        <f aca="false">COUNTIFS(Competitors!$C$3:$C$618,$C21,Competitors!$M$3:$M$618,"&gt;0")</f>
        <v>3</v>
      </c>
      <c r="V21" s="20" t="n">
        <f aca="false">COUNTIFS(Competitors!$C$3:$C$618,$C21,Competitors!$M$3:$M$618,"&gt;0",Competitors!$M$3:$M$618,"&lt;=0.12")</f>
        <v>0</v>
      </c>
      <c r="W21" s="23" t="n">
        <f aca="false">IFERROR(AVERAGEIFS(Competitors!$M$3:$M$618,Competitors!$C$3:$C$618,$C21,Competitors!$M$3:$M$618,"&gt;0"),"")</f>
        <v>0.29981514908113</v>
      </c>
      <c r="X21" s="24" t="n">
        <f aca="false">SUMIF(Competitors!$C$3:$C$618,$C21,Competitors!$T$3:$T$618)</f>
        <v>737</v>
      </c>
      <c r="Y21" s="24" t="n">
        <f aca="false">IF(ISNUMBER(M21),M21/4,"")</f>
        <v>77.5</v>
      </c>
      <c r="Z21" s="23" t="n">
        <f aca="false">IF(AND(ISNUMBER(Y21),X21&gt;0),Y21/(Y21+X21),"")</f>
        <v>0.0951503990178023</v>
      </c>
      <c r="AA21" s="20" t="n">
        <v>14</v>
      </c>
      <c r="AB21" s="25" t="str">
        <f aca="false">IFERROR(IF(N(INDEX('Our BFCM 2025'!$S:$S,MATCH($C21,'Our BFCM 2025'!$C:$C,0)))=0,"",INDEX('Our BFCM 2025'!$S:$S,MATCH($C21,'Our BFCM 2025'!$C:$C,0))),"")</f>
        <v/>
      </c>
      <c r="AC21" s="23" t="str">
        <f aca="false">IFERROR(IF(N(INDEX('Our BFCM 2025'!$H:$H,MATCH($C21,'Our BFCM 2025'!$C:$C,0)))=0,"",INDEX('Our BFCM 2025'!$H:$H,MATCH($C21,'Our BFCM 2025'!$C:$C,0))),"")</f>
        <v/>
      </c>
      <c r="AD21" s="26"/>
      <c r="AE21" s="25" t="n">
        <v>1.10542432195976</v>
      </c>
      <c r="AF21" s="20" t="n">
        <f aca="false">COUNTIFS(Competitors!$C$3:$C$618,$C21,Competitors!$AY$3:$AY$618,"&lt;&gt;")</f>
        <v>0</v>
      </c>
      <c r="AG21" s="23" t="str">
        <f aca="false">IFERROR(AVERAGEIFS(Competitors!$BD$3:$BD$618,Competitors!$C$3:$C$618,$C21),"")</f>
        <v/>
      </c>
      <c r="AH21" s="27" t="str">
        <f aca="false">IFERROR(AVERAGEIFS(Competitors!$BH$3:$BH$618,Competitors!$C$3:$C$618,$C21),"")</f>
        <v/>
      </c>
    </row>
    <row r="22" customFormat="false" ht="15" hidden="false" customHeight="false" outlineLevel="0" collapsed="false">
      <c r="A22" s="15" t="s">
        <v>110</v>
      </c>
      <c r="B22" s="15" t="s">
        <v>130</v>
      </c>
      <c r="C22" s="15" t="n">
        <v>43</v>
      </c>
      <c r="D22" s="15" t="s">
        <v>227</v>
      </c>
      <c r="E22" s="16" t="s">
        <v>197</v>
      </c>
      <c r="F22" s="16" t="s">
        <v>228</v>
      </c>
      <c r="G22" s="16" t="n">
        <v>12</v>
      </c>
      <c r="H22" s="16" t="n">
        <v>3</v>
      </c>
      <c r="I22" s="16" t="n">
        <v>4</v>
      </c>
      <c r="J22" s="17" t="n">
        <v>20.8781481481482</v>
      </c>
      <c r="K22" s="17" t="n">
        <v>6.87611111111111</v>
      </c>
      <c r="L22" s="18" t="n">
        <v>0.329344875911373</v>
      </c>
      <c r="M22" s="19" t="n">
        <v>54</v>
      </c>
      <c r="N22" s="20" t="n">
        <f aca="false">COUNTIF(Competitors!$C$3:$C$618,$C22)</f>
        <v>21</v>
      </c>
      <c r="O22" s="20" t="n">
        <f aca="false">COUNTIFS(Competitors!$C$3:$C$618,$C22,Competitors!$J$3:$J$618,"Aspirational")</f>
        <v>4</v>
      </c>
      <c r="P22" s="20" t="n">
        <f aca="false">COUNTIFS(Competitors!$C$3:$C$618,$C22,Competitors!$J$3:$J$618,"Beatable")</f>
        <v>16</v>
      </c>
      <c r="Q22" s="20" t="n">
        <f aca="false">COUNTIFS(Competitors!$C$3:$C$618,$C22,Competitors!$J$3:$J$618,"Poor")</f>
        <v>0</v>
      </c>
      <c r="R22" s="21" t="n">
        <v>18.95</v>
      </c>
      <c r="S22" s="22" t="n">
        <f aca="false">IF(AND(ISNUMBER(J22),ISNUMBER(R22),R22&gt;0),J22/R22-1,"")</f>
        <v>0.10174924264634</v>
      </c>
      <c r="T22" s="20" t="n">
        <f aca="false">COUNTIFS(Competitors!$C$3:$C$618,$C22,Competitors!$Q$3:$Q$618,"&lt;0")</f>
        <v>15</v>
      </c>
      <c r="U22" s="20" t="n">
        <f aca="false">COUNTIFS(Competitors!$C$3:$C$618,$C22,Competitors!$M$3:$M$618,"&gt;0")</f>
        <v>5</v>
      </c>
      <c r="V22" s="20" t="n">
        <f aca="false">COUNTIFS(Competitors!$C$3:$C$618,$C22,Competitors!$M$3:$M$618,"&gt;0",Competitors!$M$3:$M$618,"&lt;=0.12")</f>
        <v>0</v>
      </c>
      <c r="W22" s="23" t="n">
        <f aca="false">IFERROR(AVERAGEIFS(Competitors!$M$3:$M$618,Competitors!$C$3:$C$618,$C22,Competitors!$M$3:$M$618,"&gt;0"),"")</f>
        <v>0.265214476639201</v>
      </c>
      <c r="X22" s="24" t="n">
        <f aca="false">SUMIF(Competitors!$C$3:$C$618,$C22,Competitors!$T$3:$T$618)</f>
        <v>2909</v>
      </c>
      <c r="Y22" s="24" t="n">
        <f aca="false">IF(ISNUMBER(M22),M22/4,"")</f>
        <v>13.5</v>
      </c>
      <c r="Z22" s="23" t="n">
        <f aca="false">IF(AND(ISNUMBER(Y22),X22&gt;0),Y22/(Y22+X22),"")</f>
        <v>0.00461933276304534</v>
      </c>
      <c r="AA22" s="20" t="n">
        <v>12</v>
      </c>
      <c r="AB22" s="25" t="str">
        <f aca="false">IFERROR(IF(N(INDEX('Our BFCM 2025'!$S:$S,MATCH($C22,'Our BFCM 2025'!$C:$C,0)))=0,"",INDEX('Our BFCM 2025'!$S:$S,MATCH($C22,'Our BFCM 2025'!$C:$C,0))),"")</f>
        <v/>
      </c>
      <c r="AC22" s="23" t="str">
        <f aca="false">IFERROR(IF(N(INDEX('Our BFCM 2025'!$H:$H,MATCH($C22,'Our BFCM 2025'!$C:$C,0)))=0,"",INDEX('Our BFCM 2025'!$H:$H,MATCH($C22,'Our BFCM 2025'!$C:$C,0))),"")</f>
        <v/>
      </c>
      <c r="AD22" s="26"/>
      <c r="AE22" s="25" t="n">
        <v>1.0997375328084</v>
      </c>
      <c r="AF22" s="20" t="n">
        <f aca="false">COUNTIFS(Competitors!$C$3:$C$618,$C22,Competitors!$AY$3:$AY$618,"&lt;&gt;")</f>
        <v>0</v>
      </c>
      <c r="AG22" s="23" t="str">
        <f aca="false">IFERROR(AVERAGEIFS(Competitors!$BD$3:$BD$618,Competitors!$C$3:$C$618,$C22),"")</f>
        <v/>
      </c>
      <c r="AH22" s="27" t="str">
        <f aca="false">IFERROR(AVERAGEIFS(Competitors!$BH$3:$BH$618,Competitors!$C$3:$C$618,$C22),"")</f>
        <v/>
      </c>
    </row>
    <row r="23" customFormat="false" ht="15" hidden="false" customHeight="false" outlineLevel="0" collapsed="false">
      <c r="A23" s="15" t="s">
        <v>110</v>
      </c>
      <c r="B23" s="15" t="s">
        <v>134</v>
      </c>
      <c r="C23" s="15" t="n">
        <v>42</v>
      </c>
      <c r="D23" s="15" t="s">
        <v>229</v>
      </c>
      <c r="E23" s="16" t="s">
        <v>197</v>
      </c>
      <c r="F23" s="16" t="s">
        <v>230</v>
      </c>
      <c r="G23" s="16" t="n">
        <v>20</v>
      </c>
      <c r="H23" s="16" t="n">
        <v>4</v>
      </c>
      <c r="I23" s="16" t="n">
        <v>5</v>
      </c>
      <c r="J23" s="17" t="n">
        <v>67.6823076923077</v>
      </c>
      <c r="K23" s="17" t="n">
        <v>15.0598461538462</v>
      </c>
      <c r="L23" s="18" t="n">
        <v>0.222507870480867</v>
      </c>
      <c r="M23" s="19" t="n">
        <v>78</v>
      </c>
      <c r="N23" s="20" t="n">
        <f aca="false">COUNTIF(Competitors!$C$3:$C$618,$C23)</f>
        <v>18</v>
      </c>
      <c r="O23" s="20" t="n">
        <f aca="false">COUNTIFS(Competitors!$C$3:$C$618,$C23,Competitors!$J$3:$J$618,"Aspirational")</f>
        <v>1</v>
      </c>
      <c r="P23" s="20" t="n">
        <f aca="false">COUNTIFS(Competitors!$C$3:$C$618,$C23,Competitors!$J$3:$J$618,"Beatable")</f>
        <v>12</v>
      </c>
      <c r="Q23" s="20" t="n">
        <f aca="false">COUNTIFS(Competitors!$C$3:$C$618,$C23,Competitors!$J$3:$J$618,"Poor")</f>
        <v>0</v>
      </c>
      <c r="R23" s="21" t="n">
        <v>46.945</v>
      </c>
      <c r="S23" s="22" t="n">
        <f aca="false">IF(AND(ISNUMBER(J23),ISNUMBER(R23),R23&gt;0),J23/R23-1,"")</f>
        <v>0.441736237987169</v>
      </c>
      <c r="T23" s="20" t="n">
        <f aca="false">COUNTIFS(Competitors!$C$3:$C$618,$C23,Competitors!$Q$3:$Q$618,"&lt;0")</f>
        <v>16</v>
      </c>
      <c r="U23" s="20" t="n">
        <f aca="false">COUNTIFS(Competitors!$C$3:$C$618,$C23,Competitors!$M$3:$M$618,"&gt;0")</f>
        <v>5</v>
      </c>
      <c r="V23" s="20" t="n">
        <f aca="false">COUNTIFS(Competitors!$C$3:$C$618,$C23,Competitors!$M$3:$M$618,"&gt;0",Competitors!$M$3:$M$618,"&lt;=0.12")</f>
        <v>0</v>
      </c>
      <c r="W23" s="23" t="n">
        <f aca="false">IFERROR(AVERAGEIFS(Competitors!$M$3:$M$618,Competitors!$C$3:$C$618,$C23,Competitors!$M$3:$M$618,"&gt;0"),"")</f>
        <v>0.274603842095908</v>
      </c>
      <c r="X23" s="24" t="n">
        <f aca="false">SUMIF(Competitors!$C$3:$C$618,$C23,Competitors!$T$3:$T$618)</f>
        <v>1547</v>
      </c>
      <c r="Y23" s="24" t="n">
        <f aca="false">IF(ISNUMBER(M23),M23/4,"")</f>
        <v>19.5</v>
      </c>
      <c r="Z23" s="23" t="n">
        <f aca="false">IF(AND(ISNUMBER(Y23),X23&gt;0),Y23/(Y23+X23),"")</f>
        <v>0.012448132780083</v>
      </c>
      <c r="AA23" s="20"/>
      <c r="AB23" s="25" t="n">
        <f aca="false">IFERROR(IF(N(INDEX('Our BFCM 2025'!$S:$S,MATCH($C23,'Our BFCM 2025'!$C:$C,0)))=0,"",INDEX('Our BFCM 2025'!$S:$S,MATCH($C23,'Our BFCM 2025'!$C:$C,0))),"")</f>
        <v>3.39376289624432</v>
      </c>
      <c r="AC23" s="23" t="n">
        <f aca="false">IFERROR(IF(N(INDEX('Our BFCM 2025'!$H:$H,MATCH($C23,'Our BFCM 2025'!$C:$C,0)))=0,"",INDEX('Our BFCM 2025'!$H:$H,MATCH($C23,'Our BFCM 2025'!$C:$C,0))),"")</f>
        <v>0.122837052752191</v>
      </c>
      <c r="AD23" s="26" t="n">
        <v>3.25373134328358</v>
      </c>
      <c r="AE23" s="25" t="n">
        <v>1.37496188840926</v>
      </c>
      <c r="AF23" s="20" t="n">
        <f aca="false">COUNTIFS(Competitors!$C$3:$C$618,$C23,Competitors!$AY$3:$AY$618,"&lt;&gt;")</f>
        <v>0</v>
      </c>
      <c r="AG23" s="23" t="str">
        <f aca="false">IFERROR(AVERAGEIFS(Competitors!$BD$3:$BD$618,Competitors!$C$3:$C$618,$C23),"")</f>
        <v/>
      </c>
      <c r="AH23" s="27" t="str">
        <f aca="false">IFERROR(AVERAGEIFS(Competitors!$BH$3:$BH$618,Competitors!$C$3:$C$618,$C23),"")</f>
        <v/>
      </c>
    </row>
    <row r="24" customFormat="false" ht="15" hidden="false" customHeight="false" outlineLevel="0" collapsed="false">
      <c r="A24" s="15" t="s">
        <v>110</v>
      </c>
      <c r="B24" s="15" t="s">
        <v>140</v>
      </c>
      <c r="C24" s="15" t="n">
        <v>44</v>
      </c>
      <c r="D24" s="15" t="s">
        <v>227</v>
      </c>
      <c r="E24" s="16" t="s">
        <v>197</v>
      </c>
      <c r="F24" s="16" t="s">
        <v>231</v>
      </c>
      <c r="G24" s="16" t="n">
        <v>65</v>
      </c>
      <c r="H24" s="16" t="n">
        <v>5</v>
      </c>
      <c r="I24" s="16" t="n">
        <v>13</v>
      </c>
      <c r="J24" s="17" t="n">
        <v>33.2258674463938</v>
      </c>
      <c r="K24" s="17" t="n">
        <v>8.37222222222222</v>
      </c>
      <c r="L24" s="18" t="n">
        <v>0.251979041201253</v>
      </c>
      <c r="M24" s="19" t="n">
        <v>513</v>
      </c>
      <c r="N24" s="20" t="n">
        <f aca="false">COUNTIF(Competitors!$C$3:$C$618,$C24)</f>
        <v>11</v>
      </c>
      <c r="O24" s="20" t="n">
        <f aca="false">COUNTIFS(Competitors!$C$3:$C$618,$C24,Competitors!$J$3:$J$618,"Aspirational")</f>
        <v>1</v>
      </c>
      <c r="P24" s="20" t="n">
        <f aca="false">COUNTIFS(Competitors!$C$3:$C$618,$C24,Competitors!$J$3:$J$618,"Beatable")</f>
        <v>6</v>
      </c>
      <c r="Q24" s="20" t="n">
        <f aca="false">COUNTIFS(Competitors!$C$3:$C$618,$C24,Competitors!$J$3:$J$618,"Poor")</f>
        <v>1</v>
      </c>
      <c r="R24" s="21" t="n">
        <v>62.99</v>
      </c>
      <c r="S24" s="22" t="n">
        <f aca="false">IF(AND(ISNUMBER(J24),ISNUMBER(R24),R24&gt;0),J24/R24-1,"")</f>
        <v>-0.472521551890875</v>
      </c>
      <c r="T24" s="20" t="n">
        <f aca="false">COUNTIFS(Competitors!$C$3:$C$618,$C24,Competitors!$Q$3:$Q$618,"&lt;0")</f>
        <v>2</v>
      </c>
      <c r="U24" s="20" t="n">
        <f aca="false">COUNTIFS(Competitors!$C$3:$C$618,$C24,Competitors!$M$3:$M$618,"&gt;0")</f>
        <v>5</v>
      </c>
      <c r="V24" s="20" t="n">
        <f aca="false">COUNTIFS(Competitors!$C$3:$C$618,$C24,Competitors!$M$3:$M$618,"&gt;0",Competitors!$M$3:$M$618,"&lt;=0.12")</f>
        <v>1</v>
      </c>
      <c r="W24" s="23" t="n">
        <f aca="false">IFERROR(AVERAGEIFS(Competitors!$M$3:$M$618,Competitors!$C$3:$C$618,$C24,Competitors!$M$3:$M$618,"&gt;0"),"")</f>
        <v>0.284654651720162</v>
      </c>
      <c r="X24" s="24" t="n">
        <f aca="false">SUMIF(Competitors!$C$3:$C$618,$C24,Competitors!$T$3:$T$618)</f>
        <v>2050</v>
      </c>
      <c r="Y24" s="24" t="n">
        <f aca="false">IF(ISNUMBER(M24),M24/4,"")</f>
        <v>128.25</v>
      </c>
      <c r="Z24" s="23" t="n">
        <f aca="false">IF(AND(ISNUMBER(Y24),X24&gt;0),Y24/(Y24+X24),"")</f>
        <v>0.0588775393090784</v>
      </c>
      <c r="AA24" s="20" t="n">
        <v>102.5</v>
      </c>
      <c r="AB24" s="25" t="str">
        <f aca="false">IFERROR(IF(N(INDEX('Our BFCM 2025'!$S:$S,MATCH($C24,'Our BFCM 2025'!$C:$C,0)))=0,"",INDEX('Our BFCM 2025'!$S:$S,MATCH($C24,'Our BFCM 2025'!$C:$C,0))),"")</f>
        <v/>
      </c>
      <c r="AC24" s="23" t="str">
        <f aca="false">IFERROR(IF(N(INDEX('Our BFCM 2025'!$H:$H,MATCH($C24,'Our BFCM 2025'!$C:$C,0)))=0,"",INDEX('Our BFCM 2025'!$H:$H,MATCH($C24,'Our BFCM 2025'!$C:$C,0))),"")</f>
        <v/>
      </c>
      <c r="AD24" s="26"/>
      <c r="AE24" s="25" t="n">
        <v>1.1787118677954</v>
      </c>
      <c r="AF24" s="20" t="n">
        <f aca="false">COUNTIFS(Competitors!$C$3:$C$618,$C24,Competitors!$AY$3:$AY$618,"&lt;&gt;")</f>
        <v>0</v>
      </c>
      <c r="AG24" s="23" t="str">
        <f aca="false">IFERROR(AVERAGEIFS(Competitors!$BD$3:$BD$618,Competitors!$C$3:$C$618,$C24),"")</f>
        <v/>
      </c>
      <c r="AH24" s="27" t="str">
        <f aca="false">IFERROR(AVERAGEIFS(Competitors!$BH$3:$BH$618,Competitors!$C$3:$C$618,$C24),"")</f>
        <v/>
      </c>
    </row>
    <row r="25" customFormat="false" ht="15" hidden="false" customHeight="false" outlineLevel="0" collapsed="false">
      <c r="A25" s="15" t="s">
        <v>144</v>
      </c>
      <c r="B25" s="15" t="s">
        <v>145</v>
      </c>
      <c r="C25" s="15" t="n">
        <v>46</v>
      </c>
      <c r="D25" s="15" t="s">
        <v>218</v>
      </c>
      <c r="E25" s="16" t="s">
        <v>218</v>
      </c>
      <c r="F25" s="16" t="s">
        <v>232</v>
      </c>
      <c r="G25" s="16" t="n">
        <v>21</v>
      </c>
      <c r="H25" s="16" t="n">
        <v>3</v>
      </c>
      <c r="I25" s="16" t="n">
        <v>7</v>
      </c>
      <c r="J25" s="17" t="n">
        <v>29.02125</v>
      </c>
      <c r="K25" s="17" t="n">
        <v>1.4915625</v>
      </c>
      <c r="L25" s="18" t="n">
        <v>0.0513955291381315</v>
      </c>
      <c r="M25" s="19" t="n">
        <v>32</v>
      </c>
      <c r="N25" s="20" t="n">
        <f aca="false">COUNTIF(Competitors!$C$3:$C$618,$C25)</f>
        <v>19</v>
      </c>
      <c r="O25" s="20" t="n">
        <f aca="false">COUNTIFS(Competitors!$C$3:$C$618,$C25,Competitors!$J$3:$J$618,"Aspirational")</f>
        <v>8</v>
      </c>
      <c r="P25" s="20" t="n">
        <f aca="false">COUNTIFS(Competitors!$C$3:$C$618,$C25,Competitors!$J$3:$J$618,"Beatable")</f>
        <v>9</v>
      </c>
      <c r="Q25" s="20" t="n">
        <f aca="false">COUNTIFS(Competitors!$C$3:$C$618,$C25,Competitors!$J$3:$J$618,"Poor")</f>
        <v>2</v>
      </c>
      <c r="R25" s="21" t="n">
        <v>33.99</v>
      </c>
      <c r="S25" s="22" t="n">
        <f aca="false">IF(AND(ISNUMBER(J25),ISNUMBER(R25),R25&gt;0),J25/R25-1,"")</f>
        <v>-0.146182700794351</v>
      </c>
      <c r="T25" s="20" t="n">
        <f aca="false">COUNTIFS(Competitors!$C$3:$C$618,$C25,Competitors!$Q$3:$Q$618,"&lt;0")</f>
        <v>5</v>
      </c>
      <c r="U25" s="20" t="n">
        <f aca="false">COUNTIFS(Competitors!$C$3:$C$618,$C25,Competitors!$M$3:$M$618,"&gt;0")</f>
        <v>3</v>
      </c>
      <c r="V25" s="20" t="n">
        <f aca="false">COUNTIFS(Competitors!$C$3:$C$618,$C25,Competitors!$M$3:$M$618,"&gt;0",Competitors!$M$3:$M$618,"&lt;=0.12")</f>
        <v>2</v>
      </c>
      <c r="W25" s="23" t="n">
        <f aca="false">IFERROR(AVERAGEIFS(Competitors!$M$3:$M$618,Competitors!$C$3:$C$618,$C25,Competitors!$M$3:$M$618,"&gt;0"),"")</f>
        <v>0.131550259810493</v>
      </c>
      <c r="X25" s="24" t="n">
        <f aca="false">SUMIF(Competitors!$C$3:$C$618,$C25,Competitors!$T$3:$T$618)</f>
        <v>2924</v>
      </c>
      <c r="Y25" s="24" t="n">
        <f aca="false">IF(ISNUMBER(M25),M25/4,"")</f>
        <v>8</v>
      </c>
      <c r="Z25" s="23" t="n">
        <f aca="false">IF(AND(ISNUMBER(Y25),X25&gt;0),Y25/(Y25+X25),"")</f>
        <v>0.00272851296043656</v>
      </c>
      <c r="AA25" s="20" t="n">
        <v>79</v>
      </c>
      <c r="AB25" s="25" t="str">
        <f aca="false">IFERROR(IF(N(INDEX('Our BFCM 2025'!$S:$S,MATCH($C25,'Our BFCM 2025'!$C:$C,0)))=0,"",INDEX('Our BFCM 2025'!$S:$S,MATCH($C25,'Our BFCM 2025'!$C:$C,0))),"")</f>
        <v/>
      </c>
      <c r="AC25" s="23" t="str">
        <f aca="false">IFERROR(IF(N(INDEX('Our BFCM 2025'!$H:$H,MATCH($C25,'Our BFCM 2025'!$C:$C,0)))=0,"",INDEX('Our BFCM 2025'!$H:$H,MATCH($C25,'Our BFCM 2025'!$C:$C,0))),"")</f>
        <v/>
      </c>
      <c r="AD25" s="26"/>
      <c r="AE25" s="25" t="n">
        <v>1.10208030962748</v>
      </c>
      <c r="AF25" s="20" t="n">
        <f aca="false">COUNTIFS(Competitors!$C$3:$C$618,$C25,Competitors!$AY$3:$AY$618,"&lt;&gt;")</f>
        <v>0</v>
      </c>
      <c r="AG25" s="23" t="str">
        <f aca="false">IFERROR(AVERAGEIFS(Competitors!$BD$3:$BD$618,Competitors!$C$3:$C$618,$C25),"")</f>
        <v/>
      </c>
      <c r="AH25" s="27" t="str">
        <f aca="false">IFERROR(AVERAGEIFS(Competitors!$BH$3:$BH$618,Competitors!$C$3:$C$618,$C25),"")</f>
        <v/>
      </c>
    </row>
    <row r="26" customFormat="false" ht="15" hidden="false" customHeight="false" outlineLevel="0" collapsed="false">
      <c r="A26" s="15" t="s">
        <v>144</v>
      </c>
      <c r="B26" s="15" t="s">
        <v>148</v>
      </c>
      <c r="C26" s="15" t="n">
        <v>53</v>
      </c>
      <c r="D26" s="15" t="s">
        <v>218</v>
      </c>
      <c r="E26" s="16" t="s">
        <v>218</v>
      </c>
      <c r="F26" s="16" t="s">
        <v>233</v>
      </c>
      <c r="G26" s="16" t="n">
        <v>42</v>
      </c>
      <c r="H26" s="16" t="n">
        <v>7</v>
      </c>
      <c r="I26" s="16" t="n">
        <v>6</v>
      </c>
      <c r="J26" s="17" t="n">
        <v>29.8233333333333</v>
      </c>
      <c r="K26" s="17" t="n">
        <v>-0.230000000000002</v>
      </c>
      <c r="L26" s="18" t="n">
        <v>-0.771208226221086</v>
      </c>
      <c r="M26" s="19" t="n">
        <v>12</v>
      </c>
      <c r="N26" s="20" t="n">
        <f aca="false">COUNTIF(Competitors!$C$3:$C$618,$C26)</f>
        <v>21</v>
      </c>
      <c r="O26" s="20" t="n">
        <f aca="false">COUNTIFS(Competitors!$C$3:$C$618,$C26,Competitors!$J$3:$J$618,"Aspirational")</f>
        <v>7</v>
      </c>
      <c r="P26" s="20" t="n">
        <f aca="false">COUNTIFS(Competitors!$C$3:$C$618,$C26,Competitors!$J$3:$J$618,"Beatable")</f>
        <v>8</v>
      </c>
      <c r="Q26" s="20" t="n">
        <f aca="false">COUNTIFS(Competitors!$C$3:$C$618,$C26,Competitors!$J$3:$J$618,"Poor")</f>
        <v>6</v>
      </c>
      <c r="R26" s="21" t="n">
        <v>23.99</v>
      </c>
      <c r="S26" s="22" t="n">
        <f aca="false">IF(AND(ISNUMBER(J26),ISNUMBER(R26),R26&gt;0),J26/R26-1,"")</f>
        <v>0.243156870918438</v>
      </c>
      <c r="T26" s="20" t="n">
        <f aca="false">COUNTIFS(Competitors!$C$3:$C$618,$C26,Competitors!$Q$3:$Q$618,"&lt;0")</f>
        <v>16</v>
      </c>
      <c r="U26" s="20" t="n">
        <f aca="false">COUNTIFS(Competitors!$C$3:$C$618,$C26,Competitors!$M$3:$M$618,"&gt;0")</f>
        <v>10</v>
      </c>
      <c r="V26" s="20" t="n">
        <f aca="false">COUNTIFS(Competitors!$C$3:$C$618,$C26,Competitors!$M$3:$M$618,"&gt;0",Competitors!$M$3:$M$618,"&lt;=0.12")</f>
        <v>1</v>
      </c>
      <c r="W26" s="23" t="n">
        <f aca="false">IFERROR(AVERAGEIFS(Competitors!$M$3:$M$618,Competitors!$C$3:$C$618,$C26,Competitors!$M$3:$M$618,"&gt;0"),"")</f>
        <v>0.238400306144208</v>
      </c>
      <c r="X26" s="24" t="n">
        <f aca="false">SUMIF(Competitors!$C$3:$C$618,$C26,Competitors!$T$3:$T$618)</f>
        <v>13914</v>
      </c>
      <c r="Y26" s="24" t="n">
        <f aca="false">IF(ISNUMBER(M26),M26/4,"")</f>
        <v>3</v>
      </c>
      <c r="Z26" s="23" t="n">
        <f aca="false">IF(AND(ISNUMBER(Y26),X26&gt;0),Y26/(Y26+X26),"")</f>
        <v>0.000215563699073076</v>
      </c>
      <c r="AA26" s="20" t="n">
        <v>194</v>
      </c>
      <c r="AB26" s="25" t="str">
        <f aca="false">IFERROR(IF(N(INDEX('Our BFCM 2025'!$S:$S,MATCH($C26,'Our BFCM 2025'!$C:$C,0)))=0,"",INDEX('Our BFCM 2025'!$S:$S,MATCH($C26,'Our BFCM 2025'!$C:$C,0))),"")</f>
        <v/>
      </c>
      <c r="AC26" s="23" t="str">
        <f aca="false">IFERROR(IF(N(INDEX('Our BFCM 2025'!$H:$H,MATCH($C26,'Our BFCM 2025'!$C:$C,0)))=0,"",INDEX('Our BFCM 2025'!$H:$H,MATCH($C26,'Our BFCM 2025'!$C:$C,0))),"")</f>
        <v/>
      </c>
      <c r="AD26" s="26"/>
      <c r="AE26" s="25" t="n">
        <v>0.830178844838258</v>
      </c>
      <c r="AF26" s="20" t="n">
        <f aca="false">COUNTIFS(Competitors!$C$3:$C$618,$C26,Competitors!$AY$3:$AY$618,"&lt;&gt;")</f>
        <v>0</v>
      </c>
      <c r="AG26" s="23" t="str">
        <f aca="false">IFERROR(AVERAGEIFS(Competitors!$BD$3:$BD$618,Competitors!$C$3:$C$618,$C26),"")</f>
        <v/>
      </c>
      <c r="AH26" s="27" t="str">
        <f aca="false">IFERROR(AVERAGEIFS(Competitors!$BH$3:$BH$618,Competitors!$C$3:$C$618,$C26),"")</f>
        <v/>
      </c>
    </row>
    <row r="27" customFormat="false" ht="15" hidden="false" customHeight="false" outlineLevel="0" collapsed="false">
      <c r="A27" s="15" t="s">
        <v>144</v>
      </c>
      <c r="B27" s="15" t="s">
        <v>151</v>
      </c>
      <c r="C27" s="15" t="n">
        <v>49</v>
      </c>
      <c r="D27" s="15" t="s">
        <v>144</v>
      </c>
      <c r="E27" s="16" t="s">
        <v>218</v>
      </c>
      <c r="F27" s="16" t="s">
        <v>234</v>
      </c>
      <c r="G27" s="16" t="n">
        <v>14</v>
      </c>
      <c r="H27" s="16" t="n">
        <v>1</v>
      </c>
      <c r="I27" s="16" t="n">
        <v>7</v>
      </c>
      <c r="J27" s="17" t="n">
        <v>21.45</v>
      </c>
      <c r="K27" s="17" t="n">
        <v>5.475</v>
      </c>
      <c r="L27" s="18" t="n">
        <v>0.255244755244755</v>
      </c>
      <c r="M27" s="19" t="n">
        <v>2</v>
      </c>
      <c r="N27" s="20" t="n">
        <f aca="false">COUNTIF(Competitors!$C$3:$C$618,$C27)</f>
        <v>13</v>
      </c>
      <c r="O27" s="20" t="n">
        <f aca="false">COUNTIFS(Competitors!$C$3:$C$618,$C27,Competitors!$J$3:$J$618,"Aspirational")</f>
        <v>4</v>
      </c>
      <c r="P27" s="20" t="n">
        <f aca="false">COUNTIFS(Competitors!$C$3:$C$618,$C27,Competitors!$J$3:$J$618,"Beatable")</f>
        <v>7</v>
      </c>
      <c r="Q27" s="20" t="n">
        <f aca="false">COUNTIFS(Competitors!$C$3:$C$618,$C27,Competitors!$J$3:$J$618,"Poor")</f>
        <v>0</v>
      </c>
      <c r="R27" s="21" t="n">
        <v>14.99</v>
      </c>
      <c r="S27" s="22" t="n">
        <f aca="false">IF(AND(ISNUMBER(J27),ISNUMBER(R27),R27&gt;0),J27/R27-1,"")</f>
        <v>0.430953969312875</v>
      </c>
      <c r="T27" s="20" t="n">
        <f aca="false">COUNTIFS(Competitors!$C$3:$C$618,$C27,Competitors!$Q$3:$Q$618,"&lt;0")</f>
        <v>11</v>
      </c>
      <c r="U27" s="20" t="n">
        <f aca="false">COUNTIFS(Competitors!$C$3:$C$618,$C27,Competitors!$M$3:$M$618,"&gt;0")</f>
        <v>1</v>
      </c>
      <c r="V27" s="20" t="n">
        <f aca="false">COUNTIFS(Competitors!$C$3:$C$618,$C27,Competitors!$M$3:$M$618,"&gt;0",Competitors!$M$3:$M$618,"&lt;=0.12")</f>
        <v>0</v>
      </c>
      <c r="W27" s="23" t="n">
        <f aca="false">IFERROR(AVERAGEIFS(Competitors!$M$3:$M$618,Competitors!$C$3:$C$618,$C27,Competitors!$M$3:$M$618,"&gt;0"),"")</f>
        <v>0.285918513223731</v>
      </c>
      <c r="X27" s="24" t="n">
        <f aca="false">SUMIF(Competitors!$C$3:$C$618,$C27,Competitors!$T$3:$T$618)</f>
        <v>154</v>
      </c>
      <c r="Y27" s="24" t="n">
        <f aca="false">IF(ISNUMBER(M27),M27/4,"")</f>
        <v>0.5</v>
      </c>
      <c r="Z27" s="23" t="n">
        <f aca="false">IF(AND(ISNUMBER(Y27),X27&gt;0),Y27/(Y27+X27),"")</f>
        <v>0.00323624595469256</v>
      </c>
      <c r="AA27" s="20" t="n">
        <v>7</v>
      </c>
      <c r="AB27" s="25" t="str">
        <f aca="false">IFERROR(IF(N(INDEX('Our BFCM 2025'!$S:$S,MATCH($C27,'Our BFCM 2025'!$C:$C,0)))=0,"",INDEX('Our BFCM 2025'!$S:$S,MATCH($C27,'Our BFCM 2025'!$C:$C,0))),"")</f>
        <v/>
      </c>
      <c r="AC27" s="23" t="str">
        <f aca="false">IFERROR(IF(N(INDEX('Our BFCM 2025'!$H:$H,MATCH($C27,'Our BFCM 2025'!$C:$C,0)))=0,"",INDEX('Our BFCM 2025'!$H:$H,MATCH($C27,'Our BFCM 2025'!$C:$C,0))),"")</f>
        <v/>
      </c>
      <c r="AD27" s="26"/>
      <c r="AE27" s="25"/>
      <c r="AF27" s="20" t="n">
        <f aca="false">COUNTIFS(Competitors!$C$3:$C$618,$C27,Competitors!$AY$3:$AY$618,"&lt;&gt;")</f>
        <v>0</v>
      </c>
      <c r="AG27" s="23" t="str">
        <f aca="false">IFERROR(AVERAGEIFS(Competitors!$BD$3:$BD$618,Competitors!$C$3:$C$618,$C27),"")</f>
        <v/>
      </c>
      <c r="AH27" s="27" t="str">
        <f aca="false">IFERROR(AVERAGEIFS(Competitors!$BH$3:$BH$618,Competitors!$C$3:$C$618,$C27),"")</f>
        <v/>
      </c>
    </row>
    <row r="28" customFormat="false" ht="15" hidden="false" customHeight="false" outlineLevel="0" collapsed="false">
      <c r="A28" s="15" t="s">
        <v>144</v>
      </c>
      <c r="B28" s="15" t="s">
        <v>154</v>
      </c>
      <c r="C28" s="15" t="n">
        <v>58</v>
      </c>
      <c r="D28" s="15" t="s">
        <v>144</v>
      </c>
      <c r="E28" s="16" t="s">
        <v>218</v>
      </c>
      <c r="F28" s="16" t="s">
        <v>235</v>
      </c>
      <c r="G28" s="16" t="n">
        <v>7</v>
      </c>
      <c r="H28" s="16" t="n">
        <v>1</v>
      </c>
      <c r="I28" s="16" t="n">
        <v>7</v>
      </c>
      <c r="J28" s="17" t="n">
        <v>37.95</v>
      </c>
      <c r="K28" s="17" t="n">
        <v>1.31</v>
      </c>
      <c r="L28" s="18" t="n">
        <v>0.0345191040843216</v>
      </c>
      <c r="M28" s="19" t="n">
        <v>2</v>
      </c>
      <c r="N28" s="20" t="n">
        <f aca="false">COUNTIF(Competitors!$C$3:$C$618,$C28)</f>
        <v>17</v>
      </c>
      <c r="O28" s="20" t="n">
        <f aca="false">COUNTIFS(Competitors!$C$3:$C$618,$C28,Competitors!$J$3:$J$618,"Aspirational")</f>
        <v>3</v>
      </c>
      <c r="P28" s="20" t="n">
        <f aca="false">COUNTIFS(Competitors!$C$3:$C$618,$C28,Competitors!$J$3:$J$618,"Beatable")</f>
        <v>13</v>
      </c>
      <c r="Q28" s="20" t="n">
        <f aca="false">COUNTIFS(Competitors!$C$3:$C$618,$C28,Competitors!$J$3:$J$618,"Poor")</f>
        <v>0</v>
      </c>
      <c r="R28" s="21" t="n">
        <v>33.99</v>
      </c>
      <c r="S28" s="22" t="n">
        <f aca="false">IF(AND(ISNUMBER(J28),ISNUMBER(R28),R28&gt;0),J28/R28-1,"")</f>
        <v>0.116504854368932</v>
      </c>
      <c r="T28" s="20" t="n">
        <f aca="false">COUNTIFS(Competitors!$C$3:$C$618,$C28,Competitors!$Q$3:$Q$618,"&lt;0")</f>
        <v>12</v>
      </c>
      <c r="U28" s="20" t="n">
        <f aca="false">COUNTIFS(Competitors!$C$3:$C$618,$C28,Competitors!$M$3:$M$618,"&gt;0")</f>
        <v>3</v>
      </c>
      <c r="V28" s="20" t="n">
        <f aca="false">COUNTIFS(Competitors!$C$3:$C$618,$C28,Competitors!$M$3:$M$618,"&gt;0",Competitors!$M$3:$M$618,"&lt;=0.12")</f>
        <v>1</v>
      </c>
      <c r="W28" s="23" t="n">
        <f aca="false">IFERROR(AVERAGEIFS(Competitors!$M$3:$M$618,Competitors!$C$3:$C$618,$C28,Competitors!$M$3:$M$618,"&gt;0"),"")</f>
        <v>0.139757315665361</v>
      </c>
      <c r="X28" s="24" t="n">
        <f aca="false">SUMIF(Competitors!$C$3:$C$618,$C28,Competitors!$T$3:$T$618)</f>
        <v>514</v>
      </c>
      <c r="Y28" s="24" t="n">
        <f aca="false">IF(ISNUMBER(M28),M28/4,"")</f>
        <v>0.5</v>
      </c>
      <c r="Z28" s="23" t="n">
        <f aca="false">IF(AND(ISNUMBER(Y28),X28&gt;0),Y28/(Y28+X28),"")</f>
        <v>0.000971817298347911</v>
      </c>
      <c r="AA28" s="20" t="n">
        <v>3</v>
      </c>
      <c r="AB28" s="25" t="str">
        <f aca="false">IFERROR(IF(N(INDEX('Our BFCM 2025'!$S:$S,MATCH($C28,'Our BFCM 2025'!$C:$C,0)))=0,"",INDEX('Our BFCM 2025'!$S:$S,MATCH($C28,'Our BFCM 2025'!$C:$C,0))),"")</f>
        <v/>
      </c>
      <c r="AC28" s="23" t="str">
        <f aca="false">IFERROR(IF(N(INDEX('Our BFCM 2025'!$H:$H,MATCH($C28,'Our BFCM 2025'!$C:$C,0)))=0,"",INDEX('Our BFCM 2025'!$H:$H,MATCH($C28,'Our BFCM 2025'!$C:$C,0))),"")</f>
        <v/>
      </c>
      <c r="AD28" s="26"/>
      <c r="AE28" s="25"/>
      <c r="AF28" s="20" t="n">
        <f aca="false">COUNTIFS(Competitors!$C$3:$C$618,$C28,Competitors!$AY$3:$AY$618,"&lt;&gt;")</f>
        <v>0</v>
      </c>
      <c r="AG28" s="23" t="str">
        <f aca="false">IFERROR(AVERAGEIFS(Competitors!$BD$3:$BD$618,Competitors!$C$3:$C$618,$C28),"")</f>
        <v/>
      </c>
      <c r="AH28" s="27" t="str">
        <f aca="false">IFERROR(AVERAGEIFS(Competitors!$BH$3:$BH$618,Competitors!$C$3:$C$618,$C28),"")</f>
        <v/>
      </c>
    </row>
    <row r="29" customFormat="false" ht="15" hidden="false" customHeight="false" outlineLevel="0" collapsed="false">
      <c r="A29" s="15" t="s">
        <v>144</v>
      </c>
      <c r="B29" s="15" t="s">
        <v>157</v>
      </c>
      <c r="C29" s="15" t="n">
        <v>33</v>
      </c>
      <c r="D29" s="15" t="s">
        <v>144</v>
      </c>
      <c r="E29" s="16" t="s">
        <v>218</v>
      </c>
      <c r="F29" s="16" t="s">
        <v>236</v>
      </c>
      <c r="G29" s="16" t="n">
        <v>12</v>
      </c>
      <c r="H29" s="16" t="n">
        <v>2</v>
      </c>
      <c r="I29" s="16" t="n">
        <v>6</v>
      </c>
      <c r="J29" s="17" t="n">
        <v>25.24</v>
      </c>
      <c r="K29" s="17" t="n">
        <v>3.20133333333333</v>
      </c>
      <c r="L29" s="18" t="n">
        <v>0.126835710512414</v>
      </c>
      <c r="M29" s="19" t="n">
        <v>30</v>
      </c>
      <c r="N29" s="20" t="n">
        <f aca="false">COUNTIF(Competitors!$C$3:$C$618,$C29)</f>
        <v>23</v>
      </c>
      <c r="O29" s="20" t="n">
        <f aca="false">COUNTIFS(Competitors!$C$3:$C$618,$C29,Competitors!$J$3:$J$618,"Aspirational")</f>
        <v>17</v>
      </c>
      <c r="P29" s="20" t="n">
        <f aca="false">COUNTIFS(Competitors!$C$3:$C$618,$C29,Competitors!$J$3:$J$618,"Beatable")</f>
        <v>6</v>
      </c>
      <c r="Q29" s="20" t="n">
        <f aca="false">COUNTIFS(Competitors!$C$3:$C$618,$C29,Competitors!$J$3:$J$618,"Poor")</f>
        <v>0</v>
      </c>
      <c r="R29" s="21" t="n">
        <v>22.94</v>
      </c>
      <c r="S29" s="22" t="n">
        <f aca="false">IF(AND(ISNUMBER(J29),ISNUMBER(R29),R29&gt;0),J29/R29-1,"")</f>
        <v>0.100261551874455</v>
      </c>
      <c r="T29" s="20" t="n">
        <f aca="false">COUNTIFS(Competitors!$C$3:$C$618,$C29,Competitors!$Q$3:$Q$618,"&lt;0")</f>
        <v>14</v>
      </c>
      <c r="U29" s="20" t="n">
        <f aca="false">COUNTIFS(Competitors!$C$3:$C$618,$C29,Competitors!$M$3:$M$618,"&gt;0")</f>
        <v>5</v>
      </c>
      <c r="V29" s="20" t="n">
        <f aca="false">COUNTIFS(Competitors!$C$3:$C$618,$C29,Competitors!$M$3:$M$618,"&gt;0",Competitors!$M$3:$M$618,"&lt;=0.12")</f>
        <v>0</v>
      </c>
      <c r="W29" s="23" t="n">
        <f aca="false">IFERROR(AVERAGEIFS(Competitors!$M$3:$M$618,Competitors!$C$3:$C$618,$C29,Competitors!$M$3:$M$618,"&gt;0"),"")</f>
        <v>0.195777076767337</v>
      </c>
      <c r="X29" s="24" t="n">
        <f aca="false">SUMIF(Competitors!$C$3:$C$618,$C29,Competitors!$T$3:$T$618)</f>
        <v>1672</v>
      </c>
      <c r="Y29" s="24" t="n">
        <f aca="false">IF(ISNUMBER(M29),M29/4,"")</f>
        <v>7.5</v>
      </c>
      <c r="Z29" s="23" t="n">
        <f aca="false">IF(AND(ISNUMBER(Y29),X29&gt;0),Y29/(Y29+X29),"")</f>
        <v>0.00446561476629949</v>
      </c>
      <c r="AA29" s="20" t="n">
        <v>68.5</v>
      </c>
      <c r="AB29" s="25" t="str">
        <f aca="false">IFERROR(IF(N(INDEX('Our BFCM 2025'!$S:$S,MATCH($C29,'Our BFCM 2025'!$C:$C,0)))=0,"",INDEX('Our BFCM 2025'!$S:$S,MATCH($C29,'Our BFCM 2025'!$C:$C,0))),"")</f>
        <v/>
      </c>
      <c r="AC29" s="23" t="str">
        <f aca="false">IFERROR(IF(N(INDEX('Our BFCM 2025'!$H:$H,MATCH($C29,'Our BFCM 2025'!$C:$C,0)))=0,"",INDEX('Our BFCM 2025'!$H:$H,MATCH($C29,'Our BFCM 2025'!$C:$C,0))),"")</f>
        <v/>
      </c>
      <c r="AD29" s="26"/>
      <c r="AE29" s="25"/>
      <c r="AF29" s="20" t="n">
        <f aca="false">COUNTIFS(Competitors!$C$3:$C$618,$C29,Competitors!$AY$3:$AY$618,"&lt;&gt;")</f>
        <v>0</v>
      </c>
      <c r="AG29" s="23" t="str">
        <f aca="false">IFERROR(AVERAGEIFS(Competitors!$BD$3:$BD$618,Competitors!$C$3:$C$618,$C29),"")</f>
        <v/>
      </c>
      <c r="AH29" s="27" t="str">
        <f aca="false">IFERROR(AVERAGEIFS(Competitors!$BH$3:$BH$618,Competitors!$C$3:$C$618,$C29),"")</f>
        <v/>
      </c>
    </row>
    <row r="31" customFormat="false" ht="15" hidden="false" customHeight="false" outlineLevel="0" collapsed="false">
      <c r="A31" s="9" t="s">
        <v>237</v>
      </c>
    </row>
  </sheetData>
  <mergeCells count="4">
    <mergeCell ref="A1:D1"/>
    <mergeCell ref="E1:M1"/>
    <mergeCell ref="N1:AC1"/>
    <mergeCell ref="AE1:A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O6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5"/>
    <col collapsed="false" customWidth="true" hidden="false" outlineLevel="0" max="4" min="4" style="0" width="14"/>
    <col collapsed="false" customWidth="true" hidden="false" outlineLevel="0" max="5" min="5" style="0" width="6"/>
    <col collapsed="false" customWidth="true" hidden="false" outlineLevel="0" max="6" min="6" style="0" width="16"/>
    <col collapsed="false" customWidth="true" hidden="false" outlineLevel="0" max="8" min="7" style="0" width="12"/>
    <col collapsed="false" customWidth="true" hidden="false" outlineLevel="0" max="9" min="9" style="0" width="34"/>
    <col collapsed="false" customWidth="true" hidden="false" outlineLevel="0" max="10" min="10" style="0" width="10"/>
    <col collapsed="false" customWidth="true" hidden="false" outlineLevel="0" max="13" min="11" style="0" width="8"/>
    <col collapsed="false" customWidth="true" hidden="false" outlineLevel="0" max="14" min="14" style="0" width="11"/>
    <col collapsed="false" customWidth="true" hidden="false" outlineLevel="0" max="17" min="15" style="0" width="8"/>
    <col collapsed="false" customWidth="true" hidden="false" outlineLevel="0" max="18" min="18" style="0" width="10"/>
    <col collapsed="false" customWidth="true" hidden="false" outlineLevel="0" max="20" min="19" style="0" width="8"/>
    <col collapsed="false" customWidth="true" hidden="false" outlineLevel="0" max="21" min="21" style="0" width="10"/>
    <col collapsed="false" customWidth="true" hidden="false" outlineLevel="0" max="22" min="22" style="0" width="6"/>
    <col collapsed="false" customWidth="true" hidden="false" outlineLevel="0" max="23" min="23" style="0" width="8"/>
    <col collapsed="false" customWidth="true" hidden="false" outlineLevel="0" max="24" min="24" style="0" width="9"/>
    <col collapsed="false" customWidth="true" hidden="false" outlineLevel="0" max="25" min="25" style="0" width="7"/>
    <col collapsed="false" customWidth="true" hidden="false" outlineLevel="0" max="26" min="26" style="0" width="9"/>
    <col collapsed="false" customWidth="true" hidden="false" outlineLevel="0" max="27" min="27" style="0" width="6"/>
    <col collapsed="false" customWidth="true" hidden="false" outlineLevel="0" max="28" min="28" style="0" width="8"/>
    <col collapsed="false" customWidth="true" hidden="false" outlineLevel="0" max="31" min="29" style="0" width="6"/>
    <col collapsed="false" customWidth="true" hidden="false" outlineLevel="0" max="33" min="32" style="0" width="7"/>
    <col collapsed="false" customWidth="true" hidden="false" outlineLevel="0" max="34" min="34" style="0" width="6"/>
    <col collapsed="false" customWidth="true" hidden="false" outlineLevel="0" max="35" min="35" style="0" width="10"/>
    <col collapsed="false" customWidth="true" hidden="false" outlineLevel="0" max="36" min="36" style="0" width="8"/>
    <col collapsed="false" customWidth="true" hidden="false" outlineLevel="0" max="37" min="37" style="0" width="9"/>
    <col collapsed="false" customWidth="true" hidden="false" outlineLevel="0" max="47" min="38" style="0" width="7"/>
    <col collapsed="false" customWidth="true" hidden="false" outlineLevel="0" max="48" min="48" style="0" width="9"/>
    <col collapsed="false" customWidth="true" hidden="false" outlineLevel="0" max="49" min="49" style="0" width="8"/>
    <col collapsed="false" customWidth="true" hidden="false" outlineLevel="0" max="51" min="50" style="0" width="10"/>
    <col collapsed="false" customWidth="true" hidden="false" outlineLevel="0" max="55" min="52" style="0" width="8"/>
    <col collapsed="false" customWidth="true" hidden="false" outlineLevel="0" max="57" min="56" style="0" width="7"/>
    <col collapsed="false" customWidth="true" hidden="false" outlineLevel="0" max="59" min="58" style="0" width="8"/>
    <col collapsed="false" customWidth="true" hidden="false" outlineLevel="0" max="60" min="60" style="0" width="6"/>
    <col collapsed="false" customWidth="true" hidden="false" outlineLevel="0" max="61" min="61" style="0" width="8"/>
    <col collapsed="false" customWidth="true" hidden="false" outlineLevel="0" max="62" min="62" style="0" width="7"/>
    <col collapsed="false" customWidth="true" hidden="false" outlineLevel="0" max="64" min="63" style="0" width="8"/>
    <col collapsed="false" customWidth="true" hidden="false" outlineLevel="0" max="66" min="65" style="0" width="7"/>
    <col collapsed="false" customWidth="true" hidden="false" outlineLevel="0" max="67" min="67" style="0" width="24"/>
  </cols>
  <sheetData>
    <row r="1" customFormat="false" ht="15" hidden="false" customHeight="false" outlineLevel="0" collapsed="false">
      <c r="A1" s="10" t="s">
        <v>238</v>
      </c>
      <c r="B1" s="10"/>
      <c r="C1" s="10"/>
      <c r="D1" s="10"/>
      <c r="E1" s="10"/>
      <c r="F1" s="10"/>
      <c r="G1" s="10"/>
      <c r="H1" s="10"/>
      <c r="I1" s="10"/>
      <c r="J1" s="10"/>
      <c r="K1" s="28" t="s">
        <v>239</v>
      </c>
      <c r="L1" s="28"/>
      <c r="M1" s="12"/>
      <c r="N1" s="12"/>
      <c r="O1" s="12"/>
      <c r="P1" s="12"/>
      <c r="Q1" s="12"/>
      <c r="R1" s="12"/>
      <c r="S1" s="28" t="s">
        <v>239</v>
      </c>
      <c r="T1" s="28"/>
      <c r="U1" s="29"/>
      <c r="V1" s="28" t="s">
        <v>239</v>
      </c>
      <c r="W1" s="28"/>
      <c r="X1" s="28"/>
      <c r="Y1" s="30" t="s">
        <v>240</v>
      </c>
      <c r="Z1" s="30"/>
      <c r="AA1" s="29"/>
      <c r="AB1" s="30" t="s">
        <v>240</v>
      </c>
      <c r="AC1" s="30"/>
      <c r="AD1" s="30"/>
      <c r="AE1" s="30"/>
      <c r="AF1" s="30"/>
      <c r="AG1" s="30"/>
      <c r="AH1" s="30"/>
      <c r="AI1" s="28" t="s">
        <v>239</v>
      </c>
      <c r="AJ1" s="28"/>
      <c r="AK1" s="31" t="s">
        <v>241</v>
      </c>
      <c r="AL1" s="31"/>
      <c r="AM1" s="31"/>
      <c r="AN1" s="29"/>
      <c r="AO1" s="31" t="s">
        <v>241</v>
      </c>
      <c r="AP1" s="31"/>
      <c r="AQ1" s="29"/>
      <c r="AR1" s="31" t="s">
        <v>241</v>
      </c>
      <c r="AS1" s="31"/>
      <c r="AT1" s="29"/>
      <c r="AU1" s="32" t="s">
        <v>242</v>
      </c>
      <c r="AV1" s="32"/>
      <c r="AW1" s="32"/>
      <c r="AX1" s="32"/>
      <c r="AY1" s="33" t="s">
        <v>243</v>
      </c>
      <c r="AZ1" s="33"/>
      <c r="BA1" s="33"/>
      <c r="BB1" s="33"/>
      <c r="BC1" s="33"/>
      <c r="BD1" s="29"/>
      <c r="BE1" s="33" t="s">
        <v>243</v>
      </c>
      <c r="BF1" s="33"/>
      <c r="BG1" s="33"/>
      <c r="BH1" s="29"/>
      <c r="BI1" s="33" t="s">
        <v>243</v>
      </c>
      <c r="BJ1" s="33"/>
      <c r="BK1" s="33"/>
      <c r="BL1" s="33"/>
      <c r="BM1" s="12"/>
      <c r="BN1" s="12"/>
      <c r="BO1" s="34" t="s">
        <v>243</v>
      </c>
    </row>
    <row r="2" customFormat="false" ht="60" hidden="false" customHeight="true" outlineLevel="0" collapsed="false">
      <c r="A2" s="14" t="s">
        <v>25</v>
      </c>
      <c r="B2" s="14" t="s">
        <v>26</v>
      </c>
      <c r="C2" s="14" t="s">
        <v>164</v>
      </c>
      <c r="D2" s="14" t="s">
        <v>165</v>
      </c>
      <c r="E2" s="14" t="s">
        <v>244</v>
      </c>
      <c r="F2" s="14" t="s">
        <v>245</v>
      </c>
      <c r="G2" s="14" t="s">
        <v>246</v>
      </c>
      <c r="H2" s="14" t="s">
        <v>247</v>
      </c>
      <c r="I2" s="14" t="s">
        <v>248</v>
      </c>
      <c r="J2" s="14" t="s">
        <v>249</v>
      </c>
      <c r="K2" s="14" t="s">
        <v>250</v>
      </c>
      <c r="L2" s="14" t="s">
        <v>251</v>
      </c>
      <c r="M2" s="14" t="s">
        <v>252</v>
      </c>
      <c r="N2" s="14" t="s">
        <v>253</v>
      </c>
      <c r="O2" s="14" t="s">
        <v>254</v>
      </c>
      <c r="P2" s="14" t="s">
        <v>255</v>
      </c>
      <c r="Q2" s="14" t="s">
        <v>256</v>
      </c>
      <c r="R2" s="14" t="s">
        <v>257</v>
      </c>
      <c r="S2" s="14" t="s">
        <v>258</v>
      </c>
      <c r="T2" s="14" t="s">
        <v>259</v>
      </c>
      <c r="U2" s="14" t="s">
        <v>260</v>
      </c>
      <c r="V2" s="14" t="s">
        <v>261</v>
      </c>
      <c r="W2" s="14" t="s">
        <v>262</v>
      </c>
      <c r="X2" s="14" t="s">
        <v>263</v>
      </c>
      <c r="Y2" s="14" t="s">
        <v>264</v>
      </c>
      <c r="Z2" s="14" t="s">
        <v>265</v>
      </c>
      <c r="AA2" s="14" t="s">
        <v>266</v>
      </c>
      <c r="AB2" s="14" t="s">
        <v>267</v>
      </c>
      <c r="AC2" s="14" t="s">
        <v>268</v>
      </c>
      <c r="AD2" s="14" t="s">
        <v>269</v>
      </c>
      <c r="AE2" s="14" t="s">
        <v>270</v>
      </c>
      <c r="AF2" s="14" t="s">
        <v>271</v>
      </c>
      <c r="AG2" s="14" t="s">
        <v>272</v>
      </c>
      <c r="AH2" s="14" t="s">
        <v>273</v>
      </c>
      <c r="AI2" s="14" t="s">
        <v>274</v>
      </c>
      <c r="AJ2" s="14" t="s">
        <v>275</v>
      </c>
      <c r="AK2" s="14" t="s">
        <v>276</v>
      </c>
      <c r="AL2" s="14" t="s">
        <v>277</v>
      </c>
      <c r="AM2" s="14" t="s">
        <v>278</v>
      </c>
      <c r="AN2" s="14" t="s">
        <v>279</v>
      </c>
      <c r="AO2" s="14" t="s">
        <v>280</v>
      </c>
      <c r="AP2" s="14" t="s">
        <v>281</v>
      </c>
      <c r="AQ2" s="14" t="s">
        <v>282</v>
      </c>
      <c r="AR2" s="14" t="s">
        <v>283</v>
      </c>
      <c r="AS2" s="14" t="s">
        <v>284</v>
      </c>
      <c r="AT2" s="14" t="s">
        <v>285</v>
      </c>
      <c r="AU2" s="14" t="s">
        <v>286</v>
      </c>
      <c r="AV2" s="14" t="s">
        <v>287</v>
      </c>
      <c r="AW2" s="14" t="s">
        <v>288</v>
      </c>
      <c r="AX2" s="14" t="s">
        <v>289</v>
      </c>
      <c r="AY2" s="14" t="s">
        <v>290</v>
      </c>
      <c r="AZ2" s="14" t="s">
        <v>291</v>
      </c>
      <c r="BA2" s="14" t="s">
        <v>292</v>
      </c>
      <c r="BB2" s="14" t="s">
        <v>293</v>
      </c>
      <c r="BC2" s="14" t="s">
        <v>294</v>
      </c>
      <c r="BD2" s="14" t="s">
        <v>295</v>
      </c>
      <c r="BE2" s="14" t="s">
        <v>296</v>
      </c>
      <c r="BF2" s="14" t="s">
        <v>297</v>
      </c>
      <c r="BG2" s="14" t="s">
        <v>298</v>
      </c>
      <c r="BH2" s="14" t="s">
        <v>299</v>
      </c>
      <c r="BI2" s="14" t="s">
        <v>300</v>
      </c>
      <c r="BJ2" s="14" t="s">
        <v>301</v>
      </c>
      <c r="BK2" s="14" t="s">
        <v>302</v>
      </c>
      <c r="BL2" s="14" t="s">
        <v>303</v>
      </c>
      <c r="BM2" s="14" t="s">
        <v>304</v>
      </c>
      <c r="BN2" s="14" t="s">
        <v>305</v>
      </c>
      <c r="BO2" s="14" t="s">
        <v>306</v>
      </c>
    </row>
    <row r="3" customFormat="false" ht="15" hidden="false" customHeight="false" outlineLevel="0" collapsed="false">
      <c r="A3" s="15" t="s">
        <v>37</v>
      </c>
      <c r="B3" s="15" t="s">
        <v>38</v>
      </c>
      <c r="C3" s="15" t="n">
        <v>59</v>
      </c>
      <c r="D3" s="15" t="s">
        <v>196</v>
      </c>
      <c r="E3" s="15" t="n">
        <v>495</v>
      </c>
      <c r="F3" s="15" t="s">
        <v>307</v>
      </c>
      <c r="G3" s="15" t="s">
        <v>308</v>
      </c>
      <c r="H3" s="15" t="s">
        <v>309</v>
      </c>
      <c r="I3" s="15" t="s">
        <v>310</v>
      </c>
      <c r="J3" s="15" t="s">
        <v>176</v>
      </c>
      <c r="K3" s="35" t="n">
        <v>62.99</v>
      </c>
      <c r="L3" s="35" t="n">
        <v>69.99</v>
      </c>
      <c r="M3" s="23" t="n">
        <f aca="false">IF(AND(ISNUMBER(L3),ISNUMBER(K3),K3&gt;0),L3/K3-1,"")</f>
        <v>0.111128750595332</v>
      </c>
      <c r="N3" s="36" t="str">
        <f aca="false">IF(M3="","No List Price",IF(M3&lt;=0,"At/below price",IF(M3&lt;=0.12,"&lt;=12% (STR zone)",IF(M3&lt;=0.25,"12-25%","&gt;25% (likely ignored)"))))</f>
        <v>&lt;=12% (STR zone)</v>
      </c>
      <c r="O3" s="15" t="s">
        <v>311</v>
      </c>
      <c r="P3" s="35" t="n">
        <v>80.6509589041096</v>
      </c>
      <c r="Q3" s="22" t="n">
        <f aca="false">IF(AND(ISNUMBER(K3),ISNUMBER(P3),N(P3)&gt;0),K3/P3-1,"")</f>
        <v>-0.218980147838139</v>
      </c>
      <c r="R3" s="15" t="s">
        <v>312</v>
      </c>
      <c r="S3" s="37" t="n">
        <v>256</v>
      </c>
      <c r="T3" s="37" t="n">
        <v>809</v>
      </c>
      <c r="U3" s="38" t="n">
        <f aca="false">IF(AND(ISNUMBER(K3),ISNUMBER(T3)),K3*T3*52/12,"")</f>
        <v>220821.943333333</v>
      </c>
      <c r="V3" s="15" t="n">
        <v>4.4</v>
      </c>
      <c r="W3" s="37" t="n">
        <v>65061</v>
      </c>
      <c r="X3" s="39" t="n">
        <v>46307</v>
      </c>
      <c r="Y3" s="15" t="n">
        <v>131</v>
      </c>
      <c r="Z3" s="40" t="n">
        <v>43348</v>
      </c>
      <c r="AA3" s="41" t="n">
        <f aca="false">IF(ISNUMBER(Z3),(DATE(2026,10,13)-Z3)/365,"")</f>
        <v>8.10958904109589</v>
      </c>
      <c r="AB3" s="37" t="n">
        <v>45362</v>
      </c>
      <c r="AC3" s="15" t="s">
        <v>313</v>
      </c>
      <c r="AD3" s="15" t="n">
        <v>2</v>
      </c>
      <c r="AE3" s="15" t="s">
        <v>314</v>
      </c>
      <c r="AF3" s="42" t="n">
        <v>0.0164948453608247</v>
      </c>
      <c r="AG3" s="42" t="n">
        <v>0.00101190492103934</v>
      </c>
      <c r="AH3" s="15" t="n">
        <v>343</v>
      </c>
      <c r="AI3" s="37" t="n">
        <v>2166046</v>
      </c>
      <c r="AJ3" s="37" t="n">
        <v>6935</v>
      </c>
      <c r="AK3" s="15" t="s">
        <v>315</v>
      </c>
      <c r="AL3" s="43" t="n">
        <v>924.6</v>
      </c>
      <c r="AM3" s="43" t="n">
        <v>986.2</v>
      </c>
      <c r="AN3" s="25" t="n">
        <f aca="false">IF(AND(ISNUMBER(AM3),ISNUMBER(AL3),AL3&gt;=5),AM3/AL3,"")</f>
        <v>1.06662340471555</v>
      </c>
      <c r="AO3" s="43" t="n">
        <v>371.8</v>
      </c>
      <c r="AP3" s="43" t="n">
        <v>574.2</v>
      </c>
      <c r="AQ3" s="25" t="n">
        <f aca="false">IF(AND(ISNUMBER(AP3),ISNUMBER(AO3),AO3&gt;=5),AP3/AO3,"")</f>
        <v>1.54437869822485</v>
      </c>
      <c r="AR3" s="43" t="n">
        <v>832.8</v>
      </c>
      <c r="AS3" s="43" t="n">
        <v>785.1</v>
      </c>
      <c r="AT3" s="22" t="n">
        <f aca="false">IF(AND(ISNUMBER(AS3),ISNUMBER(AR3),AR3&gt;0),AS3/AR3-1,"")</f>
        <v>-0.0572766570605187</v>
      </c>
      <c r="AU3" s="44"/>
      <c r="AV3" s="44"/>
      <c r="AW3" s="44"/>
      <c r="AX3" s="44"/>
      <c r="AY3" s="44"/>
      <c r="AZ3" s="45"/>
      <c r="BA3" s="45"/>
      <c r="BB3" s="46"/>
      <c r="BC3" s="46"/>
      <c r="BD3" s="23" t="str">
        <f aca="false">IF(AND(ISNUMBER(BB3),ISNUMBER(BC3),BB3&gt;0),1-BC3/BB3,"")</f>
        <v/>
      </c>
      <c r="BE3" s="47"/>
      <c r="BF3" s="48"/>
      <c r="BG3" s="48"/>
      <c r="BH3" s="27" t="str">
        <f aca="false">IF(AND(ISNUMBER(BF3),ISNUMBER(BG3),BG3&gt;0),BF3/BG3,"")</f>
        <v/>
      </c>
      <c r="BI3" s="48"/>
      <c r="BJ3" s="44"/>
      <c r="BK3" s="46"/>
      <c r="BL3" s="46"/>
      <c r="BM3" s="36" t="str">
        <f aca="false">IF(ISNUMBER(Q3),IF(Q3&lt;0,"YES","no"),"")</f>
        <v>YES</v>
      </c>
      <c r="BN3" s="36" t="str">
        <f aca="false">IFERROR(IF(AND(ISNUMBER(K3),ISNUMBER(INDEX('Lift Inputs'!$H:$H,MATCH(C3,'Lift Inputs'!$C:$C,0)))),IF(K3&lt;INDEX('Lift Inputs'!$H:$H,MATCH(C3,'Lift Inputs'!$C:$C,0)),"YES","no"),""),"")</f>
        <v/>
      </c>
      <c r="BO3" s="44"/>
    </row>
    <row r="4" customFormat="false" ht="15" hidden="false" customHeight="false" outlineLevel="0" collapsed="false">
      <c r="A4" s="15" t="s">
        <v>37</v>
      </c>
      <c r="B4" s="15" t="s">
        <v>38</v>
      </c>
      <c r="C4" s="15" t="n">
        <v>59</v>
      </c>
      <c r="D4" s="15" t="s">
        <v>196</v>
      </c>
      <c r="E4" s="15" t="n">
        <v>4</v>
      </c>
      <c r="F4" s="15" t="s">
        <v>316</v>
      </c>
      <c r="G4" s="15" t="s">
        <v>317</v>
      </c>
      <c r="H4" s="15" t="s">
        <v>318</v>
      </c>
      <c r="I4" s="15" t="s">
        <v>319</v>
      </c>
      <c r="J4" s="15" t="s">
        <v>176</v>
      </c>
      <c r="K4" s="35" t="n">
        <v>109.99</v>
      </c>
      <c r="L4" s="35"/>
      <c r="M4" s="23" t="str">
        <f aca="false">IF(AND(ISNUMBER(L4),ISNUMBER(K4),K4&gt;0),L4/K4-1,"")</f>
        <v/>
      </c>
      <c r="N4" s="36" t="str">
        <f aca="false">IF(M4="","No List Price",IF(M4&lt;=0,"At/below price",IF(M4&lt;=0.12,"&lt;=12% (STR zone)",IF(M4&lt;=0.25,"12-25%","&gt;25% (likely ignored)"))))</f>
        <v>No List Price</v>
      </c>
      <c r="O4" s="15" t="s">
        <v>320</v>
      </c>
      <c r="P4" s="35" t="n">
        <v>84.3167716535433</v>
      </c>
      <c r="Q4" s="22" t="n">
        <f aca="false">IF(AND(ISNUMBER(K4),ISNUMBER(P4),N(P4)&gt;0),K4/P4-1,"")</f>
        <v>0.30448542849752</v>
      </c>
      <c r="R4" s="15" t="s">
        <v>321</v>
      </c>
      <c r="S4" s="37" t="n">
        <v>304</v>
      </c>
      <c r="T4" s="37" t="n">
        <v>809</v>
      </c>
      <c r="U4" s="38" t="n">
        <f aca="false">IF(AND(ISNUMBER(K4),ISNUMBER(T4)),K4*T4*52/12,"")</f>
        <v>385588.276666667</v>
      </c>
      <c r="V4" s="15" t="n">
        <v>4.5</v>
      </c>
      <c r="W4" s="37" t="n">
        <v>21927</v>
      </c>
      <c r="X4" s="39" t="n">
        <v>46307</v>
      </c>
      <c r="Y4" s="15" t="n">
        <v>181</v>
      </c>
      <c r="Z4" s="40" t="n">
        <v>43281</v>
      </c>
      <c r="AA4" s="41" t="n">
        <f aca="false">IF(ISNUMBER(Z4),(DATE(2026,10,13)-Z4)/365,"")</f>
        <v>8.29315068493151</v>
      </c>
      <c r="AB4" s="37" t="n">
        <v>32356</v>
      </c>
      <c r="AC4" s="15" t="s">
        <v>313</v>
      </c>
      <c r="AD4" s="15" t="n">
        <v>2</v>
      </c>
      <c r="AE4" s="15" t="s">
        <v>314</v>
      </c>
      <c r="AF4" s="42" t="n">
        <v>0</v>
      </c>
      <c r="AG4" s="42" t="n">
        <v>0</v>
      </c>
      <c r="AH4" s="15" t="n">
        <v>268</v>
      </c>
      <c r="AI4" s="37" t="n">
        <v>2565055</v>
      </c>
      <c r="AJ4" s="37" t="n">
        <v>8283</v>
      </c>
      <c r="AK4" s="15" t="s">
        <v>315</v>
      </c>
      <c r="AL4" s="43" t="n">
        <v>556.9</v>
      </c>
      <c r="AM4" s="43" t="n">
        <v>657.2</v>
      </c>
      <c r="AN4" s="25" t="n">
        <f aca="false">IF(AND(ISNUMBER(AM4),ISNUMBER(AL4),AL4&gt;=5),AM4/AL4,"")</f>
        <v>1.18010414796193</v>
      </c>
      <c r="AO4" s="43" t="n">
        <v>102</v>
      </c>
      <c r="AP4" s="43" t="n">
        <v>151.8</v>
      </c>
      <c r="AQ4" s="25" t="n">
        <f aca="false">IF(AND(ISNUMBER(AP4),ISNUMBER(AO4),AO4&gt;=5),AP4/AO4,"")</f>
        <v>1.48823529411765</v>
      </c>
      <c r="AR4" s="43" t="n">
        <v>259.8</v>
      </c>
      <c r="AS4" s="43" t="n">
        <v>667.9</v>
      </c>
      <c r="AT4" s="22" t="n">
        <f aca="false">IF(AND(ISNUMBER(AS4),ISNUMBER(AR4),AR4&gt;0),AS4/AR4-1,"")</f>
        <v>1.57082371054657</v>
      </c>
      <c r="AU4" s="44"/>
      <c r="AV4" s="44"/>
      <c r="AW4" s="44"/>
      <c r="AX4" s="44"/>
      <c r="AY4" s="44"/>
      <c r="AZ4" s="45"/>
      <c r="BA4" s="45"/>
      <c r="BB4" s="46"/>
      <c r="BC4" s="46"/>
      <c r="BD4" s="23" t="str">
        <f aca="false">IF(AND(ISNUMBER(BB4),ISNUMBER(BC4),BB4&gt;0),1-BC4/BB4,"")</f>
        <v/>
      </c>
      <c r="BE4" s="47"/>
      <c r="BF4" s="48"/>
      <c r="BG4" s="48"/>
      <c r="BH4" s="27" t="str">
        <f aca="false">IF(AND(ISNUMBER(BF4),ISNUMBER(BG4),BG4&gt;0),BF4/BG4,"")</f>
        <v/>
      </c>
      <c r="BI4" s="48"/>
      <c r="BJ4" s="44"/>
      <c r="BK4" s="46"/>
      <c r="BL4" s="46"/>
      <c r="BM4" s="36" t="str">
        <f aca="false">IF(ISNUMBER(Q4),IF(Q4&lt;0,"YES","no"),"")</f>
        <v>no</v>
      </c>
      <c r="BN4" s="36" t="str">
        <f aca="false">IFERROR(IF(AND(ISNUMBER(K4),ISNUMBER(INDEX('Lift Inputs'!$H:$H,MATCH(C4,'Lift Inputs'!$C:$C,0)))),IF(K4&lt;INDEX('Lift Inputs'!$H:$H,MATCH(C4,'Lift Inputs'!$C:$C,0)),"YES","no"),""),"")</f>
        <v/>
      </c>
      <c r="BO4" s="44"/>
    </row>
    <row r="5" customFormat="false" ht="15" hidden="false" customHeight="false" outlineLevel="0" collapsed="false">
      <c r="A5" s="15" t="s">
        <v>37</v>
      </c>
      <c r="B5" s="15" t="s">
        <v>38</v>
      </c>
      <c r="C5" s="15" t="n">
        <v>59</v>
      </c>
      <c r="D5" s="15" t="s">
        <v>196</v>
      </c>
      <c r="E5" s="15" t="n">
        <v>27</v>
      </c>
      <c r="F5" s="15" t="s">
        <v>322</v>
      </c>
      <c r="G5" s="15" t="s">
        <v>323</v>
      </c>
      <c r="H5" s="15" t="s">
        <v>324</v>
      </c>
      <c r="I5" s="15" t="s">
        <v>325</v>
      </c>
      <c r="J5" s="15" t="s">
        <v>176</v>
      </c>
      <c r="K5" s="35" t="n">
        <v>79.99</v>
      </c>
      <c r="L5" s="35"/>
      <c r="M5" s="23" t="str">
        <f aca="false">IF(AND(ISNUMBER(L5),ISNUMBER(K5),K5&gt;0),L5/K5-1,"")</f>
        <v/>
      </c>
      <c r="N5" s="36" t="str">
        <f aca="false">IF(M5="","No List Price",IF(M5&lt;=0,"At/below price",IF(M5&lt;=0.12,"&lt;=12% (STR zone)",IF(M5&lt;=0.25,"12-25%","&gt;25% (likely ignored)"))))</f>
        <v>No List Price</v>
      </c>
      <c r="O5" s="15" t="s">
        <v>311</v>
      </c>
      <c r="P5" s="35" t="n">
        <v>80.6509589041096</v>
      </c>
      <c r="Q5" s="22" t="n">
        <f aca="false">IF(AND(ISNUMBER(K5),ISNUMBER(P5),N(P5)&gt;0),K5/P5-1,"")</f>
        <v>-0.00819530124738455</v>
      </c>
      <c r="R5" s="15" t="s">
        <v>312</v>
      </c>
      <c r="S5" s="37" t="n">
        <v>2984</v>
      </c>
      <c r="T5" s="37" t="n">
        <v>347</v>
      </c>
      <c r="U5" s="38" t="n">
        <f aca="false">IF(AND(ISNUMBER(K5),ISNUMBER(T5)),K5*T5*52/12,"")</f>
        <v>120278.296666667</v>
      </c>
      <c r="V5" s="15" t="n">
        <v>4.4</v>
      </c>
      <c r="W5" s="37" t="n">
        <v>37179</v>
      </c>
      <c r="X5" s="39" t="n">
        <v>46307</v>
      </c>
      <c r="Y5" s="15" t="n">
        <v>61</v>
      </c>
      <c r="Z5" s="40" t="n">
        <v>42729</v>
      </c>
      <c r="AA5" s="41" t="n">
        <f aca="false">IF(ISNUMBER(Z5),(DATE(2026,10,13)-Z5)/365,"")</f>
        <v>9.80547945205479</v>
      </c>
      <c r="AB5" s="37" t="n">
        <v>8203</v>
      </c>
      <c r="AC5" s="15" t="s">
        <v>313</v>
      </c>
      <c r="AD5" s="15" t="n">
        <v>2</v>
      </c>
      <c r="AE5" s="15" t="s">
        <v>314</v>
      </c>
      <c r="AF5" s="42" t="n">
        <v>0.00210970464135021</v>
      </c>
      <c r="AG5" s="42" t="n">
        <v>0</v>
      </c>
      <c r="AH5" s="15" t="n">
        <v>382</v>
      </c>
      <c r="AI5" s="37" t="n">
        <v>451969</v>
      </c>
      <c r="AJ5" s="37" t="n">
        <v>4094</v>
      </c>
      <c r="AK5" s="15" t="s">
        <v>326</v>
      </c>
      <c r="AL5" s="43" t="n">
        <v>263.5</v>
      </c>
      <c r="AM5" s="43" t="n">
        <v>474.2</v>
      </c>
      <c r="AN5" s="25" t="n">
        <f aca="false">IF(AND(ISNUMBER(AM5),ISNUMBER(AL5),AL5&gt;=5),AM5/AL5,"")</f>
        <v>1.79962049335863</v>
      </c>
      <c r="AO5" s="43" t="n">
        <v>24.4</v>
      </c>
      <c r="AP5" s="43" t="n">
        <v>31</v>
      </c>
      <c r="AQ5" s="25" t="n">
        <f aca="false">IF(AND(ISNUMBER(AP5),ISNUMBER(AO5),AO5&gt;=5),AP5/AO5,"")</f>
        <v>1.27049180327869</v>
      </c>
      <c r="AR5" s="43" t="n">
        <v>372.7</v>
      </c>
      <c r="AS5" s="43" t="n">
        <v>374.5</v>
      </c>
      <c r="AT5" s="22" t="n">
        <f aca="false">IF(AND(ISNUMBER(AS5),ISNUMBER(AR5),AR5&gt;0),AS5/AR5-1,"")</f>
        <v>0.00482962167963508</v>
      </c>
      <c r="AU5" s="44"/>
      <c r="AV5" s="44"/>
      <c r="AW5" s="44"/>
      <c r="AX5" s="44"/>
      <c r="AY5" s="44"/>
      <c r="AZ5" s="45"/>
      <c r="BA5" s="45"/>
      <c r="BB5" s="46"/>
      <c r="BC5" s="46"/>
      <c r="BD5" s="23" t="str">
        <f aca="false">IF(AND(ISNUMBER(BB5),ISNUMBER(BC5),BB5&gt;0),1-BC5/BB5,"")</f>
        <v/>
      </c>
      <c r="BE5" s="47"/>
      <c r="BF5" s="48"/>
      <c r="BG5" s="48"/>
      <c r="BH5" s="27" t="str">
        <f aca="false">IF(AND(ISNUMBER(BF5),ISNUMBER(BG5),BG5&gt;0),BF5/BG5,"")</f>
        <v/>
      </c>
      <c r="BI5" s="48"/>
      <c r="BJ5" s="44"/>
      <c r="BK5" s="46"/>
      <c r="BL5" s="46"/>
      <c r="BM5" s="36" t="str">
        <f aca="false">IF(ISNUMBER(Q5),IF(Q5&lt;0,"YES","no"),"")</f>
        <v>YES</v>
      </c>
      <c r="BN5" s="36" t="str">
        <f aca="false">IFERROR(IF(AND(ISNUMBER(K5),ISNUMBER(INDEX('Lift Inputs'!$H:$H,MATCH(C5,'Lift Inputs'!$C:$C,0)))),IF(K5&lt;INDEX('Lift Inputs'!$H:$H,MATCH(C5,'Lift Inputs'!$C:$C,0)),"YES","no"),""),"")</f>
        <v/>
      </c>
      <c r="BO5" s="44"/>
    </row>
    <row r="6" customFormat="false" ht="15" hidden="false" customHeight="false" outlineLevel="0" collapsed="false">
      <c r="A6" s="15" t="s">
        <v>37</v>
      </c>
      <c r="B6" s="15" t="s">
        <v>38</v>
      </c>
      <c r="C6" s="15" t="n">
        <v>59</v>
      </c>
      <c r="D6" s="15" t="s">
        <v>196</v>
      </c>
      <c r="E6" s="15" t="n">
        <v>696</v>
      </c>
      <c r="F6" s="15" t="s">
        <v>327</v>
      </c>
      <c r="G6" s="15" t="s">
        <v>328</v>
      </c>
      <c r="H6" s="15" t="s">
        <v>329</v>
      </c>
      <c r="I6" s="15" t="s">
        <v>330</v>
      </c>
      <c r="J6" s="15" t="s">
        <v>177</v>
      </c>
      <c r="K6" s="35" t="n">
        <v>37.99</v>
      </c>
      <c r="L6" s="35" t="n">
        <v>44.99</v>
      </c>
      <c r="M6" s="23" t="n">
        <f aca="false">IF(AND(ISNUMBER(L6),ISNUMBER(K6),K6&gt;0),L6/K6-1,"")</f>
        <v>0.184259015530403</v>
      </c>
      <c r="N6" s="36" t="str">
        <f aca="false">IF(M6="","No List Price",IF(M6&lt;=0,"At/below price",IF(M6&lt;=0.12,"&lt;=12% (STR zone)",IF(M6&lt;=0.25,"12-25%","&gt;25% (likely ignored)"))))</f>
        <v>12-25%</v>
      </c>
      <c r="O6" s="15" t="s">
        <v>311</v>
      </c>
      <c r="P6" s="35" t="n">
        <v>80.6509589041096</v>
      </c>
      <c r="Q6" s="22" t="n">
        <f aca="false">IF(AND(ISNUMBER(K6),ISNUMBER(P6),N(P6)&gt;0),K6/P6-1,"")</f>
        <v>-0.528957863412778</v>
      </c>
      <c r="R6" s="15" t="s">
        <v>312</v>
      </c>
      <c r="S6" s="37" t="n">
        <v>501</v>
      </c>
      <c r="T6" s="37" t="n">
        <v>924</v>
      </c>
      <c r="U6" s="38" t="n">
        <f aca="false">IF(AND(ISNUMBER(K6),ISNUMBER(T6)),K6*T6*52/12,"")</f>
        <v>152111.96</v>
      </c>
      <c r="V6" s="15" t="n">
        <v>4.4</v>
      </c>
      <c r="W6" s="37" t="n">
        <v>1900</v>
      </c>
      <c r="X6" s="39" t="n">
        <v>46307</v>
      </c>
      <c r="Y6" s="15" t="n">
        <v>176</v>
      </c>
      <c r="Z6" s="40" t="n">
        <v>45694</v>
      </c>
      <c r="AA6" s="41" t="n">
        <f aca="false">IF(ISNUMBER(Z6),(DATE(2026,10,13)-Z6)/365,"")</f>
        <v>1.68219178082192</v>
      </c>
      <c r="AB6" s="37" t="n">
        <v>22978</v>
      </c>
      <c r="AC6" s="15" t="s">
        <v>313</v>
      </c>
      <c r="AD6" s="15" t="n">
        <v>5</v>
      </c>
      <c r="AE6" s="15" t="s">
        <v>331</v>
      </c>
      <c r="AF6" s="42" t="n">
        <v>0</v>
      </c>
      <c r="AG6" s="42" t="n">
        <v>0</v>
      </c>
      <c r="AH6" s="15" t="n">
        <v>445</v>
      </c>
      <c r="AI6" s="37" t="n">
        <v>906346</v>
      </c>
      <c r="AJ6" s="37" t="n">
        <v>4326</v>
      </c>
      <c r="AK6" s="15" t="s">
        <v>315</v>
      </c>
      <c r="AL6" s="43" t="n">
        <v>1478.5</v>
      </c>
      <c r="AM6" s="43" t="n">
        <v>1323.8</v>
      </c>
      <c r="AN6" s="25" t="n">
        <f aca="false">IF(AND(ISNUMBER(AM6),ISNUMBER(AL6),AL6&gt;=5),AM6/AL6,"")</f>
        <v>0.895366925938451</v>
      </c>
      <c r="AO6" s="43" t="n">
        <v>0</v>
      </c>
      <c r="AP6" s="43" t="n">
        <v>0</v>
      </c>
      <c r="AQ6" s="25" t="str">
        <f aca="false">IF(AND(ISNUMBER(AP6),ISNUMBER(AO6),AO6&gt;=5),AP6/AO6,"")</f>
        <v/>
      </c>
      <c r="AR6" s="43" t="n">
        <v>886.7</v>
      </c>
      <c r="AS6" s="43" t="n">
        <v>1364.5</v>
      </c>
      <c r="AT6" s="22" t="n">
        <f aca="false">IF(AND(ISNUMBER(AS6),ISNUMBER(AR6),AR6&gt;0),AS6/AR6-1,"")</f>
        <v>0.538851922860043</v>
      </c>
      <c r="AU6" s="44"/>
      <c r="AV6" s="44"/>
      <c r="AW6" s="44"/>
      <c r="AX6" s="44"/>
      <c r="AY6" s="44"/>
      <c r="AZ6" s="45"/>
      <c r="BA6" s="45"/>
      <c r="BB6" s="46"/>
      <c r="BC6" s="46"/>
      <c r="BD6" s="23" t="str">
        <f aca="false">IF(AND(ISNUMBER(BB6),ISNUMBER(BC6),BB6&gt;0),1-BC6/BB6,"")</f>
        <v/>
      </c>
      <c r="BE6" s="47"/>
      <c r="BF6" s="48"/>
      <c r="BG6" s="48"/>
      <c r="BH6" s="27" t="str">
        <f aca="false">IF(AND(ISNUMBER(BF6),ISNUMBER(BG6),BG6&gt;0),BF6/BG6,"")</f>
        <v/>
      </c>
      <c r="BI6" s="48"/>
      <c r="BJ6" s="44"/>
      <c r="BK6" s="46"/>
      <c r="BL6" s="46"/>
      <c r="BM6" s="36" t="str">
        <f aca="false">IF(ISNUMBER(Q6),IF(Q6&lt;0,"YES","no"),"")</f>
        <v>YES</v>
      </c>
      <c r="BN6" s="36" t="str">
        <f aca="false">IFERROR(IF(AND(ISNUMBER(K6),ISNUMBER(INDEX('Lift Inputs'!$H:$H,MATCH(C6,'Lift Inputs'!$C:$C,0)))),IF(K6&lt;INDEX('Lift Inputs'!$H:$H,MATCH(C6,'Lift Inputs'!$C:$C,0)),"YES","no"),""),"")</f>
        <v/>
      </c>
      <c r="BO6" s="44"/>
    </row>
    <row r="7" customFormat="false" ht="15" hidden="false" customHeight="false" outlineLevel="0" collapsed="false">
      <c r="A7" s="15" t="s">
        <v>37</v>
      </c>
      <c r="B7" s="15" t="s">
        <v>38</v>
      </c>
      <c r="C7" s="15" t="n">
        <v>59</v>
      </c>
      <c r="D7" s="15" t="s">
        <v>196</v>
      </c>
      <c r="E7" s="15" t="n">
        <v>33</v>
      </c>
      <c r="F7" s="15" t="s">
        <v>332</v>
      </c>
      <c r="G7" s="15" t="s">
        <v>333</v>
      </c>
      <c r="H7" s="15" t="s">
        <v>334</v>
      </c>
      <c r="I7" s="15" t="s">
        <v>335</v>
      </c>
      <c r="J7" s="15" t="s">
        <v>177</v>
      </c>
      <c r="K7" s="35" t="n">
        <v>84.99</v>
      </c>
      <c r="L7" s="35"/>
      <c r="M7" s="23" t="str">
        <f aca="false">IF(AND(ISNUMBER(L7),ISNUMBER(K7),K7&gt;0),L7/K7-1,"")</f>
        <v/>
      </c>
      <c r="N7" s="36" t="str">
        <f aca="false">IF(M7="","No List Price",IF(M7&lt;=0,"At/below price",IF(M7&lt;=0.12,"&lt;=12% (STR zone)",IF(M7&lt;=0.25,"12-25%","&gt;25% (likely ignored)"))))</f>
        <v>No List Price</v>
      </c>
      <c r="O7" s="15" t="s">
        <v>320</v>
      </c>
      <c r="P7" s="35" t="n">
        <v>84.3167716535433</v>
      </c>
      <c r="Q7" s="22" t="n">
        <f aca="false">IF(AND(ISNUMBER(K7),ISNUMBER(P7),N(P7)&gt;0),K7/P7-1,"")</f>
        <v>0.00798451284666091</v>
      </c>
      <c r="R7" s="15" t="s">
        <v>321</v>
      </c>
      <c r="S7" s="37" t="n">
        <v>5664</v>
      </c>
      <c r="T7" s="37" t="n">
        <v>185</v>
      </c>
      <c r="U7" s="38" t="n">
        <f aca="false">IF(AND(ISNUMBER(K7),ISNUMBER(T7)),K7*T7*52/12,"")</f>
        <v>68133.65</v>
      </c>
      <c r="V7" s="15" t="n">
        <v>4.5</v>
      </c>
      <c r="W7" s="37" t="n">
        <v>263</v>
      </c>
      <c r="X7" s="39" t="n">
        <v>46307</v>
      </c>
      <c r="Y7" s="15" t="n">
        <v>43</v>
      </c>
      <c r="Z7" s="40" t="n">
        <v>45944</v>
      </c>
      <c r="AA7" s="41" t="n">
        <f aca="false">IF(ISNUMBER(Z7),(DATE(2026,10,13)-Z7)/365,"")</f>
        <v>0.997260273972603</v>
      </c>
      <c r="AB7" s="37" t="n">
        <v>5418</v>
      </c>
      <c r="AC7" s="15" t="s">
        <v>313</v>
      </c>
      <c r="AD7" s="15" t="n">
        <v>1</v>
      </c>
      <c r="AE7" s="15" t="s">
        <v>336</v>
      </c>
      <c r="AF7" s="42" t="n">
        <v>0</v>
      </c>
      <c r="AG7" s="42" t="n">
        <v>0</v>
      </c>
      <c r="AH7" s="15" t="n">
        <v>295</v>
      </c>
      <c r="AI7" s="37" t="n">
        <v>334819</v>
      </c>
      <c r="AJ7" s="37" t="n">
        <v>2638</v>
      </c>
      <c r="AK7" s="15" t="s">
        <v>326</v>
      </c>
      <c r="AL7" s="43" t="n">
        <v>198.1</v>
      </c>
      <c r="AM7" s="43" t="n">
        <v>260</v>
      </c>
      <c r="AN7" s="25" t="n">
        <f aca="false">IF(AND(ISNUMBER(AM7),ISNUMBER(AL7),AL7&gt;=5),AM7/AL7,"")</f>
        <v>1.31246845027764</v>
      </c>
      <c r="AO7" s="43" t="n">
        <v>89.9</v>
      </c>
      <c r="AP7" s="43" t="n">
        <v>320.5</v>
      </c>
      <c r="AQ7" s="25" t="n">
        <f aca="false">IF(AND(ISNUMBER(AP7),ISNUMBER(AO7),AO7&gt;=5),AP7/AO7,"")</f>
        <v>3.5650723025584</v>
      </c>
      <c r="AR7" s="43" t="n">
        <v>183.2</v>
      </c>
      <c r="AS7" s="43" t="n">
        <v>230.2</v>
      </c>
      <c r="AT7" s="22" t="n">
        <f aca="false">IF(AND(ISNUMBER(AS7),ISNUMBER(AR7),AR7&gt;0),AS7/AR7-1,"")</f>
        <v>0.256550218340611</v>
      </c>
      <c r="AU7" s="44"/>
      <c r="AV7" s="44"/>
      <c r="AW7" s="44"/>
      <c r="AX7" s="44"/>
      <c r="AY7" s="44"/>
      <c r="AZ7" s="45"/>
      <c r="BA7" s="45"/>
      <c r="BB7" s="46"/>
      <c r="BC7" s="46"/>
      <c r="BD7" s="23" t="str">
        <f aca="false">IF(AND(ISNUMBER(BB7),ISNUMBER(BC7),BB7&gt;0),1-BC7/BB7,"")</f>
        <v/>
      </c>
      <c r="BE7" s="47"/>
      <c r="BF7" s="48"/>
      <c r="BG7" s="48"/>
      <c r="BH7" s="27" t="str">
        <f aca="false">IF(AND(ISNUMBER(BF7),ISNUMBER(BG7),BG7&gt;0),BF7/BG7,"")</f>
        <v/>
      </c>
      <c r="BI7" s="48"/>
      <c r="BJ7" s="44"/>
      <c r="BK7" s="46"/>
      <c r="BL7" s="46"/>
      <c r="BM7" s="36" t="str">
        <f aca="false">IF(ISNUMBER(Q7),IF(Q7&lt;0,"YES","no"),"")</f>
        <v>no</v>
      </c>
      <c r="BN7" s="36" t="str">
        <f aca="false">IFERROR(IF(AND(ISNUMBER(K7),ISNUMBER(INDEX('Lift Inputs'!$H:$H,MATCH(C7,'Lift Inputs'!$C:$C,0)))),IF(K7&lt;INDEX('Lift Inputs'!$H:$H,MATCH(C7,'Lift Inputs'!$C:$C,0)),"YES","no"),""),"")</f>
        <v/>
      </c>
      <c r="BO7" s="44"/>
    </row>
    <row r="8" customFormat="false" ht="15" hidden="false" customHeight="false" outlineLevel="0" collapsed="false">
      <c r="A8" s="15" t="s">
        <v>37</v>
      </c>
      <c r="B8" s="15" t="s">
        <v>38</v>
      </c>
      <c r="C8" s="15" t="n">
        <v>59</v>
      </c>
      <c r="D8" s="15" t="s">
        <v>196</v>
      </c>
      <c r="E8" s="15" t="n">
        <v>1956</v>
      </c>
      <c r="F8" s="15" t="s">
        <v>337</v>
      </c>
      <c r="G8" s="15" t="s">
        <v>338</v>
      </c>
      <c r="H8" s="15" t="s">
        <v>339</v>
      </c>
      <c r="I8" s="15" t="s">
        <v>340</v>
      </c>
      <c r="J8" s="15" t="s">
        <v>177</v>
      </c>
      <c r="K8" s="35" t="n">
        <v>114.99</v>
      </c>
      <c r="L8" s="35" t="n">
        <v>129.99</v>
      </c>
      <c r="M8" s="23" t="n">
        <f aca="false">IF(AND(ISNUMBER(L8),ISNUMBER(K8),K8&gt;0),L8/K8-1,"")</f>
        <v>0.130446125750065</v>
      </c>
      <c r="N8" s="36" t="str">
        <f aca="false">IF(M8="","No List Price",IF(M8&lt;=0,"At/below price",IF(M8&lt;=0.12,"&lt;=12% (STR zone)",IF(M8&lt;=0.25,"12-25%","&gt;25% (likely ignored)"))))</f>
        <v>12-25%</v>
      </c>
      <c r="O8" s="15" t="s">
        <v>320</v>
      </c>
      <c r="P8" s="35" t="n">
        <v>84.3167716535433</v>
      </c>
      <c r="Q8" s="22" t="n">
        <f aca="false">IF(AND(ISNUMBER(K8),ISNUMBER(P8),N(P8)&gt;0),K8/P8-1,"")</f>
        <v>0.363785611627692</v>
      </c>
      <c r="R8" s="15" t="s">
        <v>321</v>
      </c>
      <c r="S8" s="37" t="n">
        <v>5934</v>
      </c>
      <c r="T8" s="37" t="n">
        <v>185</v>
      </c>
      <c r="U8" s="38" t="n">
        <f aca="false">IF(AND(ISNUMBER(K8),ISNUMBER(T8)),K8*T8*52/12,"")</f>
        <v>92183.65</v>
      </c>
      <c r="V8" s="15" t="n">
        <v>4.6</v>
      </c>
      <c r="W8" s="37" t="n">
        <v>167</v>
      </c>
      <c r="X8" s="39" t="n">
        <v>46307</v>
      </c>
      <c r="Y8" s="15"/>
      <c r="Z8" s="40"/>
      <c r="AA8" s="41" t="str">
        <f aca="false">IF(ISNUMBER(Z8),(DATE(2026,10,13)-Z8)/365,"")</f>
        <v/>
      </c>
      <c r="AB8" s="37"/>
      <c r="AC8" s="15"/>
      <c r="AD8" s="15"/>
      <c r="AE8" s="15"/>
      <c r="AF8" s="42"/>
      <c r="AG8" s="42"/>
      <c r="AH8" s="15"/>
      <c r="AI8" s="37" t="n">
        <v>557658</v>
      </c>
      <c r="AJ8" s="37" t="n">
        <v>2189</v>
      </c>
      <c r="AK8" s="15" t="s">
        <v>315</v>
      </c>
      <c r="AL8" s="43" t="n">
        <v>0</v>
      </c>
      <c r="AM8" s="43" t="n">
        <v>0</v>
      </c>
      <c r="AN8" s="25" t="str">
        <f aca="false">IF(AND(ISNUMBER(AM8),ISNUMBER(AL8),AL8&gt;=5),AM8/AL8,"")</f>
        <v/>
      </c>
      <c r="AO8" s="43" t="n">
        <v>0</v>
      </c>
      <c r="AP8" s="43" t="n">
        <v>0</v>
      </c>
      <c r="AQ8" s="25" t="str">
        <f aca="false">IF(AND(ISNUMBER(AP8),ISNUMBER(AO8),AO8&gt;=5),AP8/AO8,"")</f>
        <v/>
      </c>
      <c r="AR8" s="43" t="n">
        <v>0</v>
      </c>
      <c r="AS8" s="43" t="n">
        <v>4.2</v>
      </c>
      <c r="AT8" s="22" t="str">
        <f aca="false">IF(AND(ISNUMBER(AS8),ISNUMBER(AR8),AR8&gt;0),AS8/AR8-1,"")</f>
        <v/>
      </c>
      <c r="AU8" s="44"/>
      <c r="AV8" s="44"/>
      <c r="AW8" s="44"/>
      <c r="AX8" s="44"/>
      <c r="AY8" s="44"/>
      <c r="AZ8" s="45"/>
      <c r="BA8" s="45"/>
      <c r="BB8" s="46"/>
      <c r="BC8" s="46"/>
      <c r="BD8" s="23" t="str">
        <f aca="false">IF(AND(ISNUMBER(BB8),ISNUMBER(BC8),BB8&gt;0),1-BC8/BB8,"")</f>
        <v/>
      </c>
      <c r="BE8" s="47"/>
      <c r="BF8" s="48"/>
      <c r="BG8" s="48"/>
      <c r="BH8" s="27" t="str">
        <f aca="false">IF(AND(ISNUMBER(BF8),ISNUMBER(BG8),BG8&gt;0),BF8/BG8,"")</f>
        <v/>
      </c>
      <c r="BI8" s="48"/>
      <c r="BJ8" s="44"/>
      <c r="BK8" s="46"/>
      <c r="BL8" s="46"/>
      <c r="BM8" s="36" t="str">
        <f aca="false">IF(ISNUMBER(Q8),IF(Q8&lt;0,"YES","no"),"")</f>
        <v>no</v>
      </c>
      <c r="BN8" s="36" t="str">
        <f aca="false">IFERROR(IF(AND(ISNUMBER(K8),ISNUMBER(INDEX('Lift Inputs'!$H:$H,MATCH(C8,'Lift Inputs'!$C:$C,0)))),IF(K8&lt;INDEX('Lift Inputs'!$H:$H,MATCH(C8,'Lift Inputs'!$C:$C,0)),"YES","no"),""),"")</f>
        <v/>
      </c>
      <c r="BO8" s="44"/>
    </row>
    <row r="9" customFormat="false" ht="15" hidden="false" customHeight="false" outlineLevel="0" collapsed="false">
      <c r="A9" s="15" t="s">
        <v>37</v>
      </c>
      <c r="B9" s="15" t="s">
        <v>38</v>
      </c>
      <c r="C9" s="15" t="n">
        <v>59</v>
      </c>
      <c r="D9" s="15" t="s">
        <v>196</v>
      </c>
      <c r="E9" s="15" t="n">
        <v>3</v>
      </c>
      <c r="F9" s="15" t="s">
        <v>341</v>
      </c>
      <c r="G9" s="15" t="s">
        <v>342</v>
      </c>
      <c r="H9" s="15" t="s">
        <v>343</v>
      </c>
      <c r="I9" s="15" t="s">
        <v>344</v>
      </c>
      <c r="J9" s="15" t="s">
        <v>177</v>
      </c>
      <c r="K9" s="35" t="n">
        <v>89.99</v>
      </c>
      <c r="L9" s="35"/>
      <c r="M9" s="23" t="str">
        <f aca="false">IF(AND(ISNUMBER(L9),ISNUMBER(K9),K9&gt;0),L9/K9-1,"")</f>
        <v/>
      </c>
      <c r="N9" s="36" t="str">
        <f aca="false">IF(M9="","No List Price",IF(M9&lt;=0,"At/below price",IF(M9&lt;=0.12,"&lt;=12% (STR zone)",IF(M9&lt;=0.25,"12-25%","&gt;25% (likely ignored)"))))</f>
        <v>No List Price</v>
      </c>
      <c r="O9" s="15" t="s">
        <v>311</v>
      </c>
      <c r="P9" s="35" t="n">
        <v>80.6509589041096</v>
      </c>
      <c r="Q9" s="22" t="n">
        <f aca="false">IF(AND(ISNUMBER(K9),ISNUMBER(P9),N(P9)&gt;0),K9/P9-1,"")</f>
        <v>0.115795784982471</v>
      </c>
      <c r="R9" s="15" t="s">
        <v>312</v>
      </c>
      <c r="S9" s="37" t="n">
        <v>6971</v>
      </c>
      <c r="T9" s="37" t="n">
        <v>104</v>
      </c>
      <c r="U9" s="38" t="n">
        <f aca="false">IF(AND(ISNUMBER(K9),ISNUMBER(T9)),K9*T9*52/12,"")</f>
        <v>40555.4933333333</v>
      </c>
      <c r="V9" s="15" t="n">
        <v>4.3</v>
      </c>
      <c r="W9" s="37" t="n">
        <v>2766</v>
      </c>
      <c r="X9" s="39" t="n">
        <v>46307</v>
      </c>
      <c r="Y9" s="15" t="n">
        <v>104</v>
      </c>
      <c r="Z9" s="40" t="n">
        <v>45649</v>
      </c>
      <c r="AA9" s="41" t="n">
        <f aca="false">IF(ISNUMBER(Z9),(DATE(2026,10,13)-Z9)/365,"")</f>
        <v>1.80547945205479</v>
      </c>
      <c r="AB9" s="37" t="n">
        <v>4777</v>
      </c>
      <c r="AC9" s="15" t="s">
        <v>313</v>
      </c>
      <c r="AD9" s="15" t="n">
        <v>1</v>
      </c>
      <c r="AE9" s="15" t="s">
        <v>345</v>
      </c>
      <c r="AF9" s="42" t="n">
        <v>0</v>
      </c>
      <c r="AG9" s="42" t="n">
        <v>0</v>
      </c>
      <c r="AH9" s="15" t="n">
        <v>190</v>
      </c>
      <c r="AI9" s="37" t="n">
        <v>407949</v>
      </c>
      <c r="AJ9" s="37" t="n">
        <v>2137</v>
      </c>
      <c r="AK9" s="15" t="s">
        <v>326</v>
      </c>
      <c r="AL9" s="43" t="n">
        <v>356.5</v>
      </c>
      <c r="AM9" s="43" t="n">
        <v>490</v>
      </c>
      <c r="AN9" s="25" t="n">
        <f aca="false">IF(AND(ISNUMBER(AM9),ISNUMBER(AL9),AL9&gt;=5),AM9/AL9,"")</f>
        <v>1.37447405329593</v>
      </c>
      <c r="AO9" s="43" t="n">
        <v>57.6</v>
      </c>
      <c r="AP9" s="43" t="n">
        <v>82.5</v>
      </c>
      <c r="AQ9" s="25" t="n">
        <f aca="false">IF(AND(ISNUMBER(AP9),ISNUMBER(AO9),AO9&gt;=5),AP9/AO9,"")</f>
        <v>1.43229166666667</v>
      </c>
      <c r="AR9" s="43" t="n">
        <v>239.9</v>
      </c>
      <c r="AS9" s="43" t="n">
        <v>571.4</v>
      </c>
      <c r="AT9" s="22" t="n">
        <f aca="false">IF(AND(ISNUMBER(AS9),ISNUMBER(AR9),AR9&gt;0),AS9/AR9-1,"")</f>
        <v>1.38182576073364</v>
      </c>
      <c r="AU9" s="44"/>
      <c r="AV9" s="44"/>
      <c r="AW9" s="44"/>
      <c r="AX9" s="44"/>
      <c r="AY9" s="44"/>
      <c r="AZ9" s="45"/>
      <c r="BA9" s="45"/>
      <c r="BB9" s="46"/>
      <c r="BC9" s="46"/>
      <c r="BD9" s="23" t="str">
        <f aca="false">IF(AND(ISNUMBER(BB9),ISNUMBER(BC9),BB9&gt;0),1-BC9/BB9,"")</f>
        <v/>
      </c>
      <c r="BE9" s="47"/>
      <c r="BF9" s="48"/>
      <c r="BG9" s="48"/>
      <c r="BH9" s="27" t="str">
        <f aca="false">IF(AND(ISNUMBER(BF9),ISNUMBER(BG9),BG9&gt;0),BF9/BG9,"")</f>
        <v/>
      </c>
      <c r="BI9" s="48"/>
      <c r="BJ9" s="44"/>
      <c r="BK9" s="46"/>
      <c r="BL9" s="46"/>
      <c r="BM9" s="36" t="str">
        <f aca="false">IF(ISNUMBER(Q9),IF(Q9&lt;0,"YES","no"),"")</f>
        <v>no</v>
      </c>
      <c r="BN9" s="36" t="str">
        <f aca="false">IFERROR(IF(AND(ISNUMBER(K9),ISNUMBER(INDEX('Lift Inputs'!$H:$H,MATCH(C9,'Lift Inputs'!$C:$C,0)))),IF(K9&lt;INDEX('Lift Inputs'!$H:$H,MATCH(C9,'Lift Inputs'!$C:$C,0)),"YES","no"),""),"")</f>
        <v/>
      </c>
      <c r="BO9" s="44"/>
    </row>
    <row r="10" customFormat="false" ht="15" hidden="false" customHeight="false" outlineLevel="0" collapsed="false">
      <c r="A10" s="15" t="s">
        <v>37</v>
      </c>
      <c r="B10" s="15" t="s">
        <v>38</v>
      </c>
      <c r="C10" s="15" t="n">
        <v>59</v>
      </c>
      <c r="D10" s="15" t="s">
        <v>196</v>
      </c>
      <c r="E10" s="15" t="n">
        <v>6</v>
      </c>
      <c r="F10" s="15" t="s">
        <v>307</v>
      </c>
      <c r="G10" s="15" t="s">
        <v>346</v>
      </c>
      <c r="H10" s="15" t="s">
        <v>347</v>
      </c>
      <c r="I10" s="15" t="s">
        <v>348</v>
      </c>
      <c r="J10" s="15" t="s">
        <v>177</v>
      </c>
      <c r="K10" s="35" t="n">
        <v>89.99</v>
      </c>
      <c r="L10" s="35" t="n">
        <v>119.99</v>
      </c>
      <c r="M10" s="23" t="n">
        <f aca="false">IF(AND(ISNUMBER(L10),ISNUMBER(K10),K10&gt;0),L10/K10-1,"")</f>
        <v>0.333370374486054</v>
      </c>
      <c r="N10" s="36" t="str">
        <f aca="false">IF(M10="","No List Price",IF(M10&lt;=0,"At/below price",IF(M10&lt;=0.12,"&lt;=12% (STR zone)",IF(M10&lt;=0.25,"12-25%","&gt;25% (likely ignored)"))))</f>
        <v>&gt;25% (likely ignored)</v>
      </c>
      <c r="O10" s="15" t="s">
        <v>311</v>
      </c>
      <c r="P10" s="35" t="n">
        <v>80.6509589041096</v>
      </c>
      <c r="Q10" s="22" t="n">
        <f aca="false">IF(AND(ISNUMBER(K10),ISNUMBER(P10),N(P10)&gt;0),K10/P10-1,"")</f>
        <v>0.115795784982471</v>
      </c>
      <c r="R10" s="15" t="s">
        <v>312</v>
      </c>
      <c r="S10" s="37" t="n">
        <v>8938</v>
      </c>
      <c r="T10" s="37" t="n">
        <v>104</v>
      </c>
      <c r="U10" s="38" t="n">
        <f aca="false">IF(AND(ISNUMBER(K10),ISNUMBER(T10)),K10*T10*52/12,"")</f>
        <v>40555.4933333333</v>
      </c>
      <c r="V10" s="15" t="n">
        <v>4.5</v>
      </c>
      <c r="W10" s="37" t="n">
        <v>588</v>
      </c>
      <c r="X10" s="39" t="n">
        <v>46307</v>
      </c>
      <c r="Y10" s="15" t="n">
        <v>39</v>
      </c>
      <c r="Z10" s="40" t="n">
        <v>45936</v>
      </c>
      <c r="AA10" s="41" t="n">
        <f aca="false">IF(ISNUMBER(Z10),(DATE(2026,10,13)-Z10)/365,"")</f>
        <v>1.01917808219178</v>
      </c>
      <c r="AB10" s="37" t="n">
        <v>4014</v>
      </c>
      <c r="AC10" s="15" t="s">
        <v>313</v>
      </c>
      <c r="AD10" s="15" t="n">
        <v>4</v>
      </c>
      <c r="AE10" s="15" t="s">
        <v>314</v>
      </c>
      <c r="AF10" s="42" t="n">
        <v>0</v>
      </c>
      <c r="AG10" s="42" t="n">
        <v>0</v>
      </c>
      <c r="AH10" s="15" t="n">
        <v>313</v>
      </c>
      <c r="AI10" s="37" t="n">
        <v>840292</v>
      </c>
      <c r="AJ10" s="37" t="n">
        <v>3961</v>
      </c>
      <c r="AK10" s="15" t="s">
        <v>326</v>
      </c>
      <c r="AL10" s="43" t="n">
        <v>279.8</v>
      </c>
      <c r="AM10" s="43" t="n">
        <v>493.8</v>
      </c>
      <c r="AN10" s="25" t="n">
        <f aca="false">IF(AND(ISNUMBER(AM10),ISNUMBER(AL10),AL10&gt;=5),AM10/AL10,"")</f>
        <v>1.76483202287348</v>
      </c>
      <c r="AO10" s="43" t="n">
        <v>320.1</v>
      </c>
      <c r="AP10" s="43" t="n">
        <v>534.8</v>
      </c>
      <c r="AQ10" s="25" t="n">
        <f aca="false">IF(AND(ISNUMBER(AP10),ISNUMBER(AO10),AO10&gt;=5),AP10/AO10,"")</f>
        <v>1.67072789753202</v>
      </c>
      <c r="AR10" s="43" t="n">
        <v>248.7</v>
      </c>
      <c r="AS10" s="43" t="n">
        <v>226.2</v>
      </c>
      <c r="AT10" s="22" t="n">
        <f aca="false">IF(AND(ISNUMBER(AS10),ISNUMBER(AR10),AR10&gt;0),AS10/AR10-1,"")</f>
        <v>-0.0904704463208685</v>
      </c>
      <c r="AU10" s="44"/>
      <c r="AV10" s="44"/>
      <c r="AW10" s="44"/>
      <c r="AX10" s="44"/>
      <c r="AY10" s="44"/>
      <c r="AZ10" s="45"/>
      <c r="BA10" s="45"/>
      <c r="BB10" s="46"/>
      <c r="BC10" s="46"/>
      <c r="BD10" s="23" t="str">
        <f aca="false">IF(AND(ISNUMBER(BB10),ISNUMBER(BC10),BB10&gt;0),1-BC10/BB10,"")</f>
        <v/>
      </c>
      <c r="BE10" s="47"/>
      <c r="BF10" s="48"/>
      <c r="BG10" s="48"/>
      <c r="BH10" s="27" t="str">
        <f aca="false">IF(AND(ISNUMBER(BF10),ISNUMBER(BG10),BG10&gt;0),BF10/BG10,"")</f>
        <v/>
      </c>
      <c r="BI10" s="48"/>
      <c r="BJ10" s="44"/>
      <c r="BK10" s="46"/>
      <c r="BL10" s="46"/>
      <c r="BM10" s="36" t="str">
        <f aca="false">IF(ISNUMBER(Q10),IF(Q10&lt;0,"YES","no"),"")</f>
        <v>no</v>
      </c>
      <c r="BN10" s="36" t="str">
        <f aca="false">IFERROR(IF(AND(ISNUMBER(K10),ISNUMBER(INDEX('Lift Inputs'!$H:$H,MATCH(C10,'Lift Inputs'!$C:$C,0)))),IF(K10&lt;INDEX('Lift Inputs'!$H:$H,MATCH(C10,'Lift Inputs'!$C:$C,0)),"YES","no"),""),"")</f>
        <v/>
      </c>
      <c r="BO10" s="44"/>
    </row>
    <row r="11" customFormat="false" ht="15" hidden="false" customHeight="false" outlineLevel="0" collapsed="false">
      <c r="A11" s="15" t="s">
        <v>37</v>
      </c>
      <c r="B11" s="15" t="s">
        <v>38</v>
      </c>
      <c r="C11" s="15" t="n">
        <v>59</v>
      </c>
      <c r="D11" s="15" t="s">
        <v>196</v>
      </c>
      <c r="E11" s="15" t="n">
        <v>1507</v>
      </c>
      <c r="F11" s="15" t="s">
        <v>349</v>
      </c>
      <c r="G11" s="15" t="s">
        <v>350</v>
      </c>
      <c r="H11" s="15" t="s">
        <v>351</v>
      </c>
      <c r="I11" s="15" t="s">
        <v>352</v>
      </c>
      <c r="J11" s="15" t="s">
        <v>177</v>
      </c>
      <c r="K11" s="35" t="n">
        <v>79.99</v>
      </c>
      <c r="L11" s="35"/>
      <c r="M11" s="23" t="str">
        <f aca="false">IF(AND(ISNUMBER(L11),ISNUMBER(K11),K11&gt;0),L11/K11-1,"")</f>
        <v/>
      </c>
      <c r="N11" s="36" t="str">
        <f aca="false">IF(M11="","No List Price",IF(M11&lt;=0,"At/below price",IF(M11&lt;=0.12,"&lt;=12% (STR zone)",IF(M11&lt;=0.25,"12-25%","&gt;25% (likely ignored)"))))</f>
        <v>No List Price</v>
      </c>
      <c r="O11" s="15"/>
      <c r="P11" s="35" t="n">
        <v>80.6509589041096</v>
      </c>
      <c r="Q11" s="22" t="n">
        <f aca="false">IF(AND(ISNUMBER(K11),ISNUMBER(P11),N(P11)&gt;0),K11/P11-1,"")</f>
        <v>-0.00819530124738455</v>
      </c>
      <c r="R11" s="15" t="s">
        <v>353</v>
      </c>
      <c r="S11" s="37" t="n">
        <v>7961</v>
      </c>
      <c r="T11" s="37" t="n">
        <v>104</v>
      </c>
      <c r="U11" s="38" t="n">
        <f aca="false">IF(AND(ISNUMBER(K11),ISNUMBER(T11)),K11*T11*52/12,"")</f>
        <v>36048.8266666667</v>
      </c>
      <c r="V11" s="15" t="n">
        <v>4.5</v>
      </c>
      <c r="W11" s="37" t="n">
        <v>3776</v>
      </c>
      <c r="X11" s="39" t="n">
        <v>46307</v>
      </c>
      <c r="Y11" s="15"/>
      <c r="Z11" s="40"/>
      <c r="AA11" s="41" t="str">
        <f aca="false">IF(ISNUMBER(Z11),(DATE(2026,10,13)-Z11)/365,"")</f>
        <v/>
      </c>
      <c r="AB11" s="37"/>
      <c r="AC11" s="15"/>
      <c r="AD11" s="15"/>
      <c r="AE11" s="15"/>
      <c r="AF11" s="42"/>
      <c r="AG11" s="42"/>
      <c r="AH11" s="15"/>
      <c r="AI11" s="37" t="n">
        <v>185157</v>
      </c>
      <c r="AJ11" s="37" t="n">
        <v>1447</v>
      </c>
      <c r="AK11" s="15" t="s">
        <v>326</v>
      </c>
      <c r="AL11" s="43" t="n">
        <v>295.1</v>
      </c>
      <c r="AM11" s="43" t="n">
        <v>388</v>
      </c>
      <c r="AN11" s="25" t="n">
        <f aca="false">IF(AND(ISNUMBER(AM11),ISNUMBER(AL11),AL11&gt;=5),AM11/AL11,"")</f>
        <v>1.31480853947814</v>
      </c>
      <c r="AO11" s="43" t="n">
        <v>1.1</v>
      </c>
      <c r="AP11" s="43" t="n">
        <v>0.5</v>
      </c>
      <c r="AQ11" s="25" t="str">
        <f aca="false">IF(AND(ISNUMBER(AP11),ISNUMBER(AO11),AO11&gt;=5),AP11/AO11,"")</f>
        <v/>
      </c>
      <c r="AR11" s="43" t="n">
        <v>254.1</v>
      </c>
      <c r="AS11" s="43" t="n">
        <v>411.3</v>
      </c>
      <c r="AT11" s="22" t="n">
        <f aca="false">IF(AND(ISNUMBER(AS11),ISNUMBER(AR11),AR11&gt;0),AS11/AR11-1,"")</f>
        <v>0.618654073199528</v>
      </c>
      <c r="AU11" s="44"/>
      <c r="AV11" s="44"/>
      <c r="AW11" s="44"/>
      <c r="AX11" s="44"/>
      <c r="AY11" s="44"/>
      <c r="AZ11" s="45"/>
      <c r="BA11" s="45"/>
      <c r="BB11" s="46"/>
      <c r="BC11" s="46"/>
      <c r="BD11" s="23" t="str">
        <f aca="false">IF(AND(ISNUMBER(BB11),ISNUMBER(BC11),BB11&gt;0),1-BC11/BB11,"")</f>
        <v/>
      </c>
      <c r="BE11" s="47"/>
      <c r="BF11" s="48"/>
      <c r="BG11" s="48"/>
      <c r="BH11" s="27" t="str">
        <f aca="false">IF(AND(ISNUMBER(BF11),ISNUMBER(BG11),BG11&gt;0),BF11/BG11,"")</f>
        <v/>
      </c>
      <c r="BI11" s="48"/>
      <c r="BJ11" s="44"/>
      <c r="BK11" s="46"/>
      <c r="BL11" s="46"/>
      <c r="BM11" s="36" t="str">
        <f aca="false">IF(ISNUMBER(Q11),IF(Q11&lt;0,"YES","no"),"")</f>
        <v>YES</v>
      </c>
      <c r="BN11" s="36" t="str">
        <f aca="false">IFERROR(IF(AND(ISNUMBER(K11),ISNUMBER(INDEX('Lift Inputs'!$H:$H,MATCH(C11,'Lift Inputs'!$C:$C,0)))),IF(K11&lt;INDEX('Lift Inputs'!$H:$H,MATCH(C11,'Lift Inputs'!$C:$C,0)),"YES","no"),""),"")</f>
        <v/>
      </c>
      <c r="BO11" s="44"/>
    </row>
    <row r="12" customFormat="false" ht="15" hidden="false" customHeight="false" outlineLevel="0" collapsed="false">
      <c r="A12" s="15" t="s">
        <v>37</v>
      </c>
      <c r="B12" s="15" t="s">
        <v>38</v>
      </c>
      <c r="C12" s="15" t="n">
        <v>59</v>
      </c>
      <c r="D12" s="15" t="s">
        <v>196</v>
      </c>
      <c r="E12" s="15" t="n">
        <v>637</v>
      </c>
      <c r="F12" s="15" t="s">
        <v>354</v>
      </c>
      <c r="G12" s="15" t="s">
        <v>355</v>
      </c>
      <c r="H12" s="15" t="s">
        <v>356</v>
      </c>
      <c r="I12" s="15" t="s">
        <v>357</v>
      </c>
      <c r="J12" s="15" t="s">
        <v>177</v>
      </c>
      <c r="K12" s="35" t="n">
        <v>134.99</v>
      </c>
      <c r="L12" s="35"/>
      <c r="M12" s="23" t="str">
        <f aca="false">IF(AND(ISNUMBER(L12),ISNUMBER(K12),K12&gt;0),L12/K12-1,"")</f>
        <v/>
      </c>
      <c r="N12" s="36" t="str">
        <f aca="false">IF(M12="","No List Price",IF(M12&lt;=0,"At/below price",IF(M12&lt;=0.12,"&lt;=12% (STR zone)",IF(M12&lt;=0.25,"12-25%","&gt;25% (likely ignored)"))))</f>
        <v>No List Price</v>
      </c>
      <c r="O12" s="15" t="s">
        <v>320</v>
      </c>
      <c r="P12" s="35" t="n">
        <v>84.3167716535433</v>
      </c>
      <c r="Q12" s="22" t="n">
        <f aca="false">IF(AND(ISNUMBER(K12),ISNUMBER(P12),N(P12)&gt;0),K12/P12-1,"")</f>
        <v>0.60098634414838</v>
      </c>
      <c r="R12" s="15" t="s">
        <v>321</v>
      </c>
      <c r="S12" s="37" t="n">
        <v>1358</v>
      </c>
      <c r="T12" s="37" t="n">
        <v>92</v>
      </c>
      <c r="U12" s="38" t="n">
        <f aca="false">IF(AND(ISNUMBER(K12),ISNUMBER(T12)),K12*T12*52/12,"")</f>
        <v>53816.0133333333</v>
      </c>
      <c r="V12" s="15" t="n">
        <v>4.4</v>
      </c>
      <c r="W12" s="37" t="n">
        <v>5871</v>
      </c>
      <c r="X12" s="39" t="n">
        <v>46307</v>
      </c>
      <c r="Y12" s="15" t="n">
        <v>258</v>
      </c>
      <c r="Z12" s="40" t="n">
        <v>44154</v>
      </c>
      <c r="AA12" s="41" t="n">
        <f aca="false">IF(ISNUMBER(Z12),(DATE(2026,10,13)-Z12)/365,"")</f>
        <v>5.9013698630137</v>
      </c>
      <c r="AB12" s="37" t="n">
        <v>13039</v>
      </c>
      <c r="AC12" s="15" t="s">
        <v>313</v>
      </c>
      <c r="AD12" s="15" t="n">
        <v>1</v>
      </c>
      <c r="AE12" s="15" t="s">
        <v>314</v>
      </c>
      <c r="AF12" s="42" t="n">
        <v>0.80168776371308</v>
      </c>
      <c r="AG12" s="42" t="n">
        <v>0.361339222679758</v>
      </c>
      <c r="AH12" s="15" t="n">
        <v>316</v>
      </c>
      <c r="AI12" s="37" t="n">
        <v>591713</v>
      </c>
      <c r="AJ12" s="37" t="n">
        <v>5504</v>
      </c>
      <c r="AK12" s="15" t="s">
        <v>315</v>
      </c>
      <c r="AL12" s="43" t="n">
        <v>107.7</v>
      </c>
      <c r="AM12" s="43" t="n">
        <v>191.5</v>
      </c>
      <c r="AN12" s="25" t="n">
        <f aca="false">IF(AND(ISNUMBER(AM12),ISNUMBER(AL12),AL12&gt;=5),AM12/AL12,"")</f>
        <v>1.77808727948004</v>
      </c>
      <c r="AO12" s="43" t="n">
        <v>49.4</v>
      </c>
      <c r="AP12" s="43" t="n">
        <v>99.8</v>
      </c>
      <c r="AQ12" s="25" t="n">
        <f aca="false">IF(AND(ISNUMBER(AP12),ISNUMBER(AO12),AO12&gt;=5),AP12/AO12,"")</f>
        <v>2.02024291497976</v>
      </c>
      <c r="AR12" s="43" t="n">
        <v>127.5</v>
      </c>
      <c r="AS12" s="43" t="n">
        <v>175.6</v>
      </c>
      <c r="AT12" s="22" t="n">
        <f aca="false">IF(AND(ISNUMBER(AS12),ISNUMBER(AR12),AR12&gt;0),AS12/AR12-1,"")</f>
        <v>0.377254901960784</v>
      </c>
      <c r="AU12" s="44"/>
      <c r="AV12" s="44"/>
      <c r="AW12" s="44"/>
      <c r="AX12" s="44"/>
      <c r="AY12" s="44"/>
      <c r="AZ12" s="45"/>
      <c r="BA12" s="45"/>
      <c r="BB12" s="46"/>
      <c r="BC12" s="46"/>
      <c r="BD12" s="23" t="str">
        <f aca="false">IF(AND(ISNUMBER(BB12),ISNUMBER(BC12),BB12&gt;0),1-BC12/BB12,"")</f>
        <v/>
      </c>
      <c r="BE12" s="47"/>
      <c r="BF12" s="48"/>
      <c r="BG12" s="48"/>
      <c r="BH12" s="27" t="str">
        <f aca="false">IF(AND(ISNUMBER(BF12),ISNUMBER(BG12),BG12&gt;0),BF12/BG12,"")</f>
        <v/>
      </c>
      <c r="BI12" s="48"/>
      <c r="BJ12" s="44"/>
      <c r="BK12" s="46"/>
      <c r="BL12" s="46"/>
      <c r="BM12" s="36" t="str">
        <f aca="false">IF(ISNUMBER(Q12),IF(Q12&lt;0,"YES","no"),"")</f>
        <v>no</v>
      </c>
      <c r="BN12" s="36" t="str">
        <f aca="false">IFERROR(IF(AND(ISNUMBER(K12),ISNUMBER(INDEX('Lift Inputs'!$H:$H,MATCH(C12,'Lift Inputs'!$C:$C,0)))),IF(K12&lt;INDEX('Lift Inputs'!$H:$H,MATCH(C12,'Lift Inputs'!$C:$C,0)),"YES","no"),""),"")</f>
        <v/>
      </c>
      <c r="BO12" s="44"/>
    </row>
    <row r="13" customFormat="false" ht="15" hidden="false" customHeight="false" outlineLevel="0" collapsed="false">
      <c r="A13" s="15" t="s">
        <v>37</v>
      </c>
      <c r="B13" s="15" t="s">
        <v>38</v>
      </c>
      <c r="C13" s="15" t="n">
        <v>59</v>
      </c>
      <c r="D13" s="15" t="s">
        <v>196</v>
      </c>
      <c r="E13" s="15" t="n">
        <v>1814</v>
      </c>
      <c r="F13" s="15" t="s">
        <v>358</v>
      </c>
      <c r="G13" s="15" t="s">
        <v>359</v>
      </c>
      <c r="H13" s="15" t="s">
        <v>360</v>
      </c>
      <c r="I13" s="15" t="s">
        <v>361</v>
      </c>
      <c r="J13" s="15" t="s">
        <v>177</v>
      </c>
      <c r="K13" s="35" t="n">
        <v>67.98</v>
      </c>
      <c r="L13" s="35" t="n">
        <v>99.99</v>
      </c>
      <c r="M13" s="23" t="n">
        <f aca="false">IF(AND(ISNUMBER(L13),ISNUMBER(K13),K13&gt;0),L13/K13-1,"")</f>
        <v>0.470873786407767</v>
      </c>
      <c r="N13" s="36" t="str">
        <f aca="false">IF(M13="","No List Price",IF(M13&lt;=0,"At/below price",IF(M13&lt;=0.12,"&lt;=12% (STR zone)",IF(M13&lt;=0.25,"12-25%","&gt;25% (likely ignored)"))))</f>
        <v>&gt;25% (likely ignored)</v>
      </c>
      <c r="O13" s="15" t="s">
        <v>320</v>
      </c>
      <c r="P13" s="35" t="n">
        <v>84.3167716535433</v>
      </c>
      <c r="Q13" s="22" t="n">
        <f aca="false">IF(AND(ISNUMBER(K13),ISNUMBER(P13),N(P13)&gt;0),K13/P13-1,"")</f>
        <v>-0.193754710162183</v>
      </c>
      <c r="R13" s="15" t="s">
        <v>321</v>
      </c>
      <c r="S13" s="37" t="n">
        <v>14479</v>
      </c>
      <c r="T13" s="37" t="n">
        <v>81</v>
      </c>
      <c r="U13" s="38" t="n">
        <f aca="false">IF(AND(ISNUMBER(K13),ISNUMBER(T13)),K13*T13*52/12,"")</f>
        <v>23860.98</v>
      </c>
      <c r="V13" s="15" t="n">
        <v>4.4</v>
      </c>
      <c r="W13" s="37" t="n">
        <v>4095</v>
      </c>
      <c r="X13" s="39" t="n">
        <v>46307</v>
      </c>
      <c r="Y13" s="15" t="n">
        <v>40</v>
      </c>
      <c r="Z13" s="40" t="n">
        <v>43776</v>
      </c>
      <c r="AA13" s="41" t="n">
        <f aca="false">IF(ISNUMBER(Z13),(DATE(2026,10,13)-Z13)/365,"")</f>
        <v>6.93698630136986</v>
      </c>
      <c r="AB13" s="37" t="n">
        <v>2824</v>
      </c>
      <c r="AC13" s="15" t="s">
        <v>313</v>
      </c>
      <c r="AD13" s="15" t="n">
        <v>1</v>
      </c>
      <c r="AE13" s="15" t="s">
        <v>314</v>
      </c>
      <c r="AF13" s="42" t="n">
        <v>0</v>
      </c>
      <c r="AG13" s="42" t="n">
        <v>0</v>
      </c>
      <c r="AH13" s="15" t="n">
        <v>158</v>
      </c>
      <c r="AI13" s="37" t="n">
        <v>67699</v>
      </c>
      <c r="AJ13" s="37" t="n">
        <v>1687</v>
      </c>
      <c r="AK13" s="15" t="s">
        <v>315</v>
      </c>
      <c r="AL13" s="43" t="n">
        <v>83.8</v>
      </c>
      <c r="AM13" s="43" t="n">
        <v>85.2</v>
      </c>
      <c r="AN13" s="25" t="n">
        <f aca="false">IF(AND(ISNUMBER(AM13),ISNUMBER(AL13),AL13&gt;=5),AM13/AL13,"")</f>
        <v>1.01670644391408</v>
      </c>
      <c r="AO13" s="43" t="n">
        <v>10.4</v>
      </c>
      <c r="AP13" s="43" t="n">
        <v>24</v>
      </c>
      <c r="AQ13" s="25" t="n">
        <f aca="false">IF(AND(ISNUMBER(AP13),ISNUMBER(AO13),AO13&gt;=5),AP13/AO13,"")</f>
        <v>2.30769230769231</v>
      </c>
      <c r="AR13" s="43" t="n">
        <v>64.5</v>
      </c>
      <c r="AS13" s="43" t="n">
        <v>46</v>
      </c>
      <c r="AT13" s="22" t="n">
        <f aca="false">IF(AND(ISNUMBER(AS13),ISNUMBER(AR13),AR13&gt;0),AS13/AR13-1,"")</f>
        <v>-0.286821705426357</v>
      </c>
      <c r="AU13" s="44"/>
      <c r="AV13" s="44"/>
      <c r="AW13" s="44"/>
      <c r="AX13" s="44"/>
      <c r="AY13" s="44"/>
      <c r="AZ13" s="45"/>
      <c r="BA13" s="45"/>
      <c r="BB13" s="46"/>
      <c r="BC13" s="46"/>
      <c r="BD13" s="23" t="str">
        <f aca="false">IF(AND(ISNUMBER(BB13),ISNUMBER(BC13),BB13&gt;0),1-BC13/BB13,"")</f>
        <v/>
      </c>
      <c r="BE13" s="47"/>
      <c r="BF13" s="48"/>
      <c r="BG13" s="48"/>
      <c r="BH13" s="27" t="str">
        <f aca="false">IF(AND(ISNUMBER(BF13),ISNUMBER(BG13),BG13&gt;0),BF13/BG13,"")</f>
        <v/>
      </c>
      <c r="BI13" s="48"/>
      <c r="BJ13" s="44"/>
      <c r="BK13" s="46"/>
      <c r="BL13" s="46"/>
      <c r="BM13" s="36" t="str">
        <f aca="false">IF(ISNUMBER(Q13),IF(Q13&lt;0,"YES","no"),"")</f>
        <v>YES</v>
      </c>
      <c r="BN13" s="36" t="str">
        <f aca="false">IFERROR(IF(AND(ISNUMBER(K13),ISNUMBER(INDEX('Lift Inputs'!$H:$H,MATCH(C13,'Lift Inputs'!$C:$C,0)))),IF(K13&lt;INDEX('Lift Inputs'!$H:$H,MATCH(C13,'Lift Inputs'!$C:$C,0)),"YES","no"),""),"")</f>
        <v/>
      </c>
      <c r="BO13" s="44"/>
    </row>
    <row r="14" customFormat="false" ht="15" hidden="false" customHeight="false" outlineLevel="0" collapsed="false">
      <c r="A14" s="15" t="s">
        <v>37</v>
      </c>
      <c r="B14" s="15" t="s">
        <v>38</v>
      </c>
      <c r="C14" s="15" t="n">
        <v>59</v>
      </c>
      <c r="D14" s="15" t="s">
        <v>196</v>
      </c>
      <c r="E14" s="15" t="n">
        <v>1945</v>
      </c>
      <c r="F14" s="15" t="s">
        <v>362</v>
      </c>
      <c r="G14" s="15" t="s">
        <v>363</v>
      </c>
      <c r="H14" s="15" t="s">
        <v>364</v>
      </c>
      <c r="I14" s="15" t="s">
        <v>365</v>
      </c>
      <c r="J14" s="15" t="s">
        <v>177</v>
      </c>
      <c r="K14" s="35" t="n">
        <v>84.98</v>
      </c>
      <c r="L14" s="35" t="n">
        <v>99.89</v>
      </c>
      <c r="M14" s="23" t="n">
        <f aca="false">IF(AND(ISNUMBER(L14),ISNUMBER(K14),K14&gt;0),L14/K14-1,"")</f>
        <v>0.175453047775947</v>
      </c>
      <c r="N14" s="36" t="str">
        <f aca="false">IF(M14="","No List Price",IF(M14&lt;=0,"At/below price",IF(M14&lt;=0.12,"&lt;=12% (STR zone)",IF(M14&lt;=0.25,"12-25%","&gt;25% (likely ignored)"))))</f>
        <v>12-25%</v>
      </c>
      <c r="O14" s="15" t="s">
        <v>311</v>
      </c>
      <c r="P14" s="35" t="n">
        <v>80.6509589041096</v>
      </c>
      <c r="Q14" s="22" t="n">
        <f aca="false">IF(AND(ISNUMBER(K14),ISNUMBER(P14),N(P14)&gt;0),K14/P14-1,"")</f>
        <v>0.0536762507813136</v>
      </c>
      <c r="R14" s="15" t="s">
        <v>312</v>
      </c>
      <c r="S14" s="37" t="n">
        <v>65907</v>
      </c>
      <c r="T14" s="37" t="n">
        <v>81</v>
      </c>
      <c r="U14" s="38" t="n">
        <f aca="false">IF(AND(ISNUMBER(K14),ISNUMBER(T14)),K14*T14*52/12,"")</f>
        <v>29827.98</v>
      </c>
      <c r="V14" s="15" t="n">
        <v>4.5</v>
      </c>
      <c r="W14" s="37" t="n">
        <v>113</v>
      </c>
      <c r="X14" s="39" t="n">
        <v>46307</v>
      </c>
      <c r="Y14" s="15"/>
      <c r="Z14" s="40"/>
      <c r="AA14" s="41" t="str">
        <f aca="false">IF(ISNUMBER(Z14),(DATE(2026,10,13)-Z14)/365,"")</f>
        <v/>
      </c>
      <c r="AB14" s="37"/>
      <c r="AC14" s="15"/>
      <c r="AD14" s="15"/>
      <c r="AE14" s="15"/>
      <c r="AF14" s="42"/>
      <c r="AG14" s="42"/>
      <c r="AH14" s="15"/>
      <c r="AI14" s="37" t="n">
        <v>212120</v>
      </c>
      <c r="AJ14" s="37" t="n">
        <v>1732</v>
      </c>
      <c r="AK14" s="15" t="s">
        <v>315</v>
      </c>
      <c r="AL14" s="43" t="n">
        <v>141.2</v>
      </c>
      <c r="AM14" s="43" t="n">
        <v>114</v>
      </c>
      <c r="AN14" s="25" t="n">
        <f aca="false">IF(AND(ISNUMBER(AM14),ISNUMBER(AL14),AL14&gt;=5),AM14/AL14,"")</f>
        <v>0.807365439093485</v>
      </c>
      <c r="AO14" s="43" t="n">
        <v>193.2</v>
      </c>
      <c r="AP14" s="43" t="n">
        <v>145.5</v>
      </c>
      <c r="AQ14" s="25" t="n">
        <f aca="false">IF(AND(ISNUMBER(AP14),ISNUMBER(AO14),AO14&gt;=5),AP14/AO14,"")</f>
        <v>0.753105590062112</v>
      </c>
      <c r="AR14" s="43" t="n">
        <v>54.9</v>
      </c>
      <c r="AS14" s="43" t="n">
        <v>82.2</v>
      </c>
      <c r="AT14" s="22" t="n">
        <f aca="false">IF(AND(ISNUMBER(AS14),ISNUMBER(AR14),AR14&gt;0),AS14/AR14-1,"")</f>
        <v>0.497267759562842</v>
      </c>
      <c r="AU14" s="44"/>
      <c r="AV14" s="44"/>
      <c r="AW14" s="44"/>
      <c r="AX14" s="44"/>
      <c r="AY14" s="44"/>
      <c r="AZ14" s="45"/>
      <c r="BA14" s="45"/>
      <c r="BB14" s="46"/>
      <c r="BC14" s="46"/>
      <c r="BD14" s="23" t="str">
        <f aca="false">IF(AND(ISNUMBER(BB14),ISNUMBER(BC14),BB14&gt;0),1-BC14/BB14,"")</f>
        <v/>
      </c>
      <c r="BE14" s="47"/>
      <c r="BF14" s="48"/>
      <c r="BG14" s="48"/>
      <c r="BH14" s="27" t="str">
        <f aca="false">IF(AND(ISNUMBER(BF14),ISNUMBER(BG14),BG14&gt;0),BF14/BG14,"")</f>
        <v/>
      </c>
      <c r="BI14" s="48"/>
      <c r="BJ14" s="44"/>
      <c r="BK14" s="46"/>
      <c r="BL14" s="46"/>
      <c r="BM14" s="36" t="str">
        <f aca="false">IF(ISNUMBER(Q14),IF(Q14&lt;0,"YES","no"),"")</f>
        <v>no</v>
      </c>
      <c r="BN14" s="36" t="str">
        <f aca="false">IFERROR(IF(AND(ISNUMBER(K14),ISNUMBER(INDEX('Lift Inputs'!$H:$H,MATCH(C14,'Lift Inputs'!$C:$C,0)))),IF(K14&lt;INDEX('Lift Inputs'!$H:$H,MATCH(C14,'Lift Inputs'!$C:$C,0)),"YES","no"),""),"")</f>
        <v/>
      </c>
      <c r="BO14" s="44"/>
    </row>
    <row r="15" customFormat="false" ht="15" hidden="false" customHeight="false" outlineLevel="0" collapsed="false">
      <c r="A15" s="15" t="s">
        <v>37</v>
      </c>
      <c r="B15" s="15" t="s">
        <v>38</v>
      </c>
      <c r="C15" s="15" t="n">
        <v>59</v>
      </c>
      <c r="D15" s="15" t="s">
        <v>196</v>
      </c>
      <c r="E15" s="15" t="n">
        <v>22</v>
      </c>
      <c r="F15" s="15" t="s">
        <v>349</v>
      </c>
      <c r="G15" s="15" t="s">
        <v>366</v>
      </c>
      <c r="H15" s="15" t="s">
        <v>367</v>
      </c>
      <c r="I15" s="15" t="s">
        <v>368</v>
      </c>
      <c r="J15" s="15" t="s">
        <v>177</v>
      </c>
      <c r="K15" s="35" t="n">
        <v>59.99</v>
      </c>
      <c r="L15" s="35"/>
      <c r="M15" s="23" t="str">
        <f aca="false">IF(AND(ISNUMBER(L15),ISNUMBER(K15),K15&gt;0),L15/K15-1,"")</f>
        <v/>
      </c>
      <c r="N15" s="36" t="str">
        <f aca="false">IF(M15="","No List Price",IF(M15&lt;=0,"At/below price",IF(M15&lt;=0.12,"&lt;=12% (STR zone)",IF(M15&lt;=0.25,"12-25%","&gt;25% (likely ignored)"))))</f>
        <v>No List Price</v>
      </c>
      <c r="O15" s="15" t="s">
        <v>311</v>
      </c>
      <c r="P15" s="35" t="n">
        <v>80.6509589041096</v>
      </c>
      <c r="Q15" s="22" t="n">
        <f aca="false">IF(AND(ISNUMBER(K15),ISNUMBER(P15),N(P15)&gt;0),K15/P15-1,"")</f>
        <v>-0.256177473707096</v>
      </c>
      <c r="R15" s="15" t="s">
        <v>312</v>
      </c>
      <c r="S15" s="37" t="n">
        <v>23979</v>
      </c>
      <c r="T15" s="37" t="n">
        <v>81</v>
      </c>
      <c r="U15" s="38" t="n">
        <f aca="false">IF(AND(ISNUMBER(K15),ISNUMBER(T15)),K15*T15*52/12,"")</f>
        <v>21056.49</v>
      </c>
      <c r="V15" s="15" t="n">
        <v>4.5</v>
      </c>
      <c r="W15" s="37" t="n">
        <v>3911</v>
      </c>
      <c r="X15" s="39" t="n">
        <v>46307</v>
      </c>
      <c r="Y15" s="15" t="n">
        <v>42</v>
      </c>
      <c r="Z15" s="40" t="n">
        <v>45740</v>
      </c>
      <c r="AA15" s="41" t="n">
        <f aca="false">IF(ISNUMBER(Z15),(DATE(2026,10,13)-Z15)/365,"")</f>
        <v>1.55616438356164</v>
      </c>
      <c r="AB15" s="37" t="n">
        <v>1814</v>
      </c>
      <c r="AC15" s="15" t="s">
        <v>313</v>
      </c>
      <c r="AD15" s="15" t="n">
        <v>1</v>
      </c>
      <c r="AE15" s="15" t="s">
        <v>331</v>
      </c>
      <c r="AF15" s="42" t="n">
        <v>0</v>
      </c>
      <c r="AG15" s="42" t="n">
        <v>0</v>
      </c>
      <c r="AH15" s="15" t="n">
        <v>278</v>
      </c>
      <c r="AI15" s="37" t="n">
        <v>114504</v>
      </c>
      <c r="AJ15" s="37" t="n">
        <v>947</v>
      </c>
      <c r="AK15" s="15" t="s">
        <v>326</v>
      </c>
      <c r="AL15" s="43" t="n">
        <v>431.4</v>
      </c>
      <c r="AM15" s="43" t="n">
        <v>472.5</v>
      </c>
      <c r="AN15" s="25" t="n">
        <f aca="false">IF(AND(ISNUMBER(AM15),ISNUMBER(AL15),AL15&gt;=5),AM15/AL15,"")</f>
        <v>1.09527121001391</v>
      </c>
      <c r="AO15" s="43" t="n">
        <v>13.8</v>
      </c>
      <c r="AP15" s="43" t="n">
        <v>16.5</v>
      </c>
      <c r="AQ15" s="25" t="n">
        <f aca="false">IF(AND(ISNUMBER(AP15),ISNUMBER(AO15),AO15&gt;=5),AP15/AO15,"")</f>
        <v>1.19565217391304</v>
      </c>
      <c r="AR15" s="43" t="n">
        <v>365.3</v>
      </c>
      <c r="AS15" s="43" t="n">
        <v>327.3</v>
      </c>
      <c r="AT15" s="22" t="n">
        <f aca="false">IF(AND(ISNUMBER(AS15),ISNUMBER(AR15),AR15&gt;0),AS15/AR15-1,"")</f>
        <v>-0.104024089789214</v>
      </c>
      <c r="AU15" s="44"/>
      <c r="AV15" s="44"/>
      <c r="AW15" s="44"/>
      <c r="AX15" s="44"/>
      <c r="AY15" s="44"/>
      <c r="AZ15" s="45"/>
      <c r="BA15" s="45"/>
      <c r="BB15" s="46"/>
      <c r="BC15" s="46"/>
      <c r="BD15" s="23" t="str">
        <f aca="false">IF(AND(ISNUMBER(BB15),ISNUMBER(BC15),BB15&gt;0),1-BC15/BB15,"")</f>
        <v/>
      </c>
      <c r="BE15" s="47"/>
      <c r="BF15" s="48"/>
      <c r="BG15" s="48"/>
      <c r="BH15" s="27" t="str">
        <f aca="false">IF(AND(ISNUMBER(BF15),ISNUMBER(BG15),BG15&gt;0),BF15/BG15,"")</f>
        <v/>
      </c>
      <c r="BI15" s="48"/>
      <c r="BJ15" s="44"/>
      <c r="BK15" s="46"/>
      <c r="BL15" s="46"/>
      <c r="BM15" s="36" t="str">
        <f aca="false">IF(ISNUMBER(Q15),IF(Q15&lt;0,"YES","no"),"")</f>
        <v>YES</v>
      </c>
      <c r="BN15" s="36" t="str">
        <f aca="false">IFERROR(IF(AND(ISNUMBER(K15),ISNUMBER(INDEX('Lift Inputs'!$H:$H,MATCH(C15,'Lift Inputs'!$C:$C,0)))),IF(K15&lt;INDEX('Lift Inputs'!$H:$H,MATCH(C15,'Lift Inputs'!$C:$C,0)),"YES","no"),""),"")</f>
        <v/>
      </c>
      <c r="BO15" s="44"/>
    </row>
    <row r="16" customFormat="false" ht="15" hidden="false" customHeight="false" outlineLevel="0" collapsed="false">
      <c r="A16" s="15" t="s">
        <v>37</v>
      </c>
      <c r="B16" s="15" t="s">
        <v>38</v>
      </c>
      <c r="C16" s="15" t="n">
        <v>59</v>
      </c>
      <c r="D16" s="15" t="s">
        <v>196</v>
      </c>
      <c r="E16" s="15" t="n">
        <v>1953</v>
      </c>
      <c r="F16" s="15" t="s">
        <v>369</v>
      </c>
      <c r="G16" s="15" t="s">
        <v>370</v>
      </c>
      <c r="H16" s="15" t="s">
        <v>371</v>
      </c>
      <c r="I16" s="15" t="s">
        <v>372</v>
      </c>
      <c r="J16" s="15" t="s">
        <v>177</v>
      </c>
      <c r="K16" s="35" t="n">
        <v>59.99</v>
      </c>
      <c r="L16" s="35"/>
      <c r="M16" s="23" t="str">
        <f aca="false">IF(AND(ISNUMBER(L16),ISNUMBER(K16),K16&gt;0),L16/K16-1,"")</f>
        <v/>
      </c>
      <c r="N16" s="36" t="str">
        <f aca="false">IF(M16="","No List Price",IF(M16&lt;=0,"At/below price",IF(M16&lt;=0.12,"&lt;=12% (STR zone)",IF(M16&lt;=0.25,"12-25%","&gt;25% (likely ignored)"))))</f>
        <v>No List Price</v>
      </c>
      <c r="O16" s="15" t="s">
        <v>320</v>
      </c>
      <c r="P16" s="35" t="n">
        <v>84.3167716535433</v>
      </c>
      <c r="Q16" s="22" t="n">
        <f aca="false">IF(AND(ISNUMBER(K16),ISNUMBER(P16),N(P16)&gt;0),K16/P16-1,"")</f>
        <v>-0.288516402804198</v>
      </c>
      <c r="R16" s="15" t="s">
        <v>321</v>
      </c>
      <c r="S16" s="37" t="n">
        <v>205508</v>
      </c>
      <c r="T16" s="37" t="n">
        <v>35</v>
      </c>
      <c r="U16" s="38" t="n">
        <f aca="false">IF(AND(ISNUMBER(K16),ISNUMBER(T16)),K16*T16*52/12,"")</f>
        <v>9098.48333333333</v>
      </c>
      <c r="V16" s="15" t="n">
        <v>4.2</v>
      </c>
      <c r="W16" s="37" t="n">
        <v>81</v>
      </c>
      <c r="X16" s="39" t="n">
        <v>46307</v>
      </c>
      <c r="Y16" s="15"/>
      <c r="Z16" s="40"/>
      <c r="AA16" s="41" t="str">
        <f aca="false">IF(ISNUMBER(Z16),(DATE(2026,10,13)-Z16)/365,"")</f>
        <v/>
      </c>
      <c r="AB16" s="37"/>
      <c r="AC16" s="15"/>
      <c r="AD16" s="15"/>
      <c r="AE16" s="15"/>
      <c r="AF16" s="42"/>
      <c r="AG16" s="42"/>
      <c r="AH16" s="15"/>
      <c r="AI16" s="37" t="n">
        <v>75425</v>
      </c>
      <c r="AJ16" s="37" t="n">
        <v>1329</v>
      </c>
      <c r="AK16" s="15" t="s">
        <v>315</v>
      </c>
      <c r="AL16" s="43" t="n">
        <v>0</v>
      </c>
      <c r="AM16" s="43" t="n">
        <v>0</v>
      </c>
      <c r="AN16" s="25" t="str">
        <f aca="false">IF(AND(ISNUMBER(AM16),ISNUMBER(AL16),AL16&gt;=5),AM16/AL16,"")</f>
        <v/>
      </c>
      <c r="AO16" s="43" t="n">
        <v>0</v>
      </c>
      <c r="AP16" s="43" t="n">
        <v>0</v>
      </c>
      <c r="AQ16" s="25" t="str">
        <f aca="false">IF(AND(ISNUMBER(AP16),ISNUMBER(AO16),AO16&gt;=5),AP16/AO16,"")</f>
        <v/>
      </c>
      <c r="AR16" s="43" t="n">
        <v>0</v>
      </c>
      <c r="AS16" s="43" t="n">
        <v>69.1</v>
      </c>
      <c r="AT16" s="22" t="str">
        <f aca="false">IF(AND(ISNUMBER(AS16),ISNUMBER(AR16),AR16&gt;0),AS16/AR16-1,"")</f>
        <v/>
      </c>
      <c r="AU16" s="44"/>
      <c r="AV16" s="44"/>
      <c r="AW16" s="44"/>
      <c r="AX16" s="44"/>
      <c r="AY16" s="44"/>
      <c r="AZ16" s="45"/>
      <c r="BA16" s="45"/>
      <c r="BB16" s="46"/>
      <c r="BC16" s="46"/>
      <c r="BD16" s="23" t="str">
        <f aca="false">IF(AND(ISNUMBER(BB16),ISNUMBER(BC16),BB16&gt;0),1-BC16/BB16,"")</f>
        <v/>
      </c>
      <c r="BE16" s="47"/>
      <c r="BF16" s="48"/>
      <c r="BG16" s="48"/>
      <c r="BH16" s="27" t="str">
        <f aca="false">IF(AND(ISNUMBER(BF16),ISNUMBER(BG16),BG16&gt;0),BF16/BG16,"")</f>
        <v/>
      </c>
      <c r="BI16" s="48"/>
      <c r="BJ16" s="44"/>
      <c r="BK16" s="46"/>
      <c r="BL16" s="46"/>
      <c r="BM16" s="36" t="str">
        <f aca="false">IF(ISNUMBER(Q16),IF(Q16&lt;0,"YES","no"),"")</f>
        <v>YES</v>
      </c>
      <c r="BN16" s="36" t="str">
        <f aca="false">IFERROR(IF(AND(ISNUMBER(K16),ISNUMBER(INDEX('Lift Inputs'!$H:$H,MATCH(C16,'Lift Inputs'!$C:$C,0)))),IF(K16&lt;INDEX('Lift Inputs'!$H:$H,MATCH(C16,'Lift Inputs'!$C:$C,0)),"YES","no"),""),"")</f>
        <v/>
      </c>
      <c r="BO16" s="44"/>
    </row>
    <row r="17" customFormat="false" ht="15" hidden="false" customHeight="false" outlineLevel="0" collapsed="false">
      <c r="A17" s="15" t="s">
        <v>37</v>
      </c>
      <c r="B17" s="15" t="s">
        <v>38</v>
      </c>
      <c r="C17" s="15" t="n">
        <v>59</v>
      </c>
      <c r="D17" s="15" t="s">
        <v>196</v>
      </c>
      <c r="E17" s="15" t="n">
        <v>1510</v>
      </c>
      <c r="F17" s="15" t="s">
        <v>373</v>
      </c>
      <c r="G17" s="15" t="s">
        <v>374</v>
      </c>
      <c r="H17" s="15" t="s">
        <v>375</v>
      </c>
      <c r="I17" s="15" t="s">
        <v>352</v>
      </c>
      <c r="J17" s="15" t="s">
        <v>177</v>
      </c>
      <c r="K17" s="35" t="n">
        <v>55</v>
      </c>
      <c r="L17" s="35"/>
      <c r="M17" s="23" t="str">
        <f aca="false">IF(AND(ISNUMBER(L17),ISNUMBER(K17),K17&gt;0),L17/K17-1,"")</f>
        <v/>
      </c>
      <c r="N17" s="36" t="str">
        <f aca="false">IF(M17="","No List Price",IF(M17&lt;=0,"At/below price",IF(M17&lt;=0.12,"&lt;=12% (STR zone)",IF(M17&lt;=0.25,"12-25%","&gt;25% (likely ignored)"))))</f>
        <v>No List Price</v>
      </c>
      <c r="O17" s="15"/>
      <c r="P17" s="35" t="n">
        <v>80.6509589041096</v>
      </c>
      <c r="Q17" s="22" t="n">
        <f aca="false">IF(AND(ISNUMBER(K17),ISNUMBER(P17),N(P17)&gt;0),K17/P17-1,"")</f>
        <v>-0.318049025735794</v>
      </c>
      <c r="R17" s="15" t="s">
        <v>353</v>
      </c>
      <c r="S17" s="37" t="n">
        <v>4051</v>
      </c>
      <c r="T17" s="37" t="n">
        <v>35</v>
      </c>
      <c r="U17" s="38" t="n">
        <f aca="false">IF(AND(ISNUMBER(K17),ISNUMBER(T17)),K17*T17*52/12,"")</f>
        <v>8341.66666666667</v>
      </c>
      <c r="V17" s="15" t="n">
        <v>4.4</v>
      </c>
      <c r="W17" s="37" t="n">
        <v>1909</v>
      </c>
      <c r="X17" s="39" t="n">
        <v>46307</v>
      </c>
      <c r="Y17" s="15"/>
      <c r="Z17" s="40"/>
      <c r="AA17" s="41" t="str">
        <f aca="false">IF(ISNUMBER(Z17),(DATE(2026,10,13)-Z17)/365,"")</f>
        <v/>
      </c>
      <c r="AB17" s="37"/>
      <c r="AC17" s="15"/>
      <c r="AD17" s="15"/>
      <c r="AE17" s="15"/>
      <c r="AF17" s="42"/>
      <c r="AG17" s="42"/>
      <c r="AH17" s="15"/>
      <c r="AI17" s="37" t="n">
        <v>171534</v>
      </c>
      <c r="AJ17" s="37" t="n">
        <v>2682</v>
      </c>
      <c r="AK17" s="15"/>
      <c r="AL17" s="43"/>
      <c r="AM17" s="43"/>
      <c r="AN17" s="25" t="str">
        <f aca="false">IF(AND(ISNUMBER(AM17),ISNUMBER(AL17),AL17&gt;=5),AM17/AL17,"")</f>
        <v/>
      </c>
      <c r="AO17" s="43"/>
      <c r="AP17" s="43"/>
      <c r="AQ17" s="25" t="str">
        <f aca="false">IF(AND(ISNUMBER(AP17),ISNUMBER(AO17),AO17&gt;=5),AP17/AO17,"")</f>
        <v/>
      </c>
      <c r="AR17" s="43"/>
      <c r="AS17" s="43"/>
      <c r="AT17" s="22" t="str">
        <f aca="false">IF(AND(ISNUMBER(AS17),ISNUMBER(AR17),AR17&gt;0),AS17/AR17-1,"")</f>
        <v/>
      </c>
      <c r="AU17" s="44"/>
      <c r="AV17" s="44"/>
      <c r="AW17" s="44"/>
      <c r="AX17" s="44"/>
      <c r="AY17" s="44"/>
      <c r="AZ17" s="45"/>
      <c r="BA17" s="45"/>
      <c r="BB17" s="46"/>
      <c r="BC17" s="46"/>
      <c r="BD17" s="23" t="str">
        <f aca="false">IF(AND(ISNUMBER(BB17),ISNUMBER(BC17),BB17&gt;0),1-BC17/BB17,"")</f>
        <v/>
      </c>
      <c r="BE17" s="47"/>
      <c r="BF17" s="48"/>
      <c r="BG17" s="48"/>
      <c r="BH17" s="27" t="str">
        <f aca="false">IF(AND(ISNUMBER(BF17),ISNUMBER(BG17),BG17&gt;0),BF17/BG17,"")</f>
        <v/>
      </c>
      <c r="BI17" s="48"/>
      <c r="BJ17" s="44"/>
      <c r="BK17" s="46"/>
      <c r="BL17" s="46"/>
      <c r="BM17" s="36" t="str">
        <f aca="false">IF(ISNUMBER(Q17),IF(Q17&lt;0,"YES","no"),"")</f>
        <v>YES</v>
      </c>
      <c r="BN17" s="36" t="str">
        <f aca="false">IFERROR(IF(AND(ISNUMBER(K17),ISNUMBER(INDEX('Lift Inputs'!$H:$H,MATCH(C17,'Lift Inputs'!$C:$C,0)))),IF(K17&lt;INDEX('Lift Inputs'!$H:$H,MATCH(C17,'Lift Inputs'!$C:$C,0)),"YES","no"),""),"")</f>
        <v/>
      </c>
      <c r="BO17" s="44"/>
    </row>
    <row r="18" customFormat="false" ht="15" hidden="false" customHeight="false" outlineLevel="0" collapsed="false">
      <c r="A18" s="15" t="s">
        <v>37</v>
      </c>
      <c r="B18" s="15" t="s">
        <v>38</v>
      </c>
      <c r="C18" s="15" t="n">
        <v>59</v>
      </c>
      <c r="D18" s="15" t="s">
        <v>196</v>
      </c>
      <c r="E18" s="15" t="n">
        <v>1819</v>
      </c>
      <c r="F18" s="15" t="s">
        <v>376</v>
      </c>
      <c r="G18" s="15" t="s">
        <v>377</v>
      </c>
      <c r="H18" s="15" t="s">
        <v>378</v>
      </c>
      <c r="I18" s="15" t="s">
        <v>379</v>
      </c>
      <c r="J18" s="15" t="s">
        <v>177</v>
      </c>
      <c r="K18" s="35" t="n">
        <v>109</v>
      </c>
      <c r="L18" s="35"/>
      <c r="M18" s="23" t="str">
        <f aca="false">IF(AND(ISNUMBER(L18),ISNUMBER(K18),K18&gt;0),L18/K18-1,"")</f>
        <v/>
      </c>
      <c r="N18" s="36" t="str">
        <f aca="false">IF(M18="","No List Price",IF(M18&lt;=0,"At/below price",IF(M18&lt;=0.12,"&lt;=12% (STR zone)",IF(M18&lt;=0.25,"12-25%","&gt;25% (likely ignored)"))))</f>
        <v>No List Price</v>
      </c>
      <c r="O18" s="15" t="s">
        <v>320</v>
      </c>
      <c r="P18" s="35" t="n">
        <v>84.3167716535433</v>
      </c>
      <c r="Q18" s="22" t="n">
        <f aca="false">IF(AND(ISNUMBER(K18),ISNUMBER(P18),N(P18)&gt;0),K18/P18-1,"")</f>
        <v>0.292743992237746</v>
      </c>
      <c r="R18" s="15" t="s">
        <v>321</v>
      </c>
      <c r="S18" s="37" t="n">
        <v>16154</v>
      </c>
      <c r="T18" s="37" t="n">
        <v>35</v>
      </c>
      <c r="U18" s="38" t="n">
        <f aca="false">IF(AND(ISNUMBER(K18),ISNUMBER(T18)),K18*T18*52/12,"")</f>
        <v>16531.6666666667</v>
      </c>
      <c r="V18" s="15" t="n">
        <v>4.4</v>
      </c>
      <c r="W18" s="37" t="n">
        <v>3371</v>
      </c>
      <c r="X18" s="39" t="n">
        <v>46307</v>
      </c>
      <c r="Y18" s="15" t="n">
        <v>99</v>
      </c>
      <c r="Z18" s="40" t="n">
        <v>44922</v>
      </c>
      <c r="AA18" s="41" t="n">
        <f aca="false">IF(ISNUMBER(Z18),(DATE(2026,10,13)-Z18)/365,"")</f>
        <v>3.7972602739726</v>
      </c>
      <c r="AB18" s="37" t="n">
        <v>2972</v>
      </c>
      <c r="AC18" s="15" t="s">
        <v>313</v>
      </c>
      <c r="AD18" s="15" t="n">
        <v>1</v>
      </c>
      <c r="AE18" s="15" t="s">
        <v>380</v>
      </c>
      <c r="AF18" s="42" t="n">
        <v>0</v>
      </c>
      <c r="AG18" s="42" t="n">
        <v>0</v>
      </c>
      <c r="AH18" s="15" t="n">
        <v>68</v>
      </c>
      <c r="AI18" s="37" t="n">
        <v>76017</v>
      </c>
      <c r="AJ18" s="37" t="n">
        <v>1577</v>
      </c>
      <c r="AK18" s="15"/>
      <c r="AL18" s="43"/>
      <c r="AM18" s="43"/>
      <c r="AN18" s="25" t="str">
        <f aca="false">IF(AND(ISNUMBER(AM18),ISNUMBER(AL18),AL18&gt;=5),AM18/AL18,"")</f>
        <v/>
      </c>
      <c r="AO18" s="43"/>
      <c r="AP18" s="43"/>
      <c r="AQ18" s="25" t="str">
        <f aca="false">IF(AND(ISNUMBER(AP18),ISNUMBER(AO18),AO18&gt;=5),AP18/AO18,"")</f>
        <v/>
      </c>
      <c r="AR18" s="43"/>
      <c r="AS18" s="43"/>
      <c r="AT18" s="22" t="str">
        <f aca="false">IF(AND(ISNUMBER(AS18),ISNUMBER(AR18),AR18&gt;0),AS18/AR18-1,"")</f>
        <v/>
      </c>
      <c r="AU18" s="44"/>
      <c r="AV18" s="44"/>
      <c r="AW18" s="44"/>
      <c r="AX18" s="44"/>
      <c r="AY18" s="44"/>
      <c r="AZ18" s="45"/>
      <c r="BA18" s="45"/>
      <c r="BB18" s="46"/>
      <c r="BC18" s="46"/>
      <c r="BD18" s="23" t="str">
        <f aca="false">IF(AND(ISNUMBER(BB18),ISNUMBER(BC18),BB18&gt;0),1-BC18/BB18,"")</f>
        <v/>
      </c>
      <c r="BE18" s="47"/>
      <c r="BF18" s="48"/>
      <c r="BG18" s="48"/>
      <c r="BH18" s="27" t="str">
        <f aca="false">IF(AND(ISNUMBER(BF18),ISNUMBER(BG18),BG18&gt;0),BF18/BG18,"")</f>
        <v/>
      </c>
      <c r="BI18" s="48"/>
      <c r="BJ18" s="44"/>
      <c r="BK18" s="46"/>
      <c r="BL18" s="46"/>
      <c r="BM18" s="36" t="str">
        <f aca="false">IF(ISNUMBER(Q18),IF(Q18&lt;0,"YES","no"),"")</f>
        <v>no</v>
      </c>
      <c r="BN18" s="36" t="str">
        <f aca="false">IFERROR(IF(AND(ISNUMBER(K18),ISNUMBER(INDEX('Lift Inputs'!$H:$H,MATCH(C18,'Lift Inputs'!$C:$C,0)))),IF(K18&lt;INDEX('Lift Inputs'!$H:$H,MATCH(C18,'Lift Inputs'!$C:$C,0)),"YES","no"),""),"")</f>
        <v/>
      </c>
      <c r="BO18" s="44"/>
    </row>
    <row r="19" customFormat="false" ht="15" hidden="false" customHeight="false" outlineLevel="0" collapsed="false">
      <c r="A19" s="15" t="s">
        <v>37</v>
      </c>
      <c r="B19" s="15" t="s">
        <v>38</v>
      </c>
      <c r="C19" s="15" t="n">
        <v>59</v>
      </c>
      <c r="D19" s="15" t="s">
        <v>196</v>
      </c>
      <c r="E19" s="15" t="n">
        <v>1816</v>
      </c>
      <c r="F19" s="15" t="s">
        <v>381</v>
      </c>
      <c r="G19" s="15" t="s">
        <v>382</v>
      </c>
      <c r="H19" s="15" t="s">
        <v>383</v>
      </c>
      <c r="I19" s="15" t="s">
        <v>384</v>
      </c>
      <c r="J19" s="15" t="s">
        <v>177</v>
      </c>
      <c r="K19" s="35" t="n">
        <v>119.99</v>
      </c>
      <c r="L19" s="35"/>
      <c r="M19" s="23" t="str">
        <f aca="false">IF(AND(ISNUMBER(L19),ISNUMBER(K19),K19&gt;0),L19/K19-1,"")</f>
        <v/>
      </c>
      <c r="N19" s="36" t="str">
        <f aca="false">IF(M19="","No List Price",IF(M19&lt;=0,"At/below price",IF(M19&lt;=0.12,"&lt;=12% (STR zone)",IF(M19&lt;=0.25,"12-25%","&gt;25% (likely ignored)"))))</f>
        <v>No List Price</v>
      </c>
      <c r="O19" s="15"/>
      <c r="P19" s="35" t="n">
        <v>80.6509589041096</v>
      </c>
      <c r="Q19" s="22" t="n">
        <f aca="false">IF(AND(ISNUMBER(K19),ISNUMBER(P19),N(P19)&gt;0),K19/P19-1,"")</f>
        <v>0.487769043672038</v>
      </c>
      <c r="R19" s="15" t="s">
        <v>353</v>
      </c>
      <c r="S19" s="37" t="n">
        <v>15914</v>
      </c>
      <c r="T19" s="37" t="n">
        <v>35</v>
      </c>
      <c r="U19" s="38" t="n">
        <f aca="false">IF(AND(ISNUMBER(K19),ISNUMBER(T19)),K19*T19*52/12,"")</f>
        <v>18198.4833333333</v>
      </c>
      <c r="V19" s="15" t="n">
        <v>4.3</v>
      </c>
      <c r="W19" s="37" t="n">
        <v>474</v>
      </c>
      <c r="X19" s="39" t="n">
        <v>46307</v>
      </c>
      <c r="Y19" s="15"/>
      <c r="Z19" s="40"/>
      <c r="AA19" s="41" t="str">
        <f aca="false">IF(ISNUMBER(Z19),(DATE(2026,10,13)-Z19)/365,"")</f>
        <v/>
      </c>
      <c r="AB19" s="37"/>
      <c r="AC19" s="15"/>
      <c r="AD19" s="15"/>
      <c r="AE19" s="15"/>
      <c r="AF19" s="42"/>
      <c r="AG19" s="42"/>
      <c r="AH19" s="15"/>
      <c r="AI19" s="37" t="n">
        <v>243610</v>
      </c>
      <c r="AJ19" s="37" t="n">
        <v>3715</v>
      </c>
      <c r="AK19" s="15" t="s">
        <v>315</v>
      </c>
      <c r="AL19" s="43" t="n">
        <v>23.4</v>
      </c>
      <c r="AM19" s="43" t="n">
        <v>49.2</v>
      </c>
      <c r="AN19" s="25" t="n">
        <f aca="false">IF(AND(ISNUMBER(AM19),ISNUMBER(AL19),AL19&gt;=5),AM19/AL19,"")</f>
        <v>2.1025641025641</v>
      </c>
      <c r="AO19" s="43" t="n">
        <v>45.5</v>
      </c>
      <c r="AP19" s="43" t="n">
        <v>115.2</v>
      </c>
      <c r="AQ19" s="25" t="n">
        <f aca="false">IF(AND(ISNUMBER(AP19),ISNUMBER(AO19),AO19&gt;=5),AP19/AO19,"")</f>
        <v>2.53186813186813</v>
      </c>
      <c r="AR19" s="43" t="n">
        <v>23.6</v>
      </c>
      <c r="AS19" s="43" t="n">
        <v>2.9</v>
      </c>
      <c r="AT19" s="22" t="n">
        <f aca="false">IF(AND(ISNUMBER(AS19),ISNUMBER(AR19),AR19&gt;0),AS19/AR19-1,"")</f>
        <v>-0.877118644067797</v>
      </c>
      <c r="AU19" s="44"/>
      <c r="AV19" s="44"/>
      <c r="AW19" s="44"/>
      <c r="AX19" s="44"/>
      <c r="AY19" s="44"/>
      <c r="AZ19" s="45"/>
      <c r="BA19" s="45"/>
      <c r="BB19" s="46"/>
      <c r="BC19" s="46"/>
      <c r="BD19" s="23" t="str">
        <f aca="false">IF(AND(ISNUMBER(BB19),ISNUMBER(BC19),BB19&gt;0),1-BC19/BB19,"")</f>
        <v/>
      </c>
      <c r="BE19" s="47"/>
      <c r="BF19" s="48"/>
      <c r="BG19" s="48"/>
      <c r="BH19" s="27" t="str">
        <f aca="false">IF(AND(ISNUMBER(BF19),ISNUMBER(BG19),BG19&gt;0),BF19/BG19,"")</f>
        <v/>
      </c>
      <c r="BI19" s="48"/>
      <c r="BJ19" s="44"/>
      <c r="BK19" s="46"/>
      <c r="BL19" s="46"/>
      <c r="BM19" s="36" t="str">
        <f aca="false">IF(ISNUMBER(Q19),IF(Q19&lt;0,"YES","no"),"")</f>
        <v>no</v>
      </c>
      <c r="BN19" s="36" t="str">
        <f aca="false">IFERROR(IF(AND(ISNUMBER(K19),ISNUMBER(INDEX('Lift Inputs'!$H:$H,MATCH(C19,'Lift Inputs'!$C:$C,0)))),IF(K19&lt;INDEX('Lift Inputs'!$H:$H,MATCH(C19,'Lift Inputs'!$C:$C,0)),"YES","no"),""),"")</f>
        <v/>
      </c>
      <c r="BO19" s="44"/>
    </row>
    <row r="20" customFormat="false" ht="15" hidden="false" customHeight="false" outlineLevel="0" collapsed="false">
      <c r="A20" s="15" t="s">
        <v>37</v>
      </c>
      <c r="B20" s="15" t="s">
        <v>38</v>
      </c>
      <c r="C20" s="15" t="n">
        <v>59</v>
      </c>
      <c r="D20" s="15" t="s">
        <v>196</v>
      </c>
      <c r="E20" s="15" t="n">
        <v>1943</v>
      </c>
      <c r="F20" s="15" t="s">
        <v>385</v>
      </c>
      <c r="G20" s="15" t="s">
        <v>386</v>
      </c>
      <c r="H20" s="15" t="s">
        <v>387</v>
      </c>
      <c r="I20" s="15" t="s">
        <v>388</v>
      </c>
      <c r="J20" s="15" t="s">
        <v>177</v>
      </c>
      <c r="K20" s="35" t="n">
        <v>79</v>
      </c>
      <c r="L20" s="35" t="n">
        <v>109</v>
      </c>
      <c r="M20" s="23" t="n">
        <f aca="false">IF(AND(ISNUMBER(L20),ISNUMBER(K20),K20&gt;0),L20/K20-1,"")</f>
        <v>0.379746835443038</v>
      </c>
      <c r="N20" s="36" t="str">
        <f aca="false">IF(M20="","No List Price",IF(M20&lt;=0,"At/below price",IF(M20&lt;=0.12,"&lt;=12% (STR zone)",IF(M20&lt;=0.25,"12-25%","&gt;25% (likely ignored)"))))</f>
        <v>&gt;25% (likely ignored)</v>
      </c>
      <c r="O20" s="15" t="s">
        <v>311</v>
      </c>
      <c r="P20" s="35" t="n">
        <v>80.6509589041096</v>
      </c>
      <c r="Q20" s="22" t="n">
        <f aca="false">IF(AND(ISNUMBER(K20),ISNUMBER(P20),N(P20)&gt;0),K20/P20-1,"")</f>
        <v>-0.0204704187841401</v>
      </c>
      <c r="R20" s="15" t="s">
        <v>312</v>
      </c>
      <c r="S20" s="37" t="n">
        <v>28003</v>
      </c>
      <c r="T20" s="37" t="n">
        <v>35</v>
      </c>
      <c r="U20" s="38" t="n">
        <f aca="false">IF(AND(ISNUMBER(K20),ISNUMBER(T20)),K20*T20*52/12,"")</f>
        <v>11981.6666666667</v>
      </c>
      <c r="V20" s="15" t="n">
        <v>4.8</v>
      </c>
      <c r="W20" s="37" t="n">
        <v>279</v>
      </c>
      <c r="X20" s="39" t="n">
        <v>46307</v>
      </c>
      <c r="Y20" s="15"/>
      <c r="Z20" s="40"/>
      <c r="AA20" s="41" t="str">
        <f aca="false">IF(ISNUMBER(Z20),(DATE(2026,10,13)-Z20)/365,"")</f>
        <v/>
      </c>
      <c r="AB20" s="37"/>
      <c r="AC20" s="15"/>
      <c r="AD20" s="15"/>
      <c r="AE20" s="15"/>
      <c r="AF20" s="42"/>
      <c r="AG20" s="42"/>
      <c r="AH20" s="15"/>
      <c r="AI20" s="37" t="n">
        <v>216953</v>
      </c>
      <c r="AJ20" s="37" t="n">
        <v>1218</v>
      </c>
      <c r="AK20" s="15"/>
      <c r="AL20" s="43"/>
      <c r="AM20" s="43"/>
      <c r="AN20" s="25" t="str">
        <f aca="false">IF(AND(ISNUMBER(AM20),ISNUMBER(AL20),AL20&gt;=5),AM20/AL20,"")</f>
        <v/>
      </c>
      <c r="AO20" s="43"/>
      <c r="AP20" s="43"/>
      <c r="AQ20" s="25" t="str">
        <f aca="false">IF(AND(ISNUMBER(AP20),ISNUMBER(AO20),AO20&gt;=5),AP20/AO20,"")</f>
        <v/>
      </c>
      <c r="AR20" s="43"/>
      <c r="AS20" s="43"/>
      <c r="AT20" s="22" t="str">
        <f aca="false">IF(AND(ISNUMBER(AS20),ISNUMBER(AR20),AR20&gt;0),AS20/AR20-1,"")</f>
        <v/>
      </c>
      <c r="AU20" s="44"/>
      <c r="AV20" s="44"/>
      <c r="AW20" s="44"/>
      <c r="AX20" s="44"/>
      <c r="AY20" s="44"/>
      <c r="AZ20" s="45"/>
      <c r="BA20" s="45"/>
      <c r="BB20" s="46"/>
      <c r="BC20" s="46"/>
      <c r="BD20" s="23" t="str">
        <f aca="false">IF(AND(ISNUMBER(BB20),ISNUMBER(BC20),BB20&gt;0),1-BC20/BB20,"")</f>
        <v/>
      </c>
      <c r="BE20" s="47"/>
      <c r="BF20" s="48"/>
      <c r="BG20" s="48"/>
      <c r="BH20" s="27" t="str">
        <f aca="false">IF(AND(ISNUMBER(BF20),ISNUMBER(BG20),BG20&gt;0),BF20/BG20,"")</f>
        <v/>
      </c>
      <c r="BI20" s="48"/>
      <c r="BJ20" s="44"/>
      <c r="BK20" s="46"/>
      <c r="BL20" s="46"/>
      <c r="BM20" s="36" t="str">
        <f aca="false">IF(ISNUMBER(Q20),IF(Q20&lt;0,"YES","no"),"")</f>
        <v>YES</v>
      </c>
      <c r="BN20" s="36" t="str">
        <f aca="false">IFERROR(IF(AND(ISNUMBER(K20),ISNUMBER(INDEX('Lift Inputs'!$H:$H,MATCH(C20,'Lift Inputs'!$C:$C,0)))),IF(K20&lt;INDEX('Lift Inputs'!$H:$H,MATCH(C20,'Lift Inputs'!$C:$C,0)),"YES","no"),""),"")</f>
        <v/>
      </c>
      <c r="BO20" s="44"/>
    </row>
    <row r="21" customFormat="false" ht="15" hidden="false" customHeight="false" outlineLevel="0" collapsed="false">
      <c r="A21" s="15" t="s">
        <v>37</v>
      </c>
      <c r="B21" s="15" t="s">
        <v>38</v>
      </c>
      <c r="C21" s="15" t="n">
        <v>59</v>
      </c>
      <c r="D21" s="15" t="s">
        <v>196</v>
      </c>
      <c r="E21" s="15" t="n">
        <v>1955</v>
      </c>
      <c r="F21" s="15" t="s">
        <v>389</v>
      </c>
      <c r="G21" s="15" t="s">
        <v>390</v>
      </c>
      <c r="H21" s="15" t="s">
        <v>391</v>
      </c>
      <c r="I21" s="15" t="s">
        <v>392</v>
      </c>
      <c r="J21" s="15" t="s">
        <v>177</v>
      </c>
      <c r="K21" s="35" t="n">
        <v>89.98</v>
      </c>
      <c r="L21" s="35"/>
      <c r="M21" s="23" t="str">
        <f aca="false">IF(AND(ISNUMBER(L21),ISNUMBER(K21),K21&gt;0),L21/K21-1,"")</f>
        <v/>
      </c>
      <c r="N21" s="36" t="str">
        <f aca="false">IF(M21="","No List Price",IF(M21&lt;=0,"At/below price",IF(M21&lt;=0.12,"&lt;=12% (STR zone)",IF(M21&lt;=0.25,"12-25%","&gt;25% (likely ignored)"))))</f>
        <v>No List Price</v>
      </c>
      <c r="O21" s="15" t="s">
        <v>311</v>
      </c>
      <c r="P21" s="35" t="n">
        <v>80.6509589041096</v>
      </c>
      <c r="Q21" s="22" t="n">
        <f aca="false">IF(AND(ISNUMBER(K21),ISNUMBER(P21),N(P21)&gt;0),K21/P21-1,"")</f>
        <v>0.115671793896241</v>
      </c>
      <c r="R21" s="15" t="s">
        <v>312</v>
      </c>
      <c r="S21" s="37" t="n">
        <v>263209</v>
      </c>
      <c r="T21" s="37" t="n">
        <v>18</v>
      </c>
      <c r="U21" s="38" t="n">
        <f aca="false">IF(AND(ISNUMBER(K21),ISNUMBER(T21)),K21*T21*52/12,"")</f>
        <v>7018.44</v>
      </c>
      <c r="V21" s="15" t="n">
        <v>4.4</v>
      </c>
      <c r="W21" s="37" t="n">
        <v>739</v>
      </c>
      <c r="X21" s="39" t="n">
        <v>46307</v>
      </c>
      <c r="Y21" s="15"/>
      <c r="Z21" s="40"/>
      <c r="AA21" s="41" t="str">
        <f aca="false">IF(ISNUMBER(Z21),(DATE(2026,10,13)-Z21)/365,"")</f>
        <v/>
      </c>
      <c r="AB21" s="37"/>
      <c r="AC21" s="15"/>
      <c r="AD21" s="15"/>
      <c r="AE21" s="15"/>
      <c r="AF21" s="42"/>
      <c r="AG21" s="42"/>
      <c r="AH21" s="15"/>
      <c r="AI21" s="37" t="n">
        <v>67928</v>
      </c>
      <c r="AJ21" s="37" t="n">
        <v>1037</v>
      </c>
      <c r="AK21" s="15" t="s">
        <v>315</v>
      </c>
      <c r="AL21" s="43" t="n">
        <v>70.2</v>
      </c>
      <c r="AM21" s="43" t="n">
        <v>51.5</v>
      </c>
      <c r="AN21" s="25" t="n">
        <f aca="false">IF(AND(ISNUMBER(AM21),ISNUMBER(AL21),AL21&gt;=5),AM21/AL21,"")</f>
        <v>0.733618233618234</v>
      </c>
      <c r="AO21" s="43" t="n">
        <v>0</v>
      </c>
      <c r="AP21" s="43" t="n">
        <v>0</v>
      </c>
      <c r="AQ21" s="25" t="str">
        <f aca="false">IF(AND(ISNUMBER(AP21),ISNUMBER(AO21),AO21&gt;=5),AP21/AO21,"")</f>
        <v/>
      </c>
      <c r="AR21" s="43" t="n">
        <v>34.4</v>
      </c>
      <c r="AS21" s="43" t="n">
        <v>24.5</v>
      </c>
      <c r="AT21" s="22" t="n">
        <f aca="false">IF(AND(ISNUMBER(AS21),ISNUMBER(AR21),AR21&gt;0),AS21/AR21-1,"")</f>
        <v>-0.287790697674419</v>
      </c>
      <c r="AU21" s="44"/>
      <c r="AV21" s="44"/>
      <c r="AW21" s="44"/>
      <c r="AX21" s="44"/>
      <c r="AY21" s="44"/>
      <c r="AZ21" s="45"/>
      <c r="BA21" s="45"/>
      <c r="BB21" s="46"/>
      <c r="BC21" s="46"/>
      <c r="BD21" s="23" t="str">
        <f aca="false">IF(AND(ISNUMBER(BB21),ISNUMBER(BC21),BB21&gt;0),1-BC21/BB21,"")</f>
        <v/>
      </c>
      <c r="BE21" s="47"/>
      <c r="BF21" s="48"/>
      <c r="BG21" s="48"/>
      <c r="BH21" s="27" t="str">
        <f aca="false">IF(AND(ISNUMBER(BF21),ISNUMBER(BG21),BG21&gt;0),BF21/BG21,"")</f>
        <v/>
      </c>
      <c r="BI21" s="48"/>
      <c r="BJ21" s="44"/>
      <c r="BK21" s="46"/>
      <c r="BL21" s="46"/>
      <c r="BM21" s="36" t="str">
        <f aca="false">IF(ISNUMBER(Q21),IF(Q21&lt;0,"YES","no"),"")</f>
        <v>no</v>
      </c>
      <c r="BN21" s="36" t="str">
        <f aca="false">IFERROR(IF(AND(ISNUMBER(K21),ISNUMBER(INDEX('Lift Inputs'!$H:$H,MATCH(C21,'Lift Inputs'!$C:$C,0)))),IF(K21&lt;INDEX('Lift Inputs'!$H:$H,MATCH(C21,'Lift Inputs'!$C:$C,0)),"YES","no"),""),"")</f>
        <v/>
      </c>
      <c r="BO21" s="44"/>
    </row>
    <row r="22" customFormat="false" ht="15" hidden="false" customHeight="false" outlineLevel="0" collapsed="false">
      <c r="A22" s="15" t="s">
        <v>37</v>
      </c>
      <c r="B22" s="15" t="s">
        <v>38</v>
      </c>
      <c r="C22" s="15" t="n">
        <v>59</v>
      </c>
      <c r="D22" s="15" t="s">
        <v>196</v>
      </c>
      <c r="E22" s="15" t="n">
        <v>1950</v>
      </c>
      <c r="F22" s="15" t="s">
        <v>393</v>
      </c>
      <c r="G22" s="15" t="s">
        <v>394</v>
      </c>
      <c r="H22" s="15" t="s">
        <v>395</v>
      </c>
      <c r="I22" s="15" t="s">
        <v>396</v>
      </c>
      <c r="J22" s="15" t="s">
        <v>177</v>
      </c>
      <c r="K22" s="35" t="n">
        <v>89.99</v>
      </c>
      <c r="L22" s="35"/>
      <c r="M22" s="23" t="str">
        <f aca="false">IF(AND(ISNUMBER(L22),ISNUMBER(K22),K22&gt;0),L22/K22-1,"")</f>
        <v/>
      </c>
      <c r="N22" s="36" t="str">
        <f aca="false">IF(M22="","No List Price",IF(M22&lt;=0,"At/below price",IF(M22&lt;=0.12,"&lt;=12% (STR zone)",IF(M22&lt;=0.25,"12-25%","&gt;25% (likely ignored)"))))</f>
        <v>No List Price</v>
      </c>
      <c r="O22" s="15" t="s">
        <v>311</v>
      </c>
      <c r="P22" s="35" t="n">
        <v>80.6509589041096</v>
      </c>
      <c r="Q22" s="22" t="n">
        <f aca="false">IF(AND(ISNUMBER(K22),ISNUMBER(P22),N(P22)&gt;0),K22/P22-1,"")</f>
        <v>0.115795784982471</v>
      </c>
      <c r="R22" s="15" t="s">
        <v>312</v>
      </c>
      <c r="S22" s="37" t="n">
        <v>21237</v>
      </c>
      <c r="T22" s="37" t="n">
        <v>18</v>
      </c>
      <c r="U22" s="38" t="n">
        <f aca="false">IF(AND(ISNUMBER(K22),ISNUMBER(T22)),K22*T22*52/12,"")</f>
        <v>7019.22</v>
      </c>
      <c r="V22" s="15" t="n">
        <v>4.6</v>
      </c>
      <c r="W22" s="37" t="n">
        <v>76</v>
      </c>
      <c r="X22" s="39" t="n">
        <v>46307</v>
      </c>
      <c r="Y22" s="15"/>
      <c r="Z22" s="40"/>
      <c r="AA22" s="41" t="str">
        <f aca="false">IF(ISNUMBER(Z22),(DATE(2026,10,13)-Z22)/365,"")</f>
        <v/>
      </c>
      <c r="AB22" s="37"/>
      <c r="AC22" s="15"/>
      <c r="AD22" s="15"/>
      <c r="AE22" s="15"/>
      <c r="AF22" s="42"/>
      <c r="AG22" s="42"/>
      <c r="AH22" s="15"/>
      <c r="AI22" s="37" t="n">
        <v>103642</v>
      </c>
      <c r="AJ22" s="37" t="n">
        <v>2019</v>
      </c>
      <c r="AK22" s="15" t="s">
        <v>315</v>
      </c>
      <c r="AL22" s="43" t="n">
        <v>0</v>
      </c>
      <c r="AM22" s="43" t="n">
        <v>0</v>
      </c>
      <c r="AN22" s="25" t="str">
        <f aca="false">IF(AND(ISNUMBER(AM22),ISNUMBER(AL22),AL22&gt;=5),AM22/AL22,"")</f>
        <v/>
      </c>
      <c r="AO22" s="43" t="n">
        <v>0</v>
      </c>
      <c r="AP22" s="43" t="n">
        <v>0</v>
      </c>
      <c r="AQ22" s="25" t="str">
        <f aca="false">IF(AND(ISNUMBER(AP22),ISNUMBER(AO22),AO22&gt;=5),AP22/AO22,"")</f>
        <v/>
      </c>
      <c r="AR22" s="43" t="n">
        <v>0</v>
      </c>
      <c r="AS22" s="43" t="n">
        <v>29.8</v>
      </c>
      <c r="AT22" s="22" t="str">
        <f aca="false">IF(AND(ISNUMBER(AS22),ISNUMBER(AR22),AR22&gt;0),AS22/AR22-1,"")</f>
        <v/>
      </c>
      <c r="AU22" s="44"/>
      <c r="AV22" s="44"/>
      <c r="AW22" s="44"/>
      <c r="AX22" s="44"/>
      <c r="AY22" s="44"/>
      <c r="AZ22" s="45"/>
      <c r="BA22" s="45"/>
      <c r="BB22" s="46"/>
      <c r="BC22" s="46"/>
      <c r="BD22" s="23" t="str">
        <f aca="false">IF(AND(ISNUMBER(BB22),ISNUMBER(BC22),BB22&gt;0),1-BC22/BB22,"")</f>
        <v/>
      </c>
      <c r="BE22" s="47"/>
      <c r="BF22" s="48"/>
      <c r="BG22" s="48"/>
      <c r="BH22" s="27" t="str">
        <f aca="false">IF(AND(ISNUMBER(BF22),ISNUMBER(BG22),BG22&gt;0),BF22/BG22,"")</f>
        <v/>
      </c>
      <c r="BI22" s="48"/>
      <c r="BJ22" s="44"/>
      <c r="BK22" s="46"/>
      <c r="BL22" s="46"/>
      <c r="BM22" s="36" t="str">
        <f aca="false">IF(ISNUMBER(Q22),IF(Q22&lt;0,"YES","no"),"")</f>
        <v>no</v>
      </c>
      <c r="BN22" s="36" t="str">
        <f aca="false">IFERROR(IF(AND(ISNUMBER(K22),ISNUMBER(INDEX('Lift Inputs'!$H:$H,MATCH(C22,'Lift Inputs'!$C:$C,0)))),IF(K22&lt;INDEX('Lift Inputs'!$H:$H,MATCH(C22,'Lift Inputs'!$C:$C,0)),"YES","no"),""),"")</f>
        <v/>
      </c>
      <c r="BO22" s="44"/>
    </row>
    <row r="23" customFormat="false" ht="15" hidden="false" customHeight="false" outlineLevel="0" collapsed="false">
      <c r="A23" s="15" t="s">
        <v>37</v>
      </c>
      <c r="B23" s="15" t="s">
        <v>38</v>
      </c>
      <c r="C23" s="15" t="n">
        <v>59</v>
      </c>
      <c r="D23" s="15" t="s">
        <v>196</v>
      </c>
      <c r="E23" s="15" t="n">
        <v>1948</v>
      </c>
      <c r="F23" s="15" t="s">
        <v>385</v>
      </c>
      <c r="G23" s="15" t="s">
        <v>397</v>
      </c>
      <c r="H23" s="15" t="s">
        <v>398</v>
      </c>
      <c r="I23" s="15" t="s">
        <v>388</v>
      </c>
      <c r="J23" s="15" t="s">
        <v>177</v>
      </c>
      <c r="K23" s="35" t="n">
        <v>99</v>
      </c>
      <c r="L23" s="35"/>
      <c r="M23" s="23" t="str">
        <f aca="false">IF(AND(ISNUMBER(L23),ISNUMBER(K23),K23&gt;0),L23/K23-1,"")</f>
        <v/>
      </c>
      <c r="N23" s="36" t="str">
        <f aca="false">IF(M23="","No List Price",IF(M23&lt;=0,"At/below price",IF(M23&lt;=0.12,"&lt;=12% (STR zone)",IF(M23&lt;=0.25,"12-25%","&gt;25% (likely ignored)"))))</f>
        <v>No List Price</v>
      </c>
      <c r="O23" s="15" t="s">
        <v>311</v>
      </c>
      <c r="P23" s="35" t="n">
        <v>80.6509589041096</v>
      </c>
      <c r="Q23" s="22" t="n">
        <f aca="false">IF(AND(ISNUMBER(K23),ISNUMBER(P23),N(P23)&gt;0),K23/P23-1,"")</f>
        <v>0.227511753675571</v>
      </c>
      <c r="R23" s="15" t="s">
        <v>312</v>
      </c>
      <c r="S23" s="37" t="n">
        <v>38116</v>
      </c>
      <c r="T23" s="37" t="n">
        <v>18</v>
      </c>
      <c r="U23" s="38" t="n">
        <f aca="false">IF(AND(ISNUMBER(K23),ISNUMBER(T23)),K23*T23*52/12,"")</f>
        <v>7722</v>
      </c>
      <c r="V23" s="15" t="n">
        <v>4.9</v>
      </c>
      <c r="W23" s="37" t="n">
        <v>201</v>
      </c>
      <c r="X23" s="39" t="n">
        <v>46307</v>
      </c>
      <c r="Y23" s="15"/>
      <c r="Z23" s="40"/>
      <c r="AA23" s="41" t="str">
        <f aca="false">IF(ISNUMBER(Z23),(DATE(2026,10,13)-Z23)/365,"")</f>
        <v/>
      </c>
      <c r="AB23" s="37"/>
      <c r="AC23" s="15"/>
      <c r="AD23" s="15"/>
      <c r="AE23" s="15"/>
      <c r="AF23" s="42"/>
      <c r="AG23" s="42"/>
      <c r="AH23" s="15"/>
      <c r="AI23" s="37" t="n">
        <v>116001</v>
      </c>
      <c r="AJ23" s="37" t="n">
        <v>1002</v>
      </c>
      <c r="AK23" s="15" t="s">
        <v>315</v>
      </c>
      <c r="AL23" s="43" t="n">
        <v>0</v>
      </c>
      <c r="AM23" s="43" t="n">
        <v>0</v>
      </c>
      <c r="AN23" s="25" t="str">
        <f aca="false">IF(AND(ISNUMBER(AM23),ISNUMBER(AL23),AL23&gt;=5),AM23/AL23,"")</f>
        <v/>
      </c>
      <c r="AO23" s="43" t="n">
        <v>0</v>
      </c>
      <c r="AP23" s="43" t="n">
        <v>0</v>
      </c>
      <c r="AQ23" s="25" t="str">
        <f aca="false">IF(AND(ISNUMBER(AP23),ISNUMBER(AO23),AO23&gt;=5),AP23/AO23,"")</f>
        <v/>
      </c>
      <c r="AR23" s="43" t="n">
        <v>0</v>
      </c>
      <c r="AS23" s="43" t="n">
        <v>21.5</v>
      </c>
      <c r="AT23" s="22" t="str">
        <f aca="false">IF(AND(ISNUMBER(AS23),ISNUMBER(AR23),AR23&gt;0),AS23/AR23-1,"")</f>
        <v/>
      </c>
      <c r="AU23" s="44"/>
      <c r="AV23" s="44"/>
      <c r="AW23" s="44"/>
      <c r="AX23" s="44"/>
      <c r="AY23" s="44"/>
      <c r="AZ23" s="45"/>
      <c r="BA23" s="45"/>
      <c r="BB23" s="46"/>
      <c r="BC23" s="46"/>
      <c r="BD23" s="23" t="str">
        <f aca="false">IF(AND(ISNUMBER(BB23),ISNUMBER(BC23),BB23&gt;0),1-BC23/BB23,"")</f>
        <v/>
      </c>
      <c r="BE23" s="47"/>
      <c r="BF23" s="48"/>
      <c r="BG23" s="48"/>
      <c r="BH23" s="27" t="str">
        <f aca="false">IF(AND(ISNUMBER(BF23),ISNUMBER(BG23),BG23&gt;0),BF23/BG23,"")</f>
        <v/>
      </c>
      <c r="BI23" s="48"/>
      <c r="BJ23" s="44"/>
      <c r="BK23" s="46"/>
      <c r="BL23" s="46"/>
      <c r="BM23" s="36" t="str">
        <f aca="false">IF(ISNUMBER(Q23),IF(Q23&lt;0,"YES","no"),"")</f>
        <v>no</v>
      </c>
      <c r="BN23" s="36" t="str">
        <f aca="false">IFERROR(IF(AND(ISNUMBER(K23),ISNUMBER(INDEX('Lift Inputs'!$H:$H,MATCH(C23,'Lift Inputs'!$C:$C,0)))),IF(K23&lt;INDEX('Lift Inputs'!$H:$H,MATCH(C23,'Lift Inputs'!$C:$C,0)),"YES","no"),""),"")</f>
        <v/>
      </c>
      <c r="BO23" s="44"/>
    </row>
    <row r="24" customFormat="false" ht="15" hidden="false" customHeight="false" outlineLevel="0" collapsed="false">
      <c r="A24" s="15" t="s">
        <v>37</v>
      </c>
      <c r="B24" s="15" t="s">
        <v>38</v>
      </c>
      <c r="C24" s="15" t="n">
        <v>59</v>
      </c>
      <c r="D24" s="15" t="s">
        <v>196</v>
      </c>
      <c r="E24" s="15" t="n">
        <v>1944</v>
      </c>
      <c r="F24" s="15" t="s">
        <v>399</v>
      </c>
      <c r="G24" s="15" t="s">
        <v>400</v>
      </c>
      <c r="H24" s="15" t="s">
        <v>401</v>
      </c>
      <c r="I24" s="15" t="s">
        <v>402</v>
      </c>
      <c r="J24" s="15" t="s">
        <v>177</v>
      </c>
      <c r="K24" s="35" t="n">
        <v>65</v>
      </c>
      <c r="L24" s="35" t="n">
        <v>79</v>
      </c>
      <c r="M24" s="23" t="n">
        <f aca="false">IF(AND(ISNUMBER(L24),ISNUMBER(K24),K24&gt;0),L24/K24-1,"")</f>
        <v>0.215384615384615</v>
      </c>
      <c r="N24" s="36" t="str">
        <f aca="false">IF(M24="","No List Price",IF(M24&lt;=0,"At/below price",IF(M24&lt;=0.12,"&lt;=12% (STR zone)",IF(M24&lt;=0.25,"12-25%","&gt;25% (likely ignored)"))))</f>
        <v>12-25%</v>
      </c>
      <c r="O24" s="15" t="s">
        <v>311</v>
      </c>
      <c r="P24" s="35" t="n">
        <v>80.6509589041096</v>
      </c>
      <c r="Q24" s="22" t="n">
        <f aca="false">IF(AND(ISNUMBER(K24),ISNUMBER(P24),N(P24)&gt;0),K24/P24-1,"")</f>
        <v>-0.194057939505938</v>
      </c>
      <c r="R24" s="15" t="s">
        <v>312</v>
      </c>
      <c r="S24" s="37" t="n">
        <v>196488</v>
      </c>
      <c r="T24" s="37" t="n">
        <v>18</v>
      </c>
      <c r="U24" s="38" t="n">
        <f aca="false">IF(AND(ISNUMBER(K24),ISNUMBER(T24)),K24*T24*52/12,"")</f>
        <v>5070</v>
      </c>
      <c r="V24" s="15" t="n">
        <v>4.9</v>
      </c>
      <c r="W24" s="37" t="n">
        <v>121</v>
      </c>
      <c r="X24" s="39" t="n">
        <v>46307</v>
      </c>
      <c r="Y24" s="15"/>
      <c r="Z24" s="40"/>
      <c r="AA24" s="41" t="str">
        <f aca="false">IF(ISNUMBER(Z24),(DATE(2026,10,13)-Z24)/365,"")</f>
        <v/>
      </c>
      <c r="AB24" s="37"/>
      <c r="AC24" s="15"/>
      <c r="AD24" s="15"/>
      <c r="AE24" s="15"/>
      <c r="AF24" s="42"/>
      <c r="AG24" s="42"/>
      <c r="AH24" s="15"/>
      <c r="AI24" s="37" t="n">
        <v>82471</v>
      </c>
      <c r="AJ24" s="37" t="n">
        <v>905</v>
      </c>
      <c r="AK24" s="15" t="s">
        <v>315</v>
      </c>
      <c r="AL24" s="43" t="n">
        <v>2.2</v>
      </c>
      <c r="AM24" s="43" t="n">
        <v>2</v>
      </c>
      <c r="AN24" s="25" t="str">
        <f aca="false">IF(AND(ISNUMBER(AM24),ISNUMBER(AL24),AL24&gt;=5),AM24/AL24,"")</f>
        <v/>
      </c>
      <c r="AO24" s="43" t="n">
        <v>0</v>
      </c>
      <c r="AP24" s="43" t="n">
        <v>0</v>
      </c>
      <c r="AQ24" s="25" t="str">
        <f aca="false">IF(AND(ISNUMBER(AP24),ISNUMBER(AO24),AO24&gt;=5),AP24/AO24,"")</f>
        <v/>
      </c>
      <c r="AR24" s="43" t="n">
        <v>2</v>
      </c>
      <c r="AS24" s="43" t="n">
        <v>93.2</v>
      </c>
      <c r="AT24" s="22" t="n">
        <f aca="false">IF(AND(ISNUMBER(AS24),ISNUMBER(AR24),AR24&gt;0),AS24/AR24-1,"")</f>
        <v>45.6</v>
      </c>
      <c r="AU24" s="44"/>
      <c r="AV24" s="44"/>
      <c r="AW24" s="44"/>
      <c r="AX24" s="44"/>
      <c r="AY24" s="44"/>
      <c r="AZ24" s="45"/>
      <c r="BA24" s="45"/>
      <c r="BB24" s="46"/>
      <c r="BC24" s="46"/>
      <c r="BD24" s="23" t="str">
        <f aca="false">IF(AND(ISNUMBER(BB24),ISNUMBER(BC24),BB24&gt;0),1-BC24/BB24,"")</f>
        <v/>
      </c>
      <c r="BE24" s="47"/>
      <c r="BF24" s="48"/>
      <c r="BG24" s="48"/>
      <c r="BH24" s="27" t="str">
        <f aca="false">IF(AND(ISNUMBER(BF24),ISNUMBER(BG24),BG24&gt;0),BF24/BG24,"")</f>
        <v/>
      </c>
      <c r="BI24" s="48"/>
      <c r="BJ24" s="44"/>
      <c r="BK24" s="46"/>
      <c r="BL24" s="46"/>
      <c r="BM24" s="36" t="str">
        <f aca="false">IF(ISNUMBER(Q24),IF(Q24&lt;0,"YES","no"),"")</f>
        <v>YES</v>
      </c>
      <c r="BN24" s="36" t="str">
        <f aca="false">IFERROR(IF(AND(ISNUMBER(K24),ISNUMBER(INDEX('Lift Inputs'!$H:$H,MATCH(C24,'Lift Inputs'!$C:$C,0)))),IF(K24&lt;INDEX('Lift Inputs'!$H:$H,MATCH(C24,'Lift Inputs'!$C:$C,0)),"YES","no"),""),"")</f>
        <v/>
      </c>
      <c r="BO24" s="44"/>
    </row>
    <row r="25" customFormat="false" ht="15" hidden="false" customHeight="false" outlineLevel="0" collapsed="false">
      <c r="A25" s="15" t="s">
        <v>37</v>
      </c>
      <c r="B25" s="15" t="s">
        <v>38</v>
      </c>
      <c r="C25" s="15" t="n">
        <v>59</v>
      </c>
      <c r="D25" s="15" t="s">
        <v>196</v>
      </c>
      <c r="E25" s="15" t="n">
        <v>29</v>
      </c>
      <c r="F25" s="15" t="s">
        <v>358</v>
      </c>
      <c r="G25" s="15" t="s">
        <v>403</v>
      </c>
      <c r="H25" s="15" t="s">
        <v>404</v>
      </c>
      <c r="I25" s="15" t="s">
        <v>352</v>
      </c>
      <c r="J25" s="15" t="s">
        <v>177</v>
      </c>
      <c r="K25" s="35" t="n">
        <v>37.99</v>
      </c>
      <c r="L25" s="35"/>
      <c r="M25" s="23" t="str">
        <f aca="false">IF(AND(ISNUMBER(L25),ISNUMBER(K25),K25&gt;0),L25/K25-1,"")</f>
        <v/>
      </c>
      <c r="N25" s="36" t="str">
        <f aca="false">IF(M25="","No List Price",IF(M25&lt;=0,"At/below price",IF(M25&lt;=0.12,"&lt;=12% (STR zone)",IF(M25&lt;=0.25,"12-25%","&gt;25% (likely ignored)"))))</f>
        <v>No List Price</v>
      </c>
      <c r="O25" s="15"/>
      <c r="P25" s="35" t="n">
        <v>80.6509589041096</v>
      </c>
      <c r="Q25" s="22" t="n">
        <f aca="false">IF(AND(ISNUMBER(K25),ISNUMBER(P25),N(P25)&gt;0),K25/P25-1,"")</f>
        <v>-0.528957863412778</v>
      </c>
      <c r="R25" s="15" t="s">
        <v>353</v>
      </c>
      <c r="S25" s="37" t="n">
        <v>2541068</v>
      </c>
      <c r="T25" s="37" t="n">
        <v>5</v>
      </c>
      <c r="U25" s="38" t="n">
        <f aca="false">IF(AND(ISNUMBER(K25),ISNUMBER(T25)),K25*T25*52/12,"")</f>
        <v>823.116666666667</v>
      </c>
      <c r="V25" s="15" t="n">
        <v>4.4</v>
      </c>
      <c r="W25" s="37" t="n">
        <v>30</v>
      </c>
      <c r="X25" s="39" t="n">
        <v>46307</v>
      </c>
      <c r="Y25" s="15"/>
      <c r="Z25" s="40"/>
      <c r="AA25" s="41" t="str">
        <f aca="false">IF(ISNUMBER(Z25),(DATE(2026,10,13)-Z25)/365,"")</f>
        <v/>
      </c>
      <c r="AB25" s="37"/>
      <c r="AC25" s="15"/>
      <c r="AD25" s="15"/>
      <c r="AE25" s="15"/>
      <c r="AF25" s="42"/>
      <c r="AG25" s="42"/>
      <c r="AH25" s="15"/>
      <c r="AI25" s="37"/>
      <c r="AJ25" s="37"/>
      <c r="AK25" s="15"/>
      <c r="AL25" s="43"/>
      <c r="AM25" s="43"/>
      <c r="AN25" s="25" t="str">
        <f aca="false">IF(AND(ISNUMBER(AM25),ISNUMBER(AL25),AL25&gt;=5),AM25/AL25,"")</f>
        <v/>
      </c>
      <c r="AO25" s="43"/>
      <c r="AP25" s="43"/>
      <c r="AQ25" s="25" t="str">
        <f aca="false">IF(AND(ISNUMBER(AP25),ISNUMBER(AO25),AO25&gt;=5),AP25/AO25,"")</f>
        <v/>
      </c>
      <c r="AR25" s="43"/>
      <c r="AS25" s="43"/>
      <c r="AT25" s="22" t="str">
        <f aca="false">IF(AND(ISNUMBER(AS25),ISNUMBER(AR25),AR25&gt;0),AS25/AR25-1,"")</f>
        <v/>
      </c>
      <c r="AU25" s="44"/>
      <c r="AV25" s="44"/>
      <c r="AW25" s="44"/>
      <c r="AX25" s="44"/>
      <c r="AY25" s="44"/>
      <c r="AZ25" s="45"/>
      <c r="BA25" s="45"/>
      <c r="BB25" s="46"/>
      <c r="BC25" s="46"/>
      <c r="BD25" s="23" t="str">
        <f aca="false">IF(AND(ISNUMBER(BB25),ISNUMBER(BC25),BB25&gt;0),1-BC25/BB25,"")</f>
        <v/>
      </c>
      <c r="BE25" s="47"/>
      <c r="BF25" s="48"/>
      <c r="BG25" s="48"/>
      <c r="BH25" s="27" t="str">
        <f aca="false">IF(AND(ISNUMBER(BF25),ISNUMBER(BG25),BG25&gt;0),BF25/BG25,"")</f>
        <v/>
      </c>
      <c r="BI25" s="48"/>
      <c r="BJ25" s="44"/>
      <c r="BK25" s="46"/>
      <c r="BL25" s="46"/>
      <c r="BM25" s="36" t="str">
        <f aca="false">IF(ISNUMBER(Q25),IF(Q25&lt;0,"YES","no"),"")</f>
        <v>YES</v>
      </c>
      <c r="BN25" s="36" t="str">
        <f aca="false">IFERROR(IF(AND(ISNUMBER(K25),ISNUMBER(INDEX('Lift Inputs'!$H:$H,MATCH(C25,'Lift Inputs'!$C:$C,0)))),IF(K25&lt;INDEX('Lift Inputs'!$H:$H,MATCH(C25,'Lift Inputs'!$C:$C,0)),"YES","no"),""),"")</f>
        <v/>
      </c>
      <c r="BO25" s="44"/>
    </row>
    <row r="26" customFormat="false" ht="15" hidden="false" customHeight="false" outlineLevel="0" collapsed="false">
      <c r="A26" s="15" t="s">
        <v>37</v>
      </c>
      <c r="B26" s="15" t="s">
        <v>38</v>
      </c>
      <c r="C26" s="15" t="n">
        <v>59</v>
      </c>
      <c r="D26" s="15" t="s">
        <v>196</v>
      </c>
      <c r="E26" s="15" t="n">
        <v>7</v>
      </c>
      <c r="F26" s="15" t="s">
        <v>354</v>
      </c>
      <c r="G26" s="15" t="s">
        <v>405</v>
      </c>
      <c r="H26" s="15" t="s">
        <v>406</v>
      </c>
      <c r="I26" s="15" t="s">
        <v>407</v>
      </c>
      <c r="J26" s="15" t="s">
        <v>177</v>
      </c>
      <c r="K26" s="35" t="n">
        <v>129.99</v>
      </c>
      <c r="L26" s="35"/>
      <c r="M26" s="23" t="str">
        <f aca="false">IF(AND(ISNUMBER(L26),ISNUMBER(K26),K26&gt;0),L26/K26-1,"")</f>
        <v/>
      </c>
      <c r="N26" s="36" t="str">
        <f aca="false">IF(M26="","No List Price",IF(M26&lt;=0,"At/below price",IF(M26&lt;=0.12,"&lt;=12% (STR zone)",IF(M26&lt;=0.25,"12-25%","&gt;25% (likely ignored)"))))</f>
        <v>No List Price</v>
      </c>
      <c r="O26" s="15"/>
      <c r="P26" s="35" t="n">
        <v>80.6509589041096</v>
      </c>
      <c r="Q26" s="22" t="n">
        <f aca="false">IF(AND(ISNUMBER(K26),ISNUMBER(P26),N(P26)&gt;0),K26/P26-1,"")</f>
        <v>0.611760129901894</v>
      </c>
      <c r="R26" s="15" t="s">
        <v>353</v>
      </c>
      <c r="S26" s="37" t="n">
        <v>1577</v>
      </c>
      <c r="T26" s="37" t="n">
        <v>5</v>
      </c>
      <c r="U26" s="38" t="n">
        <f aca="false">IF(AND(ISNUMBER(K26),ISNUMBER(T26)),K26*T26*52/12,"")</f>
        <v>2816.45</v>
      </c>
      <c r="V26" s="15" t="n">
        <v>4.4</v>
      </c>
      <c r="W26" s="37" t="n">
        <v>5652</v>
      </c>
      <c r="X26" s="39" t="n">
        <v>46223</v>
      </c>
      <c r="Y26" s="15"/>
      <c r="Z26" s="40"/>
      <c r="AA26" s="41" t="str">
        <f aca="false">IF(ISNUMBER(Z26),(DATE(2026,10,13)-Z26)/365,"")</f>
        <v/>
      </c>
      <c r="AB26" s="37"/>
      <c r="AC26" s="15"/>
      <c r="AD26" s="15"/>
      <c r="AE26" s="15"/>
      <c r="AF26" s="42"/>
      <c r="AG26" s="42"/>
      <c r="AH26" s="15"/>
      <c r="AI26" s="37"/>
      <c r="AJ26" s="37"/>
      <c r="AK26" s="15"/>
      <c r="AL26" s="43"/>
      <c r="AM26" s="43"/>
      <c r="AN26" s="25" t="str">
        <f aca="false">IF(AND(ISNUMBER(AM26),ISNUMBER(AL26),AL26&gt;=5),AM26/AL26,"")</f>
        <v/>
      </c>
      <c r="AO26" s="43"/>
      <c r="AP26" s="43"/>
      <c r="AQ26" s="25" t="str">
        <f aca="false">IF(AND(ISNUMBER(AP26),ISNUMBER(AO26),AO26&gt;=5),AP26/AO26,"")</f>
        <v/>
      </c>
      <c r="AR26" s="43"/>
      <c r="AS26" s="43"/>
      <c r="AT26" s="22" t="str">
        <f aca="false">IF(AND(ISNUMBER(AS26),ISNUMBER(AR26),AR26&gt;0),AS26/AR26-1,"")</f>
        <v/>
      </c>
      <c r="AU26" s="44"/>
      <c r="AV26" s="44"/>
      <c r="AW26" s="44"/>
      <c r="AX26" s="44"/>
      <c r="AY26" s="44"/>
      <c r="AZ26" s="45"/>
      <c r="BA26" s="45"/>
      <c r="BB26" s="46"/>
      <c r="BC26" s="46"/>
      <c r="BD26" s="23" t="str">
        <f aca="false">IF(AND(ISNUMBER(BB26),ISNUMBER(BC26),BB26&gt;0),1-BC26/BB26,"")</f>
        <v/>
      </c>
      <c r="BE26" s="47"/>
      <c r="BF26" s="48"/>
      <c r="BG26" s="48"/>
      <c r="BH26" s="27" t="str">
        <f aca="false">IF(AND(ISNUMBER(BF26),ISNUMBER(BG26),BG26&gt;0),BF26/BG26,"")</f>
        <v/>
      </c>
      <c r="BI26" s="48"/>
      <c r="BJ26" s="44"/>
      <c r="BK26" s="46"/>
      <c r="BL26" s="46"/>
      <c r="BM26" s="36" t="str">
        <f aca="false">IF(ISNUMBER(Q26),IF(Q26&lt;0,"YES","no"),"")</f>
        <v>no</v>
      </c>
      <c r="BN26" s="36" t="str">
        <f aca="false">IFERROR(IF(AND(ISNUMBER(K26),ISNUMBER(INDEX('Lift Inputs'!$H:$H,MATCH(C26,'Lift Inputs'!$C:$C,0)))),IF(K26&lt;INDEX('Lift Inputs'!$H:$H,MATCH(C26,'Lift Inputs'!$C:$C,0)),"YES","no"),""),"")</f>
        <v/>
      </c>
      <c r="BO26" s="44"/>
    </row>
    <row r="27" customFormat="false" ht="15" hidden="false" customHeight="false" outlineLevel="0" collapsed="false">
      <c r="A27" s="15" t="s">
        <v>37</v>
      </c>
      <c r="B27" s="15" t="s">
        <v>38</v>
      </c>
      <c r="C27" s="15" t="n">
        <v>59</v>
      </c>
      <c r="D27" s="15" t="s">
        <v>196</v>
      </c>
      <c r="E27" s="15" t="n">
        <v>1939</v>
      </c>
      <c r="F27" s="15" t="s">
        <v>385</v>
      </c>
      <c r="G27" s="15" t="s">
        <v>408</v>
      </c>
      <c r="H27" s="15" t="s">
        <v>408</v>
      </c>
      <c r="I27" s="15" t="s">
        <v>409</v>
      </c>
      <c r="J27" s="15" t="s">
        <v>177</v>
      </c>
      <c r="K27" s="35" t="n">
        <v>79.99</v>
      </c>
      <c r="L27" s="35"/>
      <c r="M27" s="23" t="str">
        <f aca="false">IF(AND(ISNUMBER(L27),ISNUMBER(K27),K27&gt;0),L27/K27-1,"")</f>
        <v/>
      </c>
      <c r="N27" s="36" t="str">
        <f aca="false">IF(M27="","No List Price",IF(M27&lt;=0,"At/below price",IF(M27&lt;=0.12,"&lt;=12% (STR zone)",IF(M27&lt;=0.25,"12-25%","&gt;25% (likely ignored)"))))</f>
        <v>No List Price</v>
      </c>
      <c r="O27" s="15"/>
      <c r="P27" s="35" t="n">
        <v>80.6509589041096</v>
      </c>
      <c r="Q27" s="22" t="n">
        <f aca="false">IF(AND(ISNUMBER(K27),ISNUMBER(P27),N(P27)&gt;0),K27/P27-1,"")</f>
        <v>-0.00819530124738455</v>
      </c>
      <c r="R27" s="15" t="s">
        <v>353</v>
      </c>
      <c r="S27" s="37" t="n">
        <v>762451</v>
      </c>
      <c r="T27" s="37" t="n">
        <v>5</v>
      </c>
      <c r="U27" s="38" t="n">
        <f aca="false">IF(AND(ISNUMBER(K27),ISNUMBER(T27)),K27*T27*52/12,"")</f>
        <v>1733.11666666667</v>
      </c>
      <c r="V27" s="15" t="n">
        <v>4</v>
      </c>
      <c r="W27" s="37"/>
      <c r="X27" s="39" t="n">
        <v>46307</v>
      </c>
      <c r="Y27" s="15"/>
      <c r="Z27" s="40"/>
      <c r="AA27" s="41" t="str">
        <f aca="false">IF(ISNUMBER(Z27),(DATE(2026,10,13)-Z27)/365,"")</f>
        <v/>
      </c>
      <c r="AB27" s="37"/>
      <c r="AC27" s="15"/>
      <c r="AD27" s="15"/>
      <c r="AE27" s="15"/>
      <c r="AF27" s="42"/>
      <c r="AG27" s="42"/>
      <c r="AH27" s="15"/>
      <c r="AI27" s="37" t="n">
        <v>57075</v>
      </c>
      <c r="AJ27" s="37" t="n">
        <v>90</v>
      </c>
      <c r="AK27" s="15"/>
      <c r="AL27" s="43"/>
      <c r="AM27" s="43"/>
      <c r="AN27" s="25" t="str">
        <f aca="false">IF(AND(ISNUMBER(AM27),ISNUMBER(AL27),AL27&gt;=5),AM27/AL27,"")</f>
        <v/>
      </c>
      <c r="AO27" s="43"/>
      <c r="AP27" s="43"/>
      <c r="AQ27" s="25" t="str">
        <f aca="false">IF(AND(ISNUMBER(AP27),ISNUMBER(AO27),AO27&gt;=5),AP27/AO27,"")</f>
        <v/>
      </c>
      <c r="AR27" s="43"/>
      <c r="AS27" s="43"/>
      <c r="AT27" s="22" t="str">
        <f aca="false">IF(AND(ISNUMBER(AS27),ISNUMBER(AR27),AR27&gt;0),AS27/AR27-1,"")</f>
        <v/>
      </c>
      <c r="AU27" s="44"/>
      <c r="AV27" s="44"/>
      <c r="AW27" s="44"/>
      <c r="AX27" s="44"/>
      <c r="AY27" s="44"/>
      <c r="AZ27" s="45"/>
      <c r="BA27" s="45"/>
      <c r="BB27" s="46"/>
      <c r="BC27" s="46"/>
      <c r="BD27" s="23" t="str">
        <f aca="false">IF(AND(ISNUMBER(BB27),ISNUMBER(BC27),BB27&gt;0),1-BC27/BB27,"")</f>
        <v/>
      </c>
      <c r="BE27" s="47"/>
      <c r="BF27" s="48"/>
      <c r="BG27" s="48"/>
      <c r="BH27" s="27" t="str">
        <f aca="false">IF(AND(ISNUMBER(BF27),ISNUMBER(BG27),BG27&gt;0),BF27/BG27,"")</f>
        <v/>
      </c>
      <c r="BI27" s="48"/>
      <c r="BJ27" s="44"/>
      <c r="BK27" s="46"/>
      <c r="BL27" s="46"/>
      <c r="BM27" s="36" t="str">
        <f aca="false">IF(ISNUMBER(Q27),IF(Q27&lt;0,"YES","no"),"")</f>
        <v>YES</v>
      </c>
      <c r="BN27" s="36" t="str">
        <f aca="false">IFERROR(IF(AND(ISNUMBER(K27),ISNUMBER(INDEX('Lift Inputs'!$H:$H,MATCH(C27,'Lift Inputs'!$C:$C,0)))),IF(K27&lt;INDEX('Lift Inputs'!$H:$H,MATCH(C27,'Lift Inputs'!$C:$C,0)),"YES","no"),""),"")</f>
        <v/>
      </c>
      <c r="BO27" s="44"/>
    </row>
    <row r="28" customFormat="false" ht="15" hidden="false" customHeight="false" outlineLevel="0" collapsed="false">
      <c r="A28" s="15" t="s">
        <v>37</v>
      </c>
      <c r="B28" s="15" t="s">
        <v>38</v>
      </c>
      <c r="C28" s="15" t="n">
        <v>59</v>
      </c>
      <c r="D28" s="15" t="s">
        <v>196</v>
      </c>
      <c r="E28" s="15" t="n">
        <v>1954</v>
      </c>
      <c r="F28" s="15" t="s">
        <v>410</v>
      </c>
      <c r="G28" s="15" t="s">
        <v>411</v>
      </c>
      <c r="H28" s="15" t="s">
        <v>412</v>
      </c>
      <c r="I28" s="15" t="s">
        <v>413</v>
      </c>
      <c r="J28" s="15" t="s">
        <v>177</v>
      </c>
      <c r="K28" s="35" t="n">
        <v>104.99</v>
      </c>
      <c r="L28" s="35"/>
      <c r="M28" s="23" t="str">
        <f aca="false">IF(AND(ISNUMBER(L28),ISNUMBER(K28),K28&gt;0),L28/K28-1,"")</f>
        <v/>
      </c>
      <c r="N28" s="36" t="str">
        <f aca="false">IF(M28="","No List Price",IF(M28&lt;=0,"At/below price",IF(M28&lt;=0.12,"&lt;=12% (STR zone)",IF(M28&lt;=0.25,"12-25%","&gt;25% (likely ignored)"))))</f>
        <v>No List Price</v>
      </c>
      <c r="O28" s="15" t="s">
        <v>311</v>
      </c>
      <c r="P28" s="35" t="n">
        <v>80.6509589041096</v>
      </c>
      <c r="Q28" s="22" t="n">
        <f aca="false">IF(AND(ISNUMBER(K28),ISNUMBER(P28),N(P28)&gt;0),K28/P28-1,"")</f>
        <v>0.301782414327255</v>
      </c>
      <c r="R28" s="15" t="s">
        <v>312</v>
      </c>
      <c r="S28" s="37" t="n">
        <v>184749</v>
      </c>
      <c r="T28" s="37" t="n">
        <v>5</v>
      </c>
      <c r="U28" s="38" t="n">
        <f aca="false">IF(AND(ISNUMBER(K28),ISNUMBER(T28)),K28*T28*52/12,"")</f>
        <v>2274.78333333333</v>
      </c>
      <c r="V28" s="15" t="n">
        <v>4.5</v>
      </c>
      <c r="W28" s="37" t="n">
        <v>3184</v>
      </c>
      <c r="X28" s="39" t="n">
        <v>46307</v>
      </c>
      <c r="Y28" s="15"/>
      <c r="Z28" s="40"/>
      <c r="AA28" s="41" t="str">
        <f aca="false">IF(ISNUMBER(Z28),(DATE(2026,10,13)-Z28)/365,"")</f>
        <v/>
      </c>
      <c r="AB28" s="37"/>
      <c r="AC28" s="15"/>
      <c r="AD28" s="15"/>
      <c r="AE28" s="15"/>
      <c r="AF28" s="42"/>
      <c r="AG28" s="42"/>
      <c r="AH28" s="15"/>
      <c r="AI28" s="37" t="n">
        <v>11787</v>
      </c>
      <c r="AJ28" s="37" t="n">
        <v>302</v>
      </c>
      <c r="AK28" s="15"/>
      <c r="AL28" s="43"/>
      <c r="AM28" s="43"/>
      <c r="AN28" s="25" t="str">
        <f aca="false">IF(AND(ISNUMBER(AM28),ISNUMBER(AL28),AL28&gt;=5),AM28/AL28,"")</f>
        <v/>
      </c>
      <c r="AO28" s="43"/>
      <c r="AP28" s="43"/>
      <c r="AQ28" s="25" t="str">
        <f aca="false">IF(AND(ISNUMBER(AP28),ISNUMBER(AO28),AO28&gt;=5),AP28/AO28,"")</f>
        <v/>
      </c>
      <c r="AR28" s="43"/>
      <c r="AS28" s="43"/>
      <c r="AT28" s="22" t="str">
        <f aca="false">IF(AND(ISNUMBER(AS28),ISNUMBER(AR28),AR28&gt;0),AS28/AR28-1,"")</f>
        <v/>
      </c>
      <c r="AU28" s="44"/>
      <c r="AV28" s="44"/>
      <c r="AW28" s="44"/>
      <c r="AX28" s="44"/>
      <c r="AY28" s="44"/>
      <c r="AZ28" s="45"/>
      <c r="BA28" s="45"/>
      <c r="BB28" s="46"/>
      <c r="BC28" s="46"/>
      <c r="BD28" s="23" t="str">
        <f aca="false">IF(AND(ISNUMBER(BB28),ISNUMBER(BC28),BB28&gt;0),1-BC28/BB28,"")</f>
        <v/>
      </c>
      <c r="BE28" s="47"/>
      <c r="BF28" s="48"/>
      <c r="BG28" s="48"/>
      <c r="BH28" s="27" t="str">
        <f aca="false">IF(AND(ISNUMBER(BF28),ISNUMBER(BG28),BG28&gt;0),BF28/BG28,"")</f>
        <v/>
      </c>
      <c r="BI28" s="48"/>
      <c r="BJ28" s="44"/>
      <c r="BK28" s="46"/>
      <c r="BL28" s="46"/>
      <c r="BM28" s="36" t="str">
        <f aca="false">IF(ISNUMBER(Q28),IF(Q28&lt;0,"YES","no"),"")</f>
        <v>no</v>
      </c>
      <c r="BN28" s="36" t="str">
        <f aca="false">IFERROR(IF(AND(ISNUMBER(K28),ISNUMBER(INDEX('Lift Inputs'!$H:$H,MATCH(C28,'Lift Inputs'!$C:$C,0)))),IF(K28&lt;INDEX('Lift Inputs'!$H:$H,MATCH(C28,'Lift Inputs'!$C:$C,0)),"YES","no"),""),"")</f>
        <v/>
      </c>
      <c r="BO28" s="44"/>
    </row>
    <row r="29" customFormat="false" ht="15" hidden="false" customHeight="false" outlineLevel="0" collapsed="false">
      <c r="A29" s="15" t="s">
        <v>37</v>
      </c>
      <c r="B29" s="15" t="s">
        <v>38</v>
      </c>
      <c r="C29" s="15" t="n">
        <v>59</v>
      </c>
      <c r="D29" s="15" t="s">
        <v>196</v>
      </c>
      <c r="E29" s="15" t="n">
        <v>1949</v>
      </c>
      <c r="F29" s="15" t="s">
        <v>399</v>
      </c>
      <c r="G29" s="15" t="s">
        <v>414</v>
      </c>
      <c r="H29" s="15" t="s">
        <v>414</v>
      </c>
      <c r="I29" s="15" t="s">
        <v>402</v>
      </c>
      <c r="J29" s="15" t="s">
        <v>177</v>
      </c>
      <c r="K29" s="35" t="n">
        <v>105</v>
      </c>
      <c r="L29" s="35"/>
      <c r="M29" s="23" t="str">
        <f aca="false">IF(AND(ISNUMBER(L29),ISNUMBER(K29),K29&gt;0),L29/K29-1,"")</f>
        <v/>
      </c>
      <c r="N29" s="36" t="str">
        <f aca="false">IF(M29="","No List Price",IF(M29&lt;=0,"At/below price",IF(M29&lt;=0.12,"&lt;=12% (STR zone)",IF(M29&lt;=0.25,"12-25%","&gt;25% (likely ignored)"))))</f>
        <v>No List Price</v>
      </c>
      <c r="O29" s="15" t="s">
        <v>311</v>
      </c>
      <c r="P29" s="35" t="n">
        <v>80.6509589041096</v>
      </c>
      <c r="Q29" s="22" t="n">
        <f aca="false">IF(AND(ISNUMBER(K29),ISNUMBER(P29),N(P29)&gt;0),K29/P29-1,"")</f>
        <v>0.301906405413485</v>
      </c>
      <c r="R29" s="15" t="s">
        <v>312</v>
      </c>
      <c r="S29" s="37"/>
      <c r="T29" s="37" t="n">
        <v>5</v>
      </c>
      <c r="U29" s="38" t="n">
        <f aca="false">IF(AND(ISNUMBER(K29),ISNUMBER(T29)),K29*T29*52/12,"")</f>
        <v>2275</v>
      </c>
      <c r="V29" s="15" t="n">
        <v>4.5</v>
      </c>
      <c r="W29" s="37"/>
      <c r="X29" s="39" t="n">
        <v>46307</v>
      </c>
      <c r="Y29" s="15"/>
      <c r="Z29" s="40"/>
      <c r="AA29" s="41" t="str">
        <f aca="false">IF(ISNUMBER(Z29),(DATE(2026,10,13)-Z29)/365,"")</f>
        <v/>
      </c>
      <c r="AB29" s="37"/>
      <c r="AC29" s="15"/>
      <c r="AD29" s="15"/>
      <c r="AE29" s="15"/>
      <c r="AF29" s="42"/>
      <c r="AG29" s="42"/>
      <c r="AH29" s="15"/>
      <c r="AI29" s="37" t="n">
        <v>30066</v>
      </c>
      <c r="AJ29" s="37" t="n">
        <v>74</v>
      </c>
      <c r="AK29" s="15"/>
      <c r="AL29" s="43"/>
      <c r="AM29" s="43"/>
      <c r="AN29" s="25" t="str">
        <f aca="false">IF(AND(ISNUMBER(AM29),ISNUMBER(AL29),AL29&gt;=5),AM29/AL29,"")</f>
        <v/>
      </c>
      <c r="AO29" s="43"/>
      <c r="AP29" s="43"/>
      <c r="AQ29" s="25" t="str">
        <f aca="false">IF(AND(ISNUMBER(AP29),ISNUMBER(AO29),AO29&gt;=5),AP29/AO29,"")</f>
        <v/>
      </c>
      <c r="AR29" s="43"/>
      <c r="AS29" s="43"/>
      <c r="AT29" s="22" t="str">
        <f aca="false">IF(AND(ISNUMBER(AS29),ISNUMBER(AR29),AR29&gt;0),AS29/AR29-1,"")</f>
        <v/>
      </c>
      <c r="AU29" s="44"/>
      <c r="AV29" s="44"/>
      <c r="AW29" s="44"/>
      <c r="AX29" s="44"/>
      <c r="AY29" s="44"/>
      <c r="AZ29" s="45"/>
      <c r="BA29" s="45"/>
      <c r="BB29" s="46"/>
      <c r="BC29" s="46"/>
      <c r="BD29" s="23" t="str">
        <f aca="false">IF(AND(ISNUMBER(BB29),ISNUMBER(BC29),BB29&gt;0),1-BC29/BB29,"")</f>
        <v/>
      </c>
      <c r="BE29" s="47"/>
      <c r="BF29" s="48"/>
      <c r="BG29" s="48"/>
      <c r="BH29" s="27" t="str">
        <f aca="false">IF(AND(ISNUMBER(BF29),ISNUMBER(BG29),BG29&gt;0),BF29/BG29,"")</f>
        <v/>
      </c>
      <c r="BI29" s="48"/>
      <c r="BJ29" s="44"/>
      <c r="BK29" s="46"/>
      <c r="BL29" s="46"/>
      <c r="BM29" s="36" t="str">
        <f aca="false">IF(ISNUMBER(Q29),IF(Q29&lt;0,"YES","no"),"")</f>
        <v>no</v>
      </c>
      <c r="BN29" s="36" t="str">
        <f aca="false">IFERROR(IF(AND(ISNUMBER(K29),ISNUMBER(INDEX('Lift Inputs'!$H:$H,MATCH(C29,'Lift Inputs'!$C:$C,0)))),IF(K29&lt;INDEX('Lift Inputs'!$H:$H,MATCH(C29,'Lift Inputs'!$C:$C,0)),"YES","no"),""),"")</f>
        <v/>
      </c>
      <c r="BO29" s="44"/>
    </row>
    <row r="30" customFormat="false" ht="15" hidden="false" customHeight="false" outlineLevel="0" collapsed="false">
      <c r="A30" s="15" t="s">
        <v>37</v>
      </c>
      <c r="B30" s="15" t="s">
        <v>38</v>
      </c>
      <c r="C30" s="15" t="n">
        <v>59</v>
      </c>
      <c r="D30" s="15" t="s">
        <v>196</v>
      </c>
      <c r="E30" s="15" t="n">
        <v>1516</v>
      </c>
      <c r="F30" s="15" t="s">
        <v>415</v>
      </c>
      <c r="G30" s="15" t="s">
        <v>416</v>
      </c>
      <c r="H30" s="15" t="s">
        <v>417</v>
      </c>
      <c r="I30" s="15" t="s">
        <v>352</v>
      </c>
      <c r="J30" s="15" t="s">
        <v>178</v>
      </c>
      <c r="K30" s="35" t="n">
        <v>74.99</v>
      </c>
      <c r="L30" s="35" t="n">
        <v>79.99</v>
      </c>
      <c r="M30" s="23" t="n">
        <f aca="false">IF(AND(ISNUMBER(L30),ISNUMBER(K30),K30&gt;0),L30/K30-1,"")</f>
        <v>0.0666755567408988</v>
      </c>
      <c r="N30" s="36" t="str">
        <f aca="false">IF(M30="","No List Price",IF(M30&lt;=0,"At/below price",IF(M30&lt;=0.12,"&lt;=12% (STR zone)",IF(M30&lt;=0.25,"12-25%","&gt;25% (likely ignored)"))))</f>
        <v>&lt;=12% (STR zone)</v>
      </c>
      <c r="O30" s="15"/>
      <c r="P30" s="35" t="n">
        <v>80.6509589041096</v>
      </c>
      <c r="Q30" s="22" t="n">
        <f aca="false">IF(AND(ISNUMBER(K30),ISNUMBER(P30),N(P30)&gt;0),K30/P30-1,"")</f>
        <v>-0.0701908443623124</v>
      </c>
      <c r="R30" s="15" t="s">
        <v>353</v>
      </c>
      <c r="S30" s="37" t="n">
        <v>39296</v>
      </c>
      <c r="T30" s="37" t="n">
        <v>81</v>
      </c>
      <c r="U30" s="38" t="n">
        <f aca="false">IF(AND(ISNUMBER(K30),ISNUMBER(T30)),K30*T30*52/12,"")</f>
        <v>26321.49</v>
      </c>
      <c r="V30" s="15" t="n">
        <v>4.6</v>
      </c>
      <c r="W30" s="37" t="n">
        <v>121</v>
      </c>
      <c r="X30" s="39" t="n">
        <v>46307</v>
      </c>
      <c r="Y30" s="15"/>
      <c r="Z30" s="40"/>
      <c r="AA30" s="41" t="str">
        <f aca="false">IF(ISNUMBER(Z30),(DATE(2026,10,13)-Z30)/365,"")</f>
        <v/>
      </c>
      <c r="AB30" s="37"/>
      <c r="AC30" s="15"/>
      <c r="AD30" s="15"/>
      <c r="AE30" s="15"/>
      <c r="AF30" s="42"/>
      <c r="AG30" s="42"/>
      <c r="AH30" s="15"/>
      <c r="AI30" s="37"/>
      <c r="AJ30" s="37"/>
      <c r="AK30" s="15"/>
      <c r="AL30" s="43"/>
      <c r="AM30" s="43"/>
      <c r="AN30" s="25" t="str">
        <f aca="false">IF(AND(ISNUMBER(AM30),ISNUMBER(AL30),AL30&gt;=5),AM30/AL30,"")</f>
        <v/>
      </c>
      <c r="AO30" s="43"/>
      <c r="AP30" s="43"/>
      <c r="AQ30" s="25" t="str">
        <f aca="false">IF(AND(ISNUMBER(AP30),ISNUMBER(AO30),AO30&gt;=5),AP30/AO30,"")</f>
        <v/>
      </c>
      <c r="AR30" s="43"/>
      <c r="AS30" s="43"/>
      <c r="AT30" s="22" t="str">
        <f aca="false">IF(AND(ISNUMBER(AS30),ISNUMBER(AR30),AR30&gt;0),AS30/AR30-1,"")</f>
        <v/>
      </c>
      <c r="AU30" s="44"/>
      <c r="AV30" s="44"/>
      <c r="AW30" s="44"/>
      <c r="AX30" s="44"/>
      <c r="AY30" s="44"/>
      <c r="AZ30" s="45"/>
      <c r="BA30" s="45"/>
      <c r="BB30" s="46"/>
      <c r="BC30" s="46"/>
      <c r="BD30" s="23" t="str">
        <f aca="false">IF(AND(ISNUMBER(BB30),ISNUMBER(BC30),BB30&gt;0),1-BC30/BB30,"")</f>
        <v/>
      </c>
      <c r="BE30" s="47"/>
      <c r="BF30" s="48"/>
      <c r="BG30" s="48"/>
      <c r="BH30" s="27" t="str">
        <f aca="false">IF(AND(ISNUMBER(BF30),ISNUMBER(BG30),BG30&gt;0),BF30/BG30,"")</f>
        <v/>
      </c>
      <c r="BI30" s="48"/>
      <c r="BJ30" s="44"/>
      <c r="BK30" s="46"/>
      <c r="BL30" s="46"/>
      <c r="BM30" s="36" t="str">
        <f aca="false">IF(ISNUMBER(Q30),IF(Q30&lt;0,"YES","no"),"")</f>
        <v>YES</v>
      </c>
      <c r="BN30" s="36" t="str">
        <f aca="false">IFERROR(IF(AND(ISNUMBER(K30),ISNUMBER(INDEX('Lift Inputs'!$H:$H,MATCH(C30,'Lift Inputs'!$C:$C,0)))),IF(K30&lt;INDEX('Lift Inputs'!$H:$H,MATCH(C30,'Lift Inputs'!$C:$C,0)),"YES","no"),""),"")</f>
        <v/>
      </c>
      <c r="BO30" s="44"/>
    </row>
    <row r="31" customFormat="false" ht="15" hidden="false" customHeight="false" outlineLevel="0" collapsed="false">
      <c r="A31" s="15" t="s">
        <v>37</v>
      </c>
      <c r="B31" s="15" t="s">
        <v>38</v>
      </c>
      <c r="C31" s="15" t="n">
        <v>59</v>
      </c>
      <c r="D31" s="15" t="s">
        <v>196</v>
      </c>
      <c r="E31" s="15" t="n">
        <v>1519</v>
      </c>
      <c r="F31" s="15" t="s">
        <v>418</v>
      </c>
      <c r="G31" s="15" t="s">
        <v>419</v>
      </c>
      <c r="H31" s="15" t="s">
        <v>420</v>
      </c>
      <c r="I31" s="15" t="s">
        <v>421</v>
      </c>
      <c r="J31" s="15" t="s">
        <v>178</v>
      </c>
      <c r="K31" s="35" t="n">
        <v>107.1</v>
      </c>
      <c r="L31" s="35"/>
      <c r="M31" s="23" t="str">
        <f aca="false">IF(AND(ISNUMBER(L31),ISNUMBER(K31),K31&gt;0),L31/K31-1,"")</f>
        <v/>
      </c>
      <c r="N31" s="36" t="str">
        <f aca="false">IF(M31="","No List Price",IF(M31&lt;=0,"At/below price",IF(M31&lt;=0.12,"&lt;=12% (STR zone)",IF(M31&lt;=0.25,"12-25%","&gt;25% (likely ignored)"))))</f>
        <v>No List Price</v>
      </c>
      <c r="O31" s="15" t="s">
        <v>311</v>
      </c>
      <c r="P31" s="35" t="n">
        <v>80.6509589041096</v>
      </c>
      <c r="Q31" s="22" t="n">
        <f aca="false">IF(AND(ISNUMBER(K31),ISNUMBER(P31),N(P31)&gt;0),K31/P31-1,"")</f>
        <v>0.327944533521754</v>
      </c>
      <c r="R31" s="15" t="s">
        <v>312</v>
      </c>
      <c r="S31" s="37" t="n">
        <v>15882</v>
      </c>
      <c r="T31" s="37" t="n">
        <v>81</v>
      </c>
      <c r="U31" s="38" t="n">
        <f aca="false">IF(AND(ISNUMBER(K31),ISNUMBER(T31)),K31*T31*52/12,"")</f>
        <v>37592.1</v>
      </c>
      <c r="V31" s="15" t="n">
        <v>4.4</v>
      </c>
      <c r="W31" s="37" t="n">
        <v>426</v>
      </c>
      <c r="X31" s="39" t="n">
        <v>46307</v>
      </c>
      <c r="Y31" s="15" t="n">
        <v>35</v>
      </c>
      <c r="Z31" s="40" t="n">
        <v>45575</v>
      </c>
      <c r="AA31" s="41" t="n">
        <f aca="false">IF(ISNUMBER(Z31),(DATE(2026,10,13)-Z31)/365,"")</f>
        <v>2.00821917808219</v>
      </c>
      <c r="AB31" s="37" t="n">
        <v>2442</v>
      </c>
      <c r="AC31" s="15" t="s">
        <v>313</v>
      </c>
      <c r="AD31" s="15" t="n">
        <v>1</v>
      </c>
      <c r="AE31" s="15" t="s">
        <v>314</v>
      </c>
      <c r="AF31" s="42" t="n">
        <v>0</v>
      </c>
      <c r="AG31" s="42" t="n">
        <v>0</v>
      </c>
      <c r="AH31" s="15" t="n">
        <v>231</v>
      </c>
      <c r="AI31" s="37"/>
      <c r="AJ31" s="37"/>
      <c r="AK31" s="15"/>
      <c r="AL31" s="43"/>
      <c r="AM31" s="43"/>
      <c r="AN31" s="25" t="str">
        <f aca="false">IF(AND(ISNUMBER(AM31),ISNUMBER(AL31),AL31&gt;=5),AM31/AL31,"")</f>
        <v/>
      </c>
      <c r="AO31" s="43"/>
      <c r="AP31" s="43"/>
      <c r="AQ31" s="25" t="str">
        <f aca="false">IF(AND(ISNUMBER(AP31),ISNUMBER(AO31),AO31&gt;=5),AP31/AO31,"")</f>
        <v/>
      </c>
      <c r="AR31" s="43"/>
      <c r="AS31" s="43"/>
      <c r="AT31" s="22" t="str">
        <f aca="false">IF(AND(ISNUMBER(AS31),ISNUMBER(AR31),AR31&gt;0),AS31/AR31-1,"")</f>
        <v/>
      </c>
      <c r="AU31" s="44"/>
      <c r="AV31" s="44"/>
      <c r="AW31" s="44"/>
      <c r="AX31" s="44"/>
      <c r="AY31" s="44"/>
      <c r="AZ31" s="45"/>
      <c r="BA31" s="45"/>
      <c r="BB31" s="46"/>
      <c r="BC31" s="46"/>
      <c r="BD31" s="23" t="str">
        <f aca="false">IF(AND(ISNUMBER(BB31),ISNUMBER(BC31),BB31&gt;0),1-BC31/BB31,"")</f>
        <v/>
      </c>
      <c r="BE31" s="47"/>
      <c r="BF31" s="48"/>
      <c r="BG31" s="48"/>
      <c r="BH31" s="27" t="str">
        <f aca="false">IF(AND(ISNUMBER(BF31),ISNUMBER(BG31),BG31&gt;0),BF31/BG31,"")</f>
        <v/>
      </c>
      <c r="BI31" s="48"/>
      <c r="BJ31" s="44"/>
      <c r="BK31" s="46"/>
      <c r="BL31" s="46"/>
      <c r="BM31" s="36" t="str">
        <f aca="false">IF(ISNUMBER(Q31),IF(Q31&lt;0,"YES","no"),"")</f>
        <v>no</v>
      </c>
      <c r="BN31" s="36" t="str">
        <f aca="false">IFERROR(IF(AND(ISNUMBER(K31),ISNUMBER(INDEX('Lift Inputs'!$H:$H,MATCH(C31,'Lift Inputs'!$C:$C,0)))),IF(K31&lt;INDEX('Lift Inputs'!$H:$H,MATCH(C31,'Lift Inputs'!$C:$C,0)),"YES","no"),""),"")</f>
        <v/>
      </c>
      <c r="BO31" s="44"/>
    </row>
    <row r="32" customFormat="false" ht="15" hidden="false" customHeight="false" outlineLevel="0" collapsed="false">
      <c r="A32" s="15" t="s">
        <v>37</v>
      </c>
      <c r="B32" s="15" t="s">
        <v>38</v>
      </c>
      <c r="C32" s="15" t="n">
        <v>59</v>
      </c>
      <c r="D32" s="15" t="s">
        <v>196</v>
      </c>
      <c r="E32" s="15" t="n">
        <v>1508</v>
      </c>
      <c r="F32" s="15" t="s">
        <v>422</v>
      </c>
      <c r="G32" s="15" t="s">
        <v>423</v>
      </c>
      <c r="H32" s="15" t="s">
        <v>424</v>
      </c>
      <c r="I32" s="15" t="s">
        <v>425</v>
      </c>
      <c r="J32" s="15" t="s">
        <v>178</v>
      </c>
      <c r="K32" s="35" t="n">
        <v>69.99</v>
      </c>
      <c r="L32" s="35"/>
      <c r="M32" s="23" t="str">
        <f aca="false">IF(AND(ISNUMBER(L32),ISNUMBER(K32),K32&gt;0),L32/K32-1,"")</f>
        <v/>
      </c>
      <c r="N32" s="36" t="str">
        <f aca="false">IF(M32="","No List Price",IF(M32&lt;=0,"At/below price",IF(M32&lt;=0.12,"&lt;=12% (STR zone)",IF(M32&lt;=0.25,"12-25%","&gt;25% (likely ignored)"))))</f>
        <v>No List Price</v>
      </c>
      <c r="O32" s="15" t="s">
        <v>320</v>
      </c>
      <c r="P32" s="35" t="n">
        <v>84.3167716535433</v>
      </c>
      <c r="Q32" s="22" t="n">
        <f aca="false">IF(AND(ISNUMBER(K32),ISNUMBER(P32),N(P32)&gt;0),K32/P32-1,"")</f>
        <v>-0.169916036543855</v>
      </c>
      <c r="R32" s="15" t="s">
        <v>321</v>
      </c>
      <c r="S32" s="37" t="n">
        <v>33423</v>
      </c>
      <c r="T32" s="37" t="n">
        <v>35</v>
      </c>
      <c r="U32" s="38" t="n">
        <f aca="false">IF(AND(ISNUMBER(K32),ISNUMBER(T32)),K32*T32*52/12,"")</f>
        <v>10615.15</v>
      </c>
      <c r="V32" s="15" t="n">
        <v>4.4</v>
      </c>
      <c r="W32" s="37" t="n">
        <v>1040</v>
      </c>
      <c r="X32" s="39" t="n">
        <v>46307</v>
      </c>
      <c r="Y32" s="15" t="n">
        <v>51</v>
      </c>
      <c r="Z32" s="40" t="n">
        <v>44681</v>
      </c>
      <c r="AA32" s="41" t="n">
        <f aca="false">IF(ISNUMBER(Z32),(DATE(2026,10,13)-Z32)/365,"")</f>
        <v>4.45753424657534</v>
      </c>
      <c r="AB32" s="37" t="n">
        <v>1349</v>
      </c>
      <c r="AC32" s="15" t="s">
        <v>313</v>
      </c>
      <c r="AD32" s="15" t="n">
        <v>1</v>
      </c>
      <c r="AE32" s="15" t="s">
        <v>331</v>
      </c>
      <c r="AF32" s="42" t="n">
        <v>0</v>
      </c>
      <c r="AG32" s="42" t="n">
        <v>0</v>
      </c>
      <c r="AH32" s="15" t="n">
        <v>152</v>
      </c>
      <c r="AI32" s="37"/>
      <c r="AJ32" s="37"/>
      <c r="AK32" s="15"/>
      <c r="AL32" s="43"/>
      <c r="AM32" s="43"/>
      <c r="AN32" s="25" t="str">
        <f aca="false">IF(AND(ISNUMBER(AM32),ISNUMBER(AL32),AL32&gt;=5),AM32/AL32,"")</f>
        <v/>
      </c>
      <c r="AO32" s="43"/>
      <c r="AP32" s="43"/>
      <c r="AQ32" s="25" t="str">
        <f aca="false">IF(AND(ISNUMBER(AP32),ISNUMBER(AO32),AO32&gt;=5),AP32/AO32,"")</f>
        <v/>
      </c>
      <c r="AR32" s="43"/>
      <c r="AS32" s="43"/>
      <c r="AT32" s="22" t="str">
        <f aca="false">IF(AND(ISNUMBER(AS32),ISNUMBER(AR32),AR32&gt;0),AS32/AR32-1,"")</f>
        <v/>
      </c>
      <c r="AU32" s="44"/>
      <c r="AV32" s="44"/>
      <c r="AW32" s="44"/>
      <c r="AX32" s="44"/>
      <c r="AY32" s="44"/>
      <c r="AZ32" s="45"/>
      <c r="BA32" s="45"/>
      <c r="BB32" s="46"/>
      <c r="BC32" s="46"/>
      <c r="BD32" s="23" t="str">
        <f aca="false">IF(AND(ISNUMBER(BB32),ISNUMBER(BC32),BB32&gt;0),1-BC32/BB32,"")</f>
        <v/>
      </c>
      <c r="BE32" s="47"/>
      <c r="BF32" s="48"/>
      <c r="BG32" s="48"/>
      <c r="BH32" s="27" t="str">
        <f aca="false">IF(AND(ISNUMBER(BF32),ISNUMBER(BG32),BG32&gt;0),BF32/BG32,"")</f>
        <v/>
      </c>
      <c r="BI32" s="48"/>
      <c r="BJ32" s="44"/>
      <c r="BK32" s="46"/>
      <c r="BL32" s="46"/>
      <c r="BM32" s="36" t="str">
        <f aca="false">IF(ISNUMBER(Q32),IF(Q32&lt;0,"YES","no"),"")</f>
        <v>YES</v>
      </c>
      <c r="BN32" s="36" t="str">
        <f aca="false">IFERROR(IF(AND(ISNUMBER(K32),ISNUMBER(INDEX('Lift Inputs'!$H:$H,MATCH(C32,'Lift Inputs'!$C:$C,0)))),IF(K32&lt;INDEX('Lift Inputs'!$H:$H,MATCH(C32,'Lift Inputs'!$C:$C,0)),"YES","no"),""),"")</f>
        <v/>
      </c>
      <c r="BO32" s="44"/>
    </row>
    <row r="33" customFormat="false" ht="15" hidden="false" customHeight="false" outlineLevel="0" collapsed="false">
      <c r="A33" s="15" t="s">
        <v>37</v>
      </c>
      <c r="B33" s="15" t="s">
        <v>38</v>
      </c>
      <c r="C33" s="15" t="n">
        <v>59</v>
      </c>
      <c r="D33" s="15" t="s">
        <v>196</v>
      </c>
      <c r="E33" s="15" t="n">
        <v>31</v>
      </c>
      <c r="F33" s="15" t="s">
        <v>426</v>
      </c>
      <c r="G33" s="15" t="s">
        <v>427</v>
      </c>
      <c r="H33" s="15" t="s">
        <v>428</v>
      </c>
      <c r="I33" s="15" t="s">
        <v>429</v>
      </c>
      <c r="J33" s="15" t="s">
        <v>178</v>
      </c>
      <c r="K33" s="35" t="n">
        <v>328</v>
      </c>
      <c r="L33" s="35"/>
      <c r="M33" s="23" t="str">
        <f aca="false">IF(AND(ISNUMBER(L33),ISNUMBER(K33),K33&gt;0),L33/K33-1,"")</f>
        <v/>
      </c>
      <c r="N33" s="36" t="str">
        <f aca="false">IF(M33="","No List Price",IF(M33&lt;=0,"At/below price",IF(M33&lt;=0.12,"&lt;=12% (STR zone)",IF(M33&lt;=0.25,"12-25%","&gt;25% (likely ignored)"))))</f>
        <v>No List Price</v>
      </c>
      <c r="O33" s="15"/>
      <c r="P33" s="35" t="n">
        <v>80.6509589041096</v>
      </c>
      <c r="Q33" s="22" t="n">
        <f aca="false">IF(AND(ISNUMBER(K33),ISNUMBER(P33),N(P33)&gt;0),K33/P33-1,"")</f>
        <v>3.06690762833927</v>
      </c>
      <c r="R33" s="15" t="s">
        <v>353</v>
      </c>
      <c r="S33" s="37" t="n">
        <v>45709</v>
      </c>
      <c r="T33" s="37" t="n">
        <v>35</v>
      </c>
      <c r="U33" s="38" t="n">
        <f aca="false">IF(AND(ISNUMBER(K33),ISNUMBER(T33)),K33*T33*52/12,"")</f>
        <v>49746.6666666667</v>
      </c>
      <c r="V33" s="15" t="n">
        <v>3.9</v>
      </c>
      <c r="W33" s="37" t="n">
        <v>425</v>
      </c>
      <c r="X33" s="39" t="n">
        <v>46307</v>
      </c>
      <c r="Y33" s="15" t="n">
        <v>54</v>
      </c>
      <c r="Z33" s="40" t="n">
        <v>41624</v>
      </c>
      <c r="AA33" s="41" t="n">
        <f aca="false">IF(ISNUMBER(Z33),(DATE(2026,10,13)-Z33)/365,"")</f>
        <v>12.8328767123288</v>
      </c>
      <c r="AB33" s="37" t="n">
        <v>875</v>
      </c>
      <c r="AC33" s="15" t="s">
        <v>313</v>
      </c>
      <c r="AD33" s="15" t="n">
        <v>2</v>
      </c>
      <c r="AE33" s="15" t="s">
        <v>314</v>
      </c>
      <c r="AF33" s="42" t="n">
        <v>0</v>
      </c>
      <c r="AG33" s="42" t="n">
        <v>0</v>
      </c>
      <c r="AH33" s="15" t="n">
        <v>93</v>
      </c>
      <c r="AI33" s="37"/>
      <c r="AJ33" s="37"/>
      <c r="AK33" s="15"/>
      <c r="AL33" s="43"/>
      <c r="AM33" s="43"/>
      <c r="AN33" s="25" t="str">
        <f aca="false">IF(AND(ISNUMBER(AM33),ISNUMBER(AL33),AL33&gt;=5),AM33/AL33,"")</f>
        <v/>
      </c>
      <c r="AO33" s="43"/>
      <c r="AP33" s="43"/>
      <c r="AQ33" s="25" t="str">
        <f aca="false">IF(AND(ISNUMBER(AP33),ISNUMBER(AO33),AO33&gt;=5),AP33/AO33,"")</f>
        <v/>
      </c>
      <c r="AR33" s="43"/>
      <c r="AS33" s="43"/>
      <c r="AT33" s="22" t="str">
        <f aca="false">IF(AND(ISNUMBER(AS33),ISNUMBER(AR33),AR33&gt;0),AS33/AR33-1,"")</f>
        <v/>
      </c>
      <c r="AU33" s="44"/>
      <c r="AV33" s="44"/>
      <c r="AW33" s="44"/>
      <c r="AX33" s="44"/>
      <c r="AY33" s="44"/>
      <c r="AZ33" s="45"/>
      <c r="BA33" s="45"/>
      <c r="BB33" s="46"/>
      <c r="BC33" s="46"/>
      <c r="BD33" s="23" t="str">
        <f aca="false">IF(AND(ISNUMBER(BB33),ISNUMBER(BC33),BB33&gt;0),1-BC33/BB33,"")</f>
        <v/>
      </c>
      <c r="BE33" s="47"/>
      <c r="BF33" s="48"/>
      <c r="BG33" s="48"/>
      <c r="BH33" s="27" t="str">
        <f aca="false">IF(AND(ISNUMBER(BF33),ISNUMBER(BG33),BG33&gt;0),BF33/BG33,"")</f>
        <v/>
      </c>
      <c r="BI33" s="48"/>
      <c r="BJ33" s="44"/>
      <c r="BK33" s="46"/>
      <c r="BL33" s="46"/>
      <c r="BM33" s="36" t="str">
        <f aca="false">IF(ISNUMBER(Q33),IF(Q33&lt;0,"YES","no"),"")</f>
        <v>no</v>
      </c>
      <c r="BN33" s="36" t="str">
        <f aca="false">IFERROR(IF(AND(ISNUMBER(K33),ISNUMBER(INDEX('Lift Inputs'!$H:$H,MATCH(C33,'Lift Inputs'!$C:$C,0)))),IF(K33&lt;INDEX('Lift Inputs'!$H:$H,MATCH(C33,'Lift Inputs'!$C:$C,0)),"YES","no"),""),"")</f>
        <v/>
      </c>
      <c r="BO33" s="44"/>
    </row>
    <row r="34" customFormat="false" ht="15" hidden="false" customHeight="false" outlineLevel="0" collapsed="false">
      <c r="A34" s="15" t="s">
        <v>37</v>
      </c>
      <c r="B34" s="15" t="s">
        <v>38</v>
      </c>
      <c r="C34" s="15" t="n">
        <v>59</v>
      </c>
      <c r="D34" s="15" t="s">
        <v>196</v>
      </c>
      <c r="E34" s="15" t="n">
        <v>1515</v>
      </c>
      <c r="F34" s="15" t="s">
        <v>430</v>
      </c>
      <c r="G34" s="15" t="s">
        <v>431</v>
      </c>
      <c r="H34" s="15" t="s">
        <v>432</v>
      </c>
      <c r="I34" s="15" t="s">
        <v>433</v>
      </c>
      <c r="J34" s="15" t="s">
        <v>178</v>
      </c>
      <c r="K34" s="35" t="n">
        <v>46.74</v>
      </c>
      <c r="L34" s="35" t="n">
        <v>59.99</v>
      </c>
      <c r="M34" s="23" t="n">
        <f aca="false">IF(AND(ISNUMBER(L34),ISNUMBER(K34),K34&gt;0),L34/K34-1,"")</f>
        <v>0.283483097988875</v>
      </c>
      <c r="N34" s="36" t="str">
        <f aca="false">IF(M34="","No List Price",IF(M34&lt;=0,"At/below price",IF(M34&lt;=0.12,"&lt;=12% (STR zone)",IF(M34&lt;=0.25,"12-25%","&gt;25% (likely ignored)"))))</f>
        <v>&gt;25% (likely ignored)</v>
      </c>
      <c r="O34" s="15" t="s">
        <v>320</v>
      </c>
      <c r="P34" s="35" t="n">
        <v>84.3167716535433</v>
      </c>
      <c r="Q34" s="22" t="n">
        <f aca="false">IF(AND(ISNUMBER(K34),ISNUMBER(P34),N(P34)&gt;0),K34/P34-1,"")</f>
        <v>-0.445661888099154</v>
      </c>
      <c r="R34" s="15" t="s">
        <v>321</v>
      </c>
      <c r="S34" s="37" t="n">
        <v>37217</v>
      </c>
      <c r="T34" s="37" t="n">
        <v>35</v>
      </c>
      <c r="U34" s="38" t="n">
        <f aca="false">IF(AND(ISNUMBER(K34),ISNUMBER(T34)),K34*T34*52/12,"")</f>
        <v>7088.9</v>
      </c>
      <c r="V34" s="15" t="n">
        <v>4.5</v>
      </c>
      <c r="W34" s="37" t="n">
        <v>2261</v>
      </c>
      <c r="X34" s="39" t="n">
        <v>46307</v>
      </c>
      <c r="Y34" s="15" t="n">
        <v>30</v>
      </c>
      <c r="Z34" s="40" t="n">
        <v>45146</v>
      </c>
      <c r="AA34" s="41" t="n">
        <f aca="false">IF(ISNUMBER(Z34),(DATE(2026,10,13)-Z34)/365,"")</f>
        <v>3.18356164383562</v>
      </c>
      <c r="AB34" s="37" t="n">
        <v>1260</v>
      </c>
      <c r="AC34" s="15" t="s">
        <v>313</v>
      </c>
      <c r="AD34" s="15" t="n">
        <v>2</v>
      </c>
      <c r="AE34" s="15" t="s">
        <v>314</v>
      </c>
      <c r="AF34" s="42" t="n">
        <v>0</v>
      </c>
      <c r="AG34" s="42" t="n">
        <v>0</v>
      </c>
      <c r="AH34" s="15" t="n">
        <v>222</v>
      </c>
      <c r="AI34" s="37"/>
      <c r="AJ34" s="37"/>
      <c r="AK34" s="15"/>
      <c r="AL34" s="43"/>
      <c r="AM34" s="43"/>
      <c r="AN34" s="25" t="str">
        <f aca="false">IF(AND(ISNUMBER(AM34),ISNUMBER(AL34),AL34&gt;=5),AM34/AL34,"")</f>
        <v/>
      </c>
      <c r="AO34" s="43"/>
      <c r="AP34" s="43"/>
      <c r="AQ34" s="25" t="str">
        <f aca="false">IF(AND(ISNUMBER(AP34),ISNUMBER(AO34),AO34&gt;=5),AP34/AO34,"")</f>
        <v/>
      </c>
      <c r="AR34" s="43"/>
      <c r="AS34" s="43"/>
      <c r="AT34" s="22" t="str">
        <f aca="false">IF(AND(ISNUMBER(AS34),ISNUMBER(AR34),AR34&gt;0),AS34/AR34-1,"")</f>
        <v/>
      </c>
      <c r="AU34" s="44"/>
      <c r="AV34" s="44"/>
      <c r="AW34" s="44"/>
      <c r="AX34" s="44"/>
      <c r="AY34" s="44"/>
      <c r="AZ34" s="45"/>
      <c r="BA34" s="45"/>
      <c r="BB34" s="46"/>
      <c r="BC34" s="46"/>
      <c r="BD34" s="23" t="str">
        <f aca="false">IF(AND(ISNUMBER(BB34),ISNUMBER(BC34),BB34&gt;0),1-BC34/BB34,"")</f>
        <v/>
      </c>
      <c r="BE34" s="47"/>
      <c r="BF34" s="48"/>
      <c r="BG34" s="48"/>
      <c r="BH34" s="27" t="str">
        <f aca="false">IF(AND(ISNUMBER(BF34),ISNUMBER(BG34),BG34&gt;0),BF34/BG34,"")</f>
        <v/>
      </c>
      <c r="BI34" s="48"/>
      <c r="BJ34" s="44"/>
      <c r="BK34" s="46"/>
      <c r="BL34" s="46"/>
      <c r="BM34" s="36" t="str">
        <f aca="false">IF(ISNUMBER(Q34),IF(Q34&lt;0,"YES","no"),"")</f>
        <v>YES</v>
      </c>
      <c r="BN34" s="36" t="str">
        <f aca="false">IFERROR(IF(AND(ISNUMBER(K34),ISNUMBER(INDEX('Lift Inputs'!$H:$H,MATCH(C34,'Lift Inputs'!$C:$C,0)))),IF(K34&lt;INDEX('Lift Inputs'!$H:$H,MATCH(C34,'Lift Inputs'!$C:$C,0)),"YES","no"),""),"")</f>
        <v/>
      </c>
      <c r="BO34" s="44"/>
    </row>
    <row r="35" customFormat="false" ht="15" hidden="false" customHeight="false" outlineLevel="0" collapsed="false">
      <c r="A35" s="15" t="s">
        <v>37</v>
      </c>
      <c r="B35" s="15" t="s">
        <v>38</v>
      </c>
      <c r="C35" s="15" t="n">
        <v>59</v>
      </c>
      <c r="D35" s="15" t="s">
        <v>196</v>
      </c>
      <c r="E35" s="15" t="n">
        <v>32</v>
      </c>
      <c r="F35" s="15" t="s">
        <v>434</v>
      </c>
      <c r="G35" s="15" t="s">
        <v>435</v>
      </c>
      <c r="H35" s="15" t="s">
        <v>436</v>
      </c>
      <c r="I35" s="15" t="s">
        <v>437</v>
      </c>
      <c r="J35" s="15" t="s">
        <v>178</v>
      </c>
      <c r="K35" s="35" t="n">
        <v>51.29</v>
      </c>
      <c r="L35" s="35" t="n">
        <v>62.99</v>
      </c>
      <c r="M35" s="23" t="n">
        <f aca="false">IF(AND(ISNUMBER(L35),ISNUMBER(K35),K35&gt;0),L35/K35-1,"")</f>
        <v>0.228114642230454</v>
      </c>
      <c r="N35" s="36" t="str">
        <f aca="false">IF(M35="","No List Price",IF(M35&lt;=0,"At/below price",IF(M35&lt;=0.12,"&lt;=12% (STR zone)",IF(M35&lt;=0.25,"12-25%","&gt;25% (likely ignored)"))))</f>
        <v>12-25%</v>
      </c>
      <c r="O35" s="15" t="s">
        <v>311</v>
      </c>
      <c r="P35" s="35" t="n">
        <v>80.6509589041096</v>
      </c>
      <c r="Q35" s="22" t="n">
        <f aca="false">IF(AND(ISNUMBER(K35),ISNUMBER(P35),N(P35)&gt;0),K35/P35-1,"")</f>
        <v>-0.36404971872707</v>
      </c>
      <c r="R35" s="15" t="s">
        <v>312</v>
      </c>
      <c r="S35" s="37" t="n">
        <v>33959</v>
      </c>
      <c r="T35" s="37" t="n">
        <v>35</v>
      </c>
      <c r="U35" s="38" t="n">
        <f aca="false">IF(AND(ISNUMBER(K35),ISNUMBER(T35)),K35*T35*52/12,"")</f>
        <v>7778.98333333333</v>
      </c>
      <c r="V35" s="15" t="n">
        <v>4.4</v>
      </c>
      <c r="W35" s="37" t="n">
        <v>674</v>
      </c>
      <c r="X35" s="39" t="n">
        <v>46307</v>
      </c>
      <c r="Y35" s="15" t="n">
        <v>74</v>
      </c>
      <c r="Z35" s="40" t="n">
        <v>45423</v>
      </c>
      <c r="AA35" s="41" t="n">
        <f aca="false">IF(ISNUMBER(Z35),(DATE(2026,10,13)-Z35)/365,"")</f>
        <v>2.42465753424658</v>
      </c>
      <c r="AB35" s="37" t="n">
        <v>2428</v>
      </c>
      <c r="AC35" s="15" t="s">
        <v>313</v>
      </c>
      <c r="AD35" s="15" t="n">
        <v>1</v>
      </c>
      <c r="AE35" s="15" t="s">
        <v>331</v>
      </c>
      <c r="AF35" s="42" t="n">
        <v>0</v>
      </c>
      <c r="AG35" s="42" t="n">
        <v>0</v>
      </c>
      <c r="AH35" s="15" t="n">
        <v>151</v>
      </c>
      <c r="AI35" s="37"/>
      <c r="AJ35" s="37"/>
      <c r="AK35" s="15"/>
      <c r="AL35" s="43"/>
      <c r="AM35" s="43"/>
      <c r="AN35" s="25" t="str">
        <f aca="false">IF(AND(ISNUMBER(AM35),ISNUMBER(AL35),AL35&gt;=5),AM35/AL35,"")</f>
        <v/>
      </c>
      <c r="AO35" s="43"/>
      <c r="AP35" s="43"/>
      <c r="AQ35" s="25" t="str">
        <f aca="false">IF(AND(ISNUMBER(AP35),ISNUMBER(AO35),AO35&gt;=5),AP35/AO35,"")</f>
        <v/>
      </c>
      <c r="AR35" s="43"/>
      <c r="AS35" s="43"/>
      <c r="AT35" s="22" t="str">
        <f aca="false">IF(AND(ISNUMBER(AS35),ISNUMBER(AR35),AR35&gt;0),AS35/AR35-1,"")</f>
        <v/>
      </c>
      <c r="AU35" s="44"/>
      <c r="AV35" s="44"/>
      <c r="AW35" s="44"/>
      <c r="AX35" s="44"/>
      <c r="AY35" s="44"/>
      <c r="AZ35" s="45"/>
      <c r="BA35" s="45"/>
      <c r="BB35" s="46"/>
      <c r="BC35" s="46"/>
      <c r="BD35" s="23" t="str">
        <f aca="false">IF(AND(ISNUMBER(BB35),ISNUMBER(BC35),BB35&gt;0),1-BC35/BB35,"")</f>
        <v/>
      </c>
      <c r="BE35" s="47"/>
      <c r="BF35" s="48"/>
      <c r="BG35" s="48"/>
      <c r="BH35" s="27" t="str">
        <f aca="false">IF(AND(ISNUMBER(BF35),ISNUMBER(BG35),BG35&gt;0),BF35/BG35,"")</f>
        <v/>
      </c>
      <c r="BI35" s="48"/>
      <c r="BJ35" s="44"/>
      <c r="BK35" s="46"/>
      <c r="BL35" s="46"/>
      <c r="BM35" s="36" t="str">
        <f aca="false">IF(ISNUMBER(Q35),IF(Q35&lt;0,"YES","no"),"")</f>
        <v>YES</v>
      </c>
      <c r="BN35" s="36" t="str">
        <f aca="false">IFERROR(IF(AND(ISNUMBER(K35),ISNUMBER(INDEX('Lift Inputs'!$H:$H,MATCH(C35,'Lift Inputs'!$C:$C,0)))),IF(K35&lt;INDEX('Lift Inputs'!$H:$H,MATCH(C35,'Lift Inputs'!$C:$C,0)),"YES","no"),""),"")</f>
        <v/>
      </c>
      <c r="BO35" s="44"/>
    </row>
    <row r="36" customFormat="false" ht="15" hidden="false" customHeight="false" outlineLevel="0" collapsed="false">
      <c r="A36" s="15" t="s">
        <v>37</v>
      </c>
      <c r="B36" s="15" t="s">
        <v>38</v>
      </c>
      <c r="C36" s="15" t="n">
        <v>59</v>
      </c>
      <c r="D36" s="15" t="s">
        <v>196</v>
      </c>
      <c r="E36" s="15" t="n">
        <v>1522</v>
      </c>
      <c r="F36" s="15" t="s">
        <v>438</v>
      </c>
      <c r="G36" s="15" t="s">
        <v>439</v>
      </c>
      <c r="H36" s="15" t="s">
        <v>439</v>
      </c>
      <c r="I36" s="15" t="s">
        <v>440</v>
      </c>
      <c r="J36" s="15" t="s">
        <v>178</v>
      </c>
      <c r="K36" s="35" t="n">
        <v>46.66</v>
      </c>
      <c r="L36" s="35" t="n">
        <v>54.9</v>
      </c>
      <c r="M36" s="23" t="n">
        <f aca="false">IF(AND(ISNUMBER(L36),ISNUMBER(K36),K36&gt;0),L36/K36-1,"")</f>
        <v>0.176596656665238</v>
      </c>
      <c r="N36" s="36" t="str">
        <f aca="false">IF(M36="","No List Price",IF(M36&lt;=0,"At/below price",IF(M36&lt;=0.12,"&lt;=12% (STR zone)",IF(M36&lt;=0.25,"12-25%","&gt;25% (likely ignored)"))))</f>
        <v>12-25%</v>
      </c>
      <c r="O36" s="15" t="s">
        <v>311</v>
      </c>
      <c r="P36" s="35" t="n">
        <v>80.6509589041096</v>
      </c>
      <c r="Q36" s="22" t="n">
        <f aca="false">IF(AND(ISNUMBER(K36),ISNUMBER(P36),N(P36)&gt;0),K36/P36-1,"")</f>
        <v>-0.421457591651493</v>
      </c>
      <c r="R36" s="15" t="s">
        <v>312</v>
      </c>
      <c r="S36" s="37" t="n">
        <v>26043</v>
      </c>
      <c r="T36" s="37" t="n">
        <v>35</v>
      </c>
      <c r="U36" s="38" t="n">
        <f aca="false">IF(AND(ISNUMBER(K36),ISNUMBER(T36)),K36*T36*52/12,"")</f>
        <v>7076.76666666667</v>
      </c>
      <c r="V36" s="15" t="n">
        <v>4.4</v>
      </c>
      <c r="W36" s="37" t="n">
        <v>6629</v>
      </c>
      <c r="X36" s="39" t="n">
        <v>46307</v>
      </c>
      <c r="Y36" s="15" t="n">
        <v>79</v>
      </c>
      <c r="Z36" s="40" t="n">
        <v>44652</v>
      </c>
      <c r="AA36" s="41" t="n">
        <f aca="false">IF(ISNUMBER(Z36),(DATE(2026,10,13)-Z36)/365,"")</f>
        <v>4.53698630136986</v>
      </c>
      <c r="AB36" s="37" t="n">
        <v>1557</v>
      </c>
      <c r="AC36" s="15" t="s">
        <v>313</v>
      </c>
      <c r="AD36" s="15" t="n">
        <v>1</v>
      </c>
      <c r="AE36" s="15" t="s">
        <v>331</v>
      </c>
      <c r="AF36" s="42" t="n">
        <v>0</v>
      </c>
      <c r="AG36" s="42" t="n">
        <v>0</v>
      </c>
      <c r="AH36" s="15" t="n">
        <v>167</v>
      </c>
      <c r="AI36" s="37"/>
      <c r="AJ36" s="37"/>
      <c r="AK36" s="15" t="s">
        <v>315</v>
      </c>
      <c r="AL36" s="43" t="n">
        <v>0</v>
      </c>
      <c r="AM36" s="43" t="n">
        <v>0</v>
      </c>
      <c r="AN36" s="25" t="str">
        <f aca="false">IF(AND(ISNUMBER(AM36),ISNUMBER(AL36),AL36&gt;=5),AM36/AL36,"")</f>
        <v/>
      </c>
      <c r="AO36" s="43" t="n">
        <v>0</v>
      </c>
      <c r="AP36" s="43" t="n">
        <v>0</v>
      </c>
      <c r="AQ36" s="25" t="str">
        <f aca="false">IF(AND(ISNUMBER(AP36),ISNUMBER(AO36),AO36&gt;=5),AP36/AO36,"")</f>
        <v/>
      </c>
      <c r="AR36" s="43" t="n">
        <v>13.3</v>
      </c>
      <c r="AS36" s="43" t="n">
        <v>0.3</v>
      </c>
      <c r="AT36" s="22" t="n">
        <f aca="false">IF(AND(ISNUMBER(AS36),ISNUMBER(AR36),AR36&gt;0),AS36/AR36-1,"")</f>
        <v>-0.977443609022556</v>
      </c>
      <c r="AU36" s="44"/>
      <c r="AV36" s="44"/>
      <c r="AW36" s="44"/>
      <c r="AX36" s="44"/>
      <c r="AY36" s="44"/>
      <c r="AZ36" s="45"/>
      <c r="BA36" s="45"/>
      <c r="BB36" s="46"/>
      <c r="BC36" s="46"/>
      <c r="BD36" s="23" t="str">
        <f aca="false">IF(AND(ISNUMBER(BB36),ISNUMBER(BC36),BB36&gt;0),1-BC36/BB36,"")</f>
        <v/>
      </c>
      <c r="BE36" s="47"/>
      <c r="BF36" s="48"/>
      <c r="BG36" s="48"/>
      <c r="BH36" s="27" t="str">
        <f aca="false">IF(AND(ISNUMBER(BF36),ISNUMBER(BG36),BG36&gt;0),BF36/BG36,"")</f>
        <v/>
      </c>
      <c r="BI36" s="48"/>
      <c r="BJ36" s="44"/>
      <c r="BK36" s="46"/>
      <c r="BL36" s="46"/>
      <c r="BM36" s="36" t="str">
        <f aca="false">IF(ISNUMBER(Q36),IF(Q36&lt;0,"YES","no"),"")</f>
        <v>YES</v>
      </c>
      <c r="BN36" s="36" t="str">
        <f aca="false">IFERROR(IF(AND(ISNUMBER(K36),ISNUMBER(INDEX('Lift Inputs'!$H:$H,MATCH(C36,'Lift Inputs'!$C:$C,0)))),IF(K36&lt;INDEX('Lift Inputs'!$H:$H,MATCH(C36,'Lift Inputs'!$C:$C,0)),"YES","no"),""),"")</f>
        <v/>
      </c>
      <c r="BO36" s="44"/>
    </row>
    <row r="37" customFormat="false" ht="15" hidden="false" customHeight="false" outlineLevel="0" collapsed="false">
      <c r="A37" s="15" t="s">
        <v>37</v>
      </c>
      <c r="B37" s="15" t="s">
        <v>38</v>
      </c>
      <c r="C37" s="15" t="n">
        <v>59</v>
      </c>
      <c r="D37" s="15" t="s">
        <v>196</v>
      </c>
      <c r="E37" s="15" t="n">
        <v>30</v>
      </c>
      <c r="F37" s="15" t="s">
        <v>441</v>
      </c>
      <c r="G37" s="15" t="s">
        <v>442</v>
      </c>
      <c r="H37" s="15" t="s">
        <v>443</v>
      </c>
      <c r="I37" s="15" t="s">
        <v>444</v>
      </c>
      <c r="J37" s="15" t="s">
        <v>178</v>
      </c>
      <c r="K37" s="35" t="n">
        <v>94.99</v>
      </c>
      <c r="L37" s="35"/>
      <c r="M37" s="23" t="str">
        <f aca="false">IF(AND(ISNUMBER(L37),ISNUMBER(K37),K37&gt;0),L37/K37-1,"")</f>
        <v/>
      </c>
      <c r="N37" s="36" t="str">
        <f aca="false">IF(M37="","No List Price",IF(M37&lt;=0,"At/below price",IF(M37&lt;=0.12,"&lt;=12% (STR zone)",IF(M37&lt;=0.25,"12-25%","&gt;25% (likely ignored)"))))</f>
        <v>No List Price</v>
      </c>
      <c r="O37" s="15" t="s">
        <v>311</v>
      </c>
      <c r="P37" s="35" t="n">
        <v>80.6509589041096</v>
      </c>
      <c r="Q37" s="22" t="n">
        <f aca="false">IF(AND(ISNUMBER(K37),ISNUMBER(P37),N(P37)&gt;0),K37/P37-1,"")</f>
        <v>0.177791328097399</v>
      </c>
      <c r="R37" s="15" t="s">
        <v>312</v>
      </c>
      <c r="S37" s="37" t="n">
        <v>79376</v>
      </c>
      <c r="T37" s="37" t="n">
        <v>18</v>
      </c>
      <c r="U37" s="38" t="n">
        <f aca="false">IF(AND(ISNUMBER(K37),ISNUMBER(T37)),K37*T37*52/12,"")</f>
        <v>7409.22</v>
      </c>
      <c r="V37" s="15" t="n">
        <v>4.4</v>
      </c>
      <c r="W37" s="37" t="n">
        <v>641</v>
      </c>
      <c r="X37" s="39" t="n">
        <v>46307</v>
      </c>
      <c r="Y37" s="15"/>
      <c r="Z37" s="40"/>
      <c r="AA37" s="41" t="str">
        <f aca="false">IF(ISNUMBER(Z37),(DATE(2026,10,13)-Z37)/365,"")</f>
        <v/>
      </c>
      <c r="AB37" s="37"/>
      <c r="AC37" s="15"/>
      <c r="AD37" s="15"/>
      <c r="AE37" s="15"/>
      <c r="AF37" s="42"/>
      <c r="AG37" s="42"/>
      <c r="AH37" s="15"/>
      <c r="AI37" s="37"/>
      <c r="AJ37" s="37"/>
      <c r="AK37" s="15"/>
      <c r="AL37" s="43"/>
      <c r="AM37" s="43"/>
      <c r="AN37" s="25" t="str">
        <f aca="false">IF(AND(ISNUMBER(AM37),ISNUMBER(AL37),AL37&gt;=5),AM37/AL37,"")</f>
        <v/>
      </c>
      <c r="AO37" s="43"/>
      <c r="AP37" s="43"/>
      <c r="AQ37" s="25" t="str">
        <f aca="false">IF(AND(ISNUMBER(AP37),ISNUMBER(AO37),AO37&gt;=5),AP37/AO37,"")</f>
        <v/>
      </c>
      <c r="AR37" s="43"/>
      <c r="AS37" s="43"/>
      <c r="AT37" s="22" t="str">
        <f aca="false">IF(AND(ISNUMBER(AS37),ISNUMBER(AR37),AR37&gt;0),AS37/AR37-1,"")</f>
        <v/>
      </c>
      <c r="AU37" s="44"/>
      <c r="AV37" s="44"/>
      <c r="AW37" s="44"/>
      <c r="AX37" s="44"/>
      <c r="AY37" s="44"/>
      <c r="AZ37" s="45"/>
      <c r="BA37" s="45"/>
      <c r="BB37" s="46"/>
      <c r="BC37" s="46"/>
      <c r="BD37" s="23" t="str">
        <f aca="false">IF(AND(ISNUMBER(BB37),ISNUMBER(BC37),BB37&gt;0),1-BC37/BB37,"")</f>
        <v/>
      </c>
      <c r="BE37" s="47"/>
      <c r="BF37" s="48"/>
      <c r="BG37" s="48"/>
      <c r="BH37" s="27" t="str">
        <f aca="false">IF(AND(ISNUMBER(BF37),ISNUMBER(BG37),BG37&gt;0),BF37/BG37,"")</f>
        <v/>
      </c>
      <c r="BI37" s="48"/>
      <c r="BJ37" s="44"/>
      <c r="BK37" s="46"/>
      <c r="BL37" s="46"/>
      <c r="BM37" s="36" t="str">
        <f aca="false">IF(ISNUMBER(Q37),IF(Q37&lt;0,"YES","no"),"")</f>
        <v>no</v>
      </c>
      <c r="BN37" s="36" t="str">
        <f aca="false">IFERROR(IF(AND(ISNUMBER(K37),ISNUMBER(INDEX('Lift Inputs'!$H:$H,MATCH(C37,'Lift Inputs'!$C:$C,0)))),IF(K37&lt;INDEX('Lift Inputs'!$H:$H,MATCH(C37,'Lift Inputs'!$C:$C,0)),"YES","no"),""),"")</f>
        <v/>
      </c>
      <c r="BO37" s="44"/>
    </row>
    <row r="38" customFormat="false" ht="15" hidden="false" customHeight="false" outlineLevel="0" collapsed="false">
      <c r="A38" s="15" t="s">
        <v>37</v>
      </c>
      <c r="B38" s="15" t="s">
        <v>38</v>
      </c>
      <c r="C38" s="15" t="n">
        <v>59</v>
      </c>
      <c r="D38" s="15" t="s">
        <v>196</v>
      </c>
      <c r="E38" s="15" t="n">
        <v>28</v>
      </c>
      <c r="F38" s="15" t="s">
        <v>445</v>
      </c>
      <c r="G38" s="15" t="s">
        <v>446</v>
      </c>
      <c r="H38" s="15" t="s">
        <v>447</v>
      </c>
      <c r="I38" s="15" t="s">
        <v>448</v>
      </c>
      <c r="J38" s="15" t="s">
        <v>178</v>
      </c>
      <c r="K38" s="35" t="n">
        <v>56.99</v>
      </c>
      <c r="L38" s="35"/>
      <c r="M38" s="23" t="str">
        <f aca="false">IF(AND(ISNUMBER(L38),ISNUMBER(K38),K38&gt;0),L38/K38-1,"")</f>
        <v/>
      </c>
      <c r="N38" s="36" t="str">
        <f aca="false">IF(M38="","No List Price",IF(M38&lt;=0,"At/below price",IF(M38&lt;=0.12,"&lt;=12% (STR zone)",IF(M38&lt;=0.25,"12-25%","&gt;25% (likely ignored)"))))</f>
        <v>No List Price</v>
      </c>
      <c r="O38" s="15" t="s">
        <v>311</v>
      </c>
      <c r="P38" s="35" t="n">
        <v>80.6509589041096</v>
      </c>
      <c r="Q38" s="22" t="n">
        <f aca="false">IF(AND(ISNUMBER(K38),ISNUMBER(P38),N(P38)&gt;0),K38/P38-1,"")</f>
        <v>-0.293374799576053</v>
      </c>
      <c r="R38" s="15" t="s">
        <v>312</v>
      </c>
      <c r="S38" s="37" t="n">
        <v>76312</v>
      </c>
      <c r="T38" s="37" t="n">
        <v>18</v>
      </c>
      <c r="U38" s="38" t="n">
        <f aca="false">IF(AND(ISNUMBER(K38),ISNUMBER(T38)),K38*T38*52/12,"")</f>
        <v>4445.22</v>
      </c>
      <c r="V38" s="15" t="n">
        <v>4.3</v>
      </c>
      <c r="W38" s="37" t="n">
        <v>281</v>
      </c>
      <c r="X38" s="39" t="n">
        <v>46307</v>
      </c>
      <c r="Y38" s="15" t="n">
        <v>32</v>
      </c>
      <c r="Z38" s="40" t="n">
        <v>45671</v>
      </c>
      <c r="AA38" s="41" t="n">
        <f aca="false">IF(ISNUMBER(Z38),(DATE(2026,10,13)-Z38)/365,"")</f>
        <v>1.74520547945205</v>
      </c>
      <c r="AB38" s="37" t="n">
        <v>1508</v>
      </c>
      <c r="AC38" s="15" t="s">
        <v>313</v>
      </c>
      <c r="AD38" s="15" t="n">
        <v>1</v>
      </c>
      <c r="AE38" s="15" t="s">
        <v>331</v>
      </c>
      <c r="AF38" s="42" t="n">
        <v>0</v>
      </c>
      <c r="AG38" s="42" t="n">
        <v>0</v>
      </c>
      <c r="AH38" s="15" t="n">
        <v>126</v>
      </c>
      <c r="AI38" s="37"/>
      <c r="AJ38" s="37"/>
      <c r="AK38" s="15"/>
      <c r="AL38" s="43"/>
      <c r="AM38" s="43"/>
      <c r="AN38" s="25" t="str">
        <f aca="false">IF(AND(ISNUMBER(AM38),ISNUMBER(AL38),AL38&gt;=5),AM38/AL38,"")</f>
        <v/>
      </c>
      <c r="AO38" s="43"/>
      <c r="AP38" s="43"/>
      <c r="AQ38" s="25" t="str">
        <f aca="false">IF(AND(ISNUMBER(AP38),ISNUMBER(AO38),AO38&gt;=5),AP38/AO38,"")</f>
        <v/>
      </c>
      <c r="AR38" s="43"/>
      <c r="AS38" s="43"/>
      <c r="AT38" s="22" t="str">
        <f aca="false">IF(AND(ISNUMBER(AS38),ISNUMBER(AR38),AR38&gt;0),AS38/AR38-1,"")</f>
        <v/>
      </c>
      <c r="AU38" s="44"/>
      <c r="AV38" s="44"/>
      <c r="AW38" s="44"/>
      <c r="AX38" s="44"/>
      <c r="AY38" s="44"/>
      <c r="AZ38" s="45"/>
      <c r="BA38" s="45"/>
      <c r="BB38" s="46"/>
      <c r="BC38" s="46"/>
      <c r="BD38" s="23" t="str">
        <f aca="false">IF(AND(ISNUMBER(BB38),ISNUMBER(BC38),BB38&gt;0),1-BC38/BB38,"")</f>
        <v/>
      </c>
      <c r="BE38" s="47"/>
      <c r="BF38" s="48"/>
      <c r="BG38" s="48"/>
      <c r="BH38" s="27" t="str">
        <f aca="false">IF(AND(ISNUMBER(BF38),ISNUMBER(BG38),BG38&gt;0),BF38/BG38,"")</f>
        <v/>
      </c>
      <c r="BI38" s="48"/>
      <c r="BJ38" s="44"/>
      <c r="BK38" s="46"/>
      <c r="BL38" s="46"/>
      <c r="BM38" s="36" t="str">
        <f aca="false">IF(ISNUMBER(Q38),IF(Q38&lt;0,"YES","no"),"")</f>
        <v>YES</v>
      </c>
      <c r="BN38" s="36" t="str">
        <f aca="false">IFERROR(IF(AND(ISNUMBER(K38),ISNUMBER(INDEX('Lift Inputs'!$H:$H,MATCH(C38,'Lift Inputs'!$C:$C,0)))),IF(K38&lt;INDEX('Lift Inputs'!$H:$H,MATCH(C38,'Lift Inputs'!$C:$C,0)),"YES","no"),""),"")</f>
        <v/>
      </c>
      <c r="BO38" s="44"/>
    </row>
    <row r="39" customFormat="false" ht="15" hidden="false" customHeight="false" outlineLevel="0" collapsed="false">
      <c r="A39" s="15" t="s">
        <v>37</v>
      </c>
      <c r="B39" s="15" t="s">
        <v>38</v>
      </c>
      <c r="C39" s="15" t="n">
        <v>59</v>
      </c>
      <c r="D39" s="15" t="s">
        <v>196</v>
      </c>
      <c r="E39" s="15" t="n">
        <v>24</v>
      </c>
      <c r="F39" s="15" t="s">
        <v>449</v>
      </c>
      <c r="G39" s="15" t="s">
        <v>450</v>
      </c>
      <c r="H39" s="15" t="s">
        <v>451</v>
      </c>
      <c r="I39" s="15" t="s">
        <v>352</v>
      </c>
      <c r="J39" s="15" t="s">
        <v>178</v>
      </c>
      <c r="K39" s="35" t="n">
        <v>76.99</v>
      </c>
      <c r="L39" s="35" t="n">
        <v>84.99</v>
      </c>
      <c r="M39" s="23" t="n">
        <f aca="false">IF(AND(ISNUMBER(L39),ISNUMBER(K39),K39&gt;0),L39/K39-1,"")</f>
        <v>0.103909598649175</v>
      </c>
      <c r="N39" s="36" t="str">
        <f aca="false">IF(M39="","No List Price",IF(M39&lt;=0,"At/below price",IF(M39&lt;=0.12,"&lt;=12% (STR zone)",IF(M39&lt;=0.25,"12-25%","&gt;25% (likely ignored)"))))</f>
        <v>&lt;=12% (STR zone)</v>
      </c>
      <c r="O39" s="15"/>
      <c r="P39" s="35" t="n">
        <v>80.6509589041096</v>
      </c>
      <c r="Q39" s="22" t="n">
        <f aca="false">IF(AND(ISNUMBER(K39),ISNUMBER(P39),N(P39)&gt;0),K39/P39-1,"")</f>
        <v>-0.0453926271163412</v>
      </c>
      <c r="R39" s="15" t="s">
        <v>353</v>
      </c>
      <c r="S39" s="37" t="n">
        <v>23579</v>
      </c>
      <c r="T39" s="37" t="n">
        <v>18</v>
      </c>
      <c r="U39" s="38" t="n">
        <f aca="false">IF(AND(ISNUMBER(K39),ISNUMBER(T39)),K39*T39*52/12,"")</f>
        <v>6005.22</v>
      </c>
      <c r="V39" s="15" t="n">
        <v>4.6</v>
      </c>
      <c r="W39" s="37" t="n">
        <v>688</v>
      </c>
      <c r="X39" s="39" t="n">
        <v>46307</v>
      </c>
      <c r="Y39" s="15"/>
      <c r="Z39" s="40"/>
      <c r="AA39" s="41" t="str">
        <f aca="false">IF(ISNUMBER(Z39),(DATE(2026,10,13)-Z39)/365,"")</f>
        <v/>
      </c>
      <c r="AB39" s="37"/>
      <c r="AC39" s="15"/>
      <c r="AD39" s="15"/>
      <c r="AE39" s="15"/>
      <c r="AF39" s="42"/>
      <c r="AG39" s="42"/>
      <c r="AH39" s="15"/>
      <c r="AI39" s="37" t="n">
        <v>58169</v>
      </c>
      <c r="AJ39" s="37" t="n">
        <v>1164</v>
      </c>
      <c r="AK39" s="15" t="s">
        <v>315</v>
      </c>
      <c r="AL39" s="43" t="n">
        <v>1.3</v>
      </c>
      <c r="AM39" s="43" t="n">
        <v>2.2</v>
      </c>
      <c r="AN39" s="25" t="str">
        <f aca="false">IF(AND(ISNUMBER(AM39),ISNUMBER(AL39),AL39&gt;=5),AM39/AL39,"")</f>
        <v/>
      </c>
      <c r="AO39" s="43" t="n">
        <v>3.5</v>
      </c>
      <c r="AP39" s="43" t="n">
        <v>2.5</v>
      </c>
      <c r="AQ39" s="25" t="str">
        <f aca="false">IF(AND(ISNUMBER(AP39),ISNUMBER(AO39),AO39&gt;=5),AP39/AO39,"")</f>
        <v/>
      </c>
      <c r="AR39" s="43" t="n">
        <v>1.7</v>
      </c>
      <c r="AS39" s="43" t="n">
        <v>5.7</v>
      </c>
      <c r="AT39" s="22" t="n">
        <f aca="false">IF(AND(ISNUMBER(AS39),ISNUMBER(AR39),AR39&gt;0),AS39/AR39-1,"")</f>
        <v>2.35294117647059</v>
      </c>
      <c r="AU39" s="44"/>
      <c r="AV39" s="44"/>
      <c r="AW39" s="44"/>
      <c r="AX39" s="44"/>
      <c r="AY39" s="44"/>
      <c r="AZ39" s="45"/>
      <c r="BA39" s="45"/>
      <c r="BB39" s="46"/>
      <c r="BC39" s="46"/>
      <c r="BD39" s="23" t="str">
        <f aca="false">IF(AND(ISNUMBER(BB39),ISNUMBER(BC39),BB39&gt;0),1-BC39/BB39,"")</f>
        <v/>
      </c>
      <c r="BE39" s="47"/>
      <c r="BF39" s="48"/>
      <c r="BG39" s="48"/>
      <c r="BH39" s="27" t="str">
        <f aca="false">IF(AND(ISNUMBER(BF39),ISNUMBER(BG39),BG39&gt;0),BF39/BG39,"")</f>
        <v/>
      </c>
      <c r="BI39" s="48"/>
      <c r="BJ39" s="44"/>
      <c r="BK39" s="46"/>
      <c r="BL39" s="46"/>
      <c r="BM39" s="36" t="str">
        <f aca="false">IF(ISNUMBER(Q39),IF(Q39&lt;0,"YES","no"),"")</f>
        <v>YES</v>
      </c>
      <c r="BN39" s="36" t="str">
        <f aca="false">IFERROR(IF(AND(ISNUMBER(K39),ISNUMBER(INDEX('Lift Inputs'!$H:$H,MATCH(C39,'Lift Inputs'!$C:$C,0)))),IF(K39&lt;INDEX('Lift Inputs'!$H:$H,MATCH(C39,'Lift Inputs'!$C:$C,0)),"YES","no"),""),"")</f>
        <v/>
      </c>
      <c r="BO39" s="44"/>
    </row>
    <row r="40" customFormat="false" ht="15" hidden="false" customHeight="false" outlineLevel="0" collapsed="false">
      <c r="A40" s="15" t="s">
        <v>37</v>
      </c>
      <c r="B40" s="15" t="s">
        <v>38</v>
      </c>
      <c r="C40" s="15" t="n">
        <v>59</v>
      </c>
      <c r="D40" s="15" t="s">
        <v>196</v>
      </c>
      <c r="E40" s="15" t="n">
        <v>26</v>
      </c>
      <c r="F40" s="15" t="s">
        <v>452</v>
      </c>
      <c r="G40" s="15" t="s">
        <v>453</v>
      </c>
      <c r="H40" s="15" t="s">
        <v>454</v>
      </c>
      <c r="I40" s="15" t="s">
        <v>352</v>
      </c>
      <c r="J40" s="15" t="s">
        <v>178</v>
      </c>
      <c r="K40" s="35" t="n">
        <v>129.94</v>
      </c>
      <c r="L40" s="35"/>
      <c r="M40" s="23" t="str">
        <f aca="false">IF(AND(ISNUMBER(L40),ISNUMBER(K40),K40&gt;0),L40/K40-1,"")</f>
        <v/>
      </c>
      <c r="N40" s="36" t="str">
        <f aca="false">IF(M40="","No List Price",IF(M40&lt;=0,"At/below price",IF(M40&lt;=0.12,"&lt;=12% (STR zone)",IF(M40&lt;=0.25,"12-25%","&gt;25% (likely ignored)"))))</f>
        <v>No List Price</v>
      </c>
      <c r="O40" s="15"/>
      <c r="P40" s="35" t="n">
        <v>80.6509589041096</v>
      </c>
      <c r="Q40" s="22" t="n">
        <f aca="false">IF(AND(ISNUMBER(K40),ISNUMBER(P40),N(P40)&gt;0),K40/P40-1,"")</f>
        <v>0.611140174470745</v>
      </c>
      <c r="R40" s="15" t="s">
        <v>353</v>
      </c>
      <c r="S40" s="37" t="n">
        <v>47800</v>
      </c>
      <c r="T40" s="37" t="n">
        <v>18</v>
      </c>
      <c r="U40" s="38" t="n">
        <f aca="false">IF(AND(ISNUMBER(K40),ISNUMBER(T40)),K40*T40*52/12,"")</f>
        <v>10135.32</v>
      </c>
      <c r="V40" s="15" t="n">
        <v>4.5</v>
      </c>
      <c r="W40" s="37" t="n">
        <v>517</v>
      </c>
      <c r="X40" s="39" t="n">
        <v>46307</v>
      </c>
      <c r="Y40" s="15"/>
      <c r="Z40" s="40"/>
      <c r="AA40" s="41" t="str">
        <f aca="false">IF(ISNUMBER(Z40),(DATE(2026,10,13)-Z40)/365,"")</f>
        <v/>
      </c>
      <c r="AB40" s="37"/>
      <c r="AC40" s="15"/>
      <c r="AD40" s="15"/>
      <c r="AE40" s="15"/>
      <c r="AF40" s="42"/>
      <c r="AG40" s="42"/>
      <c r="AH40" s="15"/>
      <c r="AI40" s="37"/>
      <c r="AJ40" s="37"/>
      <c r="AK40" s="15"/>
      <c r="AL40" s="43"/>
      <c r="AM40" s="43"/>
      <c r="AN40" s="25" t="str">
        <f aca="false">IF(AND(ISNUMBER(AM40),ISNUMBER(AL40),AL40&gt;=5),AM40/AL40,"")</f>
        <v/>
      </c>
      <c r="AO40" s="43"/>
      <c r="AP40" s="43"/>
      <c r="AQ40" s="25" t="str">
        <f aca="false">IF(AND(ISNUMBER(AP40),ISNUMBER(AO40),AO40&gt;=5),AP40/AO40,"")</f>
        <v/>
      </c>
      <c r="AR40" s="43"/>
      <c r="AS40" s="43"/>
      <c r="AT40" s="22" t="str">
        <f aca="false">IF(AND(ISNUMBER(AS40),ISNUMBER(AR40),AR40&gt;0),AS40/AR40-1,"")</f>
        <v/>
      </c>
      <c r="AU40" s="44"/>
      <c r="AV40" s="44"/>
      <c r="AW40" s="44"/>
      <c r="AX40" s="44"/>
      <c r="AY40" s="44"/>
      <c r="AZ40" s="45"/>
      <c r="BA40" s="45"/>
      <c r="BB40" s="46"/>
      <c r="BC40" s="46"/>
      <c r="BD40" s="23" t="str">
        <f aca="false">IF(AND(ISNUMBER(BB40),ISNUMBER(BC40),BB40&gt;0),1-BC40/BB40,"")</f>
        <v/>
      </c>
      <c r="BE40" s="47"/>
      <c r="BF40" s="48"/>
      <c r="BG40" s="48"/>
      <c r="BH40" s="27" t="str">
        <f aca="false">IF(AND(ISNUMBER(BF40),ISNUMBER(BG40),BG40&gt;0),BF40/BG40,"")</f>
        <v/>
      </c>
      <c r="BI40" s="48"/>
      <c r="BJ40" s="44"/>
      <c r="BK40" s="46"/>
      <c r="BL40" s="46"/>
      <c r="BM40" s="36" t="str">
        <f aca="false">IF(ISNUMBER(Q40),IF(Q40&lt;0,"YES","no"),"")</f>
        <v>no</v>
      </c>
      <c r="BN40" s="36" t="str">
        <f aca="false">IFERROR(IF(AND(ISNUMBER(K40),ISNUMBER(INDEX('Lift Inputs'!$H:$H,MATCH(C40,'Lift Inputs'!$C:$C,0)))),IF(K40&lt;INDEX('Lift Inputs'!$H:$H,MATCH(C40,'Lift Inputs'!$C:$C,0)),"YES","no"),""),"")</f>
        <v/>
      </c>
      <c r="BO40" s="44"/>
    </row>
    <row r="41" customFormat="false" ht="15" hidden="false" customHeight="false" outlineLevel="0" collapsed="false">
      <c r="A41" s="15" t="s">
        <v>37</v>
      </c>
      <c r="B41" s="15" t="s">
        <v>38</v>
      </c>
      <c r="C41" s="15" t="n">
        <v>59</v>
      </c>
      <c r="D41" s="15" t="s">
        <v>196</v>
      </c>
      <c r="E41" s="15" t="n">
        <v>633</v>
      </c>
      <c r="F41" s="15" t="s">
        <v>438</v>
      </c>
      <c r="G41" s="15" t="s">
        <v>455</v>
      </c>
      <c r="H41" s="15" t="s">
        <v>455</v>
      </c>
      <c r="I41" s="15" t="s">
        <v>456</v>
      </c>
      <c r="J41" s="15" t="s">
        <v>178</v>
      </c>
      <c r="K41" s="35" t="n">
        <v>69.99</v>
      </c>
      <c r="L41" s="35" t="n">
        <v>84.99</v>
      </c>
      <c r="M41" s="23" t="n">
        <f aca="false">IF(AND(ISNUMBER(L41),ISNUMBER(K41),K41&gt;0),L41/K41-1,"")</f>
        <v>0.214316330904415</v>
      </c>
      <c r="N41" s="36" t="str">
        <f aca="false">IF(M41="","No List Price",IF(M41&lt;=0,"At/below price",IF(M41&lt;=0.12,"&lt;=12% (STR zone)",IF(M41&lt;=0.25,"12-25%","&gt;25% (likely ignored)"))))</f>
        <v>12-25%</v>
      </c>
      <c r="O41" s="15"/>
      <c r="P41" s="35" t="n">
        <v>80.6509589041096</v>
      </c>
      <c r="Q41" s="22" t="n">
        <f aca="false">IF(AND(ISNUMBER(K41),ISNUMBER(P41),N(P41)&gt;0),K41/P41-1,"")</f>
        <v>-0.13218638747724</v>
      </c>
      <c r="R41" s="15" t="s">
        <v>353</v>
      </c>
      <c r="S41" s="37" t="n">
        <v>39194</v>
      </c>
      <c r="T41" s="37" t="n">
        <v>18</v>
      </c>
      <c r="U41" s="38" t="n">
        <f aca="false">IF(AND(ISNUMBER(K41),ISNUMBER(T41)),K41*T41*52/12,"")</f>
        <v>5459.22</v>
      </c>
      <c r="V41" s="15" t="n">
        <v>4.5</v>
      </c>
      <c r="W41" s="37" t="n">
        <v>1639</v>
      </c>
      <c r="X41" s="39" t="n">
        <v>46307</v>
      </c>
      <c r="Y41" s="15" t="n">
        <v>32</v>
      </c>
      <c r="Z41" s="40" t="n">
        <v>45744</v>
      </c>
      <c r="AA41" s="41" t="n">
        <f aca="false">IF(ISNUMBER(Z41),(DATE(2026,10,13)-Z41)/365,"")</f>
        <v>1.54520547945205</v>
      </c>
      <c r="AB41" s="37" t="n">
        <v>1201</v>
      </c>
      <c r="AC41" s="15" t="s">
        <v>313</v>
      </c>
      <c r="AD41" s="15" t="n">
        <v>1</v>
      </c>
      <c r="AE41" s="15" t="s">
        <v>331</v>
      </c>
      <c r="AF41" s="42" t="n">
        <v>0</v>
      </c>
      <c r="AG41" s="42" t="n">
        <v>0</v>
      </c>
      <c r="AH41" s="15" t="n">
        <v>121</v>
      </c>
      <c r="AI41" s="37"/>
      <c r="AJ41" s="37"/>
      <c r="AK41" s="15" t="s">
        <v>315</v>
      </c>
      <c r="AL41" s="43" t="n">
        <v>0</v>
      </c>
      <c r="AM41" s="43" t="n">
        <v>0</v>
      </c>
      <c r="AN41" s="25" t="str">
        <f aca="false">IF(AND(ISNUMBER(AM41),ISNUMBER(AL41),AL41&gt;=5),AM41/AL41,"")</f>
        <v/>
      </c>
      <c r="AO41" s="43" t="n">
        <v>0</v>
      </c>
      <c r="AP41" s="43" t="n">
        <v>0</v>
      </c>
      <c r="AQ41" s="25" t="str">
        <f aca="false">IF(AND(ISNUMBER(AP41),ISNUMBER(AO41),AO41&gt;=5),AP41/AO41,"")</f>
        <v/>
      </c>
      <c r="AR41" s="43" t="n">
        <v>5.8</v>
      </c>
      <c r="AS41" s="43" t="n">
        <v>0.2</v>
      </c>
      <c r="AT41" s="22" t="n">
        <f aca="false">IF(AND(ISNUMBER(AS41),ISNUMBER(AR41),AR41&gt;0),AS41/AR41-1,"")</f>
        <v>-0.96551724137931</v>
      </c>
      <c r="AU41" s="44"/>
      <c r="AV41" s="44"/>
      <c r="AW41" s="44"/>
      <c r="AX41" s="44"/>
      <c r="AY41" s="44"/>
      <c r="AZ41" s="45"/>
      <c r="BA41" s="45"/>
      <c r="BB41" s="46"/>
      <c r="BC41" s="46"/>
      <c r="BD41" s="23" t="str">
        <f aca="false">IF(AND(ISNUMBER(BB41),ISNUMBER(BC41),BB41&gt;0),1-BC41/BB41,"")</f>
        <v/>
      </c>
      <c r="BE41" s="47"/>
      <c r="BF41" s="48"/>
      <c r="BG41" s="48"/>
      <c r="BH41" s="27" t="str">
        <f aca="false">IF(AND(ISNUMBER(BF41),ISNUMBER(BG41),BG41&gt;0),BF41/BG41,"")</f>
        <v/>
      </c>
      <c r="BI41" s="48"/>
      <c r="BJ41" s="44"/>
      <c r="BK41" s="46"/>
      <c r="BL41" s="46"/>
      <c r="BM41" s="36" t="str">
        <f aca="false">IF(ISNUMBER(Q41),IF(Q41&lt;0,"YES","no"),"")</f>
        <v>YES</v>
      </c>
      <c r="BN41" s="36" t="str">
        <f aca="false">IFERROR(IF(AND(ISNUMBER(K41),ISNUMBER(INDEX('Lift Inputs'!$H:$H,MATCH(C41,'Lift Inputs'!$C:$C,0)))),IF(K41&lt;INDEX('Lift Inputs'!$H:$H,MATCH(C41,'Lift Inputs'!$C:$C,0)),"YES","no"),""),"")</f>
        <v/>
      </c>
      <c r="BO41" s="44"/>
    </row>
    <row r="42" customFormat="false" ht="15" hidden="false" customHeight="false" outlineLevel="0" collapsed="false">
      <c r="A42" s="15" t="s">
        <v>37</v>
      </c>
      <c r="B42" s="15" t="s">
        <v>38</v>
      </c>
      <c r="C42" s="15" t="n">
        <v>59</v>
      </c>
      <c r="D42" s="15" t="s">
        <v>196</v>
      </c>
      <c r="E42" s="15" t="n">
        <v>186</v>
      </c>
      <c r="F42" s="15" t="s">
        <v>389</v>
      </c>
      <c r="G42" s="15" t="s">
        <v>457</v>
      </c>
      <c r="H42" s="15" t="s">
        <v>458</v>
      </c>
      <c r="I42" s="15" t="s">
        <v>352</v>
      </c>
      <c r="J42" s="15" t="s">
        <v>178</v>
      </c>
      <c r="K42" s="35" t="n">
        <v>79.98</v>
      </c>
      <c r="L42" s="35"/>
      <c r="M42" s="23" t="str">
        <f aca="false">IF(AND(ISNUMBER(L42),ISNUMBER(K42),K42&gt;0),L42/K42-1,"")</f>
        <v/>
      </c>
      <c r="N42" s="36" t="str">
        <f aca="false">IF(M42="","No List Price",IF(M42&lt;=0,"At/below price",IF(M42&lt;=0.12,"&lt;=12% (STR zone)",IF(M42&lt;=0.25,"12-25%","&gt;25% (likely ignored)"))))</f>
        <v>No List Price</v>
      </c>
      <c r="O42" s="15"/>
      <c r="P42" s="35" t="n">
        <v>80.6509589041096</v>
      </c>
      <c r="Q42" s="22" t="n">
        <f aca="false">IF(AND(ISNUMBER(K42),ISNUMBER(P42),N(P42)&gt;0),K42/P42-1,"")</f>
        <v>-0.00831929233361428</v>
      </c>
      <c r="R42" s="15" t="s">
        <v>353</v>
      </c>
      <c r="S42" s="37" t="n">
        <v>131083</v>
      </c>
      <c r="T42" s="37" t="n">
        <v>5</v>
      </c>
      <c r="U42" s="38" t="n">
        <f aca="false">IF(AND(ISNUMBER(K42),ISNUMBER(T42)),K42*T42*52/12,"")</f>
        <v>1732.9</v>
      </c>
      <c r="V42" s="15" t="n">
        <v>4.5</v>
      </c>
      <c r="W42" s="37" t="n">
        <v>2691</v>
      </c>
      <c r="X42" s="39" t="n">
        <v>46307</v>
      </c>
      <c r="Y42" s="15"/>
      <c r="Z42" s="40"/>
      <c r="AA42" s="41" t="str">
        <f aca="false">IF(ISNUMBER(Z42),(DATE(2026,10,13)-Z42)/365,"")</f>
        <v/>
      </c>
      <c r="AB42" s="37"/>
      <c r="AC42" s="15"/>
      <c r="AD42" s="15"/>
      <c r="AE42" s="15"/>
      <c r="AF42" s="42"/>
      <c r="AG42" s="42"/>
      <c r="AH42" s="15"/>
      <c r="AI42" s="37"/>
      <c r="AJ42" s="37"/>
      <c r="AK42" s="15"/>
      <c r="AL42" s="43"/>
      <c r="AM42" s="43"/>
      <c r="AN42" s="25" t="str">
        <f aca="false">IF(AND(ISNUMBER(AM42),ISNUMBER(AL42),AL42&gt;=5),AM42/AL42,"")</f>
        <v/>
      </c>
      <c r="AO42" s="43"/>
      <c r="AP42" s="43"/>
      <c r="AQ42" s="25" t="str">
        <f aca="false">IF(AND(ISNUMBER(AP42),ISNUMBER(AO42),AO42&gt;=5),AP42/AO42,"")</f>
        <v/>
      </c>
      <c r="AR42" s="43"/>
      <c r="AS42" s="43"/>
      <c r="AT42" s="22" t="str">
        <f aca="false">IF(AND(ISNUMBER(AS42),ISNUMBER(AR42),AR42&gt;0),AS42/AR42-1,"")</f>
        <v/>
      </c>
      <c r="AU42" s="44"/>
      <c r="AV42" s="44"/>
      <c r="AW42" s="44"/>
      <c r="AX42" s="44"/>
      <c r="AY42" s="44"/>
      <c r="AZ42" s="45"/>
      <c r="BA42" s="45"/>
      <c r="BB42" s="46"/>
      <c r="BC42" s="46"/>
      <c r="BD42" s="23" t="str">
        <f aca="false">IF(AND(ISNUMBER(BB42),ISNUMBER(BC42),BB42&gt;0),1-BC42/BB42,"")</f>
        <v/>
      </c>
      <c r="BE42" s="47"/>
      <c r="BF42" s="48"/>
      <c r="BG42" s="48"/>
      <c r="BH42" s="27" t="str">
        <f aca="false">IF(AND(ISNUMBER(BF42),ISNUMBER(BG42),BG42&gt;0),BF42/BG42,"")</f>
        <v/>
      </c>
      <c r="BI42" s="48"/>
      <c r="BJ42" s="44"/>
      <c r="BK42" s="46"/>
      <c r="BL42" s="46"/>
      <c r="BM42" s="36" t="str">
        <f aca="false">IF(ISNUMBER(Q42),IF(Q42&lt;0,"YES","no"),"")</f>
        <v>YES</v>
      </c>
      <c r="BN42" s="36" t="str">
        <f aca="false">IFERROR(IF(AND(ISNUMBER(K42),ISNUMBER(INDEX('Lift Inputs'!$H:$H,MATCH(C42,'Lift Inputs'!$C:$C,0)))),IF(K42&lt;INDEX('Lift Inputs'!$H:$H,MATCH(C42,'Lift Inputs'!$C:$C,0)),"YES","no"),""),"")</f>
        <v/>
      </c>
      <c r="BO42" s="44"/>
    </row>
    <row r="43" customFormat="false" ht="15" hidden="false" customHeight="false" outlineLevel="0" collapsed="false">
      <c r="A43" s="15" t="s">
        <v>37</v>
      </c>
      <c r="B43" s="15" t="s">
        <v>38</v>
      </c>
      <c r="C43" s="15" t="n">
        <v>59</v>
      </c>
      <c r="D43" s="15" t="s">
        <v>196</v>
      </c>
      <c r="E43" s="15" t="n">
        <v>1512</v>
      </c>
      <c r="F43" s="15" t="s">
        <v>459</v>
      </c>
      <c r="G43" s="15" t="s">
        <v>460</v>
      </c>
      <c r="H43" s="15" t="s">
        <v>461</v>
      </c>
      <c r="I43" s="15" t="s">
        <v>462</v>
      </c>
      <c r="J43" s="15" t="s">
        <v>178</v>
      </c>
      <c r="K43" s="35" t="n">
        <v>94.99</v>
      </c>
      <c r="L43" s="35"/>
      <c r="M43" s="23" t="str">
        <f aca="false">IF(AND(ISNUMBER(L43),ISNUMBER(K43),K43&gt;0),L43/K43-1,"")</f>
        <v/>
      </c>
      <c r="N43" s="36" t="str">
        <f aca="false">IF(M43="","No List Price",IF(M43&lt;=0,"At/below price",IF(M43&lt;=0.12,"&lt;=12% (STR zone)",IF(M43&lt;=0.25,"12-25%","&gt;25% (likely ignored)"))))</f>
        <v>No List Price</v>
      </c>
      <c r="O43" s="15" t="s">
        <v>311</v>
      </c>
      <c r="P43" s="35" t="n">
        <v>80.6509589041096</v>
      </c>
      <c r="Q43" s="22" t="n">
        <f aca="false">IF(AND(ISNUMBER(K43),ISNUMBER(P43),N(P43)&gt;0),K43/P43-1,"")</f>
        <v>0.177791328097399</v>
      </c>
      <c r="R43" s="15" t="s">
        <v>312</v>
      </c>
      <c r="S43" s="37" t="n">
        <v>1003118</v>
      </c>
      <c r="T43" s="37" t="n">
        <v>5</v>
      </c>
      <c r="U43" s="38" t="n">
        <f aca="false">IF(AND(ISNUMBER(K43),ISNUMBER(T43)),K43*T43*52/12,"")</f>
        <v>2058.11666666667</v>
      </c>
      <c r="V43" s="15" t="n">
        <v>4.4</v>
      </c>
      <c r="W43" s="37" t="n">
        <v>18</v>
      </c>
      <c r="X43" s="39" t="n">
        <v>46307</v>
      </c>
      <c r="Y43" s="15"/>
      <c r="Z43" s="40"/>
      <c r="AA43" s="41" t="str">
        <f aca="false">IF(ISNUMBER(Z43),(DATE(2026,10,13)-Z43)/365,"")</f>
        <v/>
      </c>
      <c r="AB43" s="37"/>
      <c r="AC43" s="15"/>
      <c r="AD43" s="15"/>
      <c r="AE43" s="15"/>
      <c r="AF43" s="42"/>
      <c r="AG43" s="42"/>
      <c r="AH43" s="15"/>
      <c r="AI43" s="37"/>
      <c r="AJ43" s="37"/>
      <c r="AK43" s="15"/>
      <c r="AL43" s="43"/>
      <c r="AM43" s="43"/>
      <c r="AN43" s="25" t="str">
        <f aca="false">IF(AND(ISNUMBER(AM43),ISNUMBER(AL43),AL43&gt;=5),AM43/AL43,"")</f>
        <v/>
      </c>
      <c r="AO43" s="43"/>
      <c r="AP43" s="43"/>
      <c r="AQ43" s="25" t="str">
        <f aca="false">IF(AND(ISNUMBER(AP43),ISNUMBER(AO43),AO43&gt;=5),AP43/AO43,"")</f>
        <v/>
      </c>
      <c r="AR43" s="43"/>
      <c r="AS43" s="43"/>
      <c r="AT43" s="22" t="str">
        <f aca="false">IF(AND(ISNUMBER(AS43),ISNUMBER(AR43),AR43&gt;0),AS43/AR43-1,"")</f>
        <v/>
      </c>
      <c r="AU43" s="44"/>
      <c r="AV43" s="44"/>
      <c r="AW43" s="44"/>
      <c r="AX43" s="44"/>
      <c r="AY43" s="44"/>
      <c r="AZ43" s="45"/>
      <c r="BA43" s="45"/>
      <c r="BB43" s="46"/>
      <c r="BC43" s="46"/>
      <c r="BD43" s="23" t="str">
        <f aca="false">IF(AND(ISNUMBER(BB43),ISNUMBER(BC43),BB43&gt;0),1-BC43/BB43,"")</f>
        <v/>
      </c>
      <c r="BE43" s="47"/>
      <c r="BF43" s="48"/>
      <c r="BG43" s="48"/>
      <c r="BH43" s="27" t="str">
        <f aca="false">IF(AND(ISNUMBER(BF43),ISNUMBER(BG43),BG43&gt;0),BF43/BG43,"")</f>
        <v/>
      </c>
      <c r="BI43" s="48"/>
      <c r="BJ43" s="44"/>
      <c r="BK43" s="46"/>
      <c r="BL43" s="46"/>
      <c r="BM43" s="36" t="str">
        <f aca="false">IF(ISNUMBER(Q43),IF(Q43&lt;0,"YES","no"),"")</f>
        <v>no</v>
      </c>
      <c r="BN43" s="36" t="str">
        <f aca="false">IFERROR(IF(AND(ISNUMBER(K43),ISNUMBER(INDEX('Lift Inputs'!$H:$H,MATCH(C43,'Lift Inputs'!$C:$C,0)))),IF(K43&lt;INDEX('Lift Inputs'!$H:$H,MATCH(C43,'Lift Inputs'!$C:$C,0)),"YES","no"),""),"")</f>
        <v/>
      </c>
      <c r="BO43" s="44"/>
    </row>
    <row r="44" customFormat="false" ht="15" hidden="false" customHeight="false" outlineLevel="0" collapsed="false">
      <c r="A44" s="15" t="s">
        <v>37</v>
      </c>
      <c r="B44" s="15" t="s">
        <v>38</v>
      </c>
      <c r="C44" s="15" t="n">
        <v>59</v>
      </c>
      <c r="D44" s="15" t="s">
        <v>196</v>
      </c>
      <c r="E44" s="15" t="n">
        <v>180</v>
      </c>
      <c r="F44" s="15" t="s">
        <v>399</v>
      </c>
      <c r="G44" s="15" t="s">
        <v>463</v>
      </c>
      <c r="H44" s="15" t="s">
        <v>463</v>
      </c>
      <c r="I44" s="15" t="s">
        <v>464</v>
      </c>
      <c r="J44" s="15" t="s">
        <v>178</v>
      </c>
      <c r="K44" s="35" t="n">
        <v>46.74</v>
      </c>
      <c r="L44" s="35"/>
      <c r="M44" s="23" t="str">
        <f aca="false">IF(AND(ISNUMBER(L44),ISNUMBER(K44),K44&gt;0),L44/K44-1,"")</f>
        <v/>
      </c>
      <c r="N44" s="36" t="str">
        <f aca="false">IF(M44="","No List Price",IF(M44&lt;=0,"At/below price",IF(M44&lt;=0.12,"&lt;=12% (STR zone)",IF(M44&lt;=0.25,"12-25%","&gt;25% (likely ignored)"))))</f>
        <v>No List Price</v>
      </c>
      <c r="O44" s="15"/>
      <c r="P44" s="35" t="n">
        <v>80.6509589041096</v>
      </c>
      <c r="Q44" s="22" t="n">
        <f aca="false">IF(AND(ISNUMBER(K44),ISNUMBER(P44),N(P44)&gt;0),K44/P44-1,"")</f>
        <v>-0.420465662961655</v>
      </c>
      <c r="R44" s="15" t="s">
        <v>353</v>
      </c>
      <c r="S44" s="37" t="n">
        <v>2065761</v>
      </c>
      <c r="T44" s="37" t="n">
        <v>5</v>
      </c>
      <c r="U44" s="38" t="n">
        <f aca="false">IF(AND(ISNUMBER(K44),ISNUMBER(T44)),K44*T44*52/12,"")</f>
        <v>1012.7</v>
      </c>
      <c r="V44" s="15" t="n">
        <v>4.5</v>
      </c>
      <c r="W44" s="37" t="n">
        <v>11</v>
      </c>
      <c r="X44" s="39" t="n">
        <v>46307</v>
      </c>
      <c r="Y44" s="15" t="n">
        <v>1</v>
      </c>
      <c r="Z44" s="40" t="n">
        <v>46078</v>
      </c>
      <c r="AA44" s="41" t="n">
        <f aca="false">IF(ISNUMBER(Z44),(DATE(2026,10,13)-Z44)/365,"")</f>
        <v>0.63013698630137</v>
      </c>
      <c r="AB44" s="37" t="n">
        <v>5</v>
      </c>
      <c r="AC44" s="15" t="s">
        <v>465</v>
      </c>
      <c r="AD44" s="15" t="n">
        <v>0</v>
      </c>
      <c r="AE44" s="15" t="s">
        <v>466</v>
      </c>
      <c r="AF44" s="42" t="n">
        <v>0</v>
      </c>
      <c r="AG44" s="42" t="n">
        <v>0</v>
      </c>
      <c r="AH44" s="15" t="n">
        <v>0</v>
      </c>
      <c r="AI44" s="37"/>
      <c r="AJ44" s="37"/>
      <c r="AK44" s="15"/>
      <c r="AL44" s="43"/>
      <c r="AM44" s="43"/>
      <c r="AN44" s="25" t="str">
        <f aca="false">IF(AND(ISNUMBER(AM44),ISNUMBER(AL44),AL44&gt;=5),AM44/AL44,"")</f>
        <v/>
      </c>
      <c r="AO44" s="43"/>
      <c r="AP44" s="43"/>
      <c r="AQ44" s="25" t="str">
        <f aca="false">IF(AND(ISNUMBER(AP44),ISNUMBER(AO44),AO44&gt;=5),AP44/AO44,"")</f>
        <v/>
      </c>
      <c r="AR44" s="43"/>
      <c r="AS44" s="43"/>
      <c r="AT44" s="22" t="str">
        <f aca="false">IF(AND(ISNUMBER(AS44),ISNUMBER(AR44),AR44&gt;0),AS44/AR44-1,"")</f>
        <v/>
      </c>
      <c r="AU44" s="44"/>
      <c r="AV44" s="44"/>
      <c r="AW44" s="44"/>
      <c r="AX44" s="44"/>
      <c r="AY44" s="44"/>
      <c r="AZ44" s="45"/>
      <c r="BA44" s="45"/>
      <c r="BB44" s="46"/>
      <c r="BC44" s="46"/>
      <c r="BD44" s="23" t="str">
        <f aca="false">IF(AND(ISNUMBER(BB44),ISNUMBER(BC44),BB44&gt;0),1-BC44/BB44,"")</f>
        <v/>
      </c>
      <c r="BE44" s="47"/>
      <c r="BF44" s="48"/>
      <c r="BG44" s="48"/>
      <c r="BH44" s="27" t="str">
        <f aca="false">IF(AND(ISNUMBER(BF44),ISNUMBER(BG44),BG44&gt;0),BF44/BG44,"")</f>
        <v/>
      </c>
      <c r="BI44" s="48"/>
      <c r="BJ44" s="44"/>
      <c r="BK44" s="46"/>
      <c r="BL44" s="46"/>
      <c r="BM44" s="36" t="str">
        <f aca="false">IF(ISNUMBER(Q44),IF(Q44&lt;0,"YES","no"),"")</f>
        <v>YES</v>
      </c>
      <c r="BN44" s="36" t="str">
        <f aca="false">IFERROR(IF(AND(ISNUMBER(K44),ISNUMBER(INDEX('Lift Inputs'!$H:$H,MATCH(C44,'Lift Inputs'!$C:$C,0)))),IF(K44&lt;INDEX('Lift Inputs'!$H:$H,MATCH(C44,'Lift Inputs'!$C:$C,0)),"YES","no"),""),"")</f>
        <v/>
      </c>
      <c r="BO44" s="44"/>
    </row>
    <row r="45" customFormat="false" ht="15" hidden="false" customHeight="false" outlineLevel="0" collapsed="false">
      <c r="A45" s="15" t="s">
        <v>37</v>
      </c>
      <c r="B45" s="15" t="s">
        <v>38</v>
      </c>
      <c r="C45" s="15" t="n">
        <v>59</v>
      </c>
      <c r="D45" s="15" t="s">
        <v>196</v>
      </c>
      <c r="E45" s="15" t="n">
        <v>1521</v>
      </c>
      <c r="F45" s="15" t="s">
        <v>399</v>
      </c>
      <c r="G45" s="15" t="s">
        <v>467</v>
      </c>
      <c r="H45" s="15" t="s">
        <v>467</v>
      </c>
      <c r="I45" s="15" t="s">
        <v>468</v>
      </c>
      <c r="J45" s="15" t="s">
        <v>178</v>
      </c>
      <c r="K45" s="35" t="n">
        <v>109.99</v>
      </c>
      <c r="L45" s="35"/>
      <c r="M45" s="23" t="str">
        <f aca="false">IF(AND(ISNUMBER(L45),ISNUMBER(K45),K45&gt;0),L45/K45-1,"")</f>
        <v/>
      </c>
      <c r="N45" s="36" t="str">
        <f aca="false">IF(M45="","No List Price",IF(M45&lt;=0,"At/below price",IF(M45&lt;=0.12,"&lt;=12% (STR zone)",IF(M45&lt;=0.25,"12-25%","&gt;25% (likely ignored)"))))</f>
        <v>No List Price</v>
      </c>
      <c r="O45" s="15"/>
      <c r="P45" s="35" t="n">
        <v>80.6509589041096</v>
      </c>
      <c r="Q45" s="22" t="n">
        <f aca="false">IF(AND(ISNUMBER(K45),ISNUMBER(P45),N(P45)&gt;0),K45/P45-1,"")</f>
        <v>0.363777957442182</v>
      </c>
      <c r="R45" s="15" t="s">
        <v>353</v>
      </c>
      <c r="S45" s="37" t="n">
        <v>1506045</v>
      </c>
      <c r="T45" s="37" t="n">
        <v>5</v>
      </c>
      <c r="U45" s="38" t="n">
        <f aca="false">IF(AND(ISNUMBER(K45),ISNUMBER(T45)),K45*T45*52/12,"")</f>
        <v>2383.11666666667</v>
      </c>
      <c r="V45" s="15" t="n">
        <v>4.5</v>
      </c>
      <c r="W45" s="37" t="n">
        <v>39</v>
      </c>
      <c r="X45" s="39" t="n">
        <v>46307</v>
      </c>
      <c r="Y45" s="15" t="n">
        <v>1</v>
      </c>
      <c r="Z45" s="40" t="n">
        <v>45716</v>
      </c>
      <c r="AA45" s="41" t="n">
        <f aca="false">IF(ISNUMBER(Z45),(DATE(2026,10,13)-Z45)/365,"")</f>
        <v>1.62191780821918</v>
      </c>
      <c r="AB45" s="37" t="n">
        <v>12</v>
      </c>
      <c r="AC45" s="15" t="s">
        <v>465</v>
      </c>
      <c r="AD45" s="15" t="n">
        <v>0</v>
      </c>
      <c r="AE45" s="15" t="s">
        <v>466</v>
      </c>
      <c r="AF45" s="42" t="n">
        <v>0</v>
      </c>
      <c r="AG45" s="42" t="n">
        <v>0</v>
      </c>
      <c r="AH45" s="15" t="n">
        <v>0</v>
      </c>
      <c r="AI45" s="37"/>
      <c r="AJ45" s="37"/>
      <c r="AK45" s="15"/>
      <c r="AL45" s="43"/>
      <c r="AM45" s="43"/>
      <c r="AN45" s="25" t="str">
        <f aca="false">IF(AND(ISNUMBER(AM45),ISNUMBER(AL45),AL45&gt;=5),AM45/AL45,"")</f>
        <v/>
      </c>
      <c r="AO45" s="43"/>
      <c r="AP45" s="43"/>
      <c r="AQ45" s="25" t="str">
        <f aca="false">IF(AND(ISNUMBER(AP45),ISNUMBER(AO45),AO45&gt;=5),AP45/AO45,"")</f>
        <v/>
      </c>
      <c r="AR45" s="43"/>
      <c r="AS45" s="43"/>
      <c r="AT45" s="22" t="str">
        <f aca="false">IF(AND(ISNUMBER(AS45),ISNUMBER(AR45),AR45&gt;0),AS45/AR45-1,"")</f>
        <v/>
      </c>
      <c r="AU45" s="44"/>
      <c r="AV45" s="44"/>
      <c r="AW45" s="44"/>
      <c r="AX45" s="44"/>
      <c r="AY45" s="44"/>
      <c r="AZ45" s="45"/>
      <c r="BA45" s="45"/>
      <c r="BB45" s="46"/>
      <c r="BC45" s="46"/>
      <c r="BD45" s="23" t="str">
        <f aca="false">IF(AND(ISNUMBER(BB45),ISNUMBER(BC45),BB45&gt;0),1-BC45/BB45,"")</f>
        <v/>
      </c>
      <c r="BE45" s="47"/>
      <c r="BF45" s="48"/>
      <c r="BG45" s="48"/>
      <c r="BH45" s="27" t="str">
        <f aca="false">IF(AND(ISNUMBER(BF45),ISNUMBER(BG45),BG45&gt;0),BF45/BG45,"")</f>
        <v/>
      </c>
      <c r="BI45" s="48"/>
      <c r="BJ45" s="44"/>
      <c r="BK45" s="46"/>
      <c r="BL45" s="46"/>
      <c r="BM45" s="36" t="str">
        <f aca="false">IF(ISNUMBER(Q45),IF(Q45&lt;0,"YES","no"),"")</f>
        <v>no</v>
      </c>
      <c r="BN45" s="36" t="str">
        <f aca="false">IFERROR(IF(AND(ISNUMBER(K45),ISNUMBER(INDEX('Lift Inputs'!$H:$H,MATCH(C45,'Lift Inputs'!$C:$C,0)))),IF(K45&lt;INDEX('Lift Inputs'!$H:$H,MATCH(C45,'Lift Inputs'!$C:$C,0)),"YES","no"),""),"")</f>
        <v/>
      </c>
      <c r="BO45" s="44"/>
    </row>
    <row r="46" customFormat="false" ht="15" hidden="false" customHeight="false" outlineLevel="0" collapsed="false">
      <c r="A46" s="15" t="s">
        <v>37</v>
      </c>
      <c r="B46" s="15" t="s">
        <v>38</v>
      </c>
      <c r="C46" s="15" t="n">
        <v>59</v>
      </c>
      <c r="D46" s="15" t="s">
        <v>196</v>
      </c>
      <c r="E46" s="15" t="n">
        <v>5</v>
      </c>
      <c r="F46" s="15" t="s">
        <v>399</v>
      </c>
      <c r="G46" s="15" t="s">
        <v>469</v>
      </c>
      <c r="H46" s="15" t="s">
        <v>470</v>
      </c>
      <c r="I46" s="15" t="s">
        <v>407</v>
      </c>
      <c r="J46" s="15" t="s">
        <v>178</v>
      </c>
      <c r="K46" s="35" t="n">
        <v>109.99</v>
      </c>
      <c r="L46" s="35"/>
      <c r="M46" s="23" t="str">
        <f aca="false">IF(AND(ISNUMBER(L46),ISNUMBER(K46),K46&gt;0),L46/K46-1,"")</f>
        <v/>
      </c>
      <c r="N46" s="36" t="str">
        <f aca="false">IF(M46="","No List Price",IF(M46&lt;=0,"At/below price",IF(M46&lt;=0.12,"&lt;=12% (STR zone)",IF(M46&lt;=0.25,"12-25%","&gt;25% (likely ignored)"))))</f>
        <v>No List Price</v>
      </c>
      <c r="O46" s="15"/>
      <c r="P46" s="35" t="n">
        <v>80.6509589041096</v>
      </c>
      <c r="Q46" s="22" t="n">
        <f aca="false">IF(AND(ISNUMBER(K46),ISNUMBER(P46),N(P46)&gt;0),K46/P46-1,"")</f>
        <v>0.363777957442182</v>
      </c>
      <c r="R46" s="15" t="s">
        <v>353</v>
      </c>
      <c r="S46" s="37" t="n">
        <v>4355899</v>
      </c>
      <c r="T46" s="37" t="n">
        <v>5</v>
      </c>
      <c r="U46" s="38" t="n">
        <f aca="false">IF(AND(ISNUMBER(K46),ISNUMBER(T46)),K46*T46*52/12,"")</f>
        <v>2383.11666666667</v>
      </c>
      <c r="V46" s="15" t="n">
        <v>4.5</v>
      </c>
      <c r="W46" s="37" t="n">
        <v>2</v>
      </c>
      <c r="X46" s="39" t="n">
        <v>46307</v>
      </c>
      <c r="Y46" s="15"/>
      <c r="Z46" s="40"/>
      <c r="AA46" s="41" t="str">
        <f aca="false">IF(ISNUMBER(Z46),(DATE(2026,10,13)-Z46)/365,"")</f>
        <v/>
      </c>
      <c r="AB46" s="37"/>
      <c r="AC46" s="15"/>
      <c r="AD46" s="15"/>
      <c r="AE46" s="15"/>
      <c r="AF46" s="42"/>
      <c r="AG46" s="42"/>
      <c r="AH46" s="15"/>
      <c r="AI46" s="37"/>
      <c r="AJ46" s="37"/>
      <c r="AK46" s="15"/>
      <c r="AL46" s="43"/>
      <c r="AM46" s="43"/>
      <c r="AN46" s="25" t="str">
        <f aca="false">IF(AND(ISNUMBER(AM46),ISNUMBER(AL46),AL46&gt;=5),AM46/AL46,"")</f>
        <v/>
      </c>
      <c r="AO46" s="43"/>
      <c r="AP46" s="43"/>
      <c r="AQ46" s="25" t="str">
        <f aca="false">IF(AND(ISNUMBER(AP46),ISNUMBER(AO46),AO46&gt;=5),AP46/AO46,"")</f>
        <v/>
      </c>
      <c r="AR46" s="43"/>
      <c r="AS46" s="43"/>
      <c r="AT46" s="22" t="str">
        <f aca="false">IF(AND(ISNUMBER(AS46),ISNUMBER(AR46),AR46&gt;0),AS46/AR46-1,"")</f>
        <v/>
      </c>
      <c r="AU46" s="44"/>
      <c r="AV46" s="44"/>
      <c r="AW46" s="44"/>
      <c r="AX46" s="44"/>
      <c r="AY46" s="44"/>
      <c r="AZ46" s="45"/>
      <c r="BA46" s="45"/>
      <c r="BB46" s="46"/>
      <c r="BC46" s="46"/>
      <c r="BD46" s="23" t="str">
        <f aca="false">IF(AND(ISNUMBER(BB46),ISNUMBER(BC46),BB46&gt;0),1-BC46/BB46,"")</f>
        <v/>
      </c>
      <c r="BE46" s="47"/>
      <c r="BF46" s="48"/>
      <c r="BG46" s="48"/>
      <c r="BH46" s="27" t="str">
        <f aca="false">IF(AND(ISNUMBER(BF46),ISNUMBER(BG46),BG46&gt;0),BF46/BG46,"")</f>
        <v/>
      </c>
      <c r="BI46" s="48"/>
      <c r="BJ46" s="44"/>
      <c r="BK46" s="46"/>
      <c r="BL46" s="46"/>
      <c r="BM46" s="36" t="str">
        <f aca="false">IF(ISNUMBER(Q46),IF(Q46&lt;0,"YES","no"),"")</f>
        <v>no</v>
      </c>
      <c r="BN46" s="36" t="str">
        <f aca="false">IFERROR(IF(AND(ISNUMBER(K46),ISNUMBER(INDEX('Lift Inputs'!$H:$H,MATCH(C46,'Lift Inputs'!$C:$C,0)))),IF(K46&lt;INDEX('Lift Inputs'!$H:$H,MATCH(C46,'Lift Inputs'!$C:$C,0)),"YES","no"),""),"")</f>
        <v/>
      </c>
      <c r="BO46" s="44"/>
    </row>
    <row r="47" customFormat="false" ht="15" hidden="false" customHeight="false" outlineLevel="0" collapsed="false">
      <c r="A47" s="15" t="s">
        <v>37</v>
      </c>
      <c r="B47" s="15" t="s">
        <v>38</v>
      </c>
      <c r="C47" s="15" t="n">
        <v>59</v>
      </c>
      <c r="D47" s="15" t="s">
        <v>196</v>
      </c>
      <c r="E47" s="15" t="n">
        <v>23</v>
      </c>
      <c r="F47" s="15" t="s">
        <v>471</v>
      </c>
      <c r="G47" s="15" t="s">
        <v>472</v>
      </c>
      <c r="H47" s="15" t="s">
        <v>473</v>
      </c>
      <c r="I47" s="15" t="s">
        <v>474</v>
      </c>
      <c r="J47" s="15" t="s">
        <v>178</v>
      </c>
      <c r="K47" s="35" t="n">
        <v>174.3</v>
      </c>
      <c r="L47" s="35"/>
      <c r="M47" s="23" t="str">
        <f aca="false">IF(AND(ISNUMBER(L47),ISNUMBER(K47),K47&gt;0),L47/K47-1,"")</f>
        <v/>
      </c>
      <c r="N47" s="36" t="str">
        <f aca="false">IF(M47="","No List Price",IF(M47&lt;=0,"At/below price",IF(M47&lt;=0.12,"&lt;=12% (STR zone)",IF(M47&lt;=0.25,"12-25%","&gt;25% (likely ignored)"))))</f>
        <v>No List Price</v>
      </c>
      <c r="O47" s="15"/>
      <c r="P47" s="35" t="n">
        <v>80.6509589041096</v>
      </c>
      <c r="Q47" s="22" t="n">
        <f aca="false">IF(AND(ISNUMBER(K47),ISNUMBER(P47),N(P47)&gt;0),K47/P47-1,"")</f>
        <v>1.16116463298638</v>
      </c>
      <c r="R47" s="15" t="s">
        <v>353</v>
      </c>
      <c r="S47" s="37" t="n">
        <v>591414</v>
      </c>
      <c r="T47" s="37" t="n">
        <v>5</v>
      </c>
      <c r="U47" s="38" t="n">
        <f aca="false">IF(AND(ISNUMBER(K47),ISNUMBER(T47)),K47*T47*52/12,"")</f>
        <v>3776.5</v>
      </c>
      <c r="V47" s="15" t="n">
        <v>4.3</v>
      </c>
      <c r="W47" s="37" t="n">
        <v>35</v>
      </c>
      <c r="X47" s="39" t="n">
        <v>46307</v>
      </c>
      <c r="Y47" s="15"/>
      <c r="Z47" s="40"/>
      <c r="AA47" s="41" t="str">
        <f aca="false">IF(ISNUMBER(Z47),(DATE(2026,10,13)-Z47)/365,"")</f>
        <v/>
      </c>
      <c r="AB47" s="37"/>
      <c r="AC47" s="15"/>
      <c r="AD47" s="15"/>
      <c r="AE47" s="15"/>
      <c r="AF47" s="42"/>
      <c r="AG47" s="42"/>
      <c r="AH47" s="15"/>
      <c r="AI47" s="37"/>
      <c r="AJ47" s="37"/>
      <c r="AK47" s="15"/>
      <c r="AL47" s="43"/>
      <c r="AM47" s="43"/>
      <c r="AN47" s="25" t="str">
        <f aca="false">IF(AND(ISNUMBER(AM47),ISNUMBER(AL47),AL47&gt;=5),AM47/AL47,"")</f>
        <v/>
      </c>
      <c r="AO47" s="43"/>
      <c r="AP47" s="43"/>
      <c r="AQ47" s="25" t="str">
        <f aca="false">IF(AND(ISNUMBER(AP47),ISNUMBER(AO47),AO47&gt;=5),AP47/AO47,"")</f>
        <v/>
      </c>
      <c r="AR47" s="43"/>
      <c r="AS47" s="43"/>
      <c r="AT47" s="22" t="str">
        <f aca="false">IF(AND(ISNUMBER(AS47),ISNUMBER(AR47),AR47&gt;0),AS47/AR47-1,"")</f>
        <v/>
      </c>
      <c r="AU47" s="44"/>
      <c r="AV47" s="44"/>
      <c r="AW47" s="44"/>
      <c r="AX47" s="44"/>
      <c r="AY47" s="44"/>
      <c r="AZ47" s="45"/>
      <c r="BA47" s="45"/>
      <c r="BB47" s="46"/>
      <c r="BC47" s="46"/>
      <c r="BD47" s="23" t="str">
        <f aca="false">IF(AND(ISNUMBER(BB47),ISNUMBER(BC47),BB47&gt;0),1-BC47/BB47,"")</f>
        <v/>
      </c>
      <c r="BE47" s="47"/>
      <c r="BF47" s="48"/>
      <c r="BG47" s="48"/>
      <c r="BH47" s="27" t="str">
        <f aca="false">IF(AND(ISNUMBER(BF47),ISNUMBER(BG47),BG47&gt;0),BF47/BG47,"")</f>
        <v/>
      </c>
      <c r="BI47" s="48"/>
      <c r="BJ47" s="44"/>
      <c r="BK47" s="46"/>
      <c r="BL47" s="46"/>
      <c r="BM47" s="36" t="str">
        <f aca="false">IF(ISNUMBER(Q47),IF(Q47&lt;0,"YES","no"),"")</f>
        <v>no</v>
      </c>
      <c r="BN47" s="36" t="str">
        <f aca="false">IFERROR(IF(AND(ISNUMBER(K47),ISNUMBER(INDEX('Lift Inputs'!$H:$H,MATCH(C47,'Lift Inputs'!$C:$C,0)))),IF(K47&lt;INDEX('Lift Inputs'!$H:$H,MATCH(C47,'Lift Inputs'!$C:$C,0)),"YES","no"),""),"")</f>
        <v/>
      </c>
      <c r="BO47" s="44"/>
    </row>
    <row r="48" customFormat="false" ht="15" hidden="false" customHeight="false" outlineLevel="0" collapsed="false">
      <c r="A48" s="15" t="s">
        <v>37</v>
      </c>
      <c r="B48" s="15" t="s">
        <v>38</v>
      </c>
      <c r="C48" s="15" t="n">
        <v>59</v>
      </c>
      <c r="D48" s="15" t="s">
        <v>196</v>
      </c>
      <c r="E48" s="15" t="n">
        <v>1941</v>
      </c>
      <c r="F48" s="15" t="s">
        <v>475</v>
      </c>
      <c r="G48" s="15" t="s">
        <v>476</v>
      </c>
      <c r="H48" s="15" t="s">
        <v>477</v>
      </c>
      <c r="I48" s="15" t="s">
        <v>478</v>
      </c>
      <c r="J48" s="15"/>
      <c r="K48" s="35" t="n">
        <v>35.99</v>
      </c>
      <c r="L48" s="35"/>
      <c r="M48" s="23" t="str">
        <f aca="false">IF(AND(ISNUMBER(L48),ISNUMBER(K48),K48&gt;0),L48/K48-1,"")</f>
        <v/>
      </c>
      <c r="N48" s="36" t="str">
        <f aca="false">IF(M48="","No List Price",IF(M48&lt;=0,"At/below price",IF(M48&lt;=0.12,"&lt;=12% (STR zone)",IF(M48&lt;=0.25,"12-25%","&gt;25% (likely ignored)"))))</f>
        <v>No List Price</v>
      </c>
      <c r="O48" s="15" t="s">
        <v>320</v>
      </c>
      <c r="P48" s="35" t="n">
        <v>84.3167716535433</v>
      </c>
      <c r="Q48" s="22" t="n">
        <f aca="false">IF(AND(ISNUMBER(K48),ISNUMBER(P48),N(P48)&gt;0),K48/P48-1,"")</f>
        <v>-0.573157281829023</v>
      </c>
      <c r="R48" s="15" t="s">
        <v>321</v>
      </c>
      <c r="S48" s="37" t="n">
        <v>33018</v>
      </c>
      <c r="T48" s="37" t="n">
        <v>185</v>
      </c>
      <c r="U48" s="38" t="n">
        <f aca="false">IF(AND(ISNUMBER(K48),ISNUMBER(T48)),K48*T48*52/12,"")</f>
        <v>28851.9833333333</v>
      </c>
      <c r="V48" s="15" t="n">
        <v>4.6</v>
      </c>
      <c r="W48" s="37" t="n">
        <v>93</v>
      </c>
      <c r="X48" s="39" t="n">
        <v>46307</v>
      </c>
      <c r="Y48" s="15" t="n">
        <v>18</v>
      </c>
      <c r="Z48" s="40" t="n">
        <v>46014</v>
      </c>
      <c r="AA48" s="41" t="n">
        <f aca="false">IF(ISNUMBER(Z48),(DATE(2026,10,13)-Z48)/365,"")</f>
        <v>0.805479452054795</v>
      </c>
      <c r="AB48" s="37" t="n">
        <v>1963</v>
      </c>
      <c r="AC48" s="15" t="s">
        <v>313</v>
      </c>
      <c r="AD48" s="15" t="n">
        <v>1</v>
      </c>
      <c r="AE48" s="15" t="s">
        <v>331</v>
      </c>
      <c r="AF48" s="42" t="n">
        <v>0</v>
      </c>
      <c r="AG48" s="42" t="n">
        <v>0</v>
      </c>
      <c r="AH48" s="15" t="n">
        <v>250</v>
      </c>
      <c r="AI48" s="37"/>
      <c r="AJ48" s="37"/>
      <c r="AK48" s="15"/>
      <c r="AL48" s="43"/>
      <c r="AM48" s="43"/>
      <c r="AN48" s="25" t="str">
        <f aca="false">IF(AND(ISNUMBER(AM48),ISNUMBER(AL48),AL48&gt;=5),AM48/AL48,"")</f>
        <v/>
      </c>
      <c r="AO48" s="43"/>
      <c r="AP48" s="43"/>
      <c r="AQ48" s="25" t="str">
        <f aca="false">IF(AND(ISNUMBER(AP48),ISNUMBER(AO48),AO48&gt;=5),AP48/AO48,"")</f>
        <v/>
      </c>
      <c r="AR48" s="43"/>
      <c r="AS48" s="43"/>
      <c r="AT48" s="22" t="str">
        <f aca="false">IF(AND(ISNUMBER(AS48),ISNUMBER(AR48),AR48&gt;0),AS48/AR48-1,"")</f>
        <v/>
      </c>
      <c r="AU48" s="44"/>
      <c r="AV48" s="44"/>
      <c r="AW48" s="44"/>
      <c r="AX48" s="44"/>
      <c r="AY48" s="44"/>
      <c r="AZ48" s="45"/>
      <c r="BA48" s="45"/>
      <c r="BB48" s="46"/>
      <c r="BC48" s="46"/>
      <c r="BD48" s="23" t="str">
        <f aca="false">IF(AND(ISNUMBER(BB48),ISNUMBER(BC48),BB48&gt;0),1-BC48/BB48,"")</f>
        <v/>
      </c>
      <c r="BE48" s="47"/>
      <c r="BF48" s="48"/>
      <c r="BG48" s="48"/>
      <c r="BH48" s="27" t="str">
        <f aca="false">IF(AND(ISNUMBER(BF48),ISNUMBER(BG48),BG48&gt;0),BF48/BG48,"")</f>
        <v/>
      </c>
      <c r="BI48" s="48"/>
      <c r="BJ48" s="44"/>
      <c r="BK48" s="46"/>
      <c r="BL48" s="46"/>
      <c r="BM48" s="36" t="str">
        <f aca="false">IF(ISNUMBER(Q48),IF(Q48&lt;0,"YES","no"),"")</f>
        <v>YES</v>
      </c>
      <c r="BN48" s="36" t="str">
        <f aca="false">IFERROR(IF(AND(ISNUMBER(K48),ISNUMBER(INDEX('Lift Inputs'!$H:$H,MATCH(C48,'Lift Inputs'!$C:$C,0)))),IF(K48&lt;INDEX('Lift Inputs'!$H:$H,MATCH(C48,'Lift Inputs'!$C:$C,0)),"YES","no"),""),"")</f>
        <v/>
      </c>
      <c r="BO48" s="44"/>
    </row>
    <row r="49" customFormat="false" ht="15" hidden="false" customHeight="false" outlineLevel="0" collapsed="false">
      <c r="A49" s="15" t="s">
        <v>37</v>
      </c>
      <c r="B49" s="15" t="s">
        <v>38</v>
      </c>
      <c r="C49" s="15" t="n">
        <v>59</v>
      </c>
      <c r="D49" s="15" t="s">
        <v>196</v>
      </c>
      <c r="E49" s="15" t="n">
        <v>1946</v>
      </c>
      <c r="F49" s="15" t="s">
        <v>479</v>
      </c>
      <c r="G49" s="15" t="s">
        <v>480</v>
      </c>
      <c r="H49" s="15" t="s">
        <v>481</v>
      </c>
      <c r="I49" s="15" t="s">
        <v>482</v>
      </c>
      <c r="J49" s="15"/>
      <c r="K49" s="35" t="n">
        <v>29.99</v>
      </c>
      <c r="L49" s="35"/>
      <c r="M49" s="23" t="str">
        <f aca="false">IF(AND(ISNUMBER(L49),ISNUMBER(K49),K49&gt;0),L49/K49-1,"")</f>
        <v/>
      </c>
      <c r="N49" s="36" t="str">
        <f aca="false">IF(M49="","No List Price",IF(M49&lt;=0,"At/below price",IF(M49&lt;=0.12,"&lt;=12% (STR zone)",IF(M49&lt;=0.25,"12-25%","&gt;25% (likely ignored)"))))</f>
        <v>No List Price</v>
      </c>
      <c r="O49" s="15" t="s">
        <v>311</v>
      </c>
      <c r="P49" s="35" t="n">
        <v>80.6509589041096</v>
      </c>
      <c r="Q49" s="22" t="n">
        <f aca="false">IF(AND(ISNUMBER(K49),ISNUMBER(P49),N(P49)&gt;0),K49/P49-1,"")</f>
        <v>-0.628150732396663</v>
      </c>
      <c r="R49" s="15" t="s">
        <v>312</v>
      </c>
      <c r="S49" s="37" t="n">
        <v>21965</v>
      </c>
      <c r="T49" s="37" t="n">
        <v>173</v>
      </c>
      <c r="U49" s="38" t="n">
        <f aca="false">IF(AND(ISNUMBER(K49),ISNUMBER(T49)),K49*T49*52/12,"")</f>
        <v>22482.5033333333</v>
      </c>
      <c r="V49" s="15" t="n">
        <v>4</v>
      </c>
      <c r="W49" s="37" t="n">
        <v>36</v>
      </c>
      <c r="X49" s="39" t="n">
        <v>46307</v>
      </c>
      <c r="Y49" s="15"/>
      <c r="Z49" s="40"/>
      <c r="AA49" s="41" t="str">
        <f aca="false">IF(ISNUMBER(Z49),(DATE(2026,10,13)-Z49)/365,"")</f>
        <v/>
      </c>
      <c r="AB49" s="37"/>
      <c r="AC49" s="15"/>
      <c r="AD49" s="15"/>
      <c r="AE49" s="15"/>
      <c r="AF49" s="42"/>
      <c r="AG49" s="42"/>
      <c r="AH49" s="15"/>
      <c r="AI49" s="37"/>
      <c r="AJ49" s="37"/>
      <c r="AK49" s="15"/>
      <c r="AL49" s="43"/>
      <c r="AM49" s="43"/>
      <c r="AN49" s="25" t="str">
        <f aca="false">IF(AND(ISNUMBER(AM49),ISNUMBER(AL49),AL49&gt;=5),AM49/AL49,"")</f>
        <v/>
      </c>
      <c r="AO49" s="43"/>
      <c r="AP49" s="43"/>
      <c r="AQ49" s="25" t="str">
        <f aca="false">IF(AND(ISNUMBER(AP49),ISNUMBER(AO49),AO49&gt;=5),AP49/AO49,"")</f>
        <v/>
      </c>
      <c r="AR49" s="43"/>
      <c r="AS49" s="43"/>
      <c r="AT49" s="22" t="str">
        <f aca="false">IF(AND(ISNUMBER(AS49),ISNUMBER(AR49),AR49&gt;0),AS49/AR49-1,"")</f>
        <v/>
      </c>
      <c r="AU49" s="44"/>
      <c r="AV49" s="44"/>
      <c r="AW49" s="44"/>
      <c r="AX49" s="44"/>
      <c r="AY49" s="44"/>
      <c r="AZ49" s="45"/>
      <c r="BA49" s="45"/>
      <c r="BB49" s="46"/>
      <c r="BC49" s="46"/>
      <c r="BD49" s="23" t="str">
        <f aca="false">IF(AND(ISNUMBER(BB49),ISNUMBER(BC49),BB49&gt;0),1-BC49/BB49,"")</f>
        <v/>
      </c>
      <c r="BE49" s="47"/>
      <c r="BF49" s="48"/>
      <c r="BG49" s="48"/>
      <c r="BH49" s="27" t="str">
        <f aca="false">IF(AND(ISNUMBER(BF49),ISNUMBER(BG49),BG49&gt;0),BF49/BG49,"")</f>
        <v/>
      </c>
      <c r="BI49" s="48"/>
      <c r="BJ49" s="44"/>
      <c r="BK49" s="46"/>
      <c r="BL49" s="46"/>
      <c r="BM49" s="36" t="str">
        <f aca="false">IF(ISNUMBER(Q49),IF(Q49&lt;0,"YES","no"),"")</f>
        <v>YES</v>
      </c>
      <c r="BN49" s="36" t="str">
        <f aca="false">IFERROR(IF(AND(ISNUMBER(K49),ISNUMBER(INDEX('Lift Inputs'!$H:$H,MATCH(C49,'Lift Inputs'!$C:$C,0)))),IF(K49&lt;INDEX('Lift Inputs'!$H:$H,MATCH(C49,'Lift Inputs'!$C:$C,0)),"YES","no"),""),"")</f>
        <v/>
      </c>
      <c r="BO49" s="44"/>
    </row>
    <row r="50" customFormat="false" ht="15" hidden="false" customHeight="false" outlineLevel="0" collapsed="false">
      <c r="A50" s="15" t="s">
        <v>37</v>
      </c>
      <c r="B50" s="15" t="s">
        <v>38</v>
      </c>
      <c r="C50" s="15" t="n">
        <v>59</v>
      </c>
      <c r="D50" s="15" t="s">
        <v>196</v>
      </c>
      <c r="E50" s="15" t="n">
        <v>1942</v>
      </c>
      <c r="F50" s="15" t="s">
        <v>483</v>
      </c>
      <c r="G50" s="15" t="s">
        <v>484</v>
      </c>
      <c r="H50" s="15" t="s">
        <v>485</v>
      </c>
      <c r="I50" s="15" t="s">
        <v>486</v>
      </c>
      <c r="J50" s="15"/>
      <c r="K50" s="35" t="n">
        <v>49.99</v>
      </c>
      <c r="L50" s="35"/>
      <c r="M50" s="23" t="str">
        <f aca="false">IF(AND(ISNUMBER(L50),ISNUMBER(K50),K50&gt;0),L50/K50-1,"")</f>
        <v/>
      </c>
      <c r="N50" s="36" t="str">
        <f aca="false">IF(M50="","No List Price",IF(M50&lt;=0,"At/below price",IF(M50&lt;=0.12,"&lt;=12% (STR zone)",IF(M50&lt;=0.25,"12-25%","&gt;25% (likely ignored)"))))</f>
        <v>No List Price</v>
      </c>
      <c r="O50" s="15" t="s">
        <v>311</v>
      </c>
      <c r="P50" s="35" t="n">
        <v>80.6509589041096</v>
      </c>
      <c r="Q50" s="22" t="n">
        <f aca="false">IF(AND(ISNUMBER(K50),ISNUMBER(P50),N(P50)&gt;0),K50/P50-1,"")</f>
        <v>-0.380168559936951</v>
      </c>
      <c r="R50" s="15" t="s">
        <v>312</v>
      </c>
      <c r="S50" s="37" t="n">
        <v>2554</v>
      </c>
      <c r="T50" s="37" t="n">
        <v>173</v>
      </c>
      <c r="U50" s="38" t="n">
        <f aca="false">IF(AND(ISNUMBER(K50),ISNUMBER(T50)),K50*T50*52/12,"")</f>
        <v>37475.8366666667</v>
      </c>
      <c r="V50" s="15" t="n">
        <v>4.4</v>
      </c>
      <c r="W50" s="37" t="n">
        <v>1169</v>
      </c>
      <c r="X50" s="39" t="n">
        <v>46307</v>
      </c>
      <c r="Y50" s="15" t="n">
        <v>58</v>
      </c>
      <c r="Z50" s="40" t="n">
        <v>45575</v>
      </c>
      <c r="AA50" s="41" t="n">
        <f aca="false">IF(ISNUMBER(Z50),(DATE(2026,10,13)-Z50)/365,"")</f>
        <v>2.00821917808219</v>
      </c>
      <c r="AB50" s="37" t="n">
        <v>6444</v>
      </c>
      <c r="AC50" s="15" t="s">
        <v>313</v>
      </c>
      <c r="AD50" s="15" t="n">
        <v>1</v>
      </c>
      <c r="AE50" s="15" t="s">
        <v>314</v>
      </c>
      <c r="AF50" s="42" t="n">
        <v>0.024</v>
      </c>
      <c r="AG50" s="42" t="n">
        <v>0</v>
      </c>
      <c r="AH50" s="15" t="n">
        <v>403</v>
      </c>
      <c r="AI50" s="37"/>
      <c r="AJ50" s="37"/>
      <c r="AK50" s="15"/>
      <c r="AL50" s="43"/>
      <c r="AM50" s="43"/>
      <c r="AN50" s="25" t="str">
        <f aca="false">IF(AND(ISNUMBER(AM50),ISNUMBER(AL50),AL50&gt;=5),AM50/AL50,"")</f>
        <v/>
      </c>
      <c r="AO50" s="43"/>
      <c r="AP50" s="43"/>
      <c r="AQ50" s="25" t="str">
        <f aca="false">IF(AND(ISNUMBER(AP50),ISNUMBER(AO50),AO50&gt;=5),AP50/AO50,"")</f>
        <v/>
      </c>
      <c r="AR50" s="43"/>
      <c r="AS50" s="43"/>
      <c r="AT50" s="22" t="str">
        <f aca="false">IF(AND(ISNUMBER(AS50),ISNUMBER(AR50),AR50&gt;0),AS50/AR50-1,"")</f>
        <v/>
      </c>
      <c r="AU50" s="44"/>
      <c r="AV50" s="44"/>
      <c r="AW50" s="44"/>
      <c r="AX50" s="44"/>
      <c r="AY50" s="44"/>
      <c r="AZ50" s="45"/>
      <c r="BA50" s="45"/>
      <c r="BB50" s="46"/>
      <c r="BC50" s="46"/>
      <c r="BD50" s="23" t="str">
        <f aca="false">IF(AND(ISNUMBER(BB50),ISNUMBER(BC50),BB50&gt;0),1-BC50/BB50,"")</f>
        <v/>
      </c>
      <c r="BE50" s="47"/>
      <c r="BF50" s="48"/>
      <c r="BG50" s="48"/>
      <c r="BH50" s="27" t="str">
        <f aca="false">IF(AND(ISNUMBER(BF50),ISNUMBER(BG50),BG50&gt;0),BF50/BG50,"")</f>
        <v/>
      </c>
      <c r="BI50" s="48"/>
      <c r="BJ50" s="44"/>
      <c r="BK50" s="46"/>
      <c r="BL50" s="46"/>
      <c r="BM50" s="36" t="str">
        <f aca="false">IF(ISNUMBER(Q50),IF(Q50&lt;0,"YES","no"),"")</f>
        <v>YES</v>
      </c>
      <c r="BN50" s="36" t="str">
        <f aca="false">IFERROR(IF(AND(ISNUMBER(K50),ISNUMBER(INDEX('Lift Inputs'!$H:$H,MATCH(C50,'Lift Inputs'!$C:$C,0)))),IF(K50&lt;INDEX('Lift Inputs'!$H:$H,MATCH(C50,'Lift Inputs'!$C:$C,0)),"YES","no"),""),"")</f>
        <v/>
      </c>
      <c r="BO50" s="44"/>
    </row>
    <row r="51" customFormat="false" ht="15" hidden="false" customHeight="false" outlineLevel="0" collapsed="false">
      <c r="A51" s="15" t="s">
        <v>37</v>
      </c>
      <c r="B51" s="15" t="s">
        <v>38</v>
      </c>
      <c r="C51" s="15" t="n">
        <v>59</v>
      </c>
      <c r="D51" s="15" t="s">
        <v>196</v>
      </c>
      <c r="E51" s="15" t="n">
        <v>1940</v>
      </c>
      <c r="F51" s="15" t="s">
        <v>438</v>
      </c>
      <c r="G51" s="15" t="s">
        <v>487</v>
      </c>
      <c r="H51" s="15" t="s">
        <v>488</v>
      </c>
      <c r="I51" s="15" t="s">
        <v>489</v>
      </c>
      <c r="J51" s="15"/>
      <c r="K51" s="35" t="n">
        <v>34.99</v>
      </c>
      <c r="L51" s="35"/>
      <c r="M51" s="23" t="str">
        <f aca="false">IF(AND(ISNUMBER(L51),ISNUMBER(K51),K51&gt;0),L51/K51-1,"")</f>
        <v/>
      </c>
      <c r="N51" s="36" t="str">
        <f aca="false">IF(M51="","No List Price",IF(M51&lt;=0,"At/below price",IF(M51&lt;=0.12,"&lt;=12% (STR zone)",IF(M51&lt;=0.25,"12-25%","&gt;25% (likely ignored)"))))</f>
        <v>No List Price</v>
      </c>
      <c r="O51" s="15" t="s">
        <v>311</v>
      </c>
      <c r="P51" s="35" t="n">
        <v>80.6509589041096</v>
      </c>
      <c r="Q51" s="22" t="n">
        <f aca="false">IF(AND(ISNUMBER(K51),ISNUMBER(P51),N(P51)&gt;0),K51/P51-1,"")</f>
        <v>-0.566155189281735</v>
      </c>
      <c r="R51" s="15" t="s">
        <v>312</v>
      </c>
      <c r="S51" s="37" t="n">
        <v>5396</v>
      </c>
      <c r="T51" s="37" t="n">
        <v>173</v>
      </c>
      <c r="U51" s="38" t="n">
        <f aca="false">IF(AND(ISNUMBER(K51),ISNUMBER(T51)),K51*T51*52/12,"")</f>
        <v>26230.8366666667</v>
      </c>
      <c r="V51" s="15" t="n">
        <v>4.3</v>
      </c>
      <c r="W51" s="37" t="n">
        <v>24352</v>
      </c>
      <c r="X51" s="39" t="n">
        <v>46307</v>
      </c>
      <c r="Y51" s="15"/>
      <c r="Z51" s="40"/>
      <c r="AA51" s="41" t="str">
        <f aca="false">IF(ISNUMBER(Z51),(DATE(2026,10,13)-Z51)/365,"")</f>
        <v/>
      </c>
      <c r="AB51" s="37"/>
      <c r="AC51" s="15"/>
      <c r="AD51" s="15"/>
      <c r="AE51" s="15"/>
      <c r="AF51" s="42"/>
      <c r="AG51" s="42"/>
      <c r="AH51" s="15"/>
      <c r="AI51" s="37" t="n">
        <v>135323</v>
      </c>
      <c r="AJ51" s="37" t="n">
        <v>1187</v>
      </c>
      <c r="AK51" s="15" t="s">
        <v>315</v>
      </c>
      <c r="AL51" s="43" t="n">
        <v>0</v>
      </c>
      <c r="AM51" s="43" t="n">
        <v>0</v>
      </c>
      <c r="AN51" s="25" t="str">
        <f aca="false">IF(AND(ISNUMBER(AM51),ISNUMBER(AL51),AL51&gt;=5),AM51/AL51,"")</f>
        <v/>
      </c>
      <c r="AO51" s="43" t="n">
        <v>0</v>
      </c>
      <c r="AP51" s="43" t="n">
        <v>0</v>
      </c>
      <c r="AQ51" s="25" t="str">
        <f aca="false">IF(AND(ISNUMBER(AP51),ISNUMBER(AO51),AO51&gt;=5),AP51/AO51,"")</f>
        <v/>
      </c>
      <c r="AR51" s="43" t="n">
        <v>23.9</v>
      </c>
      <c r="AS51" s="43" t="n">
        <v>1.2</v>
      </c>
      <c r="AT51" s="22" t="n">
        <f aca="false">IF(AND(ISNUMBER(AS51),ISNUMBER(AR51),AR51&gt;0),AS51/AR51-1,"")</f>
        <v>-0.94979079497908</v>
      </c>
      <c r="AU51" s="44"/>
      <c r="AV51" s="44"/>
      <c r="AW51" s="44"/>
      <c r="AX51" s="44"/>
      <c r="AY51" s="44"/>
      <c r="AZ51" s="45"/>
      <c r="BA51" s="45"/>
      <c r="BB51" s="46"/>
      <c r="BC51" s="46"/>
      <c r="BD51" s="23" t="str">
        <f aca="false">IF(AND(ISNUMBER(BB51),ISNUMBER(BC51),BB51&gt;0),1-BC51/BB51,"")</f>
        <v/>
      </c>
      <c r="BE51" s="47"/>
      <c r="BF51" s="48"/>
      <c r="BG51" s="48"/>
      <c r="BH51" s="27" t="str">
        <f aca="false">IF(AND(ISNUMBER(BF51),ISNUMBER(BG51),BG51&gt;0),BF51/BG51,"")</f>
        <v/>
      </c>
      <c r="BI51" s="48"/>
      <c r="BJ51" s="44"/>
      <c r="BK51" s="46"/>
      <c r="BL51" s="46"/>
      <c r="BM51" s="36" t="str">
        <f aca="false">IF(ISNUMBER(Q51),IF(Q51&lt;0,"YES","no"),"")</f>
        <v>YES</v>
      </c>
      <c r="BN51" s="36" t="str">
        <f aca="false">IFERROR(IF(AND(ISNUMBER(K51),ISNUMBER(INDEX('Lift Inputs'!$H:$H,MATCH(C51,'Lift Inputs'!$C:$C,0)))),IF(K51&lt;INDEX('Lift Inputs'!$H:$H,MATCH(C51,'Lift Inputs'!$C:$C,0)),"YES","no"),""),"")</f>
        <v/>
      </c>
      <c r="BO51" s="44"/>
    </row>
    <row r="52" customFormat="false" ht="15" hidden="false" customHeight="false" outlineLevel="0" collapsed="false">
      <c r="A52" s="15" t="s">
        <v>37</v>
      </c>
      <c r="B52" s="15" t="s">
        <v>38</v>
      </c>
      <c r="C52" s="15" t="n">
        <v>59</v>
      </c>
      <c r="D52" s="15" t="s">
        <v>196</v>
      </c>
      <c r="E52" s="15" t="n">
        <v>1951</v>
      </c>
      <c r="F52" s="15" t="s">
        <v>490</v>
      </c>
      <c r="G52" s="15" t="s">
        <v>491</v>
      </c>
      <c r="H52" s="15" t="s">
        <v>492</v>
      </c>
      <c r="I52" s="15" t="s">
        <v>493</v>
      </c>
      <c r="J52" s="15"/>
      <c r="K52" s="35" t="n">
        <v>89.95</v>
      </c>
      <c r="L52" s="35"/>
      <c r="M52" s="23" t="str">
        <f aca="false">IF(AND(ISNUMBER(L52),ISNUMBER(K52),K52&gt;0),L52/K52-1,"")</f>
        <v/>
      </c>
      <c r="N52" s="36" t="str">
        <f aca="false">IF(M52="","No List Price",IF(M52&lt;=0,"At/below price",IF(M52&lt;=0.12,"&lt;=12% (STR zone)",IF(M52&lt;=0.25,"12-25%","&gt;25% (likely ignored)"))))</f>
        <v>No List Price</v>
      </c>
      <c r="O52" s="15"/>
      <c r="P52" s="35" t="n">
        <v>80.6509589041096</v>
      </c>
      <c r="Q52" s="22" t="n">
        <f aca="false">IF(AND(ISNUMBER(K52),ISNUMBER(P52),N(P52)&gt;0),K52/P52-1,"")</f>
        <v>0.115299820637552</v>
      </c>
      <c r="R52" s="15" t="s">
        <v>353</v>
      </c>
      <c r="S52" s="37" t="n">
        <v>20356</v>
      </c>
      <c r="T52" s="37" t="n">
        <v>35</v>
      </c>
      <c r="U52" s="38" t="n">
        <f aca="false">IF(AND(ISNUMBER(K52),ISNUMBER(T52)),K52*T52*52/12,"")</f>
        <v>13642.4166666667</v>
      </c>
      <c r="V52" s="15" t="n">
        <v>4.3</v>
      </c>
      <c r="W52" s="37" t="n">
        <v>7941</v>
      </c>
      <c r="X52" s="39" t="n">
        <v>46307</v>
      </c>
      <c r="Y52" s="15" t="n">
        <v>77</v>
      </c>
      <c r="Z52" s="40" t="n">
        <v>45344</v>
      </c>
      <c r="AA52" s="41" t="n">
        <f aca="false">IF(ISNUMBER(Z52),(DATE(2026,10,13)-Z52)/365,"")</f>
        <v>2.64109589041096</v>
      </c>
      <c r="AB52" s="37" t="n">
        <v>3019</v>
      </c>
      <c r="AC52" s="15" t="s">
        <v>313</v>
      </c>
      <c r="AD52" s="15" t="n">
        <v>2</v>
      </c>
      <c r="AE52" s="15" t="s">
        <v>314</v>
      </c>
      <c r="AF52" s="42" t="n">
        <v>0</v>
      </c>
      <c r="AG52" s="42" t="n">
        <v>0</v>
      </c>
      <c r="AH52" s="15" t="n">
        <v>41</v>
      </c>
      <c r="AI52" s="37"/>
      <c r="AJ52" s="37"/>
      <c r="AK52" s="15"/>
      <c r="AL52" s="43"/>
      <c r="AM52" s="43"/>
      <c r="AN52" s="25" t="str">
        <f aca="false">IF(AND(ISNUMBER(AM52),ISNUMBER(AL52),AL52&gt;=5),AM52/AL52,"")</f>
        <v/>
      </c>
      <c r="AO52" s="43"/>
      <c r="AP52" s="43"/>
      <c r="AQ52" s="25" t="str">
        <f aca="false">IF(AND(ISNUMBER(AP52),ISNUMBER(AO52),AO52&gt;=5),AP52/AO52,"")</f>
        <v/>
      </c>
      <c r="AR52" s="43"/>
      <c r="AS52" s="43"/>
      <c r="AT52" s="22" t="str">
        <f aca="false">IF(AND(ISNUMBER(AS52),ISNUMBER(AR52),AR52&gt;0),AS52/AR52-1,"")</f>
        <v/>
      </c>
      <c r="AU52" s="44"/>
      <c r="AV52" s="44"/>
      <c r="AW52" s="44"/>
      <c r="AX52" s="44"/>
      <c r="AY52" s="44"/>
      <c r="AZ52" s="45"/>
      <c r="BA52" s="45"/>
      <c r="BB52" s="46"/>
      <c r="BC52" s="46"/>
      <c r="BD52" s="23" t="str">
        <f aca="false">IF(AND(ISNUMBER(BB52),ISNUMBER(BC52),BB52&gt;0),1-BC52/BB52,"")</f>
        <v/>
      </c>
      <c r="BE52" s="47"/>
      <c r="BF52" s="48"/>
      <c r="BG52" s="48"/>
      <c r="BH52" s="27" t="str">
        <f aca="false">IF(AND(ISNUMBER(BF52),ISNUMBER(BG52),BG52&gt;0),BF52/BG52,"")</f>
        <v/>
      </c>
      <c r="BI52" s="48"/>
      <c r="BJ52" s="44"/>
      <c r="BK52" s="46"/>
      <c r="BL52" s="46"/>
      <c r="BM52" s="36" t="str">
        <f aca="false">IF(ISNUMBER(Q52),IF(Q52&lt;0,"YES","no"),"")</f>
        <v>no</v>
      </c>
      <c r="BN52" s="36" t="str">
        <f aca="false">IFERROR(IF(AND(ISNUMBER(K52),ISNUMBER(INDEX('Lift Inputs'!$H:$H,MATCH(C52,'Lift Inputs'!$C:$C,0)))),IF(K52&lt;INDEX('Lift Inputs'!$H:$H,MATCH(C52,'Lift Inputs'!$C:$C,0)),"YES","no"),""),"")</f>
        <v/>
      </c>
      <c r="BO52" s="44"/>
    </row>
    <row r="53" customFormat="false" ht="15" hidden="false" customHeight="false" outlineLevel="0" collapsed="false">
      <c r="A53" s="15" t="s">
        <v>37</v>
      </c>
      <c r="B53" s="15" t="s">
        <v>38</v>
      </c>
      <c r="C53" s="15" t="n">
        <v>59</v>
      </c>
      <c r="D53" s="15" t="s">
        <v>196</v>
      </c>
      <c r="E53" s="15" t="n">
        <v>763</v>
      </c>
      <c r="F53" s="15" t="s">
        <v>494</v>
      </c>
      <c r="G53" s="15" t="s">
        <v>495</v>
      </c>
      <c r="H53" s="15" t="s">
        <v>496</v>
      </c>
      <c r="I53" s="15" t="s">
        <v>497</v>
      </c>
      <c r="J53" s="15"/>
      <c r="K53" s="35" t="n">
        <v>36.99</v>
      </c>
      <c r="L53" s="35"/>
      <c r="M53" s="23" t="str">
        <f aca="false">IF(AND(ISNUMBER(L53),ISNUMBER(K53),K53&gt;0),L53/K53-1,"")</f>
        <v/>
      </c>
      <c r="N53" s="36" t="str">
        <f aca="false">IF(M53="","No List Price",IF(M53&lt;=0,"At/below price",IF(M53&lt;=0.12,"&lt;=12% (STR zone)",IF(M53&lt;=0.25,"12-25%","&gt;25% (likely ignored)"))))</f>
        <v>No List Price</v>
      </c>
      <c r="O53" s="15" t="s">
        <v>311</v>
      </c>
      <c r="P53" s="35" t="n">
        <v>80.6509589041096</v>
      </c>
      <c r="Q53" s="22" t="n">
        <f aca="false">IF(AND(ISNUMBER(K53),ISNUMBER(P53),N(P53)&gt;0),K53/P53-1,"")</f>
        <v>-0.541356972035764</v>
      </c>
      <c r="R53" s="15" t="s">
        <v>312</v>
      </c>
      <c r="S53" s="37" t="n">
        <v>30653</v>
      </c>
      <c r="T53" s="37" t="n">
        <v>35</v>
      </c>
      <c r="U53" s="38" t="n">
        <f aca="false">IF(AND(ISNUMBER(K53),ISNUMBER(T53)),K53*T53*52/12,"")</f>
        <v>5610.15</v>
      </c>
      <c r="V53" s="15" t="n">
        <v>4.4</v>
      </c>
      <c r="W53" s="37" t="n">
        <v>616</v>
      </c>
      <c r="X53" s="39" t="n">
        <v>46307</v>
      </c>
      <c r="Y53" s="15" t="n">
        <v>65</v>
      </c>
      <c r="Z53" s="40" t="n">
        <v>45593</v>
      </c>
      <c r="AA53" s="41" t="n">
        <f aca="false">IF(ISNUMBER(Z53),(DATE(2026,10,13)-Z53)/365,"")</f>
        <v>1.95890410958904</v>
      </c>
      <c r="AB53" s="37" t="n">
        <v>1480</v>
      </c>
      <c r="AC53" s="15" t="s">
        <v>313</v>
      </c>
      <c r="AD53" s="15" t="n">
        <v>1</v>
      </c>
      <c r="AE53" s="15" t="s">
        <v>336</v>
      </c>
      <c r="AF53" s="42" t="n">
        <v>0</v>
      </c>
      <c r="AG53" s="42" t="n">
        <v>0</v>
      </c>
      <c r="AH53" s="15" t="n">
        <v>212</v>
      </c>
      <c r="AI53" s="37"/>
      <c r="AJ53" s="37"/>
      <c r="AK53" s="15"/>
      <c r="AL53" s="43"/>
      <c r="AM53" s="43"/>
      <c r="AN53" s="25" t="str">
        <f aca="false">IF(AND(ISNUMBER(AM53),ISNUMBER(AL53),AL53&gt;=5),AM53/AL53,"")</f>
        <v/>
      </c>
      <c r="AO53" s="43"/>
      <c r="AP53" s="43"/>
      <c r="AQ53" s="25" t="str">
        <f aca="false">IF(AND(ISNUMBER(AP53),ISNUMBER(AO53),AO53&gt;=5),AP53/AO53,"")</f>
        <v/>
      </c>
      <c r="AR53" s="43"/>
      <c r="AS53" s="43"/>
      <c r="AT53" s="22" t="str">
        <f aca="false">IF(AND(ISNUMBER(AS53),ISNUMBER(AR53),AR53&gt;0),AS53/AR53-1,"")</f>
        <v/>
      </c>
      <c r="AU53" s="44"/>
      <c r="AV53" s="44"/>
      <c r="AW53" s="44"/>
      <c r="AX53" s="44"/>
      <c r="AY53" s="44"/>
      <c r="AZ53" s="45"/>
      <c r="BA53" s="45"/>
      <c r="BB53" s="46"/>
      <c r="BC53" s="46"/>
      <c r="BD53" s="23" t="str">
        <f aca="false">IF(AND(ISNUMBER(BB53),ISNUMBER(BC53),BB53&gt;0),1-BC53/BB53,"")</f>
        <v/>
      </c>
      <c r="BE53" s="47"/>
      <c r="BF53" s="48"/>
      <c r="BG53" s="48"/>
      <c r="BH53" s="27" t="str">
        <f aca="false">IF(AND(ISNUMBER(BF53),ISNUMBER(BG53),BG53&gt;0),BF53/BG53,"")</f>
        <v/>
      </c>
      <c r="BI53" s="48"/>
      <c r="BJ53" s="44"/>
      <c r="BK53" s="46"/>
      <c r="BL53" s="46"/>
      <c r="BM53" s="36" t="str">
        <f aca="false">IF(ISNUMBER(Q53),IF(Q53&lt;0,"YES","no"),"")</f>
        <v>YES</v>
      </c>
      <c r="BN53" s="36" t="str">
        <f aca="false">IFERROR(IF(AND(ISNUMBER(K53),ISNUMBER(INDEX('Lift Inputs'!$H:$H,MATCH(C53,'Lift Inputs'!$C:$C,0)))),IF(K53&lt;INDEX('Lift Inputs'!$H:$H,MATCH(C53,'Lift Inputs'!$C:$C,0)),"YES","no"),""),"")</f>
        <v/>
      </c>
      <c r="BO53" s="44"/>
    </row>
    <row r="54" customFormat="false" ht="15" hidden="false" customHeight="false" outlineLevel="0" collapsed="false">
      <c r="A54" s="15" t="s">
        <v>37</v>
      </c>
      <c r="B54" s="15" t="s">
        <v>38</v>
      </c>
      <c r="C54" s="15" t="n">
        <v>59</v>
      </c>
      <c r="D54" s="15" t="s">
        <v>196</v>
      </c>
      <c r="E54" s="15" t="n">
        <v>1938</v>
      </c>
      <c r="F54" s="15" t="s">
        <v>498</v>
      </c>
      <c r="G54" s="15" t="s">
        <v>499</v>
      </c>
      <c r="H54" s="15" t="s">
        <v>500</v>
      </c>
      <c r="I54" s="15" t="s">
        <v>501</v>
      </c>
      <c r="J54" s="15"/>
      <c r="K54" s="35" t="n">
        <v>38.39</v>
      </c>
      <c r="L54" s="35" t="n">
        <v>47.99</v>
      </c>
      <c r="M54" s="23" t="n">
        <f aca="false">IF(AND(ISNUMBER(L54),ISNUMBER(K54),K54&gt;0),L54/K54-1,"")</f>
        <v>0.250065121125293</v>
      </c>
      <c r="N54" s="36" t="str">
        <f aca="false">IF(M54="","No List Price",IF(M54&lt;=0,"At/below price",IF(M54&lt;=0.12,"&lt;=12% (STR zone)",IF(M54&lt;=0.25,"12-25%","&gt;25% (likely ignored)"))))</f>
        <v>&gt;25% (likely ignored)</v>
      </c>
      <c r="O54" s="15" t="s">
        <v>320</v>
      </c>
      <c r="P54" s="35" t="n">
        <v>84.3167716535433</v>
      </c>
      <c r="Q54" s="22" t="n">
        <f aca="false">IF(AND(ISNUMBER(K54),ISNUMBER(P54),N(P54)&gt;0),K54/P54-1,"")</f>
        <v>-0.544693193926541</v>
      </c>
      <c r="R54" s="15" t="s">
        <v>321</v>
      </c>
      <c r="S54" s="37" t="n">
        <v>64915</v>
      </c>
      <c r="T54" s="37" t="n">
        <v>18</v>
      </c>
      <c r="U54" s="38" t="n">
        <f aca="false">IF(AND(ISNUMBER(K54),ISNUMBER(T54)),K54*T54*52/12,"")</f>
        <v>2994.42</v>
      </c>
      <c r="V54" s="15" t="n">
        <v>4</v>
      </c>
      <c r="W54" s="37" t="n">
        <v>71</v>
      </c>
      <c r="X54" s="39" t="n">
        <v>46307</v>
      </c>
      <c r="Y54" s="15"/>
      <c r="Z54" s="40"/>
      <c r="AA54" s="41" t="str">
        <f aca="false">IF(ISNUMBER(Z54),(DATE(2026,10,13)-Z54)/365,"")</f>
        <v/>
      </c>
      <c r="AB54" s="37"/>
      <c r="AC54" s="15"/>
      <c r="AD54" s="15"/>
      <c r="AE54" s="15"/>
      <c r="AF54" s="42"/>
      <c r="AG54" s="42"/>
      <c r="AH54" s="15"/>
      <c r="AI54" s="37"/>
      <c r="AJ54" s="37"/>
      <c r="AK54" s="15"/>
      <c r="AL54" s="43"/>
      <c r="AM54" s="43"/>
      <c r="AN54" s="25" t="str">
        <f aca="false">IF(AND(ISNUMBER(AM54),ISNUMBER(AL54),AL54&gt;=5),AM54/AL54,"")</f>
        <v/>
      </c>
      <c r="AO54" s="43"/>
      <c r="AP54" s="43"/>
      <c r="AQ54" s="25" t="str">
        <f aca="false">IF(AND(ISNUMBER(AP54),ISNUMBER(AO54),AO54&gt;=5),AP54/AO54,"")</f>
        <v/>
      </c>
      <c r="AR54" s="43"/>
      <c r="AS54" s="43"/>
      <c r="AT54" s="22" t="str">
        <f aca="false">IF(AND(ISNUMBER(AS54),ISNUMBER(AR54),AR54&gt;0),AS54/AR54-1,"")</f>
        <v/>
      </c>
      <c r="AU54" s="44"/>
      <c r="AV54" s="44"/>
      <c r="AW54" s="44"/>
      <c r="AX54" s="44"/>
      <c r="AY54" s="44"/>
      <c r="AZ54" s="45"/>
      <c r="BA54" s="45"/>
      <c r="BB54" s="46"/>
      <c r="BC54" s="46"/>
      <c r="BD54" s="23" t="str">
        <f aca="false">IF(AND(ISNUMBER(BB54),ISNUMBER(BC54),BB54&gt;0),1-BC54/BB54,"")</f>
        <v/>
      </c>
      <c r="BE54" s="47"/>
      <c r="BF54" s="48"/>
      <c r="BG54" s="48"/>
      <c r="BH54" s="27" t="str">
        <f aca="false">IF(AND(ISNUMBER(BF54),ISNUMBER(BG54),BG54&gt;0),BF54/BG54,"")</f>
        <v/>
      </c>
      <c r="BI54" s="48"/>
      <c r="BJ54" s="44"/>
      <c r="BK54" s="46"/>
      <c r="BL54" s="46"/>
      <c r="BM54" s="36" t="str">
        <f aca="false">IF(ISNUMBER(Q54),IF(Q54&lt;0,"YES","no"),"")</f>
        <v>YES</v>
      </c>
      <c r="BN54" s="36" t="str">
        <f aca="false">IFERROR(IF(AND(ISNUMBER(K54),ISNUMBER(INDEX('Lift Inputs'!$H:$H,MATCH(C54,'Lift Inputs'!$C:$C,0)))),IF(K54&lt;INDEX('Lift Inputs'!$H:$H,MATCH(C54,'Lift Inputs'!$C:$C,0)),"YES","no"),""),"")</f>
        <v/>
      </c>
      <c r="BO54" s="44"/>
    </row>
    <row r="55" customFormat="false" ht="15" hidden="false" customHeight="false" outlineLevel="0" collapsed="false">
      <c r="A55" s="15" t="s">
        <v>37</v>
      </c>
      <c r="B55" s="15" t="s">
        <v>38</v>
      </c>
      <c r="C55" s="15" t="n">
        <v>59</v>
      </c>
      <c r="D55" s="15" t="s">
        <v>196</v>
      </c>
      <c r="E55" s="15" t="n">
        <v>1820</v>
      </c>
      <c r="F55" s="15" t="s">
        <v>438</v>
      </c>
      <c r="G55" s="15" t="s">
        <v>502</v>
      </c>
      <c r="H55" s="15" t="s">
        <v>502</v>
      </c>
      <c r="I55" s="15" t="s">
        <v>503</v>
      </c>
      <c r="J55" s="15"/>
      <c r="K55" s="35" t="n">
        <v>37.9</v>
      </c>
      <c r="L55" s="35"/>
      <c r="M55" s="23" t="str">
        <f aca="false">IF(AND(ISNUMBER(L55),ISNUMBER(K55),K55&gt;0),L55/K55-1,"")</f>
        <v/>
      </c>
      <c r="N55" s="36" t="str">
        <f aca="false">IF(M55="","No List Price",IF(M55&lt;=0,"At/below price",IF(M55&lt;=0.12,"&lt;=12% (STR zone)",IF(M55&lt;=0.25,"12-25%","&gt;25% (likely ignored)"))))</f>
        <v>No List Price</v>
      </c>
      <c r="O55" s="15" t="s">
        <v>320</v>
      </c>
      <c r="P55" s="35" t="n">
        <v>84.3167716535433</v>
      </c>
      <c r="Q55" s="22" t="n">
        <f aca="false">IF(AND(ISNUMBER(K55),ISNUMBER(P55),N(P55)&gt;0),K55/P55-1,"")</f>
        <v>-0.550504611873298</v>
      </c>
      <c r="R55" s="15" t="s">
        <v>321</v>
      </c>
      <c r="S55" s="37" t="n">
        <v>9187</v>
      </c>
      <c r="T55" s="37" t="n">
        <v>18</v>
      </c>
      <c r="U55" s="38" t="n">
        <f aca="false">IF(AND(ISNUMBER(K55),ISNUMBER(T55)),K55*T55*52/12,"")</f>
        <v>2956.2</v>
      </c>
      <c r="V55" s="15" t="n">
        <v>4.3</v>
      </c>
      <c r="W55" s="37" t="n">
        <v>24333</v>
      </c>
      <c r="X55" s="39" t="n">
        <v>46286</v>
      </c>
      <c r="Y55" s="15" t="n">
        <v>100</v>
      </c>
      <c r="Z55" s="40" t="n">
        <v>44379</v>
      </c>
      <c r="AA55" s="41" t="n">
        <f aca="false">IF(ISNUMBER(Z55),(DATE(2026,10,13)-Z55)/365,"")</f>
        <v>5.28493150684932</v>
      </c>
      <c r="AB55" s="37" t="n">
        <v>5599</v>
      </c>
      <c r="AC55" s="15" t="s">
        <v>313</v>
      </c>
      <c r="AD55" s="15" t="n">
        <v>1</v>
      </c>
      <c r="AE55" s="15" t="s">
        <v>331</v>
      </c>
      <c r="AF55" s="42" t="n">
        <v>0</v>
      </c>
      <c r="AG55" s="42" t="n">
        <v>0</v>
      </c>
      <c r="AH55" s="15" t="n">
        <v>316</v>
      </c>
      <c r="AI55" s="37" t="n">
        <v>23320</v>
      </c>
      <c r="AJ55" s="37" t="n">
        <v>859</v>
      </c>
      <c r="AK55" s="15" t="s">
        <v>315</v>
      </c>
      <c r="AL55" s="43" t="n">
        <v>0.1</v>
      </c>
      <c r="AM55" s="43" t="n">
        <v>2.5</v>
      </c>
      <c r="AN55" s="25" t="str">
        <f aca="false">IF(AND(ISNUMBER(AM55),ISNUMBER(AL55),AL55&gt;=5),AM55/AL55,"")</f>
        <v/>
      </c>
      <c r="AO55" s="43" t="n">
        <v>0</v>
      </c>
      <c r="AP55" s="43" t="n">
        <v>0</v>
      </c>
      <c r="AQ55" s="25" t="str">
        <f aca="false">IF(AND(ISNUMBER(AP55),ISNUMBER(AO55),AO55&gt;=5),AP55/AO55,"")</f>
        <v/>
      </c>
      <c r="AR55" s="43" t="n">
        <v>22.3</v>
      </c>
      <c r="AS55" s="43" t="n">
        <v>1</v>
      </c>
      <c r="AT55" s="22" t="n">
        <f aca="false">IF(AND(ISNUMBER(AS55),ISNUMBER(AR55),AR55&gt;0),AS55/AR55-1,"")</f>
        <v>-0.955156950672646</v>
      </c>
      <c r="AU55" s="44"/>
      <c r="AV55" s="44"/>
      <c r="AW55" s="44"/>
      <c r="AX55" s="44"/>
      <c r="AY55" s="44"/>
      <c r="AZ55" s="45"/>
      <c r="BA55" s="45"/>
      <c r="BB55" s="46"/>
      <c r="BC55" s="46"/>
      <c r="BD55" s="23" t="str">
        <f aca="false">IF(AND(ISNUMBER(BB55),ISNUMBER(BC55),BB55&gt;0),1-BC55/BB55,"")</f>
        <v/>
      </c>
      <c r="BE55" s="47"/>
      <c r="BF55" s="48"/>
      <c r="BG55" s="48"/>
      <c r="BH55" s="27" t="str">
        <f aca="false">IF(AND(ISNUMBER(BF55),ISNUMBER(BG55),BG55&gt;0),BF55/BG55,"")</f>
        <v/>
      </c>
      <c r="BI55" s="48"/>
      <c r="BJ55" s="44"/>
      <c r="BK55" s="46"/>
      <c r="BL55" s="46"/>
      <c r="BM55" s="36" t="str">
        <f aca="false">IF(ISNUMBER(Q55),IF(Q55&lt;0,"YES","no"),"")</f>
        <v>YES</v>
      </c>
      <c r="BN55" s="36" t="str">
        <f aca="false">IFERROR(IF(AND(ISNUMBER(K55),ISNUMBER(INDEX('Lift Inputs'!$H:$H,MATCH(C55,'Lift Inputs'!$C:$C,0)))),IF(K55&lt;INDEX('Lift Inputs'!$H:$H,MATCH(C55,'Lift Inputs'!$C:$C,0)),"YES","no"),""),"")</f>
        <v/>
      </c>
      <c r="BO55" s="44"/>
    </row>
    <row r="56" customFormat="false" ht="15" hidden="false" customHeight="false" outlineLevel="0" collapsed="false">
      <c r="A56" s="15" t="s">
        <v>37</v>
      </c>
      <c r="B56" s="15" t="s">
        <v>38</v>
      </c>
      <c r="C56" s="15" t="n">
        <v>59</v>
      </c>
      <c r="D56" s="15" t="s">
        <v>196</v>
      </c>
      <c r="E56" s="15" t="n">
        <v>1952</v>
      </c>
      <c r="F56" s="15" t="s">
        <v>504</v>
      </c>
      <c r="G56" s="15" t="s">
        <v>505</v>
      </c>
      <c r="H56" s="15" t="s">
        <v>506</v>
      </c>
      <c r="I56" s="15" t="s">
        <v>507</v>
      </c>
      <c r="J56" s="15"/>
      <c r="K56" s="35" t="n">
        <v>84.99</v>
      </c>
      <c r="L56" s="35"/>
      <c r="M56" s="23" t="str">
        <f aca="false">IF(AND(ISNUMBER(L56),ISNUMBER(K56),K56&gt;0),L56/K56-1,"")</f>
        <v/>
      </c>
      <c r="N56" s="36" t="str">
        <f aca="false">IF(M56="","No List Price",IF(M56&lt;=0,"At/below price",IF(M56&lt;=0.12,"&lt;=12% (STR zone)",IF(M56&lt;=0.25,"12-25%","&gt;25% (likely ignored)"))))</f>
        <v>No List Price</v>
      </c>
      <c r="O56" s="15"/>
      <c r="P56" s="35" t="n">
        <v>80.6509589041096</v>
      </c>
      <c r="Q56" s="22" t="n">
        <f aca="false">IF(AND(ISNUMBER(K56),ISNUMBER(P56),N(P56)&gt;0),K56/P56-1,"")</f>
        <v>0.0538002418675434</v>
      </c>
      <c r="R56" s="15" t="s">
        <v>353</v>
      </c>
      <c r="S56" s="37" t="n">
        <v>1216102</v>
      </c>
      <c r="T56" s="37" t="n">
        <v>5</v>
      </c>
      <c r="U56" s="38" t="n">
        <f aca="false">IF(AND(ISNUMBER(K56),ISNUMBER(T56)),K56*T56*52/12,"")</f>
        <v>1841.45</v>
      </c>
      <c r="V56" s="15" t="n">
        <v>4.5</v>
      </c>
      <c r="W56" s="37" t="n">
        <v>13</v>
      </c>
      <c r="X56" s="39" t="n">
        <v>46307</v>
      </c>
      <c r="Y56" s="15"/>
      <c r="Z56" s="40"/>
      <c r="AA56" s="41" t="str">
        <f aca="false">IF(ISNUMBER(Z56),(DATE(2026,10,13)-Z56)/365,"")</f>
        <v/>
      </c>
      <c r="AB56" s="37"/>
      <c r="AC56" s="15"/>
      <c r="AD56" s="15"/>
      <c r="AE56" s="15"/>
      <c r="AF56" s="42"/>
      <c r="AG56" s="42"/>
      <c r="AH56" s="15"/>
      <c r="AI56" s="37"/>
      <c r="AJ56" s="37"/>
      <c r="AK56" s="15"/>
      <c r="AL56" s="43"/>
      <c r="AM56" s="43"/>
      <c r="AN56" s="25" t="str">
        <f aca="false">IF(AND(ISNUMBER(AM56),ISNUMBER(AL56),AL56&gt;=5),AM56/AL56,"")</f>
        <v/>
      </c>
      <c r="AO56" s="43"/>
      <c r="AP56" s="43"/>
      <c r="AQ56" s="25" t="str">
        <f aca="false">IF(AND(ISNUMBER(AP56),ISNUMBER(AO56),AO56&gt;=5),AP56/AO56,"")</f>
        <v/>
      </c>
      <c r="AR56" s="43"/>
      <c r="AS56" s="43"/>
      <c r="AT56" s="22" t="str">
        <f aca="false">IF(AND(ISNUMBER(AS56),ISNUMBER(AR56),AR56&gt;0),AS56/AR56-1,"")</f>
        <v/>
      </c>
      <c r="AU56" s="44"/>
      <c r="AV56" s="44"/>
      <c r="AW56" s="44"/>
      <c r="AX56" s="44"/>
      <c r="AY56" s="44"/>
      <c r="AZ56" s="45"/>
      <c r="BA56" s="45"/>
      <c r="BB56" s="46"/>
      <c r="BC56" s="46"/>
      <c r="BD56" s="23" t="str">
        <f aca="false">IF(AND(ISNUMBER(BB56),ISNUMBER(BC56),BB56&gt;0),1-BC56/BB56,"")</f>
        <v/>
      </c>
      <c r="BE56" s="47"/>
      <c r="BF56" s="48"/>
      <c r="BG56" s="48"/>
      <c r="BH56" s="27" t="str">
        <f aca="false">IF(AND(ISNUMBER(BF56),ISNUMBER(BG56),BG56&gt;0),BF56/BG56,"")</f>
        <v/>
      </c>
      <c r="BI56" s="48"/>
      <c r="BJ56" s="44"/>
      <c r="BK56" s="46"/>
      <c r="BL56" s="46"/>
      <c r="BM56" s="36" t="str">
        <f aca="false">IF(ISNUMBER(Q56),IF(Q56&lt;0,"YES","no"),"")</f>
        <v>no</v>
      </c>
      <c r="BN56" s="36" t="str">
        <f aca="false">IFERROR(IF(AND(ISNUMBER(K56),ISNUMBER(INDEX('Lift Inputs'!$H:$H,MATCH(C56,'Lift Inputs'!$C:$C,0)))),IF(K56&lt;INDEX('Lift Inputs'!$H:$H,MATCH(C56,'Lift Inputs'!$C:$C,0)),"YES","no"),""),"")</f>
        <v/>
      </c>
      <c r="BO56" s="44"/>
    </row>
    <row r="57" customFormat="false" ht="15" hidden="false" customHeight="false" outlineLevel="0" collapsed="false">
      <c r="A57" s="15" t="s">
        <v>37</v>
      </c>
      <c r="B57" s="15" t="s">
        <v>38</v>
      </c>
      <c r="C57" s="15" t="n">
        <v>59</v>
      </c>
      <c r="D57" s="15" t="s">
        <v>196</v>
      </c>
      <c r="E57" s="15" t="n">
        <v>1947</v>
      </c>
      <c r="F57" s="15" t="s">
        <v>508</v>
      </c>
      <c r="G57" s="15" t="s">
        <v>509</v>
      </c>
      <c r="H57" s="15" t="s">
        <v>510</v>
      </c>
      <c r="I57" s="15" t="s">
        <v>511</v>
      </c>
      <c r="J57" s="15"/>
      <c r="K57" s="35" t="n">
        <v>89.99</v>
      </c>
      <c r="L57" s="35"/>
      <c r="M57" s="23" t="str">
        <f aca="false">IF(AND(ISNUMBER(L57),ISNUMBER(K57),K57&gt;0),L57/K57-1,"")</f>
        <v/>
      </c>
      <c r="N57" s="36" t="str">
        <f aca="false">IF(M57="","No List Price",IF(M57&lt;=0,"At/below price",IF(M57&lt;=0.12,"&lt;=12% (STR zone)",IF(M57&lt;=0.25,"12-25%","&gt;25% (likely ignored)"))))</f>
        <v>No List Price</v>
      </c>
      <c r="O57" s="15" t="s">
        <v>320</v>
      </c>
      <c r="P57" s="35" t="n">
        <v>84.3167716535433</v>
      </c>
      <c r="Q57" s="22" t="n">
        <f aca="false">IF(AND(ISNUMBER(K57),ISNUMBER(P57),N(P57)&gt;0),K57/P57-1,"")</f>
        <v>0.0672846959768327</v>
      </c>
      <c r="R57" s="15" t="s">
        <v>321</v>
      </c>
      <c r="S57" s="37" t="n">
        <v>1970806</v>
      </c>
      <c r="T57" s="37" t="n">
        <v>5</v>
      </c>
      <c r="U57" s="38" t="n">
        <f aca="false">IF(AND(ISNUMBER(K57),ISNUMBER(T57)),K57*T57*52/12,"")</f>
        <v>1949.78333333333</v>
      </c>
      <c r="V57" s="15" t="n">
        <v>3.9</v>
      </c>
      <c r="W57" s="37" t="n">
        <v>24</v>
      </c>
      <c r="X57" s="39" t="n">
        <v>46307</v>
      </c>
      <c r="Y57" s="15"/>
      <c r="Z57" s="40"/>
      <c r="AA57" s="41" t="str">
        <f aca="false">IF(ISNUMBER(Z57),(DATE(2026,10,13)-Z57)/365,"")</f>
        <v/>
      </c>
      <c r="AB57" s="37"/>
      <c r="AC57" s="15"/>
      <c r="AD57" s="15"/>
      <c r="AE57" s="15"/>
      <c r="AF57" s="42"/>
      <c r="AG57" s="42"/>
      <c r="AH57" s="15"/>
      <c r="AI57" s="37"/>
      <c r="AJ57" s="37"/>
      <c r="AK57" s="15"/>
      <c r="AL57" s="43"/>
      <c r="AM57" s="43"/>
      <c r="AN57" s="25" t="str">
        <f aca="false">IF(AND(ISNUMBER(AM57),ISNUMBER(AL57),AL57&gt;=5),AM57/AL57,"")</f>
        <v/>
      </c>
      <c r="AO57" s="43"/>
      <c r="AP57" s="43"/>
      <c r="AQ57" s="25" t="str">
        <f aca="false">IF(AND(ISNUMBER(AP57),ISNUMBER(AO57),AO57&gt;=5),AP57/AO57,"")</f>
        <v/>
      </c>
      <c r="AR57" s="43"/>
      <c r="AS57" s="43"/>
      <c r="AT57" s="22" t="str">
        <f aca="false">IF(AND(ISNUMBER(AS57),ISNUMBER(AR57),AR57&gt;0),AS57/AR57-1,"")</f>
        <v/>
      </c>
      <c r="AU57" s="44"/>
      <c r="AV57" s="44"/>
      <c r="AW57" s="44"/>
      <c r="AX57" s="44"/>
      <c r="AY57" s="44"/>
      <c r="AZ57" s="45"/>
      <c r="BA57" s="45"/>
      <c r="BB57" s="46"/>
      <c r="BC57" s="46"/>
      <c r="BD57" s="23" t="str">
        <f aca="false">IF(AND(ISNUMBER(BB57),ISNUMBER(BC57),BB57&gt;0),1-BC57/BB57,"")</f>
        <v/>
      </c>
      <c r="BE57" s="47"/>
      <c r="BF57" s="48"/>
      <c r="BG57" s="48"/>
      <c r="BH57" s="27" t="str">
        <f aca="false">IF(AND(ISNUMBER(BF57),ISNUMBER(BG57),BG57&gt;0),BF57/BG57,"")</f>
        <v/>
      </c>
      <c r="BI57" s="48"/>
      <c r="BJ57" s="44"/>
      <c r="BK57" s="46"/>
      <c r="BL57" s="46"/>
      <c r="BM57" s="36" t="str">
        <f aca="false">IF(ISNUMBER(Q57),IF(Q57&lt;0,"YES","no"),"")</f>
        <v>no</v>
      </c>
      <c r="BN57" s="36" t="str">
        <f aca="false">IFERROR(IF(AND(ISNUMBER(K57),ISNUMBER(INDEX('Lift Inputs'!$H:$H,MATCH(C57,'Lift Inputs'!$C:$C,0)))),IF(K57&lt;INDEX('Lift Inputs'!$H:$H,MATCH(C57,'Lift Inputs'!$C:$C,0)),"YES","no"),""),"")</f>
        <v/>
      </c>
      <c r="BO57" s="44"/>
    </row>
    <row r="58" customFormat="false" ht="15" hidden="false" customHeight="false" outlineLevel="0" collapsed="false">
      <c r="A58" s="15" t="s">
        <v>37</v>
      </c>
      <c r="B58" s="15" t="s">
        <v>49</v>
      </c>
      <c r="C58" s="15" t="n">
        <v>30</v>
      </c>
      <c r="D58" s="15" t="s">
        <v>196</v>
      </c>
      <c r="E58" s="15" t="n">
        <v>495</v>
      </c>
      <c r="F58" s="15" t="s">
        <v>307</v>
      </c>
      <c r="G58" s="15" t="s">
        <v>308</v>
      </c>
      <c r="H58" s="15" t="s">
        <v>309</v>
      </c>
      <c r="I58" s="15" t="s">
        <v>310</v>
      </c>
      <c r="J58" s="15" t="s">
        <v>176</v>
      </c>
      <c r="K58" s="35" t="n">
        <v>62.99</v>
      </c>
      <c r="L58" s="35" t="n">
        <v>69.99</v>
      </c>
      <c r="M58" s="23" t="n">
        <f aca="false">IF(AND(ISNUMBER(L58),ISNUMBER(K58),K58&gt;0),L58/K58-1,"")</f>
        <v>0.111128750595332</v>
      </c>
      <c r="N58" s="36" t="str">
        <f aca="false">IF(M58="","No List Price",IF(M58&lt;=0,"At/below price",IF(M58&lt;=0.12,"&lt;=12% (STR zone)",IF(M58&lt;=0.25,"12-25%","&gt;25% (likely ignored)"))))</f>
        <v>&lt;=12% (STR zone)</v>
      </c>
      <c r="O58" s="15" t="s">
        <v>311</v>
      </c>
      <c r="P58" s="35" t="n">
        <v>90.6832330827068</v>
      </c>
      <c r="Q58" s="22" t="n">
        <f aca="false">IF(AND(ISNUMBER(K58),ISNUMBER(P58),N(P58)&gt;0),K58/P58-1,"")</f>
        <v>-0.305384271615563</v>
      </c>
      <c r="R58" s="15" t="s">
        <v>312</v>
      </c>
      <c r="S58" s="37" t="n">
        <v>256</v>
      </c>
      <c r="T58" s="37" t="n">
        <v>809</v>
      </c>
      <c r="U58" s="38" t="n">
        <f aca="false">IF(AND(ISNUMBER(K58),ISNUMBER(T58)),K58*T58*52/12,"")</f>
        <v>220821.943333333</v>
      </c>
      <c r="V58" s="15" t="n">
        <v>4.4</v>
      </c>
      <c r="W58" s="37" t="n">
        <v>65061</v>
      </c>
      <c r="X58" s="39" t="n">
        <v>46307</v>
      </c>
      <c r="Y58" s="15" t="n">
        <v>131</v>
      </c>
      <c r="Z58" s="40" t="n">
        <v>43348</v>
      </c>
      <c r="AA58" s="41" t="n">
        <f aca="false">IF(ISNUMBER(Z58),(DATE(2026,10,13)-Z58)/365,"")</f>
        <v>8.10958904109589</v>
      </c>
      <c r="AB58" s="37" t="n">
        <v>45362</v>
      </c>
      <c r="AC58" s="15" t="s">
        <v>313</v>
      </c>
      <c r="AD58" s="15" t="n">
        <v>2</v>
      </c>
      <c r="AE58" s="15" t="s">
        <v>314</v>
      </c>
      <c r="AF58" s="42" t="n">
        <v>0.0164948453608247</v>
      </c>
      <c r="AG58" s="42" t="n">
        <v>0.00101190492103934</v>
      </c>
      <c r="AH58" s="15" t="n">
        <v>343</v>
      </c>
      <c r="AI58" s="37" t="n">
        <v>2166046</v>
      </c>
      <c r="AJ58" s="37" t="n">
        <v>6935</v>
      </c>
      <c r="AK58" s="15" t="s">
        <v>315</v>
      </c>
      <c r="AL58" s="43" t="n">
        <v>924.6</v>
      </c>
      <c r="AM58" s="43" t="n">
        <v>986.2</v>
      </c>
      <c r="AN58" s="25" t="n">
        <f aca="false">IF(AND(ISNUMBER(AM58),ISNUMBER(AL58),AL58&gt;=5),AM58/AL58,"")</f>
        <v>1.06662340471555</v>
      </c>
      <c r="AO58" s="43" t="n">
        <v>371.8</v>
      </c>
      <c r="AP58" s="43" t="n">
        <v>574.2</v>
      </c>
      <c r="AQ58" s="25" t="n">
        <f aca="false">IF(AND(ISNUMBER(AP58),ISNUMBER(AO58),AO58&gt;=5),AP58/AO58,"")</f>
        <v>1.54437869822485</v>
      </c>
      <c r="AR58" s="43" t="n">
        <v>832.8</v>
      </c>
      <c r="AS58" s="43" t="n">
        <v>785.1</v>
      </c>
      <c r="AT58" s="22" t="n">
        <f aca="false">IF(AND(ISNUMBER(AS58),ISNUMBER(AR58),AR58&gt;0),AS58/AR58-1,"")</f>
        <v>-0.0572766570605187</v>
      </c>
      <c r="AU58" s="44"/>
      <c r="AV58" s="44"/>
      <c r="AW58" s="44"/>
      <c r="AX58" s="44"/>
      <c r="AY58" s="44"/>
      <c r="AZ58" s="45"/>
      <c r="BA58" s="45"/>
      <c r="BB58" s="46"/>
      <c r="BC58" s="46"/>
      <c r="BD58" s="23" t="str">
        <f aca="false">IF(AND(ISNUMBER(BB58),ISNUMBER(BC58),BB58&gt;0),1-BC58/BB58,"")</f>
        <v/>
      </c>
      <c r="BE58" s="47"/>
      <c r="BF58" s="48"/>
      <c r="BG58" s="48"/>
      <c r="BH58" s="27" t="str">
        <f aca="false">IF(AND(ISNUMBER(BF58),ISNUMBER(BG58),BG58&gt;0),BF58/BG58,"")</f>
        <v/>
      </c>
      <c r="BI58" s="48"/>
      <c r="BJ58" s="44"/>
      <c r="BK58" s="46"/>
      <c r="BL58" s="46"/>
      <c r="BM58" s="36" t="str">
        <f aca="false">IF(ISNUMBER(Q58),IF(Q58&lt;0,"YES","no"),"")</f>
        <v>YES</v>
      </c>
      <c r="BN58" s="36" t="str">
        <f aca="false">IFERROR(IF(AND(ISNUMBER(K58),ISNUMBER(INDEX('Lift Inputs'!$H:$H,MATCH(C58,'Lift Inputs'!$C:$C,0)))),IF(K58&lt;INDEX('Lift Inputs'!$H:$H,MATCH(C58,'Lift Inputs'!$C:$C,0)),"YES","no"),""),"")</f>
        <v/>
      </c>
      <c r="BO58" s="44"/>
    </row>
    <row r="59" customFormat="false" ht="15" hidden="false" customHeight="false" outlineLevel="0" collapsed="false">
      <c r="A59" s="15" t="s">
        <v>37</v>
      </c>
      <c r="B59" s="15" t="s">
        <v>49</v>
      </c>
      <c r="C59" s="15" t="n">
        <v>30</v>
      </c>
      <c r="D59" s="15" t="s">
        <v>196</v>
      </c>
      <c r="E59" s="15" t="n">
        <v>4</v>
      </c>
      <c r="F59" s="15" t="s">
        <v>316</v>
      </c>
      <c r="G59" s="15" t="s">
        <v>317</v>
      </c>
      <c r="H59" s="15" t="s">
        <v>318</v>
      </c>
      <c r="I59" s="15" t="s">
        <v>319</v>
      </c>
      <c r="J59" s="15" t="s">
        <v>176</v>
      </c>
      <c r="K59" s="35" t="n">
        <v>109.99</v>
      </c>
      <c r="L59" s="35"/>
      <c r="M59" s="23" t="str">
        <f aca="false">IF(AND(ISNUMBER(L59),ISNUMBER(K59),K59&gt;0),L59/K59-1,"")</f>
        <v/>
      </c>
      <c r="N59" s="36" t="str">
        <f aca="false">IF(M59="","No List Price",IF(M59&lt;=0,"At/below price",IF(M59&lt;=0.12,"&lt;=12% (STR zone)",IF(M59&lt;=0.25,"12-25%","&gt;25% (likely ignored)"))))</f>
        <v>No List Price</v>
      </c>
      <c r="O59" s="15" t="s">
        <v>320</v>
      </c>
      <c r="P59" s="35" t="n">
        <v>90.8617672413793</v>
      </c>
      <c r="Q59" s="22" t="n">
        <f aca="false">IF(AND(ISNUMBER(K59),ISNUMBER(P59),N(P59)&gt;0),K59/P59-1,"")</f>
        <v>0.210520148786073</v>
      </c>
      <c r="R59" s="15" t="s">
        <v>321</v>
      </c>
      <c r="S59" s="37" t="n">
        <v>304</v>
      </c>
      <c r="T59" s="37" t="n">
        <v>809</v>
      </c>
      <c r="U59" s="38" t="n">
        <f aca="false">IF(AND(ISNUMBER(K59),ISNUMBER(T59)),K59*T59*52/12,"")</f>
        <v>385588.276666667</v>
      </c>
      <c r="V59" s="15" t="n">
        <v>4.5</v>
      </c>
      <c r="W59" s="37" t="n">
        <v>21927</v>
      </c>
      <c r="X59" s="39" t="n">
        <v>46307</v>
      </c>
      <c r="Y59" s="15" t="n">
        <v>181</v>
      </c>
      <c r="Z59" s="40" t="n">
        <v>43281</v>
      </c>
      <c r="AA59" s="41" t="n">
        <f aca="false">IF(ISNUMBER(Z59),(DATE(2026,10,13)-Z59)/365,"")</f>
        <v>8.29315068493151</v>
      </c>
      <c r="AB59" s="37" t="n">
        <v>32356</v>
      </c>
      <c r="AC59" s="15" t="s">
        <v>313</v>
      </c>
      <c r="AD59" s="15" t="n">
        <v>2</v>
      </c>
      <c r="AE59" s="15" t="s">
        <v>314</v>
      </c>
      <c r="AF59" s="42" t="n">
        <v>0</v>
      </c>
      <c r="AG59" s="42" t="n">
        <v>0</v>
      </c>
      <c r="AH59" s="15" t="n">
        <v>268</v>
      </c>
      <c r="AI59" s="37" t="n">
        <v>2565055</v>
      </c>
      <c r="AJ59" s="37" t="n">
        <v>8283</v>
      </c>
      <c r="AK59" s="15" t="s">
        <v>315</v>
      </c>
      <c r="AL59" s="43" t="n">
        <v>556.9</v>
      </c>
      <c r="AM59" s="43" t="n">
        <v>657.2</v>
      </c>
      <c r="AN59" s="25" t="n">
        <f aca="false">IF(AND(ISNUMBER(AM59),ISNUMBER(AL59),AL59&gt;=5),AM59/AL59,"")</f>
        <v>1.18010414796193</v>
      </c>
      <c r="AO59" s="43" t="n">
        <v>102</v>
      </c>
      <c r="AP59" s="43" t="n">
        <v>151.8</v>
      </c>
      <c r="AQ59" s="25" t="n">
        <f aca="false">IF(AND(ISNUMBER(AP59),ISNUMBER(AO59),AO59&gt;=5),AP59/AO59,"")</f>
        <v>1.48823529411765</v>
      </c>
      <c r="AR59" s="43" t="n">
        <v>259.8</v>
      </c>
      <c r="AS59" s="43" t="n">
        <v>667.9</v>
      </c>
      <c r="AT59" s="22" t="n">
        <f aca="false">IF(AND(ISNUMBER(AS59),ISNUMBER(AR59),AR59&gt;0),AS59/AR59-1,"")</f>
        <v>1.57082371054657</v>
      </c>
      <c r="AU59" s="44"/>
      <c r="AV59" s="44"/>
      <c r="AW59" s="44"/>
      <c r="AX59" s="44"/>
      <c r="AY59" s="44"/>
      <c r="AZ59" s="45"/>
      <c r="BA59" s="45"/>
      <c r="BB59" s="46"/>
      <c r="BC59" s="46"/>
      <c r="BD59" s="23" t="str">
        <f aca="false">IF(AND(ISNUMBER(BB59),ISNUMBER(BC59),BB59&gt;0),1-BC59/BB59,"")</f>
        <v/>
      </c>
      <c r="BE59" s="47"/>
      <c r="BF59" s="48"/>
      <c r="BG59" s="48"/>
      <c r="BH59" s="27" t="str">
        <f aca="false">IF(AND(ISNUMBER(BF59),ISNUMBER(BG59),BG59&gt;0),BF59/BG59,"")</f>
        <v/>
      </c>
      <c r="BI59" s="48"/>
      <c r="BJ59" s="44"/>
      <c r="BK59" s="46"/>
      <c r="BL59" s="46"/>
      <c r="BM59" s="36" t="str">
        <f aca="false">IF(ISNUMBER(Q59),IF(Q59&lt;0,"YES","no"),"")</f>
        <v>no</v>
      </c>
      <c r="BN59" s="36" t="str">
        <f aca="false">IFERROR(IF(AND(ISNUMBER(K59),ISNUMBER(INDEX('Lift Inputs'!$H:$H,MATCH(C59,'Lift Inputs'!$C:$C,0)))),IF(K59&lt;INDEX('Lift Inputs'!$H:$H,MATCH(C59,'Lift Inputs'!$C:$C,0)),"YES","no"),""),"")</f>
        <v/>
      </c>
      <c r="BO59" s="44"/>
    </row>
    <row r="60" customFormat="false" ht="15" hidden="false" customHeight="false" outlineLevel="0" collapsed="false">
      <c r="A60" s="15" t="s">
        <v>37</v>
      </c>
      <c r="B60" s="15" t="s">
        <v>49</v>
      </c>
      <c r="C60" s="15" t="n">
        <v>30</v>
      </c>
      <c r="D60" s="15" t="s">
        <v>196</v>
      </c>
      <c r="E60" s="15" t="n">
        <v>27</v>
      </c>
      <c r="F60" s="15" t="s">
        <v>322</v>
      </c>
      <c r="G60" s="15" t="s">
        <v>323</v>
      </c>
      <c r="H60" s="15" t="s">
        <v>324</v>
      </c>
      <c r="I60" s="15" t="s">
        <v>325</v>
      </c>
      <c r="J60" s="15" t="s">
        <v>176</v>
      </c>
      <c r="K60" s="35" t="n">
        <v>79.99</v>
      </c>
      <c r="L60" s="35"/>
      <c r="M60" s="23" t="str">
        <f aca="false">IF(AND(ISNUMBER(L60),ISNUMBER(K60),K60&gt;0),L60/K60-1,"")</f>
        <v/>
      </c>
      <c r="N60" s="36" t="str">
        <f aca="false">IF(M60="","No List Price",IF(M60&lt;=0,"At/below price",IF(M60&lt;=0.12,"&lt;=12% (STR zone)",IF(M60&lt;=0.25,"12-25%","&gt;25% (likely ignored)"))))</f>
        <v>No List Price</v>
      </c>
      <c r="O60" s="15" t="s">
        <v>311</v>
      </c>
      <c r="P60" s="35" t="n">
        <v>90.6832330827068</v>
      </c>
      <c r="Q60" s="22" t="n">
        <f aca="false">IF(AND(ISNUMBER(K60),ISNUMBER(P60),N(P60)&gt;0),K60/P60-1,"")</f>
        <v>-0.117918524948864</v>
      </c>
      <c r="R60" s="15" t="s">
        <v>312</v>
      </c>
      <c r="S60" s="37" t="n">
        <v>2984</v>
      </c>
      <c r="T60" s="37" t="n">
        <v>347</v>
      </c>
      <c r="U60" s="38" t="n">
        <f aca="false">IF(AND(ISNUMBER(K60),ISNUMBER(T60)),K60*T60*52/12,"")</f>
        <v>120278.296666667</v>
      </c>
      <c r="V60" s="15" t="n">
        <v>4.4</v>
      </c>
      <c r="W60" s="37" t="n">
        <v>37179</v>
      </c>
      <c r="X60" s="39" t="n">
        <v>46307</v>
      </c>
      <c r="Y60" s="15" t="n">
        <v>61</v>
      </c>
      <c r="Z60" s="40" t="n">
        <v>42729</v>
      </c>
      <c r="AA60" s="41" t="n">
        <f aca="false">IF(ISNUMBER(Z60),(DATE(2026,10,13)-Z60)/365,"")</f>
        <v>9.80547945205479</v>
      </c>
      <c r="AB60" s="37" t="n">
        <v>8203</v>
      </c>
      <c r="AC60" s="15" t="s">
        <v>313</v>
      </c>
      <c r="AD60" s="15" t="n">
        <v>2</v>
      </c>
      <c r="AE60" s="15" t="s">
        <v>314</v>
      </c>
      <c r="AF60" s="42" t="n">
        <v>0.00210970464135021</v>
      </c>
      <c r="AG60" s="42" t="n">
        <v>0</v>
      </c>
      <c r="AH60" s="15" t="n">
        <v>382</v>
      </c>
      <c r="AI60" s="37" t="n">
        <v>451969</v>
      </c>
      <c r="AJ60" s="37" t="n">
        <v>4094</v>
      </c>
      <c r="AK60" s="15" t="s">
        <v>326</v>
      </c>
      <c r="AL60" s="43" t="n">
        <v>263.5</v>
      </c>
      <c r="AM60" s="43" t="n">
        <v>474.2</v>
      </c>
      <c r="AN60" s="25" t="n">
        <f aca="false">IF(AND(ISNUMBER(AM60),ISNUMBER(AL60),AL60&gt;=5),AM60/AL60,"")</f>
        <v>1.79962049335863</v>
      </c>
      <c r="AO60" s="43" t="n">
        <v>24.4</v>
      </c>
      <c r="AP60" s="43" t="n">
        <v>31</v>
      </c>
      <c r="AQ60" s="25" t="n">
        <f aca="false">IF(AND(ISNUMBER(AP60),ISNUMBER(AO60),AO60&gt;=5),AP60/AO60,"")</f>
        <v>1.27049180327869</v>
      </c>
      <c r="AR60" s="43" t="n">
        <v>372.7</v>
      </c>
      <c r="AS60" s="43" t="n">
        <v>374.5</v>
      </c>
      <c r="AT60" s="22" t="n">
        <f aca="false">IF(AND(ISNUMBER(AS60),ISNUMBER(AR60),AR60&gt;0),AS60/AR60-1,"")</f>
        <v>0.00482962167963508</v>
      </c>
      <c r="AU60" s="44"/>
      <c r="AV60" s="44"/>
      <c r="AW60" s="44"/>
      <c r="AX60" s="44"/>
      <c r="AY60" s="44"/>
      <c r="AZ60" s="45"/>
      <c r="BA60" s="45"/>
      <c r="BB60" s="46"/>
      <c r="BC60" s="46"/>
      <c r="BD60" s="23" t="str">
        <f aca="false">IF(AND(ISNUMBER(BB60),ISNUMBER(BC60),BB60&gt;0),1-BC60/BB60,"")</f>
        <v/>
      </c>
      <c r="BE60" s="47"/>
      <c r="BF60" s="48"/>
      <c r="BG60" s="48"/>
      <c r="BH60" s="27" t="str">
        <f aca="false">IF(AND(ISNUMBER(BF60),ISNUMBER(BG60),BG60&gt;0),BF60/BG60,"")</f>
        <v/>
      </c>
      <c r="BI60" s="48"/>
      <c r="BJ60" s="44"/>
      <c r="BK60" s="46"/>
      <c r="BL60" s="46"/>
      <c r="BM60" s="36" t="str">
        <f aca="false">IF(ISNUMBER(Q60),IF(Q60&lt;0,"YES","no"),"")</f>
        <v>YES</v>
      </c>
      <c r="BN60" s="36" t="str">
        <f aca="false">IFERROR(IF(AND(ISNUMBER(K60),ISNUMBER(INDEX('Lift Inputs'!$H:$H,MATCH(C60,'Lift Inputs'!$C:$C,0)))),IF(K60&lt;INDEX('Lift Inputs'!$H:$H,MATCH(C60,'Lift Inputs'!$C:$C,0)),"YES","no"),""),"")</f>
        <v/>
      </c>
      <c r="BO60" s="44"/>
    </row>
    <row r="61" customFormat="false" ht="15" hidden="false" customHeight="false" outlineLevel="0" collapsed="false">
      <c r="A61" s="15" t="s">
        <v>37</v>
      </c>
      <c r="B61" s="15" t="s">
        <v>49</v>
      </c>
      <c r="C61" s="15" t="n">
        <v>30</v>
      </c>
      <c r="D61" s="15" t="s">
        <v>196</v>
      </c>
      <c r="E61" s="15" t="n">
        <v>29</v>
      </c>
      <c r="F61" s="15" t="s">
        <v>358</v>
      </c>
      <c r="G61" s="15" t="s">
        <v>403</v>
      </c>
      <c r="H61" s="15" t="s">
        <v>404</v>
      </c>
      <c r="I61" s="15" t="s">
        <v>352</v>
      </c>
      <c r="J61" s="15" t="s">
        <v>176</v>
      </c>
      <c r="K61" s="35" t="n">
        <v>37.99</v>
      </c>
      <c r="L61" s="35"/>
      <c r="M61" s="23" t="str">
        <f aca="false">IF(AND(ISNUMBER(L61),ISNUMBER(K61),K61&gt;0),L61/K61-1,"")</f>
        <v/>
      </c>
      <c r="N61" s="36" t="str">
        <f aca="false">IF(M61="","No List Price",IF(M61&lt;=0,"At/below price",IF(M61&lt;=0.12,"&lt;=12% (STR zone)",IF(M61&lt;=0.25,"12-25%","&gt;25% (likely ignored)"))))</f>
        <v>No List Price</v>
      </c>
      <c r="O61" s="15"/>
      <c r="P61" s="35" t="n">
        <v>90.6832330827068</v>
      </c>
      <c r="Q61" s="22" t="n">
        <f aca="false">IF(AND(ISNUMBER(K61),ISNUMBER(P61),N(P61)&gt;0),K61/P61-1,"")</f>
        <v>-0.58106919318424</v>
      </c>
      <c r="R61" s="15" t="s">
        <v>353</v>
      </c>
      <c r="S61" s="37" t="n">
        <v>2541068</v>
      </c>
      <c r="T61" s="37" t="n">
        <v>5</v>
      </c>
      <c r="U61" s="38" t="n">
        <f aca="false">IF(AND(ISNUMBER(K61),ISNUMBER(T61)),K61*T61*52/12,"")</f>
        <v>823.116666666667</v>
      </c>
      <c r="V61" s="15" t="n">
        <v>4.4</v>
      </c>
      <c r="W61" s="37" t="n">
        <v>30</v>
      </c>
      <c r="X61" s="39" t="n">
        <v>46307</v>
      </c>
      <c r="Y61" s="15"/>
      <c r="Z61" s="40"/>
      <c r="AA61" s="41" t="str">
        <f aca="false">IF(ISNUMBER(Z61),(DATE(2026,10,13)-Z61)/365,"")</f>
        <v/>
      </c>
      <c r="AB61" s="37"/>
      <c r="AC61" s="15"/>
      <c r="AD61" s="15"/>
      <c r="AE61" s="15"/>
      <c r="AF61" s="42"/>
      <c r="AG61" s="42"/>
      <c r="AH61" s="15"/>
      <c r="AI61" s="37"/>
      <c r="AJ61" s="37"/>
      <c r="AK61" s="15"/>
      <c r="AL61" s="43"/>
      <c r="AM61" s="43"/>
      <c r="AN61" s="25" t="str">
        <f aca="false">IF(AND(ISNUMBER(AM61),ISNUMBER(AL61),AL61&gt;=5),AM61/AL61,"")</f>
        <v/>
      </c>
      <c r="AO61" s="43"/>
      <c r="AP61" s="43"/>
      <c r="AQ61" s="25" t="str">
        <f aca="false">IF(AND(ISNUMBER(AP61),ISNUMBER(AO61),AO61&gt;=5),AP61/AO61,"")</f>
        <v/>
      </c>
      <c r="AR61" s="43"/>
      <c r="AS61" s="43"/>
      <c r="AT61" s="22" t="str">
        <f aca="false">IF(AND(ISNUMBER(AS61),ISNUMBER(AR61),AR61&gt;0),AS61/AR61-1,"")</f>
        <v/>
      </c>
      <c r="AU61" s="44"/>
      <c r="AV61" s="44"/>
      <c r="AW61" s="44"/>
      <c r="AX61" s="44"/>
      <c r="AY61" s="44"/>
      <c r="AZ61" s="45"/>
      <c r="BA61" s="45"/>
      <c r="BB61" s="46"/>
      <c r="BC61" s="46"/>
      <c r="BD61" s="23" t="str">
        <f aca="false">IF(AND(ISNUMBER(BB61),ISNUMBER(BC61),BB61&gt;0),1-BC61/BB61,"")</f>
        <v/>
      </c>
      <c r="BE61" s="47"/>
      <c r="BF61" s="48"/>
      <c r="BG61" s="48"/>
      <c r="BH61" s="27" t="str">
        <f aca="false">IF(AND(ISNUMBER(BF61),ISNUMBER(BG61),BG61&gt;0),BF61/BG61,"")</f>
        <v/>
      </c>
      <c r="BI61" s="48"/>
      <c r="BJ61" s="44"/>
      <c r="BK61" s="46"/>
      <c r="BL61" s="46"/>
      <c r="BM61" s="36" t="str">
        <f aca="false">IF(ISNUMBER(Q61),IF(Q61&lt;0,"YES","no"),"")</f>
        <v>YES</v>
      </c>
      <c r="BN61" s="36" t="str">
        <f aca="false">IFERROR(IF(AND(ISNUMBER(K61),ISNUMBER(INDEX('Lift Inputs'!$H:$H,MATCH(C61,'Lift Inputs'!$C:$C,0)))),IF(K61&lt;INDEX('Lift Inputs'!$H:$H,MATCH(C61,'Lift Inputs'!$C:$C,0)),"YES","no"),""),"")</f>
        <v/>
      </c>
      <c r="BO61" s="44"/>
    </row>
    <row r="62" customFormat="false" ht="15" hidden="false" customHeight="false" outlineLevel="0" collapsed="false">
      <c r="A62" s="15" t="s">
        <v>37</v>
      </c>
      <c r="B62" s="15" t="s">
        <v>49</v>
      </c>
      <c r="C62" s="15" t="n">
        <v>30</v>
      </c>
      <c r="D62" s="15" t="s">
        <v>196</v>
      </c>
      <c r="E62" s="15" t="n">
        <v>696</v>
      </c>
      <c r="F62" s="15" t="s">
        <v>327</v>
      </c>
      <c r="G62" s="15" t="s">
        <v>328</v>
      </c>
      <c r="H62" s="15" t="s">
        <v>329</v>
      </c>
      <c r="I62" s="15" t="s">
        <v>330</v>
      </c>
      <c r="J62" s="15" t="s">
        <v>177</v>
      </c>
      <c r="K62" s="35" t="n">
        <v>37.99</v>
      </c>
      <c r="L62" s="35" t="n">
        <v>44.99</v>
      </c>
      <c r="M62" s="23" t="n">
        <f aca="false">IF(AND(ISNUMBER(L62),ISNUMBER(K62),K62&gt;0),L62/K62-1,"")</f>
        <v>0.184259015530403</v>
      </c>
      <c r="N62" s="36" t="str">
        <f aca="false">IF(M62="","No List Price",IF(M62&lt;=0,"At/below price",IF(M62&lt;=0.12,"&lt;=12% (STR zone)",IF(M62&lt;=0.25,"12-25%","&gt;25% (likely ignored)"))))</f>
        <v>12-25%</v>
      </c>
      <c r="O62" s="15" t="s">
        <v>311</v>
      </c>
      <c r="P62" s="35" t="n">
        <v>90.6832330827068</v>
      </c>
      <c r="Q62" s="22" t="n">
        <f aca="false">IF(AND(ISNUMBER(K62),ISNUMBER(P62),N(P62)&gt;0),K62/P62-1,"")</f>
        <v>-0.58106919318424</v>
      </c>
      <c r="R62" s="15" t="s">
        <v>312</v>
      </c>
      <c r="S62" s="37" t="n">
        <v>501</v>
      </c>
      <c r="T62" s="37" t="n">
        <v>924</v>
      </c>
      <c r="U62" s="38" t="n">
        <f aca="false">IF(AND(ISNUMBER(K62),ISNUMBER(T62)),K62*T62*52/12,"")</f>
        <v>152111.96</v>
      </c>
      <c r="V62" s="15" t="n">
        <v>4.4</v>
      </c>
      <c r="W62" s="37" t="n">
        <v>1900</v>
      </c>
      <c r="X62" s="39" t="n">
        <v>46307</v>
      </c>
      <c r="Y62" s="15" t="n">
        <v>176</v>
      </c>
      <c r="Z62" s="40" t="n">
        <v>45694</v>
      </c>
      <c r="AA62" s="41" t="n">
        <f aca="false">IF(ISNUMBER(Z62),(DATE(2026,10,13)-Z62)/365,"")</f>
        <v>1.68219178082192</v>
      </c>
      <c r="AB62" s="37" t="n">
        <v>22978</v>
      </c>
      <c r="AC62" s="15" t="s">
        <v>313</v>
      </c>
      <c r="AD62" s="15" t="n">
        <v>5</v>
      </c>
      <c r="AE62" s="15" t="s">
        <v>331</v>
      </c>
      <c r="AF62" s="42" t="n">
        <v>0</v>
      </c>
      <c r="AG62" s="42" t="n">
        <v>0</v>
      </c>
      <c r="AH62" s="15" t="n">
        <v>445</v>
      </c>
      <c r="AI62" s="37" t="n">
        <v>906346</v>
      </c>
      <c r="AJ62" s="37" t="n">
        <v>4326</v>
      </c>
      <c r="AK62" s="15" t="s">
        <v>315</v>
      </c>
      <c r="AL62" s="43" t="n">
        <v>1478.5</v>
      </c>
      <c r="AM62" s="43" t="n">
        <v>1323.8</v>
      </c>
      <c r="AN62" s="25" t="n">
        <f aca="false">IF(AND(ISNUMBER(AM62),ISNUMBER(AL62),AL62&gt;=5),AM62/AL62,"")</f>
        <v>0.895366925938451</v>
      </c>
      <c r="AO62" s="43" t="n">
        <v>0</v>
      </c>
      <c r="AP62" s="43" t="n">
        <v>0</v>
      </c>
      <c r="AQ62" s="25" t="str">
        <f aca="false">IF(AND(ISNUMBER(AP62),ISNUMBER(AO62),AO62&gt;=5),AP62/AO62,"")</f>
        <v/>
      </c>
      <c r="AR62" s="43" t="n">
        <v>886.7</v>
      </c>
      <c r="AS62" s="43" t="n">
        <v>1364.5</v>
      </c>
      <c r="AT62" s="22" t="n">
        <f aca="false">IF(AND(ISNUMBER(AS62),ISNUMBER(AR62),AR62&gt;0),AS62/AR62-1,"")</f>
        <v>0.538851922860043</v>
      </c>
      <c r="AU62" s="44"/>
      <c r="AV62" s="44"/>
      <c r="AW62" s="44"/>
      <c r="AX62" s="44"/>
      <c r="AY62" s="44"/>
      <c r="AZ62" s="45"/>
      <c r="BA62" s="45"/>
      <c r="BB62" s="46"/>
      <c r="BC62" s="46"/>
      <c r="BD62" s="23" t="str">
        <f aca="false">IF(AND(ISNUMBER(BB62),ISNUMBER(BC62),BB62&gt;0),1-BC62/BB62,"")</f>
        <v/>
      </c>
      <c r="BE62" s="47"/>
      <c r="BF62" s="48"/>
      <c r="BG62" s="48"/>
      <c r="BH62" s="27" t="str">
        <f aca="false">IF(AND(ISNUMBER(BF62),ISNUMBER(BG62),BG62&gt;0),BF62/BG62,"")</f>
        <v/>
      </c>
      <c r="BI62" s="48"/>
      <c r="BJ62" s="44"/>
      <c r="BK62" s="46"/>
      <c r="BL62" s="46"/>
      <c r="BM62" s="36" t="str">
        <f aca="false">IF(ISNUMBER(Q62),IF(Q62&lt;0,"YES","no"),"")</f>
        <v>YES</v>
      </c>
      <c r="BN62" s="36" t="str">
        <f aca="false">IFERROR(IF(AND(ISNUMBER(K62),ISNUMBER(INDEX('Lift Inputs'!$H:$H,MATCH(C62,'Lift Inputs'!$C:$C,0)))),IF(K62&lt;INDEX('Lift Inputs'!$H:$H,MATCH(C62,'Lift Inputs'!$C:$C,0)),"YES","no"),""),"")</f>
        <v/>
      </c>
      <c r="BO62" s="44"/>
    </row>
    <row r="63" customFormat="false" ht="15" hidden="false" customHeight="false" outlineLevel="0" collapsed="false">
      <c r="A63" s="15" t="s">
        <v>37</v>
      </c>
      <c r="B63" s="15" t="s">
        <v>49</v>
      </c>
      <c r="C63" s="15" t="n">
        <v>30</v>
      </c>
      <c r="D63" s="15" t="s">
        <v>196</v>
      </c>
      <c r="E63" s="15" t="n">
        <v>33</v>
      </c>
      <c r="F63" s="15" t="s">
        <v>332</v>
      </c>
      <c r="G63" s="15" t="s">
        <v>333</v>
      </c>
      <c r="H63" s="15" t="s">
        <v>334</v>
      </c>
      <c r="I63" s="15" t="s">
        <v>335</v>
      </c>
      <c r="J63" s="15" t="s">
        <v>177</v>
      </c>
      <c r="K63" s="35" t="n">
        <v>84.99</v>
      </c>
      <c r="L63" s="35"/>
      <c r="M63" s="23" t="str">
        <f aca="false">IF(AND(ISNUMBER(L63),ISNUMBER(K63),K63&gt;0),L63/K63-1,"")</f>
        <v/>
      </c>
      <c r="N63" s="36" t="str">
        <f aca="false">IF(M63="","No List Price",IF(M63&lt;=0,"At/below price",IF(M63&lt;=0.12,"&lt;=12% (STR zone)",IF(M63&lt;=0.25,"12-25%","&gt;25% (likely ignored)"))))</f>
        <v>No List Price</v>
      </c>
      <c r="O63" s="15" t="s">
        <v>320</v>
      </c>
      <c r="P63" s="35" t="n">
        <v>90.8617672413793</v>
      </c>
      <c r="Q63" s="22" t="n">
        <f aca="false">IF(AND(ISNUMBER(K63),ISNUMBER(P63),N(P63)&gt;0),K63/P63-1,"")</f>
        <v>-0.0646230798679124</v>
      </c>
      <c r="R63" s="15" t="s">
        <v>321</v>
      </c>
      <c r="S63" s="37" t="n">
        <v>5664</v>
      </c>
      <c r="T63" s="37" t="n">
        <v>185</v>
      </c>
      <c r="U63" s="38" t="n">
        <f aca="false">IF(AND(ISNUMBER(K63),ISNUMBER(T63)),K63*T63*52/12,"")</f>
        <v>68133.65</v>
      </c>
      <c r="V63" s="15" t="n">
        <v>4.5</v>
      </c>
      <c r="W63" s="37" t="n">
        <v>263</v>
      </c>
      <c r="X63" s="39" t="n">
        <v>46307</v>
      </c>
      <c r="Y63" s="15" t="n">
        <v>43</v>
      </c>
      <c r="Z63" s="40" t="n">
        <v>45944</v>
      </c>
      <c r="AA63" s="41" t="n">
        <f aca="false">IF(ISNUMBER(Z63),(DATE(2026,10,13)-Z63)/365,"")</f>
        <v>0.997260273972603</v>
      </c>
      <c r="AB63" s="37" t="n">
        <v>5418</v>
      </c>
      <c r="AC63" s="15" t="s">
        <v>313</v>
      </c>
      <c r="AD63" s="15" t="n">
        <v>1</v>
      </c>
      <c r="AE63" s="15" t="s">
        <v>336</v>
      </c>
      <c r="AF63" s="42" t="n">
        <v>0</v>
      </c>
      <c r="AG63" s="42" t="n">
        <v>0</v>
      </c>
      <c r="AH63" s="15" t="n">
        <v>295</v>
      </c>
      <c r="AI63" s="37" t="n">
        <v>334819</v>
      </c>
      <c r="AJ63" s="37" t="n">
        <v>2638</v>
      </c>
      <c r="AK63" s="15" t="s">
        <v>326</v>
      </c>
      <c r="AL63" s="43" t="n">
        <v>198.1</v>
      </c>
      <c r="AM63" s="43" t="n">
        <v>260</v>
      </c>
      <c r="AN63" s="25" t="n">
        <f aca="false">IF(AND(ISNUMBER(AM63),ISNUMBER(AL63),AL63&gt;=5),AM63/AL63,"")</f>
        <v>1.31246845027764</v>
      </c>
      <c r="AO63" s="43" t="n">
        <v>89.9</v>
      </c>
      <c r="AP63" s="43" t="n">
        <v>320.5</v>
      </c>
      <c r="AQ63" s="25" t="n">
        <f aca="false">IF(AND(ISNUMBER(AP63),ISNUMBER(AO63),AO63&gt;=5),AP63/AO63,"")</f>
        <v>3.5650723025584</v>
      </c>
      <c r="AR63" s="43" t="n">
        <v>183.2</v>
      </c>
      <c r="AS63" s="43" t="n">
        <v>230.2</v>
      </c>
      <c r="AT63" s="22" t="n">
        <f aca="false">IF(AND(ISNUMBER(AS63),ISNUMBER(AR63),AR63&gt;0),AS63/AR63-1,"")</f>
        <v>0.256550218340611</v>
      </c>
      <c r="AU63" s="44"/>
      <c r="AV63" s="44"/>
      <c r="AW63" s="44"/>
      <c r="AX63" s="44"/>
      <c r="AY63" s="44"/>
      <c r="AZ63" s="45"/>
      <c r="BA63" s="45"/>
      <c r="BB63" s="46"/>
      <c r="BC63" s="46"/>
      <c r="BD63" s="23" t="str">
        <f aca="false">IF(AND(ISNUMBER(BB63),ISNUMBER(BC63),BB63&gt;0),1-BC63/BB63,"")</f>
        <v/>
      </c>
      <c r="BE63" s="47"/>
      <c r="BF63" s="48"/>
      <c r="BG63" s="48"/>
      <c r="BH63" s="27" t="str">
        <f aca="false">IF(AND(ISNUMBER(BF63),ISNUMBER(BG63),BG63&gt;0),BF63/BG63,"")</f>
        <v/>
      </c>
      <c r="BI63" s="48"/>
      <c r="BJ63" s="44"/>
      <c r="BK63" s="46"/>
      <c r="BL63" s="46"/>
      <c r="BM63" s="36" t="str">
        <f aca="false">IF(ISNUMBER(Q63),IF(Q63&lt;0,"YES","no"),"")</f>
        <v>YES</v>
      </c>
      <c r="BN63" s="36" t="str">
        <f aca="false">IFERROR(IF(AND(ISNUMBER(K63),ISNUMBER(INDEX('Lift Inputs'!$H:$H,MATCH(C63,'Lift Inputs'!$C:$C,0)))),IF(K63&lt;INDEX('Lift Inputs'!$H:$H,MATCH(C63,'Lift Inputs'!$C:$C,0)),"YES","no"),""),"")</f>
        <v/>
      </c>
      <c r="BO63" s="44"/>
    </row>
    <row r="64" customFormat="false" ht="15" hidden="false" customHeight="false" outlineLevel="0" collapsed="false">
      <c r="A64" s="15" t="s">
        <v>37</v>
      </c>
      <c r="B64" s="15" t="s">
        <v>49</v>
      </c>
      <c r="C64" s="15" t="n">
        <v>30</v>
      </c>
      <c r="D64" s="15" t="s">
        <v>196</v>
      </c>
      <c r="E64" s="15" t="n">
        <v>1956</v>
      </c>
      <c r="F64" s="15" t="s">
        <v>337</v>
      </c>
      <c r="G64" s="15" t="s">
        <v>338</v>
      </c>
      <c r="H64" s="15" t="s">
        <v>339</v>
      </c>
      <c r="I64" s="15" t="s">
        <v>340</v>
      </c>
      <c r="J64" s="15" t="s">
        <v>177</v>
      </c>
      <c r="K64" s="35" t="n">
        <v>114.99</v>
      </c>
      <c r="L64" s="35" t="n">
        <v>129.99</v>
      </c>
      <c r="M64" s="23" t="n">
        <f aca="false">IF(AND(ISNUMBER(L64),ISNUMBER(K64),K64&gt;0),L64/K64-1,"")</f>
        <v>0.130446125750065</v>
      </c>
      <c r="N64" s="36" t="str">
        <f aca="false">IF(M64="","No List Price",IF(M64&lt;=0,"At/below price",IF(M64&lt;=0.12,"&lt;=12% (STR zone)",IF(M64&lt;=0.25,"12-25%","&gt;25% (likely ignored)"))))</f>
        <v>12-25%</v>
      </c>
      <c r="O64" s="15" t="s">
        <v>320</v>
      </c>
      <c r="P64" s="35" t="n">
        <v>90.8617672413793</v>
      </c>
      <c r="Q64" s="22" t="n">
        <f aca="false">IF(AND(ISNUMBER(K64),ISNUMBER(P64),N(P64)&gt;0),K64/P64-1,"")</f>
        <v>0.26554879451687</v>
      </c>
      <c r="R64" s="15" t="s">
        <v>321</v>
      </c>
      <c r="S64" s="37" t="n">
        <v>5934</v>
      </c>
      <c r="T64" s="37" t="n">
        <v>185</v>
      </c>
      <c r="U64" s="38" t="n">
        <f aca="false">IF(AND(ISNUMBER(K64),ISNUMBER(T64)),K64*T64*52/12,"")</f>
        <v>92183.65</v>
      </c>
      <c r="V64" s="15" t="n">
        <v>4.6</v>
      </c>
      <c r="W64" s="37" t="n">
        <v>167</v>
      </c>
      <c r="X64" s="39" t="n">
        <v>46307</v>
      </c>
      <c r="Y64" s="15"/>
      <c r="Z64" s="40"/>
      <c r="AA64" s="41" t="str">
        <f aca="false">IF(ISNUMBER(Z64),(DATE(2026,10,13)-Z64)/365,"")</f>
        <v/>
      </c>
      <c r="AB64" s="37"/>
      <c r="AC64" s="15"/>
      <c r="AD64" s="15"/>
      <c r="AE64" s="15"/>
      <c r="AF64" s="42"/>
      <c r="AG64" s="42"/>
      <c r="AH64" s="15"/>
      <c r="AI64" s="37" t="n">
        <v>557658</v>
      </c>
      <c r="AJ64" s="37" t="n">
        <v>2189</v>
      </c>
      <c r="AK64" s="15" t="s">
        <v>315</v>
      </c>
      <c r="AL64" s="43" t="n">
        <v>0</v>
      </c>
      <c r="AM64" s="43" t="n">
        <v>0</v>
      </c>
      <c r="AN64" s="25" t="str">
        <f aca="false">IF(AND(ISNUMBER(AM64),ISNUMBER(AL64),AL64&gt;=5),AM64/AL64,"")</f>
        <v/>
      </c>
      <c r="AO64" s="43" t="n">
        <v>0</v>
      </c>
      <c r="AP64" s="43" t="n">
        <v>0</v>
      </c>
      <c r="AQ64" s="25" t="str">
        <f aca="false">IF(AND(ISNUMBER(AP64),ISNUMBER(AO64),AO64&gt;=5),AP64/AO64,"")</f>
        <v/>
      </c>
      <c r="AR64" s="43" t="n">
        <v>0</v>
      </c>
      <c r="AS64" s="43" t="n">
        <v>4.2</v>
      </c>
      <c r="AT64" s="22" t="str">
        <f aca="false">IF(AND(ISNUMBER(AS64),ISNUMBER(AR64),AR64&gt;0),AS64/AR64-1,"")</f>
        <v/>
      </c>
      <c r="AU64" s="44"/>
      <c r="AV64" s="44"/>
      <c r="AW64" s="44"/>
      <c r="AX64" s="44"/>
      <c r="AY64" s="44"/>
      <c r="AZ64" s="45"/>
      <c r="BA64" s="45"/>
      <c r="BB64" s="46"/>
      <c r="BC64" s="46"/>
      <c r="BD64" s="23" t="str">
        <f aca="false">IF(AND(ISNUMBER(BB64),ISNUMBER(BC64),BB64&gt;0),1-BC64/BB64,"")</f>
        <v/>
      </c>
      <c r="BE64" s="47"/>
      <c r="BF64" s="48"/>
      <c r="BG64" s="48"/>
      <c r="BH64" s="27" t="str">
        <f aca="false">IF(AND(ISNUMBER(BF64),ISNUMBER(BG64),BG64&gt;0),BF64/BG64,"")</f>
        <v/>
      </c>
      <c r="BI64" s="48"/>
      <c r="BJ64" s="44"/>
      <c r="BK64" s="46"/>
      <c r="BL64" s="46"/>
      <c r="BM64" s="36" t="str">
        <f aca="false">IF(ISNUMBER(Q64),IF(Q64&lt;0,"YES","no"),"")</f>
        <v>no</v>
      </c>
      <c r="BN64" s="36" t="str">
        <f aca="false">IFERROR(IF(AND(ISNUMBER(K64),ISNUMBER(INDEX('Lift Inputs'!$H:$H,MATCH(C64,'Lift Inputs'!$C:$C,0)))),IF(K64&lt;INDEX('Lift Inputs'!$H:$H,MATCH(C64,'Lift Inputs'!$C:$C,0)),"YES","no"),""),"")</f>
        <v/>
      </c>
      <c r="BO64" s="44"/>
    </row>
    <row r="65" customFormat="false" ht="15" hidden="false" customHeight="false" outlineLevel="0" collapsed="false">
      <c r="A65" s="15" t="s">
        <v>37</v>
      </c>
      <c r="B65" s="15" t="s">
        <v>49</v>
      </c>
      <c r="C65" s="15" t="n">
        <v>30</v>
      </c>
      <c r="D65" s="15" t="s">
        <v>196</v>
      </c>
      <c r="E65" s="15" t="n">
        <v>1940</v>
      </c>
      <c r="F65" s="15" t="s">
        <v>438</v>
      </c>
      <c r="G65" s="15" t="s">
        <v>487</v>
      </c>
      <c r="H65" s="15" t="s">
        <v>488</v>
      </c>
      <c r="I65" s="15" t="s">
        <v>489</v>
      </c>
      <c r="J65" s="15" t="s">
        <v>177</v>
      </c>
      <c r="K65" s="35" t="n">
        <v>34.99</v>
      </c>
      <c r="L65" s="35"/>
      <c r="M65" s="23" t="str">
        <f aca="false">IF(AND(ISNUMBER(L65),ISNUMBER(K65),K65&gt;0),L65/K65-1,"")</f>
        <v/>
      </c>
      <c r="N65" s="36" t="str">
        <f aca="false">IF(M65="","No List Price",IF(M65&lt;=0,"At/below price",IF(M65&lt;=0.12,"&lt;=12% (STR zone)",IF(M65&lt;=0.25,"12-25%","&gt;25% (likely ignored)"))))</f>
        <v>No List Price</v>
      </c>
      <c r="O65" s="15" t="s">
        <v>311</v>
      </c>
      <c r="P65" s="35" t="n">
        <v>90.6832330827068</v>
      </c>
      <c r="Q65" s="22" t="n">
        <f aca="false">IF(AND(ISNUMBER(K65),ISNUMBER(P65),N(P65)&gt;0),K65/P65-1,"")</f>
        <v>-0.614151383772481</v>
      </c>
      <c r="R65" s="15" t="s">
        <v>312</v>
      </c>
      <c r="S65" s="37" t="n">
        <v>5396</v>
      </c>
      <c r="T65" s="37" t="n">
        <v>173</v>
      </c>
      <c r="U65" s="38" t="n">
        <f aca="false">IF(AND(ISNUMBER(K65),ISNUMBER(T65)),K65*T65*52/12,"")</f>
        <v>26230.8366666667</v>
      </c>
      <c r="V65" s="15" t="n">
        <v>4.3</v>
      </c>
      <c r="W65" s="37" t="n">
        <v>24352</v>
      </c>
      <c r="X65" s="39" t="n">
        <v>46307</v>
      </c>
      <c r="Y65" s="15"/>
      <c r="Z65" s="40"/>
      <c r="AA65" s="41" t="str">
        <f aca="false">IF(ISNUMBER(Z65),(DATE(2026,10,13)-Z65)/365,"")</f>
        <v/>
      </c>
      <c r="AB65" s="37"/>
      <c r="AC65" s="15"/>
      <c r="AD65" s="15"/>
      <c r="AE65" s="15"/>
      <c r="AF65" s="42"/>
      <c r="AG65" s="42"/>
      <c r="AH65" s="15"/>
      <c r="AI65" s="37" t="n">
        <v>135323</v>
      </c>
      <c r="AJ65" s="37" t="n">
        <v>1187</v>
      </c>
      <c r="AK65" s="15" t="s">
        <v>315</v>
      </c>
      <c r="AL65" s="43" t="n">
        <v>0</v>
      </c>
      <c r="AM65" s="43" t="n">
        <v>0</v>
      </c>
      <c r="AN65" s="25" t="str">
        <f aca="false">IF(AND(ISNUMBER(AM65),ISNUMBER(AL65),AL65&gt;=5),AM65/AL65,"")</f>
        <v/>
      </c>
      <c r="AO65" s="43" t="n">
        <v>0</v>
      </c>
      <c r="AP65" s="43" t="n">
        <v>0</v>
      </c>
      <c r="AQ65" s="25" t="str">
        <f aca="false">IF(AND(ISNUMBER(AP65),ISNUMBER(AO65),AO65&gt;=5),AP65/AO65,"")</f>
        <v/>
      </c>
      <c r="AR65" s="43" t="n">
        <v>23.9</v>
      </c>
      <c r="AS65" s="43" t="n">
        <v>1.2</v>
      </c>
      <c r="AT65" s="22" t="n">
        <f aca="false">IF(AND(ISNUMBER(AS65),ISNUMBER(AR65),AR65&gt;0),AS65/AR65-1,"")</f>
        <v>-0.94979079497908</v>
      </c>
      <c r="AU65" s="44"/>
      <c r="AV65" s="44"/>
      <c r="AW65" s="44"/>
      <c r="AX65" s="44"/>
      <c r="AY65" s="44"/>
      <c r="AZ65" s="45"/>
      <c r="BA65" s="45"/>
      <c r="BB65" s="46"/>
      <c r="BC65" s="46"/>
      <c r="BD65" s="23" t="str">
        <f aca="false">IF(AND(ISNUMBER(BB65),ISNUMBER(BC65),BB65&gt;0),1-BC65/BB65,"")</f>
        <v/>
      </c>
      <c r="BE65" s="47"/>
      <c r="BF65" s="48"/>
      <c r="BG65" s="48"/>
      <c r="BH65" s="27" t="str">
        <f aca="false">IF(AND(ISNUMBER(BF65),ISNUMBER(BG65),BG65&gt;0),BF65/BG65,"")</f>
        <v/>
      </c>
      <c r="BI65" s="48"/>
      <c r="BJ65" s="44"/>
      <c r="BK65" s="46"/>
      <c r="BL65" s="46"/>
      <c r="BM65" s="36" t="str">
        <f aca="false">IF(ISNUMBER(Q65),IF(Q65&lt;0,"YES","no"),"")</f>
        <v>YES</v>
      </c>
      <c r="BN65" s="36" t="str">
        <f aca="false">IFERROR(IF(AND(ISNUMBER(K65),ISNUMBER(INDEX('Lift Inputs'!$H:$H,MATCH(C65,'Lift Inputs'!$C:$C,0)))),IF(K65&lt;INDEX('Lift Inputs'!$H:$H,MATCH(C65,'Lift Inputs'!$C:$C,0)),"YES","no"),""),"")</f>
        <v/>
      </c>
      <c r="BO65" s="44"/>
    </row>
    <row r="66" customFormat="false" ht="15" hidden="false" customHeight="false" outlineLevel="0" collapsed="false">
      <c r="A66" s="15" t="s">
        <v>37</v>
      </c>
      <c r="B66" s="15" t="s">
        <v>49</v>
      </c>
      <c r="C66" s="15" t="n">
        <v>30</v>
      </c>
      <c r="D66" s="15" t="s">
        <v>196</v>
      </c>
      <c r="E66" s="15" t="n">
        <v>3</v>
      </c>
      <c r="F66" s="15" t="s">
        <v>341</v>
      </c>
      <c r="G66" s="15" t="s">
        <v>342</v>
      </c>
      <c r="H66" s="15" t="s">
        <v>343</v>
      </c>
      <c r="I66" s="15" t="s">
        <v>344</v>
      </c>
      <c r="J66" s="15" t="s">
        <v>177</v>
      </c>
      <c r="K66" s="35" t="n">
        <v>89.99</v>
      </c>
      <c r="L66" s="35"/>
      <c r="M66" s="23" t="str">
        <f aca="false">IF(AND(ISNUMBER(L66),ISNUMBER(K66),K66&gt;0),L66/K66-1,"")</f>
        <v/>
      </c>
      <c r="N66" s="36" t="str">
        <f aca="false">IF(M66="","No List Price",IF(M66&lt;=0,"At/below price",IF(M66&lt;=0.12,"&lt;=12% (STR zone)",IF(M66&lt;=0.25,"12-25%","&gt;25% (likely ignored)"))))</f>
        <v>No List Price</v>
      </c>
      <c r="O66" s="15" t="s">
        <v>311</v>
      </c>
      <c r="P66" s="35" t="n">
        <v>90.6832330827068</v>
      </c>
      <c r="Q66" s="22" t="n">
        <f aca="false">IF(AND(ISNUMBER(K66),ISNUMBER(P66),N(P66)&gt;0),K66/P66-1,"")</f>
        <v>-0.00764455632139305</v>
      </c>
      <c r="R66" s="15" t="s">
        <v>312</v>
      </c>
      <c r="S66" s="37" t="n">
        <v>6971</v>
      </c>
      <c r="T66" s="37" t="n">
        <v>104</v>
      </c>
      <c r="U66" s="38" t="n">
        <f aca="false">IF(AND(ISNUMBER(K66),ISNUMBER(T66)),K66*T66*52/12,"")</f>
        <v>40555.4933333333</v>
      </c>
      <c r="V66" s="15" t="n">
        <v>4.3</v>
      </c>
      <c r="W66" s="37" t="n">
        <v>2766</v>
      </c>
      <c r="X66" s="39" t="n">
        <v>46307</v>
      </c>
      <c r="Y66" s="15" t="n">
        <v>104</v>
      </c>
      <c r="Z66" s="40" t="n">
        <v>45649</v>
      </c>
      <c r="AA66" s="41" t="n">
        <f aca="false">IF(ISNUMBER(Z66),(DATE(2026,10,13)-Z66)/365,"")</f>
        <v>1.80547945205479</v>
      </c>
      <c r="AB66" s="37" t="n">
        <v>4777</v>
      </c>
      <c r="AC66" s="15" t="s">
        <v>313</v>
      </c>
      <c r="AD66" s="15" t="n">
        <v>1</v>
      </c>
      <c r="AE66" s="15" t="s">
        <v>345</v>
      </c>
      <c r="AF66" s="42" t="n">
        <v>0</v>
      </c>
      <c r="AG66" s="42" t="n">
        <v>0</v>
      </c>
      <c r="AH66" s="15" t="n">
        <v>190</v>
      </c>
      <c r="AI66" s="37" t="n">
        <v>407949</v>
      </c>
      <c r="AJ66" s="37" t="n">
        <v>2137</v>
      </c>
      <c r="AK66" s="15" t="s">
        <v>326</v>
      </c>
      <c r="AL66" s="43" t="n">
        <v>356.5</v>
      </c>
      <c r="AM66" s="43" t="n">
        <v>490</v>
      </c>
      <c r="AN66" s="25" t="n">
        <f aca="false">IF(AND(ISNUMBER(AM66),ISNUMBER(AL66),AL66&gt;=5),AM66/AL66,"")</f>
        <v>1.37447405329593</v>
      </c>
      <c r="AO66" s="43" t="n">
        <v>57.6</v>
      </c>
      <c r="AP66" s="43" t="n">
        <v>82.5</v>
      </c>
      <c r="AQ66" s="25" t="n">
        <f aca="false">IF(AND(ISNUMBER(AP66),ISNUMBER(AO66),AO66&gt;=5),AP66/AO66,"")</f>
        <v>1.43229166666667</v>
      </c>
      <c r="AR66" s="43" t="n">
        <v>239.9</v>
      </c>
      <c r="AS66" s="43" t="n">
        <v>571.4</v>
      </c>
      <c r="AT66" s="22" t="n">
        <f aca="false">IF(AND(ISNUMBER(AS66),ISNUMBER(AR66),AR66&gt;0),AS66/AR66-1,"")</f>
        <v>1.38182576073364</v>
      </c>
      <c r="AU66" s="44"/>
      <c r="AV66" s="44"/>
      <c r="AW66" s="44"/>
      <c r="AX66" s="44"/>
      <c r="AY66" s="44"/>
      <c r="AZ66" s="45"/>
      <c r="BA66" s="45"/>
      <c r="BB66" s="46"/>
      <c r="BC66" s="46"/>
      <c r="BD66" s="23" t="str">
        <f aca="false">IF(AND(ISNUMBER(BB66),ISNUMBER(BC66),BB66&gt;0),1-BC66/BB66,"")</f>
        <v/>
      </c>
      <c r="BE66" s="47"/>
      <c r="BF66" s="48"/>
      <c r="BG66" s="48"/>
      <c r="BH66" s="27" t="str">
        <f aca="false">IF(AND(ISNUMBER(BF66),ISNUMBER(BG66),BG66&gt;0),BF66/BG66,"")</f>
        <v/>
      </c>
      <c r="BI66" s="48"/>
      <c r="BJ66" s="44"/>
      <c r="BK66" s="46"/>
      <c r="BL66" s="46"/>
      <c r="BM66" s="36" t="str">
        <f aca="false">IF(ISNUMBER(Q66),IF(Q66&lt;0,"YES","no"),"")</f>
        <v>YES</v>
      </c>
      <c r="BN66" s="36" t="str">
        <f aca="false">IFERROR(IF(AND(ISNUMBER(K66),ISNUMBER(INDEX('Lift Inputs'!$H:$H,MATCH(C66,'Lift Inputs'!$C:$C,0)))),IF(K66&lt;INDEX('Lift Inputs'!$H:$H,MATCH(C66,'Lift Inputs'!$C:$C,0)),"YES","no"),""),"")</f>
        <v/>
      </c>
      <c r="BO66" s="44"/>
    </row>
    <row r="67" customFormat="false" ht="15" hidden="false" customHeight="false" outlineLevel="0" collapsed="false">
      <c r="A67" s="15" t="s">
        <v>37</v>
      </c>
      <c r="B67" s="15" t="s">
        <v>49</v>
      </c>
      <c r="C67" s="15" t="n">
        <v>30</v>
      </c>
      <c r="D67" s="15" t="s">
        <v>196</v>
      </c>
      <c r="E67" s="15" t="n">
        <v>6</v>
      </c>
      <c r="F67" s="15" t="s">
        <v>307</v>
      </c>
      <c r="G67" s="15" t="s">
        <v>346</v>
      </c>
      <c r="H67" s="15" t="s">
        <v>347</v>
      </c>
      <c r="I67" s="15" t="s">
        <v>348</v>
      </c>
      <c r="J67" s="15" t="s">
        <v>177</v>
      </c>
      <c r="K67" s="35" t="n">
        <v>89.99</v>
      </c>
      <c r="L67" s="35" t="n">
        <v>119.99</v>
      </c>
      <c r="M67" s="23" t="n">
        <f aca="false">IF(AND(ISNUMBER(L67),ISNUMBER(K67),K67&gt;0),L67/K67-1,"")</f>
        <v>0.333370374486054</v>
      </c>
      <c r="N67" s="36" t="str">
        <f aca="false">IF(M67="","No List Price",IF(M67&lt;=0,"At/below price",IF(M67&lt;=0.12,"&lt;=12% (STR zone)",IF(M67&lt;=0.25,"12-25%","&gt;25% (likely ignored)"))))</f>
        <v>&gt;25% (likely ignored)</v>
      </c>
      <c r="O67" s="15" t="s">
        <v>311</v>
      </c>
      <c r="P67" s="35" t="n">
        <v>90.6832330827068</v>
      </c>
      <c r="Q67" s="22" t="n">
        <f aca="false">IF(AND(ISNUMBER(K67),ISNUMBER(P67),N(P67)&gt;0),K67/P67-1,"")</f>
        <v>-0.00764455632139305</v>
      </c>
      <c r="R67" s="15" t="s">
        <v>312</v>
      </c>
      <c r="S67" s="37" t="n">
        <v>8938</v>
      </c>
      <c r="T67" s="37" t="n">
        <v>104</v>
      </c>
      <c r="U67" s="38" t="n">
        <f aca="false">IF(AND(ISNUMBER(K67),ISNUMBER(T67)),K67*T67*52/12,"")</f>
        <v>40555.4933333333</v>
      </c>
      <c r="V67" s="15" t="n">
        <v>4.5</v>
      </c>
      <c r="W67" s="37" t="n">
        <v>588</v>
      </c>
      <c r="X67" s="39" t="n">
        <v>46307</v>
      </c>
      <c r="Y67" s="15" t="n">
        <v>39</v>
      </c>
      <c r="Z67" s="40" t="n">
        <v>45936</v>
      </c>
      <c r="AA67" s="41" t="n">
        <f aca="false">IF(ISNUMBER(Z67),(DATE(2026,10,13)-Z67)/365,"")</f>
        <v>1.01917808219178</v>
      </c>
      <c r="AB67" s="37" t="n">
        <v>4014</v>
      </c>
      <c r="AC67" s="15" t="s">
        <v>313</v>
      </c>
      <c r="AD67" s="15" t="n">
        <v>4</v>
      </c>
      <c r="AE67" s="15" t="s">
        <v>314</v>
      </c>
      <c r="AF67" s="42" t="n">
        <v>0</v>
      </c>
      <c r="AG67" s="42" t="n">
        <v>0</v>
      </c>
      <c r="AH67" s="15" t="n">
        <v>313</v>
      </c>
      <c r="AI67" s="37" t="n">
        <v>840292</v>
      </c>
      <c r="AJ67" s="37" t="n">
        <v>3961</v>
      </c>
      <c r="AK67" s="15" t="s">
        <v>326</v>
      </c>
      <c r="AL67" s="43" t="n">
        <v>279.8</v>
      </c>
      <c r="AM67" s="43" t="n">
        <v>493.8</v>
      </c>
      <c r="AN67" s="25" t="n">
        <f aca="false">IF(AND(ISNUMBER(AM67),ISNUMBER(AL67),AL67&gt;=5),AM67/AL67,"")</f>
        <v>1.76483202287348</v>
      </c>
      <c r="AO67" s="43" t="n">
        <v>320.1</v>
      </c>
      <c r="AP67" s="43" t="n">
        <v>534.8</v>
      </c>
      <c r="AQ67" s="25" t="n">
        <f aca="false">IF(AND(ISNUMBER(AP67),ISNUMBER(AO67),AO67&gt;=5),AP67/AO67,"")</f>
        <v>1.67072789753202</v>
      </c>
      <c r="AR67" s="43" t="n">
        <v>248.7</v>
      </c>
      <c r="AS67" s="43" t="n">
        <v>226.2</v>
      </c>
      <c r="AT67" s="22" t="n">
        <f aca="false">IF(AND(ISNUMBER(AS67),ISNUMBER(AR67),AR67&gt;0),AS67/AR67-1,"")</f>
        <v>-0.0904704463208685</v>
      </c>
      <c r="AU67" s="44"/>
      <c r="AV67" s="44"/>
      <c r="AW67" s="44"/>
      <c r="AX67" s="44"/>
      <c r="AY67" s="44"/>
      <c r="AZ67" s="45"/>
      <c r="BA67" s="45"/>
      <c r="BB67" s="46"/>
      <c r="BC67" s="46"/>
      <c r="BD67" s="23" t="str">
        <f aca="false">IF(AND(ISNUMBER(BB67),ISNUMBER(BC67),BB67&gt;0),1-BC67/BB67,"")</f>
        <v/>
      </c>
      <c r="BE67" s="47"/>
      <c r="BF67" s="48"/>
      <c r="BG67" s="48"/>
      <c r="BH67" s="27" t="str">
        <f aca="false">IF(AND(ISNUMBER(BF67),ISNUMBER(BG67),BG67&gt;0),BF67/BG67,"")</f>
        <v/>
      </c>
      <c r="BI67" s="48"/>
      <c r="BJ67" s="44"/>
      <c r="BK67" s="46"/>
      <c r="BL67" s="46"/>
      <c r="BM67" s="36" t="str">
        <f aca="false">IF(ISNUMBER(Q67),IF(Q67&lt;0,"YES","no"),"")</f>
        <v>YES</v>
      </c>
      <c r="BN67" s="36" t="str">
        <f aca="false">IFERROR(IF(AND(ISNUMBER(K67),ISNUMBER(INDEX('Lift Inputs'!$H:$H,MATCH(C67,'Lift Inputs'!$C:$C,0)))),IF(K67&lt;INDEX('Lift Inputs'!$H:$H,MATCH(C67,'Lift Inputs'!$C:$C,0)),"YES","no"),""),"")</f>
        <v/>
      </c>
      <c r="BO67" s="44"/>
    </row>
    <row r="68" customFormat="false" ht="15" hidden="false" customHeight="false" outlineLevel="0" collapsed="false">
      <c r="A68" s="15" t="s">
        <v>37</v>
      </c>
      <c r="B68" s="15" t="s">
        <v>49</v>
      </c>
      <c r="C68" s="15" t="n">
        <v>30</v>
      </c>
      <c r="D68" s="15" t="s">
        <v>196</v>
      </c>
      <c r="E68" s="15" t="n">
        <v>1507</v>
      </c>
      <c r="F68" s="15" t="s">
        <v>349</v>
      </c>
      <c r="G68" s="15" t="s">
        <v>350</v>
      </c>
      <c r="H68" s="15" t="s">
        <v>351</v>
      </c>
      <c r="I68" s="15" t="s">
        <v>352</v>
      </c>
      <c r="J68" s="15" t="s">
        <v>177</v>
      </c>
      <c r="K68" s="35" t="n">
        <v>79.99</v>
      </c>
      <c r="L68" s="35"/>
      <c r="M68" s="23" t="str">
        <f aca="false">IF(AND(ISNUMBER(L68),ISNUMBER(K68),K68&gt;0),L68/K68-1,"")</f>
        <v/>
      </c>
      <c r="N68" s="36" t="str">
        <f aca="false">IF(M68="","No List Price",IF(M68&lt;=0,"At/below price",IF(M68&lt;=0.12,"&lt;=12% (STR zone)",IF(M68&lt;=0.25,"12-25%","&gt;25% (likely ignored)"))))</f>
        <v>No List Price</v>
      </c>
      <c r="O68" s="15"/>
      <c r="P68" s="35" t="n">
        <v>90.6832330827068</v>
      </c>
      <c r="Q68" s="22" t="n">
        <f aca="false">IF(AND(ISNUMBER(K68),ISNUMBER(P68),N(P68)&gt;0),K68/P68-1,"")</f>
        <v>-0.117918524948864</v>
      </c>
      <c r="R68" s="15" t="s">
        <v>353</v>
      </c>
      <c r="S68" s="37" t="n">
        <v>7961</v>
      </c>
      <c r="T68" s="37" t="n">
        <v>104</v>
      </c>
      <c r="U68" s="38" t="n">
        <f aca="false">IF(AND(ISNUMBER(K68),ISNUMBER(T68)),K68*T68*52/12,"")</f>
        <v>36048.8266666667</v>
      </c>
      <c r="V68" s="15" t="n">
        <v>4.5</v>
      </c>
      <c r="W68" s="37" t="n">
        <v>3776</v>
      </c>
      <c r="X68" s="39" t="n">
        <v>46307</v>
      </c>
      <c r="Y68" s="15"/>
      <c r="Z68" s="40"/>
      <c r="AA68" s="41" t="str">
        <f aca="false">IF(ISNUMBER(Z68),(DATE(2026,10,13)-Z68)/365,"")</f>
        <v/>
      </c>
      <c r="AB68" s="37"/>
      <c r="AC68" s="15"/>
      <c r="AD68" s="15"/>
      <c r="AE68" s="15"/>
      <c r="AF68" s="42"/>
      <c r="AG68" s="42"/>
      <c r="AH68" s="15"/>
      <c r="AI68" s="37" t="n">
        <v>185157</v>
      </c>
      <c r="AJ68" s="37" t="n">
        <v>1447</v>
      </c>
      <c r="AK68" s="15" t="s">
        <v>326</v>
      </c>
      <c r="AL68" s="43" t="n">
        <v>295.1</v>
      </c>
      <c r="AM68" s="43" t="n">
        <v>388</v>
      </c>
      <c r="AN68" s="25" t="n">
        <f aca="false">IF(AND(ISNUMBER(AM68),ISNUMBER(AL68),AL68&gt;=5),AM68/AL68,"")</f>
        <v>1.31480853947814</v>
      </c>
      <c r="AO68" s="43" t="n">
        <v>1.1</v>
      </c>
      <c r="AP68" s="43" t="n">
        <v>0.5</v>
      </c>
      <c r="AQ68" s="25" t="str">
        <f aca="false">IF(AND(ISNUMBER(AP68),ISNUMBER(AO68),AO68&gt;=5),AP68/AO68,"")</f>
        <v/>
      </c>
      <c r="AR68" s="43" t="n">
        <v>254.1</v>
      </c>
      <c r="AS68" s="43" t="n">
        <v>411.3</v>
      </c>
      <c r="AT68" s="22" t="n">
        <f aca="false">IF(AND(ISNUMBER(AS68),ISNUMBER(AR68),AR68&gt;0),AS68/AR68-1,"")</f>
        <v>0.618654073199528</v>
      </c>
      <c r="AU68" s="44"/>
      <c r="AV68" s="44"/>
      <c r="AW68" s="44"/>
      <c r="AX68" s="44"/>
      <c r="AY68" s="44"/>
      <c r="AZ68" s="45"/>
      <c r="BA68" s="45"/>
      <c r="BB68" s="46"/>
      <c r="BC68" s="46"/>
      <c r="BD68" s="23" t="str">
        <f aca="false">IF(AND(ISNUMBER(BB68),ISNUMBER(BC68),BB68&gt;0),1-BC68/BB68,"")</f>
        <v/>
      </c>
      <c r="BE68" s="47"/>
      <c r="BF68" s="48"/>
      <c r="BG68" s="48"/>
      <c r="BH68" s="27" t="str">
        <f aca="false">IF(AND(ISNUMBER(BF68),ISNUMBER(BG68),BG68&gt;0),BF68/BG68,"")</f>
        <v/>
      </c>
      <c r="BI68" s="48"/>
      <c r="BJ68" s="44"/>
      <c r="BK68" s="46"/>
      <c r="BL68" s="46"/>
      <c r="BM68" s="36" t="str">
        <f aca="false">IF(ISNUMBER(Q68),IF(Q68&lt;0,"YES","no"),"")</f>
        <v>YES</v>
      </c>
      <c r="BN68" s="36" t="str">
        <f aca="false">IFERROR(IF(AND(ISNUMBER(K68),ISNUMBER(INDEX('Lift Inputs'!$H:$H,MATCH(C68,'Lift Inputs'!$C:$C,0)))),IF(K68&lt;INDEX('Lift Inputs'!$H:$H,MATCH(C68,'Lift Inputs'!$C:$C,0)),"YES","no"),""),"")</f>
        <v/>
      </c>
      <c r="BO68" s="44"/>
    </row>
    <row r="69" customFormat="false" ht="15" hidden="false" customHeight="false" outlineLevel="0" collapsed="false">
      <c r="A69" s="15" t="s">
        <v>37</v>
      </c>
      <c r="B69" s="15" t="s">
        <v>49</v>
      </c>
      <c r="C69" s="15" t="n">
        <v>30</v>
      </c>
      <c r="D69" s="15" t="s">
        <v>196</v>
      </c>
      <c r="E69" s="15" t="n">
        <v>637</v>
      </c>
      <c r="F69" s="15" t="s">
        <v>354</v>
      </c>
      <c r="G69" s="15" t="s">
        <v>355</v>
      </c>
      <c r="H69" s="15" t="s">
        <v>356</v>
      </c>
      <c r="I69" s="15" t="s">
        <v>357</v>
      </c>
      <c r="J69" s="15" t="s">
        <v>177</v>
      </c>
      <c r="K69" s="35" t="n">
        <v>134.99</v>
      </c>
      <c r="L69" s="35"/>
      <c r="M69" s="23" t="str">
        <f aca="false">IF(AND(ISNUMBER(L69),ISNUMBER(K69),K69&gt;0),L69/K69-1,"")</f>
        <v/>
      </c>
      <c r="N69" s="36" t="str">
        <f aca="false">IF(M69="","No List Price",IF(M69&lt;=0,"At/below price",IF(M69&lt;=0.12,"&lt;=12% (STR zone)",IF(M69&lt;=0.25,"12-25%","&gt;25% (likely ignored)"))))</f>
        <v>No List Price</v>
      </c>
      <c r="O69" s="15" t="s">
        <v>320</v>
      </c>
      <c r="P69" s="35" t="n">
        <v>90.8617672413793</v>
      </c>
      <c r="Q69" s="22" t="n">
        <f aca="false">IF(AND(ISNUMBER(K69),ISNUMBER(P69),N(P69)&gt;0),K69/P69-1,"")</f>
        <v>0.485663377440058</v>
      </c>
      <c r="R69" s="15" t="s">
        <v>321</v>
      </c>
      <c r="S69" s="37" t="n">
        <v>1358</v>
      </c>
      <c r="T69" s="37" t="n">
        <v>92</v>
      </c>
      <c r="U69" s="38" t="n">
        <f aca="false">IF(AND(ISNUMBER(K69),ISNUMBER(T69)),K69*T69*52/12,"")</f>
        <v>53816.0133333333</v>
      </c>
      <c r="V69" s="15" t="n">
        <v>4.4</v>
      </c>
      <c r="W69" s="37" t="n">
        <v>5871</v>
      </c>
      <c r="X69" s="39" t="n">
        <v>46307</v>
      </c>
      <c r="Y69" s="15" t="n">
        <v>258</v>
      </c>
      <c r="Z69" s="40" t="n">
        <v>44154</v>
      </c>
      <c r="AA69" s="41" t="n">
        <f aca="false">IF(ISNUMBER(Z69),(DATE(2026,10,13)-Z69)/365,"")</f>
        <v>5.9013698630137</v>
      </c>
      <c r="AB69" s="37" t="n">
        <v>13039</v>
      </c>
      <c r="AC69" s="15" t="s">
        <v>313</v>
      </c>
      <c r="AD69" s="15" t="n">
        <v>1</v>
      </c>
      <c r="AE69" s="15" t="s">
        <v>314</v>
      </c>
      <c r="AF69" s="42" t="n">
        <v>0.80168776371308</v>
      </c>
      <c r="AG69" s="42" t="n">
        <v>0.361339222679758</v>
      </c>
      <c r="AH69" s="15" t="n">
        <v>316</v>
      </c>
      <c r="AI69" s="37" t="n">
        <v>591713</v>
      </c>
      <c r="AJ69" s="37" t="n">
        <v>5504</v>
      </c>
      <c r="AK69" s="15" t="s">
        <v>315</v>
      </c>
      <c r="AL69" s="43" t="n">
        <v>107.7</v>
      </c>
      <c r="AM69" s="43" t="n">
        <v>191.5</v>
      </c>
      <c r="AN69" s="25" t="n">
        <f aca="false">IF(AND(ISNUMBER(AM69),ISNUMBER(AL69),AL69&gt;=5),AM69/AL69,"")</f>
        <v>1.77808727948004</v>
      </c>
      <c r="AO69" s="43" t="n">
        <v>49.4</v>
      </c>
      <c r="AP69" s="43" t="n">
        <v>99.8</v>
      </c>
      <c r="AQ69" s="25" t="n">
        <f aca="false">IF(AND(ISNUMBER(AP69),ISNUMBER(AO69),AO69&gt;=5),AP69/AO69,"")</f>
        <v>2.02024291497976</v>
      </c>
      <c r="AR69" s="43" t="n">
        <v>127.5</v>
      </c>
      <c r="AS69" s="43" t="n">
        <v>175.6</v>
      </c>
      <c r="AT69" s="22" t="n">
        <f aca="false">IF(AND(ISNUMBER(AS69),ISNUMBER(AR69),AR69&gt;0),AS69/AR69-1,"")</f>
        <v>0.377254901960784</v>
      </c>
      <c r="AU69" s="44"/>
      <c r="AV69" s="44"/>
      <c r="AW69" s="44"/>
      <c r="AX69" s="44"/>
      <c r="AY69" s="44"/>
      <c r="AZ69" s="45"/>
      <c r="BA69" s="45"/>
      <c r="BB69" s="46"/>
      <c r="BC69" s="46"/>
      <c r="BD69" s="23" t="str">
        <f aca="false">IF(AND(ISNUMBER(BB69),ISNUMBER(BC69),BB69&gt;0),1-BC69/BB69,"")</f>
        <v/>
      </c>
      <c r="BE69" s="47"/>
      <c r="BF69" s="48"/>
      <c r="BG69" s="48"/>
      <c r="BH69" s="27" t="str">
        <f aca="false">IF(AND(ISNUMBER(BF69),ISNUMBER(BG69),BG69&gt;0),BF69/BG69,"")</f>
        <v/>
      </c>
      <c r="BI69" s="48"/>
      <c r="BJ69" s="44"/>
      <c r="BK69" s="46"/>
      <c r="BL69" s="46"/>
      <c r="BM69" s="36" t="str">
        <f aca="false">IF(ISNUMBER(Q69),IF(Q69&lt;0,"YES","no"),"")</f>
        <v>no</v>
      </c>
      <c r="BN69" s="36" t="str">
        <f aca="false">IFERROR(IF(AND(ISNUMBER(K69),ISNUMBER(INDEX('Lift Inputs'!$H:$H,MATCH(C69,'Lift Inputs'!$C:$C,0)))),IF(K69&lt;INDEX('Lift Inputs'!$H:$H,MATCH(C69,'Lift Inputs'!$C:$C,0)),"YES","no"),""),"")</f>
        <v/>
      </c>
      <c r="BO69" s="44"/>
    </row>
    <row r="70" customFormat="false" ht="15" hidden="false" customHeight="false" outlineLevel="0" collapsed="false">
      <c r="A70" s="15" t="s">
        <v>37</v>
      </c>
      <c r="B70" s="15" t="s">
        <v>49</v>
      </c>
      <c r="C70" s="15" t="n">
        <v>30</v>
      </c>
      <c r="D70" s="15" t="s">
        <v>196</v>
      </c>
      <c r="E70" s="15" t="n">
        <v>1814</v>
      </c>
      <c r="F70" s="15" t="s">
        <v>358</v>
      </c>
      <c r="G70" s="15" t="s">
        <v>359</v>
      </c>
      <c r="H70" s="15" t="s">
        <v>360</v>
      </c>
      <c r="I70" s="15" t="s">
        <v>361</v>
      </c>
      <c r="J70" s="15" t="s">
        <v>177</v>
      </c>
      <c r="K70" s="35" t="n">
        <v>67.98</v>
      </c>
      <c r="L70" s="35" t="n">
        <v>99.99</v>
      </c>
      <c r="M70" s="23" t="n">
        <f aca="false">IF(AND(ISNUMBER(L70),ISNUMBER(K70),K70&gt;0),L70/K70-1,"")</f>
        <v>0.470873786407767</v>
      </c>
      <c r="N70" s="36" t="str">
        <f aca="false">IF(M70="","No List Price",IF(M70&lt;=0,"At/below price",IF(M70&lt;=0.12,"&lt;=12% (STR zone)",IF(M70&lt;=0.25,"12-25%","&gt;25% (likely ignored)"))))</f>
        <v>&gt;25% (likely ignored)</v>
      </c>
      <c r="O70" s="15" t="s">
        <v>320</v>
      </c>
      <c r="P70" s="35" t="n">
        <v>90.8617672413793</v>
      </c>
      <c r="Q70" s="22" t="n">
        <f aca="false">IF(AND(ISNUMBER(K70),ISNUMBER(P70),N(P70)&gt;0),K70/P70-1,"")</f>
        <v>-0.251830532644084</v>
      </c>
      <c r="R70" s="15" t="s">
        <v>321</v>
      </c>
      <c r="S70" s="37" t="n">
        <v>14479</v>
      </c>
      <c r="T70" s="37" t="n">
        <v>81</v>
      </c>
      <c r="U70" s="38" t="n">
        <f aca="false">IF(AND(ISNUMBER(K70),ISNUMBER(T70)),K70*T70*52/12,"")</f>
        <v>23860.98</v>
      </c>
      <c r="V70" s="15" t="n">
        <v>4.4</v>
      </c>
      <c r="W70" s="37" t="n">
        <v>4095</v>
      </c>
      <c r="X70" s="39" t="n">
        <v>46307</v>
      </c>
      <c r="Y70" s="15" t="n">
        <v>40</v>
      </c>
      <c r="Z70" s="40" t="n">
        <v>43776</v>
      </c>
      <c r="AA70" s="41" t="n">
        <f aca="false">IF(ISNUMBER(Z70),(DATE(2026,10,13)-Z70)/365,"")</f>
        <v>6.93698630136986</v>
      </c>
      <c r="AB70" s="37" t="n">
        <v>2824</v>
      </c>
      <c r="AC70" s="15" t="s">
        <v>313</v>
      </c>
      <c r="AD70" s="15" t="n">
        <v>1</v>
      </c>
      <c r="AE70" s="15" t="s">
        <v>314</v>
      </c>
      <c r="AF70" s="42" t="n">
        <v>0</v>
      </c>
      <c r="AG70" s="42" t="n">
        <v>0</v>
      </c>
      <c r="AH70" s="15" t="n">
        <v>158</v>
      </c>
      <c r="AI70" s="37" t="n">
        <v>67699</v>
      </c>
      <c r="AJ70" s="37" t="n">
        <v>1687</v>
      </c>
      <c r="AK70" s="15" t="s">
        <v>315</v>
      </c>
      <c r="AL70" s="43" t="n">
        <v>83.8</v>
      </c>
      <c r="AM70" s="43" t="n">
        <v>85.2</v>
      </c>
      <c r="AN70" s="25" t="n">
        <f aca="false">IF(AND(ISNUMBER(AM70),ISNUMBER(AL70),AL70&gt;=5),AM70/AL70,"")</f>
        <v>1.01670644391408</v>
      </c>
      <c r="AO70" s="43" t="n">
        <v>10.4</v>
      </c>
      <c r="AP70" s="43" t="n">
        <v>24</v>
      </c>
      <c r="AQ70" s="25" t="n">
        <f aca="false">IF(AND(ISNUMBER(AP70),ISNUMBER(AO70),AO70&gt;=5),AP70/AO70,"")</f>
        <v>2.30769230769231</v>
      </c>
      <c r="AR70" s="43" t="n">
        <v>64.5</v>
      </c>
      <c r="AS70" s="43" t="n">
        <v>46</v>
      </c>
      <c r="AT70" s="22" t="n">
        <f aca="false">IF(AND(ISNUMBER(AS70),ISNUMBER(AR70),AR70&gt;0),AS70/AR70-1,"")</f>
        <v>-0.286821705426357</v>
      </c>
      <c r="AU70" s="44"/>
      <c r="AV70" s="44"/>
      <c r="AW70" s="44"/>
      <c r="AX70" s="44"/>
      <c r="AY70" s="44"/>
      <c r="AZ70" s="45"/>
      <c r="BA70" s="45"/>
      <c r="BB70" s="46"/>
      <c r="BC70" s="46"/>
      <c r="BD70" s="23" t="str">
        <f aca="false">IF(AND(ISNUMBER(BB70),ISNUMBER(BC70),BB70&gt;0),1-BC70/BB70,"")</f>
        <v/>
      </c>
      <c r="BE70" s="47"/>
      <c r="BF70" s="48"/>
      <c r="BG70" s="48"/>
      <c r="BH70" s="27" t="str">
        <f aca="false">IF(AND(ISNUMBER(BF70),ISNUMBER(BG70),BG70&gt;0),BF70/BG70,"")</f>
        <v/>
      </c>
      <c r="BI70" s="48"/>
      <c r="BJ70" s="44"/>
      <c r="BK70" s="46"/>
      <c r="BL70" s="46"/>
      <c r="BM70" s="36" t="str">
        <f aca="false">IF(ISNUMBER(Q70),IF(Q70&lt;0,"YES","no"),"")</f>
        <v>YES</v>
      </c>
      <c r="BN70" s="36" t="str">
        <f aca="false">IFERROR(IF(AND(ISNUMBER(K70),ISNUMBER(INDEX('Lift Inputs'!$H:$H,MATCH(C70,'Lift Inputs'!$C:$C,0)))),IF(K70&lt;INDEX('Lift Inputs'!$H:$H,MATCH(C70,'Lift Inputs'!$C:$C,0)),"YES","no"),""),"")</f>
        <v/>
      </c>
      <c r="BO70" s="44"/>
    </row>
    <row r="71" customFormat="false" ht="15" hidden="false" customHeight="false" outlineLevel="0" collapsed="false">
      <c r="A71" s="15" t="s">
        <v>37</v>
      </c>
      <c r="B71" s="15" t="s">
        <v>49</v>
      </c>
      <c r="C71" s="15" t="n">
        <v>30</v>
      </c>
      <c r="D71" s="15" t="s">
        <v>196</v>
      </c>
      <c r="E71" s="15" t="n">
        <v>1945</v>
      </c>
      <c r="F71" s="15" t="s">
        <v>362</v>
      </c>
      <c r="G71" s="15" t="s">
        <v>363</v>
      </c>
      <c r="H71" s="15" t="s">
        <v>364</v>
      </c>
      <c r="I71" s="15" t="s">
        <v>365</v>
      </c>
      <c r="J71" s="15" t="s">
        <v>177</v>
      </c>
      <c r="K71" s="35" t="n">
        <v>84.98</v>
      </c>
      <c r="L71" s="35" t="n">
        <v>99.89</v>
      </c>
      <c r="M71" s="23" t="n">
        <f aca="false">IF(AND(ISNUMBER(L71),ISNUMBER(K71),K71&gt;0),L71/K71-1,"")</f>
        <v>0.175453047775947</v>
      </c>
      <c r="N71" s="36" t="str">
        <f aca="false">IF(M71="","No List Price",IF(M71&lt;=0,"At/below price",IF(M71&lt;=0.12,"&lt;=12% (STR zone)",IF(M71&lt;=0.25,"12-25%","&gt;25% (likely ignored)"))))</f>
        <v>12-25%</v>
      </c>
      <c r="O71" s="15" t="s">
        <v>311</v>
      </c>
      <c r="P71" s="35" t="n">
        <v>90.6832330827068</v>
      </c>
      <c r="Q71" s="22" t="n">
        <f aca="false">IF(AND(ISNUMBER(K71),ISNUMBER(P71),N(P71)&gt;0),K71/P71-1,"")</f>
        <v>-0.0628918146037557</v>
      </c>
      <c r="R71" s="15" t="s">
        <v>312</v>
      </c>
      <c r="S71" s="37" t="n">
        <v>65907</v>
      </c>
      <c r="T71" s="37" t="n">
        <v>81</v>
      </c>
      <c r="U71" s="38" t="n">
        <f aca="false">IF(AND(ISNUMBER(K71),ISNUMBER(T71)),K71*T71*52/12,"")</f>
        <v>29827.98</v>
      </c>
      <c r="V71" s="15" t="n">
        <v>4.5</v>
      </c>
      <c r="W71" s="37" t="n">
        <v>113</v>
      </c>
      <c r="X71" s="39" t="n">
        <v>46307</v>
      </c>
      <c r="Y71" s="15"/>
      <c r="Z71" s="40"/>
      <c r="AA71" s="41" t="str">
        <f aca="false">IF(ISNUMBER(Z71),(DATE(2026,10,13)-Z71)/365,"")</f>
        <v/>
      </c>
      <c r="AB71" s="37"/>
      <c r="AC71" s="15"/>
      <c r="AD71" s="15"/>
      <c r="AE71" s="15"/>
      <c r="AF71" s="42"/>
      <c r="AG71" s="42"/>
      <c r="AH71" s="15"/>
      <c r="AI71" s="37" t="n">
        <v>212120</v>
      </c>
      <c r="AJ71" s="37" t="n">
        <v>1732</v>
      </c>
      <c r="AK71" s="15" t="s">
        <v>315</v>
      </c>
      <c r="AL71" s="43" t="n">
        <v>141.2</v>
      </c>
      <c r="AM71" s="43" t="n">
        <v>114</v>
      </c>
      <c r="AN71" s="25" t="n">
        <f aca="false">IF(AND(ISNUMBER(AM71),ISNUMBER(AL71),AL71&gt;=5),AM71/AL71,"")</f>
        <v>0.807365439093485</v>
      </c>
      <c r="AO71" s="43" t="n">
        <v>193.2</v>
      </c>
      <c r="AP71" s="43" t="n">
        <v>145.5</v>
      </c>
      <c r="AQ71" s="25" t="n">
        <f aca="false">IF(AND(ISNUMBER(AP71),ISNUMBER(AO71),AO71&gt;=5),AP71/AO71,"")</f>
        <v>0.753105590062112</v>
      </c>
      <c r="AR71" s="43" t="n">
        <v>54.9</v>
      </c>
      <c r="AS71" s="43" t="n">
        <v>82.2</v>
      </c>
      <c r="AT71" s="22" t="n">
        <f aca="false">IF(AND(ISNUMBER(AS71),ISNUMBER(AR71),AR71&gt;0),AS71/AR71-1,"")</f>
        <v>0.497267759562842</v>
      </c>
      <c r="AU71" s="44"/>
      <c r="AV71" s="44"/>
      <c r="AW71" s="44"/>
      <c r="AX71" s="44"/>
      <c r="AY71" s="44"/>
      <c r="AZ71" s="45"/>
      <c r="BA71" s="45"/>
      <c r="BB71" s="46"/>
      <c r="BC71" s="46"/>
      <c r="BD71" s="23" t="str">
        <f aca="false">IF(AND(ISNUMBER(BB71),ISNUMBER(BC71),BB71&gt;0),1-BC71/BB71,"")</f>
        <v/>
      </c>
      <c r="BE71" s="47"/>
      <c r="BF71" s="48"/>
      <c r="BG71" s="48"/>
      <c r="BH71" s="27" t="str">
        <f aca="false">IF(AND(ISNUMBER(BF71),ISNUMBER(BG71),BG71&gt;0),BF71/BG71,"")</f>
        <v/>
      </c>
      <c r="BI71" s="48"/>
      <c r="BJ71" s="44"/>
      <c r="BK71" s="46"/>
      <c r="BL71" s="46"/>
      <c r="BM71" s="36" t="str">
        <f aca="false">IF(ISNUMBER(Q71),IF(Q71&lt;0,"YES","no"),"")</f>
        <v>YES</v>
      </c>
      <c r="BN71" s="36" t="str">
        <f aca="false">IFERROR(IF(AND(ISNUMBER(K71),ISNUMBER(INDEX('Lift Inputs'!$H:$H,MATCH(C71,'Lift Inputs'!$C:$C,0)))),IF(K71&lt;INDEX('Lift Inputs'!$H:$H,MATCH(C71,'Lift Inputs'!$C:$C,0)),"YES","no"),""),"")</f>
        <v/>
      </c>
      <c r="BO71" s="44"/>
    </row>
    <row r="72" customFormat="false" ht="15" hidden="false" customHeight="false" outlineLevel="0" collapsed="false">
      <c r="A72" s="15" t="s">
        <v>37</v>
      </c>
      <c r="B72" s="15" t="s">
        <v>49</v>
      </c>
      <c r="C72" s="15" t="n">
        <v>30</v>
      </c>
      <c r="D72" s="15" t="s">
        <v>196</v>
      </c>
      <c r="E72" s="15" t="n">
        <v>22</v>
      </c>
      <c r="F72" s="15" t="s">
        <v>349</v>
      </c>
      <c r="G72" s="15" t="s">
        <v>366</v>
      </c>
      <c r="H72" s="15" t="s">
        <v>367</v>
      </c>
      <c r="I72" s="15" t="s">
        <v>368</v>
      </c>
      <c r="J72" s="15" t="s">
        <v>177</v>
      </c>
      <c r="K72" s="35" t="n">
        <v>59.99</v>
      </c>
      <c r="L72" s="35"/>
      <c r="M72" s="23" t="str">
        <f aca="false">IF(AND(ISNUMBER(L72),ISNUMBER(K72),K72&gt;0),L72/K72-1,"")</f>
        <v/>
      </c>
      <c r="N72" s="36" t="str">
        <f aca="false">IF(M72="","No List Price",IF(M72&lt;=0,"At/below price",IF(M72&lt;=0.12,"&lt;=12% (STR zone)",IF(M72&lt;=0.25,"12-25%","&gt;25% (likely ignored)"))))</f>
        <v>No List Price</v>
      </c>
      <c r="O72" s="15" t="s">
        <v>311</v>
      </c>
      <c r="P72" s="35" t="n">
        <v>90.6832330827068</v>
      </c>
      <c r="Q72" s="22" t="n">
        <f aca="false">IF(AND(ISNUMBER(K72),ISNUMBER(P72),N(P72)&gt;0),K72/P72-1,"")</f>
        <v>-0.338466462203805</v>
      </c>
      <c r="R72" s="15" t="s">
        <v>312</v>
      </c>
      <c r="S72" s="37" t="n">
        <v>23979</v>
      </c>
      <c r="T72" s="37" t="n">
        <v>81</v>
      </c>
      <c r="U72" s="38" t="n">
        <f aca="false">IF(AND(ISNUMBER(K72),ISNUMBER(T72)),K72*T72*52/12,"")</f>
        <v>21056.49</v>
      </c>
      <c r="V72" s="15" t="n">
        <v>4.5</v>
      </c>
      <c r="W72" s="37" t="n">
        <v>3911</v>
      </c>
      <c r="X72" s="39" t="n">
        <v>46307</v>
      </c>
      <c r="Y72" s="15" t="n">
        <v>42</v>
      </c>
      <c r="Z72" s="40" t="n">
        <v>45740</v>
      </c>
      <c r="AA72" s="41" t="n">
        <f aca="false">IF(ISNUMBER(Z72),(DATE(2026,10,13)-Z72)/365,"")</f>
        <v>1.55616438356164</v>
      </c>
      <c r="AB72" s="37" t="n">
        <v>1814</v>
      </c>
      <c r="AC72" s="15" t="s">
        <v>313</v>
      </c>
      <c r="AD72" s="15" t="n">
        <v>1</v>
      </c>
      <c r="AE72" s="15" t="s">
        <v>331</v>
      </c>
      <c r="AF72" s="42" t="n">
        <v>0</v>
      </c>
      <c r="AG72" s="42" t="n">
        <v>0</v>
      </c>
      <c r="AH72" s="15" t="n">
        <v>278</v>
      </c>
      <c r="AI72" s="37" t="n">
        <v>114504</v>
      </c>
      <c r="AJ72" s="37" t="n">
        <v>947</v>
      </c>
      <c r="AK72" s="15" t="s">
        <v>326</v>
      </c>
      <c r="AL72" s="43" t="n">
        <v>431.4</v>
      </c>
      <c r="AM72" s="43" t="n">
        <v>472.5</v>
      </c>
      <c r="AN72" s="25" t="n">
        <f aca="false">IF(AND(ISNUMBER(AM72),ISNUMBER(AL72),AL72&gt;=5),AM72/AL72,"")</f>
        <v>1.09527121001391</v>
      </c>
      <c r="AO72" s="43" t="n">
        <v>13.8</v>
      </c>
      <c r="AP72" s="43" t="n">
        <v>16.5</v>
      </c>
      <c r="AQ72" s="25" t="n">
        <f aca="false">IF(AND(ISNUMBER(AP72),ISNUMBER(AO72),AO72&gt;=5),AP72/AO72,"")</f>
        <v>1.19565217391304</v>
      </c>
      <c r="AR72" s="43" t="n">
        <v>365.3</v>
      </c>
      <c r="AS72" s="43" t="n">
        <v>327.3</v>
      </c>
      <c r="AT72" s="22" t="n">
        <f aca="false">IF(AND(ISNUMBER(AS72),ISNUMBER(AR72),AR72&gt;0),AS72/AR72-1,"")</f>
        <v>-0.104024089789214</v>
      </c>
      <c r="AU72" s="44"/>
      <c r="AV72" s="44"/>
      <c r="AW72" s="44"/>
      <c r="AX72" s="44"/>
      <c r="AY72" s="44"/>
      <c r="AZ72" s="45"/>
      <c r="BA72" s="45"/>
      <c r="BB72" s="46"/>
      <c r="BC72" s="46"/>
      <c r="BD72" s="23" t="str">
        <f aca="false">IF(AND(ISNUMBER(BB72),ISNUMBER(BC72),BB72&gt;0),1-BC72/BB72,"")</f>
        <v/>
      </c>
      <c r="BE72" s="47"/>
      <c r="BF72" s="48"/>
      <c r="BG72" s="48"/>
      <c r="BH72" s="27" t="str">
        <f aca="false">IF(AND(ISNUMBER(BF72),ISNUMBER(BG72),BG72&gt;0),BF72/BG72,"")</f>
        <v/>
      </c>
      <c r="BI72" s="48"/>
      <c r="BJ72" s="44"/>
      <c r="BK72" s="46"/>
      <c r="BL72" s="46"/>
      <c r="BM72" s="36" t="str">
        <f aca="false">IF(ISNUMBER(Q72),IF(Q72&lt;0,"YES","no"),"")</f>
        <v>YES</v>
      </c>
      <c r="BN72" s="36" t="str">
        <f aca="false">IFERROR(IF(AND(ISNUMBER(K72),ISNUMBER(INDEX('Lift Inputs'!$H:$H,MATCH(C72,'Lift Inputs'!$C:$C,0)))),IF(K72&lt;INDEX('Lift Inputs'!$H:$H,MATCH(C72,'Lift Inputs'!$C:$C,0)),"YES","no"),""),"")</f>
        <v/>
      </c>
      <c r="BO72" s="44"/>
    </row>
    <row r="73" customFormat="false" ht="15" hidden="false" customHeight="false" outlineLevel="0" collapsed="false">
      <c r="A73" s="15" t="s">
        <v>37</v>
      </c>
      <c r="B73" s="15" t="s">
        <v>49</v>
      </c>
      <c r="C73" s="15" t="n">
        <v>30</v>
      </c>
      <c r="D73" s="15" t="s">
        <v>196</v>
      </c>
      <c r="E73" s="15" t="n">
        <v>1953</v>
      </c>
      <c r="F73" s="15" t="s">
        <v>369</v>
      </c>
      <c r="G73" s="15" t="s">
        <v>370</v>
      </c>
      <c r="H73" s="15" t="s">
        <v>371</v>
      </c>
      <c r="I73" s="15" t="s">
        <v>372</v>
      </c>
      <c r="J73" s="15" t="s">
        <v>177</v>
      </c>
      <c r="K73" s="35" t="n">
        <v>59.99</v>
      </c>
      <c r="L73" s="35"/>
      <c r="M73" s="23" t="str">
        <f aca="false">IF(AND(ISNUMBER(L73),ISNUMBER(K73),K73&gt;0),L73/K73-1,"")</f>
        <v/>
      </c>
      <c r="N73" s="36" t="str">
        <f aca="false">IF(M73="","No List Price",IF(M73&lt;=0,"At/below price",IF(M73&lt;=0.12,"&lt;=12% (STR zone)",IF(M73&lt;=0.25,"12-25%","&gt;25% (likely ignored)"))))</f>
        <v>No List Price</v>
      </c>
      <c r="O73" s="15" t="s">
        <v>320</v>
      </c>
      <c r="P73" s="35" t="n">
        <v>90.8617672413793</v>
      </c>
      <c r="Q73" s="22" t="n">
        <f aca="false">IF(AND(ISNUMBER(K73),ISNUMBER(P73),N(P73)&gt;0),K73/P73-1,"")</f>
        <v>-0.339766308521897</v>
      </c>
      <c r="R73" s="15" t="s">
        <v>321</v>
      </c>
      <c r="S73" s="37" t="n">
        <v>205508</v>
      </c>
      <c r="T73" s="37" t="n">
        <v>35</v>
      </c>
      <c r="U73" s="38" t="n">
        <f aca="false">IF(AND(ISNUMBER(K73),ISNUMBER(T73)),K73*T73*52/12,"")</f>
        <v>9098.48333333333</v>
      </c>
      <c r="V73" s="15" t="n">
        <v>4.2</v>
      </c>
      <c r="W73" s="37" t="n">
        <v>81</v>
      </c>
      <c r="X73" s="39" t="n">
        <v>46307</v>
      </c>
      <c r="Y73" s="15"/>
      <c r="Z73" s="40"/>
      <c r="AA73" s="41" t="str">
        <f aca="false">IF(ISNUMBER(Z73),(DATE(2026,10,13)-Z73)/365,"")</f>
        <v/>
      </c>
      <c r="AB73" s="37"/>
      <c r="AC73" s="15"/>
      <c r="AD73" s="15"/>
      <c r="AE73" s="15"/>
      <c r="AF73" s="42"/>
      <c r="AG73" s="42"/>
      <c r="AH73" s="15"/>
      <c r="AI73" s="37" t="n">
        <v>75425</v>
      </c>
      <c r="AJ73" s="37" t="n">
        <v>1329</v>
      </c>
      <c r="AK73" s="15" t="s">
        <v>315</v>
      </c>
      <c r="AL73" s="43" t="n">
        <v>0</v>
      </c>
      <c r="AM73" s="43" t="n">
        <v>0</v>
      </c>
      <c r="AN73" s="25" t="str">
        <f aca="false">IF(AND(ISNUMBER(AM73),ISNUMBER(AL73),AL73&gt;=5),AM73/AL73,"")</f>
        <v/>
      </c>
      <c r="AO73" s="43" t="n">
        <v>0</v>
      </c>
      <c r="AP73" s="43" t="n">
        <v>0</v>
      </c>
      <c r="AQ73" s="25" t="str">
        <f aca="false">IF(AND(ISNUMBER(AP73),ISNUMBER(AO73),AO73&gt;=5),AP73/AO73,"")</f>
        <v/>
      </c>
      <c r="AR73" s="43" t="n">
        <v>0</v>
      </c>
      <c r="AS73" s="43" t="n">
        <v>69.1</v>
      </c>
      <c r="AT73" s="22" t="str">
        <f aca="false">IF(AND(ISNUMBER(AS73),ISNUMBER(AR73),AR73&gt;0),AS73/AR73-1,"")</f>
        <v/>
      </c>
      <c r="AU73" s="44"/>
      <c r="AV73" s="44"/>
      <c r="AW73" s="44"/>
      <c r="AX73" s="44"/>
      <c r="AY73" s="44"/>
      <c r="AZ73" s="45"/>
      <c r="BA73" s="45"/>
      <c r="BB73" s="46"/>
      <c r="BC73" s="46"/>
      <c r="BD73" s="23" t="str">
        <f aca="false">IF(AND(ISNUMBER(BB73),ISNUMBER(BC73),BB73&gt;0),1-BC73/BB73,"")</f>
        <v/>
      </c>
      <c r="BE73" s="47"/>
      <c r="BF73" s="48"/>
      <c r="BG73" s="48"/>
      <c r="BH73" s="27" t="str">
        <f aca="false">IF(AND(ISNUMBER(BF73),ISNUMBER(BG73),BG73&gt;0),BF73/BG73,"")</f>
        <v/>
      </c>
      <c r="BI73" s="48"/>
      <c r="BJ73" s="44"/>
      <c r="BK73" s="46"/>
      <c r="BL73" s="46"/>
      <c r="BM73" s="36" t="str">
        <f aca="false">IF(ISNUMBER(Q73),IF(Q73&lt;0,"YES","no"),"")</f>
        <v>YES</v>
      </c>
      <c r="BN73" s="36" t="str">
        <f aca="false">IFERROR(IF(AND(ISNUMBER(K73),ISNUMBER(INDEX('Lift Inputs'!$H:$H,MATCH(C73,'Lift Inputs'!$C:$C,0)))),IF(K73&lt;INDEX('Lift Inputs'!$H:$H,MATCH(C73,'Lift Inputs'!$C:$C,0)),"YES","no"),""),"")</f>
        <v/>
      </c>
      <c r="BO73" s="44"/>
    </row>
    <row r="74" customFormat="false" ht="15" hidden="false" customHeight="false" outlineLevel="0" collapsed="false">
      <c r="A74" s="15" t="s">
        <v>37</v>
      </c>
      <c r="B74" s="15" t="s">
        <v>49</v>
      </c>
      <c r="C74" s="15" t="n">
        <v>30</v>
      </c>
      <c r="D74" s="15" t="s">
        <v>196</v>
      </c>
      <c r="E74" s="15" t="n">
        <v>1510</v>
      </c>
      <c r="F74" s="15" t="s">
        <v>373</v>
      </c>
      <c r="G74" s="15" t="s">
        <v>374</v>
      </c>
      <c r="H74" s="15" t="s">
        <v>375</v>
      </c>
      <c r="I74" s="15" t="s">
        <v>352</v>
      </c>
      <c r="J74" s="15" t="s">
        <v>177</v>
      </c>
      <c r="K74" s="35" t="n">
        <v>55</v>
      </c>
      <c r="L74" s="35"/>
      <c r="M74" s="23" t="str">
        <f aca="false">IF(AND(ISNUMBER(L74),ISNUMBER(K74),K74&gt;0),L74/K74-1,"")</f>
        <v/>
      </c>
      <c r="N74" s="36" t="str">
        <f aca="false">IF(M74="","No List Price",IF(M74&lt;=0,"At/below price",IF(M74&lt;=0.12,"&lt;=12% (STR zone)",IF(M74&lt;=0.25,"12-25%","&gt;25% (likely ignored)"))))</f>
        <v>No List Price</v>
      </c>
      <c r="O74" s="15"/>
      <c r="P74" s="35" t="n">
        <v>90.6832330827068</v>
      </c>
      <c r="Q74" s="22" t="n">
        <f aca="false">IF(AND(ISNUMBER(K74),ISNUMBER(P74),N(P74)&gt;0),K74/P74-1,"")</f>
        <v>-0.393493172548912</v>
      </c>
      <c r="R74" s="15" t="s">
        <v>353</v>
      </c>
      <c r="S74" s="37" t="n">
        <v>4051</v>
      </c>
      <c r="T74" s="37" t="n">
        <v>35</v>
      </c>
      <c r="U74" s="38" t="n">
        <f aca="false">IF(AND(ISNUMBER(K74),ISNUMBER(T74)),K74*T74*52/12,"")</f>
        <v>8341.66666666667</v>
      </c>
      <c r="V74" s="15" t="n">
        <v>4.4</v>
      </c>
      <c r="W74" s="37" t="n">
        <v>1909</v>
      </c>
      <c r="X74" s="39" t="n">
        <v>46307</v>
      </c>
      <c r="Y74" s="15"/>
      <c r="Z74" s="40"/>
      <c r="AA74" s="41" t="str">
        <f aca="false">IF(ISNUMBER(Z74),(DATE(2026,10,13)-Z74)/365,"")</f>
        <v/>
      </c>
      <c r="AB74" s="37"/>
      <c r="AC74" s="15"/>
      <c r="AD74" s="15"/>
      <c r="AE74" s="15"/>
      <c r="AF74" s="42"/>
      <c r="AG74" s="42"/>
      <c r="AH74" s="15"/>
      <c r="AI74" s="37" t="n">
        <v>171534</v>
      </c>
      <c r="AJ74" s="37" t="n">
        <v>2682</v>
      </c>
      <c r="AK74" s="15"/>
      <c r="AL74" s="43"/>
      <c r="AM74" s="43"/>
      <c r="AN74" s="25" t="str">
        <f aca="false">IF(AND(ISNUMBER(AM74),ISNUMBER(AL74),AL74&gt;=5),AM74/AL74,"")</f>
        <v/>
      </c>
      <c r="AO74" s="43"/>
      <c r="AP74" s="43"/>
      <c r="AQ74" s="25" t="str">
        <f aca="false">IF(AND(ISNUMBER(AP74),ISNUMBER(AO74),AO74&gt;=5),AP74/AO74,"")</f>
        <v/>
      </c>
      <c r="AR74" s="43"/>
      <c r="AS74" s="43"/>
      <c r="AT74" s="22" t="str">
        <f aca="false">IF(AND(ISNUMBER(AS74),ISNUMBER(AR74),AR74&gt;0),AS74/AR74-1,"")</f>
        <v/>
      </c>
      <c r="AU74" s="44"/>
      <c r="AV74" s="44"/>
      <c r="AW74" s="44"/>
      <c r="AX74" s="44"/>
      <c r="AY74" s="44"/>
      <c r="AZ74" s="45"/>
      <c r="BA74" s="45"/>
      <c r="BB74" s="46"/>
      <c r="BC74" s="46"/>
      <c r="BD74" s="23" t="str">
        <f aca="false">IF(AND(ISNUMBER(BB74),ISNUMBER(BC74),BB74&gt;0),1-BC74/BB74,"")</f>
        <v/>
      </c>
      <c r="BE74" s="47"/>
      <c r="BF74" s="48"/>
      <c r="BG74" s="48"/>
      <c r="BH74" s="27" t="str">
        <f aca="false">IF(AND(ISNUMBER(BF74),ISNUMBER(BG74),BG74&gt;0),BF74/BG74,"")</f>
        <v/>
      </c>
      <c r="BI74" s="48"/>
      <c r="BJ74" s="44"/>
      <c r="BK74" s="46"/>
      <c r="BL74" s="46"/>
      <c r="BM74" s="36" t="str">
        <f aca="false">IF(ISNUMBER(Q74),IF(Q74&lt;0,"YES","no"),"")</f>
        <v>YES</v>
      </c>
      <c r="BN74" s="36" t="str">
        <f aca="false">IFERROR(IF(AND(ISNUMBER(K74),ISNUMBER(INDEX('Lift Inputs'!$H:$H,MATCH(C74,'Lift Inputs'!$C:$C,0)))),IF(K74&lt;INDEX('Lift Inputs'!$H:$H,MATCH(C74,'Lift Inputs'!$C:$C,0)),"YES","no"),""),"")</f>
        <v/>
      </c>
      <c r="BO74" s="44"/>
    </row>
    <row r="75" customFormat="false" ht="15" hidden="false" customHeight="false" outlineLevel="0" collapsed="false">
      <c r="A75" s="15" t="s">
        <v>37</v>
      </c>
      <c r="B75" s="15" t="s">
        <v>49</v>
      </c>
      <c r="C75" s="15" t="n">
        <v>30</v>
      </c>
      <c r="D75" s="15" t="s">
        <v>196</v>
      </c>
      <c r="E75" s="15" t="n">
        <v>1819</v>
      </c>
      <c r="F75" s="15" t="s">
        <v>376</v>
      </c>
      <c r="G75" s="15" t="s">
        <v>377</v>
      </c>
      <c r="H75" s="15" t="s">
        <v>378</v>
      </c>
      <c r="I75" s="15" t="s">
        <v>379</v>
      </c>
      <c r="J75" s="15" t="s">
        <v>177</v>
      </c>
      <c r="K75" s="35" t="n">
        <v>109</v>
      </c>
      <c r="L75" s="35"/>
      <c r="M75" s="23" t="str">
        <f aca="false">IF(AND(ISNUMBER(L75),ISNUMBER(K75),K75&gt;0),L75/K75-1,"")</f>
        <v/>
      </c>
      <c r="N75" s="36" t="str">
        <f aca="false">IF(M75="","No List Price",IF(M75&lt;=0,"At/below price",IF(M75&lt;=0.12,"&lt;=12% (STR zone)",IF(M75&lt;=0.25,"12-25%","&gt;25% (likely ignored)"))))</f>
        <v>No List Price</v>
      </c>
      <c r="O75" s="15" t="s">
        <v>320</v>
      </c>
      <c r="P75" s="35" t="n">
        <v>90.8617672413793</v>
      </c>
      <c r="Q75" s="22" t="n">
        <f aca="false">IF(AND(ISNUMBER(K75),ISNUMBER(P75),N(P75)&gt;0),K75/P75-1,"")</f>
        <v>0.199624476931375</v>
      </c>
      <c r="R75" s="15" t="s">
        <v>321</v>
      </c>
      <c r="S75" s="37" t="n">
        <v>16154</v>
      </c>
      <c r="T75" s="37" t="n">
        <v>35</v>
      </c>
      <c r="U75" s="38" t="n">
        <f aca="false">IF(AND(ISNUMBER(K75),ISNUMBER(T75)),K75*T75*52/12,"")</f>
        <v>16531.6666666667</v>
      </c>
      <c r="V75" s="15" t="n">
        <v>4.4</v>
      </c>
      <c r="W75" s="37" t="n">
        <v>3371</v>
      </c>
      <c r="X75" s="39" t="n">
        <v>46307</v>
      </c>
      <c r="Y75" s="15" t="n">
        <v>99</v>
      </c>
      <c r="Z75" s="40" t="n">
        <v>44922</v>
      </c>
      <c r="AA75" s="41" t="n">
        <f aca="false">IF(ISNUMBER(Z75),(DATE(2026,10,13)-Z75)/365,"")</f>
        <v>3.7972602739726</v>
      </c>
      <c r="AB75" s="37" t="n">
        <v>2972</v>
      </c>
      <c r="AC75" s="15" t="s">
        <v>313</v>
      </c>
      <c r="AD75" s="15" t="n">
        <v>1</v>
      </c>
      <c r="AE75" s="15" t="s">
        <v>380</v>
      </c>
      <c r="AF75" s="42" t="n">
        <v>0</v>
      </c>
      <c r="AG75" s="42" t="n">
        <v>0</v>
      </c>
      <c r="AH75" s="15" t="n">
        <v>68</v>
      </c>
      <c r="AI75" s="37" t="n">
        <v>76017</v>
      </c>
      <c r="AJ75" s="37" t="n">
        <v>1577</v>
      </c>
      <c r="AK75" s="15"/>
      <c r="AL75" s="43"/>
      <c r="AM75" s="43"/>
      <c r="AN75" s="25" t="str">
        <f aca="false">IF(AND(ISNUMBER(AM75),ISNUMBER(AL75),AL75&gt;=5),AM75/AL75,"")</f>
        <v/>
      </c>
      <c r="AO75" s="43"/>
      <c r="AP75" s="43"/>
      <c r="AQ75" s="25" t="str">
        <f aca="false">IF(AND(ISNUMBER(AP75),ISNUMBER(AO75),AO75&gt;=5),AP75/AO75,"")</f>
        <v/>
      </c>
      <c r="AR75" s="43"/>
      <c r="AS75" s="43"/>
      <c r="AT75" s="22" t="str">
        <f aca="false">IF(AND(ISNUMBER(AS75),ISNUMBER(AR75),AR75&gt;0),AS75/AR75-1,"")</f>
        <v/>
      </c>
      <c r="AU75" s="44"/>
      <c r="AV75" s="44"/>
      <c r="AW75" s="44"/>
      <c r="AX75" s="44"/>
      <c r="AY75" s="44"/>
      <c r="AZ75" s="45"/>
      <c r="BA75" s="45"/>
      <c r="BB75" s="46"/>
      <c r="BC75" s="46"/>
      <c r="BD75" s="23" t="str">
        <f aca="false">IF(AND(ISNUMBER(BB75),ISNUMBER(BC75),BB75&gt;0),1-BC75/BB75,"")</f>
        <v/>
      </c>
      <c r="BE75" s="47"/>
      <c r="BF75" s="48"/>
      <c r="BG75" s="48"/>
      <c r="BH75" s="27" t="str">
        <f aca="false">IF(AND(ISNUMBER(BF75),ISNUMBER(BG75),BG75&gt;0),BF75/BG75,"")</f>
        <v/>
      </c>
      <c r="BI75" s="48"/>
      <c r="BJ75" s="44"/>
      <c r="BK75" s="46"/>
      <c r="BL75" s="46"/>
      <c r="BM75" s="36" t="str">
        <f aca="false">IF(ISNUMBER(Q75),IF(Q75&lt;0,"YES","no"),"")</f>
        <v>no</v>
      </c>
      <c r="BN75" s="36" t="str">
        <f aca="false">IFERROR(IF(AND(ISNUMBER(K75),ISNUMBER(INDEX('Lift Inputs'!$H:$H,MATCH(C75,'Lift Inputs'!$C:$C,0)))),IF(K75&lt;INDEX('Lift Inputs'!$H:$H,MATCH(C75,'Lift Inputs'!$C:$C,0)),"YES","no"),""),"")</f>
        <v/>
      </c>
      <c r="BO75" s="44"/>
    </row>
    <row r="76" customFormat="false" ht="15" hidden="false" customHeight="false" outlineLevel="0" collapsed="false">
      <c r="A76" s="15" t="s">
        <v>37</v>
      </c>
      <c r="B76" s="15" t="s">
        <v>49</v>
      </c>
      <c r="C76" s="15" t="n">
        <v>30</v>
      </c>
      <c r="D76" s="15" t="s">
        <v>196</v>
      </c>
      <c r="E76" s="15" t="n">
        <v>1816</v>
      </c>
      <c r="F76" s="15" t="s">
        <v>381</v>
      </c>
      <c r="G76" s="15" t="s">
        <v>382</v>
      </c>
      <c r="H76" s="15" t="s">
        <v>383</v>
      </c>
      <c r="I76" s="15" t="s">
        <v>384</v>
      </c>
      <c r="J76" s="15" t="s">
        <v>177</v>
      </c>
      <c r="K76" s="35" t="n">
        <v>119.99</v>
      </c>
      <c r="L76" s="35"/>
      <c r="M76" s="23" t="str">
        <f aca="false">IF(AND(ISNUMBER(L76),ISNUMBER(K76),K76&gt;0),L76/K76-1,"")</f>
        <v/>
      </c>
      <c r="N76" s="36" t="str">
        <f aca="false">IF(M76="","No List Price",IF(M76&lt;=0,"At/below price",IF(M76&lt;=0.12,"&lt;=12% (STR zone)",IF(M76&lt;=0.25,"12-25%","&gt;25% (likely ignored)"))))</f>
        <v>No List Price</v>
      </c>
      <c r="O76" s="15"/>
      <c r="P76" s="35" t="n">
        <v>90.6832330827068</v>
      </c>
      <c r="Q76" s="22" t="n">
        <f aca="false">IF(AND(ISNUMBER(K76),ISNUMBER(P76),N(P76)&gt;0),K76/P76-1,"")</f>
        <v>0.323177349561018</v>
      </c>
      <c r="R76" s="15" t="s">
        <v>353</v>
      </c>
      <c r="S76" s="37" t="n">
        <v>15914</v>
      </c>
      <c r="T76" s="37" t="n">
        <v>35</v>
      </c>
      <c r="U76" s="38" t="n">
        <f aca="false">IF(AND(ISNUMBER(K76),ISNUMBER(T76)),K76*T76*52/12,"")</f>
        <v>18198.4833333333</v>
      </c>
      <c r="V76" s="15" t="n">
        <v>4.3</v>
      </c>
      <c r="W76" s="37" t="n">
        <v>474</v>
      </c>
      <c r="X76" s="39" t="n">
        <v>46307</v>
      </c>
      <c r="Y76" s="15"/>
      <c r="Z76" s="40"/>
      <c r="AA76" s="41" t="str">
        <f aca="false">IF(ISNUMBER(Z76),(DATE(2026,10,13)-Z76)/365,"")</f>
        <v/>
      </c>
      <c r="AB76" s="37"/>
      <c r="AC76" s="15"/>
      <c r="AD76" s="15"/>
      <c r="AE76" s="15"/>
      <c r="AF76" s="42"/>
      <c r="AG76" s="42"/>
      <c r="AH76" s="15"/>
      <c r="AI76" s="37" t="n">
        <v>243610</v>
      </c>
      <c r="AJ76" s="37" t="n">
        <v>3715</v>
      </c>
      <c r="AK76" s="15" t="s">
        <v>315</v>
      </c>
      <c r="AL76" s="43" t="n">
        <v>23.4</v>
      </c>
      <c r="AM76" s="43" t="n">
        <v>49.2</v>
      </c>
      <c r="AN76" s="25" t="n">
        <f aca="false">IF(AND(ISNUMBER(AM76),ISNUMBER(AL76),AL76&gt;=5),AM76/AL76,"")</f>
        <v>2.1025641025641</v>
      </c>
      <c r="AO76" s="43" t="n">
        <v>45.5</v>
      </c>
      <c r="AP76" s="43" t="n">
        <v>115.2</v>
      </c>
      <c r="AQ76" s="25" t="n">
        <f aca="false">IF(AND(ISNUMBER(AP76),ISNUMBER(AO76),AO76&gt;=5),AP76/AO76,"")</f>
        <v>2.53186813186813</v>
      </c>
      <c r="AR76" s="43" t="n">
        <v>23.6</v>
      </c>
      <c r="AS76" s="43" t="n">
        <v>2.9</v>
      </c>
      <c r="AT76" s="22" t="n">
        <f aca="false">IF(AND(ISNUMBER(AS76),ISNUMBER(AR76),AR76&gt;0),AS76/AR76-1,"")</f>
        <v>-0.877118644067797</v>
      </c>
      <c r="AU76" s="44"/>
      <c r="AV76" s="44"/>
      <c r="AW76" s="44"/>
      <c r="AX76" s="44"/>
      <c r="AY76" s="44"/>
      <c r="AZ76" s="45"/>
      <c r="BA76" s="45"/>
      <c r="BB76" s="46"/>
      <c r="BC76" s="46"/>
      <c r="BD76" s="23" t="str">
        <f aca="false">IF(AND(ISNUMBER(BB76),ISNUMBER(BC76),BB76&gt;0),1-BC76/BB76,"")</f>
        <v/>
      </c>
      <c r="BE76" s="47"/>
      <c r="BF76" s="48"/>
      <c r="BG76" s="48"/>
      <c r="BH76" s="27" t="str">
        <f aca="false">IF(AND(ISNUMBER(BF76),ISNUMBER(BG76),BG76&gt;0),BF76/BG76,"")</f>
        <v/>
      </c>
      <c r="BI76" s="48"/>
      <c r="BJ76" s="44"/>
      <c r="BK76" s="46"/>
      <c r="BL76" s="46"/>
      <c r="BM76" s="36" t="str">
        <f aca="false">IF(ISNUMBER(Q76),IF(Q76&lt;0,"YES","no"),"")</f>
        <v>no</v>
      </c>
      <c r="BN76" s="36" t="str">
        <f aca="false">IFERROR(IF(AND(ISNUMBER(K76),ISNUMBER(INDEX('Lift Inputs'!$H:$H,MATCH(C76,'Lift Inputs'!$C:$C,0)))),IF(K76&lt;INDEX('Lift Inputs'!$H:$H,MATCH(C76,'Lift Inputs'!$C:$C,0)),"YES","no"),""),"")</f>
        <v/>
      </c>
      <c r="BO76" s="44"/>
    </row>
    <row r="77" customFormat="false" ht="15" hidden="false" customHeight="false" outlineLevel="0" collapsed="false">
      <c r="A77" s="15" t="s">
        <v>37</v>
      </c>
      <c r="B77" s="15" t="s">
        <v>49</v>
      </c>
      <c r="C77" s="15" t="n">
        <v>30</v>
      </c>
      <c r="D77" s="15" t="s">
        <v>196</v>
      </c>
      <c r="E77" s="15" t="n">
        <v>1943</v>
      </c>
      <c r="F77" s="15" t="s">
        <v>385</v>
      </c>
      <c r="G77" s="15" t="s">
        <v>386</v>
      </c>
      <c r="H77" s="15" t="s">
        <v>387</v>
      </c>
      <c r="I77" s="15" t="s">
        <v>388</v>
      </c>
      <c r="J77" s="15" t="s">
        <v>177</v>
      </c>
      <c r="K77" s="35" t="n">
        <v>79</v>
      </c>
      <c r="L77" s="35" t="n">
        <v>109</v>
      </c>
      <c r="M77" s="23" t="n">
        <f aca="false">IF(AND(ISNUMBER(L77),ISNUMBER(K77),K77&gt;0),L77/K77-1,"")</f>
        <v>0.379746835443038</v>
      </c>
      <c r="N77" s="36" t="str">
        <f aca="false">IF(M77="","No List Price",IF(M77&lt;=0,"At/below price",IF(M77&lt;=0.12,"&lt;=12% (STR zone)",IF(M77&lt;=0.25,"12-25%","&gt;25% (likely ignored)"))))</f>
        <v>&gt;25% (likely ignored)</v>
      </c>
      <c r="O77" s="15" t="s">
        <v>311</v>
      </c>
      <c r="P77" s="35" t="n">
        <v>90.6832330827068</v>
      </c>
      <c r="Q77" s="22" t="n">
        <f aca="false">IF(AND(ISNUMBER(K77),ISNUMBER(P77),N(P77)&gt;0),K77/P77-1,"")</f>
        <v>-0.128835647842983</v>
      </c>
      <c r="R77" s="15" t="s">
        <v>312</v>
      </c>
      <c r="S77" s="37" t="n">
        <v>28003</v>
      </c>
      <c r="T77" s="37" t="n">
        <v>35</v>
      </c>
      <c r="U77" s="38" t="n">
        <f aca="false">IF(AND(ISNUMBER(K77),ISNUMBER(T77)),K77*T77*52/12,"")</f>
        <v>11981.6666666667</v>
      </c>
      <c r="V77" s="15" t="n">
        <v>4.8</v>
      </c>
      <c r="W77" s="37" t="n">
        <v>279</v>
      </c>
      <c r="X77" s="39" t="n">
        <v>46307</v>
      </c>
      <c r="Y77" s="15"/>
      <c r="Z77" s="40"/>
      <c r="AA77" s="41" t="str">
        <f aca="false">IF(ISNUMBER(Z77),(DATE(2026,10,13)-Z77)/365,"")</f>
        <v/>
      </c>
      <c r="AB77" s="37"/>
      <c r="AC77" s="15"/>
      <c r="AD77" s="15"/>
      <c r="AE77" s="15"/>
      <c r="AF77" s="42"/>
      <c r="AG77" s="42"/>
      <c r="AH77" s="15"/>
      <c r="AI77" s="37" t="n">
        <v>216953</v>
      </c>
      <c r="AJ77" s="37" t="n">
        <v>1218</v>
      </c>
      <c r="AK77" s="15"/>
      <c r="AL77" s="43"/>
      <c r="AM77" s="43"/>
      <c r="AN77" s="25" t="str">
        <f aca="false">IF(AND(ISNUMBER(AM77),ISNUMBER(AL77),AL77&gt;=5),AM77/AL77,"")</f>
        <v/>
      </c>
      <c r="AO77" s="43"/>
      <c r="AP77" s="43"/>
      <c r="AQ77" s="25" t="str">
        <f aca="false">IF(AND(ISNUMBER(AP77),ISNUMBER(AO77),AO77&gt;=5),AP77/AO77,"")</f>
        <v/>
      </c>
      <c r="AR77" s="43"/>
      <c r="AS77" s="43"/>
      <c r="AT77" s="22" t="str">
        <f aca="false">IF(AND(ISNUMBER(AS77),ISNUMBER(AR77),AR77&gt;0),AS77/AR77-1,"")</f>
        <v/>
      </c>
      <c r="AU77" s="44"/>
      <c r="AV77" s="44"/>
      <c r="AW77" s="44"/>
      <c r="AX77" s="44"/>
      <c r="AY77" s="44"/>
      <c r="AZ77" s="45"/>
      <c r="BA77" s="45"/>
      <c r="BB77" s="46"/>
      <c r="BC77" s="46"/>
      <c r="BD77" s="23" t="str">
        <f aca="false">IF(AND(ISNUMBER(BB77),ISNUMBER(BC77),BB77&gt;0),1-BC77/BB77,"")</f>
        <v/>
      </c>
      <c r="BE77" s="47"/>
      <c r="BF77" s="48"/>
      <c r="BG77" s="48"/>
      <c r="BH77" s="27" t="str">
        <f aca="false">IF(AND(ISNUMBER(BF77),ISNUMBER(BG77),BG77&gt;0),BF77/BG77,"")</f>
        <v/>
      </c>
      <c r="BI77" s="48"/>
      <c r="BJ77" s="44"/>
      <c r="BK77" s="46"/>
      <c r="BL77" s="46"/>
      <c r="BM77" s="36" t="str">
        <f aca="false">IF(ISNUMBER(Q77),IF(Q77&lt;0,"YES","no"),"")</f>
        <v>YES</v>
      </c>
      <c r="BN77" s="36" t="str">
        <f aca="false">IFERROR(IF(AND(ISNUMBER(K77),ISNUMBER(INDEX('Lift Inputs'!$H:$H,MATCH(C77,'Lift Inputs'!$C:$C,0)))),IF(K77&lt;INDEX('Lift Inputs'!$H:$H,MATCH(C77,'Lift Inputs'!$C:$C,0)),"YES","no"),""),"")</f>
        <v/>
      </c>
      <c r="BO77" s="44"/>
    </row>
    <row r="78" customFormat="false" ht="15" hidden="false" customHeight="false" outlineLevel="0" collapsed="false">
      <c r="A78" s="15" t="s">
        <v>37</v>
      </c>
      <c r="B78" s="15" t="s">
        <v>49</v>
      </c>
      <c r="C78" s="15" t="n">
        <v>30</v>
      </c>
      <c r="D78" s="15" t="s">
        <v>196</v>
      </c>
      <c r="E78" s="15" t="n">
        <v>1955</v>
      </c>
      <c r="F78" s="15" t="s">
        <v>389</v>
      </c>
      <c r="G78" s="15" t="s">
        <v>390</v>
      </c>
      <c r="H78" s="15" t="s">
        <v>391</v>
      </c>
      <c r="I78" s="15" t="s">
        <v>392</v>
      </c>
      <c r="J78" s="15" t="s">
        <v>177</v>
      </c>
      <c r="K78" s="35" t="n">
        <v>89.98</v>
      </c>
      <c r="L78" s="35"/>
      <c r="M78" s="23" t="str">
        <f aca="false">IF(AND(ISNUMBER(L78),ISNUMBER(K78),K78&gt;0),L78/K78-1,"")</f>
        <v/>
      </c>
      <c r="N78" s="36" t="str">
        <f aca="false">IF(M78="","No List Price",IF(M78&lt;=0,"At/below price",IF(M78&lt;=0.12,"&lt;=12% (STR zone)",IF(M78&lt;=0.25,"12-25%","&gt;25% (likely ignored)"))))</f>
        <v>No List Price</v>
      </c>
      <c r="O78" s="15" t="s">
        <v>311</v>
      </c>
      <c r="P78" s="35" t="n">
        <v>90.6832330827068</v>
      </c>
      <c r="Q78" s="22" t="n">
        <f aca="false">IF(AND(ISNUMBER(K78),ISNUMBER(P78),N(P78)&gt;0),K78/P78-1,"")</f>
        <v>-0.00775483029002044</v>
      </c>
      <c r="R78" s="15" t="s">
        <v>312</v>
      </c>
      <c r="S78" s="37" t="n">
        <v>263209</v>
      </c>
      <c r="T78" s="37" t="n">
        <v>18</v>
      </c>
      <c r="U78" s="38" t="n">
        <f aca="false">IF(AND(ISNUMBER(K78),ISNUMBER(T78)),K78*T78*52/12,"")</f>
        <v>7018.44</v>
      </c>
      <c r="V78" s="15" t="n">
        <v>4.4</v>
      </c>
      <c r="W78" s="37" t="n">
        <v>739</v>
      </c>
      <c r="X78" s="39" t="n">
        <v>46307</v>
      </c>
      <c r="Y78" s="15"/>
      <c r="Z78" s="40"/>
      <c r="AA78" s="41" t="str">
        <f aca="false">IF(ISNUMBER(Z78),(DATE(2026,10,13)-Z78)/365,"")</f>
        <v/>
      </c>
      <c r="AB78" s="37"/>
      <c r="AC78" s="15"/>
      <c r="AD78" s="15"/>
      <c r="AE78" s="15"/>
      <c r="AF78" s="42"/>
      <c r="AG78" s="42"/>
      <c r="AH78" s="15"/>
      <c r="AI78" s="37" t="n">
        <v>67928</v>
      </c>
      <c r="AJ78" s="37" t="n">
        <v>1037</v>
      </c>
      <c r="AK78" s="15" t="s">
        <v>315</v>
      </c>
      <c r="AL78" s="43" t="n">
        <v>70.2</v>
      </c>
      <c r="AM78" s="43" t="n">
        <v>51.5</v>
      </c>
      <c r="AN78" s="25" t="n">
        <f aca="false">IF(AND(ISNUMBER(AM78),ISNUMBER(AL78),AL78&gt;=5),AM78/AL78,"")</f>
        <v>0.733618233618234</v>
      </c>
      <c r="AO78" s="43" t="n">
        <v>0</v>
      </c>
      <c r="AP78" s="43" t="n">
        <v>0</v>
      </c>
      <c r="AQ78" s="25" t="str">
        <f aca="false">IF(AND(ISNUMBER(AP78),ISNUMBER(AO78),AO78&gt;=5),AP78/AO78,"")</f>
        <v/>
      </c>
      <c r="AR78" s="43" t="n">
        <v>34.4</v>
      </c>
      <c r="AS78" s="43" t="n">
        <v>24.5</v>
      </c>
      <c r="AT78" s="22" t="n">
        <f aca="false">IF(AND(ISNUMBER(AS78),ISNUMBER(AR78),AR78&gt;0),AS78/AR78-1,"")</f>
        <v>-0.287790697674419</v>
      </c>
      <c r="AU78" s="44"/>
      <c r="AV78" s="44"/>
      <c r="AW78" s="44"/>
      <c r="AX78" s="44"/>
      <c r="AY78" s="44"/>
      <c r="AZ78" s="45"/>
      <c r="BA78" s="45"/>
      <c r="BB78" s="46"/>
      <c r="BC78" s="46"/>
      <c r="BD78" s="23" t="str">
        <f aca="false">IF(AND(ISNUMBER(BB78),ISNUMBER(BC78),BB78&gt;0),1-BC78/BB78,"")</f>
        <v/>
      </c>
      <c r="BE78" s="47"/>
      <c r="BF78" s="48"/>
      <c r="BG78" s="48"/>
      <c r="BH78" s="27" t="str">
        <f aca="false">IF(AND(ISNUMBER(BF78),ISNUMBER(BG78),BG78&gt;0),BF78/BG78,"")</f>
        <v/>
      </c>
      <c r="BI78" s="48"/>
      <c r="BJ78" s="44"/>
      <c r="BK78" s="46"/>
      <c r="BL78" s="46"/>
      <c r="BM78" s="36" t="str">
        <f aca="false">IF(ISNUMBER(Q78),IF(Q78&lt;0,"YES","no"),"")</f>
        <v>YES</v>
      </c>
      <c r="BN78" s="36" t="str">
        <f aca="false">IFERROR(IF(AND(ISNUMBER(K78),ISNUMBER(INDEX('Lift Inputs'!$H:$H,MATCH(C78,'Lift Inputs'!$C:$C,0)))),IF(K78&lt;INDEX('Lift Inputs'!$H:$H,MATCH(C78,'Lift Inputs'!$C:$C,0)),"YES","no"),""),"")</f>
        <v/>
      </c>
      <c r="BO78" s="44"/>
    </row>
    <row r="79" customFormat="false" ht="15" hidden="false" customHeight="false" outlineLevel="0" collapsed="false">
      <c r="A79" s="15" t="s">
        <v>37</v>
      </c>
      <c r="B79" s="15" t="s">
        <v>49</v>
      </c>
      <c r="C79" s="15" t="n">
        <v>30</v>
      </c>
      <c r="D79" s="15" t="s">
        <v>196</v>
      </c>
      <c r="E79" s="15" t="n">
        <v>1950</v>
      </c>
      <c r="F79" s="15" t="s">
        <v>393</v>
      </c>
      <c r="G79" s="15" t="s">
        <v>394</v>
      </c>
      <c r="H79" s="15" t="s">
        <v>395</v>
      </c>
      <c r="I79" s="15" t="s">
        <v>396</v>
      </c>
      <c r="J79" s="15" t="s">
        <v>177</v>
      </c>
      <c r="K79" s="35" t="n">
        <v>89.99</v>
      </c>
      <c r="L79" s="35"/>
      <c r="M79" s="23" t="str">
        <f aca="false">IF(AND(ISNUMBER(L79),ISNUMBER(K79),K79&gt;0),L79/K79-1,"")</f>
        <v/>
      </c>
      <c r="N79" s="36" t="str">
        <f aca="false">IF(M79="","No List Price",IF(M79&lt;=0,"At/below price",IF(M79&lt;=0.12,"&lt;=12% (STR zone)",IF(M79&lt;=0.25,"12-25%","&gt;25% (likely ignored)"))))</f>
        <v>No List Price</v>
      </c>
      <c r="O79" s="15" t="s">
        <v>311</v>
      </c>
      <c r="P79" s="35" t="n">
        <v>90.6832330827068</v>
      </c>
      <c r="Q79" s="22" t="n">
        <f aca="false">IF(AND(ISNUMBER(K79),ISNUMBER(P79),N(P79)&gt;0),K79/P79-1,"")</f>
        <v>-0.00764455632139305</v>
      </c>
      <c r="R79" s="15" t="s">
        <v>312</v>
      </c>
      <c r="S79" s="37" t="n">
        <v>21237</v>
      </c>
      <c r="T79" s="37" t="n">
        <v>18</v>
      </c>
      <c r="U79" s="38" t="n">
        <f aca="false">IF(AND(ISNUMBER(K79),ISNUMBER(T79)),K79*T79*52/12,"")</f>
        <v>7019.22</v>
      </c>
      <c r="V79" s="15" t="n">
        <v>4.6</v>
      </c>
      <c r="W79" s="37" t="n">
        <v>76</v>
      </c>
      <c r="X79" s="39" t="n">
        <v>46307</v>
      </c>
      <c r="Y79" s="15"/>
      <c r="Z79" s="40"/>
      <c r="AA79" s="41" t="str">
        <f aca="false">IF(ISNUMBER(Z79),(DATE(2026,10,13)-Z79)/365,"")</f>
        <v/>
      </c>
      <c r="AB79" s="37"/>
      <c r="AC79" s="15"/>
      <c r="AD79" s="15"/>
      <c r="AE79" s="15"/>
      <c r="AF79" s="42"/>
      <c r="AG79" s="42"/>
      <c r="AH79" s="15"/>
      <c r="AI79" s="37" t="n">
        <v>103642</v>
      </c>
      <c r="AJ79" s="37" t="n">
        <v>2019</v>
      </c>
      <c r="AK79" s="15" t="s">
        <v>315</v>
      </c>
      <c r="AL79" s="43" t="n">
        <v>0</v>
      </c>
      <c r="AM79" s="43" t="n">
        <v>0</v>
      </c>
      <c r="AN79" s="25" t="str">
        <f aca="false">IF(AND(ISNUMBER(AM79),ISNUMBER(AL79),AL79&gt;=5),AM79/AL79,"")</f>
        <v/>
      </c>
      <c r="AO79" s="43" t="n">
        <v>0</v>
      </c>
      <c r="AP79" s="43" t="n">
        <v>0</v>
      </c>
      <c r="AQ79" s="25" t="str">
        <f aca="false">IF(AND(ISNUMBER(AP79),ISNUMBER(AO79),AO79&gt;=5),AP79/AO79,"")</f>
        <v/>
      </c>
      <c r="AR79" s="43" t="n">
        <v>0</v>
      </c>
      <c r="AS79" s="43" t="n">
        <v>29.8</v>
      </c>
      <c r="AT79" s="22" t="str">
        <f aca="false">IF(AND(ISNUMBER(AS79),ISNUMBER(AR79),AR79&gt;0),AS79/AR79-1,"")</f>
        <v/>
      </c>
      <c r="AU79" s="44"/>
      <c r="AV79" s="44"/>
      <c r="AW79" s="44"/>
      <c r="AX79" s="44"/>
      <c r="AY79" s="44"/>
      <c r="AZ79" s="45"/>
      <c r="BA79" s="45"/>
      <c r="BB79" s="46"/>
      <c r="BC79" s="46"/>
      <c r="BD79" s="23" t="str">
        <f aca="false">IF(AND(ISNUMBER(BB79),ISNUMBER(BC79),BB79&gt;0),1-BC79/BB79,"")</f>
        <v/>
      </c>
      <c r="BE79" s="47"/>
      <c r="BF79" s="48"/>
      <c r="BG79" s="48"/>
      <c r="BH79" s="27" t="str">
        <f aca="false">IF(AND(ISNUMBER(BF79),ISNUMBER(BG79),BG79&gt;0),BF79/BG79,"")</f>
        <v/>
      </c>
      <c r="BI79" s="48"/>
      <c r="BJ79" s="44"/>
      <c r="BK79" s="46"/>
      <c r="BL79" s="46"/>
      <c r="BM79" s="36" t="str">
        <f aca="false">IF(ISNUMBER(Q79),IF(Q79&lt;0,"YES","no"),"")</f>
        <v>YES</v>
      </c>
      <c r="BN79" s="36" t="str">
        <f aca="false">IFERROR(IF(AND(ISNUMBER(K79),ISNUMBER(INDEX('Lift Inputs'!$H:$H,MATCH(C79,'Lift Inputs'!$C:$C,0)))),IF(K79&lt;INDEX('Lift Inputs'!$H:$H,MATCH(C79,'Lift Inputs'!$C:$C,0)),"YES","no"),""),"")</f>
        <v/>
      </c>
      <c r="BO79" s="44"/>
    </row>
    <row r="80" customFormat="false" ht="15" hidden="false" customHeight="false" outlineLevel="0" collapsed="false">
      <c r="A80" s="15" t="s">
        <v>37</v>
      </c>
      <c r="B80" s="15" t="s">
        <v>49</v>
      </c>
      <c r="C80" s="15" t="n">
        <v>30</v>
      </c>
      <c r="D80" s="15" t="s">
        <v>196</v>
      </c>
      <c r="E80" s="15" t="n">
        <v>1948</v>
      </c>
      <c r="F80" s="15" t="s">
        <v>385</v>
      </c>
      <c r="G80" s="15" t="s">
        <v>397</v>
      </c>
      <c r="H80" s="15" t="s">
        <v>398</v>
      </c>
      <c r="I80" s="15" t="s">
        <v>388</v>
      </c>
      <c r="J80" s="15" t="s">
        <v>177</v>
      </c>
      <c r="K80" s="35" t="n">
        <v>99</v>
      </c>
      <c r="L80" s="35"/>
      <c r="M80" s="23" t="str">
        <f aca="false">IF(AND(ISNUMBER(L80),ISNUMBER(K80),K80&gt;0),L80/K80-1,"")</f>
        <v/>
      </c>
      <c r="N80" s="36" t="str">
        <f aca="false">IF(M80="","No List Price",IF(M80&lt;=0,"At/below price",IF(M80&lt;=0.12,"&lt;=12% (STR zone)",IF(M80&lt;=0.25,"12-25%","&gt;25% (likely ignored)"))))</f>
        <v>No List Price</v>
      </c>
      <c r="O80" s="15" t="s">
        <v>311</v>
      </c>
      <c r="P80" s="35" t="n">
        <v>90.6832330827068</v>
      </c>
      <c r="Q80" s="22" t="n">
        <f aca="false">IF(AND(ISNUMBER(K80),ISNUMBER(P80),N(P80)&gt;0),K80/P80-1,"")</f>
        <v>0.091712289411958</v>
      </c>
      <c r="R80" s="15" t="s">
        <v>312</v>
      </c>
      <c r="S80" s="37" t="n">
        <v>38116</v>
      </c>
      <c r="T80" s="37" t="n">
        <v>18</v>
      </c>
      <c r="U80" s="38" t="n">
        <f aca="false">IF(AND(ISNUMBER(K80),ISNUMBER(T80)),K80*T80*52/12,"")</f>
        <v>7722</v>
      </c>
      <c r="V80" s="15" t="n">
        <v>4.9</v>
      </c>
      <c r="W80" s="37" t="n">
        <v>201</v>
      </c>
      <c r="X80" s="39" t="n">
        <v>46307</v>
      </c>
      <c r="Y80" s="15"/>
      <c r="Z80" s="40"/>
      <c r="AA80" s="41" t="str">
        <f aca="false">IF(ISNUMBER(Z80),(DATE(2026,10,13)-Z80)/365,"")</f>
        <v/>
      </c>
      <c r="AB80" s="37"/>
      <c r="AC80" s="15"/>
      <c r="AD80" s="15"/>
      <c r="AE80" s="15"/>
      <c r="AF80" s="42"/>
      <c r="AG80" s="42"/>
      <c r="AH80" s="15"/>
      <c r="AI80" s="37" t="n">
        <v>116001</v>
      </c>
      <c r="AJ80" s="37" t="n">
        <v>1002</v>
      </c>
      <c r="AK80" s="15" t="s">
        <v>315</v>
      </c>
      <c r="AL80" s="43" t="n">
        <v>0</v>
      </c>
      <c r="AM80" s="43" t="n">
        <v>0</v>
      </c>
      <c r="AN80" s="25" t="str">
        <f aca="false">IF(AND(ISNUMBER(AM80),ISNUMBER(AL80),AL80&gt;=5),AM80/AL80,"")</f>
        <v/>
      </c>
      <c r="AO80" s="43" t="n">
        <v>0</v>
      </c>
      <c r="AP80" s="43" t="n">
        <v>0</v>
      </c>
      <c r="AQ80" s="25" t="str">
        <f aca="false">IF(AND(ISNUMBER(AP80),ISNUMBER(AO80),AO80&gt;=5),AP80/AO80,"")</f>
        <v/>
      </c>
      <c r="AR80" s="43" t="n">
        <v>0</v>
      </c>
      <c r="AS80" s="43" t="n">
        <v>21.5</v>
      </c>
      <c r="AT80" s="22" t="str">
        <f aca="false">IF(AND(ISNUMBER(AS80),ISNUMBER(AR80),AR80&gt;0),AS80/AR80-1,"")</f>
        <v/>
      </c>
      <c r="AU80" s="44"/>
      <c r="AV80" s="44"/>
      <c r="AW80" s="44"/>
      <c r="AX80" s="44"/>
      <c r="AY80" s="44"/>
      <c r="AZ80" s="45"/>
      <c r="BA80" s="45"/>
      <c r="BB80" s="46"/>
      <c r="BC80" s="46"/>
      <c r="BD80" s="23" t="str">
        <f aca="false">IF(AND(ISNUMBER(BB80),ISNUMBER(BC80),BB80&gt;0),1-BC80/BB80,"")</f>
        <v/>
      </c>
      <c r="BE80" s="47"/>
      <c r="BF80" s="48"/>
      <c r="BG80" s="48"/>
      <c r="BH80" s="27" t="str">
        <f aca="false">IF(AND(ISNUMBER(BF80),ISNUMBER(BG80),BG80&gt;0),BF80/BG80,"")</f>
        <v/>
      </c>
      <c r="BI80" s="48"/>
      <c r="BJ80" s="44"/>
      <c r="BK80" s="46"/>
      <c r="BL80" s="46"/>
      <c r="BM80" s="36" t="str">
        <f aca="false">IF(ISNUMBER(Q80),IF(Q80&lt;0,"YES","no"),"")</f>
        <v>no</v>
      </c>
      <c r="BN80" s="36" t="str">
        <f aca="false">IFERROR(IF(AND(ISNUMBER(K80),ISNUMBER(INDEX('Lift Inputs'!$H:$H,MATCH(C80,'Lift Inputs'!$C:$C,0)))),IF(K80&lt;INDEX('Lift Inputs'!$H:$H,MATCH(C80,'Lift Inputs'!$C:$C,0)),"YES","no"),""),"")</f>
        <v/>
      </c>
      <c r="BO80" s="44"/>
    </row>
    <row r="81" customFormat="false" ht="15" hidden="false" customHeight="false" outlineLevel="0" collapsed="false">
      <c r="A81" s="15" t="s">
        <v>37</v>
      </c>
      <c r="B81" s="15" t="s">
        <v>49</v>
      </c>
      <c r="C81" s="15" t="n">
        <v>30</v>
      </c>
      <c r="D81" s="15" t="s">
        <v>196</v>
      </c>
      <c r="E81" s="15" t="n">
        <v>1820</v>
      </c>
      <c r="F81" s="15" t="s">
        <v>438</v>
      </c>
      <c r="G81" s="15" t="s">
        <v>502</v>
      </c>
      <c r="H81" s="15" t="s">
        <v>502</v>
      </c>
      <c r="I81" s="15" t="s">
        <v>503</v>
      </c>
      <c r="J81" s="15" t="s">
        <v>177</v>
      </c>
      <c r="K81" s="35" t="n">
        <v>37.9</v>
      </c>
      <c r="L81" s="35"/>
      <c r="M81" s="23" t="str">
        <f aca="false">IF(AND(ISNUMBER(L81),ISNUMBER(K81),K81&gt;0),L81/K81-1,"")</f>
        <v/>
      </c>
      <c r="N81" s="36" t="str">
        <f aca="false">IF(M81="","No List Price",IF(M81&lt;=0,"At/below price",IF(M81&lt;=0.12,"&lt;=12% (STR zone)",IF(M81&lt;=0.25,"12-25%","&gt;25% (likely ignored)"))))</f>
        <v>No List Price</v>
      </c>
      <c r="O81" s="15" t="s">
        <v>320</v>
      </c>
      <c r="P81" s="35" t="n">
        <v>90.8617672413793</v>
      </c>
      <c r="Q81" s="22" t="n">
        <f aca="false">IF(AND(ISNUMBER(K81),ISNUMBER(P81),N(P81)&gt;0),K81/P81-1,"")</f>
        <v>-0.582882865360559</v>
      </c>
      <c r="R81" s="15" t="s">
        <v>321</v>
      </c>
      <c r="S81" s="37" t="n">
        <v>9187</v>
      </c>
      <c r="T81" s="37" t="n">
        <v>18</v>
      </c>
      <c r="U81" s="38" t="n">
        <f aca="false">IF(AND(ISNUMBER(K81),ISNUMBER(T81)),K81*T81*52/12,"")</f>
        <v>2956.2</v>
      </c>
      <c r="V81" s="15" t="n">
        <v>4.3</v>
      </c>
      <c r="W81" s="37" t="n">
        <v>24333</v>
      </c>
      <c r="X81" s="39" t="n">
        <v>46286</v>
      </c>
      <c r="Y81" s="15" t="n">
        <v>100</v>
      </c>
      <c r="Z81" s="40" t="n">
        <v>44379</v>
      </c>
      <c r="AA81" s="41" t="n">
        <f aca="false">IF(ISNUMBER(Z81),(DATE(2026,10,13)-Z81)/365,"")</f>
        <v>5.28493150684932</v>
      </c>
      <c r="AB81" s="37" t="n">
        <v>5599</v>
      </c>
      <c r="AC81" s="15" t="s">
        <v>313</v>
      </c>
      <c r="AD81" s="15" t="n">
        <v>1</v>
      </c>
      <c r="AE81" s="15" t="s">
        <v>331</v>
      </c>
      <c r="AF81" s="42" t="n">
        <v>0</v>
      </c>
      <c r="AG81" s="42" t="n">
        <v>0</v>
      </c>
      <c r="AH81" s="15" t="n">
        <v>316</v>
      </c>
      <c r="AI81" s="37" t="n">
        <v>23320</v>
      </c>
      <c r="AJ81" s="37" t="n">
        <v>859</v>
      </c>
      <c r="AK81" s="15" t="s">
        <v>315</v>
      </c>
      <c r="AL81" s="43" t="n">
        <v>0.1</v>
      </c>
      <c r="AM81" s="43" t="n">
        <v>2.5</v>
      </c>
      <c r="AN81" s="25" t="str">
        <f aca="false">IF(AND(ISNUMBER(AM81),ISNUMBER(AL81),AL81&gt;=5),AM81/AL81,"")</f>
        <v/>
      </c>
      <c r="AO81" s="43" t="n">
        <v>0</v>
      </c>
      <c r="AP81" s="43" t="n">
        <v>0</v>
      </c>
      <c r="AQ81" s="25" t="str">
        <f aca="false">IF(AND(ISNUMBER(AP81),ISNUMBER(AO81),AO81&gt;=5),AP81/AO81,"")</f>
        <v/>
      </c>
      <c r="AR81" s="43" t="n">
        <v>22.3</v>
      </c>
      <c r="AS81" s="43" t="n">
        <v>1</v>
      </c>
      <c r="AT81" s="22" t="n">
        <f aca="false">IF(AND(ISNUMBER(AS81),ISNUMBER(AR81),AR81&gt;0),AS81/AR81-1,"")</f>
        <v>-0.955156950672646</v>
      </c>
      <c r="AU81" s="44"/>
      <c r="AV81" s="44"/>
      <c r="AW81" s="44"/>
      <c r="AX81" s="44"/>
      <c r="AY81" s="44"/>
      <c r="AZ81" s="45"/>
      <c r="BA81" s="45"/>
      <c r="BB81" s="46"/>
      <c r="BC81" s="46"/>
      <c r="BD81" s="23" t="str">
        <f aca="false">IF(AND(ISNUMBER(BB81),ISNUMBER(BC81),BB81&gt;0),1-BC81/BB81,"")</f>
        <v/>
      </c>
      <c r="BE81" s="47"/>
      <c r="BF81" s="48"/>
      <c r="BG81" s="48"/>
      <c r="BH81" s="27" t="str">
        <f aca="false">IF(AND(ISNUMBER(BF81),ISNUMBER(BG81),BG81&gt;0),BF81/BG81,"")</f>
        <v/>
      </c>
      <c r="BI81" s="48"/>
      <c r="BJ81" s="44"/>
      <c r="BK81" s="46"/>
      <c r="BL81" s="46"/>
      <c r="BM81" s="36" t="str">
        <f aca="false">IF(ISNUMBER(Q81),IF(Q81&lt;0,"YES","no"),"")</f>
        <v>YES</v>
      </c>
      <c r="BN81" s="36" t="str">
        <f aca="false">IFERROR(IF(AND(ISNUMBER(K81),ISNUMBER(INDEX('Lift Inputs'!$H:$H,MATCH(C81,'Lift Inputs'!$C:$C,0)))),IF(K81&lt;INDEX('Lift Inputs'!$H:$H,MATCH(C81,'Lift Inputs'!$C:$C,0)),"YES","no"),""),"")</f>
        <v/>
      </c>
      <c r="BO81" s="44"/>
    </row>
    <row r="82" customFormat="false" ht="15" hidden="false" customHeight="false" outlineLevel="0" collapsed="false">
      <c r="A82" s="15" t="s">
        <v>37</v>
      </c>
      <c r="B82" s="15" t="s">
        <v>49</v>
      </c>
      <c r="C82" s="15" t="n">
        <v>30</v>
      </c>
      <c r="D82" s="15" t="s">
        <v>196</v>
      </c>
      <c r="E82" s="15" t="n">
        <v>1944</v>
      </c>
      <c r="F82" s="15" t="s">
        <v>399</v>
      </c>
      <c r="G82" s="15" t="s">
        <v>400</v>
      </c>
      <c r="H82" s="15" t="s">
        <v>401</v>
      </c>
      <c r="I82" s="15" t="s">
        <v>402</v>
      </c>
      <c r="J82" s="15" t="s">
        <v>177</v>
      </c>
      <c r="K82" s="35" t="n">
        <v>65</v>
      </c>
      <c r="L82" s="35" t="n">
        <v>79</v>
      </c>
      <c r="M82" s="23" t="n">
        <f aca="false">IF(AND(ISNUMBER(L82),ISNUMBER(K82),K82&gt;0),L82/K82-1,"")</f>
        <v>0.215384615384615</v>
      </c>
      <c r="N82" s="36" t="str">
        <f aca="false">IF(M82="","No List Price",IF(M82&lt;=0,"At/below price",IF(M82&lt;=0.12,"&lt;=12% (STR zone)",IF(M82&lt;=0.25,"12-25%","&gt;25% (likely ignored)"))))</f>
        <v>12-25%</v>
      </c>
      <c r="O82" s="15" t="s">
        <v>311</v>
      </c>
      <c r="P82" s="35" t="n">
        <v>90.6832330827068</v>
      </c>
      <c r="Q82" s="22" t="n">
        <f aca="false">IF(AND(ISNUMBER(K82),ISNUMBER(P82),N(P82)&gt;0),K82/P82-1,"")</f>
        <v>-0.283219203921442</v>
      </c>
      <c r="R82" s="15" t="s">
        <v>312</v>
      </c>
      <c r="S82" s="37" t="n">
        <v>196488</v>
      </c>
      <c r="T82" s="37" t="n">
        <v>18</v>
      </c>
      <c r="U82" s="38" t="n">
        <f aca="false">IF(AND(ISNUMBER(K82),ISNUMBER(T82)),K82*T82*52/12,"")</f>
        <v>5070</v>
      </c>
      <c r="V82" s="15" t="n">
        <v>4.9</v>
      </c>
      <c r="W82" s="37" t="n">
        <v>121</v>
      </c>
      <c r="X82" s="39" t="n">
        <v>46307</v>
      </c>
      <c r="Y82" s="15"/>
      <c r="Z82" s="40"/>
      <c r="AA82" s="41" t="str">
        <f aca="false">IF(ISNUMBER(Z82),(DATE(2026,10,13)-Z82)/365,"")</f>
        <v/>
      </c>
      <c r="AB82" s="37"/>
      <c r="AC82" s="15"/>
      <c r="AD82" s="15"/>
      <c r="AE82" s="15"/>
      <c r="AF82" s="42"/>
      <c r="AG82" s="42"/>
      <c r="AH82" s="15"/>
      <c r="AI82" s="37" t="n">
        <v>82471</v>
      </c>
      <c r="AJ82" s="37" t="n">
        <v>905</v>
      </c>
      <c r="AK82" s="15" t="s">
        <v>315</v>
      </c>
      <c r="AL82" s="43" t="n">
        <v>2.2</v>
      </c>
      <c r="AM82" s="43" t="n">
        <v>2</v>
      </c>
      <c r="AN82" s="25" t="str">
        <f aca="false">IF(AND(ISNUMBER(AM82),ISNUMBER(AL82),AL82&gt;=5),AM82/AL82,"")</f>
        <v/>
      </c>
      <c r="AO82" s="43" t="n">
        <v>0</v>
      </c>
      <c r="AP82" s="43" t="n">
        <v>0</v>
      </c>
      <c r="AQ82" s="25" t="str">
        <f aca="false">IF(AND(ISNUMBER(AP82),ISNUMBER(AO82),AO82&gt;=5),AP82/AO82,"")</f>
        <v/>
      </c>
      <c r="AR82" s="43" t="n">
        <v>2</v>
      </c>
      <c r="AS82" s="43" t="n">
        <v>93.2</v>
      </c>
      <c r="AT82" s="22" t="n">
        <f aca="false">IF(AND(ISNUMBER(AS82),ISNUMBER(AR82),AR82&gt;0),AS82/AR82-1,"")</f>
        <v>45.6</v>
      </c>
      <c r="AU82" s="44"/>
      <c r="AV82" s="44"/>
      <c r="AW82" s="44"/>
      <c r="AX82" s="44"/>
      <c r="AY82" s="44"/>
      <c r="AZ82" s="45"/>
      <c r="BA82" s="45"/>
      <c r="BB82" s="46"/>
      <c r="BC82" s="46"/>
      <c r="BD82" s="23" t="str">
        <f aca="false">IF(AND(ISNUMBER(BB82),ISNUMBER(BC82),BB82&gt;0),1-BC82/BB82,"")</f>
        <v/>
      </c>
      <c r="BE82" s="47"/>
      <c r="BF82" s="48"/>
      <c r="BG82" s="48"/>
      <c r="BH82" s="27" t="str">
        <f aca="false">IF(AND(ISNUMBER(BF82),ISNUMBER(BG82),BG82&gt;0),BF82/BG82,"")</f>
        <v/>
      </c>
      <c r="BI82" s="48"/>
      <c r="BJ82" s="44"/>
      <c r="BK82" s="46"/>
      <c r="BL82" s="46"/>
      <c r="BM82" s="36" t="str">
        <f aca="false">IF(ISNUMBER(Q82),IF(Q82&lt;0,"YES","no"),"")</f>
        <v>YES</v>
      </c>
      <c r="BN82" s="36" t="str">
        <f aca="false">IFERROR(IF(AND(ISNUMBER(K82),ISNUMBER(INDEX('Lift Inputs'!$H:$H,MATCH(C82,'Lift Inputs'!$C:$C,0)))),IF(K82&lt;INDEX('Lift Inputs'!$H:$H,MATCH(C82,'Lift Inputs'!$C:$C,0)),"YES","no"),""),"")</f>
        <v/>
      </c>
      <c r="BO82" s="44"/>
    </row>
    <row r="83" customFormat="false" ht="15" hidden="false" customHeight="false" outlineLevel="0" collapsed="false">
      <c r="A83" s="15" t="s">
        <v>37</v>
      </c>
      <c r="B83" s="15" t="s">
        <v>49</v>
      </c>
      <c r="C83" s="15" t="n">
        <v>30</v>
      </c>
      <c r="D83" s="15" t="s">
        <v>196</v>
      </c>
      <c r="E83" s="15" t="n">
        <v>7</v>
      </c>
      <c r="F83" s="15" t="s">
        <v>354</v>
      </c>
      <c r="G83" s="15" t="s">
        <v>405</v>
      </c>
      <c r="H83" s="15" t="s">
        <v>406</v>
      </c>
      <c r="I83" s="15" t="s">
        <v>407</v>
      </c>
      <c r="J83" s="15" t="s">
        <v>177</v>
      </c>
      <c r="K83" s="35" t="n">
        <v>129.99</v>
      </c>
      <c r="L83" s="35"/>
      <c r="M83" s="23" t="str">
        <f aca="false">IF(AND(ISNUMBER(L83),ISNUMBER(K83),K83&gt;0),L83/K83-1,"")</f>
        <v/>
      </c>
      <c r="N83" s="36" t="str">
        <f aca="false">IF(M83="","No List Price",IF(M83&lt;=0,"At/below price",IF(M83&lt;=0.12,"&lt;=12% (STR zone)",IF(M83&lt;=0.25,"12-25%","&gt;25% (likely ignored)"))))</f>
        <v>No List Price</v>
      </c>
      <c r="O83" s="15"/>
      <c r="P83" s="35" t="n">
        <v>90.6832330827068</v>
      </c>
      <c r="Q83" s="22" t="n">
        <f aca="false">IF(AND(ISNUMBER(K83),ISNUMBER(P83),N(P83)&gt;0),K83/P83-1,"")</f>
        <v>0.433451318188489</v>
      </c>
      <c r="R83" s="15" t="s">
        <v>353</v>
      </c>
      <c r="S83" s="37" t="n">
        <v>1577</v>
      </c>
      <c r="T83" s="37" t="n">
        <v>5</v>
      </c>
      <c r="U83" s="38" t="n">
        <f aca="false">IF(AND(ISNUMBER(K83),ISNUMBER(T83)),K83*T83*52/12,"")</f>
        <v>2816.45</v>
      </c>
      <c r="V83" s="15" t="n">
        <v>4.4</v>
      </c>
      <c r="W83" s="37" t="n">
        <v>5652</v>
      </c>
      <c r="X83" s="39" t="n">
        <v>46223</v>
      </c>
      <c r="Y83" s="15"/>
      <c r="Z83" s="40"/>
      <c r="AA83" s="41" t="str">
        <f aca="false">IF(ISNUMBER(Z83),(DATE(2026,10,13)-Z83)/365,"")</f>
        <v/>
      </c>
      <c r="AB83" s="37"/>
      <c r="AC83" s="15"/>
      <c r="AD83" s="15"/>
      <c r="AE83" s="15"/>
      <c r="AF83" s="42"/>
      <c r="AG83" s="42"/>
      <c r="AH83" s="15"/>
      <c r="AI83" s="37"/>
      <c r="AJ83" s="37"/>
      <c r="AK83" s="15"/>
      <c r="AL83" s="43"/>
      <c r="AM83" s="43"/>
      <c r="AN83" s="25" t="str">
        <f aca="false">IF(AND(ISNUMBER(AM83),ISNUMBER(AL83),AL83&gt;=5),AM83/AL83,"")</f>
        <v/>
      </c>
      <c r="AO83" s="43"/>
      <c r="AP83" s="43"/>
      <c r="AQ83" s="25" t="str">
        <f aca="false">IF(AND(ISNUMBER(AP83),ISNUMBER(AO83),AO83&gt;=5),AP83/AO83,"")</f>
        <v/>
      </c>
      <c r="AR83" s="43"/>
      <c r="AS83" s="43"/>
      <c r="AT83" s="22" t="str">
        <f aca="false">IF(AND(ISNUMBER(AS83),ISNUMBER(AR83),AR83&gt;0),AS83/AR83-1,"")</f>
        <v/>
      </c>
      <c r="AU83" s="44"/>
      <c r="AV83" s="44"/>
      <c r="AW83" s="44"/>
      <c r="AX83" s="44"/>
      <c r="AY83" s="44"/>
      <c r="AZ83" s="45"/>
      <c r="BA83" s="45"/>
      <c r="BB83" s="46"/>
      <c r="BC83" s="46"/>
      <c r="BD83" s="23" t="str">
        <f aca="false">IF(AND(ISNUMBER(BB83),ISNUMBER(BC83),BB83&gt;0),1-BC83/BB83,"")</f>
        <v/>
      </c>
      <c r="BE83" s="47"/>
      <c r="BF83" s="48"/>
      <c r="BG83" s="48"/>
      <c r="BH83" s="27" t="str">
        <f aca="false">IF(AND(ISNUMBER(BF83),ISNUMBER(BG83),BG83&gt;0),BF83/BG83,"")</f>
        <v/>
      </c>
      <c r="BI83" s="48"/>
      <c r="BJ83" s="44"/>
      <c r="BK83" s="46"/>
      <c r="BL83" s="46"/>
      <c r="BM83" s="36" t="str">
        <f aca="false">IF(ISNUMBER(Q83),IF(Q83&lt;0,"YES","no"),"")</f>
        <v>no</v>
      </c>
      <c r="BN83" s="36" t="str">
        <f aca="false">IFERROR(IF(AND(ISNUMBER(K83),ISNUMBER(INDEX('Lift Inputs'!$H:$H,MATCH(C83,'Lift Inputs'!$C:$C,0)))),IF(K83&lt;INDEX('Lift Inputs'!$H:$H,MATCH(C83,'Lift Inputs'!$C:$C,0)),"YES","no"),""),"")</f>
        <v/>
      </c>
      <c r="BO83" s="44"/>
    </row>
    <row r="84" customFormat="false" ht="15" hidden="false" customHeight="false" outlineLevel="0" collapsed="false">
      <c r="A84" s="15" t="s">
        <v>37</v>
      </c>
      <c r="B84" s="15" t="s">
        <v>49</v>
      </c>
      <c r="C84" s="15" t="n">
        <v>30</v>
      </c>
      <c r="D84" s="15" t="s">
        <v>196</v>
      </c>
      <c r="E84" s="15" t="n">
        <v>1954</v>
      </c>
      <c r="F84" s="15" t="s">
        <v>410</v>
      </c>
      <c r="G84" s="15" t="s">
        <v>411</v>
      </c>
      <c r="H84" s="15" t="s">
        <v>412</v>
      </c>
      <c r="I84" s="15" t="s">
        <v>413</v>
      </c>
      <c r="J84" s="15" t="s">
        <v>177</v>
      </c>
      <c r="K84" s="35" t="n">
        <v>104.99</v>
      </c>
      <c r="L84" s="35"/>
      <c r="M84" s="23" t="str">
        <f aca="false">IF(AND(ISNUMBER(L84),ISNUMBER(K84),K84&gt;0),L84/K84-1,"")</f>
        <v/>
      </c>
      <c r="N84" s="36" t="str">
        <f aca="false">IF(M84="","No List Price",IF(M84&lt;=0,"At/below price",IF(M84&lt;=0.12,"&lt;=12% (STR zone)",IF(M84&lt;=0.25,"12-25%","&gt;25% (likely ignored)"))))</f>
        <v>No List Price</v>
      </c>
      <c r="O84" s="15" t="s">
        <v>311</v>
      </c>
      <c r="P84" s="35" t="n">
        <v>90.6832330827068</v>
      </c>
      <c r="Q84" s="22" t="n">
        <f aca="false">IF(AND(ISNUMBER(K84),ISNUMBER(P84),N(P84)&gt;0),K84/P84-1,"")</f>
        <v>0.157766396619813</v>
      </c>
      <c r="R84" s="15" t="s">
        <v>312</v>
      </c>
      <c r="S84" s="37" t="n">
        <v>184749</v>
      </c>
      <c r="T84" s="37" t="n">
        <v>5</v>
      </c>
      <c r="U84" s="38" t="n">
        <f aca="false">IF(AND(ISNUMBER(K84),ISNUMBER(T84)),K84*T84*52/12,"")</f>
        <v>2274.78333333333</v>
      </c>
      <c r="V84" s="15" t="n">
        <v>4.5</v>
      </c>
      <c r="W84" s="37" t="n">
        <v>3184</v>
      </c>
      <c r="X84" s="39" t="n">
        <v>46307</v>
      </c>
      <c r="Y84" s="15"/>
      <c r="Z84" s="40"/>
      <c r="AA84" s="41" t="str">
        <f aca="false">IF(ISNUMBER(Z84),(DATE(2026,10,13)-Z84)/365,"")</f>
        <v/>
      </c>
      <c r="AB84" s="37"/>
      <c r="AC84" s="15"/>
      <c r="AD84" s="15"/>
      <c r="AE84" s="15"/>
      <c r="AF84" s="42"/>
      <c r="AG84" s="42"/>
      <c r="AH84" s="15"/>
      <c r="AI84" s="37" t="n">
        <v>11787</v>
      </c>
      <c r="AJ84" s="37" t="n">
        <v>302</v>
      </c>
      <c r="AK84" s="15"/>
      <c r="AL84" s="43"/>
      <c r="AM84" s="43"/>
      <c r="AN84" s="25" t="str">
        <f aca="false">IF(AND(ISNUMBER(AM84),ISNUMBER(AL84),AL84&gt;=5),AM84/AL84,"")</f>
        <v/>
      </c>
      <c r="AO84" s="43"/>
      <c r="AP84" s="43"/>
      <c r="AQ84" s="25" t="str">
        <f aca="false">IF(AND(ISNUMBER(AP84),ISNUMBER(AO84),AO84&gt;=5),AP84/AO84,"")</f>
        <v/>
      </c>
      <c r="AR84" s="43"/>
      <c r="AS84" s="43"/>
      <c r="AT84" s="22" t="str">
        <f aca="false">IF(AND(ISNUMBER(AS84),ISNUMBER(AR84),AR84&gt;0),AS84/AR84-1,"")</f>
        <v/>
      </c>
      <c r="AU84" s="44"/>
      <c r="AV84" s="44"/>
      <c r="AW84" s="44"/>
      <c r="AX84" s="44"/>
      <c r="AY84" s="44"/>
      <c r="AZ84" s="45"/>
      <c r="BA84" s="45"/>
      <c r="BB84" s="46"/>
      <c r="BC84" s="46"/>
      <c r="BD84" s="23" t="str">
        <f aca="false">IF(AND(ISNUMBER(BB84),ISNUMBER(BC84),BB84&gt;0),1-BC84/BB84,"")</f>
        <v/>
      </c>
      <c r="BE84" s="47"/>
      <c r="BF84" s="48"/>
      <c r="BG84" s="48"/>
      <c r="BH84" s="27" t="str">
        <f aca="false">IF(AND(ISNUMBER(BF84),ISNUMBER(BG84),BG84&gt;0),BF84/BG84,"")</f>
        <v/>
      </c>
      <c r="BI84" s="48"/>
      <c r="BJ84" s="44"/>
      <c r="BK84" s="46"/>
      <c r="BL84" s="46"/>
      <c r="BM84" s="36" t="str">
        <f aca="false">IF(ISNUMBER(Q84),IF(Q84&lt;0,"YES","no"),"")</f>
        <v>no</v>
      </c>
      <c r="BN84" s="36" t="str">
        <f aca="false">IFERROR(IF(AND(ISNUMBER(K84),ISNUMBER(INDEX('Lift Inputs'!$H:$H,MATCH(C84,'Lift Inputs'!$C:$C,0)))),IF(K84&lt;INDEX('Lift Inputs'!$H:$H,MATCH(C84,'Lift Inputs'!$C:$C,0)),"YES","no"),""),"")</f>
        <v/>
      </c>
      <c r="BO84" s="44"/>
    </row>
    <row r="85" customFormat="false" ht="15" hidden="false" customHeight="false" outlineLevel="0" collapsed="false">
      <c r="A85" s="15" t="s">
        <v>37</v>
      </c>
      <c r="B85" s="15" t="s">
        <v>49</v>
      </c>
      <c r="C85" s="15" t="n">
        <v>30</v>
      </c>
      <c r="D85" s="15" t="s">
        <v>196</v>
      </c>
      <c r="E85" s="15" t="n">
        <v>1949</v>
      </c>
      <c r="F85" s="15" t="s">
        <v>399</v>
      </c>
      <c r="G85" s="15" t="s">
        <v>414</v>
      </c>
      <c r="H85" s="15" t="s">
        <v>414</v>
      </c>
      <c r="I85" s="15" t="s">
        <v>402</v>
      </c>
      <c r="J85" s="15" t="s">
        <v>177</v>
      </c>
      <c r="K85" s="35" t="n">
        <v>105</v>
      </c>
      <c r="L85" s="35"/>
      <c r="M85" s="23" t="str">
        <f aca="false">IF(AND(ISNUMBER(L85),ISNUMBER(K85),K85&gt;0),L85/K85-1,"")</f>
        <v/>
      </c>
      <c r="N85" s="36" t="str">
        <f aca="false">IF(M85="","No List Price",IF(M85&lt;=0,"At/below price",IF(M85&lt;=0.12,"&lt;=12% (STR zone)",IF(M85&lt;=0.25,"12-25%","&gt;25% (likely ignored)"))))</f>
        <v>No List Price</v>
      </c>
      <c r="O85" s="15" t="s">
        <v>311</v>
      </c>
      <c r="P85" s="35" t="n">
        <v>90.6832330827068</v>
      </c>
      <c r="Q85" s="22" t="n">
        <f aca="false">IF(AND(ISNUMBER(K85),ISNUMBER(P85),N(P85)&gt;0),K85/P85-1,"")</f>
        <v>0.15787667058844</v>
      </c>
      <c r="R85" s="15" t="s">
        <v>312</v>
      </c>
      <c r="S85" s="37"/>
      <c r="T85" s="37" t="n">
        <v>5</v>
      </c>
      <c r="U85" s="38" t="n">
        <f aca="false">IF(AND(ISNUMBER(K85),ISNUMBER(T85)),K85*T85*52/12,"")</f>
        <v>2275</v>
      </c>
      <c r="V85" s="15" t="n">
        <v>4.5</v>
      </c>
      <c r="W85" s="37"/>
      <c r="X85" s="39" t="n">
        <v>46307</v>
      </c>
      <c r="Y85" s="15"/>
      <c r="Z85" s="40"/>
      <c r="AA85" s="41" t="str">
        <f aca="false">IF(ISNUMBER(Z85),(DATE(2026,10,13)-Z85)/365,"")</f>
        <v/>
      </c>
      <c r="AB85" s="37"/>
      <c r="AC85" s="15"/>
      <c r="AD85" s="15"/>
      <c r="AE85" s="15"/>
      <c r="AF85" s="42"/>
      <c r="AG85" s="42"/>
      <c r="AH85" s="15"/>
      <c r="AI85" s="37" t="n">
        <v>30066</v>
      </c>
      <c r="AJ85" s="37" t="n">
        <v>74</v>
      </c>
      <c r="AK85" s="15"/>
      <c r="AL85" s="43"/>
      <c r="AM85" s="43"/>
      <c r="AN85" s="25" t="str">
        <f aca="false">IF(AND(ISNUMBER(AM85),ISNUMBER(AL85),AL85&gt;=5),AM85/AL85,"")</f>
        <v/>
      </c>
      <c r="AO85" s="43"/>
      <c r="AP85" s="43"/>
      <c r="AQ85" s="25" t="str">
        <f aca="false">IF(AND(ISNUMBER(AP85),ISNUMBER(AO85),AO85&gt;=5),AP85/AO85,"")</f>
        <v/>
      </c>
      <c r="AR85" s="43"/>
      <c r="AS85" s="43"/>
      <c r="AT85" s="22" t="str">
        <f aca="false">IF(AND(ISNUMBER(AS85),ISNUMBER(AR85),AR85&gt;0),AS85/AR85-1,"")</f>
        <v/>
      </c>
      <c r="AU85" s="44"/>
      <c r="AV85" s="44"/>
      <c r="AW85" s="44"/>
      <c r="AX85" s="44"/>
      <c r="AY85" s="44"/>
      <c r="AZ85" s="45"/>
      <c r="BA85" s="45"/>
      <c r="BB85" s="46"/>
      <c r="BC85" s="46"/>
      <c r="BD85" s="23" t="str">
        <f aca="false">IF(AND(ISNUMBER(BB85),ISNUMBER(BC85),BB85&gt;0),1-BC85/BB85,"")</f>
        <v/>
      </c>
      <c r="BE85" s="47"/>
      <c r="BF85" s="48"/>
      <c r="BG85" s="48"/>
      <c r="BH85" s="27" t="str">
        <f aca="false">IF(AND(ISNUMBER(BF85),ISNUMBER(BG85),BG85&gt;0),BF85/BG85,"")</f>
        <v/>
      </c>
      <c r="BI85" s="48"/>
      <c r="BJ85" s="44"/>
      <c r="BK85" s="46"/>
      <c r="BL85" s="46"/>
      <c r="BM85" s="36" t="str">
        <f aca="false">IF(ISNUMBER(Q85),IF(Q85&lt;0,"YES","no"),"")</f>
        <v>no</v>
      </c>
      <c r="BN85" s="36" t="str">
        <f aca="false">IFERROR(IF(AND(ISNUMBER(K85),ISNUMBER(INDEX('Lift Inputs'!$H:$H,MATCH(C85,'Lift Inputs'!$C:$C,0)))),IF(K85&lt;INDEX('Lift Inputs'!$H:$H,MATCH(C85,'Lift Inputs'!$C:$C,0)),"YES","no"),""),"")</f>
        <v/>
      </c>
      <c r="BO85" s="44"/>
    </row>
    <row r="86" customFormat="false" ht="15" hidden="false" customHeight="false" outlineLevel="0" collapsed="false">
      <c r="A86" s="15" t="s">
        <v>37</v>
      </c>
      <c r="B86" s="15" t="s">
        <v>49</v>
      </c>
      <c r="C86" s="15" t="n">
        <v>30</v>
      </c>
      <c r="D86" s="15" t="s">
        <v>196</v>
      </c>
      <c r="E86" s="15" t="n">
        <v>1516</v>
      </c>
      <c r="F86" s="15" t="s">
        <v>415</v>
      </c>
      <c r="G86" s="15" t="s">
        <v>416</v>
      </c>
      <c r="H86" s="15" t="s">
        <v>417</v>
      </c>
      <c r="I86" s="15" t="s">
        <v>352</v>
      </c>
      <c r="J86" s="15" t="s">
        <v>178</v>
      </c>
      <c r="K86" s="35" t="n">
        <v>74.99</v>
      </c>
      <c r="L86" s="35" t="n">
        <v>79.99</v>
      </c>
      <c r="M86" s="23" t="n">
        <f aca="false">IF(AND(ISNUMBER(L86),ISNUMBER(K86),K86&gt;0),L86/K86-1,"")</f>
        <v>0.0666755567408988</v>
      </c>
      <c r="N86" s="36" t="str">
        <f aca="false">IF(M86="","No List Price",IF(M86&lt;=0,"At/below price",IF(M86&lt;=0.12,"&lt;=12% (STR zone)",IF(M86&lt;=0.25,"12-25%","&gt;25% (likely ignored)"))))</f>
        <v>&lt;=12% (STR zone)</v>
      </c>
      <c r="O86" s="15"/>
      <c r="P86" s="35" t="n">
        <v>90.6832330827068</v>
      </c>
      <c r="Q86" s="22" t="n">
        <f aca="false">IF(AND(ISNUMBER(K86),ISNUMBER(P86),N(P86)&gt;0),K86/P86-1,"")</f>
        <v>-0.173055509262599</v>
      </c>
      <c r="R86" s="15" t="s">
        <v>353</v>
      </c>
      <c r="S86" s="37" t="n">
        <v>39296</v>
      </c>
      <c r="T86" s="37" t="n">
        <v>81</v>
      </c>
      <c r="U86" s="38" t="n">
        <f aca="false">IF(AND(ISNUMBER(K86),ISNUMBER(T86)),K86*T86*52/12,"")</f>
        <v>26321.49</v>
      </c>
      <c r="V86" s="15" t="n">
        <v>4.6</v>
      </c>
      <c r="W86" s="37" t="n">
        <v>121</v>
      </c>
      <c r="X86" s="39" t="n">
        <v>46307</v>
      </c>
      <c r="Y86" s="15"/>
      <c r="Z86" s="40"/>
      <c r="AA86" s="41" t="str">
        <f aca="false">IF(ISNUMBER(Z86),(DATE(2026,10,13)-Z86)/365,"")</f>
        <v/>
      </c>
      <c r="AB86" s="37"/>
      <c r="AC86" s="15"/>
      <c r="AD86" s="15"/>
      <c r="AE86" s="15"/>
      <c r="AF86" s="42"/>
      <c r="AG86" s="42"/>
      <c r="AH86" s="15"/>
      <c r="AI86" s="37"/>
      <c r="AJ86" s="37"/>
      <c r="AK86" s="15"/>
      <c r="AL86" s="43"/>
      <c r="AM86" s="43"/>
      <c r="AN86" s="25" t="str">
        <f aca="false">IF(AND(ISNUMBER(AM86),ISNUMBER(AL86),AL86&gt;=5),AM86/AL86,"")</f>
        <v/>
      </c>
      <c r="AO86" s="43"/>
      <c r="AP86" s="43"/>
      <c r="AQ86" s="25" t="str">
        <f aca="false">IF(AND(ISNUMBER(AP86),ISNUMBER(AO86),AO86&gt;=5),AP86/AO86,"")</f>
        <v/>
      </c>
      <c r="AR86" s="43"/>
      <c r="AS86" s="43"/>
      <c r="AT86" s="22" t="str">
        <f aca="false">IF(AND(ISNUMBER(AS86),ISNUMBER(AR86),AR86&gt;0),AS86/AR86-1,"")</f>
        <v/>
      </c>
      <c r="AU86" s="44"/>
      <c r="AV86" s="44"/>
      <c r="AW86" s="44"/>
      <c r="AX86" s="44"/>
      <c r="AY86" s="44"/>
      <c r="AZ86" s="45"/>
      <c r="BA86" s="45"/>
      <c r="BB86" s="46"/>
      <c r="BC86" s="46"/>
      <c r="BD86" s="23" t="str">
        <f aca="false">IF(AND(ISNUMBER(BB86),ISNUMBER(BC86),BB86&gt;0),1-BC86/BB86,"")</f>
        <v/>
      </c>
      <c r="BE86" s="47"/>
      <c r="BF86" s="48"/>
      <c r="BG86" s="48"/>
      <c r="BH86" s="27" t="str">
        <f aca="false">IF(AND(ISNUMBER(BF86),ISNUMBER(BG86),BG86&gt;0),BF86/BG86,"")</f>
        <v/>
      </c>
      <c r="BI86" s="48"/>
      <c r="BJ86" s="44"/>
      <c r="BK86" s="46"/>
      <c r="BL86" s="46"/>
      <c r="BM86" s="36" t="str">
        <f aca="false">IF(ISNUMBER(Q86),IF(Q86&lt;0,"YES","no"),"")</f>
        <v>YES</v>
      </c>
      <c r="BN86" s="36" t="str">
        <f aca="false">IFERROR(IF(AND(ISNUMBER(K86),ISNUMBER(INDEX('Lift Inputs'!$H:$H,MATCH(C86,'Lift Inputs'!$C:$C,0)))),IF(K86&lt;INDEX('Lift Inputs'!$H:$H,MATCH(C86,'Lift Inputs'!$C:$C,0)),"YES","no"),""),"")</f>
        <v/>
      </c>
      <c r="BO86" s="44"/>
    </row>
    <row r="87" customFormat="false" ht="15" hidden="false" customHeight="false" outlineLevel="0" collapsed="false">
      <c r="A87" s="15" t="s">
        <v>37</v>
      </c>
      <c r="B87" s="15" t="s">
        <v>49</v>
      </c>
      <c r="C87" s="15" t="n">
        <v>30</v>
      </c>
      <c r="D87" s="15" t="s">
        <v>196</v>
      </c>
      <c r="E87" s="15" t="n">
        <v>1519</v>
      </c>
      <c r="F87" s="15" t="s">
        <v>418</v>
      </c>
      <c r="G87" s="15" t="s">
        <v>419</v>
      </c>
      <c r="H87" s="15" t="s">
        <v>420</v>
      </c>
      <c r="I87" s="15" t="s">
        <v>421</v>
      </c>
      <c r="J87" s="15" t="s">
        <v>178</v>
      </c>
      <c r="K87" s="35" t="n">
        <v>107.1</v>
      </c>
      <c r="L87" s="35"/>
      <c r="M87" s="23" t="str">
        <f aca="false">IF(AND(ISNUMBER(L87),ISNUMBER(K87),K87&gt;0),L87/K87-1,"")</f>
        <v/>
      </c>
      <c r="N87" s="36" t="str">
        <f aca="false">IF(M87="","No List Price",IF(M87&lt;=0,"At/below price",IF(M87&lt;=0.12,"&lt;=12% (STR zone)",IF(M87&lt;=0.25,"12-25%","&gt;25% (likely ignored)"))))</f>
        <v>No List Price</v>
      </c>
      <c r="O87" s="15" t="s">
        <v>311</v>
      </c>
      <c r="P87" s="35" t="n">
        <v>90.6832330827068</v>
      </c>
      <c r="Q87" s="22" t="n">
        <f aca="false">IF(AND(ISNUMBER(K87),ISNUMBER(P87),N(P87)&gt;0),K87/P87-1,"")</f>
        <v>0.181034204000209</v>
      </c>
      <c r="R87" s="15" t="s">
        <v>312</v>
      </c>
      <c r="S87" s="37" t="n">
        <v>15882</v>
      </c>
      <c r="T87" s="37" t="n">
        <v>81</v>
      </c>
      <c r="U87" s="38" t="n">
        <f aca="false">IF(AND(ISNUMBER(K87),ISNUMBER(T87)),K87*T87*52/12,"")</f>
        <v>37592.1</v>
      </c>
      <c r="V87" s="15" t="n">
        <v>4.4</v>
      </c>
      <c r="W87" s="37" t="n">
        <v>426</v>
      </c>
      <c r="X87" s="39" t="n">
        <v>46307</v>
      </c>
      <c r="Y87" s="15" t="n">
        <v>35</v>
      </c>
      <c r="Z87" s="40" t="n">
        <v>45575</v>
      </c>
      <c r="AA87" s="41" t="n">
        <f aca="false">IF(ISNUMBER(Z87),(DATE(2026,10,13)-Z87)/365,"")</f>
        <v>2.00821917808219</v>
      </c>
      <c r="AB87" s="37" t="n">
        <v>2442</v>
      </c>
      <c r="AC87" s="15" t="s">
        <v>313</v>
      </c>
      <c r="AD87" s="15" t="n">
        <v>1</v>
      </c>
      <c r="AE87" s="15" t="s">
        <v>314</v>
      </c>
      <c r="AF87" s="42" t="n">
        <v>0</v>
      </c>
      <c r="AG87" s="42" t="n">
        <v>0</v>
      </c>
      <c r="AH87" s="15" t="n">
        <v>231</v>
      </c>
      <c r="AI87" s="37"/>
      <c r="AJ87" s="37"/>
      <c r="AK87" s="15"/>
      <c r="AL87" s="43"/>
      <c r="AM87" s="43"/>
      <c r="AN87" s="25" t="str">
        <f aca="false">IF(AND(ISNUMBER(AM87),ISNUMBER(AL87),AL87&gt;=5),AM87/AL87,"")</f>
        <v/>
      </c>
      <c r="AO87" s="43"/>
      <c r="AP87" s="43"/>
      <c r="AQ87" s="25" t="str">
        <f aca="false">IF(AND(ISNUMBER(AP87),ISNUMBER(AO87),AO87&gt;=5),AP87/AO87,"")</f>
        <v/>
      </c>
      <c r="AR87" s="43"/>
      <c r="AS87" s="43"/>
      <c r="AT87" s="22" t="str">
        <f aca="false">IF(AND(ISNUMBER(AS87),ISNUMBER(AR87),AR87&gt;0),AS87/AR87-1,"")</f>
        <v/>
      </c>
      <c r="AU87" s="44"/>
      <c r="AV87" s="44"/>
      <c r="AW87" s="44"/>
      <c r="AX87" s="44"/>
      <c r="AY87" s="44"/>
      <c r="AZ87" s="45"/>
      <c r="BA87" s="45"/>
      <c r="BB87" s="46"/>
      <c r="BC87" s="46"/>
      <c r="BD87" s="23" t="str">
        <f aca="false">IF(AND(ISNUMBER(BB87),ISNUMBER(BC87),BB87&gt;0),1-BC87/BB87,"")</f>
        <v/>
      </c>
      <c r="BE87" s="47"/>
      <c r="BF87" s="48"/>
      <c r="BG87" s="48"/>
      <c r="BH87" s="27" t="str">
        <f aca="false">IF(AND(ISNUMBER(BF87),ISNUMBER(BG87),BG87&gt;0),BF87/BG87,"")</f>
        <v/>
      </c>
      <c r="BI87" s="48"/>
      <c r="BJ87" s="44"/>
      <c r="BK87" s="46"/>
      <c r="BL87" s="46"/>
      <c r="BM87" s="36" t="str">
        <f aca="false">IF(ISNUMBER(Q87),IF(Q87&lt;0,"YES","no"),"")</f>
        <v>no</v>
      </c>
      <c r="BN87" s="36" t="str">
        <f aca="false">IFERROR(IF(AND(ISNUMBER(K87),ISNUMBER(INDEX('Lift Inputs'!$H:$H,MATCH(C87,'Lift Inputs'!$C:$C,0)))),IF(K87&lt;INDEX('Lift Inputs'!$H:$H,MATCH(C87,'Lift Inputs'!$C:$C,0)),"YES","no"),""),"")</f>
        <v/>
      </c>
      <c r="BO87" s="44"/>
    </row>
    <row r="88" customFormat="false" ht="15" hidden="false" customHeight="false" outlineLevel="0" collapsed="false">
      <c r="A88" s="15" t="s">
        <v>37</v>
      </c>
      <c r="B88" s="15" t="s">
        <v>49</v>
      </c>
      <c r="C88" s="15" t="n">
        <v>30</v>
      </c>
      <c r="D88" s="15" t="s">
        <v>196</v>
      </c>
      <c r="E88" s="15" t="n">
        <v>1508</v>
      </c>
      <c r="F88" s="15" t="s">
        <v>422</v>
      </c>
      <c r="G88" s="15" t="s">
        <v>423</v>
      </c>
      <c r="H88" s="15" t="s">
        <v>424</v>
      </c>
      <c r="I88" s="15" t="s">
        <v>425</v>
      </c>
      <c r="J88" s="15" t="s">
        <v>178</v>
      </c>
      <c r="K88" s="35" t="n">
        <v>69.99</v>
      </c>
      <c r="L88" s="35"/>
      <c r="M88" s="23" t="str">
        <f aca="false">IF(AND(ISNUMBER(L88),ISNUMBER(K88),K88&gt;0),L88/K88-1,"")</f>
        <v/>
      </c>
      <c r="N88" s="36" t="str">
        <f aca="false">IF(M88="","No List Price",IF(M88&lt;=0,"At/below price",IF(M88&lt;=0.12,"&lt;=12% (STR zone)",IF(M88&lt;=0.25,"12-25%","&gt;25% (likely ignored)"))))</f>
        <v>No List Price</v>
      </c>
      <c r="O88" s="15" t="s">
        <v>320</v>
      </c>
      <c r="P88" s="35" t="n">
        <v>90.8617672413793</v>
      </c>
      <c r="Q88" s="22" t="n">
        <f aca="false">IF(AND(ISNUMBER(K88),ISNUMBER(P88),N(P88)&gt;0),K88/P88-1,"")</f>
        <v>-0.229709017060303</v>
      </c>
      <c r="R88" s="15" t="s">
        <v>321</v>
      </c>
      <c r="S88" s="37" t="n">
        <v>33423</v>
      </c>
      <c r="T88" s="37" t="n">
        <v>35</v>
      </c>
      <c r="U88" s="38" t="n">
        <f aca="false">IF(AND(ISNUMBER(K88),ISNUMBER(T88)),K88*T88*52/12,"")</f>
        <v>10615.15</v>
      </c>
      <c r="V88" s="15" t="n">
        <v>4.4</v>
      </c>
      <c r="W88" s="37" t="n">
        <v>1040</v>
      </c>
      <c r="X88" s="39" t="n">
        <v>46307</v>
      </c>
      <c r="Y88" s="15" t="n">
        <v>51</v>
      </c>
      <c r="Z88" s="40" t="n">
        <v>44681</v>
      </c>
      <c r="AA88" s="41" t="n">
        <f aca="false">IF(ISNUMBER(Z88),(DATE(2026,10,13)-Z88)/365,"")</f>
        <v>4.45753424657534</v>
      </c>
      <c r="AB88" s="37" t="n">
        <v>1349</v>
      </c>
      <c r="AC88" s="15" t="s">
        <v>313</v>
      </c>
      <c r="AD88" s="15" t="n">
        <v>1</v>
      </c>
      <c r="AE88" s="15" t="s">
        <v>331</v>
      </c>
      <c r="AF88" s="42" t="n">
        <v>0</v>
      </c>
      <c r="AG88" s="42" t="n">
        <v>0</v>
      </c>
      <c r="AH88" s="15" t="n">
        <v>152</v>
      </c>
      <c r="AI88" s="37"/>
      <c r="AJ88" s="37"/>
      <c r="AK88" s="15"/>
      <c r="AL88" s="43"/>
      <c r="AM88" s="43"/>
      <c r="AN88" s="25" t="str">
        <f aca="false">IF(AND(ISNUMBER(AM88),ISNUMBER(AL88),AL88&gt;=5),AM88/AL88,"")</f>
        <v/>
      </c>
      <c r="AO88" s="43"/>
      <c r="AP88" s="43"/>
      <c r="AQ88" s="25" t="str">
        <f aca="false">IF(AND(ISNUMBER(AP88),ISNUMBER(AO88),AO88&gt;=5),AP88/AO88,"")</f>
        <v/>
      </c>
      <c r="AR88" s="43"/>
      <c r="AS88" s="43"/>
      <c r="AT88" s="22" t="str">
        <f aca="false">IF(AND(ISNUMBER(AS88),ISNUMBER(AR88),AR88&gt;0),AS88/AR88-1,"")</f>
        <v/>
      </c>
      <c r="AU88" s="44"/>
      <c r="AV88" s="44"/>
      <c r="AW88" s="44"/>
      <c r="AX88" s="44"/>
      <c r="AY88" s="44"/>
      <c r="AZ88" s="45"/>
      <c r="BA88" s="45"/>
      <c r="BB88" s="46"/>
      <c r="BC88" s="46"/>
      <c r="BD88" s="23" t="str">
        <f aca="false">IF(AND(ISNUMBER(BB88),ISNUMBER(BC88),BB88&gt;0),1-BC88/BB88,"")</f>
        <v/>
      </c>
      <c r="BE88" s="47"/>
      <c r="BF88" s="48"/>
      <c r="BG88" s="48"/>
      <c r="BH88" s="27" t="str">
        <f aca="false">IF(AND(ISNUMBER(BF88),ISNUMBER(BG88),BG88&gt;0),BF88/BG88,"")</f>
        <v/>
      </c>
      <c r="BI88" s="48"/>
      <c r="BJ88" s="44"/>
      <c r="BK88" s="46"/>
      <c r="BL88" s="46"/>
      <c r="BM88" s="36" t="str">
        <f aca="false">IF(ISNUMBER(Q88),IF(Q88&lt;0,"YES","no"),"")</f>
        <v>YES</v>
      </c>
      <c r="BN88" s="36" t="str">
        <f aca="false">IFERROR(IF(AND(ISNUMBER(K88),ISNUMBER(INDEX('Lift Inputs'!$H:$H,MATCH(C88,'Lift Inputs'!$C:$C,0)))),IF(K88&lt;INDEX('Lift Inputs'!$H:$H,MATCH(C88,'Lift Inputs'!$C:$C,0)),"YES","no"),""),"")</f>
        <v/>
      </c>
      <c r="BO88" s="44"/>
    </row>
    <row r="89" customFormat="false" ht="15" hidden="false" customHeight="false" outlineLevel="0" collapsed="false">
      <c r="A89" s="15" t="s">
        <v>37</v>
      </c>
      <c r="B89" s="15" t="s">
        <v>49</v>
      </c>
      <c r="C89" s="15" t="n">
        <v>30</v>
      </c>
      <c r="D89" s="15" t="s">
        <v>196</v>
      </c>
      <c r="E89" s="15" t="n">
        <v>31</v>
      </c>
      <c r="F89" s="15" t="s">
        <v>426</v>
      </c>
      <c r="G89" s="15" t="s">
        <v>427</v>
      </c>
      <c r="H89" s="15" t="s">
        <v>428</v>
      </c>
      <c r="I89" s="15" t="s">
        <v>429</v>
      </c>
      <c r="J89" s="15" t="s">
        <v>178</v>
      </c>
      <c r="K89" s="35" t="n">
        <v>328</v>
      </c>
      <c r="L89" s="35"/>
      <c r="M89" s="23" t="str">
        <f aca="false">IF(AND(ISNUMBER(L89),ISNUMBER(K89),K89&gt;0),L89/K89-1,"")</f>
        <v/>
      </c>
      <c r="N89" s="36" t="str">
        <f aca="false">IF(M89="","No List Price",IF(M89&lt;=0,"At/below price",IF(M89&lt;=0.12,"&lt;=12% (STR zone)",IF(M89&lt;=0.25,"12-25%","&gt;25% (likely ignored)"))))</f>
        <v>No List Price</v>
      </c>
      <c r="O89" s="15"/>
      <c r="P89" s="35" t="n">
        <v>90.6832330827068</v>
      </c>
      <c r="Q89" s="22" t="n">
        <f aca="false">IF(AND(ISNUMBER(K89),ISNUMBER(P89),N(P89)&gt;0),K89/P89-1,"")</f>
        <v>2.61698617098103</v>
      </c>
      <c r="R89" s="15" t="s">
        <v>353</v>
      </c>
      <c r="S89" s="37" t="n">
        <v>45709</v>
      </c>
      <c r="T89" s="37" t="n">
        <v>35</v>
      </c>
      <c r="U89" s="38" t="n">
        <f aca="false">IF(AND(ISNUMBER(K89),ISNUMBER(T89)),K89*T89*52/12,"")</f>
        <v>49746.6666666667</v>
      </c>
      <c r="V89" s="15" t="n">
        <v>3.9</v>
      </c>
      <c r="W89" s="37" t="n">
        <v>425</v>
      </c>
      <c r="X89" s="39" t="n">
        <v>46307</v>
      </c>
      <c r="Y89" s="15" t="n">
        <v>54</v>
      </c>
      <c r="Z89" s="40" t="n">
        <v>41624</v>
      </c>
      <c r="AA89" s="41" t="n">
        <f aca="false">IF(ISNUMBER(Z89),(DATE(2026,10,13)-Z89)/365,"")</f>
        <v>12.8328767123288</v>
      </c>
      <c r="AB89" s="37" t="n">
        <v>875</v>
      </c>
      <c r="AC89" s="15" t="s">
        <v>313</v>
      </c>
      <c r="AD89" s="15" t="n">
        <v>2</v>
      </c>
      <c r="AE89" s="15" t="s">
        <v>314</v>
      </c>
      <c r="AF89" s="42" t="n">
        <v>0</v>
      </c>
      <c r="AG89" s="42" t="n">
        <v>0</v>
      </c>
      <c r="AH89" s="15" t="n">
        <v>93</v>
      </c>
      <c r="AI89" s="37"/>
      <c r="AJ89" s="37"/>
      <c r="AK89" s="15"/>
      <c r="AL89" s="43"/>
      <c r="AM89" s="43"/>
      <c r="AN89" s="25" t="str">
        <f aca="false">IF(AND(ISNUMBER(AM89),ISNUMBER(AL89),AL89&gt;=5),AM89/AL89,"")</f>
        <v/>
      </c>
      <c r="AO89" s="43"/>
      <c r="AP89" s="43"/>
      <c r="AQ89" s="25" t="str">
        <f aca="false">IF(AND(ISNUMBER(AP89),ISNUMBER(AO89),AO89&gt;=5),AP89/AO89,"")</f>
        <v/>
      </c>
      <c r="AR89" s="43"/>
      <c r="AS89" s="43"/>
      <c r="AT89" s="22" t="str">
        <f aca="false">IF(AND(ISNUMBER(AS89),ISNUMBER(AR89),AR89&gt;0),AS89/AR89-1,"")</f>
        <v/>
      </c>
      <c r="AU89" s="44"/>
      <c r="AV89" s="44"/>
      <c r="AW89" s="44"/>
      <c r="AX89" s="44"/>
      <c r="AY89" s="44"/>
      <c r="AZ89" s="45"/>
      <c r="BA89" s="45"/>
      <c r="BB89" s="46"/>
      <c r="BC89" s="46"/>
      <c r="BD89" s="23" t="str">
        <f aca="false">IF(AND(ISNUMBER(BB89),ISNUMBER(BC89),BB89&gt;0),1-BC89/BB89,"")</f>
        <v/>
      </c>
      <c r="BE89" s="47"/>
      <c r="BF89" s="48"/>
      <c r="BG89" s="48"/>
      <c r="BH89" s="27" t="str">
        <f aca="false">IF(AND(ISNUMBER(BF89),ISNUMBER(BG89),BG89&gt;0),BF89/BG89,"")</f>
        <v/>
      </c>
      <c r="BI89" s="48"/>
      <c r="BJ89" s="44"/>
      <c r="BK89" s="46"/>
      <c r="BL89" s="46"/>
      <c r="BM89" s="36" t="str">
        <f aca="false">IF(ISNUMBER(Q89),IF(Q89&lt;0,"YES","no"),"")</f>
        <v>no</v>
      </c>
      <c r="BN89" s="36" t="str">
        <f aca="false">IFERROR(IF(AND(ISNUMBER(K89),ISNUMBER(INDEX('Lift Inputs'!$H:$H,MATCH(C89,'Lift Inputs'!$C:$C,0)))),IF(K89&lt;INDEX('Lift Inputs'!$H:$H,MATCH(C89,'Lift Inputs'!$C:$C,0)),"YES","no"),""),"")</f>
        <v/>
      </c>
      <c r="BO89" s="44"/>
    </row>
    <row r="90" customFormat="false" ht="15" hidden="false" customHeight="false" outlineLevel="0" collapsed="false">
      <c r="A90" s="15" t="s">
        <v>37</v>
      </c>
      <c r="B90" s="15" t="s">
        <v>49</v>
      </c>
      <c r="C90" s="15" t="n">
        <v>30</v>
      </c>
      <c r="D90" s="15" t="s">
        <v>196</v>
      </c>
      <c r="E90" s="15" t="n">
        <v>1515</v>
      </c>
      <c r="F90" s="15" t="s">
        <v>430</v>
      </c>
      <c r="G90" s="15" t="s">
        <v>431</v>
      </c>
      <c r="H90" s="15" t="s">
        <v>432</v>
      </c>
      <c r="I90" s="15" t="s">
        <v>433</v>
      </c>
      <c r="J90" s="15" t="s">
        <v>178</v>
      </c>
      <c r="K90" s="35" t="n">
        <v>46.74</v>
      </c>
      <c r="L90" s="35" t="n">
        <v>59.99</v>
      </c>
      <c r="M90" s="23" t="n">
        <f aca="false">IF(AND(ISNUMBER(L90),ISNUMBER(K90),K90&gt;0),L90/K90-1,"")</f>
        <v>0.283483097988875</v>
      </c>
      <c r="N90" s="36" t="str">
        <f aca="false">IF(M90="","No List Price",IF(M90&lt;=0,"At/below price",IF(M90&lt;=0.12,"&lt;=12% (STR zone)",IF(M90&lt;=0.25,"12-25%","&gt;25% (likely ignored)"))))</f>
        <v>&gt;25% (likely ignored)</v>
      </c>
      <c r="O90" s="15" t="s">
        <v>320</v>
      </c>
      <c r="P90" s="35" t="n">
        <v>90.8617672413793</v>
      </c>
      <c r="Q90" s="22" t="n">
        <f aca="false">IF(AND(ISNUMBER(K90),ISNUMBER(P90),N(P90)&gt;0),K90/P90-1,"")</f>
        <v>-0.485592219708509</v>
      </c>
      <c r="R90" s="15" t="s">
        <v>321</v>
      </c>
      <c r="S90" s="37" t="n">
        <v>37217</v>
      </c>
      <c r="T90" s="37" t="n">
        <v>35</v>
      </c>
      <c r="U90" s="38" t="n">
        <f aca="false">IF(AND(ISNUMBER(K90),ISNUMBER(T90)),K90*T90*52/12,"")</f>
        <v>7088.9</v>
      </c>
      <c r="V90" s="15" t="n">
        <v>4.5</v>
      </c>
      <c r="W90" s="37" t="n">
        <v>2261</v>
      </c>
      <c r="X90" s="39" t="n">
        <v>46307</v>
      </c>
      <c r="Y90" s="15" t="n">
        <v>30</v>
      </c>
      <c r="Z90" s="40" t="n">
        <v>45146</v>
      </c>
      <c r="AA90" s="41" t="n">
        <f aca="false">IF(ISNUMBER(Z90),(DATE(2026,10,13)-Z90)/365,"")</f>
        <v>3.18356164383562</v>
      </c>
      <c r="AB90" s="37" t="n">
        <v>1260</v>
      </c>
      <c r="AC90" s="15" t="s">
        <v>313</v>
      </c>
      <c r="AD90" s="15" t="n">
        <v>2</v>
      </c>
      <c r="AE90" s="15" t="s">
        <v>314</v>
      </c>
      <c r="AF90" s="42" t="n">
        <v>0</v>
      </c>
      <c r="AG90" s="42" t="n">
        <v>0</v>
      </c>
      <c r="AH90" s="15" t="n">
        <v>222</v>
      </c>
      <c r="AI90" s="37"/>
      <c r="AJ90" s="37"/>
      <c r="AK90" s="15"/>
      <c r="AL90" s="43"/>
      <c r="AM90" s="43"/>
      <c r="AN90" s="25" t="str">
        <f aca="false">IF(AND(ISNUMBER(AM90),ISNUMBER(AL90),AL90&gt;=5),AM90/AL90,"")</f>
        <v/>
      </c>
      <c r="AO90" s="43"/>
      <c r="AP90" s="43"/>
      <c r="AQ90" s="25" t="str">
        <f aca="false">IF(AND(ISNUMBER(AP90),ISNUMBER(AO90),AO90&gt;=5),AP90/AO90,"")</f>
        <v/>
      </c>
      <c r="AR90" s="43"/>
      <c r="AS90" s="43"/>
      <c r="AT90" s="22" t="str">
        <f aca="false">IF(AND(ISNUMBER(AS90),ISNUMBER(AR90),AR90&gt;0),AS90/AR90-1,"")</f>
        <v/>
      </c>
      <c r="AU90" s="44"/>
      <c r="AV90" s="44"/>
      <c r="AW90" s="44"/>
      <c r="AX90" s="44"/>
      <c r="AY90" s="44"/>
      <c r="AZ90" s="45"/>
      <c r="BA90" s="45"/>
      <c r="BB90" s="46"/>
      <c r="BC90" s="46"/>
      <c r="BD90" s="23" t="str">
        <f aca="false">IF(AND(ISNUMBER(BB90),ISNUMBER(BC90),BB90&gt;0),1-BC90/BB90,"")</f>
        <v/>
      </c>
      <c r="BE90" s="47"/>
      <c r="BF90" s="48"/>
      <c r="BG90" s="48"/>
      <c r="BH90" s="27" t="str">
        <f aca="false">IF(AND(ISNUMBER(BF90),ISNUMBER(BG90),BG90&gt;0),BF90/BG90,"")</f>
        <v/>
      </c>
      <c r="BI90" s="48"/>
      <c r="BJ90" s="44"/>
      <c r="BK90" s="46"/>
      <c r="BL90" s="46"/>
      <c r="BM90" s="36" t="str">
        <f aca="false">IF(ISNUMBER(Q90),IF(Q90&lt;0,"YES","no"),"")</f>
        <v>YES</v>
      </c>
      <c r="BN90" s="36" t="str">
        <f aca="false">IFERROR(IF(AND(ISNUMBER(K90),ISNUMBER(INDEX('Lift Inputs'!$H:$H,MATCH(C90,'Lift Inputs'!$C:$C,0)))),IF(K90&lt;INDEX('Lift Inputs'!$H:$H,MATCH(C90,'Lift Inputs'!$C:$C,0)),"YES","no"),""),"")</f>
        <v/>
      </c>
      <c r="BO90" s="44"/>
    </row>
    <row r="91" customFormat="false" ht="15" hidden="false" customHeight="false" outlineLevel="0" collapsed="false">
      <c r="A91" s="15" t="s">
        <v>37</v>
      </c>
      <c r="B91" s="15" t="s">
        <v>49</v>
      </c>
      <c r="C91" s="15" t="n">
        <v>30</v>
      </c>
      <c r="D91" s="15" t="s">
        <v>196</v>
      </c>
      <c r="E91" s="15" t="n">
        <v>32</v>
      </c>
      <c r="F91" s="15" t="s">
        <v>434</v>
      </c>
      <c r="G91" s="15" t="s">
        <v>435</v>
      </c>
      <c r="H91" s="15" t="s">
        <v>436</v>
      </c>
      <c r="I91" s="15" t="s">
        <v>437</v>
      </c>
      <c r="J91" s="15" t="s">
        <v>178</v>
      </c>
      <c r="K91" s="35" t="n">
        <v>51.29</v>
      </c>
      <c r="L91" s="35" t="n">
        <v>62.99</v>
      </c>
      <c r="M91" s="23" t="n">
        <f aca="false">IF(AND(ISNUMBER(L91),ISNUMBER(K91),K91&gt;0),L91/K91-1,"")</f>
        <v>0.228114642230454</v>
      </c>
      <c r="N91" s="36" t="str">
        <f aca="false">IF(M91="","No List Price",IF(M91&lt;=0,"At/below price",IF(M91&lt;=0.12,"&lt;=12% (STR zone)",IF(M91&lt;=0.25,"12-25%","&gt;25% (likely ignored)"))))</f>
        <v>12-25%</v>
      </c>
      <c r="O91" s="15" t="s">
        <v>311</v>
      </c>
      <c r="P91" s="35" t="n">
        <v>90.6832330827068</v>
      </c>
      <c r="Q91" s="22" t="n">
        <f aca="false">IF(AND(ISNUMBER(K91),ISNUMBER(P91),N(P91)&gt;0),K91/P91-1,"")</f>
        <v>-0.434404814909704</v>
      </c>
      <c r="R91" s="15" t="s">
        <v>312</v>
      </c>
      <c r="S91" s="37" t="n">
        <v>33959</v>
      </c>
      <c r="T91" s="37" t="n">
        <v>35</v>
      </c>
      <c r="U91" s="38" t="n">
        <f aca="false">IF(AND(ISNUMBER(K91),ISNUMBER(T91)),K91*T91*52/12,"")</f>
        <v>7778.98333333333</v>
      </c>
      <c r="V91" s="15" t="n">
        <v>4.4</v>
      </c>
      <c r="W91" s="37" t="n">
        <v>674</v>
      </c>
      <c r="X91" s="39" t="n">
        <v>46307</v>
      </c>
      <c r="Y91" s="15" t="n">
        <v>74</v>
      </c>
      <c r="Z91" s="40" t="n">
        <v>45423</v>
      </c>
      <c r="AA91" s="41" t="n">
        <f aca="false">IF(ISNUMBER(Z91),(DATE(2026,10,13)-Z91)/365,"")</f>
        <v>2.42465753424658</v>
      </c>
      <c r="AB91" s="37" t="n">
        <v>2428</v>
      </c>
      <c r="AC91" s="15" t="s">
        <v>313</v>
      </c>
      <c r="AD91" s="15" t="n">
        <v>1</v>
      </c>
      <c r="AE91" s="15" t="s">
        <v>331</v>
      </c>
      <c r="AF91" s="42" t="n">
        <v>0</v>
      </c>
      <c r="AG91" s="42" t="n">
        <v>0</v>
      </c>
      <c r="AH91" s="15" t="n">
        <v>151</v>
      </c>
      <c r="AI91" s="37"/>
      <c r="AJ91" s="37"/>
      <c r="AK91" s="15"/>
      <c r="AL91" s="43"/>
      <c r="AM91" s="43"/>
      <c r="AN91" s="25" t="str">
        <f aca="false">IF(AND(ISNUMBER(AM91),ISNUMBER(AL91),AL91&gt;=5),AM91/AL91,"")</f>
        <v/>
      </c>
      <c r="AO91" s="43"/>
      <c r="AP91" s="43"/>
      <c r="AQ91" s="25" t="str">
        <f aca="false">IF(AND(ISNUMBER(AP91),ISNUMBER(AO91),AO91&gt;=5),AP91/AO91,"")</f>
        <v/>
      </c>
      <c r="AR91" s="43"/>
      <c r="AS91" s="43"/>
      <c r="AT91" s="22" t="str">
        <f aca="false">IF(AND(ISNUMBER(AS91),ISNUMBER(AR91),AR91&gt;0),AS91/AR91-1,"")</f>
        <v/>
      </c>
      <c r="AU91" s="44"/>
      <c r="AV91" s="44"/>
      <c r="AW91" s="44"/>
      <c r="AX91" s="44"/>
      <c r="AY91" s="44"/>
      <c r="AZ91" s="45"/>
      <c r="BA91" s="45"/>
      <c r="BB91" s="46"/>
      <c r="BC91" s="46"/>
      <c r="BD91" s="23" t="str">
        <f aca="false">IF(AND(ISNUMBER(BB91),ISNUMBER(BC91),BB91&gt;0),1-BC91/BB91,"")</f>
        <v/>
      </c>
      <c r="BE91" s="47"/>
      <c r="BF91" s="48"/>
      <c r="BG91" s="48"/>
      <c r="BH91" s="27" t="str">
        <f aca="false">IF(AND(ISNUMBER(BF91),ISNUMBER(BG91),BG91&gt;0),BF91/BG91,"")</f>
        <v/>
      </c>
      <c r="BI91" s="48"/>
      <c r="BJ91" s="44"/>
      <c r="BK91" s="46"/>
      <c r="BL91" s="46"/>
      <c r="BM91" s="36" t="str">
        <f aca="false">IF(ISNUMBER(Q91),IF(Q91&lt;0,"YES","no"),"")</f>
        <v>YES</v>
      </c>
      <c r="BN91" s="36" t="str">
        <f aca="false">IFERROR(IF(AND(ISNUMBER(K91),ISNUMBER(INDEX('Lift Inputs'!$H:$H,MATCH(C91,'Lift Inputs'!$C:$C,0)))),IF(K91&lt;INDEX('Lift Inputs'!$H:$H,MATCH(C91,'Lift Inputs'!$C:$C,0)),"YES","no"),""),"")</f>
        <v/>
      </c>
      <c r="BO91" s="44"/>
    </row>
    <row r="92" customFormat="false" ht="15" hidden="false" customHeight="false" outlineLevel="0" collapsed="false">
      <c r="A92" s="15" t="s">
        <v>37</v>
      </c>
      <c r="B92" s="15" t="s">
        <v>49</v>
      </c>
      <c r="C92" s="15" t="n">
        <v>30</v>
      </c>
      <c r="D92" s="15" t="s">
        <v>196</v>
      </c>
      <c r="E92" s="15" t="n">
        <v>1522</v>
      </c>
      <c r="F92" s="15" t="s">
        <v>438</v>
      </c>
      <c r="G92" s="15" t="s">
        <v>439</v>
      </c>
      <c r="H92" s="15" t="s">
        <v>439</v>
      </c>
      <c r="I92" s="15" t="s">
        <v>440</v>
      </c>
      <c r="J92" s="15" t="s">
        <v>178</v>
      </c>
      <c r="K92" s="35" t="n">
        <v>46.66</v>
      </c>
      <c r="L92" s="35" t="n">
        <v>54.9</v>
      </c>
      <c r="M92" s="23" t="n">
        <f aca="false">IF(AND(ISNUMBER(L92),ISNUMBER(K92),K92&gt;0),L92/K92-1,"")</f>
        <v>0.176596656665238</v>
      </c>
      <c r="N92" s="36" t="str">
        <f aca="false">IF(M92="","No List Price",IF(M92&lt;=0,"At/below price",IF(M92&lt;=0.12,"&lt;=12% (STR zone)",IF(M92&lt;=0.25,"12-25%","&gt;25% (likely ignored)"))))</f>
        <v>12-25%</v>
      </c>
      <c r="O92" s="15" t="s">
        <v>311</v>
      </c>
      <c r="P92" s="35" t="n">
        <v>90.6832330827068</v>
      </c>
      <c r="Q92" s="22" t="n">
        <f aca="false">IF(AND(ISNUMBER(K92),ISNUMBER(P92),N(P92)&gt;0),K92/P92-1,"")</f>
        <v>-0.485461662384223</v>
      </c>
      <c r="R92" s="15" t="s">
        <v>312</v>
      </c>
      <c r="S92" s="37" t="n">
        <v>26043</v>
      </c>
      <c r="T92" s="37" t="n">
        <v>35</v>
      </c>
      <c r="U92" s="38" t="n">
        <f aca="false">IF(AND(ISNUMBER(K92),ISNUMBER(T92)),K92*T92*52/12,"")</f>
        <v>7076.76666666667</v>
      </c>
      <c r="V92" s="15" t="n">
        <v>4.4</v>
      </c>
      <c r="W92" s="37" t="n">
        <v>6629</v>
      </c>
      <c r="X92" s="39" t="n">
        <v>46307</v>
      </c>
      <c r="Y92" s="15" t="n">
        <v>79</v>
      </c>
      <c r="Z92" s="40" t="n">
        <v>44652</v>
      </c>
      <c r="AA92" s="41" t="n">
        <f aca="false">IF(ISNUMBER(Z92),(DATE(2026,10,13)-Z92)/365,"")</f>
        <v>4.53698630136986</v>
      </c>
      <c r="AB92" s="37" t="n">
        <v>1557</v>
      </c>
      <c r="AC92" s="15" t="s">
        <v>313</v>
      </c>
      <c r="AD92" s="15" t="n">
        <v>1</v>
      </c>
      <c r="AE92" s="15" t="s">
        <v>331</v>
      </c>
      <c r="AF92" s="42" t="n">
        <v>0</v>
      </c>
      <c r="AG92" s="42" t="n">
        <v>0</v>
      </c>
      <c r="AH92" s="15" t="n">
        <v>167</v>
      </c>
      <c r="AI92" s="37"/>
      <c r="AJ92" s="37"/>
      <c r="AK92" s="15" t="s">
        <v>315</v>
      </c>
      <c r="AL92" s="43" t="n">
        <v>0</v>
      </c>
      <c r="AM92" s="43" t="n">
        <v>0</v>
      </c>
      <c r="AN92" s="25" t="str">
        <f aca="false">IF(AND(ISNUMBER(AM92),ISNUMBER(AL92),AL92&gt;=5),AM92/AL92,"")</f>
        <v/>
      </c>
      <c r="AO92" s="43" t="n">
        <v>0</v>
      </c>
      <c r="AP92" s="43" t="n">
        <v>0</v>
      </c>
      <c r="AQ92" s="25" t="str">
        <f aca="false">IF(AND(ISNUMBER(AP92),ISNUMBER(AO92),AO92&gt;=5),AP92/AO92,"")</f>
        <v/>
      </c>
      <c r="AR92" s="43" t="n">
        <v>13.3</v>
      </c>
      <c r="AS92" s="43" t="n">
        <v>0.3</v>
      </c>
      <c r="AT92" s="22" t="n">
        <f aca="false">IF(AND(ISNUMBER(AS92),ISNUMBER(AR92),AR92&gt;0),AS92/AR92-1,"")</f>
        <v>-0.977443609022556</v>
      </c>
      <c r="AU92" s="44"/>
      <c r="AV92" s="44"/>
      <c r="AW92" s="44"/>
      <c r="AX92" s="44"/>
      <c r="AY92" s="44"/>
      <c r="AZ92" s="45"/>
      <c r="BA92" s="45"/>
      <c r="BB92" s="46"/>
      <c r="BC92" s="46"/>
      <c r="BD92" s="23" t="str">
        <f aca="false">IF(AND(ISNUMBER(BB92),ISNUMBER(BC92),BB92&gt;0),1-BC92/BB92,"")</f>
        <v/>
      </c>
      <c r="BE92" s="47"/>
      <c r="BF92" s="48"/>
      <c r="BG92" s="48"/>
      <c r="BH92" s="27" t="str">
        <f aca="false">IF(AND(ISNUMBER(BF92),ISNUMBER(BG92),BG92&gt;0),BF92/BG92,"")</f>
        <v/>
      </c>
      <c r="BI92" s="48"/>
      <c r="BJ92" s="44"/>
      <c r="BK92" s="46"/>
      <c r="BL92" s="46"/>
      <c r="BM92" s="36" t="str">
        <f aca="false">IF(ISNUMBER(Q92),IF(Q92&lt;0,"YES","no"),"")</f>
        <v>YES</v>
      </c>
      <c r="BN92" s="36" t="str">
        <f aca="false">IFERROR(IF(AND(ISNUMBER(K92),ISNUMBER(INDEX('Lift Inputs'!$H:$H,MATCH(C92,'Lift Inputs'!$C:$C,0)))),IF(K92&lt;INDEX('Lift Inputs'!$H:$H,MATCH(C92,'Lift Inputs'!$C:$C,0)),"YES","no"),""),"")</f>
        <v/>
      </c>
      <c r="BO92" s="44"/>
    </row>
    <row r="93" customFormat="false" ht="15" hidden="false" customHeight="false" outlineLevel="0" collapsed="false">
      <c r="A93" s="15" t="s">
        <v>37</v>
      </c>
      <c r="B93" s="15" t="s">
        <v>49</v>
      </c>
      <c r="C93" s="15" t="n">
        <v>30</v>
      </c>
      <c r="D93" s="15" t="s">
        <v>196</v>
      </c>
      <c r="E93" s="15" t="n">
        <v>30</v>
      </c>
      <c r="F93" s="15" t="s">
        <v>441</v>
      </c>
      <c r="G93" s="15" t="s">
        <v>442</v>
      </c>
      <c r="H93" s="15" t="s">
        <v>443</v>
      </c>
      <c r="I93" s="15" t="s">
        <v>444</v>
      </c>
      <c r="J93" s="15" t="s">
        <v>178</v>
      </c>
      <c r="K93" s="35" t="n">
        <v>94.99</v>
      </c>
      <c r="L93" s="35"/>
      <c r="M93" s="23" t="str">
        <f aca="false">IF(AND(ISNUMBER(L93),ISNUMBER(K93),K93&gt;0),L93/K93-1,"")</f>
        <v/>
      </c>
      <c r="N93" s="36" t="str">
        <f aca="false">IF(M93="","No List Price",IF(M93&lt;=0,"At/below price",IF(M93&lt;=0.12,"&lt;=12% (STR zone)",IF(M93&lt;=0.25,"12-25%","&gt;25% (likely ignored)"))))</f>
        <v>No List Price</v>
      </c>
      <c r="O93" s="15" t="s">
        <v>311</v>
      </c>
      <c r="P93" s="35" t="n">
        <v>90.6832330827068</v>
      </c>
      <c r="Q93" s="22" t="n">
        <f aca="false">IF(AND(ISNUMBER(K93),ISNUMBER(P93),N(P93)&gt;0),K93/P93-1,"")</f>
        <v>0.0474924279923421</v>
      </c>
      <c r="R93" s="15" t="s">
        <v>312</v>
      </c>
      <c r="S93" s="37" t="n">
        <v>79376</v>
      </c>
      <c r="T93" s="37" t="n">
        <v>18</v>
      </c>
      <c r="U93" s="38" t="n">
        <f aca="false">IF(AND(ISNUMBER(K93),ISNUMBER(T93)),K93*T93*52/12,"")</f>
        <v>7409.22</v>
      </c>
      <c r="V93" s="15" t="n">
        <v>4.4</v>
      </c>
      <c r="W93" s="37" t="n">
        <v>641</v>
      </c>
      <c r="X93" s="39" t="n">
        <v>46307</v>
      </c>
      <c r="Y93" s="15"/>
      <c r="Z93" s="40"/>
      <c r="AA93" s="41" t="str">
        <f aca="false">IF(ISNUMBER(Z93),(DATE(2026,10,13)-Z93)/365,"")</f>
        <v/>
      </c>
      <c r="AB93" s="37"/>
      <c r="AC93" s="15"/>
      <c r="AD93" s="15"/>
      <c r="AE93" s="15"/>
      <c r="AF93" s="42"/>
      <c r="AG93" s="42"/>
      <c r="AH93" s="15"/>
      <c r="AI93" s="37"/>
      <c r="AJ93" s="37"/>
      <c r="AK93" s="15"/>
      <c r="AL93" s="43"/>
      <c r="AM93" s="43"/>
      <c r="AN93" s="25" t="str">
        <f aca="false">IF(AND(ISNUMBER(AM93),ISNUMBER(AL93),AL93&gt;=5),AM93/AL93,"")</f>
        <v/>
      </c>
      <c r="AO93" s="43"/>
      <c r="AP93" s="43"/>
      <c r="AQ93" s="25" t="str">
        <f aca="false">IF(AND(ISNUMBER(AP93),ISNUMBER(AO93),AO93&gt;=5),AP93/AO93,"")</f>
        <v/>
      </c>
      <c r="AR93" s="43"/>
      <c r="AS93" s="43"/>
      <c r="AT93" s="22" t="str">
        <f aca="false">IF(AND(ISNUMBER(AS93),ISNUMBER(AR93),AR93&gt;0),AS93/AR93-1,"")</f>
        <v/>
      </c>
      <c r="AU93" s="44"/>
      <c r="AV93" s="44"/>
      <c r="AW93" s="44"/>
      <c r="AX93" s="44"/>
      <c r="AY93" s="44"/>
      <c r="AZ93" s="45"/>
      <c r="BA93" s="45"/>
      <c r="BB93" s="46"/>
      <c r="BC93" s="46"/>
      <c r="BD93" s="23" t="str">
        <f aca="false">IF(AND(ISNUMBER(BB93),ISNUMBER(BC93),BB93&gt;0),1-BC93/BB93,"")</f>
        <v/>
      </c>
      <c r="BE93" s="47"/>
      <c r="BF93" s="48"/>
      <c r="BG93" s="48"/>
      <c r="BH93" s="27" t="str">
        <f aca="false">IF(AND(ISNUMBER(BF93),ISNUMBER(BG93),BG93&gt;0),BF93/BG93,"")</f>
        <v/>
      </c>
      <c r="BI93" s="48"/>
      <c r="BJ93" s="44"/>
      <c r="BK93" s="46"/>
      <c r="BL93" s="46"/>
      <c r="BM93" s="36" t="str">
        <f aca="false">IF(ISNUMBER(Q93),IF(Q93&lt;0,"YES","no"),"")</f>
        <v>no</v>
      </c>
      <c r="BN93" s="36" t="str">
        <f aca="false">IFERROR(IF(AND(ISNUMBER(K93),ISNUMBER(INDEX('Lift Inputs'!$H:$H,MATCH(C93,'Lift Inputs'!$C:$C,0)))),IF(K93&lt;INDEX('Lift Inputs'!$H:$H,MATCH(C93,'Lift Inputs'!$C:$C,0)),"YES","no"),""),"")</f>
        <v/>
      </c>
      <c r="BO93" s="44"/>
    </row>
    <row r="94" customFormat="false" ht="15" hidden="false" customHeight="false" outlineLevel="0" collapsed="false">
      <c r="A94" s="15" t="s">
        <v>37</v>
      </c>
      <c r="B94" s="15" t="s">
        <v>49</v>
      </c>
      <c r="C94" s="15" t="n">
        <v>30</v>
      </c>
      <c r="D94" s="15" t="s">
        <v>196</v>
      </c>
      <c r="E94" s="15" t="n">
        <v>28</v>
      </c>
      <c r="F94" s="15" t="s">
        <v>445</v>
      </c>
      <c r="G94" s="15" t="s">
        <v>446</v>
      </c>
      <c r="H94" s="15" t="s">
        <v>447</v>
      </c>
      <c r="I94" s="15" t="s">
        <v>448</v>
      </c>
      <c r="J94" s="15" t="s">
        <v>178</v>
      </c>
      <c r="K94" s="35" t="n">
        <v>56.99</v>
      </c>
      <c r="L94" s="35"/>
      <c r="M94" s="23" t="str">
        <f aca="false">IF(AND(ISNUMBER(L94),ISNUMBER(K94),K94&gt;0),L94/K94-1,"")</f>
        <v/>
      </c>
      <c r="N94" s="36" t="str">
        <f aca="false">IF(M94="","No List Price",IF(M94&lt;=0,"At/below price",IF(M94&lt;=0.12,"&lt;=12% (STR zone)",IF(M94&lt;=0.25,"12-25%","&gt;25% (likely ignored)"))))</f>
        <v>No List Price</v>
      </c>
      <c r="O94" s="15" t="s">
        <v>311</v>
      </c>
      <c r="P94" s="35" t="n">
        <v>90.6832330827068</v>
      </c>
      <c r="Q94" s="22" t="n">
        <f aca="false">IF(AND(ISNUMBER(K94),ISNUMBER(P94),N(P94)&gt;0),K94/P94-1,"")</f>
        <v>-0.371548652792046</v>
      </c>
      <c r="R94" s="15" t="s">
        <v>312</v>
      </c>
      <c r="S94" s="37" t="n">
        <v>76312</v>
      </c>
      <c r="T94" s="37" t="n">
        <v>18</v>
      </c>
      <c r="U94" s="38" t="n">
        <f aca="false">IF(AND(ISNUMBER(K94),ISNUMBER(T94)),K94*T94*52/12,"")</f>
        <v>4445.22</v>
      </c>
      <c r="V94" s="15" t="n">
        <v>4.3</v>
      </c>
      <c r="W94" s="37" t="n">
        <v>281</v>
      </c>
      <c r="X94" s="39" t="n">
        <v>46307</v>
      </c>
      <c r="Y94" s="15" t="n">
        <v>32</v>
      </c>
      <c r="Z94" s="40" t="n">
        <v>45671</v>
      </c>
      <c r="AA94" s="41" t="n">
        <f aca="false">IF(ISNUMBER(Z94),(DATE(2026,10,13)-Z94)/365,"")</f>
        <v>1.74520547945205</v>
      </c>
      <c r="AB94" s="37" t="n">
        <v>1508</v>
      </c>
      <c r="AC94" s="15" t="s">
        <v>313</v>
      </c>
      <c r="AD94" s="15" t="n">
        <v>1</v>
      </c>
      <c r="AE94" s="15" t="s">
        <v>331</v>
      </c>
      <c r="AF94" s="42" t="n">
        <v>0</v>
      </c>
      <c r="AG94" s="42" t="n">
        <v>0</v>
      </c>
      <c r="AH94" s="15" t="n">
        <v>126</v>
      </c>
      <c r="AI94" s="37"/>
      <c r="AJ94" s="37"/>
      <c r="AK94" s="15"/>
      <c r="AL94" s="43"/>
      <c r="AM94" s="43"/>
      <c r="AN94" s="25" t="str">
        <f aca="false">IF(AND(ISNUMBER(AM94),ISNUMBER(AL94),AL94&gt;=5),AM94/AL94,"")</f>
        <v/>
      </c>
      <c r="AO94" s="43"/>
      <c r="AP94" s="43"/>
      <c r="AQ94" s="25" t="str">
        <f aca="false">IF(AND(ISNUMBER(AP94),ISNUMBER(AO94),AO94&gt;=5),AP94/AO94,"")</f>
        <v/>
      </c>
      <c r="AR94" s="43"/>
      <c r="AS94" s="43"/>
      <c r="AT94" s="22" t="str">
        <f aca="false">IF(AND(ISNUMBER(AS94),ISNUMBER(AR94),AR94&gt;0),AS94/AR94-1,"")</f>
        <v/>
      </c>
      <c r="AU94" s="44"/>
      <c r="AV94" s="44"/>
      <c r="AW94" s="44"/>
      <c r="AX94" s="44"/>
      <c r="AY94" s="44"/>
      <c r="AZ94" s="45"/>
      <c r="BA94" s="45"/>
      <c r="BB94" s="46"/>
      <c r="BC94" s="46"/>
      <c r="BD94" s="23" t="str">
        <f aca="false">IF(AND(ISNUMBER(BB94),ISNUMBER(BC94),BB94&gt;0),1-BC94/BB94,"")</f>
        <v/>
      </c>
      <c r="BE94" s="47"/>
      <c r="BF94" s="48"/>
      <c r="BG94" s="48"/>
      <c r="BH94" s="27" t="str">
        <f aca="false">IF(AND(ISNUMBER(BF94),ISNUMBER(BG94),BG94&gt;0),BF94/BG94,"")</f>
        <v/>
      </c>
      <c r="BI94" s="48"/>
      <c r="BJ94" s="44"/>
      <c r="BK94" s="46"/>
      <c r="BL94" s="46"/>
      <c r="BM94" s="36" t="str">
        <f aca="false">IF(ISNUMBER(Q94),IF(Q94&lt;0,"YES","no"),"")</f>
        <v>YES</v>
      </c>
      <c r="BN94" s="36" t="str">
        <f aca="false">IFERROR(IF(AND(ISNUMBER(K94),ISNUMBER(INDEX('Lift Inputs'!$H:$H,MATCH(C94,'Lift Inputs'!$C:$C,0)))),IF(K94&lt;INDEX('Lift Inputs'!$H:$H,MATCH(C94,'Lift Inputs'!$C:$C,0)),"YES","no"),""),"")</f>
        <v/>
      </c>
      <c r="BO94" s="44"/>
    </row>
    <row r="95" customFormat="false" ht="15" hidden="false" customHeight="false" outlineLevel="0" collapsed="false">
      <c r="A95" s="15" t="s">
        <v>37</v>
      </c>
      <c r="B95" s="15" t="s">
        <v>49</v>
      </c>
      <c r="C95" s="15" t="n">
        <v>30</v>
      </c>
      <c r="D95" s="15" t="s">
        <v>196</v>
      </c>
      <c r="E95" s="15" t="n">
        <v>24</v>
      </c>
      <c r="F95" s="15" t="s">
        <v>449</v>
      </c>
      <c r="G95" s="15" t="s">
        <v>450</v>
      </c>
      <c r="H95" s="15" t="s">
        <v>451</v>
      </c>
      <c r="I95" s="15" t="s">
        <v>352</v>
      </c>
      <c r="J95" s="15" t="s">
        <v>178</v>
      </c>
      <c r="K95" s="35" t="n">
        <v>76.99</v>
      </c>
      <c r="L95" s="35" t="n">
        <v>84.99</v>
      </c>
      <c r="M95" s="23" t="n">
        <f aca="false">IF(AND(ISNUMBER(L95),ISNUMBER(K95),K95&gt;0),L95/K95-1,"")</f>
        <v>0.103909598649175</v>
      </c>
      <c r="N95" s="36" t="str">
        <f aca="false">IF(M95="","No List Price",IF(M95&lt;=0,"At/below price",IF(M95&lt;=0.12,"&lt;=12% (STR zone)",IF(M95&lt;=0.25,"12-25%","&gt;25% (likely ignored)"))))</f>
        <v>&lt;=12% (STR zone)</v>
      </c>
      <c r="O95" s="15"/>
      <c r="P95" s="35" t="n">
        <v>90.6832330827068</v>
      </c>
      <c r="Q95" s="22" t="n">
        <f aca="false">IF(AND(ISNUMBER(K95),ISNUMBER(P95),N(P95)&gt;0),K95/P95-1,"")</f>
        <v>-0.151000715537105</v>
      </c>
      <c r="R95" s="15" t="s">
        <v>353</v>
      </c>
      <c r="S95" s="37" t="n">
        <v>23579</v>
      </c>
      <c r="T95" s="37" t="n">
        <v>18</v>
      </c>
      <c r="U95" s="38" t="n">
        <f aca="false">IF(AND(ISNUMBER(K95),ISNUMBER(T95)),K95*T95*52/12,"")</f>
        <v>6005.22</v>
      </c>
      <c r="V95" s="15" t="n">
        <v>4.6</v>
      </c>
      <c r="W95" s="37" t="n">
        <v>688</v>
      </c>
      <c r="X95" s="39" t="n">
        <v>46307</v>
      </c>
      <c r="Y95" s="15"/>
      <c r="Z95" s="40"/>
      <c r="AA95" s="41" t="str">
        <f aca="false">IF(ISNUMBER(Z95),(DATE(2026,10,13)-Z95)/365,"")</f>
        <v/>
      </c>
      <c r="AB95" s="37"/>
      <c r="AC95" s="15"/>
      <c r="AD95" s="15"/>
      <c r="AE95" s="15"/>
      <c r="AF95" s="42"/>
      <c r="AG95" s="42"/>
      <c r="AH95" s="15"/>
      <c r="AI95" s="37" t="n">
        <v>58169</v>
      </c>
      <c r="AJ95" s="37" t="n">
        <v>1164</v>
      </c>
      <c r="AK95" s="15" t="s">
        <v>315</v>
      </c>
      <c r="AL95" s="43" t="n">
        <v>1.3</v>
      </c>
      <c r="AM95" s="43" t="n">
        <v>2.2</v>
      </c>
      <c r="AN95" s="25" t="str">
        <f aca="false">IF(AND(ISNUMBER(AM95),ISNUMBER(AL95),AL95&gt;=5),AM95/AL95,"")</f>
        <v/>
      </c>
      <c r="AO95" s="43" t="n">
        <v>3.5</v>
      </c>
      <c r="AP95" s="43" t="n">
        <v>2.5</v>
      </c>
      <c r="AQ95" s="25" t="str">
        <f aca="false">IF(AND(ISNUMBER(AP95),ISNUMBER(AO95),AO95&gt;=5),AP95/AO95,"")</f>
        <v/>
      </c>
      <c r="AR95" s="43" t="n">
        <v>1.7</v>
      </c>
      <c r="AS95" s="43" t="n">
        <v>5.7</v>
      </c>
      <c r="AT95" s="22" t="n">
        <f aca="false">IF(AND(ISNUMBER(AS95),ISNUMBER(AR95),AR95&gt;0),AS95/AR95-1,"")</f>
        <v>2.35294117647059</v>
      </c>
      <c r="AU95" s="44"/>
      <c r="AV95" s="44"/>
      <c r="AW95" s="44"/>
      <c r="AX95" s="44"/>
      <c r="AY95" s="44"/>
      <c r="AZ95" s="45"/>
      <c r="BA95" s="45"/>
      <c r="BB95" s="46"/>
      <c r="BC95" s="46"/>
      <c r="BD95" s="23" t="str">
        <f aca="false">IF(AND(ISNUMBER(BB95),ISNUMBER(BC95),BB95&gt;0),1-BC95/BB95,"")</f>
        <v/>
      </c>
      <c r="BE95" s="47"/>
      <c r="BF95" s="48"/>
      <c r="BG95" s="48"/>
      <c r="BH95" s="27" t="str">
        <f aca="false">IF(AND(ISNUMBER(BF95),ISNUMBER(BG95),BG95&gt;0),BF95/BG95,"")</f>
        <v/>
      </c>
      <c r="BI95" s="48"/>
      <c r="BJ95" s="44"/>
      <c r="BK95" s="46"/>
      <c r="BL95" s="46"/>
      <c r="BM95" s="36" t="str">
        <f aca="false">IF(ISNUMBER(Q95),IF(Q95&lt;0,"YES","no"),"")</f>
        <v>YES</v>
      </c>
      <c r="BN95" s="36" t="str">
        <f aca="false">IFERROR(IF(AND(ISNUMBER(K95),ISNUMBER(INDEX('Lift Inputs'!$H:$H,MATCH(C95,'Lift Inputs'!$C:$C,0)))),IF(K95&lt;INDEX('Lift Inputs'!$H:$H,MATCH(C95,'Lift Inputs'!$C:$C,0)),"YES","no"),""),"")</f>
        <v/>
      </c>
      <c r="BO95" s="44"/>
    </row>
    <row r="96" customFormat="false" ht="15" hidden="false" customHeight="false" outlineLevel="0" collapsed="false">
      <c r="A96" s="15" t="s">
        <v>37</v>
      </c>
      <c r="B96" s="15" t="s">
        <v>49</v>
      </c>
      <c r="C96" s="15" t="n">
        <v>30</v>
      </c>
      <c r="D96" s="15" t="s">
        <v>196</v>
      </c>
      <c r="E96" s="15" t="n">
        <v>26</v>
      </c>
      <c r="F96" s="15" t="s">
        <v>452</v>
      </c>
      <c r="G96" s="15" t="s">
        <v>453</v>
      </c>
      <c r="H96" s="15" t="s">
        <v>454</v>
      </c>
      <c r="I96" s="15" t="s">
        <v>352</v>
      </c>
      <c r="J96" s="15" t="s">
        <v>178</v>
      </c>
      <c r="K96" s="35" t="n">
        <v>129.94</v>
      </c>
      <c r="L96" s="35"/>
      <c r="M96" s="23" t="str">
        <f aca="false">IF(AND(ISNUMBER(L96),ISNUMBER(K96),K96&gt;0),L96/K96-1,"")</f>
        <v/>
      </c>
      <c r="N96" s="36" t="str">
        <f aca="false">IF(M96="","No List Price",IF(M96&lt;=0,"At/below price",IF(M96&lt;=0.12,"&lt;=12% (STR zone)",IF(M96&lt;=0.25,"12-25%","&gt;25% (likely ignored)"))))</f>
        <v>No List Price</v>
      </c>
      <c r="O96" s="15"/>
      <c r="P96" s="35" t="n">
        <v>90.6832330827068</v>
      </c>
      <c r="Q96" s="22" t="n">
        <f aca="false">IF(AND(ISNUMBER(K96),ISNUMBER(P96),N(P96)&gt;0),K96/P96-1,"")</f>
        <v>0.432899948345352</v>
      </c>
      <c r="R96" s="15" t="s">
        <v>353</v>
      </c>
      <c r="S96" s="37" t="n">
        <v>47800</v>
      </c>
      <c r="T96" s="37" t="n">
        <v>18</v>
      </c>
      <c r="U96" s="38" t="n">
        <f aca="false">IF(AND(ISNUMBER(K96),ISNUMBER(T96)),K96*T96*52/12,"")</f>
        <v>10135.32</v>
      </c>
      <c r="V96" s="15" t="n">
        <v>4.5</v>
      </c>
      <c r="W96" s="37" t="n">
        <v>517</v>
      </c>
      <c r="X96" s="39" t="n">
        <v>46307</v>
      </c>
      <c r="Y96" s="15"/>
      <c r="Z96" s="40"/>
      <c r="AA96" s="41" t="str">
        <f aca="false">IF(ISNUMBER(Z96),(DATE(2026,10,13)-Z96)/365,"")</f>
        <v/>
      </c>
      <c r="AB96" s="37"/>
      <c r="AC96" s="15"/>
      <c r="AD96" s="15"/>
      <c r="AE96" s="15"/>
      <c r="AF96" s="42"/>
      <c r="AG96" s="42"/>
      <c r="AH96" s="15"/>
      <c r="AI96" s="37"/>
      <c r="AJ96" s="37"/>
      <c r="AK96" s="15"/>
      <c r="AL96" s="43"/>
      <c r="AM96" s="43"/>
      <c r="AN96" s="25" t="str">
        <f aca="false">IF(AND(ISNUMBER(AM96),ISNUMBER(AL96),AL96&gt;=5),AM96/AL96,"")</f>
        <v/>
      </c>
      <c r="AO96" s="43"/>
      <c r="AP96" s="43"/>
      <c r="AQ96" s="25" t="str">
        <f aca="false">IF(AND(ISNUMBER(AP96),ISNUMBER(AO96),AO96&gt;=5),AP96/AO96,"")</f>
        <v/>
      </c>
      <c r="AR96" s="43"/>
      <c r="AS96" s="43"/>
      <c r="AT96" s="22" t="str">
        <f aca="false">IF(AND(ISNUMBER(AS96),ISNUMBER(AR96),AR96&gt;0),AS96/AR96-1,"")</f>
        <v/>
      </c>
      <c r="AU96" s="44"/>
      <c r="AV96" s="44"/>
      <c r="AW96" s="44"/>
      <c r="AX96" s="44"/>
      <c r="AY96" s="44"/>
      <c r="AZ96" s="45"/>
      <c r="BA96" s="45"/>
      <c r="BB96" s="46"/>
      <c r="BC96" s="46"/>
      <c r="BD96" s="23" t="str">
        <f aca="false">IF(AND(ISNUMBER(BB96),ISNUMBER(BC96),BB96&gt;0),1-BC96/BB96,"")</f>
        <v/>
      </c>
      <c r="BE96" s="47"/>
      <c r="BF96" s="48"/>
      <c r="BG96" s="48"/>
      <c r="BH96" s="27" t="str">
        <f aca="false">IF(AND(ISNUMBER(BF96),ISNUMBER(BG96),BG96&gt;0),BF96/BG96,"")</f>
        <v/>
      </c>
      <c r="BI96" s="48"/>
      <c r="BJ96" s="44"/>
      <c r="BK96" s="46"/>
      <c r="BL96" s="46"/>
      <c r="BM96" s="36" t="str">
        <f aca="false">IF(ISNUMBER(Q96),IF(Q96&lt;0,"YES","no"),"")</f>
        <v>no</v>
      </c>
      <c r="BN96" s="36" t="str">
        <f aca="false">IFERROR(IF(AND(ISNUMBER(K96),ISNUMBER(INDEX('Lift Inputs'!$H:$H,MATCH(C96,'Lift Inputs'!$C:$C,0)))),IF(K96&lt;INDEX('Lift Inputs'!$H:$H,MATCH(C96,'Lift Inputs'!$C:$C,0)),"YES","no"),""),"")</f>
        <v/>
      </c>
      <c r="BO96" s="44"/>
    </row>
    <row r="97" customFormat="false" ht="15" hidden="false" customHeight="false" outlineLevel="0" collapsed="false">
      <c r="A97" s="15" t="s">
        <v>37</v>
      </c>
      <c r="B97" s="15" t="s">
        <v>49</v>
      </c>
      <c r="C97" s="15" t="n">
        <v>30</v>
      </c>
      <c r="D97" s="15" t="s">
        <v>196</v>
      </c>
      <c r="E97" s="15" t="n">
        <v>633</v>
      </c>
      <c r="F97" s="15" t="s">
        <v>438</v>
      </c>
      <c r="G97" s="15" t="s">
        <v>455</v>
      </c>
      <c r="H97" s="15" t="s">
        <v>455</v>
      </c>
      <c r="I97" s="15" t="s">
        <v>456</v>
      </c>
      <c r="J97" s="15" t="s">
        <v>178</v>
      </c>
      <c r="K97" s="35" t="n">
        <v>69.99</v>
      </c>
      <c r="L97" s="35" t="n">
        <v>84.99</v>
      </c>
      <c r="M97" s="23" t="n">
        <f aca="false">IF(AND(ISNUMBER(L97),ISNUMBER(K97),K97&gt;0),L97/K97-1,"")</f>
        <v>0.214316330904415</v>
      </c>
      <c r="N97" s="36" t="str">
        <f aca="false">IF(M97="","No List Price",IF(M97&lt;=0,"At/below price",IF(M97&lt;=0.12,"&lt;=12% (STR zone)",IF(M97&lt;=0.25,"12-25%","&gt;25% (likely ignored)"))))</f>
        <v>12-25%</v>
      </c>
      <c r="O97" s="15"/>
      <c r="P97" s="35" t="n">
        <v>90.6832330827068</v>
      </c>
      <c r="Q97" s="22" t="n">
        <f aca="false">IF(AND(ISNUMBER(K97),ISNUMBER(P97),N(P97)&gt;0),K97/P97-1,"")</f>
        <v>-0.228192493576334</v>
      </c>
      <c r="R97" s="15" t="s">
        <v>353</v>
      </c>
      <c r="S97" s="37" t="n">
        <v>39194</v>
      </c>
      <c r="T97" s="37" t="n">
        <v>18</v>
      </c>
      <c r="U97" s="38" t="n">
        <f aca="false">IF(AND(ISNUMBER(K97),ISNUMBER(T97)),K97*T97*52/12,"")</f>
        <v>5459.22</v>
      </c>
      <c r="V97" s="15" t="n">
        <v>4.5</v>
      </c>
      <c r="W97" s="37" t="n">
        <v>1639</v>
      </c>
      <c r="X97" s="39" t="n">
        <v>46307</v>
      </c>
      <c r="Y97" s="15" t="n">
        <v>32</v>
      </c>
      <c r="Z97" s="40" t="n">
        <v>45744</v>
      </c>
      <c r="AA97" s="41" t="n">
        <f aca="false">IF(ISNUMBER(Z97),(DATE(2026,10,13)-Z97)/365,"")</f>
        <v>1.54520547945205</v>
      </c>
      <c r="AB97" s="37" t="n">
        <v>1201</v>
      </c>
      <c r="AC97" s="15" t="s">
        <v>313</v>
      </c>
      <c r="AD97" s="15" t="n">
        <v>1</v>
      </c>
      <c r="AE97" s="15" t="s">
        <v>331</v>
      </c>
      <c r="AF97" s="42" t="n">
        <v>0</v>
      </c>
      <c r="AG97" s="42" t="n">
        <v>0</v>
      </c>
      <c r="AH97" s="15" t="n">
        <v>121</v>
      </c>
      <c r="AI97" s="37"/>
      <c r="AJ97" s="37"/>
      <c r="AK97" s="15" t="s">
        <v>315</v>
      </c>
      <c r="AL97" s="43" t="n">
        <v>0</v>
      </c>
      <c r="AM97" s="43" t="n">
        <v>0</v>
      </c>
      <c r="AN97" s="25" t="str">
        <f aca="false">IF(AND(ISNUMBER(AM97),ISNUMBER(AL97),AL97&gt;=5),AM97/AL97,"")</f>
        <v/>
      </c>
      <c r="AO97" s="43" t="n">
        <v>0</v>
      </c>
      <c r="AP97" s="43" t="n">
        <v>0</v>
      </c>
      <c r="AQ97" s="25" t="str">
        <f aca="false">IF(AND(ISNUMBER(AP97),ISNUMBER(AO97),AO97&gt;=5),AP97/AO97,"")</f>
        <v/>
      </c>
      <c r="AR97" s="43" t="n">
        <v>5.8</v>
      </c>
      <c r="AS97" s="43" t="n">
        <v>0.2</v>
      </c>
      <c r="AT97" s="22" t="n">
        <f aca="false">IF(AND(ISNUMBER(AS97),ISNUMBER(AR97),AR97&gt;0),AS97/AR97-1,"")</f>
        <v>-0.96551724137931</v>
      </c>
      <c r="AU97" s="44"/>
      <c r="AV97" s="44"/>
      <c r="AW97" s="44"/>
      <c r="AX97" s="44"/>
      <c r="AY97" s="44"/>
      <c r="AZ97" s="45"/>
      <c r="BA97" s="45"/>
      <c r="BB97" s="46"/>
      <c r="BC97" s="46"/>
      <c r="BD97" s="23" t="str">
        <f aca="false">IF(AND(ISNUMBER(BB97),ISNUMBER(BC97),BB97&gt;0),1-BC97/BB97,"")</f>
        <v/>
      </c>
      <c r="BE97" s="47"/>
      <c r="BF97" s="48"/>
      <c r="BG97" s="48"/>
      <c r="BH97" s="27" t="str">
        <f aca="false">IF(AND(ISNUMBER(BF97),ISNUMBER(BG97),BG97&gt;0),BF97/BG97,"")</f>
        <v/>
      </c>
      <c r="BI97" s="48"/>
      <c r="BJ97" s="44"/>
      <c r="BK97" s="46"/>
      <c r="BL97" s="46"/>
      <c r="BM97" s="36" t="str">
        <f aca="false">IF(ISNUMBER(Q97),IF(Q97&lt;0,"YES","no"),"")</f>
        <v>YES</v>
      </c>
      <c r="BN97" s="36" t="str">
        <f aca="false">IFERROR(IF(AND(ISNUMBER(K97),ISNUMBER(INDEX('Lift Inputs'!$H:$H,MATCH(C97,'Lift Inputs'!$C:$C,0)))),IF(K97&lt;INDEX('Lift Inputs'!$H:$H,MATCH(C97,'Lift Inputs'!$C:$C,0)),"YES","no"),""),"")</f>
        <v/>
      </c>
      <c r="BO97" s="44"/>
    </row>
    <row r="98" customFormat="false" ht="15" hidden="false" customHeight="false" outlineLevel="0" collapsed="false">
      <c r="A98" s="15" t="s">
        <v>37</v>
      </c>
      <c r="B98" s="15" t="s">
        <v>49</v>
      </c>
      <c r="C98" s="15" t="n">
        <v>30</v>
      </c>
      <c r="D98" s="15" t="s">
        <v>196</v>
      </c>
      <c r="E98" s="15" t="n">
        <v>186</v>
      </c>
      <c r="F98" s="15" t="s">
        <v>389</v>
      </c>
      <c r="G98" s="15" t="s">
        <v>457</v>
      </c>
      <c r="H98" s="15" t="s">
        <v>458</v>
      </c>
      <c r="I98" s="15" t="s">
        <v>352</v>
      </c>
      <c r="J98" s="15" t="s">
        <v>178</v>
      </c>
      <c r="K98" s="35" t="n">
        <v>79.98</v>
      </c>
      <c r="L98" s="35"/>
      <c r="M98" s="23" t="str">
        <f aca="false">IF(AND(ISNUMBER(L98),ISNUMBER(K98),K98&gt;0),L98/K98-1,"")</f>
        <v/>
      </c>
      <c r="N98" s="36" t="str">
        <f aca="false">IF(M98="","No List Price",IF(M98&lt;=0,"At/below price",IF(M98&lt;=0.12,"&lt;=12% (STR zone)",IF(M98&lt;=0.25,"12-25%","&gt;25% (likely ignored)"))))</f>
        <v>No List Price</v>
      </c>
      <c r="O98" s="15"/>
      <c r="P98" s="35" t="n">
        <v>90.6832330827068</v>
      </c>
      <c r="Q98" s="22" t="n">
        <f aca="false">IF(AND(ISNUMBER(K98),ISNUMBER(P98),N(P98)&gt;0),K98/P98-1,"")</f>
        <v>-0.118028798917491</v>
      </c>
      <c r="R98" s="15" t="s">
        <v>353</v>
      </c>
      <c r="S98" s="37" t="n">
        <v>131083</v>
      </c>
      <c r="T98" s="37" t="n">
        <v>5</v>
      </c>
      <c r="U98" s="38" t="n">
        <f aca="false">IF(AND(ISNUMBER(K98),ISNUMBER(T98)),K98*T98*52/12,"")</f>
        <v>1732.9</v>
      </c>
      <c r="V98" s="15" t="n">
        <v>4.5</v>
      </c>
      <c r="W98" s="37" t="n">
        <v>2691</v>
      </c>
      <c r="X98" s="39" t="n">
        <v>46307</v>
      </c>
      <c r="Y98" s="15"/>
      <c r="Z98" s="40"/>
      <c r="AA98" s="41" t="str">
        <f aca="false">IF(ISNUMBER(Z98),(DATE(2026,10,13)-Z98)/365,"")</f>
        <v/>
      </c>
      <c r="AB98" s="37"/>
      <c r="AC98" s="15"/>
      <c r="AD98" s="15"/>
      <c r="AE98" s="15"/>
      <c r="AF98" s="42"/>
      <c r="AG98" s="42"/>
      <c r="AH98" s="15"/>
      <c r="AI98" s="37"/>
      <c r="AJ98" s="37"/>
      <c r="AK98" s="15"/>
      <c r="AL98" s="43"/>
      <c r="AM98" s="43"/>
      <c r="AN98" s="25" t="str">
        <f aca="false">IF(AND(ISNUMBER(AM98),ISNUMBER(AL98),AL98&gt;=5),AM98/AL98,"")</f>
        <v/>
      </c>
      <c r="AO98" s="43"/>
      <c r="AP98" s="43"/>
      <c r="AQ98" s="25" t="str">
        <f aca="false">IF(AND(ISNUMBER(AP98),ISNUMBER(AO98),AO98&gt;=5),AP98/AO98,"")</f>
        <v/>
      </c>
      <c r="AR98" s="43"/>
      <c r="AS98" s="43"/>
      <c r="AT98" s="22" t="str">
        <f aca="false">IF(AND(ISNUMBER(AS98),ISNUMBER(AR98),AR98&gt;0),AS98/AR98-1,"")</f>
        <v/>
      </c>
      <c r="AU98" s="44"/>
      <c r="AV98" s="44"/>
      <c r="AW98" s="44"/>
      <c r="AX98" s="44"/>
      <c r="AY98" s="44"/>
      <c r="AZ98" s="45"/>
      <c r="BA98" s="45"/>
      <c r="BB98" s="46"/>
      <c r="BC98" s="46"/>
      <c r="BD98" s="23" t="str">
        <f aca="false">IF(AND(ISNUMBER(BB98),ISNUMBER(BC98),BB98&gt;0),1-BC98/BB98,"")</f>
        <v/>
      </c>
      <c r="BE98" s="47"/>
      <c r="BF98" s="48"/>
      <c r="BG98" s="48"/>
      <c r="BH98" s="27" t="str">
        <f aca="false">IF(AND(ISNUMBER(BF98),ISNUMBER(BG98),BG98&gt;0),BF98/BG98,"")</f>
        <v/>
      </c>
      <c r="BI98" s="48"/>
      <c r="BJ98" s="44"/>
      <c r="BK98" s="46"/>
      <c r="BL98" s="46"/>
      <c r="BM98" s="36" t="str">
        <f aca="false">IF(ISNUMBER(Q98),IF(Q98&lt;0,"YES","no"),"")</f>
        <v>YES</v>
      </c>
      <c r="BN98" s="36" t="str">
        <f aca="false">IFERROR(IF(AND(ISNUMBER(K98),ISNUMBER(INDEX('Lift Inputs'!$H:$H,MATCH(C98,'Lift Inputs'!$C:$C,0)))),IF(K98&lt;INDEX('Lift Inputs'!$H:$H,MATCH(C98,'Lift Inputs'!$C:$C,0)),"YES","no"),""),"")</f>
        <v/>
      </c>
      <c r="BO98" s="44"/>
    </row>
    <row r="99" customFormat="false" ht="15" hidden="false" customHeight="false" outlineLevel="0" collapsed="false">
      <c r="A99" s="15" t="s">
        <v>37</v>
      </c>
      <c r="B99" s="15" t="s">
        <v>49</v>
      </c>
      <c r="C99" s="15" t="n">
        <v>30</v>
      </c>
      <c r="D99" s="15" t="s">
        <v>196</v>
      </c>
      <c r="E99" s="15" t="n">
        <v>1512</v>
      </c>
      <c r="F99" s="15" t="s">
        <v>459</v>
      </c>
      <c r="G99" s="15" t="s">
        <v>460</v>
      </c>
      <c r="H99" s="15" t="s">
        <v>461</v>
      </c>
      <c r="I99" s="15" t="s">
        <v>462</v>
      </c>
      <c r="J99" s="15" t="s">
        <v>178</v>
      </c>
      <c r="K99" s="35" t="n">
        <v>94.99</v>
      </c>
      <c r="L99" s="35"/>
      <c r="M99" s="23" t="str">
        <f aca="false">IF(AND(ISNUMBER(L99),ISNUMBER(K99),K99&gt;0),L99/K99-1,"")</f>
        <v/>
      </c>
      <c r="N99" s="36" t="str">
        <f aca="false">IF(M99="","No List Price",IF(M99&lt;=0,"At/below price",IF(M99&lt;=0.12,"&lt;=12% (STR zone)",IF(M99&lt;=0.25,"12-25%","&gt;25% (likely ignored)"))))</f>
        <v>No List Price</v>
      </c>
      <c r="O99" s="15" t="s">
        <v>311</v>
      </c>
      <c r="P99" s="35" t="n">
        <v>90.6832330827068</v>
      </c>
      <c r="Q99" s="22" t="n">
        <f aca="false">IF(AND(ISNUMBER(K99),ISNUMBER(P99),N(P99)&gt;0),K99/P99-1,"")</f>
        <v>0.0474924279923421</v>
      </c>
      <c r="R99" s="15" t="s">
        <v>312</v>
      </c>
      <c r="S99" s="37" t="n">
        <v>1003118</v>
      </c>
      <c r="T99" s="37" t="n">
        <v>5</v>
      </c>
      <c r="U99" s="38" t="n">
        <f aca="false">IF(AND(ISNUMBER(K99),ISNUMBER(T99)),K99*T99*52/12,"")</f>
        <v>2058.11666666667</v>
      </c>
      <c r="V99" s="15" t="n">
        <v>4.4</v>
      </c>
      <c r="W99" s="37" t="n">
        <v>18</v>
      </c>
      <c r="X99" s="39" t="n">
        <v>46307</v>
      </c>
      <c r="Y99" s="15"/>
      <c r="Z99" s="40"/>
      <c r="AA99" s="41" t="str">
        <f aca="false">IF(ISNUMBER(Z99),(DATE(2026,10,13)-Z99)/365,"")</f>
        <v/>
      </c>
      <c r="AB99" s="37"/>
      <c r="AC99" s="15"/>
      <c r="AD99" s="15"/>
      <c r="AE99" s="15"/>
      <c r="AF99" s="42"/>
      <c r="AG99" s="42"/>
      <c r="AH99" s="15"/>
      <c r="AI99" s="37"/>
      <c r="AJ99" s="37"/>
      <c r="AK99" s="15"/>
      <c r="AL99" s="43"/>
      <c r="AM99" s="43"/>
      <c r="AN99" s="25" t="str">
        <f aca="false">IF(AND(ISNUMBER(AM99),ISNUMBER(AL99),AL99&gt;=5),AM99/AL99,"")</f>
        <v/>
      </c>
      <c r="AO99" s="43"/>
      <c r="AP99" s="43"/>
      <c r="AQ99" s="25" t="str">
        <f aca="false">IF(AND(ISNUMBER(AP99),ISNUMBER(AO99),AO99&gt;=5),AP99/AO99,"")</f>
        <v/>
      </c>
      <c r="AR99" s="43"/>
      <c r="AS99" s="43"/>
      <c r="AT99" s="22" t="str">
        <f aca="false">IF(AND(ISNUMBER(AS99),ISNUMBER(AR99),AR99&gt;0),AS99/AR99-1,"")</f>
        <v/>
      </c>
      <c r="AU99" s="44"/>
      <c r="AV99" s="44"/>
      <c r="AW99" s="44"/>
      <c r="AX99" s="44"/>
      <c r="AY99" s="44"/>
      <c r="AZ99" s="45"/>
      <c r="BA99" s="45"/>
      <c r="BB99" s="46"/>
      <c r="BC99" s="46"/>
      <c r="BD99" s="23" t="str">
        <f aca="false">IF(AND(ISNUMBER(BB99),ISNUMBER(BC99),BB99&gt;0),1-BC99/BB99,"")</f>
        <v/>
      </c>
      <c r="BE99" s="47"/>
      <c r="BF99" s="48"/>
      <c r="BG99" s="48"/>
      <c r="BH99" s="27" t="str">
        <f aca="false">IF(AND(ISNUMBER(BF99),ISNUMBER(BG99),BG99&gt;0),BF99/BG99,"")</f>
        <v/>
      </c>
      <c r="BI99" s="48"/>
      <c r="BJ99" s="44"/>
      <c r="BK99" s="46"/>
      <c r="BL99" s="46"/>
      <c r="BM99" s="36" t="str">
        <f aca="false">IF(ISNUMBER(Q99),IF(Q99&lt;0,"YES","no"),"")</f>
        <v>no</v>
      </c>
      <c r="BN99" s="36" t="str">
        <f aca="false">IFERROR(IF(AND(ISNUMBER(K99),ISNUMBER(INDEX('Lift Inputs'!$H:$H,MATCH(C99,'Lift Inputs'!$C:$C,0)))),IF(K99&lt;INDEX('Lift Inputs'!$H:$H,MATCH(C99,'Lift Inputs'!$C:$C,0)),"YES","no"),""),"")</f>
        <v/>
      </c>
      <c r="BO99" s="44"/>
    </row>
    <row r="100" customFormat="false" ht="15" hidden="false" customHeight="false" outlineLevel="0" collapsed="false">
      <c r="A100" s="15" t="s">
        <v>37</v>
      </c>
      <c r="B100" s="15" t="s">
        <v>49</v>
      </c>
      <c r="C100" s="15" t="n">
        <v>30</v>
      </c>
      <c r="D100" s="15" t="s">
        <v>196</v>
      </c>
      <c r="E100" s="15" t="n">
        <v>180</v>
      </c>
      <c r="F100" s="15" t="s">
        <v>399</v>
      </c>
      <c r="G100" s="15" t="s">
        <v>463</v>
      </c>
      <c r="H100" s="15" t="s">
        <v>463</v>
      </c>
      <c r="I100" s="15" t="s">
        <v>464</v>
      </c>
      <c r="J100" s="15" t="s">
        <v>178</v>
      </c>
      <c r="K100" s="35" t="n">
        <v>46.74</v>
      </c>
      <c r="L100" s="35"/>
      <c r="M100" s="23" t="str">
        <f aca="false">IF(AND(ISNUMBER(L100),ISNUMBER(K100),K100&gt;0),L100/K100-1,"")</f>
        <v/>
      </c>
      <c r="N100" s="36" t="str">
        <f aca="false">IF(M100="","No List Price",IF(M100&lt;=0,"At/below price",IF(M100&lt;=0.12,"&lt;=12% (STR zone)",IF(M100&lt;=0.25,"12-25%","&gt;25% (likely ignored)"))))</f>
        <v>No List Price</v>
      </c>
      <c r="O100" s="15"/>
      <c r="P100" s="35" t="n">
        <v>90.6832330827068</v>
      </c>
      <c r="Q100" s="22" t="n">
        <f aca="false">IF(AND(ISNUMBER(K100),ISNUMBER(P100),N(P100)&gt;0),K100/P100-1,"")</f>
        <v>-0.484579470635203</v>
      </c>
      <c r="R100" s="15" t="s">
        <v>353</v>
      </c>
      <c r="S100" s="37" t="n">
        <v>2065761</v>
      </c>
      <c r="T100" s="37" t="n">
        <v>5</v>
      </c>
      <c r="U100" s="38" t="n">
        <f aca="false">IF(AND(ISNUMBER(K100),ISNUMBER(T100)),K100*T100*52/12,"")</f>
        <v>1012.7</v>
      </c>
      <c r="V100" s="15" t="n">
        <v>4.5</v>
      </c>
      <c r="W100" s="37" t="n">
        <v>11</v>
      </c>
      <c r="X100" s="39" t="n">
        <v>46307</v>
      </c>
      <c r="Y100" s="15" t="n">
        <v>1</v>
      </c>
      <c r="Z100" s="40" t="n">
        <v>46078</v>
      </c>
      <c r="AA100" s="41" t="n">
        <f aca="false">IF(ISNUMBER(Z100),(DATE(2026,10,13)-Z100)/365,"")</f>
        <v>0.63013698630137</v>
      </c>
      <c r="AB100" s="37" t="n">
        <v>5</v>
      </c>
      <c r="AC100" s="15" t="s">
        <v>465</v>
      </c>
      <c r="AD100" s="15" t="n">
        <v>0</v>
      </c>
      <c r="AE100" s="15" t="s">
        <v>466</v>
      </c>
      <c r="AF100" s="42" t="n">
        <v>0</v>
      </c>
      <c r="AG100" s="42" t="n">
        <v>0</v>
      </c>
      <c r="AH100" s="15" t="n">
        <v>0</v>
      </c>
      <c r="AI100" s="37"/>
      <c r="AJ100" s="37"/>
      <c r="AK100" s="15"/>
      <c r="AL100" s="43"/>
      <c r="AM100" s="43"/>
      <c r="AN100" s="25" t="str">
        <f aca="false">IF(AND(ISNUMBER(AM100),ISNUMBER(AL100),AL100&gt;=5),AM100/AL100,"")</f>
        <v/>
      </c>
      <c r="AO100" s="43"/>
      <c r="AP100" s="43"/>
      <c r="AQ100" s="25" t="str">
        <f aca="false">IF(AND(ISNUMBER(AP100),ISNUMBER(AO100),AO100&gt;=5),AP100/AO100,"")</f>
        <v/>
      </c>
      <c r="AR100" s="43"/>
      <c r="AS100" s="43"/>
      <c r="AT100" s="22" t="str">
        <f aca="false">IF(AND(ISNUMBER(AS100),ISNUMBER(AR100),AR100&gt;0),AS100/AR100-1,"")</f>
        <v/>
      </c>
      <c r="AU100" s="44"/>
      <c r="AV100" s="44"/>
      <c r="AW100" s="44"/>
      <c r="AX100" s="44"/>
      <c r="AY100" s="44"/>
      <c r="AZ100" s="45"/>
      <c r="BA100" s="45"/>
      <c r="BB100" s="46"/>
      <c r="BC100" s="46"/>
      <c r="BD100" s="23" t="str">
        <f aca="false">IF(AND(ISNUMBER(BB100),ISNUMBER(BC100),BB100&gt;0),1-BC100/BB100,"")</f>
        <v/>
      </c>
      <c r="BE100" s="47"/>
      <c r="BF100" s="48"/>
      <c r="BG100" s="48"/>
      <c r="BH100" s="27" t="str">
        <f aca="false">IF(AND(ISNUMBER(BF100),ISNUMBER(BG100),BG100&gt;0),BF100/BG100,"")</f>
        <v/>
      </c>
      <c r="BI100" s="48"/>
      <c r="BJ100" s="44"/>
      <c r="BK100" s="46"/>
      <c r="BL100" s="46"/>
      <c r="BM100" s="36" t="str">
        <f aca="false">IF(ISNUMBER(Q100),IF(Q100&lt;0,"YES","no"),"")</f>
        <v>YES</v>
      </c>
      <c r="BN100" s="36" t="str">
        <f aca="false">IFERROR(IF(AND(ISNUMBER(K100),ISNUMBER(INDEX('Lift Inputs'!$H:$H,MATCH(C100,'Lift Inputs'!$C:$C,0)))),IF(K100&lt;INDEX('Lift Inputs'!$H:$H,MATCH(C100,'Lift Inputs'!$C:$C,0)),"YES","no"),""),"")</f>
        <v/>
      </c>
      <c r="BO100" s="44"/>
    </row>
    <row r="101" customFormat="false" ht="15" hidden="false" customHeight="false" outlineLevel="0" collapsed="false">
      <c r="A101" s="15" t="s">
        <v>37</v>
      </c>
      <c r="B101" s="15" t="s">
        <v>49</v>
      </c>
      <c r="C101" s="15" t="n">
        <v>30</v>
      </c>
      <c r="D101" s="15" t="s">
        <v>196</v>
      </c>
      <c r="E101" s="15" t="n">
        <v>5</v>
      </c>
      <c r="F101" s="15" t="s">
        <v>399</v>
      </c>
      <c r="G101" s="15" t="s">
        <v>469</v>
      </c>
      <c r="H101" s="15" t="s">
        <v>470</v>
      </c>
      <c r="I101" s="15" t="s">
        <v>407</v>
      </c>
      <c r="J101" s="15" t="s">
        <v>178</v>
      </c>
      <c r="K101" s="35" t="n">
        <v>109.99</v>
      </c>
      <c r="L101" s="35"/>
      <c r="M101" s="23" t="str">
        <f aca="false">IF(AND(ISNUMBER(L101),ISNUMBER(K101),K101&gt;0),L101/K101-1,"")</f>
        <v/>
      </c>
      <c r="N101" s="36" t="str">
        <f aca="false">IF(M101="","No List Price",IF(M101&lt;=0,"At/below price",IF(M101&lt;=0.12,"&lt;=12% (STR zone)",IF(M101&lt;=0.25,"12-25%","&gt;25% (likely ignored)"))))</f>
        <v>No List Price</v>
      </c>
      <c r="O101" s="15"/>
      <c r="P101" s="35" t="n">
        <v>90.6832330827068</v>
      </c>
      <c r="Q101" s="22" t="n">
        <f aca="false">IF(AND(ISNUMBER(K101),ISNUMBER(P101),N(P101)&gt;0),K101/P101-1,"")</f>
        <v>0.212903380933548</v>
      </c>
      <c r="R101" s="15" t="s">
        <v>353</v>
      </c>
      <c r="S101" s="37" t="n">
        <v>4355899</v>
      </c>
      <c r="T101" s="37" t="n">
        <v>5</v>
      </c>
      <c r="U101" s="38" t="n">
        <f aca="false">IF(AND(ISNUMBER(K101),ISNUMBER(T101)),K101*T101*52/12,"")</f>
        <v>2383.11666666667</v>
      </c>
      <c r="V101" s="15" t="n">
        <v>4.5</v>
      </c>
      <c r="W101" s="37" t="n">
        <v>2</v>
      </c>
      <c r="X101" s="39" t="n">
        <v>46307</v>
      </c>
      <c r="Y101" s="15"/>
      <c r="Z101" s="40"/>
      <c r="AA101" s="41" t="str">
        <f aca="false">IF(ISNUMBER(Z101),(DATE(2026,10,13)-Z101)/365,"")</f>
        <v/>
      </c>
      <c r="AB101" s="37"/>
      <c r="AC101" s="15"/>
      <c r="AD101" s="15"/>
      <c r="AE101" s="15"/>
      <c r="AF101" s="42"/>
      <c r="AG101" s="42"/>
      <c r="AH101" s="15"/>
      <c r="AI101" s="37"/>
      <c r="AJ101" s="37"/>
      <c r="AK101" s="15"/>
      <c r="AL101" s="43"/>
      <c r="AM101" s="43"/>
      <c r="AN101" s="25" t="str">
        <f aca="false">IF(AND(ISNUMBER(AM101),ISNUMBER(AL101),AL101&gt;=5),AM101/AL101,"")</f>
        <v/>
      </c>
      <c r="AO101" s="43"/>
      <c r="AP101" s="43"/>
      <c r="AQ101" s="25" t="str">
        <f aca="false">IF(AND(ISNUMBER(AP101),ISNUMBER(AO101),AO101&gt;=5),AP101/AO101,"")</f>
        <v/>
      </c>
      <c r="AR101" s="43"/>
      <c r="AS101" s="43"/>
      <c r="AT101" s="22" t="str">
        <f aca="false">IF(AND(ISNUMBER(AS101),ISNUMBER(AR101),AR101&gt;0),AS101/AR101-1,"")</f>
        <v/>
      </c>
      <c r="AU101" s="44"/>
      <c r="AV101" s="44"/>
      <c r="AW101" s="44"/>
      <c r="AX101" s="44"/>
      <c r="AY101" s="44"/>
      <c r="AZ101" s="45"/>
      <c r="BA101" s="45"/>
      <c r="BB101" s="46"/>
      <c r="BC101" s="46"/>
      <c r="BD101" s="23" t="str">
        <f aca="false">IF(AND(ISNUMBER(BB101),ISNUMBER(BC101),BB101&gt;0),1-BC101/BB101,"")</f>
        <v/>
      </c>
      <c r="BE101" s="47"/>
      <c r="BF101" s="48"/>
      <c r="BG101" s="48"/>
      <c r="BH101" s="27" t="str">
        <f aca="false">IF(AND(ISNUMBER(BF101),ISNUMBER(BG101),BG101&gt;0),BF101/BG101,"")</f>
        <v/>
      </c>
      <c r="BI101" s="48"/>
      <c r="BJ101" s="44"/>
      <c r="BK101" s="46"/>
      <c r="BL101" s="46"/>
      <c r="BM101" s="36" t="str">
        <f aca="false">IF(ISNUMBER(Q101),IF(Q101&lt;0,"YES","no"),"")</f>
        <v>no</v>
      </c>
      <c r="BN101" s="36" t="str">
        <f aca="false">IFERROR(IF(AND(ISNUMBER(K101),ISNUMBER(INDEX('Lift Inputs'!$H:$H,MATCH(C101,'Lift Inputs'!$C:$C,0)))),IF(K101&lt;INDEX('Lift Inputs'!$H:$H,MATCH(C101,'Lift Inputs'!$C:$C,0)),"YES","no"),""),"")</f>
        <v/>
      </c>
      <c r="BO101" s="44"/>
    </row>
    <row r="102" customFormat="false" ht="15" hidden="false" customHeight="false" outlineLevel="0" collapsed="false">
      <c r="A102" s="15" t="s">
        <v>37</v>
      </c>
      <c r="B102" s="15" t="s">
        <v>49</v>
      </c>
      <c r="C102" s="15" t="n">
        <v>30</v>
      </c>
      <c r="D102" s="15" t="s">
        <v>196</v>
      </c>
      <c r="E102" s="15" t="n">
        <v>1521</v>
      </c>
      <c r="F102" s="15" t="s">
        <v>399</v>
      </c>
      <c r="G102" s="15" t="s">
        <v>467</v>
      </c>
      <c r="H102" s="15" t="s">
        <v>467</v>
      </c>
      <c r="I102" s="15" t="s">
        <v>468</v>
      </c>
      <c r="J102" s="15" t="s">
        <v>178</v>
      </c>
      <c r="K102" s="35" t="n">
        <v>109.99</v>
      </c>
      <c r="L102" s="35"/>
      <c r="M102" s="23" t="str">
        <f aca="false">IF(AND(ISNUMBER(L102),ISNUMBER(K102),K102&gt;0),L102/K102-1,"")</f>
        <v/>
      </c>
      <c r="N102" s="36" t="str">
        <f aca="false">IF(M102="","No List Price",IF(M102&lt;=0,"At/below price",IF(M102&lt;=0.12,"&lt;=12% (STR zone)",IF(M102&lt;=0.25,"12-25%","&gt;25% (likely ignored)"))))</f>
        <v>No List Price</v>
      </c>
      <c r="O102" s="15"/>
      <c r="P102" s="35" t="n">
        <v>90.6832330827068</v>
      </c>
      <c r="Q102" s="22" t="n">
        <f aca="false">IF(AND(ISNUMBER(K102),ISNUMBER(P102),N(P102)&gt;0),K102/P102-1,"")</f>
        <v>0.212903380933548</v>
      </c>
      <c r="R102" s="15" t="s">
        <v>353</v>
      </c>
      <c r="S102" s="37" t="n">
        <v>1506045</v>
      </c>
      <c r="T102" s="37" t="n">
        <v>5</v>
      </c>
      <c r="U102" s="38" t="n">
        <f aca="false">IF(AND(ISNUMBER(K102),ISNUMBER(T102)),K102*T102*52/12,"")</f>
        <v>2383.11666666667</v>
      </c>
      <c r="V102" s="15" t="n">
        <v>4.5</v>
      </c>
      <c r="W102" s="37" t="n">
        <v>39</v>
      </c>
      <c r="X102" s="39" t="n">
        <v>46307</v>
      </c>
      <c r="Y102" s="15" t="n">
        <v>1</v>
      </c>
      <c r="Z102" s="40" t="n">
        <v>45716</v>
      </c>
      <c r="AA102" s="41" t="n">
        <f aca="false">IF(ISNUMBER(Z102),(DATE(2026,10,13)-Z102)/365,"")</f>
        <v>1.62191780821918</v>
      </c>
      <c r="AB102" s="37" t="n">
        <v>12</v>
      </c>
      <c r="AC102" s="15" t="s">
        <v>465</v>
      </c>
      <c r="AD102" s="15" t="n">
        <v>0</v>
      </c>
      <c r="AE102" s="15" t="s">
        <v>466</v>
      </c>
      <c r="AF102" s="42" t="n">
        <v>0</v>
      </c>
      <c r="AG102" s="42" t="n">
        <v>0</v>
      </c>
      <c r="AH102" s="15" t="n">
        <v>0</v>
      </c>
      <c r="AI102" s="37"/>
      <c r="AJ102" s="37"/>
      <c r="AK102" s="15"/>
      <c r="AL102" s="43"/>
      <c r="AM102" s="43"/>
      <c r="AN102" s="25" t="str">
        <f aca="false">IF(AND(ISNUMBER(AM102),ISNUMBER(AL102),AL102&gt;=5),AM102/AL102,"")</f>
        <v/>
      </c>
      <c r="AO102" s="43"/>
      <c r="AP102" s="43"/>
      <c r="AQ102" s="25" t="str">
        <f aca="false">IF(AND(ISNUMBER(AP102),ISNUMBER(AO102),AO102&gt;=5),AP102/AO102,"")</f>
        <v/>
      </c>
      <c r="AR102" s="43"/>
      <c r="AS102" s="43"/>
      <c r="AT102" s="22" t="str">
        <f aca="false">IF(AND(ISNUMBER(AS102),ISNUMBER(AR102),AR102&gt;0),AS102/AR102-1,"")</f>
        <v/>
      </c>
      <c r="AU102" s="44"/>
      <c r="AV102" s="44"/>
      <c r="AW102" s="44"/>
      <c r="AX102" s="44"/>
      <c r="AY102" s="44"/>
      <c r="AZ102" s="45"/>
      <c r="BA102" s="45"/>
      <c r="BB102" s="46"/>
      <c r="BC102" s="46"/>
      <c r="BD102" s="23" t="str">
        <f aca="false">IF(AND(ISNUMBER(BB102),ISNUMBER(BC102),BB102&gt;0),1-BC102/BB102,"")</f>
        <v/>
      </c>
      <c r="BE102" s="47"/>
      <c r="BF102" s="48"/>
      <c r="BG102" s="48"/>
      <c r="BH102" s="27" t="str">
        <f aca="false">IF(AND(ISNUMBER(BF102),ISNUMBER(BG102),BG102&gt;0),BF102/BG102,"")</f>
        <v/>
      </c>
      <c r="BI102" s="48"/>
      <c r="BJ102" s="44"/>
      <c r="BK102" s="46"/>
      <c r="BL102" s="46"/>
      <c r="BM102" s="36" t="str">
        <f aca="false">IF(ISNUMBER(Q102),IF(Q102&lt;0,"YES","no"),"")</f>
        <v>no</v>
      </c>
      <c r="BN102" s="36" t="str">
        <f aca="false">IFERROR(IF(AND(ISNUMBER(K102),ISNUMBER(INDEX('Lift Inputs'!$H:$H,MATCH(C102,'Lift Inputs'!$C:$C,0)))),IF(K102&lt;INDEX('Lift Inputs'!$H:$H,MATCH(C102,'Lift Inputs'!$C:$C,0)),"YES","no"),""),"")</f>
        <v/>
      </c>
      <c r="BO102" s="44"/>
    </row>
    <row r="103" customFormat="false" ht="15" hidden="false" customHeight="false" outlineLevel="0" collapsed="false">
      <c r="A103" s="15" t="s">
        <v>37</v>
      </c>
      <c r="B103" s="15" t="s">
        <v>49</v>
      </c>
      <c r="C103" s="15" t="n">
        <v>30</v>
      </c>
      <c r="D103" s="15" t="s">
        <v>196</v>
      </c>
      <c r="E103" s="15" t="n">
        <v>23</v>
      </c>
      <c r="F103" s="15" t="s">
        <v>471</v>
      </c>
      <c r="G103" s="15" t="s">
        <v>472</v>
      </c>
      <c r="H103" s="15" t="s">
        <v>473</v>
      </c>
      <c r="I103" s="15" t="s">
        <v>474</v>
      </c>
      <c r="J103" s="15" t="s">
        <v>178</v>
      </c>
      <c r="K103" s="35" t="n">
        <v>174.3</v>
      </c>
      <c r="L103" s="35"/>
      <c r="M103" s="23" t="str">
        <f aca="false">IF(AND(ISNUMBER(L103),ISNUMBER(K103),K103&gt;0),L103/K103-1,"")</f>
        <v/>
      </c>
      <c r="N103" s="36" t="str">
        <f aca="false">IF(M103="","No List Price",IF(M103&lt;=0,"At/below price",IF(M103&lt;=0.12,"&lt;=12% (STR zone)",IF(M103&lt;=0.25,"12-25%","&gt;25% (likely ignored)"))))</f>
        <v>No List Price</v>
      </c>
      <c r="O103" s="15"/>
      <c r="P103" s="35" t="n">
        <v>90.6832330827068</v>
      </c>
      <c r="Q103" s="22" t="n">
        <f aca="false">IF(AND(ISNUMBER(K103),ISNUMBER(P103),N(P103)&gt;0),K103/P103-1,"")</f>
        <v>0.922075273176811</v>
      </c>
      <c r="R103" s="15" t="s">
        <v>353</v>
      </c>
      <c r="S103" s="37" t="n">
        <v>591414</v>
      </c>
      <c r="T103" s="37" t="n">
        <v>5</v>
      </c>
      <c r="U103" s="38" t="n">
        <f aca="false">IF(AND(ISNUMBER(K103),ISNUMBER(T103)),K103*T103*52/12,"")</f>
        <v>3776.5</v>
      </c>
      <c r="V103" s="15" t="n">
        <v>4.3</v>
      </c>
      <c r="W103" s="37" t="n">
        <v>35</v>
      </c>
      <c r="X103" s="39" t="n">
        <v>46307</v>
      </c>
      <c r="Y103" s="15"/>
      <c r="Z103" s="40"/>
      <c r="AA103" s="41" t="str">
        <f aca="false">IF(ISNUMBER(Z103),(DATE(2026,10,13)-Z103)/365,"")</f>
        <v/>
      </c>
      <c r="AB103" s="37"/>
      <c r="AC103" s="15"/>
      <c r="AD103" s="15"/>
      <c r="AE103" s="15"/>
      <c r="AF103" s="42"/>
      <c r="AG103" s="42"/>
      <c r="AH103" s="15"/>
      <c r="AI103" s="37"/>
      <c r="AJ103" s="37"/>
      <c r="AK103" s="15"/>
      <c r="AL103" s="43"/>
      <c r="AM103" s="43"/>
      <c r="AN103" s="25" t="str">
        <f aca="false">IF(AND(ISNUMBER(AM103),ISNUMBER(AL103),AL103&gt;=5),AM103/AL103,"")</f>
        <v/>
      </c>
      <c r="AO103" s="43"/>
      <c r="AP103" s="43"/>
      <c r="AQ103" s="25" t="str">
        <f aca="false">IF(AND(ISNUMBER(AP103),ISNUMBER(AO103),AO103&gt;=5),AP103/AO103,"")</f>
        <v/>
      </c>
      <c r="AR103" s="43"/>
      <c r="AS103" s="43"/>
      <c r="AT103" s="22" t="str">
        <f aca="false">IF(AND(ISNUMBER(AS103),ISNUMBER(AR103),AR103&gt;0),AS103/AR103-1,"")</f>
        <v/>
      </c>
      <c r="AU103" s="44"/>
      <c r="AV103" s="44"/>
      <c r="AW103" s="44"/>
      <c r="AX103" s="44"/>
      <c r="AY103" s="44"/>
      <c r="AZ103" s="45"/>
      <c r="BA103" s="45"/>
      <c r="BB103" s="46"/>
      <c r="BC103" s="46"/>
      <c r="BD103" s="23" t="str">
        <f aca="false">IF(AND(ISNUMBER(BB103),ISNUMBER(BC103),BB103&gt;0),1-BC103/BB103,"")</f>
        <v/>
      </c>
      <c r="BE103" s="47"/>
      <c r="BF103" s="48"/>
      <c r="BG103" s="48"/>
      <c r="BH103" s="27" t="str">
        <f aca="false">IF(AND(ISNUMBER(BF103),ISNUMBER(BG103),BG103&gt;0),BF103/BG103,"")</f>
        <v/>
      </c>
      <c r="BI103" s="48"/>
      <c r="BJ103" s="44"/>
      <c r="BK103" s="46"/>
      <c r="BL103" s="46"/>
      <c r="BM103" s="36" t="str">
        <f aca="false">IF(ISNUMBER(Q103),IF(Q103&lt;0,"YES","no"),"")</f>
        <v>no</v>
      </c>
      <c r="BN103" s="36" t="str">
        <f aca="false">IFERROR(IF(AND(ISNUMBER(K103),ISNUMBER(INDEX('Lift Inputs'!$H:$H,MATCH(C103,'Lift Inputs'!$C:$C,0)))),IF(K103&lt;INDEX('Lift Inputs'!$H:$H,MATCH(C103,'Lift Inputs'!$C:$C,0)),"YES","no"),""),"")</f>
        <v/>
      </c>
      <c r="BO103" s="44"/>
    </row>
    <row r="104" customFormat="false" ht="15" hidden="false" customHeight="false" outlineLevel="0" collapsed="false">
      <c r="A104" s="15" t="s">
        <v>37</v>
      </c>
      <c r="B104" s="15" t="s">
        <v>55</v>
      </c>
      <c r="C104" s="15" t="n">
        <v>32</v>
      </c>
      <c r="D104" s="15" t="s">
        <v>200</v>
      </c>
      <c r="E104" s="15" t="n">
        <v>4</v>
      </c>
      <c r="F104" s="15" t="s">
        <v>316</v>
      </c>
      <c r="G104" s="15" t="s">
        <v>317</v>
      </c>
      <c r="H104" s="15" t="s">
        <v>318</v>
      </c>
      <c r="I104" s="15" t="s">
        <v>319</v>
      </c>
      <c r="J104" s="15" t="s">
        <v>176</v>
      </c>
      <c r="K104" s="35" t="n">
        <v>109.99</v>
      </c>
      <c r="L104" s="35"/>
      <c r="M104" s="23" t="str">
        <f aca="false">IF(AND(ISNUMBER(L104),ISNUMBER(K104),K104&gt;0),L104/K104-1,"")</f>
        <v/>
      </c>
      <c r="N104" s="36" t="str">
        <f aca="false">IF(M104="","No List Price",IF(M104&lt;=0,"At/below price",IF(M104&lt;=0.12,"&lt;=12% (STR zone)",IF(M104&lt;=0.25,"12-25%","&gt;25% (likely ignored)"))))</f>
        <v>No List Price</v>
      </c>
      <c r="O104" s="15" t="s">
        <v>320</v>
      </c>
      <c r="P104" s="35" t="n">
        <v>69.99</v>
      </c>
      <c r="Q104" s="22" t="n">
        <f aca="false">IF(AND(ISNUMBER(K104),ISNUMBER(P104),N(P104)&gt;0),K104/P104-1,"")</f>
        <v>0.571510215745107</v>
      </c>
      <c r="R104" s="15" t="s">
        <v>321</v>
      </c>
      <c r="S104" s="37" t="n">
        <v>304</v>
      </c>
      <c r="T104" s="37" t="n">
        <v>809</v>
      </c>
      <c r="U104" s="38" t="n">
        <f aca="false">IF(AND(ISNUMBER(K104),ISNUMBER(T104)),K104*T104*52/12,"")</f>
        <v>385588.276666667</v>
      </c>
      <c r="V104" s="15" t="n">
        <v>4.5</v>
      </c>
      <c r="W104" s="37" t="n">
        <v>21927</v>
      </c>
      <c r="X104" s="39" t="n">
        <v>46307</v>
      </c>
      <c r="Y104" s="15" t="n">
        <v>181</v>
      </c>
      <c r="Z104" s="40" t="n">
        <v>43281</v>
      </c>
      <c r="AA104" s="41" t="n">
        <f aca="false">IF(ISNUMBER(Z104),(DATE(2026,10,13)-Z104)/365,"")</f>
        <v>8.29315068493151</v>
      </c>
      <c r="AB104" s="37" t="n">
        <v>32356</v>
      </c>
      <c r="AC104" s="15" t="s">
        <v>313</v>
      </c>
      <c r="AD104" s="15" t="n">
        <v>2</v>
      </c>
      <c r="AE104" s="15" t="s">
        <v>314</v>
      </c>
      <c r="AF104" s="42" t="n">
        <v>0</v>
      </c>
      <c r="AG104" s="42" t="n">
        <v>0</v>
      </c>
      <c r="AH104" s="15" t="n">
        <v>268</v>
      </c>
      <c r="AI104" s="37" t="n">
        <v>2565055</v>
      </c>
      <c r="AJ104" s="37" t="n">
        <v>8283</v>
      </c>
      <c r="AK104" s="15" t="s">
        <v>315</v>
      </c>
      <c r="AL104" s="43" t="n">
        <v>556.9</v>
      </c>
      <c r="AM104" s="43" t="n">
        <v>657.2</v>
      </c>
      <c r="AN104" s="25" t="n">
        <f aca="false">IF(AND(ISNUMBER(AM104),ISNUMBER(AL104),AL104&gt;=5),AM104/AL104,"")</f>
        <v>1.18010414796193</v>
      </c>
      <c r="AO104" s="43" t="n">
        <v>102</v>
      </c>
      <c r="AP104" s="43" t="n">
        <v>151.8</v>
      </c>
      <c r="AQ104" s="25" t="n">
        <f aca="false">IF(AND(ISNUMBER(AP104),ISNUMBER(AO104),AO104&gt;=5),AP104/AO104,"")</f>
        <v>1.48823529411765</v>
      </c>
      <c r="AR104" s="43" t="n">
        <v>259.8</v>
      </c>
      <c r="AS104" s="43" t="n">
        <v>667.9</v>
      </c>
      <c r="AT104" s="22" t="n">
        <f aca="false">IF(AND(ISNUMBER(AS104),ISNUMBER(AR104),AR104&gt;0),AS104/AR104-1,"")</f>
        <v>1.57082371054657</v>
      </c>
      <c r="AU104" s="44"/>
      <c r="AV104" s="44"/>
      <c r="AW104" s="44"/>
      <c r="AX104" s="44"/>
      <c r="AY104" s="44"/>
      <c r="AZ104" s="45"/>
      <c r="BA104" s="45"/>
      <c r="BB104" s="46"/>
      <c r="BC104" s="46"/>
      <c r="BD104" s="23" t="str">
        <f aca="false">IF(AND(ISNUMBER(BB104),ISNUMBER(BC104),BB104&gt;0),1-BC104/BB104,"")</f>
        <v/>
      </c>
      <c r="BE104" s="47"/>
      <c r="BF104" s="48"/>
      <c r="BG104" s="48"/>
      <c r="BH104" s="27" t="str">
        <f aca="false">IF(AND(ISNUMBER(BF104),ISNUMBER(BG104),BG104&gt;0),BF104/BG104,"")</f>
        <v/>
      </c>
      <c r="BI104" s="48"/>
      <c r="BJ104" s="44"/>
      <c r="BK104" s="46"/>
      <c r="BL104" s="46"/>
      <c r="BM104" s="36" t="str">
        <f aca="false">IF(ISNUMBER(Q104),IF(Q104&lt;0,"YES","no"),"")</f>
        <v>no</v>
      </c>
      <c r="BN104" s="36" t="str">
        <f aca="false">IFERROR(IF(AND(ISNUMBER(K104),ISNUMBER(INDEX('Lift Inputs'!$H:$H,MATCH(C104,'Lift Inputs'!$C:$C,0)))),IF(K104&lt;INDEX('Lift Inputs'!$H:$H,MATCH(C104,'Lift Inputs'!$C:$C,0)),"YES","no"),""),"")</f>
        <v/>
      </c>
      <c r="BO104" s="44"/>
    </row>
    <row r="105" customFormat="false" ht="15" hidden="false" customHeight="false" outlineLevel="0" collapsed="false">
      <c r="A105" s="15" t="s">
        <v>37</v>
      </c>
      <c r="B105" s="15" t="s">
        <v>55</v>
      </c>
      <c r="C105" s="15" t="n">
        <v>32</v>
      </c>
      <c r="D105" s="15" t="s">
        <v>200</v>
      </c>
      <c r="E105" s="15" t="n">
        <v>27</v>
      </c>
      <c r="F105" s="15" t="s">
        <v>322</v>
      </c>
      <c r="G105" s="15" t="s">
        <v>323</v>
      </c>
      <c r="H105" s="15" t="s">
        <v>324</v>
      </c>
      <c r="I105" s="15" t="s">
        <v>325</v>
      </c>
      <c r="J105" s="15" t="s">
        <v>176</v>
      </c>
      <c r="K105" s="35" t="n">
        <v>79.99</v>
      </c>
      <c r="L105" s="35"/>
      <c r="M105" s="23" t="str">
        <f aca="false">IF(AND(ISNUMBER(L105),ISNUMBER(K105),K105&gt;0),L105/K105-1,"")</f>
        <v/>
      </c>
      <c r="N105" s="36" t="str">
        <f aca="false">IF(M105="","No List Price",IF(M105&lt;=0,"At/below price",IF(M105&lt;=0.12,"&lt;=12% (STR zone)",IF(M105&lt;=0.25,"12-25%","&gt;25% (likely ignored)"))))</f>
        <v>No List Price</v>
      </c>
      <c r="O105" s="15" t="s">
        <v>311</v>
      </c>
      <c r="P105" s="35" t="n">
        <v>64.99</v>
      </c>
      <c r="Q105" s="22" t="n">
        <f aca="false">IF(AND(ISNUMBER(K105),ISNUMBER(P105),N(P105)&gt;0),K105/P105-1,"")</f>
        <v>0.230804739190645</v>
      </c>
      <c r="R105" s="15" t="s">
        <v>312</v>
      </c>
      <c r="S105" s="37" t="n">
        <v>2984</v>
      </c>
      <c r="T105" s="37" t="n">
        <v>347</v>
      </c>
      <c r="U105" s="38" t="n">
        <f aca="false">IF(AND(ISNUMBER(K105),ISNUMBER(T105)),K105*T105*52/12,"")</f>
        <v>120278.296666667</v>
      </c>
      <c r="V105" s="15" t="n">
        <v>4.4</v>
      </c>
      <c r="W105" s="37" t="n">
        <v>37179</v>
      </c>
      <c r="X105" s="39" t="n">
        <v>46307</v>
      </c>
      <c r="Y105" s="15" t="n">
        <v>61</v>
      </c>
      <c r="Z105" s="40" t="n">
        <v>42729</v>
      </c>
      <c r="AA105" s="41" t="n">
        <f aca="false">IF(ISNUMBER(Z105),(DATE(2026,10,13)-Z105)/365,"")</f>
        <v>9.80547945205479</v>
      </c>
      <c r="AB105" s="37" t="n">
        <v>8203</v>
      </c>
      <c r="AC105" s="15" t="s">
        <v>313</v>
      </c>
      <c r="AD105" s="15" t="n">
        <v>2</v>
      </c>
      <c r="AE105" s="15" t="s">
        <v>314</v>
      </c>
      <c r="AF105" s="42" t="n">
        <v>0.00210970464135021</v>
      </c>
      <c r="AG105" s="42" t="n">
        <v>0</v>
      </c>
      <c r="AH105" s="15" t="n">
        <v>382</v>
      </c>
      <c r="AI105" s="37" t="n">
        <v>451969</v>
      </c>
      <c r="AJ105" s="37" t="n">
        <v>4094</v>
      </c>
      <c r="AK105" s="15" t="s">
        <v>326</v>
      </c>
      <c r="AL105" s="43" t="n">
        <v>263.5</v>
      </c>
      <c r="AM105" s="43" t="n">
        <v>474.2</v>
      </c>
      <c r="AN105" s="25" t="n">
        <f aca="false">IF(AND(ISNUMBER(AM105),ISNUMBER(AL105),AL105&gt;=5),AM105/AL105,"")</f>
        <v>1.79962049335863</v>
      </c>
      <c r="AO105" s="43" t="n">
        <v>24.4</v>
      </c>
      <c r="AP105" s="43" t="n">
        <v>31</v>
      </c>
      <c r="AQ105" s="25" t="n">
        <f aca="false">IF(AND(ISNUMBER(AP105),ISNUMBER(AO105),AO105&gt;=5),AP105/AO105,"")</f>
        <v>1.27049180327869</v>
      </c>
      <c r="AR105" s="43" t="n">
        <v>372.7</v>
      </c>
      <c r="AS105" s="43" t="n">
        <v>374.5</v>
      </c>
      <c r="AT105" s="22" t="n">
        <f aca="false">IF(AND(ISNUMBER(AS105),ISNUMBER(AR105),AR105&gt;0),AS105/AR105-1,"")</f>
        <v>0.00482962167963508</v>
      </c>
      <c r="AU105" s="44"/>
      <c r="AV105" s="44"/>
      <c r="AW105" s="44"/>
      <c r="AX105" s="44"/>
      <c r="AY105" s="44"/>
      <c r="AZ105" s="45"/>
      <c r="BA105" s="45"/>
      <c r="BB105" s="46"/>
      <c r="BC105" s="46"/>
      <c r="BD105" s="23" t="str">
        <f aca="false">IF(AND(ISNUMBER(BB105),ISNUMBER(BC105),BB105&gt;0),1-BC105/BB105,"")</f>
        <v/>
      </c>
      <c r="BE105" s="47"/>
      <c r="BF105" s="48"/>
      <c r="BG105" s="48"/>
      <c r="BH105" s="27" t="str">
        <f aca="false">IF(AND(ISNUMBER(BF105),ISNUMBER(BG105),BG105&gt;0),BF105/BG105,"")</f>
        <v/>
      </c>
      <c r="BI105" s="48"/>
      <c r="BJ105" s="44"/>
      <c r="BK105" s="46"/>
      <c r="BL105" s="46"/>
      <c r="BM105" s="36" t="str">
        <f aca="false">IF(ISNUMBER(Q105),IF(Q105&lt;0,"YES","no"),"")</f>
        <v>no</v>
      </c>
      <c r="BN105" s="36" t="str">
        <f aca="false">IFERROR(IF(AND(ISNUMBER(K105),ISNUMBER(INDEX('Lift Inputs'!$H:$H,MATCH(C105,'Lift Inputs'!$C:$C,0)))),IF(K105&lt;INDEX('Lift Inputs'!$H:$H,MATCH(C105,'Lift Inputs'!$C:$C,0)),"YES","no"),""),"")</f>
        <v/>
      </c>
      <c r="BO105" s="44"/>
    </row>
    <row r="106" customFormat="false" ht="15" hidden="false" customHeight="false" outlineLevel="0" collapsed="false">
      <c r="A106" s="15" t="s">
        <v>37</v>
      </c>
      <c r="B106" s="15" t="s">
        <v>55</v>
      </c>
      <c r="C106" s="15" t="n">
        <v>32</v>
      </c>
      <c r="D106" s="15" t="s">
        <v>200</v>
      </c>
      <c r="E106" s="15" t="n">
        <v>29</v>
      </c>
      <c r="F106" s="15" t="s">
        <v>358</v>
      </c>
      <c r="G106" s="15" t="s">
        <v>403</v>
      </c>
      <c r="H106" s="15" t="s">
        <v>404</v>
      </c>
      <c r="I106" s="15" t="s">
        <v>352</v>
      </c>
      <c r="J106" s="15" t="s">
        <v>176</v>
      </c>
      <c r="K106" s="35" t="n">
        <v>37.99</v>
      </c>
      <c r="L106" s="35"/>
      <c r="M106" s="23" t="str">
        <f aca="false">IF(AND(ISNUMBER(L106),ISNUMBER(K106),K106&gt;0),L106/K106-1,"")</f>
        <v/>
      </c>
      <c r="N106" s="36" t="str">
        <f aca="false">IF(M106="","No List Price",IF(M106&lt;=0,"At/below price",IF(M106&lt;=0.12,"&lt;=12% (STR zone)",IF(M106&lt;=0.25,"12-25%","&gt;25% (likely ignored)"))))</f>
        <v>No List Price</v>
      </c>
      <c r="O106" s="15"/>
      <c r="P106" s="35" t="n">
        <v>64.99</v>
      </c>
      <c r="Q106" s="22" t="n">
        <f aca="false">IF(AND(ISNUMBER(K106),ISNUMBER(P106),N(P106)&gt;0),K106/P106-1,"")</f>
        <v>-0.41544853054316</v>
      </c>
      <c r="R106" s="15" t="s">
        <v>353</v>
      </c>
      <c r="S106" s="37" t="n">
        <v>2541068</v>
      </c>
      <c r="T106" s="37" t="n">
        <v>5</v>
      </c>
      <c r="U106" s="38" t="n">
        <f aca="false">IF(AND(ISNUMBER(K106),ISNUMBER(T106)),K106*T106*52/12,"")</f>
        <v>823.116666666667</v>
      </c>
      <c r="V106" s="15" t="n">
        <v>4.4</v>
      </c>
      <c r="W106" s="37" t="n">
        <v>30</v>
      </c>
      <c r="X106" s="39" t="n">
        <v>46307</v>
      </c>
      <c r="Y106" s="15"/>
      <c r="Z106" s="40"/>
      <c r="AA106" s="41" t="str">
        <f aca="false">IF(ISNUMBER(Z106),(DATE(2026,10,13)-Z106)/365,"")</f>
        <v/>
      </c>
      <c r="AB106" s="37"/>
      <c r="AC106" s="15"/>
      <c r="AD106" s="15"/>
      <c r="AE106" s="15"/>
      <c r="AF106" s="42"/>
      <c r="AG106" s="42"/>
      <c r="AH106" s="15"/>
      <c r="AI106" s="37"/>
      <c r="AJ106" s="37"/>
      <c r="AK106" s="15"/>
      <c r="AL106" s="43"/>
      <c r="AM106" s="43"/>
      <c r="AN106" s="25" t="str">
        <f aca="false">IF(AND(ISNUMBER(AM106),ISNUMBER(AL106),AL106&gt;=5),AM106/AL106,"")</f>
        <v/>
      </c>
      <c r="AO106" s="43"/>
      <c r="AP106" s="43"/>
      <c r="AQ106" s="25" t="str">
        <f aca="false">IF(AND(ISNUMBER(AP106),ISNUMBER(AO106),AO106&gt;=5),AP106/AO106,"")</f>
        <v/>
      </c>
      <c r="AR106" s="43"/>
      <c r="AS106" s="43"/>
      <c r="AT106" s="22" t="str">
        <f aca="false">IF(AND(ISNUMBER(AS106),ISNUMBER(AR106),AR106&gt;0),AS106/AR106-1,"")</f>
        <v/>
      </c>
      <c r="AU106" s="44"/>
      <c r="AV106" s="44"/>
      <c r="AW106" s="44"/>
      <c r="AX106" s="44"/>
      <c r="AY106" s="44"/>
      <c r="AZ106" s="45"/>
      <c r="BA106" s="45"/>
      <c r="BB106" s="46"/>
      <c r="BC106" s="46"/>
      <c r="BD106" s="23" t="str">
        <f aca="false">IF(AND(ISNUMBER(BB106),ISNUMBER(BC106),BB106&gt;0),1-BC106/BB106,"")</f>
        <v/>
      </c>
      <c r="BE106" s="47"/>
      <c r="BF106" s="48"/>
      <c r="BG106" s="48"/>
      <c r="BH106" s="27" t="str">
        <f aca="false">IF(AND(ISNUMBER(BF106),ISNUMBER(BG106),BG106&gt;0),BF106/BG106,"")</f>
        <v/>
      </c>
      <c r="BI106" s="48"/>
      <c r="BJ106" s="44"/>
      <c r="BK106" s="46"/>
      <c r="BL106" s="46"/>
      <c r="BM106" s="36" t="str">
        <f aca="false">IF(ISNUMBER(Q106),IF(Q106&lt;0,"YES","no"),"")</f>
        <v>YES</v>
      </c>
      <c r="BN106" s="36" t="str">
        <f aca="false">IFERROR(IF(AND(ISNUMBER(K106),ISNUMBER(INDEX('Lift Inputs'!$H:$H,MATCH(C106,'Lift Inputs'!$C:$C,0)))),IF(K106&lt;INDEX('Lift Inputs'!$H:$H,MATCH(C106,'Lift Inputs'!$C:$C,0)),"YES","no"),""),"")</f>
        <v/>
      </c>
      <c r="BO106" s="44"/>
    </row>
    <row r="107" customFormat="false" ht="15" hidden="false" customHeight="false" outlineLevel="0" collapsed="false">
      <c r="A107" s="15" t="s">
        <v>37</v>
      </c>
      <c r="B107" s="15" t="s">
        <v>55</v>
      </c>
      <c r="C107" s="15" t="n">
        <v>32</v>
      </c>
      <c r="D107" s="15" t="s">
        <v>200</v>
      </c>
      <c r="E107" s="15" t="n">
        <v>7</v>
      </c>
      <c r="F107" s="15" t="s">
        <v>354</v>
      </c>
      <c r="G107" s="15" t="s">
        <v>405</v>
      </c>
      <c r="H107" s="15" t="s">
        <v>406</v>
      </c>
      <c r="I107" s="15" t="s">
        <v>407</v>
      </c>
      <c r="J107" s="15" t="s">
        <v>176</v>
      </c>
      <c r="K107" s="35" t="n">
        <v>129.99</v>
      </c>
      <c r="L107" s="35"/>
      <c r="M107" s="23" t="str">
        <f aca="false">IF(AND(ISNUMBER(L107),ISNUMBER(K107),K107&gt;0),L107/K107-1,"")</f>
        <v/>
      </c>
      <c r="N107" s="36" t="str">
        <f aca="false">IF(M107="","No List Price",IF(M107&lt;=0,"At/below price",IF(M107&lt;=0.12,"&lt;=12% (STR zone)",IF(M107&lt;=0.25,"12-25%","&gt;25% (likely ignored)"))))</f>
        <v>No List Price</v>
      </c>
      <c r="O107" s="15"/>
      <c r="P107" s="35" t="n">
        <v>64.99</v>
      </c>
      <c r="Q107" s="22" t="n">
        <f aca="false">IF(AND(ISNUMBER(K107),ISNUMBER(P107),N(P107)&gt;0),K107/P107-1,"")</f>
        <v>1.00015386982613</v>
      </c>
      <c r="R107" s="15" t="s">
        <v>353</v>
      </c>
      <c r="S107" s="37" t="n">
        <v>1577</v>
      </c>
      <c r="T107" s="37" t="n">
        <v>5</v>
      </c>
      <c r="U107" s="38" t="n">
        <f aca="false">IF(AND(ISNUMBER(K107),ISNUMBER(T107)),K107*T107*52/12,"")</f>
        <v>2816.45</v>
      </c>
      <c r="V107" s="15" t="n">
        <v>4.4</v>
      </c>
      <c r="W107" s="37" t="n">
        <v>5652</v>
      </c>
      <c r="X107" s="39" t="n">
        <v>46223</v>
      </c>
      <c r="Y107" s="15"/>
      <c r="Z107" s="40"/>
      <c r="AA107" s="41" t="str">
        <f aca="false">IF(ISNUMBER(Z107),(DATE(2026,10,13)-Z107)/365,"")</f>
        <v/>
      </c>
      <c r="AB107" s="37"/>
      <c r="AC107" s="15"/>
      <c r="AD107" s="15"/>
      <c r="AE107" s="15"/>
      <c r="AF107" s="42"/>
      <c r="AG107" s="42"/>
      <c r="AH107" s="15"/>
      <c r="AI107" s="37"/>
      <c r="AJ107" s="37"/>
      <c r="AK107" s="15"/>
      <c r="AL107" s="43"/>
      <c r="AM107" s="43"/>
      <c r="AN107" s="25" t="str">
        <f aca="false">IF(AND(ISNUMBER(AM107),ISNUMBER(AL107),AL107&gt;=5),AM107/AL107,"")</f>
        <v/>
      </c>
      <c r="AO107" s="43"/>
      <c r="AP107" s="43"/>
      <c r="AQ107" s="25" t="str">
        <f aca="false">IF(AND(ISNUMBER(AP107),ISNUMBER(AO107),AO107&gt;=5),AP107/AO107,"")</f>
        <v/>
      </c>
      <c r="AR107" s="43"/>
      <c r="AS107" s="43"/>
      <c r="AT107" s="22" t="str">
        <f aca="false">IF(AND(ISNUMBER(AS107),ISNUMBER(AR107),AR107&gt;0),AS107/AR107-1,"")</f>
        <v/>
      </c>
      <c r="AU107" s="44"/>
      <c r="AV107" s="44"/>
      <c r="AW107" s="44"/>
      <c r="AX107" s="44"/>
      <c r="AY107" s="44"/>
      <c r="AZ107" s="45"/>
      <c r="BA107" s="45"/>
      <c r="BB107" s="46"/>
      <c r="BC107" s="46"/>
      <c r="BD107" s="23" t="str">
        <f aca="false">IF(AND(ISNUMBER(BB107),ISNUMBER(BC107),BB107&gt;0),1-BC107/BB107,"")</f>
        <v/>
      </c>
      <c r="BE107" s="47"/>
      <c r="BF107" s="48"/>
      <c r="BG107" s="48"/>
      <c r="BH107" s="27" t="str">
        <f aca="false">IF(AND(ISNUMBER(BF107),ISNUMBER(BG107),BG107&gt;0),BF107/BG107,"")</f>
        <v/>
      </c>
      <c r="BI107" s="48"/>
      <c r="BJ107" s="44"/>
      <c r="BK107" s="46"/>
      <c r="BL107" s="46"/>
      <c r="BM107" s="36" t="str">
        <f aca="false">IF(ISNUMBER(Q107),IF(Q107&lt;0,"YES","no"),"")</f>
        <v>no</v>
      </c>
      <c r="BN107" s="36" t="str">
        <f aca="false">IFERROR(IF(AND(ISNUMBER(K107),ISNUMBER(INDEX('Lift Inputs'!$H:$H,MATCH(C107,'Lift Inputs'!$C:$C,0)))),IF(K107&lt;INDEX('Lift Inputs'!$H:$H,MATCH(C107,'Lift Inputs'!$C:$C,0)),"YES","no"),""),"")</f>
        <v/>
      </c>
      <c r="BO107" s="44"/>
    </row>
    <row r="108" customFormat="false" ht="15" hidden="false" customHeight="false" outlineLevel="0" collapsed="false">
      <c r="A108" s="15" t="s">
        <v>37</v>
      </c>
      <c r="B108" s="15" t="s">
        <v>55</v>
      </c>
      <c r="C108" s="15" t="n">
        <v>32</v>
      </c>
      <c r="D108" s="15" t="s">
        <v>200</v>
      </c>
      <c r="E108" s="15" t="n">
        <v>33</v>
      </c>
      <c r="F108" s="15" t="s">
        <v>332</v>
      </c>
      <c r="G108" s="15" t="s">
        <v>333</v>
      </c>
      <c r="H108" s="15" t="s">
        <v>334</v>
      </c>
      <c r="I108" s="15" t="s">
        <v>335</v>
      </c>
      <c r="J108" s="15" t="s">
        <v>177</v>
      </c>
      <c r="K108" s="35" t="n">
        <v>84.99</v>
      </c>
      <c r="L108" s="35"/>
      <c r="M108" s="23" t="str">
        <f aca="false">IF(AND(ISNUMBER(L108),ISNUMBER(K108),K108&gt;0),L108/K108-1,"")</f>
        <v/>
      </c>
      <c r="N108" s="36" t="str">
        <f aca="false">IF(M108="","No List Price",IF(M108&lt;=0,"At/below price",IF(M108&lt;=0.12,"&lt;=12% (STR zone)",IF(M108&lt;=0.25,"12-25%","&gt;25% (likely ignored)"))))</f>
        <v>No List Price</v>
      </c>
      <c r="O108" s="15" t="s">
        <v>320</v>
      </c>
      <c r="P108" s="35" t="n">
        <v>69.99</v>
      </c>
      <c r="Q108" s="22" t="n">
        <f aca="false">IF(AND(ISNUMBER(K108),ISNUMBER(P108),N(P108)&gt;0),K108/P108-1,"")</f>
        <v>0.214316330904415</v>
      </c>
      <c r="R108" s="15" t="s">
        <v>321</v>
      </c>
      <c r="S108" s="37" t="n">
        <v>5664</v>
      </c>
      <c r="T108" s="37" t="n">
        <v>185</v>
      </c>
      <c r="U108" s="38" t="n">
        <f aca="false">IF(AND(ISNUMBER(K108),ISNUMBER(T108)),K108*T108*52/12,"")</f>
        <v>68133.65</v>
      </c>
      <c r="V108" s="15" t="n">
        <v>4.5</v>
      </c>
      <c r="W108" s="37" t="n">
        <v>263</v>
      </c>
      <c r="X108" s="39" t="n">
        <v>46307</v>
      </c>
      <c r="Y108" s="15" t="n">
        <v>43</v>
      </c>
      <c r="Z108" s="40" t="n">
        <v>45944</v>
      </c>
      <c r="AA108" s="41" t="n">
        <f aca="false">IF(ISNUMBER(Z108),(DATE(2026,10,13)-Z108)/365,"")</f>
        <v>0.997260273972603</v>
      </c>
      <c r="AB108" s="37" t="n">
        <v>5418</v>
      </c>
      <c r="AC108" s="15" t="s">
        <v>313</v>
      </c>
      <c r="AD108" s="15" t="n">
        <v>1</v>
      </c>
      <c r="AE108" s="15" t="s">
        <v>336</v>
      </c>
      <c r="AF108" s="42" t="n">
        <v>0</v>
      </c>
      <c r="AG108" s="42" t="n">
        <v>0</v>
      </c>
      <c r="AH108" s="15" t="n">
        <v>295</v>
      </c>
      <c r="AI108" s="37" t="n">
        <v>334819</v>
      </c>
      <c r="AJ108" s="37" t="n">
        <v>2638</v>
      </c>
      <c r="AK108" s="15" t="s">
        <v>326</v>
      </c>
      <c r="AL108" s="43" t="n">
        <v>198.1</v>
      </c>
      <c r="AM108" s="43" t="n">
        <v>260</v>
      </c>
      <c r="AN108" s="25" t="n">
        <f aca="false">IF(AND(ISNUMBER(AM108),ISNUMBER(AL108),AL108&gt;=5),AM108/AL108,"")</f>
        <v>1.31246845027764</v>
      </c>
      <c r="AO108" s="43" t="n">
        <v>89.9</v>
      </c>
      <c r="AP108" s="43" t="n">
        <v>320.5</v>
      </c>
      <c r="AQ108" s="25" t="n">
        <f aca="false">IF(AND(ISNUMBER(AP108),ISNUMBER(AO108),AO108&gt;=5),AP108/AO108,"")</f>
        <v>3.5650723025584</v>
      </c>
      <c r="AR108" s="43" t="n">
        <v>183.2</v>
      </c>
      <c r="AS108" s="43" t="n">
        <v>230.2</v>
      </c>
      <c r="AT108" s="22" t="n">
        <f aca="false">IF(AND(ISNUMBER(AS108),ISNUMBER(AR108),AR108&gt;0),AS108/AR108-1,"")</f>
        <v>0.256550218340611</v>
      </c>
      <c r="AU108" s="44"/>
      <c r="AV108" s="44"/>
      <c r="AW108" s="44"/>
      <c r="AX108" s="44"/>
      <c r="AY108" s="44"/>
      <c r="AZ108" s="45"/>
      <c r="BA108" s="45"/>
      <c r="BB108" s="46"/>
      <c r="BC108" s="46"/>
      <c r="BD108" s="23" t="str">
        <f aca="false">IF(AND(ISNUMBER(BB108),ISNUMBER(BC108),BB108&gt;0),1-BC108/BB108,"")</f>
        <v/>
      </c>
      <c r="BE108" s="47"/>
      <c r="BF108" s="48"/>
      <c r="BG108" s="48"/>
      <c r="BH108" s="27" t="str">
        <f aca="false">IF(AND(ISNUMBER(BF108),ISNUMBER(BG108),BG108&gt;0),BF108/BG108,"")</f>
        <v/>
      </c>
      <c r="BI108" s="48"/>
      <c r="BJ108" s="44"/>
      <c r="BK108" s="46"/>
      <c r="BL108" s="46"/>
      <c r="BM108" s="36" t="str">
        <f aca="false">IF(ISNUMBER(Q108),IF(Q108&lt;0,"YES","no"),"")</f>
        <v>no</v>
      </c>
      <c r="BN108" s="36" t="str">
        <f aca="false">IFERROR(IF(AND(ISNUMBER(K108),ISNUMBER(INDEX('Lift Inputs'!$H:$H,MATCH(C108,'Lift Inputs'!$C:$C,0)))),IF(K108&lt;INDEX('Lift Inputs'!$H:$H,MATCH(C108,'Lift Inputs'!$C:$C,0)),"YES","no"),""),"")</f>
        <v/>
      </c>
      <c r="BO108" s="44"/>
    </row>
    <row r="109" customFormat="false" ht="15" hidden="false" customHeight="false" outlineLevel="0" collapsed="false">
      <c r="A109" s="15" t="s">
        <v>37</v>
      </c>
      <c r="B109" s="15" t="s">
        <v>55</v>
      </c>
      <c r="C109" s="15" t="n">
        <v>32</v>
      </c>
      <c r="D109" s="15" t="s">
        <v>200</v>
      </c>
      <c r="E109" s="15" t="n">
        <v>3</v>
      </c>
      <c r="F109" s="15" t="s">
        <v>341</v>
      </c>
      <c r="G109" s="15" t="s">
        <v>342</v>
      </c>
      <c r="H109" s="15" t="s">
        <v>343</v>
      </c>
      <c r="I109" s="15" t="s">
        <v>344</v>
      </c>
      <c r="J109" s="15" t="s">
        <v>177</v>
      </c>
      <c r="K109" s="35" t="n">
        <v>89.99</v>
      </c>
      <c r="L109" s="35"/>
      <c r="M109" s="23" t="str">
        <f aca="false">IF(AND(ISNUMBER(L109),ISNUMBER(K109),K109&gt;0),L109/K109-1,"")</f>
        <v/>
      </c>
      <c r="N109" s="36" t="str">
        <f aca="false">IF(M109="","No List Price",IF(M109&lt;=0,"At/below price",IF(M109&lt;=0.12,"&lt;=12% (STR zone)",IF(M109&lt;=0.25,"12-25%","&gt;25% (likely ignored)"))))</f>
        <v>No List Price</v>
      </c>
      <c r="O109" s="15" t="s">
        <v>311</v>
      </c>
      <c r="P109" s="35" t="n">
        <v>64.99</v>
      </c>
      <c r="Q109" s="22" t="n">
        <f aca="false">IF(AND(ISNUMBER(K109),ISNUMBER(P109),N(P109)&gt;0),K109/P109-1,"")</f>
        <v>0.384674565317741</v>
      </c>
      <c r="R109" s="15" t="s">
        <v>312</v>
      </c>
      <c r="S109" s="37" t="n">
        <v>6971</v>
      </c>
      <c r="T109" s="37" t="n">
        <v>104</v>
      </c>
      <c r="U109" s="38" t="n">
        <f aca="false">IF(AND(ISNUMBER(K109),ISNUMBER(T109)),K109*T109*52/12,"")</f>
        <v>40555.4933333333</v>
      </c>
      <c r="V109" s="15" t="n">
        <v>4.3</v>
      </c>
      <c r="W109" s="37" t="n">
        <v>2766</v>
      </c>
      <c r="X109" s="39" t="n">
        <v>46307</v>
      </c>
      <c r="Y109" s="15" t="n">
        <v>104</v>
      </c>
      <c r="Z109" s="40" t="n">
        <v>45649</v>
      </c>
      <c r="AA109" s="41" t="n">
        <f aca="false">IF(ISNUMBER(Z109),(DATE(2026,10,13)-Z109)/365,"")</f>
        <v>1.80547945205479</v>
      </c>
      <c r="AB109" s="37" t="n">
        <v>4777</v>
      </c>
      <c r="AC109" s="15" t="s">
        <v>313</v>
      </c>
      <c r="AD109" s="15" t="n">
        <v>1</v>
      </c>
      <c r="AE109" s="15" t="s">
        <v>345</v>
      </c>
      <c r="AF109" s="42" t="n">
        <v>0</v>
      </c>
      <c r="AG109" s="42" t="n">
        <v>0</v>
      </c>
      <c r="AH109" s="15" t="n">
        <v>190</v>
      </c>
      <c r="AI109" s="37" t="n">
        <v>407949</v>
      </c>
      <c r="AJ109" s="37" t="n">
        <v>2137</v>
      </c>
      <c r="AK109" s="15" t="s">
        <v>326</v>
      </c>
      <c r="AL109" s="43" t="n">
        <v>356.5</v>
      </c>
      <c r="AM109" s="43" t="n">
        <v>490</v>
      </c>
      <c r="AN109" s="25" t="n">
        <f aca="false">IF(AND(ISNUMBER(AM109),ISNUMBER(AL109),AL109&gt;=5),AM109/AL109,"")</f>
        <v>1.37447405329593</v>
      </c>
      <c r="AO109" s="43" t="n">
        <v>57.6</v>
      </c>
      <c r="AP109" s="43" t="n">
        <v>82.5</v>
      </c>
      <c r="AQ109" s="25" t="n">
        <f aca="false">IF(AND(ISNUMBER(AP109),ISNUMBER(AO109),AO109&gt;=5),AP109/AO109,"")</f>
        <v>1.43229166666667</v>
      </c>
      <c r="AR109" s="43" t="n">
        <v>239.9</v>
      </c>
      <c r="AS109" s="43" t="n">
        <v>571.4</v>
      </c>
      <c r="AT109" s="22" t="n">
        <f aca="false">IF(AND(ISNUMBER(AS109),ISNUMBER(AR109),AR109&gt;0),AS109/AR109-1,"")</f>
        <v>1.38182576073364</v>
      </c>
      <c r="AU109" s="44"/>
      <c r="AV109" s="44"/>
      <c r="AW109" s="44"/>
      <c r="AX109" s="44"/>
      <c r="AY109" s="44"/>
      <c r="AZ109" s="45"/>
      <c r="BA109" s="45"/>
      <c r="BB109" s="46"/>
      <c r="BC109" s="46"/>
      <c r="BD109" s="23" t="str">
        <f aca="false">IF(AND(ISNUMBER(BB109),ISNUMBER(BC109),BB109&gt;0),1-BC109/BB109,"")</f>
        <v/>
      </c>
      <c r="BE109" s="47"/>
      <c r="BF109" s="48"/>
      <c r="BG109" s="48"/>
      <c r="BH109" s="27" t="str">
        <f aca="false">IF(AND(ISNUMBER(BF109),ISNUMBER(BG109),BG109&gt;0),BF109/BG109,"")</f>
        <v/>
      </c>
      <c r="BI109" s="48"/>
      <c r="BJ109" s="44"/>
      <c r="BK109" s="46"/>
      <c r="BL109" s="46"/>
      <c r="BM109" s="36" t="str">
        <f aca="false">IF(ISNUMBER(Q109),IF(Q109&lt;0,"YES","no"),"")</f>
        <v>no</v>
      </c>
      <c r="BN109" s="36" t="str">
        <f aca="false">IFERROR(IF(AND(ISNUMBER(K109),ISNUMBER(INDEX('Lift Inputs'!$H:$H,MATCH(C109,'Lift Inputs'!$C:$C,0)))),IF(K109&lt;INDEX('Lift Inputs'!$H:$H,MATCH(C109,'Lift Inputs'!$C:$C,0)),"YES","no"),""),"")</f>
        <v/>
      </c>
      <c r="BO109" s="44"/>
    </row>
    <row r="110" customFormat="false" ht="15" hidden="false" customHeight="false" outlineLevel="0" collapsed="false">
      <c r="A110" s="15" t="s">
        <v>37</v>
      </c>
      <c r="B110" s="15" t="s">
        <v>55</v>
      </c>
      <c r="C110" s="15" t="n">
        <v>32</v>
      </c>
      <c r="D110" s="15" t="s">
        <v>200</v>
      </c>
      <c r="E110" s="15" t="n">
        <v>6</v>
      </c>
      <c r="F110" s="15" t="s">
        <v>307</v>
      </c>
      <c r="G110" s="15" t="s">
        <v>346</v>
      </c>
      <c r="H110" s="15" t="s">
        <v>347</v>
      </c>
      <c r="I110" s="15" t="s">
        <v>348</v>
      </c>
      <c r="J110" s="15" t="s">
        <v>177</v>
      </c>
      <c r="K110" s="35" t="n">
        <v>89.99</v>
      </c>
      <c r="L110" s="35" t="n">
        <v>119.99</v>
      </c>
      <c r="M110" s="23" t="n">
        <f aca="false">IF(AND(ISNUMBER(L110),ISNUMBER(K110),K110&gt;0),L110/K110-1,"")</f>
        <v>0.333370374486054</v>
      </c>
      <c r="N110" s="36" t="str">
        <f aca="false">IF(M110="","No List Price",IF(M110&lt;=0,"At/below price",IF(M110&lt;=0.12,"&lt;=12% (STR zone)",IF(M110&lt;=0.25,"12-25%","&gt;25% (likely ignored)"))))</f>
        <v>&gt;25% (likely ignored)</v>
      </c>
      <c r="O110" s="15" t="s">
        <v>311</v>
      </c>
      <c r="P110" s="35" t="n">
        <v>64.99</v>
      </c>
      <c r="Q110" s="22" t="n">
        <f aca="false">IF(AND(ISNUMBER(K110),ISNUMBER(P110),N(P110)&gt;0),K110/P110-1,"")</f>
        <v>0.384674565317741</v>
      </c>
      <c r="R110" s="15" t="s">
        <v>312</v>
      </c>
      <c r="S110" s="37" t="n">
        <v>8938</v>
      </c>
      <c r="T110" s="37" t="n">
        <v>104</v>
      </c>
      <c r="U110" s="38" t="n">
        <f aca="false">IF(AND(ISNUMBER(K110),ISNUMBER(T110)),K110*T110*52/12,"")</f>
        <v>40555.4933333333</v>
      </c>
      <c r="V110" s="15" t="n">
        <v>4.5</v>
      </c>
      <c r="W110" s="37" t="n">
        <v>588</v>
      </c>
      <c r="X110" s="39" t="n">
        <v>46307</v>
      </c>
      <c r="Y110" s="15" t="n">
        <v>39</v>
      </c>
      <c r="Z110" s="40" t="n">
        <v>45936</v>
      </c>
      <c r="AA110" s="41" t="n">
        <f aca="false">IF(ISNUMBER(Z110),(DATE(2026,10,13)-Z110)/365,"")</f>
        <v>1.01917808219178</v>
      </c>
      <c r="AB110" s="37" t="n">
        <v>4014</v>
      </c>
      <c r="AC110" s="15" t="s">
        <v>313</v>
      </c>
      <c r="AD110" s="15" t="n">
        <v>4</v>
      </c>
      <c r="AE110" s="15" t="s">
        <v>314</v>
      </c>
      <c r="AF110" s="42" t="n">
        <v>0</v>
      </c>
      <c r="AG110" s="42" t="n">
        <v>0</v>
      </c>
      <c r="AH110" s="15" t="n">
        <v>313</v>
      </c>
      <c r="AI110" s="37" t="n">
        <v>840292</v>
      </c>
      <c r="AJ110" s="37" t="n">
        <v>3961</v>
      </c>
      <c r="AK110" s="15" t="s">
        <v>326</v>
      </c>
      <c r="AL110" s="43" t="n">
        <v>279.8</v>
      </c>
      <c r="AM110" s="43" t="n">
        <v>493.8</v>
      </c>
      <c r="AN110" s="25" t="n">
        <f aca="false">IF(AND(ISNUMBER(AM110),ISNUMBER(AL110),AL110&gt;=5),AM110/AL110,"")</f>
        <v>1.76483202287348</v>
      </c>
      <c r="AO110" s="43" t="n">
        <v>320.1</v>
      </c>
      <c r="AP110" s="43" t="n">
        <v>534.8</v>
      </c>
      <c r="AQ110" s="25" t="n">
        <f aca="false">IF(AND(ISNUMBER(AP110),ISNUMBER(AO110),AO110&gt;=5),AP110/AO110,"")</f>
        <v>1.67072789753202</v>
      </c>
      <c r="AR110" s="43" t="n">
        <v>248.7</v>
      </c>
      <c r="AS110" s="43" t="n">
        <v>226.2</v>
      </c>
      <c r="AT110" s="22" t="n">
        <f aca="false">IF(AND(ISNUMBER(AS110),ISNUMBER(AR110),AR110&gt;0),AS110/AR110-1,"")</f>
        <v>-0.0904704463208685</v>
      </c>
      <c r="AU110" s="44"/>
      <c r="AV110" s="44"/>
      <c r="AW110" s="44"/>
      <c r="AX110" s="44"/>
      <c r="AY110" s="44"/>
      <c r="AZ110" s="45"/>
      <c r="BA110" s="45"/>
      <c r="BB110" s="46"/>
      <c r="BC110" s="46"/>
      <c r="BD110" s="23" t="str">
        <f aca="false">IF(AND(ISNUMBER(BB110),ISNUMBER(BC110),BB110&gt;0),1-BC110/BB110,"")</f>
        <v/>
      </c>
      <c r="BE110" s="47"/>
      <c r="BF110" s="48"/>
      <c r="BG110" s="48"/>
      <c r="BH110" s="27" t="str">
        <f aca="false">IF(AND(ISNUMBER(BF110),ISNUMBER(BG110),BG110&gt;0),BF110/BG110,"")</f>
        <v/>
      </c>
      <c r="BI110" s="48"/>
      <c r="BJ110" s="44"/>
      <c r="BK110" s="46"/>
      <c r="BL110" s="46"/>
      <c r="BM110" s="36" t="str">
        <f aca="false">IF(ISNUMBER(Q110),IF(Q110&lt;0,"YES","no"),"")</f>
        <v>no</v>
      </c>
      <c r="BN110" s="36" t="str">
        <f aca="false">IFERROR(IF(AND(ISNUMBER(K110),ISNUMBER(INDEX('Lift Inputs'!$H:$H,MATCH(C110,'Lift Inputs'!$C:$C,0)))),IF(K110&lt;INDEX('Lift Inputs'!$H:$H,MATCH(C110,'Lift Inputs'!$C:$C,0)),"YES","no"),""),"")</f>
        <v/>
      </c>
      <c r="BO110" s="44"/>
    </row>
    <row r="111" customFormat="false" ht="15" hidden="false" customHeight="false" outlineLevel="0" collapsed="false">
      <c r="A111" s="15" t="s">
        <v>37</v>
      </c>
      <c r="B111" s="15" t="s">
        <v>55</v>
      </c>
      <c r="C111" s="15" t="n">
        <v>32</v>
      </c>
      <c r="D111" s="15" t="s">
        <v>200</v>
      </c>
      <c r="E111" s="15" t="n">
        <v>1507</v>
      </c>
      <c r="F111" s="15" t="s">
        <v>349</v>
      </c>
      <c r="G111" s="15" t="s">
        <v>350</v>
      </c>
      <c r="H111" s="15" t="s">
        <v>351</v>
      </c>
      <c r="I111" s="15" t="s">
        <v>352</v>
      </c>
      <c r="J111" s="15" t="s">
        <v>177</v>
      </c>
      <c r="K111" s="35" t="n">
        <v>79.99</v>
      </c>
      <c r="L111" s="35"/>
      <c r="M111" s="23" t="str">
        <f aca="false">IF(AND(ISNUMBER(L111),ISNUMBER(K111),K111&gt;0),L111/K111-1,"")</f>
        <v/>
      </c>
      <c r="N111" s="36" t="str">
        <f aca="false">IF(M111="","No List Price",IF(M111&lt;=0,"At/below price",IF(M111&lt;=0.12,"&lt;=12% (STR zone)",IF(M111&lt;=0.25,"12-25%","&gt;25% (likely ignored)"))))</f>
        <v>No List Price</v>
      </c>
      <c r="O111" s="15"/>
      <c r="P111" s="35" t="n">
        <v>64.99</v>
      </c>
      <c r="Q111" s="22" t="n">
        <f aca="false">IF(AND(ISNUMBER(K111),ISNUMBER(P111),N(P111)&gt;0),K111/P111-1,"")</f>
        <v>0.230804739190645</v>
      </c>
      <c r="R111" s="15" t="s">
        <v>353</v>
      </c>
      <c r="S111" s="37" t="n">
        <v>7961</v>
      </c>
      <c r="T111" s="37" t="n">
        <v>104</v>
      </c>
      <c r="U111" s="38" t="n">
        <f aca="false">IF(AND(ISNUMBER(K111),ISNUMBER(T111)),K111*T111*52/12,"")</f>
        <v>36048.8266666667</v>
      </c>
      <c r="V111" s="15" t="n">
        <v>4.5</v>
      </c>
      <c r="W111" s="37" t="n">
        <v>3776</v>
      </c>
      <c r="X111" s="39" t="n">
        <v>46307</v>
      </c>
      <c r="Y111" s="15"/>
      <c r="Z111" s="40"/>
      <c r="AA111" s="41" t="str">
        <f aca="false">IF(ISNUMBER(Z111),(DATE(2026,10,13)-Z111)/365,"")</f>
        <v/>
      </c>
      <c r="AB111" s="37"/>
      <c r="AC111" s="15"/>
      <c r="AD111" s="15"/>
      <c r="AE111" s="15"/>
      <c r="AF111" s="42"/>
      <c r="AG111" s="42"/>
      <c r="AH111" s="15"/>
      <c r="AI111" s="37" t="n">
        <v>185157</v>
      </c>
      <c r="AJ111" s="37" t="n">
        <v>1447</v>
      </c>
      <c r="AK111" s="15" t="s">
        <v>326</v>
      </c>
      <c r="AL111" s="43" t="n">
        <v>295.1</v>
      </c>
      <c r="AM111" s="43" t="n">
        <v>388</v>
      </c>
      <c r="AN111" s="25" t="n">
        <f aca="false">IF(AND(ISNUMBER(AM111),ISNUMBER(AL111),AL111&gt;=5),AM111/AL111,"")</f>
        <v>1.31480853947814</v>
      </c>
      <c r="AO111" s="43" t="n">
        <v>1.1</v>
      </c>
      <c r="AP111" s="43" t="n">
        <v>0.5</v>
      </c>
      <c r="AQ111" s="25" t="str">
        <f aca="false">IF(AND(ISNUMBER(AP111),ISNUMBER(AO111),AO111&gt;=5),AP111/AO111,"")</f>
        <v/>
      </c>
      <c r="AR111" s="43" t="n">
        <v>254.1</v>
      </c>
      <c r="AS111" s="43" t="n">
        <v>411.3</v>
      </c>
      <c r="AT111" s="22" t="n">
        <f aca="false">IF(AND(ISNUMBER(AS111),ISNUMBER(AR111),AR111&gt;0),AS111/AR111-1,"")</f>
        <v>0.618654073199528</v>
      </c>
      <c r="AU111" s="44"/>
      <c r="AV111" s="44"/>
      <c r="AW111" s="44"/>
      <c r="AX111" s="44"/>
      <c r="AY111" s="44"/>
      <c r="AZ111" s="45"/>
      <c r="BA111" s="45"/>
      <c r="BB111" s="46"/>
      <c r="BC111" s="46"/>
      <c r="BD111" s="23" t="str">
        <f aca="false">IF(AND(ISNUMBER(BB111),ISNUMBER(BC111),BB111&gt;0),1-BC111/BB111,"")</f>
        <v/>
      </c>
      <c r="BE111" s="47"/>
      <c r="BF111" s="48"/>
      <c r="BG111" s="48"/>
      <c r="BH111" s="27" t="str">
        <f aca="false">IF(AND(ISNUMBER(BF111),ISNUMBER(BG111),BG111&gt;0),BF111/BG111,"")</f>
        <v/>
      </c>
      <c r="BI111" s="48"/>
      <c r="BJ111" s="44"/>
      <c r="BK111" s="46"/>
      <c r="BL111" s="46"/>
      <c r="BM111" s="36" t="str">
        <f aca="false">IF(ISNUMBER(Q111),IF(Q111&lt;0,"YES","no"),"")</f>
        <v>no</v>
      </c>
      <c r="BN111" s="36" t="str">
        <f aca="false">IFERROR(IF(AND(ISNUMBER(K111),ISNUMBER(INDEX('Lift Inputs'!$H:$H,MATCH(C111,'Lift Inputs'!$C:$C,0)))),IF(K111&lt;INDEX('Lift Inputs'!$H:$H,MATCH(C111,'Lift Inputs'!$C:$C,0)),"YES","no"),""),"")</f>
        <v/>
      </c>
      <c r="BO111" s="44"/>
    </row>
    <row r="112" customFormat="false" ht="15" hidden="false" customHeight="false" outlineLevel="0" collapsed="false">
      <c r="A112" s="15" t="s">
        <v>37</v>
      </c>
      <c r="B112" s="15" t="s">
        <v>55</v>
      </c>
      <c r="C112" s="15" t="n">
        <v>32</v>
      </c>
      <c r="D112" s="15" t="s">
        <v>200</v>
      </c>
      <c r="E112" s="15" t="n">
        <v>637</v>
      </c>
      <c r="F112" s="15" t="s">
        <v>354</v>
      </c>
      <c r="G112" s="15" t="s">
        <v>355</v>
      </c>
      <c r="H112" s="15" t="s">
        <v>356</v>
      </c>
      <c r="I112" s="15" t="s">
        <v>357</v>
      </c>
      <c r="J112" s="15" t="s">
        <v>177</v>
      </c>
      <c r="K112" s="35" t="n">
        <v>134.99</v>
      </c>
      <c r="L112" s="35"/>
      <c r="M112" s="23" t="str">
        <f aca="false">IF(AND(ISNUMBER(L112),ISNUMBER(K112),K112&gt;0),L112/K112-1,"")</f>
        <v/>
      </c>
      <c r="N112" s="36" t="str">
        <f aca="false">IF(M112="","No List Price",IF(M112&lt;=0,"At/below price",IF(M112&lt;=0.12,"&lt;=12% (STR zone)",IF(M112&lt;=0.25,"12-25%","&gt;25% (likely ignored)"))))</f>
        <v>No List Price</v>
      </c>
      <c r="O112" s="15" t="s">
        <v>320</v>
      </c>
      <c r="P112" s="35" t="n">
        <v>69.99</v>
      </c>
      <c r="Q112" s="22" t="n">
        <f aca="false">IF(AND(ISNUMBER(K112),ISNUMBER(P112),N(P112)&gt;0),K112/P112-1,"")</f>
        <v>0.928704100585799</v>
      </c>
      <c r="R112" s="15" t="s">
        <v>321</v>
      </c>
      <c r="S112" s="37" t="n">
        <v>1358</v>
      </c>
      <c r="T112" s="37" t="n">
        <v>92</v>
      </c>
      <c r="U112" s="38" t="n">
        <f aca="false">IF(AND(ISNUMBER(K112),ISNUMBER(T112)),K112*T112*52/12,"")</f>
        <v>53816.0133333333</v>
      </c>
      <c r="V112" s="15" t="n">
        <v>4.4</v>
      </c>
      <c r="W112" s="37" t="n">
        <v>5871</v>
      </c>
      <c r="X112" s="39" t="n">
        <v>46307</v>
      </c>
      <c r="Y112" s="15" t="n">
        <v>258</v>
      </c>
      <c r="Z112" s="40" t="n">
        <v>44154</v>
      </c>
      <c r="AA112" s="41" t="n">
        <f aca="false">IF(ISNUMBER(Z112),(DATE(2026,10,13)-Z112)/365,"")</f>
        <v>5.9013698630137</v>
      </c>
      <c r="AB112" s="37" t="n">
        <v>13039</v>
      </c>
      <c r="AC112" s="15" t="s">
        <v>313</v>
      </c>
      <c r="AD112" s="15" t="n">
        <v>1</v>
      </c>
      <c r="AE112" s="15" t="s">
        <v>314</v>
      </c>
      <c r="AF112" s="42" t="n">
        <v>0.80168776371308</v>
      </c>
      <c r="AG112" s="42" t="n">
        <v>0.361339222679758</v>
      </c>
      <c r="AH112" s="15" t="n">
        <v>316</v>
      </c>
      <c r="AI112" s="37" t="n">
        <v>591713</v>
      </c>
      <c r="AJ112" s="37" t="n">
        <v>5504</v>
      </c>
      <c r="AK112" s="15" t="s">
        <v>315</v>
      </c>
      <c r="AL112" s="43" t="n">
        <v>107.7</v>
      </c>
      <c r="AM112" s="43" t="n">
        <v>191.5</v>
      </c>
      <c r="AN112" s="25" t="n">
        <f aca="false">IF(AND(ISNUMBER(AM112),ISNUMBER(AL112),AL112&gt;=5),AM112/AL112,"")</f>
        <v>1.77808727948004</v>
      </c>
      <c r="AO112" s="43" t="n">
        <v>49.4</v>
      </c>
      <c r="AP112" s="43" t="n">
        <v>99.8</v>
      </c>
      <c r="AQ112" s="25" t="n">
        <f aca="false">IF(AND(ISNUMBER(AP112),ISNUMBER(AO112),AO112&gt;=5),AP112/AO112,"")</f>
        <v>2.02024291497976</v>
      </c>
      <c r="AR112" s="43" t="n">
        <v>127.5</v>
      </c>
      <c r="AS112" s="43" t="n">
        <v>175.6</v>
      </c>
      <c r="AT112" s="22" t="n">
        <f aca="false">IF(AND(ISNUMBER(AS112),ISNUMBER(AR112),AR112&gt;0),AS112/AR112-1,"")</f>
        <v>0.377254901960784</v>
      </c>
      <c r="AU112" s="44"/>
      <c r="AV112" s="44"/>
      <c r="AW112" s="44"/>
      <c r="AX112" s="44"/>
      <c r="AY112" s="44"/>
      <c r="AZ112" s="45"/>
      <c r="BA112" s="45"/>
      <c r="BB112" s="46"/>
      <c r="BC112" s="46"/>
      <c r="BD112" s="23" t="str">
        <f aca="false">IF(AND(ISNUMBER(BB112),ISNUMBER(BC112),BB112&gt;0),1-BC112/BB112,"")</f>
        <v/>
      </c>
      <c r="BE112" s="47"/>
      <c r="BF112" s="48"/>
      <c r="BG112" s="48"/>
      <c r="BH112" s="27" t="str">
        <f aca="false">IF(AND(ISNUMBER(BF112),ISNUMBER(BG112),BG112&gt;0),BF112/BG112,"")</f>
        <v/>
      </c>
      <c r="BI112" s="48"/>
      <c r="BJ112" s="44"/>
      <c r="BK112" s="46"/>
      <c r="BL112" s="46"/>
      <c r="BM112" s="36" t="str">
        <f aca="false">IF(ISNUMBER(Q112),IF(Q112&lt;0,"YES","no"),"")</f>
        <v>no</v>
      </c>
      <c r="BN112" s="36" t="str">
        <f aca="false">IFERROR(IF(AND(ISNUMBER(K112),ISNUMBER(INDEX('Lift Inputs'!$H:$H,MATCH(C112,'Lift Inputs'!$C:$C,0)))),IF(K112&lt;INDEX('Lift Inputs'!$H:$H,MATCH(C112,'Lift Inputs'!$C:$C,0)),"YES","no"),""),"")</f>
        <v/>
      </c>
      <c r="BO112" s="44"/>
    </row>
    <row r="113" customFormat="false" ht="15" hidden="false" customHeight="false" outlineLevel="0" collapsed="false">
      <c r="A113" s="15" t="s">
        <v>37</v>
      </c>
      <c r="B113" s="15" t="s">
        <v>55</v>
      </c>
      <c r="C113" s="15" t="n">
        <v>32</v>
      </c>
      <c r="D113" s="15" t="s">
        <v>200</v>
      </c>
      <c r="E113" s="15" t="n">
        <v>1814</v>
      </c>
      <c r="F113" s="15" t="s">
        <v>358</v>
      </c>
      <c r="G113" s="15" t="s">
        <v>359</v>
      </c>
      <c r="H113" s="15" t="s">
        <v>360</v>
      </c>
      <c r="I113" s="15" t="s">
        <v>361</v>
      </c>
      <c r="J113" s="15" t="s">
        <v>177</v>
      </c>
      <c r="K113" s="35" t="n">
        <v>67.98</v>
      </c>
      <c r="L113" s="35" t="n">
        <v>99.99</v>
      </c>
      <c r="M113" s="23" t="n">
        <f aca="false">IF(AND(ISNUMBER(L113),ISNUMBER(K113),K113&gt;0),L113/K113-1,"")</f>
        <v>0.470873786407767</v>
      </c>
      <c r="N113" s="36" t="str">
        <f aca="false">IF(M113="","No List Price",IF(M113&lt;=0,"At/below price",IF(M113&lt;=0.12,"&lt;=12% (STR zone)",IF(M113&lt;=0.25,"12-25%","&gt;25% (likely ignored)"))))</f>
        <v>&gt;25% (likely ignored)</v>
      </c>
      <c r="O113" s="15" t="s">
        <v>320</v>
      </c>
      <c r="P113" s="35" t="n">
        <v>69.99</v>
      </c>
      <c r="Q113" s="22" t="n">
        <f aca="false">IF(AND(ISNUMBER(K113),ISNUMBER(P113),N(P113)&gt;0),K113/P113-1,"")</f>
        <v>-0.0287183883411912</v>
      </c>
      <c r="R113" s="15" t="s">
        <v>321</v>
      </c>
      <c r="S113" s="37" t="n">
        <v>14479</v>
      </c>
      <c r="T113" s="37" t="n">
        <v>81</v>
      </c>
      <c r="U113" s="38" t="n">
        <f aca="false">IF(AND(ISNUMBER(K113),ISNUMBER(T113)),K113*T113*52/12,"")</f>
        <v>23860.98</v>
      </c>
      <c r="V113" s="15" t="n">
        <v>4.4</v>
      </c>
      <c r="W113" s="37" t="n">
        <v>4095</v>
      </c>
      <c r="X113" s="39" t="n">
        <v>46307</v>
      </c>
      <c r="Y113" s="15" t="n">
        <v>40</v>
      </c>
      <c r="Z113" s="40" t="n">
        <v>43776</v>
      </c>
      <c r="AA113" s="41" t="n">
        <f aca="false">IF(ISNUMBER(Z113),(DATE(2026,10,13)-Z113)/365,"")</f>
        <v>6.93698630136986</v>
      </c>
      <c r="AB113" s="37" t="n">
        <v>2824</v>
      </c>
      <c r="AC113" s="15" t="s">
        <v>313</v>
      </c>
      <c r="AD113" s="15" t="n">
        <v>1</v>
      </c>
      <c r="AE113" s="15" t="s">
        <v>314</v>
      </c>
      <c r="AF113" s="42" t="n">
        <v>0</v>
      </c>
      <c r="AG113" s="42" t="n">
        <v>0</v>
      </c>
      <c r="AH113" s="15" t="n">
        <v>158</v>
      </c>
      <c r="AI113" s="37" t="n">
        <v>67699</v>
      </c>
      <c r="AJ113" s="37" t="n">
        <v>1687</v>
      </c>
      <c r="AK113" s="15" t="s">
        <v>315</v>
      </c>
      <c r="AL113" s="43" t="n">
        <v>83.8</v>
      </c>
      <c r="AM113" s="43" t="n">
        <v>85.2</v>
      </c>
      <c r="AN113" s="25" t="n">
        <f aca="false">IF(AND(ISNUMBER(AM113),ISNUMBER(AL113),AL113&gt;=5),AM113/AL113,"")</f>
        <v>1.01670644391408</v>
      </c>
      <c r="AO113" s="43" t="n">
        <v>10.4</v>
      </c>
      <c r="AP113" s="43" t="n">
        <v>24</v>
      </c>
      <c r="AQ113" s="25" t="n">
        <f aca="false">IF(AND(ISNUMBER(AP113),ISNUMBER(AO113),AO113&gt;=5),AP113/AO113,"")</f>
        <v>2.30769230769231</v>
      </c>
      <c r="AR113" s="43" t="n">
        <v>64.5</v>
      </c>
      <c r="AS113" s="43" t="n">
        <v>46</v>
      </c>
      <c r="AT113" s="22" t="n">
        <f aca="false">IF(AND(ISNUMBER(AS113),ISNUMBER(AR113),AR113&gt;0),AS113/AR113-1,"")</f>
        <v>-0.286821705426357</v>
      </c>
      <c r="AU113" s="44"/>
      <c r="AV113" s="44"/>
      <c r="AW113" s="44"/>
      <c r="AX113" s="44"/>
      <c r="AY113" s="44"/>
      <c r="AZ113" s="45"/>
      <c r="BA113" s="45"/>
      <c r="BB113" s="46"/>
      <c r="BC113" s="46"/>
      <c r="BD113" s="23" t="str">
        <f aca="false">IF(AND(ISNUMBER(BB113),ISNUMBER(BC113),BB113&gt;0),1-BC113/BB113,"")</f>
        <v/>
      </c>
      <c r="BE113" s="47"/>
      <c r="BF113" s="48"/>
      <c r="BG113" s="48"/>
      <c r="BH113" s="27" t="str">
        <f aca="false">IF(AND(ISNUMBER(BF113),ISNUMBER(BG113),BG113&gt;0),BF113/BG113,"")</f>
        <v/>
      </c>
      <c r="BI113" s="48"/>
      <c r="BJ113" s="44"/>
      <c r="BK113" s="46"/>
      <c r="BL113" s="46"/>
      <c r="BM113" s="36" t="str">
        <f aca="false">IF(ISNUMBER(Q113),IF(Q113&lt;0,"YES","no"),"")</f>
        <v>YES</v>
      </c>
      <c r="BN113" s="36" t="str">
        <f aca="false">IFERROR(IF(AND(ISNUMBER(K113),ISNUMBER(INDEX('Lift Inputs'!$H:$H,MATCH(C113,'Lift Inputs'!$C:$C,0)))),IF(K113&lt;INDEX('Lift Inputs'!$H:$H,MATCH(C113,'Lift Inputs'!$C:$C,0)),"YES","no"),""),"")</f>
        <v/>
      </c>
      <c r="BO113" s="44"/>
    </row>
    <row r="114" customFormat="false" ht="15" hidden="false" customHeight="false" outlineLevel="0" collapsed="false">
      <c r="A114" s="15" t="s">
        <v>37</v>
      </c>
      <c r="B114" s="15" t="s">
        <v>55</v>
      </c>
      <c r="C114" s="15" t="n">
        <v>32</v>
      </c>
      <c r="D114" s="15" t="s">
        <v>200</v>
      </c>
      <c r="E114" s="15" t="n">
        <v>22</v>
      </c>
      <c r="F114" s="15" t="s">
        <v>349</v>
      </c>
      <c r="G114" s="15" t="s">
        <v>366</v>
      </c>
      <c r="H114" s="15" t="s">
        <v>367</v>
      </c>
      <c r="I114" s="15" t="s">
        <v>368</v>
      </c>
      <c r="J114" s="15" t="s">
        <v>177</v>
      </c>
      <c r="K114" s="35" t="n">
        <v>59.99</v>
      </c>
      <c r="L114" s="35"/>
      <c r="M114" s="23" t="str">
        <f aca="false">IF(AND(ISNUMBER(L114),ISNUMBER(K114),K114&gt;0),L114/K114-1,"")</f>
        <v/>
      </c>
      <c r="N114" s="36" t="str">
        <f aca="false">IF(M114="","No List Price",IF(M114&lt;=0,"At/below price",IF(M114&lt;=0.12,"&lt;=12% (STR zone)",IF(M114&lt;=0.25,"12-25%","&gt;25% (likely ignored)"))))</f>
        <v>No List Price</v>
      </c>
      <c r="O114" s="15" t="s">
        <v>311</v>
      </c>
      <c r="P114" s="35" t="n">
        <v>64.99</v>
      </c>
      <c r="Q114" s="22" t="n">
        <f aca="false">IF(AND(ISNUMBER(K114),ISNUMBER(P114),N(P114)&gt;0),K114/P114-1,"")</f>
        <v>-0.0769349130635482</v>
      </c>
      <c r="R114" s="15" t="s">
        <v>312</v>
      </c>
      <c r="S114" s="37" t="n">
        <v>23979</v>
      </c>
      <c r="T114" s="37" t="n">
        <v>81</v>
      </c>
      <c r="U114" s="38" t="n">
        <f aca="false">IF(AND(ISNUMBER(K114),ISNUMBER(T114)),K114*T114*52/12,"")</f>
        <v>21056.49</v>
      </c>
      <c r="V114" s="15" t="n">
        <v>4.5</v>
      </c>
      <c r="W114" s="37" t="n">
        <v>3911</v>
      </c>
      <c r="X114" s="39" t="n">
        <v>46307</v>
      </c>
      <c r="Y114" s="15" t="n">
        <v>42</v>
      </c>
      <c r="Z114" s="40" t="n">
        <v>45740</v>
      </c>
      <c r="AA114" s="41" t="n">
        <f aca="false">IF(ISNUMBER(Z114),(DATE(2026,10,13)-Z114)/365,"")</f>
        <v>1.55616438356164</v>
      </c>
      <c r="AB114" s="37" t="n">
        <v>1814</v>
      </c>
      <c r="AC114" s="15" t="s">
        <v>313</v>
      </c>
      <c r="AD114" s="15" t="n">
        <v>1</v>
      </c>
      <c r="AE114" s="15" t="s">
        <v>331</v>
      </c>
      <c r="AF114" s="42" t="n">
        <v>0</v>
      </c>
      <c r="AG114" s="42" t="n">
        <v>0</v>
      </c>
      <c r="AH114" s="15" t="n">
        <v>278</v>
      </c>
      <c r="AI114" s="37" t="n">
        <v>114504</v>
      </c>
      <c r="AJ114" s="37" t="n">
        <v>947</v>
      </c>
      <c r="AK114" s="15" t="s">
        <v>326</v>
      </c>
      <c r="AL114" s="43" t="n">
        <v>431.4</v>
      </c>
      <c r="AM114" s="43" t="n">
        <v>472.5</v>
      </c>
      <c r="AN114" s="25" t="n">
        <f aca="false">IF(AND(ISNUMBER(AM114),ISNUMBER(AL114),AL114&gt;=5),AM114/AL114,"")</f>
        <v>1.09527121001391</v>
      </c>
      <c r="AO114" s="43" t="n">
        <v>13.8</v>
      </c>
      <c r="AP114" s="43" t="n">
        <v>16.5</v>
      </c>
      <c r="AQ114" s="25" t="n">
        <f aca="false">IF(AND(ISNUMBER(AP114),ISNUMBER(AO114),AO114&gt;=5),AP114/AO114,"")</f>
        <v>1.19565217391304</v>
      </c>
      <c r="AR114" s="43" t="n">
        <v>365.3</v>
      </c>
      <c r="AS114" s="43" t="n">
        <v>327.3</v>
      </c>
      <c r="AT114" s="22" t="n">
        <f aca="false">IF(AND(ISNUMBER(AS114),ISNUMBER(AR114),AR114&gt;0),AS114/AR114-1,"")</f>
        <v>-0.104024089789214</v>
      </c>
      <c r="AU114" s="44"/>
      <c r="AV114" s="44"/>
      <c r="AW114" s="44"/>
      <c r="AX114" s="44"/>
      <c r="AY114" s="44"/>
      <c r="AZ114" s="45"/>
      <c r="BA114" s="45"/>
      <c r="BB114" s="46"/>
      <c r="BC114" s="46"/>
      <c r="BD114" s="23" t="str">
        <f aca="false">IF(AND(ISNUMBER(BB114),ISNUMBER(BC114),BB114&gt;0),1-BC114/BB114,"")</f>
        <v/>
      </c>
      <c r="BE114" s="47"/>
      <c r="BF114" s="48"/>
      <c r="BG114" s="48"/>
      <c r="BH114" s="27" t="str">
        <f aca="false">IF(AND(ISNUMBER(BF114),ISNUMBER(BG114),BG114&gt;0),BF114/BG114,"")</f>
        <v/>
      </c>
      <c r="BI114" s="48"/>
      <c r="BJ114" s="44"/>
      <c r="BK114" s="46"/>
      <c r="BL114" s="46"/>
      <c r="BM114" s="36" t="str">
        <f aca="false">IF(ISNUMBER(Q114),IF(Q114&lt;0,"YES","no"),"")</f>
        <v>YES</v>
      </c>
      <c r="BN114" s="36" t="str">
        <f aca="false">IFERROR(IF(AND(ISNUMBER(K114),ISNUMBER(INDEX('Lift Inputs'!$H:$H,MATCH(C114,'Lift Inputs'!$C:$C,0)))),IF(K114&lt;INDEX('Lift Inputs'!$H:$H,MATCH(C114,'Lift Inputs'!$C:$C,0)),"YES","no"),""),"")</f>
        <v/>
      </c>
      <c r="BO114" s="44"/>
    </row>
    <row r="115" customFormat="false" ht="15" hidden="false" customHeight="false" outlineLevel="0" collapsed="false">
      <c r="A115" s="15" t="s">
        <v>37</v>
      </c>
      <c r="B115" s="15" t="s">
        <v>55</v>
      </c>
      <c r="C115" s="15" t="n">
        <v>32</v>
      </c>
      <c r="D115" s="15" t="s">
        <v>200</v>
      </c>
      <c r="E115" s="15" t="n">
        <v>1510</v>
      </c>
      <c r="F115" s="15" t="s">
        <v>373</v>
      </c>
      <c r="G115" s="15" t="s">
        <v>374</v>
      </c>
      <c r="H115" s="15" t="s">
        <v>375</v>
      </c>
      <c r="I115" s="15" t="s">
        <v>352</v>
      </c>
      <c r="J115" s="15" t="s">
        <v>177</v>
      </c>
      <c r="K115" s="35" t="n">
        <v>55</v>
      </c>
      <c r="L115" s="35"/>
      <c r="M115" s="23" t="str">
        <f aca="false">IF(AND(ISNUMBER(L115),ISNUMBER(K115),K115&gt;0),L115/K115-1,"")</f>
        <v/>
      </c>
      <c r="N115" s="36" t="str">
        <f aca="false">IF(M115="","No List Price",IF(M115&lt;=0,"At/below price",IF(M115&lt;=0.12,"&lt;=12% (STR zone)",IF(M115&lt;=0.25,"12-25%","&gt;25% (likely ignored)"))))</f>
        <v>No List Price</v>
      </c>
      <c r="O115" s="15"/>
      <c r="P115" s="35" t="n">
        <v>64.99</v>
      </c>
      <c r="Q115" s="22" t="n">
        <f aca="false">IF(AND(ISNUMBER(K115),ISNUMBER(P115),N(P115)&gt;0),K115/P115-1,"")</f>
        <v>-0.153715956300969</v>
      </c>
      <c r="R115" s="15" t="s">
        <v>353</v>
      </c>
      <c r="S115" s="37" t="n">
        <v>4051</v>
      </c>
      <c r="T115" s="37" t="n">
        <v>35</v>
      </c>
      <c r="U115" s="38" t="n">
        <f aca="false">IF(AND(ISNUMBER(K115),ISNUMBER(T115)),K115*T115*52/12,"")</f>
        <v>8341.66666666667</v>
      </c>
      <c r="V115" s="15" t="n">
        <v>4.4</v>
      </c>
      <c r="W115" s="37" t="n">
        <v>1909</v>
      </c>
      <c r="X115" s="39" t="n">
        <v>46307</v>
      </c>
      <c r="Y115" s="15"/>
      <c r="Z115" s="40"/>
      <c r="AA115" s="41" t="str">
        <f aca="false">IF(ISNUMBER(Z115),(DATE(2026,10,13)-Z115)/365,"")</f>
        <v/>
      </c>
      <c r="AB115" s="37"/>
      <c r="AC115" s="15"/>
      <c r="AD115" s="15"/>
      <c r="AE115" s="15"/>
      <c r="AF115" s="42"/>
      <c r="AG115" s="42"/>
      <c r="AH115" s="15"/>
      <c r="AI115" s="37" t="n">
        <v>171534</v>
      </c>
      <c r="AJ115" s="37" t="n">
        <v>2682</v>
      </c>
      <c r="AK115" s="15"/>
      <c r="AL115" s="43"/>
      <c r="AM115" s="43"/>
      <c r="AN115" s="25" t="str">
        <f aca="false">IF(AND(ISNUMBER(AM115),ISNUMBER(AL115),AL115&gt;=5),AM115/AL115,"")</f>
        <v/>
      </c>
      <c r="AO115" s="43"/>
      <c r="AP115" s="43"/>
      <c r="AQ115" s="25" t="str">
        <f aca="false">IF(AND(ISNUMBER(AP115),ISNUMBER(AO115),AO115&gt;=5),AP115/AO115,"")</f>
        <v/>
      </c>
      <c r="AR115" s="43"/>
      <c r="AS115" s="43"/>
      <c r="AT115" s="22" t="str">
        <f aca="false">IF(AND(ISNUMBER(AS115),ISNUMBER(AR115),AR115&gt;0),AS115/AR115-1,"")</f>
        <v/>
      </c>
      <c r="AU115" s="44"/>
      <c r="AV115" s="44"/>
      <c r="AW115" s="44"/>
      <c r="AX115" s="44"/>
      <c r="AY115" s="44"/>
      <c r="AZ115" s="45"/>
      <c r="BA115" s="45"/>
      <c r="BB115" s="46"/>
      <c r="BC115" s="46"/>
      <c r="BD115" s="23" t="str">
        <f aca="false">IF(AND(ISNUMBER(BB115),ISNUMBER(BC115),BB115&gt;0),1-BC115/BB115,"")</f>
        <v/>
      </c>
      <c r="BE115" s="47"/>
      <c r="BF115" s="48"/>
      <c r="BG115" s="48"/>
      <c r="BH115" s="27" t="str">
        <f aca="false">IF(AND(ISNUMBER(BF115),ISNUMBER(BG115),BG115&gt;0),BF115/BG115,"")</f>
        <v/>
      </c>
      <c r="BI115" s="48"/>
      <c r="BJ115" s="44"/>
      <c r="BK115" s="46"/>
      <c r="BL115" s="46"/>
      <c r="BM115" s="36" t="str">
        <f aca="false">IF(ISNUMBER(Q115),IF(Q115&lt;0,"YES","no"),"")</f>
        <v>YES</v>
      </c>
      <c r="BN115" s="36" t="str">
        <f aca="false">IFERROR(IF(AND(ISNUMBER(K115),ISNUMBER(INDEX('Lift Inputs'!$H:$H,MATCH(C115,'Lift Inputs'!$C:$C,0)))),IF(K115&lt;INDEX('Lift Inputs'!$H:$H,MATCH(C115,'Lift Inputs'!$C:$C,0)),"YES","no"),""),"")</f>
        <v/>
      </c>
      <c r="BO115" s="44"/>
    </row>
    <row r="116" customFormat="false" ht="15" hidden="false" customHeight="false" outlineLevel="0" collapsed="false">
      <c r="A116" s="15" t="s">
        <v>37</v>
      </c>
      <c r="B116" s="15" t="s">
        <v>55</v>
      </c>
      <c r="C116" s="15" t="n">
        <v>32</v>
      </c>
      <c r="D116" s="15" t="s">
        <v>200</v>
      </c>
      <c r="E116" s="15" t="n">
        <v>1516</v>
      </c>
      <c r="F116" s="15" t="s">
        <v>415</v>
      </c>
      <c r="G116" s="15" t="s">
        <v>416</v>
      </c>
      <c r="H116" s="15" t="s">
        <v>417</v>
      </c>
      <c r="I116" s="15" t="s">
        <v>352</v>
      </c>
      <c r="J116" s="15" t="s">
        <v>178</v>
      </c>
      <c r="K116" s="35" t="n">
        <v>74.99</v>
      </c>
      <c r="L116" s="35" t="n">
        <v>79.99</v>
      </c>
      <c r="M116" s="23" t="n">
        <f aca="false">IF(AND(ISNUMBER(L116),ISNUMBER(K116),K116&gt;0),L116/K116-1,"")</f>
        <v>0.0666755567408988</v>
      </c>
      <c r="N116" s="36" t="str">
        <f aca="false">IF(M116="","No List Price",IF(M116&lt;=0,"At/below price",IF(M116&lt;=0.12,"&lt;=12% (STR zone)",IF(M116&lt;=0.25,"12-25%","&gt;25% (likely ignored)"))))</f>
        <v>&lt;=12% (STR zone)</v>
      </c>
      <c r="O116" s="15"/>
      <c r="P116" s="35" t="n">
        <v>64.99</v>
      </c>
      <c r="Q116" s="22" t="n">
        <f aca="false">IF(AND(ISNUMBER(K116),ISNUMBER(P116),N(P116)&gt;0),K116/P116-1,"")</f>
        <v>0.153869826127097</v>
      </c>
      <c r="R116" s="15" t="s">
        <v>353</v>
      </c>
      <c r="S116" s="37" t="n">
        <v>39296</v>
      </c>
      <c r="T116" s="37" t="n">
        <v>81</v>
      </c>
      <c r="U116" s="38" t="n">
        <f aca="false">IF(AND(ISNUMBER(K116),ISNUMBER(T116)),K116*T116*52/12,"")</f>
        <v>26321.49</v>
      </c>
      <c r="V116" s="15" t="n">
        <v>4.6</v>
      </c>
      <c r="W116" s="37" t="n">
        <v>121</v>
      </c>
      <c r="X116" s="39" t="n">
        <v>46307</v>
      </c>
      <c r="Y116" s="15"/>
      <c r="Z116" s="40"/>
      <c r="AA116" s="41" t="str">
        <f aca="false">IF(ISNUMBER(Z116),(DATE(2026,10,13)-Z116)/365,"")</f>
        <v/>
      </c>
      <c r="AB116" s="37"/>
      <c r="AC116" s="15"/>
      <c r="AD116" s="15"/>
      <c r="AE116" s="15"/>
      <c r="AF116" s="42"/>
      <c r="AG116" s="42"/>
      <c r="AH116" s="15"/>
      <c r="AI116" s="37"/>
      <c r="AJ116" s="37"/>
      <c r="AK116" s="15"/>
      <c r="AL116" s="43"/>
      <c r="AM116" s="43"/>
      <c r="AN116" s="25" t="str">
        <f aca="false">IF(AND(ISNUMBER(AM116),ISNUMBER(AL116),AL116&gt;=5),AM116/AL116,"")</f>
        <v/>
      </c>
      <c r="AO116" s="43"/>
      <c r="AP116" s="43"/>
      <c r="AQ116" s="25" t="str">
        <f aca="false">IF(AND(ISNUMBER(AP116),ISNUMBER(AO116),AO116&gt;=5),AP116/AO116,"")</f>
        <v/>
      </c>
      <c r="AR116" s="43"/>
      <c r="AS116" s="43"/>
      <c r="AT116" s="22" t="str">
        <f aca="false">IF(AND(ISNUMBER(AS116),ISNUMBER(AR116),AR116&gt;0),AS116/AR116-1,"")</f>
        <v/>
      </c>
      <c r="AU116" s="44"/>
      <c r="AV116" s="44"/>
      <c r="AW116" s="44"/>
      <c r="AX116" s="44"/>
      <c r="AY116" s="44"/>
      <c r="AZ116" s="45"/>
      <c r="BA116" s="45"/>
      <c r="BB116" s="46"/>
      <c r="BC116" s="46"/>
      <c r="BD116" s="23" t="str">
        <f aca="false">IF(AND(ISNUMBER(BB116),ISNUMBER(BC116),BB116&gt;0),1-BC116/BB116,"")</f>
        <v/>
      </c>
      <c r="BE116" s="47"/>
      <c r="BF116" s="48"/>
      <c r="BG116" s="48"/>
      <c r="BH116" s="27" t="str">
        <f aca="false">IF(AND(ISNUMBER(BF116),ISNUMBER(BG116),BG116&gt;0),BF116/BG116,"")</f>
        <v/>
      </c>
      <c r="BI116" s="48"/>
      <c r="BJ116" s="44"/>
      <c r="BK116" s="46"/>
      <c r="BL116" s="46"/>
      <c r="BM116" s="36" t="str">
        <f aca="false">IF(ISNUMBER(Q116),IF(Q116&lt;0,"YES","no"),"")</f>
        <v>no</v>
      </c>
      <c r="BN116" s="36" t="str">
        <f aca="false">IFERROR(IF(AND(ISNUMBER(K116),ISNUMBER(INDEX('Lift Inputs'!$H:$H,MATCH(C116,'Lift Inputs'!$C:$C,0)))),IF(K116&lt;INDEX('Lift Inputs'!$H:$H,MATCH(C116,'Lift Inputs'!$C:$C,0)),"YES","no"),""),"")</f>
        <v/>
      </c>
      <c r="BO116" s="44"/>
    </row>
    <row r="117" customFormat="false" ht="15" hidden="false" customHeight="false" outlineLevel="0" collapsed="false">
      <c r="A117" s="15" t="s">
        <v>37</v>
      </c>
      <c r="B117" s="15" t="s">
        <v>55</v>
      </c>
      <c r="C117" s="15" t="n">
        <v>32</v>
      </c>
      <c r="D117" s="15" t="s">
        <v>200</v>
      </c>
      <c r="E117" s="15" t="n">
        <v>1519</v>
      </c>
      <c r="F117" s="15" t="s">
        <v>418</v>
      </c>
      <c r="G117" s="15" t="s">
        <v>419</v>
      </c>
      <c r="H117" s="15" t="s">
        <v>420</v>
      </c>
      <c r="I117" s="15" t="s">
        <v>421</v>
      </c>
      <c r="J117" s="15" t="s">
        <v>178</v>
      </c>
      <c r="K117" s="35" t="n">
        <v>107.1</v>
      </c>
      <c r="L117" s="35"/>
      <c r="M117" s="23" t="str">
        <f aca="false">IF(AND(ISNUMBER(L117),ISNUMBER(K117),K117&gt;0),L117/K117-1,"")</f>
        <v/>
      </c>
      <c r="N117" s="36" t="str">
        <f aca="false">IF(M117="","No List Price",IF(M117&lt;=0,"At/below price",IF(M117&lt;=0.12,"&lt;=12% (STR zone)",IF(M117&lt;=0.25,"12-25%","&gt;25% (likely ignored)"))))</f>
        <v>No List Price</v>
      </c>
      <c r="O117" s="15" t="s">
        <v>311</v>
      </c>
      <c r="P117" s="35" t="n">
        <v>64.99</v>
      </c>
      <c r="Q117" s="22" t="n">
        <f aca="false">IF(AND(ISNUMBER(K117),ISNUMBER(P117),N(P117)&gt;0),K117/P117-1,"")</f>
        <v>0.647945837821203</v>
      </c>
      <c r="R117" s="15" t="s">
        <v>312</v>
      </c>
      <c r="S117" s="37" t="n">
        <v>15882</v>
      </c>
      <c r="T117" s="37" t="n">
        <v>81</v>
      </c>
      <c r="U117" s="38" t="n">
        <f aca="false">IF(AND(ISNUMBER(K117),ISNUMBER(T117)),K117*T117*52/12,"")</f>
        <v>37592.1</v>
      </c>
      <c r="V117" s="15" t="n">
        <v>4.4</v>
      </c>
      <c r="W117" s="37" t="n">
        <v>426</v>
      </c>
      <c r="X117" s="39" t="n">
        <v>46307</v>
      </c>
      <c r="Y117" s="15" t="n">
        <v>35</v>
      </c>
      <c r="Z117" s="40" t="n">
        <v>45575</v>
      </c>
      <c r="AA117" s="41" t="n">
        <f aca="false">IF(ISNUMBER(Z117),(DATE(2026,10,13)-Z117)/365,"")</f>
        <v>2.00821917808219</v>
      </c>
      <c r="AB117" s="37" t="n">
        <v>2442</v>
      </c>
      <c r="AC117" s="15" t="s">
        <v>313</v>
      </c>
      <c r="AD117" s="15" t="n">
        <v>1</v>
      </c>
      <c r="AE117" s="15" t="s">
        <v>314</v>
      </c>
      <c r="AF117" s="42" t="n">
        <v>0</v>
      </c>
      <c r="AG117" s="42" t="n">
        <v>0</v>
      </c>
      <c r="AH117" s="15" t="n">
        <v>231</v>
      </c>
      <c r="AI117" s="37"/>
      <c r="AJ117" s="37"/>
      <c r="AK117" s="15"/>
      <c r="AL117" s="43"/>
      <c r="AM117" s="43"/>
      <c r="AN117" s="25" t="str">
        <f aca="false">IF(AND(ISNUMBER(AM117),ISNUMBER(AL117),AL117&gt;=5),AM117/AL117,"")</f>
        <v/>
      </c>
      <c r="AO117" s="43"/>
      <c r="AP117" s="43"/>
      <c r="AQ117" s="25" t="str">
        <f aca="false">IF(AND(ISNUMBER(AP117),ISNUMBER(AO117),AO117&gt;=5),AP117/AO117,"")</f>
        <v/>
      </c>
      <c r="AR117" s="43"/>
      <c r="AS117" s="43"/>
      <c r="AT117" s="22" t="str">
        <f aca="false">IF(AND(ISNUMBER(AS117),ISNUMBER(AR117),AR117&gt;0),AS117/AR117-1,"")</f>
        <v/>
      </c>
      <c r="AU117" s="44"/>
      <c r="AV117" s="44"/>
      <c r="AW117" s="44"/>
      <c r="AX117" s="44"/>
      <c r="AY117" s="44"/>
      <c r="AZ117" s="45"/>
      <c r="BA117" s="45"/>
      <c r="BB117" s="46"/>
      <c r="BC117" s="46"/>
      <c r="BD117" s="23" t="str">
        <f aca="false">IF(AND(ISNUMBER(BB117),ISNUMBER(BC117),BB117&gt;0),1-BC117/BB117,"")</f>
        <v/>
      </c>
      <c r="BE117" s="47"/>
      <c r="BF117" s="48"/>
      <c r="BG117" s="48"/>
      <c r="BH117" s="27" t="str">
        <f aca="false">IF(AND(ISNUMBER(BF117),ISNUMBER(BG117),BG117&gt;0),BF117/BG117,"")</f>
        <v/>
      </c>
      <c r="BI117" s="48"/>
      <c r="BJ117" s="44"/>
      <c r="BK117" s="46"/>
      <c r="BL117" s="46"/>
      <c r="BM117" s="36" t="str">
        <f aca="false">IF(ISNUMBER(Q117),IF(Q117&lt;0,"YES","no"),"")</f>
        <v>no</v>
      </c>
      <c r="BN117" s="36" t="str">
        <f aca="false">IFERROR(IF(AND(ISNUMBER(K117),ISNUMBER(INDEX('Lift Inputs'!$H:$H,MATCH(C117,'Lift Inputs'!$C:$C,0)))),IF(K117&lt;INDEX('Lift Inputs'!$H:$H,MATCH(C117,'Lift Inputs'!$C:$C,0)),"YES","no"),""),"")</f>
        <v/>
      </c>
      <c r="BO117" s="44"/>
    </row>
    <row r="118" customFormat="false" ht="15" hidden="false" customHeight="false" outlineLevel="0" collapsed="false">
      <c r="A118" s="15" t="s">
        <v>37</v>
      </c>
      <c r="B118" s="15" t="s">
        <v>55</v>
      </c>
      <c r="C118" s="15" t="n">
        <v>32</v>
      </c>
      <c r="D118" s="15" t="s">
        <v>200</v>
      </c>
      <c r="E118" s="15" t="n">
        <v>1508</v>
      </c>
      <c r="F118" s="15" t="s">
        <v>422</v>
      </c>
      <c r="G118" s="15" t="s">
        <v>423</v>
      </c>
      <c r="H118" s="15" t="s">
        <v>424</v>
      </c>
      <c r="I118" s="15" t="s">
        <v>425</v>
      </c>
      <c r="J118" s="15" t="s">
        <v>178</v>
      </c>
      <c r="K118" s="35" t="n">
        <v>69.99</v>
      </c>
      <c r="L118" s="35"/>
      <c r="M118" s="23" t="str">
        <f aca="false">IF(AND(ISNUMBER(L118),ISNUMBER(K118),K118&gt;0),L118/K118-1,"")</f>
        <v/>
      </c>
      <c r="N118" s="36" t="str">
        <f aca="false">IF(M118="","No List Price",IF(M118&lt;=0,"At/below price",IF(M118&lt;=0.12,"&lt;=12% (STR zone)",IF(M118&lt;=0.25,"12-25%","&gt;25% (likely ignored)"))))</f>
        <v>No List Price</v>
      </c>
      <c r="O118" s="15" t="s">
        <v>320</v>
      </c>
      <c r="P118" s="35" t="n">
        <v>69.99</v>
      </c>
      <c r="Q118" s="22" t="n">
        <f aca="false">IF(AND(ISNUMBER(K118),ISNUMBER(P118),N(P118)&gt;0),K118/P118-1,"")</f>
        <v>0</v>
      </c>
      <c r="R118" s="15" t="s">
        <v>321</v>
      </c>
      <c r="S118" s="37" t="n">
        <v>33423</v>
      </c>
      <c r="T118" s="37" t="n">
        <v>35</v>
      </c>
      <c r="U118" s="38" t="n">
        <f aca="false">IF(AND(ISNUMBER(K118),ISNUMBER(T118)),K118*T118*52/12,"")</f>
        <v>10615.15</v>
      </c>
      <c r="V118" s="15" t="n">
        <v>4.4</v>
      </c>
      <c r="W118" s="37" t="n">
        <v>1040</v>
      </c>
      <c r="X118" s="39" t="n">
        <v>46307</v>
      </c>
      <c r="Y118" s="15" t="n">
        <v>51</v>
      </c>
      <c r="Z118" s="40" t="n">
        <v>44681</v>
      </c>
      <c r="AA118" s="41" t="n">
        <f aca="false">IF(ISNUMBER(Z118),(DATE(2026,10,13)-Z118)/365,"")</f>
        <v>4.45753424657534</v>
      </c>
      <c r="AB118" s="37" t="n">
        <v>1349</v>
      </c>
      <c r="AC118" s="15" t="s">
        <v>313</v>
      </c>
      <c r="AD118" s="15" t="n">
        <v>1</v>
      </c>
      <c r="AE118" s="15" t="s">
        <v>331</v>
      </c>
      <c r="AF118" s="42" t="n">
        <v>0</v>
      </c>
      <c r="AG118" s="42" t="n">
        <v>0</v>
      </c>
      <c r="AH118" s="15" t="n">
        <v>152</v>
      </c>
      <c r="AI118" s="37"/>
      <c r="AJ118" s="37"/>
      <c r="AK118" s="15"/>
      <c r="AL118" s="43"/>
      <c r="AM118" s="43"/>
      <c r="AN118" s="25" t="str">
        <f aca="false">IF(AND(ISNUMBER(AM118),ISNUMBER(AL118),AL118&gt;=5),AM118/AL118,"")</f>
        <v/>
      </c>
      <c r="AO118" s="43"/>
      <c r="AP118" s="43"/>
      <c r="AQ118" s="25" t="str">
        <f aca="false">IF(AND(ISNUMBER(AP118),ISNUMBER(AO118),AO118&gt;=5),AP118/AO118,"")</f>
        <v/>
      </c>
      <c r="AR118" s="43"/>
      <c r="AS118" s="43"/>
      <c r="AT118" s="22" t="str">
        <f aca="false">IF(AND(ISNUMBER(AS118),ISNUMBER(AR118),AR118&gt;0),AS118/AR118-1,"")</f>
        <v/>
      </c>
      <c r="AU118" s="44"/>
      <c r="AV118" s="44"/>
      <c r="AW118" s="44"/>
      <c r="AX118" s="44"/>
      <c r="AY118" s="44"/>
      <c r="AZ118" s="45"/>
      <c r="BA118" s="45"/>
      <c r="BB118" s="46"/>
      <c r="BC118" s="46"/>
      <c r="BD118" s="23" t="str">
        <f aca="false">IF(AND(ISNUMBER(BB118),ISNUMBER(BC118),BB118&gt;0),1-BC118/BB118,"")</f>
        <v/>
      </c>
      <c r="BE118" s="47"/>
      <c r="BF118" s="48"/>
      <c r="BG118" s="48"/>
      <c r="BH118" s="27" t="str">
        <f aca="false">IF(AND(ISNUMBER(BF118),ISNUMBER(BG118),BG118&gt;0),BF118/BG118,"")</f>
        <v/>
      </c>
      <c r="BI118" s="48"/>
      <c r="BJ118" s="44"/>
      <c r="BK118" s="46"/>
      <c r="BL118" s="46"/>
      <c r="BM118" s="36" t="str">
        <f aca="false">IF(ISNUMBER(Q118),IF(Q118&lt;0,"YES","no"),"")</f>
        <v>no</v>
      </c>
      <c r="BN118" s="36" t="str">
        <f aca="false">IFERROR(IF(AND(ISNUMBER(K118),ISNUMBER(INDEX('Lift Inputs'!$H:$H,MATCH(C118,'Lift Inputs'!$C:$C,0)))),IF(K118&lt;INDEX('Lift Inputs'!$H:$H,MATCH(C118,'Lift Inputs'!$C:$C,0)),"YES","no"),""),"")</f>
        <v/>
      </c>
      <c r="BO118" s="44"/>
    </row>
    <row r="119" customFormat="false" ht="15" hidden="false" customHeight="false" outlineLevel="0" collapsed="false">
      <c r="A119" s="15" t="s">
        <v>37</v>
      </c>
      <c r="B119" s="15" t="s">
        <v>55</v>
      </c>
      <c r="C119" s="15" t="n">
        <v>32</v>
      </c>
      <c r="D119" s="15" t="s">
        <v>200</v>
      </c>
      <c r="E119" s="15" t="n">
        <v>31</v>
      </c>
      <c r="F119" s="15" t="s">
        <v>426</v>
      </c>
      <c r="G119" s="15" t="s">
        <v>427</v>
      </c>
      <c r="H119" s="15" t="s">
        <v>428</v>
      </c>
      <c r="I119" s="15" t="s">
        <v>429</v>
      </c>
      <c r="J119" s="15" t="s">
        <v>178</v>
      </c>
      <c r="K119" s="35" t="n">
        <v>328</v>
      </c>
      <c r="L119" s="35"/>
      <c r="M119" s="23" t="str">
        <f aca="false">IF(AND(ISNUMBER(L119),ISNUMBER(K119),K119&gt;0),L119/K119-1,"")</f>
        <v/>
      </c>
      <c r="N119" s="36" t="str">
        <f aca="false">IF(M119="","No List Price",IF(M119&lt;=0,"At/below price",IF(M119&lt;=0.12,"&lt;=12% (STR zone)",IF(M119&lt;=0.25,"12-25%","&gt;25% (likely ignored)"))))</f>
        <v>No List Price</v>
      </c>
      <c r="O119" s="15"/>
      <c r="P119" s="35" t="n">
        <v>64.99</v>
      </c>
      <c r="Q119" s="22" t="n">
        <f aca="false">IF(AND(ISNUMBER(K119),ISNUMBER(P119),N(P119)&gt;0),K119/P119-1,"")</f>
        <v>4.04693029696877</v>
      </c>
      <c r="R119" s="15" t="s">
        <v>353</v>
      </c>
      <c r="S119" s="37" t="n">
        <v>45709</v>
      </c>
      <c r="T119" s="37" t="n">
        <v>35</v>
      </c>
      <c r="U119" s="38" t="n">
        <f aca="false">IF(AND(ISNUMBER(K119),ISNUMBER(T119)),K119*T119*52/12,"")</f>
        <v>49746.6666666667</v>
      </c>
      <c r="V119" s="15" t="n">
        <v>3.9</v>
      </c>
      <c r="W119" s="37" t="n">
        <v>425</v>
      </c>
      <c r="X119" s="39" t="n">
        <v>46307</v>
      </c>
      <c r="Y119" s="15" t="n">
        <v>54</v>
      </c>
      <c r="Z119" s="40" t="n">
        <v>41624</v>
      </c>
      <c r="AA119" s="41" t="n">
        <f aca="false">IF(ISNUMBER(Z119),(DATE(2026,10,13)-Z119)/365,"")</f>
        <v>12.8328767123288</v>
      </c>
      <c r="AB119" s="37" t="n">
        <v>875</v>
      </c>
      <c r="AC119" s="15" t="s">
        <v>313</v>
      </c>
      <c r="AD119" s="15" t="n">
        <v>2</v>
      </c>
      <c r="AE119" s="15" t="s">
        <v>314</v>
      </c>
      <c r="AF119" s="42" t="n">
        <v>0</v>
      </c>
      <c r="AG119" s="42" t="n">
        <v>0</v>
      </c>
      <c r="AH119" s="15" t="n">
        <v>93</v>
      </c>
      <c r="AI119" s="37"/>
      <c r="AJ119" s="37"/>
      <c r="AK119" s="15"/>
      <c r="AL119" s="43"/>
      <c r="AM119" s="43"/>
      <c r="AN119" s="25" t="str">
        <f aca="false">IF(AND(ISNUMBER(AM119),ISNUMBER(AL119),AL119&gt;=5),AM119/AL119,"")</f>
        <v/>
      </c>
      <c r="AO119" s="43"/>
      <c r="AP119" s="43"/>
      <c r="AQ119" s="25" t="str">
        <f aca="false">IF(AND(ISNUMBER(AP119),ISNUMBER(AO119),AO119&gt;=5),AP119/AO119,"")</f>
        <v/>
      </c>
      <c r="AR119" s="43"/>
      <c r="AS119" s="43"/>
      <c r="AT119" s="22" t="str">
        <f aca="false">IF(AND(ISNUMBER(AS119),ISNUMBER(AR119),AR119&gt;0),AS119/AR119-1,"")</f>
        <v/>
      </c>
      <c r="AU119" s="44"/>
      <c r="AV119" s="44"/>
      <c r="AW119" s="44"/>
      <c r="AX119" s="44"/>
      <c r="AY119" s="44"/>
      <c r="AZ119" s="45"/>
      <c r="BA119" s="45"/>
      <c r="BB119" s="46"/>
      <c r="BC119" s="46"/>
      <c r="BD119" s="23" t="str">
        <f aca="false">IF(AND(ISNUMBER(BB119),ISNUMBER(BC119),BB119&gt;0),1-BC119/BB119,"")</f>
        <v/>
      </c>
      <c r="BE119" s="47"/>
      <c r="BF119" s="48"/>
      <c r="BG119" s="48"/>
      <c r="BH119" s="27" t="str">
        <f aca="false">IF(AND(ISNUMBER(BF119),ISNUMBER(BG119),BG119&gt;0),BF119/BG119,"")</f>
        <v/>
      </c>
      <c r="BI119" s="48"/>
      <c r="BJ119" s="44"/>
      <c r="BK119" s="46"/>
      <c r="BL119" s="46"/>
      <c r="BM119" s="36" t="str">
        <f aca="false">IF(ISNUMBER(Q119),IF(Q119&lt;0,"YES","no"),"")</f>
        <v>no</v>
      </c>
      <c r="BN119" s="36" t="str">
        <f aca="false">IFERROR(IF(AND(ISNUMBER(K119),ISNUMBER(INDEX('Lift Inputs'!$H:$H,MATCH(C119,'Lift Inputs'!$C:$C,0)))),IF(K119&lt;INDEX('Lift Inputs'!$H:$H,MATCH(C119,'Lift Inputs'!$C:$C,0)),"YES","no"),""),"")</f>
        <v/>
      </c>
      <c r="BO119" s="44"/>
    </row>
    <row r="120" customFormat="false" ht="15" hidden="false" customHeight="false" outlineLevel="0" collapsed="false">
      <c r="A120" s="15" t="s">
        <v>37</v>
      </c>
      <c r="B120" s="15" t="s">
        <v>55</v>
      </c>
      <c r="C120" s="15" t="n">
        <v>32</v>
      </c>
      <c r="D120" s="15" t="s">
        <v>200</v>
      </c>
      <c r="E120" s="15" t="n">
        <v>1515</v>
      </c>
      <c r="F120" s="15" t="s">
        <v>430</v>
      </c>
      <c r="G120" s="15" t="s">
        <v>431</v>
      </c>
      <c r="H120" s="15" t="s">
        <v>432</v>
      </c>
      <c r="I120" s="15" t="s">
        <v>433</v>
      </c>
      <c r="J120" s="15" t="s">
        <v>178</v>
      </c>
      <c r="K120" s="35" t="n">
        <v>46.74</v>
      </c>
      <c r="L120" s="35" t="n">
        <v>59.99</v>
      </c>
      <c r="M120" s="23" t="n">
        <f aca="false">IF(AND(ISNUMBER(L120),ISNUMBER(K120),K120&gt;0),L120/K120-1,"")</f>
        <v>0.283483097988875</v>
      </c>
      <c r="N120" s="36" t="str">
        <f aca="false">IF(M120="","No List Price",IF(M120&lt;=0,"At/below price",IF(M120&lt;=0.12,"&lt;=12% (STR zone)",IF(M120&lt;=0.25,"12-25%","&gt;25% (likely ignored)"))))</f>
        <v>&gt;25% (likely ignored)</v>
      </c>
      <c r="O120" s="15" t="s">
        <v>320</v>
      </c>
      <c r="P120" s="35" t="n">
        <v>69.99</v>
      </c>
      <c r="Q120" s="22" t="n">
        <f aca="false">IF(AND(ISNUMBER(K120),ISNUMBER(P120),N(P120)&gt;0),K120/P120-1,"")</f>
        <v>-0.332190312901843</v>
      </c>
      <c r="R120" s="15" t="s">
        <v>321</v>
      </c>
      <c r="S120" s="37" t="n">
        <v>37217</v>
      </c>
      <c r="T120" s="37" t="n">
        <v>35</v>
      </c>
      <c r="U120" s="38" t="n">
        <f aca="false">IF(AND(ISNUMBER(K120),ISNUMBER(T120)),K120*T120*52/12,"")</f>
        <v>7088.9</v>
      </c>
      <c r="V120" s="15" t="n">
        <v>4.5</v>
      </c>
      <c r="W120" s="37" t="n">
        <v>2261</v>
      </c>
      <c r="X120" s="39" t="n">
        <v>46307</v>
      </c>
      <c r="Y120" s="15" t="n">
        <v>30</v>
      </c>
      <c r="Z120" s="40" t="n">
        <v>45146</v>
      </c>
      <c r="AA120" s="41" t="n">
        <f aca="false">IF(ISNUMBER(Z120),(DATE(2026,10,13)-Z120)/365,"")</f>
        <v>3.18356164383562</v>
      </c>
      <c r="AB120" s="37" t="n">
        <v>1260</v>
      </c>
      <c r="AC120" s="15" t="s">
        <v>313</v>
      </c>
      <c r="AD120" s="15" t="n">
        <v>2</v>
      </c>
      <c r="AE120" s="15" t="s">
        <v>314</v>
      </c>
      <c r="AF120" s="42" t="n">
        <v>0</v>
      </c>
      <c r="AG120" s="42" t="n">
        <v>0</v>
      </c>
      <c r="AH120" s="15" t="n">
        <v>222</v>
      </c>
      <c r="AI120" s="37"/>
      <c r="AJ120" s="37"/>
      <c r="AK120" s="15"/>
      <c r="AL120" s="43"/>
      <c r="AM120" s="43"/>
      <c r="AN120" s="25" t="str">
        <f aca="false">IF(AND(ISNUMBER(AM120),ISNUMBER(AL120),AL120&gt;=5),AM120/AL120,"")</f>
        <v/>
      </c>
      <c r="AO120" s="43"/>
      <c r="AP120" s="43"/>
      <c r="AQ120" s="25" t="str">
        <f aca="false">IF(AND(ISNUMBER(AP120),ISNUMBER(AO120),AO120&gt;=5),AP120/AO120,"")</f>
        <v/>
      </c>
      <c r="AR120" s="43"/>
      <c r="AS120" s="43"/>
      <c r="AT120" s="22" t="str">
        <f aca="false">IF(AND(ISNUMBER(AS120),ISNUMBER(AR120),AR120&gt;0),AS120/AR120-1,"")</f>
        <v/>
      </c>
      <c r="AU120" s="44"/>
      <c r="AV120" s="44"/>
      <c r="AW120" s="44"/>
      <c r="AX120" s="44"/>
      <c r="AY120" s="44"/>
      <c r="AZ120" s="45"/>
      <c r="BA120" s="45"/>
      <c r="BB120" s="46"/>
      <c r="BC120" s="46"/>
      <c r="BD120" s="23" t="str">
        <f aca="false">IF(AND(ISNUMBER(BB120),ISNUMBER(BC120),BB120&gt;0),1-BC120/BB120,"")</f>
        <v/>
      </c>
      <c r="BE120" s="47"/>
      <c r="BF120" s="48"/>
      <c r="BG120" s="48"/>
      <c r="BH120" s="27" t="str">
        <f aca="false">IF(AND(ISNUMBER(BF120),ISNUMBER(BG120),BG120&gt;0),BF120/BG120,"")</f>
        <v/>
      </c>
      <c r="BI120" s="48"/>
      <c r="BJ120" s="44"/>
      <c r="BK120" s="46"/>
      <c r="BL120" s="46"/>
      <c r="BM120" s="36" t="str">
        <f aca="false">IF(ISNUMBER(Q120),IF(Q120&lt;0,"YES","no"),"")</f>
        <v>YES</v>
      </c>
      <c r="BN120" s="36" t="str">
        <f aca="false">IFERROR(IF(AND(ISNUMBER(K120),ISNUMBER(INDEX('Lift Inputs'!$H:$H,MATCH(C120,'Lift Inputs'!$C:$C,0)))),IF(K120&lt;INDEX('Lift Inputs'!$H:$H,MATCH(C120,'Lift Inputs'!$C:$C,0)),"YES","no"),""),"")</f>
        <v/>
      </c>
      <c r="BO120" s="44"/>
    </row>
    <row r="121" customFormat="false" ht="15" hidden="false" customHeight="false" outlineLevel="0" collapsed="false">
      <c r="A121" s="15" t="s">
        <v>37</v>
      </c>
      <c r="B121" s="15" t="s">
        <v>55</v>
      </c>
      <c r="C121" s="15" t="n">
        <v>32</v>
      </c>
      <c r="D121" s="15" t="s">
        <v>200</v>
      </c>
      <c r="E121" s="15" t="n">
        <v>32</v>
      </c>
      <c r="F121" s="15" t="s">
        <v>434</v>
      </c>
      <c r="G121" s="15" t="s">
        <v>435</v>
      </c>
      <c r="H121" s="15" t="s">
        <v>436</v>
      </c>
      <c r="I121" s="15" t="s">
        <v>437</v>
      </c>
      <c r="J121" s="15" t="s">
        <v>178</v>
      </c>
      <c r="K121" s="35" t="n">
        <v>51.29</v>
      </c>
      <c r="L121" s="35" t="n">
        <v>62.99</v>
      </c>
      <c r="M121" s="23" t="n">
        <f aca="false">IF(AND(ISNUMBER(L121),ISNUMBER(K121),K121&gt;0),L121/K121-1,"")</f>
        <v>0.228114642230454</v>
      </c>
      <c r="N121" s="36" t="str">
        <f aca="false">IF(M121="","No List Price",IF(M121&lt;=0,"At/below price",IF(M121&lt;=0.12,"&lt;=12% (STR zone)",IF(M121&lt;=0.25,"12-25%","&gt;25% (likely ignored)"))))</f>
        <v>12-25%</v>
      </c>
      <c r="O121" s="15" t="s">
        <v>311</v>
      </c>
      <c r="P121" s="35" t="n">
        <v>64.99</v>
      </c>
      <c r="Q121" s="22" t="n">
        <f aca="false">IF(AND(ISNUMBER(K121),ISNUMBER(P121),N(P121)&gt;0),K121/P121-1,"")</f>
        <v>-0.210801661794122</v>
      </c>
      <c r="R121" s="15" t="s">
        <v>312</v>
      </c>
      <c r="S121" s="37" t="n">
        <v>33959</v>
      </c>
      <c r="T121" s="37" t="n">
        <v>35</v>
      </c>
      <c r="U121" s="38" t="n">
        <f aca="false">IF(AND(ISNUMBER(K121),ISNUMBER(T121)),K121*T121*52/12,"")</f>
        <v>7778.98333333333</v>
      </c>
      <c r="V121" s="15" t="n">
        <v>4.4</v>
      </c>
      <c r="W121" s="37" t="n">
        <v>674</v>
      </c>
      <c r="X121" s="39" t="n">
        <v>46307</v>
      </c>
      <c r="Y121" s="15" t="n">
        <v>74</v>
      </c>
      <c r="Z121" s="40" t="n">
        <v>45423</v>
      </c>
      <c r="AA121" s="41" t="n">
        <f aca="false">IF(ISNUMBER(Z121),(DATE(2026,10,13)-Z121)/365,"")</f>
        <v>2.42465753424658</v>
      </c>
      <c r="AB121" s="37" t="n">
        <v>2428</v>
      </c>
      <c r="AC121" s="15" t="s">
        <v>313</v>
      </c>
      <c r="AD121" s="15" t="n">
        <v>1</v>
      </c>
      <c r="AE121" s="15" t="s">
        <v>331</v>
      </c>
      <c r="AF121" s="42" t="n">
        <v>0</v>
      </c>
      <c r="AG121" s="42" t="n">
        <v>0</v>
      </c>
      <c r="AH121" s="15" t="n">
        <v>151</v>
      </c>
      <c r="AI121" s="37"/>
      <c r="AJ121" s="37"/>
      <c r="AK121" s="15"/>
      <c r="AL121" s="43"/>
      <c r="AM121" s="43"/>
      <c r="AN121" s="25" t="str">
        <f aca="false">IF(AND(ISNUMBER(AM121),ISNUMBER(AL121),AL121&gt;=5),AM121/AL121,"")</f>
        <v/>
      </c>
      <c r="AO121" s="43"/>
      <c r="AP121" s="43"/>
      <c r="AQ121" s="25" t="str">
        <f aca="false">IF(AND(ISNUMBER(AP121),ISNUMBER(AO121),AO121&gt;=5),AP121/AO121,"")</f>
        <v/>
      </c>
      <c r="AR121" s="43"/>
      <c r="AS121" s="43"/>
      <c r="AT121" s="22" t="str">
        <f aca="false">IF(AND(ISNUMBER(AS121),ISNUMBER(AR121),AR121&gt;0),AS121/AR121-1,"")</f>
        <v/>
      </c>
      <c r="AU121" s="44"/>
      <c r="AV121" s="44"/>
      <c r="AW121" s="44"/>
      <c r="AX121" s="44"/>
      <c r="AY121" s="44"/>
      <c r="AZ121" s="45"/>
      <c r="BA121" s="45"/>
      <c r="BB121" s="46"/>
      <c r="BC121" s="46"/>
      <c r="BD121" s="23" t="str">
        <f aca="false">IF(AND(ISNUMBER(BB121),ISNUMBER(BC121),BB121&gt;0),1-BC121/BB121,"")</f>
        <v/>
      </c>
      <c r="BE121" s="47"/>
      <c r="BF121" s="48"/>
      <c r="BG121" s="48"/>
      <c r="BH121" s="27" t="str">
        <f aca="false">IF(AND(ISNUMBER(BF121),ISNUMBER(BG121),BG121&gt;0),BF121/BG121,"")</f>
        <v/>
      </c>
      <c r="BI121" s="48"/>
      <c r="BJ121" s="44"/>
      <c r="BK121" s="46"/>
      <c r="BL121" s="46"/>
      <c r="BM121" s="36" t="str">
        <f aca="false">IF(ISNUMBER(Q121),IF(Q121&lt;0,"YES","no"),"")</f>
        <v>YES</v>
      </c>
      <c r="BN121" s="36" t="str">
        <f aca="false">IFERROR(IF(AND(ISNUMBER(K121),ISNUMBER(INDEX('Lift Inputs'!$H:$H,MATCH(C121,'Lift Inputs'!$C:$C,0)))),IF(K121&lt;INDEX('Lift Inputs'!$H:$H,MATCH(C121,'Lift Inputs'!$C:$C,0)),"YES","no"),""),"")</f>
        <v/>
      </c>
      <c r="BO121" s="44"/>
    </row>
    <row r="122" customFormat="false" ht="15" hidden="false" customHeight="false" outlineLevel="0" collapsed="false">
      <c r="A122" s="15" t="s">
        <v>37</v>
      </c>
      <c r="B122" s="15" t="s">
        <v>55</v>
      </c>
      <c r="C122" s="15" t="n">
        <v>32</v>
      </c>
      <c r="D122" s="15" t="s">
        <v>200</v>
      </c>
      <c r="E122" s="15" t="n">
        <v>1522</v>
      </c>
      <c r="F122" s="15" t="s">
        <v>438</v>
      </c>
      <c r="G122" s="15" t="s">
        <v>439</v>
      </c>
      <c r="H122" s="15" t="s">
        <v>439</v>
      </c>
      <c r="I122" s="15" t="s">
        <v>440</v>
      </c>
      <c r="J122" s="15" t="s">
        <v>178</v>
      </c>
      <c r="K122" s="35" t="n">
        <v>46.66</v>
      </c>
      <c r="L122" s="35" t="n">
        <v>54.9</v>
      </c>
      <c r="M122" s="23" t="n">
        <f aca="false">IF(AND(ISNUMBER(L122),ISNUMBER(K122),K122&gt;0),L122/K122-1,"")</f>
        <v>0.176596656665238</v>
      </c>
      <c r="N122" s="36" t="str">
        <f aca="false">IF(M122="","No List Price",IF(M122&lt;=0,"At/below price",IF(M122&lt;=0.12,"&lt;=12% (STR zone)",IF(M122&lt;=0.25,"12-25%","&gt;25% (likely ignored)"))))</f>
        <v>12-25%</v>
      </c>
      <c r="O122" s="15" t="s">
        <v>311</v>
      </c>
      <c r="P122" s="35" t="n">
        <v>64.99</v>
      </c>
      <c r="Q122" s="22" t="n">
        <f aca="false">IF(AND(ISNUMBER(K122),ISNUMBER(P122),N(P122)&gt;0),K122/P122-1,"")</f>
        <v>-0.282043391290968</v>
      </c>
      <c r="R122" s="15" t="s">
        <v>312</v>
      </c>
      <c r="S122" s="37" t="n">
        <v>26043</v>
      </c>
      <c r="T122" s="37" t="n">
        <v>35</v>
      </c>
      <c r="U122" s="38" t="n">
        <f aca="false">IF(AND(ISNUMBER(K122),ISNUMBER(T122)),K122*T122*52/12,"")</f>
        <v>7076.76666666667</v>
      </c>
      <c r="V122" s="15" t="n">
        <v>4.4</v>
      </c>
      <c r="W122" s="37" t="n">
        <v>6629</v>
      </c>
      <c r="X122" s="39" t="n">
        <v>46307</v>
      </c>
      <c r="Y122" s="15" t="n">
        <v>79</v>
      </c>
      <c r="Z122" s="40" t="n">
        <v>44652</v>
      </c>
      <c r="AA122" s="41" t="n">
        <f aca="false">IF(ISNUMBER(Z122),(DATE(2026,10,13)-Z122)/365,"")</f>
        <v>4.53698630136986</v>
      </c>
      <c r="AB122" s="37" t="n">
        <v>1557</v>
      </c>
      <c r="AC122" s="15" t="s">
        <v>313</v>
      </c>
      <c r="AD122" s="15" t="n">
        <v>1</v>
      </c>
      <c r="AE122" s="15" t="s">
        <v>331</v>
      </c>
      <c r="AF122" s="42" t="n">
        <v>0</v>
      </c>
      <c r="AG122" s="42" t="n">
        <v>0</v>
      </c>
      <c r="AH122" s="15" t="n">
        <v>167</v>
      </c>
      <c r="AI122" s="37"/>
      <c r="AJ122" s="37"/>
      <c r="AK122" s="15" t="s">
        <v>315</v>
      </c>
      <c r="AL122" s="43" t="n">
        <v>0</v>
      </c>
      <c r="AM122" s="43" t="n">
        <v>0</v>
      </c>
      <c r="AN122" s="25" t="str">
        <f aca="false">IF(AND(ISNUMBER(AM122),ISNUMBER(AL122),AL122&gt;=5),AM122/AL122,"")</f>
        <v/>
      </c>
      <c r="AO122" s="43" t="n">
        <v>0</v>
      </c>
      <c r="AP122" s="43" t="n">
        <v>0</v>
      </c>
      <c r="AQ122" s="25" t="str">
        <f aca="false">IF(AND(ISNUMBER(AP122),ISNUMBER(AO122),AO122&gt;=5),AP122/AO122,"")</f>
        <v/>
      </c>
      <c r="AR122" s="43" t="n">
        <v>13.3</v>
      </c>
      <c r="AS122" s="43" t="n">
        <v>0.3</v>
      </c>
      <c r="AT122" s="22" t="n">
        <f aca="false">IF(AND(ISNUMBER(AS122),ISNUMBER(AR122),AR122&gt;0),AS122/AR122-1,"")</f>
        <v>-0.977443609022556</v>
      </c>
      <c r="AU122" s="44"/>
      <c r="AV122" s="44"/>
      <c r="AW122" s="44"/>
      <c r="AX122" s="44"/>
      <c r="AY122" s="44"/>
      <c r="AZ122" s="45"/>
      <c r="BA122" s="45"/>
      <c r="BB122" s="46"/>
      <c r="BC122" s="46"/>
      <c r="BD122" s="23" t="str">
        <f aca="false">IF(AND(ISNUMBER(BB122),ISNUMBER(BC122),BB122&gt;0),1-BC122/BB122,"")</f>
        <v/>
      </c>
      <c r="BE122" s="47"/>
      <c r="BF122" s="48"/>
      <c r="BG122" s="48"/>
      <c r="BH122" s="27" t="str">
        <f aca="false">IF(AND(ISNUMBER(BF122),ISNUMBER(BG122),BG122&gt;0),BF122/BG122,"")</f>
        <v/>
      </c>
      <c r="BI122" s="48"/>
      <c r="BJ122" s="44"/>
      <c r="BK122" s="46"/>
      <c r="BL122" s="46"/>
      <c r="BM122" s="36" t="str">
        <f aca="false">IF(ISNUMBER(Q122),IF(Q122&lt;0,"YES","no"),"")</f>
        <v>YES</v>
      </c>
      <c r="BN122" s="36" t="str">
        <f aca="false">IFERROR(IF(AND(ISNUMBER(K122),ISNUMBER(INDEX('Lift Inputs'!$H:$H,MATCH(C122,'Lift Inputs'!$C:$C,0)))),IF(K122&lt;INDEX('Lift Inputs'!$H:$H,MATCH(C122,'Lift Inputs'!$C:$C,0)),"YES","no"),""),"")</f>
        <v/>
      </c>
      <c r="BO122" s="44"/>
    </row>
    <row r="123" customFormat="false" ht="15" hidden="false" customHeight="false" outlineLevel="0" collapsed="false">
      <c r="A123" s="15" t="s">
        <v>37</v>
      </c>
      <c r="B123" s="15" t="s">
        <v>55</v>
      </c>
      <c r="C123" s="15" t="n">
        <v>32</v>
      </c>
      <c r="D123" s="15" t="s">
        <v>200</v>
      </c>
      <c r="E123" s="15" t="n">
        <v>30</v>
      </c>
      <c r="F123" s="15" t="s">
        <v>441</v>
      </c>
      <c r="G123" s="15" t="s">
        <v>442</v>
      </c>
      <c r="H123" s="15" t="s">
        <v>443</v>
      </c>
      <c r="I123" s="15" t="s">
        <v>444</v>
      </c>
      <c r="J123" s="15" t="s">
        <v>178</v>
      </c>
      <c r="K123" s="35" t="n">
        <v>94.99</v>
      </c>
      <c r="L123" s="35"/>
      <c r="M123" s="23" t="str">
        <f aca="false">IF(AND(ISNUMBER(L123),ISNUMBER(K123),K123&gt;0),L123/K123-1,"")</f>
        <v/>
      </c>
      <c r="N123" s="36" t="str">
        <f aca="false">IF(M123="","No List Price",IF(M123&lt;=0,"At/below price",IF(M123&lt;=0.12,"&lt;=12% (STR zone)",IF(M123&lt;=0.25,"12-25%","&gt;25% (likely ignored)"))))</f>
        <v>No List Price</v>
      </c>
      <c r="O123" s="15" t="s">
        <v>311</v>
      </c>
      <c r="P123" s="35" t="n">
        <v>64.99</v>
      </c>
      <c r="Q123" s="22" t="n">
        <f aca="false">IF(AND(ISNUMBER(K123),ISNUMBER(P123),N(P123)&gt;0),K123/P123-1,"")</f>
        <v>0.461609478381289</v>
      </c>
      <c r="R123" s="15" t="s">
        <v>312</v>
      </c>
      <c r="S123" s="37" t="n">
        <v>79376</v>
      </c>
      <c r="T123" s="37" t="n">
        <v>18</v>
      </c>
      <c r="U123" s="38" t="n">
        <f aca="false">IF(AND(ISNUMBER(K123),ISNUMBER(T123)),K123*T123*52/12,"")</f>
        <v>7409.22</v>
      </c>
      <c r="V123" s="15" t="n">
        <v>4.4</v>
      </c>
      <c r="W123" s="37" t="n">
        <v>641</v>
      </c>
      <c r="X123" s="39" t="n">
        <v>46307</v>
      </c>
      <c r="Y123" s="15"/>
      <c r="Z123" s="40"/>
      <c r="AA123" s="41" t="str">
        <f aca="false">IF(ISNUMBER(Z123),(DATE(2026,10,13)-Z123)/365,"")</f>
        <v/>
      </c>
      <c r="AB123" s="37"/>
      <c r="AC123" s="15"/>
      <c r="AD123" s="15"/>
      <c r="AE123" s="15"/>
      <c r="AF123" s="42"/>
      <c r="AG123" s="42"/>
      <c r="AH123" s="15"/>
      <c r="AI123" s="37"/>
      <c r="AJ123" s="37"/>
      <c r="AK123" s="15"/>
      <c r="AL123" s="43"/>
      <c r="AM123" s="43"/>
      <c r="AN123" s="25" t="str">
        <f aca="false">IF(AND(ISNUMBER(AM123),ISNUMBER(AL123),AL123&gt;=5),AM123/AL123,"")</f>
        <v/>
      </c>
      <c r="AO123" s="43"/>
      <c r="AP123" s="43"/>
      <c r="AQ123" s="25" t="str">
        <f aca="false">IF(AND(ISNUMBER(AP123),ISNUMBER(AO123),AO123&gt;=5),AP123/AO123,"")</f>
        <v/>
      </c>
      <c r="AR123" s="43"/>
      <c r="AS123" s="43"/>
      <c r="AT123" s="22" t="str">
        <f aca="false">IF(AND(ISNUMBER(AS123),ISNUMBER(AR123),AR123&gt;0),AS123/AR123-1,"")</f>
        <v/>
      </c>
      <c r="AU123" s="44"/>
      <c r="AV123" s="44"/>
      <c r="AW123" s="44"/>
      <c r="AX123" s="44"/>
      <c r="AY123" s="44"/>
      <c r="AZ123" s="45"/>
      <c r="BA123" s="45"/>
      <c r="BB123" s="46"/>
      <c r="BC123" s="46"/>
      <c r="BD123" s="23" t="str">
        <f aca="false">IF(AND(ISNUMBER(BB123),ISNUMBER(BC123),BB123&gt;0),1-BC123/BB123,"")</f>
        <v/>
      </c>
      <c r="BE123" s="47"/>
      <c r="BF123" s="48"/>
      <c r="BG123" s="48"/>
      <c r="BH123" s="27" t="str">
        <f aca="false">IF(AND(ISNUMBER(BF123),ISNUMBER(BG123),BG123&gt;0),BF123/BG123,"")</f>
        <v/>
      </c>
      <c r="BI123" s="48"/>
      <c r="BJ123" s="44"/>
      <c r="BK123" s="46"/>
      <c r="BL123" s="46"/>
      <c r="BM123" s="36" t="str">
        <f aca="false">IF(ISNUMBER(Q123),IF(Q123&lt;0,"YES","no"),"")</f>
        <v>no</v>
      </c>
      <c r="BN123" s="36" t="str">
        <f aca="false">IFERROR(IF(AND(ISNUMBER(K123),ISNUMBER(INDEX('Lift Inputs'!$H:$H,MATCH(C123,'Lift Inputs'!$C:$C,0)))),IF(K123&lt;INDEX('Lift Inputs'!$H:$H,MATCH(C123,'Lift Inputs'!$C:$C,0)),"YES","no"),""),"")</f>
        <v/>
      </c>
      <c r="BO123" s="44"/>
    </row>
    <row r="124" customFormat="false" ht="15" hidden="false" customHeight="false" outlineLevel="0" collapsed="false">
      <c r="A124" s="15" t="s">
        <v>37</v>
      </c>
      <c r="B124" s="15" t="s">
        <v>55</v>
      </c>
      <c r="C124" s="15" t="n">
        <v>32</v>
      </c>
      <c r="D124" s="15" t="s">
        <v>200</v>
      </c>
      <c r="E124" s="15" t="n">
        <v>28</v>
      </c>
      <c r="F124" s="15" t="s">
        <v>445</v>
      </c>
      <c r="G124" s="15" t="s">
        <v>446</v>
      </c>
      <c r="H124" s="15" t="s">
        <v>447</v>
      </c>
      <c r="I124" s="15" t="s">
        <v>448</v>
      </c>
      <c r="J124" s="15" t="s">
        <v>178</v>
      </c>
      <c r="K124" s="35" t="n">
        <v>56.99</v>
      </c>
      <c r="L124" s="35"/>
      <c r="M124" s="23" t="str">
        <f aca="false">IF(AND(ISNUMBER(L124),ISNUMBER(K124),K124&gt;0),L124/K124-1,"")</f>
        <v/>
      </c>
      <c r="N124" s="36" t="str">
        <f aca="false">IF(M124="","No List Price",IF(M124&lt;=0,"At/below price",IF(M124&lt;=0.12,"&lt;=12% (STR zone)",IF(M124&lt;=0.25,"12-25%","&gt;25% (likely ignored)"))))</f>
        <v>No List Price</v>
      </c>
      <c r="O124" s="15" t="s">
        <v>311</v>
      </c>
      <c r="P124" s="35" t="n">
        <v>64.99</v>
      </c>
      <c r="Q124" s="22" t="n">
        <f aca="false">IF(AND(ISNUMBER(K124),ISNUMBER(P124),N(P124)&gt;0),K124/P124-1,"")</f>
        <v>-0.123095860901677</v>
      </c>
      <c r="R124" s="15" t="s">
        <v>312</v>
      </c>
      <c r="S124" s="37" t="n">
        <v>76312</v>
      </c>
      <c r="T124" s="37" t="n">
        <v>18</v>
      </c>
      <c r="U124" s="38" t="n">
        <f aca="false">IF(AND(ISNUMBER(K124),ISNUMBER(T124)),K124*T124*52/12,"")</f>
        <v>4445.22</v>
      </c>
      <c r="V124" s="15" t="n">
        <v>4.3</v>
      </c>
      <c r="W124" s="37" t="n">
        <v>281</v>
      </c>
      <c r="X124" s="39" t="n">
        <v>46307</v>
      </c>
      <c r="Y124" s="15" t="n">
        <v>32</v>
      </c>
      <c r="Z124" s="40" t="n">
        <v>45671</v>
      </c>
      <c r="AA124" s="41" t="n">
        <f aca="false">IF(ISNUMBER(Z124),(DATE(2026,10,13)-Z124)/365,"")</f>
        <v>1.74520547945205</v>
      </c>
      <c r="AB124" s="37" t="n">
        <v>1508</v>
      </c>
      <c r="AC124" s="15" t="s">
        <v>313</v>
      </c>
      <c r="AD124" s="15" t="n">
        <v>1</v>
      </c>
      <c r="AE124" s="15" t="s">
        <v>331</v>
      </c>
      <c r="AF124" s="42" t="n">
        <v>0</v>
      </c>
      <c r="AG124" s="42" t="n">
        <v>0</v>
      </c>
      <c r="AH124" s="15" t="n">
        <v>126</v>
      </c>
      <c r="AI124" s="37"/>
      <c r="AJ124" s="37"/>
      <c r="AK124" s="15"/>
      <c r="AL124" s="43"/>
      <c r="AM124" s="43"/>
      <c r="AN124" s="25" t="str">
        <f aca="false">IF(AND(ISNUMBER(AM124),ISNUMBER(AL124),AL124&gt;=5),AM124/AL124,"")</f>
        <v/>
      </c>
      <c r="AO124" s="43"/>
      <c r="AP124" s="43"/>
      <c r="AQ124" s="25" t="str">
        <f aca="false">IF(AND(ISNUMBER(AP124),ISNUMBER(AO124),AO124&gt;=5),AP124/AO124,"")</f>
        <v/>
      </c>
      <c r="AR124" s="43"/>
      <c r="AS124" s="43"/>
      <c r="AT124" s="22" t="str">
        <f aca="false">IF(AND(ISNUMBER(AS124),ISNUMBER(AR124),AR124&gt;0),AS124/AR124-1,"")</f>
        <v/>
      </c>
      <c r="AU124" s="44"/>
      <c r="AV124" s="44"/>
      <c r="AW124" s="44"/>
      <c r="AX124" s="44"/>
      <c r="AY124" s="44"/>
      <c r="AZ124" s="45"/>
      <c r="BA124" s="45"/>
      <c r="BB124" s="46"/>
      <c r="BC124" s="46"/>
      <c r="BD124" s="23" t="str">
        <f aca="false">IF(AND(ISNUMBER(BB124),ISNUMBER(BC124),BB124&gt;0),1-BC124/BB124,"")</f>
        <v/>
      </c>
      <c r="BE124" s="47"/>
      <c r="BF124" s="48"/>
      <c r="BG124" s="48"/>
      <c r="BH124" s="27" t="str">
        <f aca="false">IF(AND(ISNUMBER(BF124),ISNUMBER(BG124),BG124&gt;0),BF124/BG124,"")</f>
        <v/>
      </c>
      <c r="BI124" s="48"/>
      <c r="BJ124" s="44"/>
      <c r="BK124" s="46"/>
      <c r="BL124" s="46"/>
      <c r="BM124" s="36" t="str">
        <f aca="false">IF(ISNUMBER(Q124),IF(Q124&lt;0,"YES","no"),"")</f>
        <v>YES</v>
      </c>
      <c r="BN124" s="36" t="str">
        <f aca="false">IFERROR(IF(AND(ISNUMBER(K124),ISNUMBER(INDEX('Lift Inputs'!$H:$H,MATCH(C124,'Lift Inputs'!$C:$C,0)))),IF(K124&lt;INDEX('Lift Inputs'!$H:$H,MATCH(C124,'Lift Inputs'!$C:$C,0)),"YES","no"),""),"")</f>
        <v/>
      </c>
      <c r="BO124" s="44"/>
    </row>
    <row r="125" customFormat="false" ht="15" hidden="false" customHeight="false" outlineLevel="0" collapsed="false">
      <c r="A125" s="15" t="s">
        <v>37</v>
      </c>
      <c r="B125" s="15" t="s">
        <v>55</v>
      </c>
      <c r="C125" s="15" t="n">
        <v>32</v>
      </c>
      <c r="D125" s="15" t="s">
        <v>200</v>
      </c>
      <c r="E125" s="15" t="n">
        <v>24</v>
      </c>
      <c r="F125" s="15" t="s">
        <v>449</v>
      </c>
      <c r="G125" s="15" t="s">
        <v>450</v>
      </c>
      <c r="H125" s="15" t="s">
        <v>451</v>
      </c>
      <c r="I125" s="15" t="s">
        <v>352</v>
      </c>
      <c r="J125" s="15" t="s">
        <v>178</v>
      </c>
      <c r="K125" s="35" t="n">
        <v>76.99</v>
      </c>
      <c r="L125" s="35" t="n">
        <v>84.99</v>
      </c>
      <c r="M125" s="23" t="n">
        <f aca="false">IF(AND(ISNUMBER(L125),ISNUMBER(K125),K125&gt;0),L125/K125-1,"")</f>
        <v>0.103909598649175</v>
      </c>
      <c r="N125" s="36" t="str">
        <f aca="false">IF(M125="","No List Price",IF(M125&lt;=0,"At/below price",IF(M125&lt;=0.12,"&lt;=12% (STR zone)",IF(M125&lt;=0.25,"12-25%","&gt;25% (likely ignored)"))))</f>
        <v>&lt;=12% (STR zone)</v>
      </c>
      <c r="O125" s="15"/>
      <c r="P125" s="35" t="n">
        <v>64.99</v>
      </c>
      <c r="Q125" s="22" t="n">
        <f aca="false">IF(AND(ISNUMBER(K125),ISNUMBER(P125),N(P125)&gt;0),K125/P125-1,"")</f>
        <v>0.184643791352516</v>
      </c>
      <c r="R125" s="15" t="s">
        <v>353</v>
      </c>
      <c r="S125" s="37" t="n">
        <v>23579</v>
      </c>
      <c r="T125" s="37" t="n">
        <v>18</v>
      </c>
      <c r="U125" s="38" t="n">
        <f aca="false">IF(AND(ISNUMBER(K125),ISNUMBER(T125)),K125*T125*52/12,"")</f>
        <v>6005.22</v>
      </c>
      <c r="V125" s="15" t="n">
        <v>4.6</v>
      </c>
      <c r="W125" s="37" t="n">
        <v>688</v>
      </c>
      <c r="X125" s="39" t="n">
        <v>46307</v>
      </c>
      <c r="Y125" s="15"/>
      <c r="Z125" s="40"/>
      <c r="AA125" s="41" t="str">
        <f aca="false">IF(ISNUMBER(Z125),(DATE(2026,10,13)-Z125)/365,"")</f>
        <v/>
      </c>
      <c r="AB125" s="37"/>
      <c r="AC125" s="15"/>
      <c r="AD125" s="15"/>
      <c r="AE125" s="15"/>
      <c r="AF125" s="42"/>
      <c r="AG125" s="42"/>
      <c r="AH125" s="15"/>
      <c r="AI125" s="37" t="n">
        <v>58169</v>
      </c>
      <c r="AJ125" s="37" t="n">
        <v>1164</v>
      </c>
      <c r="AK125" s="15" t="s">
        <v>315</v>
      </c>
      <c r="AL125" s="43" t="n">
        <v>1.3</v>
      </c>
      <c r="AM125" s="43" t="n">
        <v>2.2</v>
      </c>
      <c r="AN125" s="25" t="str">
        <f aca="false">IF(AND(ISNUMBER(AM125),ISNUMBER(AL125),AL125&gt;=5),AM125/AL125,"")</f>
        <v/>
      </c>
      <c r="AO125" s="43" t="n">
        <v>3.5</v>
      </c>
      <c r="AP125" s="43" t="n">
        <v>2.5</v>
      </c>
      <c r="AQ125" s="25" t="str">
        <f aca="false">IF(AND(ISNUMBER(AP125),ISNUMBER(AO125),AO125&gt;=5),AP125/AO125,"")</f>
        <v/>
      </c>
      <c r="AR125" s="43" t="n">
        <v>1.7</v>
      </c>
      <c r="AS125" s="43" t="n">
        <v>5.7</v>
      </c>
      <c r="AT125" s="22" t="n">
        <f aca="false">IF(AND(ISNUMBER(AS125),ISNUMBER(AR125),AR125&gt;0),AS125/AR125-1,"")</f>
        <v>2.35294117647059</v>
      </c>
      <c r="AU125" s="44"/>
      <c r="AV125" s="44"/>
      <c r="AW125" s="44"/>
      <c r="AX125" s="44"/>
      <c r="AY125" s="44"/>
      <c r="AZ125" s="45"/>
      <c r="BA125" s="45"/>
      <c r="BB125" s="46"/>
      <c r="BC125" s="46"/>
      <c r="BD125" s="23" t="str">
        <f aca="false">IF(AND(ISNUMBER(BB125),ISNUMBER(BC125),BB125&gt;0),1-BC125/BB125,"")</f>
        <v/>
      </c>
      <c r="BE125" s="47"/>
      <c r="BF125" s="48"/>
      <c r="BG125" s="48"/>
      <c r="BH125" s="27" t="str">
        <f aca="false">IF(AND(ISNUMBER(BF125),ISNUMBER(BG125),BG125&gt;0),BF125/BG125,"")</f>
        <v/>
      </c>
      <c r="BI125" s="48"/>
      <c r="BJ125" s="44"/>
      <c r="BK125" s="46"/>
      <c r="BL125" s="46"/>
      <c r="BM125" s="36" t="str">
        <f aca="false">IF(ISNUMBER(Q125),IF(Q125&lt;0,"YES","no"),"")</f>
        <v>no</v>
      </c>
      <c r="BN125" s="36" t="str">
        <f aca="false">IFERROR(IF(AND(ISNUMBER(K125),ISNUMBER(INDEX('Lift Inputs'!$H:$H,MATCH(C125,'Lift Inputs'!$C:$C,0)))),IF(K125&lt;INDEX('Lift Inputs'!$H:$H,MATCH(C125,'Lift Inputs'!$C:$C,0)),"YES","no"),""),"")</f>
        <v/>
      </c>
      <c r="BO125" s="44"/>
    </row>
    <row r="126" customFormat="false" ht="15" hidden="false" customHeight="false" outlineLevel="0" collapsed="false">
      <c r="A126" s="15" t="s">
        <v>37</v>
      </c>
      <c r="B126" s="15" t="s">
        <v>55</v>
      </c>
      <c r="C126" s="15" t="n">
        <v>32</v>
      </c>
      <c r="D126" s="15" t="s">
        <v>200</v>
      </c>
      <c r="E126" s="15" t="n">
        <v>26</v>
      </c>
      <c r="F126" s="15" t="s">
        <v>452</v>
      </c>
      <c r="G126" s="15" t="s">
        <v>453</v>
      </c>
      <c r="H126" s="15" t="s">
        <v>454</v>
      </c>
      <c r="I126" s="15" t="s">
        <v>352</v>
      </c>
      <c r="J126" s="15" t="s">
        <v>178</v>
      </c>
      <c r="K126" s="35" t="n">
        <v>129.94</v>
      </c>
      <c r="L126" s="35"/>
      <c r="M126" s="23" t="str">
        <f aca="false">IF(AND(ISNUMBER(L126),ISNUMBER(K126),K126&gt;0),L126/K126-1,"")</f>
        <v/>
      </c>
      <c r="N126" s="36" t="str">
        <f aca="false">IF(M126="","No List Price",IF(M126&lt;=0,"At/below price",IF(M126&lt;=0.12,"&lt;=12% (STR zone)",IF(M126&lt;=0.25,"12-25%","&gt;25% (likely ignored)"))))</f>
        <v>No List Price</v>
      </c>
      <c r="O126" s="15"/>
      <c r="P126" s="35" t="n">
        <v>64.99</v>
      </c>
      <c r="Q126" s="22" t="n">
        <f aca="false">IF(AND(ISNUMBER(K126),ISNUMBER(P126),N(P126)&gt;0),K126/P126-1,"")</f>
        <v>0.999384520695492</v>
      </c>
      <c r="R126" s="15" t="s">
        <v>353</v>
      </c>
      <c r="S126" s="37" t="n">
        <v>47800</v>
      </c>
      <c r="T126" s="37" t="n">
        <v>18</v>
      </c>
      <c r="U126" s="38" t="n">
        <f aca="false">IF(AND(ISNUMBER(K126),ISNUMBER(T126)),K126*T126*52/12,"")</f>
        <v>10135.32</v>
      </c>
      <c r="V126" s="15" t="n">
        <v>4.5</v>
      </c>
      <c r="W126" s="37" t="n">
        <v>517</v>
      </c>
      <c r="X126" s="39" t="n">
        <v>46307</v>
      </c>
      <c r="Y126" s="15"/>
      <c r="Z126" s="40"/>
      <c r="AA126" s="41" t="str">
        <f aca="false">IF(ISNUMBER(Z126),(DATE(2026,10,13)-Z126)/365,"")</f>
        <v/>
      </c>
      <c r="AB126" s="37"/>
      <c r="AC126" s="15"/>
      <c r="AD126" s="15"/>
      <c r="AE126" s="15"/>
      <c r="AF126" s="42"/>
      <c r="AG126" s="42"/>
      <c r="AH126" s="15"/>
      <c r="AI126" s="37"/>
      <c r="AJ126" s="37"/>
      <c r="AK126" s="15"/>
      <c r="AL126" s="43"/>
      <c r="AM126" s="43"/>
      <c r="AN126" s="25" t="str">
        <f aca="false">IF(AND(ISNUMBER(AM126),ISNUMBER(AL126),AL126&gt;=5),AM126/AL126,"")</f>
        <v/>
      </c>
      <c r="AO126" s="43"/>
      <c r="AP126" s="43"/>
      <c r="AQ126" s="25" t="str">
        <f aca="false">IF(AND(ISNUMBER(AP126),ISNUMBER(AO126),AO126&gt;=5),AP126/AO126,"")</f>
        <v/>
      </c>
      <c r="AR126" s="43"/>
      <c r="AS126" s="43"/>
      <c r="AT126" s="22" t="str">
        <f aca="false">IF(AND(ISNUMBER(AS126),ISNUMBER(AR126),AR126&gt;0),AS126/AR126-1,"")</f>
        <v/>
      </c>
      <c r="AU126" s="44"/>
      <c r="AV126" s="44"/>
      <c r="AW126" s="44"/>
      <c r="AX126" s="44"/>
      <c r="AY126" s="44"/>
      <c r="AZ126" s="45"/>
      <c r="BA126" s="45"/>
      <c r="BB126" s="46"/>
      <c r="BC126" s="46"/>
      <c r="BD126" s="23" t="str">
        <f aca="false">IF(AND(ISNUMBER(BB126),ISNUMBER(BC126),BB126&gt;0),1-BC126/BB126,"")</f>
        <v/>
      </c>
      <c r="BE126" s="47"/>
      <c r="BF126" s="48"/>
      <c r="BG126" s="48"/>
      <c r="BH126" s="27" t="str">
        <f aca="false">IF(AND(ISNUMBER(BF126),ISNUMBER(BG126),BG126&gt;0),BF126/BG126,"")</f>
        <v/>
      </c>
      <c r="BI126" s="48"/>
      <c r="BJ126" s="44"/>
      <c r="BK126" s="46"/>
      <c r="BL126" s="46"/>
      <c r="BM126" s="36" t="str">
        <f aca="false">IF(ISNUMBER(Q126),IF(Q126&lt;0,"YES","no"),"")</f>
        <v>no</v>
      </c>
      <c r="BN126" s="36" t="str">
        <f aca="false">IFERROR(IF(AND(ISNUMBER(K126),ISNUMBER(INDEX('Lift Inputs'!$H:$H,MATCH(C126,'Lift Inputs'!$C:$C,0)))),IF(K126&lt;INDEX('Lift Inputs'!$H:$H,MATCH(C126,'Lift Inputs'!$C:$C,0)),"YES","no"),""),"")</f>
        <v/>
      </c>
      <c r="BO126" s="44"/>
    </row>
    <row r="127" customFormat="false" ht="15" hidden="false" customHeight="false" outlineLevel="0" collapsed="false">
      <c r="A127" s="15" t="s">
        <v>37</v>
      </c>
      <c r="B127" s="15" t="s">
        <v>55</v>
      </c>
      <c r="C127" s="15" t="n">
        <v>32</v>
      </c>
      <c r="D127" s="15" t="s">
        <v>200</v>
      </c>
      <c r="E127" s="15" t="n">
        <v>633</v>
      </c>
      <c r="F127" s="15" t="s">
        <v>438</v>
      </c>
      <c r="G127" s="15" t="s">
        <v>455</v>
      </c>
      <c r="H127" s="15" t="s">
        <v>455</v>
      </c>
      <c r="I127" s="15" t="s">
        <v>456</v>
      </c>
      <c r="J127" s="15" t="s">
        <v>178</v>
      </c>
      <c r="K127" s="35" t="n">
        <v>69.99</v>
      </c>
      <c r="L127" s="35" t="n">
        <v>84.99</v>
      </c>
      <c r="M127" s="23" t="n">
        <f aca="false">IF(AND(ISNUMBER(L127),ISNUMBER(K127),K127&gt;0),L127/K127-1,"")</f>
        <v>0.214316330904415</v>
      </c>
      <c r="N127" s="36" t="str">
        <f aca="false">IF(M127="","No List Price",IF(M127&lt;=0,"At/below price",IF(M127&lt;=0.12,"&lt;=12% (STR zone)",IF(M127&lt;=0.25,"12-25%","&gt;25% (likely ignored)"))))</f>
        <v>12-25%</v>
      </c>
      <c r="O127" s="15"/>
      <c r="P127" s="35" t="n">
        <v>64.99</v>
      </c>
      <c r="Q127" s="22" t="n">
        <f aca="false">IF(AND(ISNUMBER(K127),ISNUMBER(P127),N(P127)&gt;0),K127/P127-1,"")</f>
        <v>0.0769349130635482</v>
      </c>
      <c r="R127" s="15" t="s">
        <v>353</v>
      </c>
      <c r="S127" s="37" t="n">
        <v>39194</v>
      </c>
      <c r="T127" s="37" t="n">
        <v>18</v>
      </c>
      <c r="U127" s="38" t="n">
        <f aca="false">IF(AND(ISNUMBER(K127),ISNUMBER(T127)),K127*T127*52/12,"")</f>
        <v>5459.22</v>
      </c>
      <c r="V127" s="15" t="n">
        <v>4.5</v>
      </c>
      <c r="W127" s="37" t="n">
        <v>1639</v>
      </c>
      <c r="X127" s="39" t="n">
        <v>46307</v>
      </c>
      <c r="Y127" s="15" t="n">
        <v>32</v>
      </c>
      <c r="Z127" s="40" t="n">
        <v>45744</v>
      </c>
      <c r="AA127" s="41" t="n">
        <f aca="false">IF(ISNUMBER(Z127),(DATE(2026,10,13)-Z127)/365,"")</f>
        <v>1.54520547945205</v>
      </c>
      <c r="AB127" s="37" t="n">
        <v>1201</v>
      </c>
      <c r="AC127" s="15" t="s">
        <v>313</v>
      </c>
      <c r="AD127" s="15" t="n">
        <v>1</v>
      </c>
      <c r="AE127" s="15" t="s">
        <v>331</v>
      </c>
      <c r="AF127" s="42" t="n">
        <v>0</v>
      </c>
      <c r="AG127" s="42" t="n">
        <v>0</v>
      </c>
      <c r="AH127" s="15" t="n">
        <v>121</v>
      </c>
      <c r="AI127" s="37"/>
      <c r="AJ127" s="37"/>
      <c r="AK127" s="15" t="s">
        <v>315</v>
      </c>
      <c r="AL127" s="43" t="n">
        <v>0</v>
      </c>
      <c r="AM127" s="43" t="n">
        <v>0</v>
      </c>
      <c r="AN127" s="25" t="str">
        <f aca="false">IF(AND(ISNUMBER(AM127),ISNUMBER(AL127),AL127&gt;=5),AM127/AL127,"")</f>
        <v/>
      </c>
      <c r="AO127" s="43" t="n">
        <v>0</v>
      </c>
      <c r="AP127" s="43" t="n">
        <v>0</v>
      </c>
      <c r="AQ127" s="25" t="str">
        <f aca="false">IF(AND(ISNUMBER(AP127),ISNUMBER(AO127),AO127&gt;=5),AP127/AO127,"")</f>
        <v/>
      </c>
      <c r="AR127" s="43" t="n">
        <v>5.8</v>
      </c>
      <c r="AS127" s="43" t="n">
        <v>0.2</v>
      </c>
      <c r="AT127" s="22" t="n">
        <f aca="false">IF(AND(ISNUMBER(AS127),ISNUMBER(AR127),AR127&gt;0),AS127/AR127-1,"")</f>
        <v>-0.96551724137931</v>
      </c>
      <c r="AU127" s="44"/>
      <c r="AV127" s="44"/>
      <c r="AW127" s="44"/>
      <c r="AX127" s="44"/>
      <c r="AY127" s="44"/>
      <c r="AZ127" s="45"/>
      <c r="BA127" s="45"/>
      <c r="BB127" s="46"/>
      <c r="BC127" s="46"/>
      <c r="BD127" s="23" t="str">
        <f aca="false">IF(AND(ISNUMBER(BB127),ISNUMBER(BC127),BB127&gt;0),1-BC127/BB127,"")</f>
        <v/>
      </c>
      <c r="BE127" s="47"/>
      <c r="BF127" s="48"/>
      <c r="BG127" s="48"/>
      <c r="BH127" s="27" t="str">
        <f aca="false">IF(AND(ISNUMBER(BF127),ISNUMBER(BG127),BG127&gt;0),BF127/BG127,"")</f>
        <v/>
      </c>
      <c r="BI127" s="48"/>
      <c r="BJ127" s="44"/>
      <c r="BK127" s="46"/>
      <c r="BL127" s="46"/>
      <c r="BM127" s="36" t="str">
        <f aca="false">IF(ISNUMBER(Q127),IF(Q127&lt;0,"YES","no"),"")</f>
        <v>no</v>
      </c>
      <c r="BN127" s="36" t="str">
        <f aca="false">IFERROR(IF(AND(ISNUMBER(K127),ISNUMBER(INDEX('Lift Inputs'!$H:$H,MATCH(C127,'Lift Inputs'!$C:$C,0)))),IF(K127&lt;INDEX('Lift Inputs'!$H:$H,MATCH(C127,'Lift Inputs'!$C:$C,0)),"YES","no"),""),"")</f>
        <v/>
      </c>
      <c r="BO127" s="44"/>
    </row>
    <row r="128" customFormat="false" ht="15" hidden="false" customHeight="false" outlineLevel="0" collapsed="false">
      <c r="A128" s="15" t="s">
        <v>37</v>
      </c>
      <c r="B128" s="15" t="s">
        <v>55</v>
      </c>
      <c r="C128" s="15" t="n">
        <v>32</v>
      </c>
      <c r="D128" s="15" t="s">
        <v>200</v>
      </c>
      <c r="E128" s="15" t="n">
        <v>186</v>
      </c>
      <c r="F128" s="15" t="s">
        <v>389</v>
      </c>
      <c r="G128" s="15" t="s">
        <v>457</v>
      </c>
      <c r="H128" s="15" t="s">
        <v>458</v>
      </c>
      <c r="I128" s="15" t="s">
        <v>352</v>
      </c>
      <c r="J128" s="15" t="s">
        <v>178</v>
      </c>
      <c r="K128" s="35" t="n">
        <v>79.98</v>
      </c>
      <c r="L128" s="35"/>
      <c r="M128" s="23" t="str">
        <f aca="false">IF(AND(ISNUMBER(L128),ISNUMBER(K128),K128&gt;0),L128/K128-1,"")</f>
        <v/>
      </c>
      <c r="N128" s="36" t="str">
        <f aca="false">IF(M128="","No List Price",IF(M128&lt;=0,"At/below price",IF(M128&lt;=0.12,"&lt;=12% (STR zone)",IF(M128&lt;=0.25,"12-25%","&gt;25% (likely ignored)"))))</f>
        <v>No List Price</v>
      </c>
      <c r="O128" s="15"/>
      <c r="P128" s="35" t="n">
        <v>64.99</v>
      </c>
      <c r="Q128" s="22" t="n">
        <f aca="false">IF(AND(ISNUMBER(K128),ISNUMBER(P128),N(P128)&gt;0),K128/P128-1,"")</f>
        <v>0.230650869364518</v>
      </c>
      <c r="R128" s="15" t="s">
        <v>353</v>
      </c>
      <c r="S128" s="37" t="n">
        <v>131083</v>
      </c>
      <c r="T128" s="37" t="n">
        <v>5</v>
      </c>
      <c r="U128" s="38" t="n">
        <f aca="false">IF(AND(ISNUMBER(K128),ISNUMBER(T128)),K128*T128*52/12,"")</f>
        <v>1732.9</v>
      </c>
      <c r="V128" s="15" t="n">
        <v>4.5</v>
      </c>
      <c r="W128" s="37" t="n">
        <v>2691</v>
      </c>
      <c r="X128" s="39" t="n">
        <v>46307</v>
      </c>
      <c r="Y128" s="15"/>
      <c r="Z128" s="40"/>
      <c r="AA128" s="41" t="str">
        <f aca="false">IF(ISNUMBER(Z128),(DATE(2026,10,13)-Z128)/365,"")</f>
        <v/>
      </c>
      <c r="AB128" s="37"/>
      <c r="AC128" s="15"/>
      <c r="AD128" s="15"/>
      <c r="AE128" s="15"/>
      <c r="AF128" s="42"/>
      <c r="AG128" s="42"/>
      <c r="AH128" s="15"/>
      <c r="AI128" s="37"/>
      <c r="AJ128" s="37"/>
      <c r="AK128" s="15"/>
      <c r="AL128" s="43"/>
      <c r="AM128" s="43"/>
      <c r="AN128" s="25" t="str">
        <f aca="false">IF(AND(ISNUMBER(AM128),ISNUMBER(AL128),AL128&gt;=5),AM128/AL128,"")</f>
        <v/>
      </c>
      <c r="AO128" s="43"/>
      <c r="AP128" s="43"/>
      <c r="AQ128" s="25" t="str">
        <f aca="false">IF(AND(ISNUMBER(AP128),ISNUMBER(AO128),AO128&gt;=5),AP128/AO128,"")</f>
        <v/>
      </c>
      <c r="AR128" s="43"/>
      <c r="AS128" s="43"/>
      <c r="AT128" s="22" t="str">
        <f aca="false">IF(AND(ISNUMBER(AS128),ISNUMBER(AR128),AR128&gt;0),AS128/AR128-1,"")</f>
        <v/>
      </c>
      <c r="AU128" s="44"/>
      <c r="AV128" s="44"/>
      <c r="AW128" s="44"/>
      <c r="AX128" s="44"/>
      <c r="AY128" s="44"/>
      <c r="AZ128" s="45"/>
      <c r="BA128" s="45"/>
      <c r="BB128" s="46"/>
      <c r="BC128" s="46"/>
      <c r="BD128" s="23" t="str">
        <f aca="false">IF(AND(ISNUMBER(BB128),ISNUMBER(BC128),BB128&gt;0),1-BC128/BB128,"")</f>
        <v/>
      </c>
      <c r="BE128" s="47"/>
      <c r="BF128" s="48"/>
      <c r="BG128" s="48"/>
      <c r="BH128" s="27" t="str">
        <f aca="false">IF(AND(ISNUMBER(BF128),ISNUMBER(BG128),BG128&gt;0),BF128/BG128,"")</f>
        <v/>
      </c>
      <c r="BI128" s="48"/>
      <c r="BJ128" s="44"/>
      <c r="BK128" s="46"/>
      <c r="BL128" s="46"/>
      <c r="BM128" s="36" t="str">
        <f aca="false">IF(ISNUMBER(Q128),IF(Q128&lt;0,"YES","no"),"")</f>
        <v>no</v>
      </c>
      <c r="BN128" s="36" t="str">
        <f aca="false">IFERROR(IF(AND(ISNUMBER(K128),ISNUMBER(INDEX('Lift Inputs'!$H:$H,MATCH(C128,'Lift Inputs'!$C:$C,0)))),IF(K128&lt;INDEX('Lift Inputs'!$H:$H,MATCH(C128,'Lift Inputs'!$C:$C,0)),"YES","no"),""),"")</f>
        <v/>
      </c>
      <c r="BO128" s="44"/>
    </row>
    <row r="129" customFormat="false" ht="15" hidden="false" customHeight="false" outlineLevel="0" collapsed="false">
      <c r="A129" s="15" t="s">
        <v>37</v>
      </c>
      <c r="B129" s="15" t="s">
        <v>55</v>
      </c>
      <c r="C129" s="15" t="n">
        <v>32</v>
      </c>
      <c r="D129" s="15" t="s">
        <v>200</v>
      </c>
      <c r="E129" s="15" t="n">
        <v>1512</v>
      </c>
      <c r="F129" s="15" t="s">
        <v>459</v>
      </c>
      <c r="G129" s="15" t="s">
        <v>460</v>
      </c>
      <c r="H129" s="15" t="s">
        <v>461</v>
      </c>
      <c r="I129" s="15" t="s">
        <v>462</v>
      </c>
      <c r="J129" s="15" t="s">
        <v>178</v>
      </c>
      <c r="K129" s="35" t="n">
        <v>94.99</v>
      </c>
      <c r="L129" s="35"/>
      <c r="M129" s="23" t="str">
        <f aca="false">IF(AND(ISNUMBER(L129),ISNUMBER(K129),K129&gt;0),L129/K129-1,"")</f>
        <v/>
      </c>
      <c r="N129" s="36" t="str">
        <f aca="false">IF(M129="","No List Price",IF(M129&lt;=0,"At/below price",IF(M129&lt;=0.12,"&lt;=12% (STR zone)",IF(M129&lt;=0.25,"12-25%","&gt;25% (likely ignored)"))))</f>
        <v>No List Price</v>
      </c>
      <c r="O129" s="15" t="s">
        <v>311</v>
      </c>
      <c r="P129" s="35" t="n">
        <v>64.99</v>
      </c>
      <c r="Q129" s="22" t="n">
        <f aca="false">IF(AND(ISNUMBER(K129),ISNUMBER(P129),N(P129)&gt;0),K129/P129-1,"")</f>
        <v>0.461609478381289</v>
      </c>
      <c r="R129" s="15" t="s">
        <v>312</v>
      </c>
      <c r="S129" s="37" t="n">
        <v>1003118</v>
      </c>
      <c r="T129" s="37" t="n">
        <v>5</v>
      </c>
      <c r="U129" s="38" t="n">
        <f aca="false">IF(AND(ISNUMBER(K129),ISNUMBER(T129)),K129*T129*52/12,"")</f>
        <v>2058.11666666667</v>
      </c>
      <c r="V129" s="15" t="n">
        <v>4.4</v>
      </c>
      <c r="W129" s="37" t="n">
        <v>18</v>
      </c>
      <c r="X129" s="39" t="n">
        <v>46307</v>
      </c>
      <c r="Y129" s="15"/>
      <c r="Z129" s="40"/>
      <c r="AA129" s="41" t="str">
        <f aca="false">IF(ISNUMBER(Z129),(DATE(2026,10,13)-Z129)/365,"")</f>
        <v/>
      </c>
      <c r="AB129" s="37"/>
      <c r="AC129" s="15"/>
      <c r="AD129" s="15"/>
      <c r="AE129" s="15"/>
      <c r="AF129" s="42"/>
      <c r="AG129" s="42"/>
      <c r="AH129" s="15"/>
      <c r="AI129" s="37"/>
      <c r="AJ129" s="37"/>
      <c r="AK129" s="15"/>
      <c r="AL129" s="43"/>
      <c r="AM129" s="43"/>
      <c r="AN129" s="25" t="str">
        <f aca="false">IF(AND(ISNUMBER(AM129),ISNUMBER(AL129),AL129&gt;=5),AM129/AL129,"")</f>
        <v/>
      </c>
      <c r="AO129" s="43"/>
      <c r="AP129" s="43"/>
      <c r="AQ129" s="25" t="str">
        <f aca="false">IF(AND(ISNUMBER(AP129),ISNUMBER(AO129),AO129&gt;=5),AP129/AO129,"")</f>
        <v/>
      </c>
      <c r="AR129" s="43"/>
      <c r="AS129" s="43"/>
      <c r="AT129" s="22" t="str">
        <f aca="false">IF(AND(ISNUMBER(AS129),ISNUMBER(AR129),AR129&gt;0),AS129/AR129-1,"")</f>
        <v/>
      </c>
      <c r="AU129" s="44"/>
      <c r="AV129" s="44"/>
      <c r="AW129" s="44"/>
      <c r="AX129" s="44"/>
      <c r="AY129" s="44"/>
      <c r="AZ129" s="45"/>
      <c r="BA129" s="45"/>
      <c r="BB129" s="46"/>
      <c r="BC129" s="46"/>
      <c r="BD129" s="23" t="str">
        <f aca="false">IF(AND(ISNUMBER(BB129),ISNUMBER(BC129),BB129&gt;0),1-BC129/BB129,"")</f>
        <v/>
      </c>
      <c r="BE129" s="47"/>
      <c r="BF129" s="48"/>
      <c r="BG129" s="48"/>
      <c r="BH129" s="27" t="str">
        <f aca="false">IF(AND(ISNUMBER(BF129),ISNUMBER(BG129),BG129&gt;0),BF129/BG129,"")</f>
        <v/>
      </c>
      <c r="BI129" s="48"/>
      <c r="BJ129" s="44"/>
      <c r="BK129" s="46"/>
      <c r="BL129" s="46"/>
      <c r="BM129" s="36" t="str">
        <f aca="false">IF(ISNUMBER(Q129),IF(Q129&lt;0,"YES","no"),"")</f>
        <v>no</v>
      </c>
      <c r="BN129" s="36" t="str">
        <f aca="false">IFERROR(IF(AND(ISNUMBER(K129),ISNUMBER(INDEX('Lift Inputs'!$H:$H,MATCH(C129,'Lift Inputs'!$C:$C,0)))),IF(K129&lt;INDEX('Lift Inputs'!$H:$H,MATCH(C129,'Lift Inputs'!$C:$C,0)),"YES","no"),""),"")</f>
        <v/>
      </c>
      <c r="BO129" s="44"/>
    </row>
    <row r="130" customFormat="false" ht="15" hidden="false" customHeight="false" outlineLevel="0" collapsed="false">
      <c r="A130" s="15" t="s">
        <v>37</v>
      </c>
      <c r="B130" s="15" t="s">
        <v>55</v>
      </c>
      <c r="C130" s="15" t="n">
        <v>32</v>
      </c>
      <c r="D130" s="15" t="s">
        <v>200</v>
      </c>
      <c r="E130" s="15" t="n">
        <v>1521</v>
      </c>
      <c r="F130" s="15" t="s">
        <v>399</v>
      </c>
      <c r="G130" s="15" t="s">
        <v>467</v>
      </c>
      <c r="H130" s="15" t="s">
        <v>467</v>
      </c>
      <c r="I130" s="15" t="s">
        <v>468</v>
      </c>
      <c r="J130" s="15" t="s">
        <v>178</v>
      </c>
      <c r="K130" s="35" t="n">
        <v>109.99</v>
      </c>
      <c r="L130" s="35"/>
      <c r="M130" s="23" t="str">
        <f aca="false">IF(AND(ISNUMBER(L130),ISNUMBER(K130),K130&gt;0),L130/K130-1,"")</f>
        <v/>
      </c>
      <c r="N130" s="36" t="str">
        <f aca="false">IF(M130="","No List Price",IF(M130&lt;=0,"At/below price",IF(M130&lt;=0.12,"&lt;=12% (STR zone)",IF(M130&lt;=0.25,"12-25%","&gt;25% (likely ignored)"))))</f>
        <v>No List Price</v>
      </c>
      <c r="O130" s="15"/>
      <c r="P130" s="35" t="n">
        <v>64.99</v>
      </c>
      <c r="Q130" s="22" t="n">
        <f aca="false">IF(AND(ISNUMBER(K130),ISNUMBER(P130),N(P130)&gt;0),K130/P130-1,"")</f>
        <v>0.692414217571934</v>
      </c>
      <c r="R130" s="15" t="s">
        <v>353</v>
      </c>
      <c r="S130" s="37" t="n">
        <v>1506045</v>
      </c>
      <c r="T130" s="37" t="n">
        <v>5</v>
      </c>
      <c r="U130" s="38" t="n">
        <f aca="false">IF(AND(ISNUMBER(K130),ISNUMBER(T130)),K130*T130*52/12,"")</f>
        <v>2383.11666666667</v>
      </c>
      <c r="V130" s="15" t="n">
        <v>4.5</v>
      </c>
      <c r="W130" s="37" t="n">
        <v>39</v>
      </c>
      <c r="X130" s="39" t="n">
        <v>46307</v>
      </c>
      <c r="Y130" s="15" t="n">
        <v>1</v>
      </c>
      <c r="Z130" s="40" t="n">
        <v>45716</v>
      </c>
      <c r="AA130" s="41" t="n">
        <f aca="false">IF(ISNUMBER(Z130),(DATE(2026,10,13)-Z130)/365,"")</f>
        <v>1.62191780821918</v>
      </c>
      <c r="AB130" s="37" t="n">
        <v>12</v>
      </c>
      <c r="AC130" s="15" t="s">
        <v>465</v>
      </c>
      <c r="AD130" s="15" t="n">
        <v>0</v>
      </c>
      <c r="AE130" s="15" t="s">
        <v>466</v>
      </c>
      <c r="AF130" s="42" t="n">
        <v>0</v>
      </c>
      <c r="AG130" s="42" t="n">
        <v>0</v>
      </c>
      <c r="AH130" s="15" t="n">
        <v>0</v>
      </c>
      <c r="AI130" s="37"/>
      <c r="AJ130" s="37"/>
      <c r="AK130" s="15"/>
      <c r="AL130" s="43"/>
      <c r="AM130" s="43"/>
      <c r="AN130" s="25" t="str">
        <f aca="false">IF(AND(ISNUMBER(AM130),ISNUMBER(AL130),AL130&gt;=5),AM130/AL130,"")</f>
        <v/>
      </c>
      <c r="AO130" s="43"/>
      <c r="AP130" s="43"/>
      <c r="AQ130" s="25" t="str">
        <f aca="false">IF(AND(ISNUMBER(AP130),ISNUMBER(AO130),AO130&gt;=5),AP130/AO130,"")</f>
        <v/>
      </c>
      <c r="AR130" s="43"/>
      <c r="AS130" s="43"/>
      <c r="AT130" s="22" t="str">
        <f aca="false">IF(AND(ISNUMBER(AS130),ISNUMBER(AR130),AR130&gt;0),AS130/AR130-1,"")</f>
        <v/>
      </c>
      <c r="AU130" s="44"/>
      <c r="AV130" s="44"/>
      <c r="AW130" s="44"/>
      <c r="AX130" s="44"/>
      <c r="AY130" s="44"/>
      <c r="AZ130" s="45"/>
      <c r="BA130" s="45"/>
      <c r="BB130" s="46"/>
      <c r="BC130" s="46"/>
      <c r="BD130" s="23" t="str">
        <f aca="false">IF(AND(ISNUMBER(BB130),ISNUMBER(BC130),BB130&gt;0),1-BC130/BB130,"")</f>
        <v/>
      </c>
      <c r="BE130" s="47"/>
      <c r="BF130" s="48"/>
      <c r="BG130" s="48"/>
      <c r="BH130" s="27" t="str">
        <f aca="false">IF(AND(ISNUMBER(BF130),ISNUMBER(BG130),BG130&gt;0),BF130/BG130,"")</f>
        <v/>
      </c>
      <c r="BI130" s="48"/>
      <c r="BJ130" s="44"/>
      <c r="BK130" s="46"/>
      <c r="BL130" s="46"/>
      <c r="BM130" s="36" t="str">
        <f aca="false">IF(ISNUMBER(Q130),IF(Q130&lt;0,"YES","no"),"")</f>
        <v>no</v>
      </c>
      <c r="BN130" s="36" t="str">
        <f aca="false">IFERROR(IF(AND(ISNUMBER(K130),ISNUMBER(INDEX('Lift Inputs'!$H:$H,MATCH(C130,'Lift Inputs'!$C:$C,0)))),IF(K130&lt;INDEX('Lift Inputs'!$H:$H,MATCH(C130,'Lift Inputs'!$C:$C,0)),"YES","no"),""),"")</f>
        <v/>
      </c>
      <c r="BO130" s="44"/>
    </row>
    <row r="131" customFormat="false" ht="15" hidden="false" customHeight="false" outlineLevel="0" collapsed="false">
      <c r="A131" s="15" t="s">
        <v>37</v>
      </c>
      <c r="B131" s="15" t="s">
        <v>55</v>
      </c>
      <c r="C131" s="15" t="n">
        <v>32</v>
      </c>
      <c r="D131" s="15" t="s">
        <v>200</v>
      </c>
      <c r="E131" s="15" t="n">
        <v>180</v>
      </c>
      <c r="F131" s="15" t="s">
        <v>399</v>
      </c>
      <c r="G131" s="15" t="s">
        <v>463</v>
      </c>
      <c r="H131" s="15" t="s">
        <v>463</v>
      </c>
      <c r="I131" s="15" t="s">
        <v>464</v>
      </c>
      <c r="J131" s="15" t="s">
        <v>178</v>
      </c>
      <c r="K131" s="35" t="n">
        <v>46.74</v>
      </c>
      <c r="L131" s="35"/>
      <c r="M131" s="23" t="str">
        <f aca="false">IF(AND(ISNUMBER(L131),ISNUMBER(K131),K131&gt;0),L131/K131-1,"")</f>
        <v/>
      </c>
      <c r="N131" s="36" t="str">
        <f aca="false">IF(M131="","No List Price",IF(M131&lt;=0,"At/below price",IF(M131&lt;=0.12,"&lt;=12% (STR zone)",IF(M131&lt;=0.25,"12-25%","&gt;25% (likely ignored)"))))</f>
        <v>No List Price</v>
      </c>
      <c r="O131" s="15"/>
      <c r="P131" s="35" t="n">
        <v>64.99</v>
      </c>
      <c r="Q131" s="22" t="n">
        <f aca="false">IF(AND(ISNUMBER(K131),ISNUMBER(P131),N(P131)&gt;0),K131/P131-1,"")</f>
        <v>-0.280812432681951</v>
      </c>
      <c r="R131" s="15" t="s">
        <v>353</v>
      </c>
      <c r="S131" s="37" t="n">
        <v>2065761</v>
      </c>
      <c r="T131" s="37" t="n">
        <v>5</v>
      </c>
      <c r="U131" s="38" t="n">
        <f aca="false">IF(AND(ISNUMBER(K131),ISNUMBER(T131)),K131*T131*52/12,"")</f>
        <v>1012.7</v>
      </c>
      <c r="V131" s="15" t="n">
        <v>4.5</v>
      </c>
      <c r="W131" s="37" t="n">
        <v>11</v>
      </c>
      <c r="X131" s="39" t="n">
        <v>46307</v>
      </c>
      <c r="Y131" s="15" t="n">
        <v>1</v>
      </c>
      <c r="Z131" s="40" t="n">
        <v>46078</v>
      </c>
      <c r="AA131" s="41" t="n">
        <f aca="false">IF(ISNUMBER(Z131),(DATE(2026,10,13)-Z131)/365,"")</f>
        <v>0.63013698630137</v>
      </c>
      <c r="AB131" s="37" t="n">
        <v>5</v>
      </c>
      <c r="AC131" s="15" t="s">
        <v>465</v>
      </c>
      <c r="AD131" s="15" t="n">
        <v>0</v>
      </c>
      <c r="AE131" s="15" t="s">
        <v>466</v>
      </c>
      <c r="AF131" s="42" t="n">
        <v>0</v>
      </c>
      <c r="AG131" s="42" t="n">
        <v>0</v>
      </c>
      <c r="AH131" s="15" t="n">
        <v>0</v>
      </c>
      <c r="AI131" s="37"/>
      <c r="AJ131" s="37"/>
      <c r="AK131" s="15"/>
      <c r="AL131" s="43"/>
      <c r="AM131" s="43"/>
      <c r="AN131" s="25" t="str">
        <f aca="false">IF(AND(ISNUMBER(AM131),ISNUMBER(AL131),AL131&gt;=5),AM131/AL131,"")</f>
        <v/>
      </c>
      <c r="AO131" s="43"/>
      <c r="AP131" s="43"/>
      <c r="AQ131" s="25" t="str">
        <f aca="false">IF(AND(ISNUMBER(AP131),ISNUMBER(AO131),AO131&gt;=5),AP131/AO131,"")</f>
        <v/>
      </c>
      <c r="AR131" s="43"/>
      <c r="AS131" s="43"/>
      <c r="AT131" s="22" t="str">
        <f aca="false">IF(AND(ISNUMBER(AS131),ISNUMBER(AR131),AR131&gt;0),AS131/AR131-1,"")</f>
        <v/>
      </c>
      <c r="AU131" s="44"/>
      <c r="AV131" s="44"/>
      <c r="AW131" s="44"/>
      <c r="AX131" s="44"/>
      <c r="AY131" s="44"/>
      <c r="AZ131" s="45"/>
      <c r="BA131" s="45"/>
      <c r="BB131" s="46"/>
      <c r="BC131" s="46"/>
      <c r="BD131" s="23" t="str">
        <f aca="false">IF(AND(ISNUMBER(BB131),ISNUMBER(BC131),BB131&gt;0),1-BC131/BB131,"")</f>
        <v/>
      </c>
      <c r="BE131" s="47"/>
      <c r="BF131" s="48"/>
      <c r="BG131" s="48"/>
      <c r="BH131" s="27" t="str">
        <f aca="false">IF(AND(ISNUMBER(BF131),ISNUMBER(BG131),BG131&gt;0),BF131/BG131,"")</f>
        <v/>
      </c>
      <c r="BI131" s="48"/>
      <c r="BJ131" s="44"/>
      <c r="BK131" s="46"/>
      <c r="BL131" s="46"/>
      <c r="BM131" s="36" t="str">
        <f aca="false">IF(ISNUMBER(Q131),IF(Q131&lt;0,"YES","no"),"")</f>
        <v>YES</v>
      </c>
      <c r="BN131" s="36" t="str">
        <f aca="false">IFERROR(IF(AND(ISNUMBER(K131),ISNUMBER(INDEX('Lift Inputs'!$H:$H,MATCH(C131,'Lift Inputs'!$C:$C,0)))),IF(K131&lt;INDEX('Lift Inputs'!$H:$H,MATCH(C131,'Lift Inputs'!$C:$C,0)),"YES","no"),""),"")</f>
        <v/>
      </c>
      <c r="BO131" s="44"/>
    </row>
    <row r="132" customFormat="false" ht="15" hidden="false" customHeight="false" outlineLevel="0" collapsed="false">
      <c r="A132" s="15" t="s">
        <v>37</v>
      </c>
      <c r="B132" s="15" t="s">
        <v>55</v>
      </c>
      <c r="C132" s="15" t="n">
        <v>32</v>
      </c>
      <c r="D132" s="15" t="s">
        <v>200</v>
      </c>
      <c r="E132" s="15" t="n">
        <v>5</v>
      </c>
      <c r="F132" s="15" t="s">
        <v>399</v>
      </c>
      <c r="G132" s="15" t="s">
        <v>469</v>
      </c>
      <c r="H132" s="15" t="s">
        <v>470</v>
      </c>
      <c r="I132" s="15" t="s">
        <v>407</v>
      </c>
      <c r="J132" s="15" t="s">
        <v>178</v>
      </c>
      <c r="K132" s="35" t="n">
        <v>109.99</v>
      </c>
      <c r="L132" s="35"/>
      <c r="M132" s="23" t="str">
        <f aca="false">IF(AND(ISNUMBER(L132),ISNUMBER(K132),K132&gt;0),L132/K132-1,"")</f>
        <v/>
      </c>
      <c r="N132" s="36" t="str">
        <f aca="false">IF(M132="","No List Price",IF(M132&lt;=0,"At/below price",IF(M132&lt;=0.12,"&lt;=12% (STR zone)",IF(M132&lt;=0.25,"12-25%","&gt;25% (likely ignored)"))))</f>
        <v>No List Price</v>
      </c>
      <c r="O132" s="15"/>
      <c r="P132" s="35" t="n">
        <v>64.99</v>
      </c>
      <c r="Q132" s="22" t="n">
        <f aca="false">IF(AND(ISNUMBER(K132),ISNUMBER(P132),N(P132)&gt;0),K132/P132-1,"")</f>
        <v>0.692414217571934</v>
      </c>
      <c r="R132" s="15" t="s">
        <v>353</v>
      </c>
      <c r="S132" s="37" t="n">
        <v>4355899</v>
      </c>
      <c r="T132" s="37" t="n">
        <v>5</v>
      </c>
      <c r="U132" s="38" t="n">
        <f aca="false">IF(AND(ISNUMBER(K132),ISNUMBER(T132)),K132*T132*52/12,"")</f>
        <v>2383.11666666667</v>
      </c>
      <c r="V132" s="15" t="n">
        <v>4.5</v>
      </c>
      <c r="W132" s="37" t="n">
        <v>2</v>
      </c>
      <c r="X132" s="39" t="n">
        <v>46307</v>
      </c>
      <c r="Y132" s="15"/>
      <c r="Z132" s="40"/>
      <c r="AA132" s="41" t="str">
        <f aca="false">IF(ISNUMBER(Z132),(DATE(2026,10,13)-Z132)/365,"")</f>
        <v/>
      </c>
      <c r="AB132" s="37"/>
      <c r="AC132" s="15"/>
      <c r="AD132" s="15"/>
      <c r="AE132" s="15"/>
      <c r="AF132" s="42"/>
      <c r="AG132" s="42"/>
      <c r="AH132" s="15"/>
      <c r="AI132" s="37"/>
      <c r="AJ132" s="37"/>
      <c r="AK132" s="15"/>
      <c r="AL132" s="43"/>
      <c r="AM132" s="43"/>
      <c r="AN132" s="25" t="str">
        <f aca="false">IF(AND(ISNUMBER(AM132),ISNUMBER(AL132),AL132&gt;=5),AM132/AL132,"")</f>
        <v/>
      </c>
      <c r="AO132" s="43"/>
      <c r="AP132" s="43"/>
      <c r="AQ132" s="25" t="str">
        <f aca="false">IF(AND(ISNUMBER(AP132),ISNUMBER(AO132),AO132&gt;=5),AP132/AO132,"")</f>
        <v/>
      </c>
      <c r="AR132" s="43"/>
      <c r="AS132" s="43"/>
      <c r="AT132" s="22" t="str">
        <f aca="false">IF(AND(ISNUMBER(AS132),ISNUMBER(AR132),AR132&gt;0),AS132/AR132-1,"")</f>
        <v/>
      </c>
      <c r="AU132" s="44"/>
      <c r="AV132" s="44"/>
      <c r="AW132" s="44"/>
      <c r="AX132" s="44"/>
      <c r="AY132" s="44"/>
      <c r="AZ132" s="45"/>
      <c r="BA132" s="45"/>
      <c r="BB132" s="46"/>
      <c r="BC132" s="46"/>
      <c r="BD132" s="23" t="str">
        <f aca="false">IF(AND(ISNUMBER(BB132),ISNUMBER(BC132),BB132&gt;0),1-BC132/BB132,"")</f>
        <v/>
      </c>
      <c r="BE132" s="47"/>
      <c r="BF132" s="48"/>
      <c r="BG132" s="48"/>
      <c r="BH132" s="27" t="str">
        <f aca="false">IF(AND(ISNUMBER(BF132),ISNUMBER(BG132),BG132&gt;0),BF132/BG132,"")</f>
        <v/>
      </c>
      <c r="BI132" s="48"/>
      <c r="BJ132" s="44"/>
      <c r="BK132" s="46"/>
      <c r="BL132" s="46"/>
      <c r="BM132" s="36" t="str">
        <f aca="false">IF(ISNUMBER(Q132),IF(Q132&lt;0,"YES","no"),"")</f>
        <v>no</v>
      </c>
      <c r="BN132" s="36" t="str">
        <f aca="false">IFERROR(IF(AND(ISNUMBER(K132),ISNUMBER(INDEX('Lift Inputs'!$H:$H,MATCH(C132,'Lift Inputs'!$C:$C,0)))),IF(K132&lt;INDEX('Lift Inputs'!$H:$H,MATCH(C132,'Lift Inputs'!$C:$C,0)),"YES","no"),""),"")</f>
        <v/>
      </c>
      <c r="BO132" s="44"/>
    </row>
    <row r="133" customFormat="false" ht="15" hidden="false" customHeight="false" outlineLevel="0" collapsed="false">
      <c r="A133" s="15" t="s">
        <v>37</v>
      </c>
      <c r="B133" s="15" t="s">
        <v>55</v>
      </c>
      <c r="C133" s="15" t="n">
        <v>32</v>
      </c>
      <c r="D133" s="15" t="s">
        <v>200</v>
      </c>
      <c r="E133" s="15" t="n">
        <v>23</v>
      </c>
      <c r="F133" s="15" t="s">
        <v>471</v>
      </c>
      <c r="G133" s="15" t="s">
        <v>472</v>
      </c>
      <c r="H133" s="15" t="s">
        <v>473</v>
      </c>
      <c r="I133" s="15" t="s">
        <v>474</v>
      </c>
      <c r="J133" s="15" t="s">
        <v>178</v>
      </c>
      <c r="K133" s="35" t="n">
        <v>174.3</v>
      </c>
      <c r="L133" s="35"/>
      <c r="M133" s="23" t="str">
        <f aca="false">IF(AND(ISNUMBER(L133),ISNUMBER(K133),K133&gt;0),L133/K133-1,"")</f>
        <v/>
      </c>
      <c r="N133" s="36" t="str">
        <f aca="false">IF(M133="","No List Price",IF(M133&lt;=0,"At/below price",IF(M133&lt;=0.12,"&lt;=12% (STR zone)",IF(M133&lt;=0.25,"12-25%","&gt;25% (likely ignored)"))))</f>
        <v>No List Price</v>
      </c>
      <c r="O133" s="15"/>
      <c r="P133" s="35" t="n">
        <v>64.99</v>
      </c>
      <c r="Q133" s="22" t="n">
        <f aca="false">IF(AND(ISNUMBER(K133),ISNUMBER(P133),N(P133)&gt;0),K133/P133-1,"")</f>
        <v>1.68195106939529</v>
      </c>
      <c r="R133" s="15" t="s">
        <v>353</v>
      </c>
      <c r="S133" s="37" t="n">
        <v>591414</v>
      </c>
      <c r="T133" s="37" t="n">
        <v>5</v>
      </c>
      <c r="U133" s="38" t="n">
        <f aca="false">IF(AND(ISNUMBER(K133),ISNUMBER(T133)),K133*T133*52/12,"")</f>
        <v>3776.5</v>
      </c>
      <c r="V133" s="15" t="n">
        <v>4.3</v>
      </c>
      <c r="W133" s="37" t="n">
        <v>35</v>
      </c>
      <c r="X133" s="39" t="n">
        <v>46307</v>
      </c>
      <c r="Y133" s="15"/>
      <c r="Z133" s="40"/>
      <c r="AA133" s="41" t="str">
        <f aca="false">IF(ISNUMBER(Z133),(DATE(2026,10,13)-Z133)/365,"")</f>
        <v/>
      </c>
      <c r="AB133" s="37"/>
      <c r="AC133" s="15"/>
      <c r="AD133" s="15"/>
      <c r="AE133" s="15"/>
      <c r="AF133" s="42"/>
      <c r="AG133" s="42"/>
      <c r="AH133" s="15"/>
      <c r="AI133" s="37"/>
      <c r="AJ133" s="37"/>
      <c r="AK133" s="15"/>
      <c r="AL133" s="43"/>
      <c r="AM133" s="43"/>
      <c r="AN133" s="25" t="str">
        <f aca="false">IF(AND(ISNUMBER(AM133),ISNUMBER(AL133),AL133&gt;=5),AM133/AL133,"")</f>
        <v/>
      </c>
      <c r="AO133" s="43"/>
      <c r="AP133" s="43"/>
      <c r="AQ133" s="25" t="str">
        <f aca="false">IF(AND(ISNUMBER(AP133),ISNUMBER(AO133),AO133&gt;=5),AP133/AO133,"")</f>
        <v/>
      </c>
      <c r="AR133" s="43"/>
      <c r="AS133" s="43"/>
      <c r="AT133" s="22" t="str">
        <f aca="false">IF(AND(ISNUMBER(AS133),ISNUMBER(AR133),AR133&gt;0),AS133/AR133-1,"")</f>
        <v/>
      </c>
      <c r="AU133" s="44"/>
      <c r="AV133" s="44"/>
      <c r="AW133" s="44"/>
      <c r="AX133" s="44"/>
      <c r="AY133" s="44"/>
      <c r="AZ133" s="45"/>
      <c r="BA133" s="45"/>
      <c r="BB133" s="46"/>
      <c r="BC133" s="46"/>
      <c r="BD133" s="23" t="str">
        <f aca="false">IF(AND(ISNUMBER(BB133),ISNUMBER(BC133),BB133&gt;0),1-BC133/BB133,"")</f>
        <v/>
      </c>
      <c r="BE133" s="47"/>
      <c r="BF133" s="48"/>
      <c r="BG133" s="48"/>
      <c r="BH133" s="27" t="str">
        <f aca="false">IF(AND(ISNUMBER(BF133),ISNUMBER(BG133),BG133&gt;0),BF133/BG133,"")</f>
        <v/>
      </c>
      <c r="BI133" s="48"/>
      <c r="BJ133" s="44"/>
      <c r="BK133" s="46"/>
      <c r="BL133" s="46"/>
      <c r="BM133" s="36" t="str">
        <f aca="false">IF(ISNUMBER(Q133),IF(Q133&lt;0,"YES","no"),"")</f>
        <v>no</v>
      </c>
      <c r="BN133" s="36" t="str">
        <f aca="false">IFERROR(IF(AND(ISNUMBER(K133),ISNUMBER(INDEX('Lift Inputs'!$H:$H,MATCH(C133,'Lift Inputs'!$C:$C,0)))),IF(K133&lt;INDEX('Lift Inputs'!$H:$H,MATCH(C133,'Lift Inputs'!$C:$C,0)),"YES","no"),""),"")</f>
        <v/>
      </c>
      <c r="BO133" s="44"/>
    </row>
    <row r="134" customFormat="false" ht="15" hidden="false" customHeight="false" outlineLevel="0" collapsed="false">
      <c r="A134" s="15" t="s">
        <v>37</v>
      </c>
      <c r="B134" s="15" t="s">
        <v>61</v>
      </c>
      <c r="C134" s="15" t="n">
        <v>36</v>
      </c>
      <c r="D134" s="15" t="s">
        <v>200</v>
      </c>
      <c r="E134" s="15" t="n">
        <v>4</v>
      </c>
      <c r="F134" s="15" t="s">
        <v>316</v>
      </c>
      <c r="G134" s="15" t="s">
        <v>317</v>
      </c>
      <c r="H134" s="15" t="s">
        <v>318</v>
      </c>
      <c r="I134" s="15" t="s">
        <v>319</v>
      </c>
      <c r="J134" s="15" t="s">
        <v>176</v>
      </c>
      <c r="K134" s="35" t="n">
        <v>109.99</v>
      </c>
      <c r="L134" s="35"/>
      <c r="M134" s="23" t="str">
        <f aca="false">IF(AND(ISNUMBER(L134),ISNUMBER(K134),K134&gt;0),L134/K134-1,"")</f>
        <v/>
      </c>
      <c r="N134" s="36" t="str">
        <f aca="false">IF(M134="","No List Price",IF(M134&lt;=0,"At/below price",IF(M134&lt;=0.12,"&lt;=12% (STR zone)",IF(M134&lt;=0.25,"12-25%","&gt;25% (likely ignored)"))))</f>
        <v>No List Price</v>
      </c>
      <c r="O134" s="15" t="s">
        <v>320</v>
      </c>
      <c r="P134" s="35" t="n">
        <v>54.99</v>
      </c>
      <c r="Q134" s="22" t="n">
        <f aca="false">IF(AND(ISNUMBER(K134),ISNUMBER(P134),N(P134)&gt;0),K134/P134-1,"")</f>
        <v>1.00018185124568</v>
      </c>
      <c r="R134" s="15" t="s">
        <v>512</v>
      </c>
      <c r="S134" s="37" t="n">
        <v>304</v>
      </c>
      <c r="T134" s="37" t="n">
        <v>809</v>
      </c>
      <c r="U134" s="38" t="n">
        <f aca="false">IF(AND(ISNUMBER(K134),ISNUMBER(T134)),K134*T134*52/12,"")</f>
        <v>385588.276666667</v>
      </c>
      <c r="V134" s="15" t="n">
        <v>4.5</v>
      </c>
      <c r="W134" s="37" t="n">
        <v>21927</v>
      </c>
      <c r="X134" s="39" t="n">
        <v>46307</v>
      </c>
      <c r="Y134" s="15" t="n">
        <v>181</v>
      </c>
      <c r="Z134" s="40" t="n">
        <v>43281</v>
      </c>
      <c r="AA134" s="41" t="n">
        <f aca="false">IF(ISNUMBER(Z134),(DATE(2026,10,13)-Z134)/365,"")</f>
        <v>8.29315068493151</v>
      </c>
      <c r="AB134" s="37" t="n">
        <v>32356</v>
      </c>
      <c r="AC134" s="15" t="s">
        <v>313</v>
      </c>
      <c r="AD134" s="15" t="n">
        <v>2</v>
      </c>
      <c r="AE134" s="15" t="s">
        <v>314</v>
      </c>
      <c r="AF134" s="42" t="n">
        <v>0</v>
      </c>
      <c r="AG134" s="42" t="n">
        <v>0</v>
      </c>
      <c r="AH134" s="15" t="n">
        <v>268</v>
      </c>
      <c r="AI134" s="37" t="n">
        <v>2565055</v>
      </c>
      <c r="AJ134" s="37" t="n">
        <v>8283</v>
      </c>
      <c r="AK134" s="15" t="s">
        <v>315</v>
      </c>
      <c r="AL134" s="43" t="n">
        <v>556.9</v>
      </c>
      <c r="AM134" s="43" t="n">
        <v>657.2</v>
      </c>
      <c r="AN134" s="25" t="n">
        <f aca="false">IF(AND(ISNUMBER(AM134),ISNUMBER(AL134),AL134&gt;=5),AM134/AL134,"")</f>
        <v>1.18010414796193</v>
      </c>
      <c r="AO134" s="43" t="n">
        <v>102</v>
      </c>
      <c r="AP134" s="43" t="n">
        <v>151.8</v>
      </c>
      <c r="AQ134" s="25" t="n">
        <f aca="false">IF(AND(ISNUMBER(AP134),ISNUMBER(AO134),AO134&gt;=5),AP134/AO134,"")</f>
        <v>1.48823529411765</v>
      </c>
      <c r="AR134" s="43" t="n">
        <v>259.8</v>
      </c>
      <c r="AS134" s="43" t="n">
        <v>667.9</v>
      </c>
      <c r="AT134" s="22" t="n">
        <f aca="false">IF(AND(ISNUMBER(AS134),ISNUMBER(AR134),AR134&gt;0),AS134/AR134-1,"")</f>
        <v>1.57082371054657</v>
      </c>
      <c r="AU134" s="44"/>
      <c r="AV134" s="44"/>
      <c r="AW134" s="44"/>
      <c r="AX134" s="44"/>
      <c r="AY134" s="44"/>
      <c r="AZ134" s="45"/>
      <c r="BA134" s="45"/>
      <c r="BB134" s="46"/>
      <c r="BC134" s="46"/>
      <c r="BD134" s="23" t="str">
        <f aca="false">IF(AND(ISNUMBER(BB134),ISNUMBER(BC134),BB134&gt;0),1-BC134/BB134,"")</f>
        <v/>
      </c>
      <c r="BE134" s="47"/>
      <c r="BF134" s="48"/>
      <c r="BG134" s="48"/>
      <c r="BH134" s="27" t="str">
        <f aca="false">IF(AND(ISNUMBER(BF134),ISNUMBER(BG134),BG134&gt;0),BF134/BG134,"")</f>
        <v/>
      </c>
      <c r="BI134" s="48"/>
      <c r="BJ134" s="44"/>
      <c r="BK134" s="46"/>
      <c r="BL134" s="46"/>
      <c r="BM134" s="36" t="str">
        <f aca="false">IF(ISNUMBER(Q134),IF(Q134&lt;0,"YES","no"),"")</f>
        <v>no</v>
      </c>
      <c r="BN134" s="36" t="str">
        <f aca="false">IFERROR(IF(AND(ISNUMBER(K134),ISNUMBER(INDEX('Lift Inputs'!$H:$H,MATCH(C134,'Lift Inputs'!$C:$C,0)))),IF(K134&lt;INDEX('Lift Inputs'!$H:$H,MATCH(C134,'Lift Inputs'!$C:$C,0)),"YES","no"),""),"")</f>
        <v/>
      </c>
      <c r="BO134" s="44"/>
    </row>
    <row r="135" customFormat="false" ht="15" hidden="false" customHeight="false" outlineLevel="0" collapsed="false">
      <c r="A135" s="15" t="s">
        <v>37</v>
      </c>
      <c r="B135" s="15" t="s">
        <v>61</v>
      </c>
      <c r="C135" s="15" t="n">
        <v>36</v>
      </c>
      <c r="D135" s="15" t="s">
        <v>200</v>
      </c>
      <c r="E135" s="15" t="n">
        <v>27</v>
      </c>
      <c r="F135" s="15" t="s">
        <v>322</v>
      </c>
      <c r="G135" s="15" t="s">
        <v>323</v>
      </c>
      <c r="H135" s="15" t="s">
        <v>324</v>
      </c>
      <c r="I135" s="15" t="s">
        <v>325</v>
      </c>
      <c r="J135" s="15" t="s">
        <v>176</v>
      </c>
      <c r="K135" s="35" t="n">
        <v>79.99</v>
      </c>
      <c r="L135" s="35"/>
      <c r="M135" s="23" t="str">
        <f aca="false">IF(AND(ISNUMBER(L135),ISNUMBER(K135),K135&gt;0),L135/K135-1,"")</f>
        <v/>
      </c>
      <c r="N135" s="36" t="str">
        <f aca="false">IF(M135="","No List Price",IF(M135&lt;=0,"At/below price",IF(M135&lt;=0.12,"&lt;=12% (STR zone)",IF(M135&lt;=0.25,"12-25%","&gt;25% (likely ignored)"))))</f>
        <v>No List Price</v>
      </c>
      <c r="O135" s="15" t="s">
        <v>311</v>
      </c>
      <c r="P135" s="35" t="n">
        <v>54.99</v>
      </c>
      <c r="Q135" s="22" t="n">
        <f aca="false">IF(AND(ISNUMBER(K135),ISNUMBER(P135),N(P135)&gt;0),K135/P135-1,"")</f>
        <v>0.454628114202582</v>
      </c>
      <c r="R135" s="15" t="s">
        <v>512</v>
      </c>
      <c r="S135" s="37" t="n">
        <v>2984</v>
      </c>
      <c r="T135" s="37" t="n">
        <v>347</v>
      </c>
      <c r="U135" s="38" t="n">
        <f aca="false">IF(AND(ISNUMBER(K135),ISNUMBER(T135)),K135*T135*52/12,"")</f>
        <v>120278.296666667</v>
      </c>
      <c r="V135" s="15" t="n">
        <v>4.4</v>
      </c>
      <c r="W135" s="37" t="n">
        <v>37179</v>
      </c>
      <c r="X135" s="39" t="n">
        <v>46307</v>
      </c>
      <c r="Y135" s="15" t="n">
        <v>61</v>
      </c>
      <c r="Z135" s="40" t="n">
        <v>42729</v>
      </c>
      <c r="AA135" s="41" t="n">
        <f aca="false">IF(ISNUMBER(Z135),(DATE(2026,10,13)-Z135)/365,"")</f>
        <v>9.80547945205479</v>
      </c>
      <c r="AB135" s="37" t="n">
        <v>8203</v>
      </c>
      <c r="AC135" s="15" t="s">
        <v>313</v>
      </c>
      <c r="AD135" s="15" t="n">
        <v>2</v>
      </c>
      <c r="AE135" s="15" t="s">
        <v>314</v>
      </c>
      <c r="AF135" s="42" t="n">
        <v>0.00210970464135021</v>
      </c>
      <c r="AG135" s="42" t="n">
        <v>0</v>
      </c>
      <c r="AH135" s="15" t="n">
        <v>382</v>
      </c>
      <c r="AI135" s="37" t="n">
        <v>451969</v>
      </c>
      <c r="AJ135" s="37" t="n">
        <v>4094</v>
      </c>
      <c r="AK135" s="15" t="s">
        <v>326</v>
      </c>
      <c r="AL135" s="43" t="n">
        <v>263.5</v>
      </c>
      <c r="AM135" s="43" t="n">
        <v>474.2</v>
      </c>
      <c r="AN135" s="25" t="n">
        <f aca="false">IF(AND(ISNUMBER(AM135),ISNUMBER(AL135),AL135&gt;=5),AM135/AL135,"")</f>
        <v>1.79962049335863</v>
      </c>
      <c r="AO135" s="43" t="n">
        <v>24.4</v>
      </c>
      <c r="AP135" s="43" t="n">
        <v>31</v>
      </c>
      <c r="AQ135" s="25" t="n">
        <f aca="false">IF(AND(ISNUMBER(AP135),ISNUMBER(AO135),AO135&gt;=5),AP135/AO135,"")</f>
        <v>1.27049180327869</v>
      </c>
      <c r="AR135" s="43" t="n">
        <v>372.7</v>
      </c>
      <c r="AS135" s="43" t="n">
        <v>374.5</v>
      </c>
      <c r="AT135" s="22" t="n">
        <f aca="false">IF(AND(ISNUMBER(AS135),ISNUMBER(AR135),AR135&gt;0),AS135/AR135-1,"")</f>
        <v>0.00482962167963508</v>
      </c>
      <c r="AU135" s="44"/>
      <c r="AV135" s="44"/>
      <c r="AW135" s="44"/>
      <c r="AX135" s="44"/>
      <c r="AY135" s="44"/>
      <c r="AZ135" s="45"/>
      <c r="BA135" s="45"/>
      <c r="BB135" s="46"/>
      <c r="BC135" s="46"/>
      <c r="BD135" s="23" t="str">
        <f aca="false">IF(AND(ISNUMBER(BB135),ISNUMBER(BC135),BB135&gt;0),1-BC135/BB135,"")</f>
        <v/>
      </c>
      <c r="BE135" s="47"/>
      <c r="BF135" s="48"/>
      <c r="BG135" s="48"/>
      <c r="BH135" s="27" t="str">
        <f aca="false">IF(AND(ISNUMBER(BF135),ISNUMBER(BG135),BG135&gt;0),BF135/BG135,"")</f>
        <v/>
      </c>
      <c r="BI135" s="48"/>
      <c r="BJ135" s="44"/>
      <c r="BK135" s="46"/>
      <c r="BL135" s="46"/>
      <c r="BM135" s="36" t="str">
        <f aca="false">IF(ISNUMBER(Q135),IF(Q135&lt;0,"YES","no"),"")</f>
        <v>no</v>
      </c>
      <c r="BN135" s="36" t="str">
        <f aca="false">IFERROR(IF(AND(ISNUMBER(K135),ISNUMBER(INDEX('Lift Inputs'!$H:$H,MATCH(C135,'Lift Inputs'!$C:$C,0)))),IF(K135&lt;INDEX('Lift Inputs'!$H:$H,MATCH(C135,'Lift Inputs'!$C:$C,0)),"YES","no"),""),"")</f>
        <v/>
      </c>
      <c r="BO135" s="44"/>
    </row>
    <row r="136" customFormat="false" ht="15" hidden="false" customHeight="false" outlineLevel="0" collapsed="false">
      <c r="A136" s="15" t="s">
        <v>37</v>
      </c>
      <c r="B136" s="15" t="s">
        <v>61</v>
      </c>
      <c r="C136" s="15" t="n">
        <v>36</v>
      </c>
      <c r="D136" s="15" t="s">
        <v>200</v>
      </c>
      <c r="E136" s="15" t="n">
        <v>33</v>
      </c>
      <c r="F136" s="15" t="s">
        <v>332</v>
      </c>
      <c r="G136" s="15" t="s">
        <v>333</v>
      </c>
      <c r="H136" s="15" t="s">
        <v>334</v>
      </c>
      <c r="I136" s="15" t="s">
        <v>335</v>
      </c>
      <c r="J136" s="15" t="s">
        <v>177</v>
      </c>
      <c r="K136" s="35" t="n">
        <v>84.99</v>
      </c>
      <c r="L136" s="35"/>
      <c r="M136" s="23" t="str">
        <f aca="false">IF(AND(ISNUMBER(L136),ISNUMBER(K136),K136&gt;0),L136/K136-1,"")</f>
        <v/>
      </c>
      <c r="N136" s="36" t="str">
        <f aca="false">IF(M136="","No List Price",IF(M136&lt;=0,"At/below price",IF(M136&lt;=0.12,"&lt;=12% (STR zone)",IF(M136&lt;=0.25,"12-25%","&gt;25% (likely ignored)"))))</f>
        <v>No List Price</v>
      </c>
      <c r="O136" s="15" t="s">
        <v>320</v>
      </c>
      <c r="P136" s="35" t="n">
        <v>54.99</v>
      </c>
      <c r="Q136" s="22" t="n">
        <f aca="false">IF(AND(ISNUMBER(K136),ISNUMBER(P136),N(P136)&gt;0),K136/P136-1,"")</f>
        <v>0.545553737043099</v>
      </c>
      <c r="R136" s="15" t="s">
        <v>512</v>
      </c>
      <c r="S136" s="37" t="n">
        <v>5664</v>
      </c>
      <c r="T136" s="37" t="n">
        <v>185</v>
      </c>
      <c r="U136" s="38" t="n">
        <f aca="false">IF(AND(ISNUMBER(K136),ISNUMBER(T136)),K136*T136*52/12,"")</f>
        <v>68133.65</v>
      </c>
      <c r="V136" s="15" t="n">
        <v>4.5</v>
      </c>
      <c r="W136" s="37" t="n">
        <v>263</v>
      </c>
      <c r="X136" s="39" t="n">
        <v>46307</v>
      </c>
      <c r="Y136" s="15" t="n">
        <v>43</v>
      </c>
      <c r="Z136" s="40" t="n">
        <v>45944</v>
      </c>
      <c r="AA136" s="41" t="n">
        <f aca="false">IF(ISNUMBER(Z136),(DATE(2026,10,13)-Z136)/365,"")</f>
        <v>0.997260273972603</v>
      </c>
      <c r="AB136" s="37" t="n">
        <v>5418</v>
      </c>
      <c r="AC136" s="15" t="s">
        <v>313</v>
      </c>
      <c r="AD136" s="15" t="n">
        <v>1</v>
      </c>
      <c r="AE136" s="15" t="s">
        <v>336</v>
      </c>
      <c r="AF136" s="42" t="n">
        <v>0</v>
      </c>
      <c r="AG136" s="42" t="n">
        <v>0</v>
      </c>
      <c r="AH136" s="15" t="n">
        <v>295</v>
      </c>
      <c r="AI136" s="37" t="n">
        <v>334819</v>
      </c>
      <c r="AJ136" s="37" t="n">
        <v>2638</v>
      </c>
      <c r="AK136" s="15" t="s">
        <v>326</v>
      </c>
      <c r="AL136" s="43" t="n">
        <v>198.1</v>
      </c>
      <c r="AM136" s="43" t="n">
        <v>260</v>
      </c>
      <c r="AN136" s="25" t="n">
        <f aca="false">IF(AND(ISNUMBER(AM136),ISNUMBER(AL136),AL136&gt;=5),AM136/AL136,"")</f>
        <v>1.31246845027764</v>
      </c>
      <c r="AO136" s="43" t="n">
        <v>89.9</v>
      </c>
      <c r="AP136" s="43" t="n">
        <v>320.5</v>
      </c>
      <c r="AQ136" s="25" t="n">
        <f aca="false">IF(AND(ISNUMBER(AP136),ISNUMBER(AO136),AO136&gt;=5),AP136/AO136,"")</f>
        <v>3.5650723025584</v>
      </c>
      <c r="AR136" s="43" t="n">
        <v>183.2</v>
      </c>
      <c r="AS136" s="43" t="n">
        <v>230.2</v>
      </c>
      <c r="AT136" s="22" t="n">
        <f aca="false">IF(AND(ISNUMBER(AS136),ISNUMBER(AR136),AR136&gt;0),AS136/AR136-1,"")</f>
        <v>0.256550218340611</v>
      </c>
      <c r="AU136" s="44"/>
      <c r="AV136" s="44"/>
      <c r="AW136" s="44"/>
      <c r="AX136" s="44"/>
      <c r="AY136" s="44"/>
      <c r="AZ136" s="45"/>
      <c r="BA136" s="45"/>
      <c r="BB136" s="46"/>
      <c r="BC136" s="46"/>
      <c r="BD136" s="23" t="str">
        <f aca="false">IF(AND(ISNUMBER(BB136),ISNUMBER(BC136),BB136&gt;0),1-BC136/BB136,"")</f>
        <v/>
      </c>
      <c r="BE136" s="47"/>
      <c r="BF136" s="48"/>
      <c r="BG136" s="48"/>
      <c r="BH136" s="27" t="str">
        <f aca="false">IF(AND(ISNUMBER(BF136),ISNUMBER(BG136),BG136&gt;0),BF136/BG136,"")</f>
        <v/>
      </c>
      <c r="BI136" s="48"/>
      <c r="BJ136" s="44"/>
      <c r="BK136" s="46"/>
      <c r="BL136" s="46"/>
      <c r="BM136" s="36" t="str">
        <f aca="false">IF(ISNUMBER(Q136),IF(Q136&lt;0,"YES","no"),"")</f>
        <v>no</v>
      </c>
      <c r="BN136" s="36" t="str">
        <f aca="false">IFERROR(IF(AND(ISNUMBER(K136),ISNUMBER(INDEX('Lift Inputs'!$H:$H,MATCH(C136,'Lift Inputs'!$C:$C,0)))),IF(K136&lt;INDEX('Lift Inputs'!$H:$H,MATCH(C136,'Lift Inputs'!$C:$C,0)),"YES","no"),""),"")</f>
        <v/>
      </c>
      <c r="BO136" s="44"/>
    </row>
    <row r="137" customFormat="false" ht="15" hidden="false" customHeight="false" outlineLevel="0" collapsed="false">
      <c r="A137" s="15" t="s">
        <v>37</v>
      </c>
      <c r="B137" s="15" t="s">
        <v>61</v>
      </c>
      <c r="C137" s="15" t="n">
        <v>36</v>
      </c>
      <c r="D137" s="15" t="s">
        <v>200</v>
      </c>
      <c r="E137" s="15" t="n">
        <v>3</v>
      </c>
      <c r="F137" s="15" t="s">
        <v>341</v>
      </c>
      <c r="G137" s="15" t="s">
        <v>342</v>
      </c>
      <c r="H137" s="15" t="s">
        <v>343</v>
      </c>
      <c r="I137" s="15" t="s">
        <v>344</v>
      </c>
      <c r="J137" s="15" t="s">
        <v>177</v>
      </c>
      <c r="K137" s="35" t="n">
        <v>89.99</v>
      </c>
      <c r="L137" s="35"/>
      <c r="M137" s="23" t="str">
        <f aca="false">IF(AND(ISNUMBER(L137),ISNUMBER(K137),K137&gt;0),L137/K137-1,"")</f>
        <v/>
      </c>
      <c r="N137" s="36" t="str">
        <f aca="false">IF(M137="","No List Price",IF(M137&lt;=0,"At/below price",IF(M137&lt;=0.12,"&lt;=12% (STR zone)",IF(M137&lt;=0.25,"12-25%","&gt;25% (likely ignored)"))))</f>
        <v>No List Price</v>
      </c>
      <c r="O137" s="15" t="s">
        <v>311</v>
      </c>
      <c r="P137" s="35" t="n">
        <v>54.99</v>
      </c>
      <c r="Q137" s="22" t="n">
        <f aca="false">IF(AND(ISNUMBER(K137),ISNUMBER(P137),N(P137)&gt;0),K137/P137-1,"")</f>
        <v>0.636479359883615</v>
      </c>
      <c r="R137" s="15" t="s">
        <v>512</v>
      </c>
      <c r="S137" s="37" t="n">
        <v>6971</v>
      </c>
      <c r="T137" s="37" t="n">
        <v>104</v>
      </c>
      <c r="U137" s="38" t="n">
        <f aca="false">IF(AND(ISNUMBER(K137),ISNUMBER(T137)),K137*T137*52/12,"")</f>
        <v>40555.4933333333</v>
      </c>
      <c r="V137" s="15" t="n">
        <v>4.3</v>
      </c>
      <c r="W137" s="37" t="n">
        <v>2766</v>
      </c>
      <c r="X137" s="39" t="n">
        <v>46307</v>
      </c>
      <c r="Y137" s="15" t="n">
        <v>104</v>
      </c>
      <c r="Z137" s="40" t="n">
        <v>45649</v>
      </c>
      <c r="AA137" s="41" t="n">
        <f aca="false">IF(ISNUMBER(Z137),(DATE(2026,10,13)-Z137)/365,"")</f>
        <v>1.80547945205479</v>
      </c>
      <c r="AB137" s="37" t="n">
        <v>4777</v>
      </c>
      <c r="AC137" s="15" t="s">
        <v>313</v>
      </c>
      <c r="AD137" s="15" t="n">
        <v>1</v>
      </c>
      <c r="AE137" s="15" t="s">
        <v>345</v>
      </c>
      <c r="AF137" s="42" t="n">
        <v>0</v>
      </c>
      <c r="AG137" s="42" t="n">
        <v>0</v>
      </c>
      <c r="AH137" s="15" t="n">
        <v>190</v>
      </c>
      <c r="AI137" s="37" t="n">
        <v>407949</v>
      </c>
      <c r="AJ137" s="37" t="n">
        <v>2137</v>
      </c>
      <c r="AK137" s="15" t="s">
        <v>326</v>
      </c>
      <c r="AL137" s="43" t="n">
        <v>356.5</v>
      </c>
      <c r="AM137" s="43" t="n">
        <v>490</v>
      </c>
      <c r="AN137" s="25" t="n">
        <f aca="false">IF(AND(ISNUMBER(AM137),ISNUMBER(AL137),AL137&gt;=5),AM137/AL137,"")</f>
        <v>1.37447405329593</v>
      </c>
      <c r="AO137" s="43" t="n">
        <v>57.6</v>
      </c>
      <c r="AP137" s="43" t="n">
        <v>82.5</v>
      </c>
      <c r="AQ137" s="25" t="n">
        <f aca="false">IF(AND(ISNUMBER(AP137),ISNUMBER(AO137),AO137&gt;=5),AP137/AO137,"")</f>
        <v>1.43229166666667</v>
      </c>
      <c r="AR137" s="43" t="n">
        <v>239.9</v>
      </c>
      <c r="AS137" s="43" t="n">
        <v>571.4</v>
      </c>
      <c r="AT137" s="22" t="n">
        <f aca="false">IF(AND(ISNUMBER(AS137),ISNUMBER(AR137),AR137&gt;0),AS137/AR137-1,"")</f>
        <v>1.38182576073364</v>
      </c>
      <c r="AU137" s="44"/>
      <c r="AV137" s="44"/>
      <c r="AW137" s="44"/>
      <c r="AX137" s="44"/>
      <c r="AY137" s="44"/>
      <c r="AZ137" s="45"/>
      <c r="BA137" s="45"/>
      <c r="BB137" s="46"/>
      <c r="BC137" s="46"/>
      <c r="BD137" s="23" t="str">
        <f aca="false">IF(AND(ISNUMBER(BB137),ISNUMBER(BC137),BB137&gt;0),1-BC137/BB137,"")</f>
        <v/>
      </c>
      <c r="BE137" s="47"/>
      <c r="BF137" s="48"/>
      <c r="BG137" s="48"/>
      <c r="BH137" s="27" t="str">
        <f aca="false">IF(AND(ISNUMBER(BF137),ISNUMBER(BG137),BG137&gt;0),BF137/BG137,"")</f>
        <v/>
      </c>
      <c r="BI137" s="48"/>
      <c r="BJ137" s="44"/>
      <c r="BK137" s="46"/>
      <c r="BL137" s="46"/>
      <c r="BM137" s="36" t="str">
        <f aca="false">IF(ISNUMBER(Q137),IF(Q137&lt;0,"YES","no"),"")</f>
        <v>no</v>
      </c>
      <c r="BN137" s="36" t="str">
        <f aca="false">IFERROR(IF(AND(ISNUMBER(K137),ISNUMBER(INDEX('Lift Inputs'!$H:$H,MATCH(C137,'Lift Inputs'!$C:$C,0)))),IF(K137&lt;INDEX('Lift Inputs'!$H:$H,MATCH(C137,'Lift Inputs'!$C:$C,0)),"YES","no"),""),"")</f>
        <v/>
      </c>
      <c r="BO137" s="44"/>
    </row>
    <row r="138" customFormat="false" ht="15" hidden="false" customHeight="false" outlineLevel="0" collapsed="false">
      <c r="A138" s="15" t="s">
        <v>37</v>
      </c>
      <c r="B138" s="15" t="s">
        <v>61</v>
      </c>
      <c r="C138" s="15" t="n">
        <v>36</v>
      </c>
      <c r="D138" s="15" t="s">
        <v>200</v>
      </c>
      <c r="E138" s="15" t="n">
        <v>6</v>
      </c>
      <c r="F138" s="15" t="s">
        <v>307</v>
      </c>
      <c r="G138" s="15" t="s">
        <v>346</v>
      </c>
      <c r="H138" s="15" t="s">
        <v>347</v>
      </c>
      <c r="I138" s="15" t="s">
        <v>348</v>
      </c>
      <c r="J138" s="15" t="s">
        <v>177</v>
      </c>
      <c r="K138" s="35" t="n">
        <v>89.99</v>
      </c>
      <c r="L138" s="35" t="n">
        <v>119.99</v>
      </c>
      <c r="M138" s="23" t="n">
        <f aca="false">IF(AND(ISNUMBER(L138),ISNUMBER(K138),K138&gt;0),L138/K138-1,"")</f>
        <v>0.333370374486054</v>
      </c>
      <c r="N138" s="36" t="str">
        <f aca="false">IF(M138="","No List Price",IF(M138&lt;=0,"At/below price",IF(M138&lt;=0.12,"&lt;=12% (STR zone)",IF(M138&lt;=0.25,"12-25%","&gt;25% (likely ignored)"))))</f>
        <v>&gt;25% (likely ignored)</v>
      </c>
      <c r="O138" s="15" t="s">
        <v>311</v>
      </c>
      <c r="P138" s="35" t="n">
        <v>54.99</v>
      </c>
      <c r="Q138" s="22" t="n">
        <f aca="false">IF(AND(ISNUMBER(K138),ISNUMBER(P138),N(P138)&gt;0),K138/P138-1,"")</f>
        <v>0.636479359883615</v>
      </c>
      <c r="R138" s="15" t="s">
        <v>512</v>
      </c>
      <c r="S138" s="37" t="n">
        <v>8938</v>
      </c>
      <c r="T138" s="37" t="n">
        <v>104</v>
      </c>
      <c r="U138" s="38" t="n">
        <f aca="false">IF(AND(ISNUMBER(K138),ISNUMBER(T138)),K138*T138*52/12,"")</f>
        <v>40555.4933333333</v>
      </c>
      <c r="V138" s="15" t="n">
        <v>4.5</v>
      </c>
      <c r="W138" s="37" t="n">
        <v>588</v>
      </c>
      <c r="X138" s="39" t="n">
        <v>46307</v>
      </c>
      <c r="Y138" s="15" t="n">
        <v>39</v>
      </c>
      <c r="Z138" s="40" t="n">
        <v>45936</v>
      </c>
      <c r="AA138" s="41" t="n">
        <f aca="false">IF(ISNUMBER(Z138),(DATE(2026,10,13)-Z138)/365,"")</f>
        <v>1.01917808219178</v>
      </c>
      <c r="AB138" s="37" t="n">
        <v>4014</v>
      </c>
      <c r="AC138" s="15" t="s">
        <v>313</v>
      </c>
      <c r="AD138" s="15" t="n">
        <v>4</v>
      </c>
      <c r="AE138" s="15" t="s">
        <v>314</v>
      </c>
      <c r="AF138" s="42" t="n">
        <v>0</v>
      </c>
      <c r="AG138" s="42" t="n">
        <v>0</v>
      </c>
      <c r="AH138" s="15" t="n">
        <v>313</v>
      </c>
      <c r="AI138" s="37" t="n">
        <v>840292</v>
      </c>
      <c r="AJ138" s="37" t="n">
        <v>3961</v>
      </c>
      <c r="AK138" s="15" t="s">
        <v>326</v>
      </c>
      <c r="AL138" s="43" t="n">
        <v>279.8</v>
      </c>
      <c r="AM138" s="43" t="n">
        <v>493.8</v>
      </c>
      <c r="AN138" s="25" t="n">
        <f aca="false">IF(AND(ISNUMBER(AM138),ISNUMBER(AL138),AL138&gt;=5),AM138/AL138,"")</f>
        <v>1.76483202287348</v>
      </c>
      <c r="AO138" s="43" t="n">
        <v>320.1</v>
      </c>
      <c r="AP138" s="43" t="n">
        <v>534.8</v>
      </c>
      <c r="AQ138" s="25" t="n">
        <f aca="false">IF(AND(ISNUMBER(AP138),ISNUMBER(AO138),AO138&gt;=5),AP138/AO138,"")</f>
        <v>1.67072789753202</v>
      </c>
      <c r="AR138" s="43" t="n">
        <v>248.7</v>
      </c>
      <c r="AS138" s="43" t="n">
        <v>226.2</v>
      </c>
      <c r="AT138" s="22" t="n">
        <f aca="false">IF(AND(ISNUMBER(AS138),ISNUMBER(AR138),AR138&gt;0),AS138/AR138-1,"")</f>
        <v>-0.0904704463208685</v>
      </c>
      <c r="AU138" s="44"/>
      <c r="AV138" s="44"/>
      <c r="AW138" s="44"/>
      <c r="AX138" s="44"/>
      <c r="AY138" s="44"/>
      <c r="AZ138" s="45"/>
      <c r="BA138" s="45"/>
      <c r="BB138" s="46"/>
      <c r="BC138" s="46"/>
      <c r="BD138" s="23" t="str">
        <f aca="false">IF(AND(ISNUMBER(BB138),ISNUMBER(BC138),BB138&gt;0),1-BC138/BB138,"")</f>
        <v/>
      </c>
      <c r="BE138" s="47"/>
      <c r="BF138" s="48"/>
      <c r="BG138" s="48"/>
      <c r="BH138" s="27" t="str">
        <f aca="false">IF(AND(ISNUMBER(BF138),ISNUMBER(BG138),BG138&gt;0),BF138/BG138,"")</f>
        <v/>
      </c>
      <c r="BI138" s="48"/>
      <c r="BJ138" s="44"/>
      <c r="BK138" s="46"/>
      <c r="BL138" s="46"/>
      <c r="BM138" s="36" t="str">
        <f aca="false">IF(ISNUMBER(Q138),IF(Q138&lt;0,"YES","no"),"")</f>
        <v>no</v>
      </c>
      <c r="BN138" s="36" t="str">
        <f aca="false">IFERROR(IF(AND(ISNUMBER(K138),ISNUMBER(INDEX('Lift Inputs'!$H:$H,MATCH(C138,'Lift Inputs'!$C:$C,0)))),IF(K138&lt;INDEX('Lift Inputs'!$H:$H,MATCH(C138,'Lift Inputs'!$C:$C,0)),"YES","no"),""),"")</f>
        <v/>
      </c>
      <c r="BO138" s="44"/>
    </row>
    <row r="139" customFormat="false" ht="15" hidden="false" customHeight="false" outlineLevel="0" collapsed="false">
      <c r="A139" s="15" t="s">
        <v>37</v>
      </c>
      <c r="B139" s="15" t="s">
        <v>61</v>
      </c>
      <c r="C139" s="15" t="n">
        <v>36</v>
      </c>
      <c r="D139" s="15" t="s">
        <v>200</v>
      </c>
      <c r="E139" s="15" t="n">
        <v>1507</v>
      </c>
      <c r="F139" s="15" t="s">
        <v>349</v>
      </c>
      <c r="G139" s="15" t="s">
        <v>350</v>
      </c>
      <c r="H139" s="15" t="s">
        <v>351</v>
      </c>
      <c r="I139" s="15" t="s">
        <v>352</v>
      </c>
      <c r="J139" s="15" t="s">
        <v>177</v>
      </c>
      <c r="K139" s="35" t="n">
        <v>79.99</v>
      </c>
      <c r="L139" s="35"/>
      <c r="M139" s="23" t="str">
        <f aca="false">IF(AND(ISNUMBER(L139),ISNUMBER(K139),K139&gt;0),L139/K139-1,"")</f>
        <v/>
      </c>
      <c r="N139" s="36" t="str">
        <f aca="false">IF(M139="","No List Price",IF(M139&lt;=0,"At/below price",IF(M139&lt;=0.12,"&lt;=12% (STR zone)",IF(M139&lt;=0.25,"12-25%","&gt;25% (likely ignored)"))))</f>
        <v>No List Price</v>
      </c>
      <c r="O139" s="15"/>
      <c r="P139" s="35" t="n">
        <v>54.99</v>
      </c>
      <c r="Q139" s="22" t="n">
        <f aca="false">IF(AND(ISNUMBER(K139),ISNUMBER(P139),N(P139)&gt;0),K139/P139-1,"")</f>
        <v>0.454628114202582</v>
      </c>
      <c r="R139" s="15" t="s">
        <v>512</v>
      </c>
      <c r="S139" s="37" t="n">
        <v>7961</v>
      </c>
      <c r="T139" s="37" t="n">
        <v>104</v>
      </c>
      <c r="U139" s="38" t="n">
        <f aca="false">IF(AND(ISNUMBER(K139),ISNUMBER(T139)),K139*T139*52/12,"")</f>
        <v>36048.8266666667</v>
      </c>
      <c r="V139" s="15" t="n">
        <v>4.5</v>
      </c>
      <c r="W139" s="37" t="n">
        <v>3776</v>
      </c>
      <c r="X139" s="39" t="n">
        <v>46307</v>
      </c>
      <c r="Y139" s="15"/>
      <c r="Z139" s="40"/>
      <c r="AA139" s="41" t="str">
        <f aca="false">IF(ISNUMBER(Z139),(DATE(2026,10,13)-Z139)/365,"")</f>
        <v/>
      </c>
      <c r="AB139" s="37"/>
      <c r="AC139" s="15"/>
      <c r="AD139" s="15"/>
      <c r="AE139" s="15"/>
      <c r="AF139" s="42"/>
      <c r="AG139" s="42"/>
      <c r="AH139" s="15"/>
      <c r="AI139" s="37" t="n">
        <v>185157</v>
      </c>
      <c r="AJ139" s="37" t="n">
        <v>1447</v>
      </c>
      <c r="AK139" s="15" t="s">
        <v>326</v>
      </c>
      <c r="AL139" s="43" t="n">
        <v>295.1</v>
      </c>
      <c r="AM139" s="43" t="n">
        <v>388</v>
      </c>
      <c r="AN139" s="25" t="n">
        <f aca="false">IF(AND(ISNUMBER(AM139),ISNUMBER(AL139),AL139&gt;=5),AM139/AL139,"")</f>
        <v>1.31480853947814</v>
      </c>
      <c r="AO139" s="43" t="n">
        <v>1.1</v>
      </c>
      <c r="AP139" s="43" t="n">
        <v>0.5</v>
      </c>
      <c r="AQ139" s="25" t="str">
        <f aca="false">IF(AND(ISNUMBER(AP139),ISNUMBER(AO139),AO139&gt;=5),AP139/AO139,"")</f>
        <v/>
      </c>
      <c r="AR139" s="43" t="n">
        <v>254.1</v>
      </c>
      <c r="AS139" s="43" t="n">
        <v>411.3</v>
      </c>
      <c r="AT139" s="22" t="n">
        <f aca="false">IF(AND(ISNUMBER(AS139),ISNUMBER(AR139),AR139&gt;0),AS139/AR139-1,"")</f>
        <v>0.618654073199528</v>
      </c>
      <c r="AU139" s="44"/>
      <c r="AV139" s="44"/>
      <c r="AW139" s="44"/>
      <c r="AX139" s="44"/>
      <c r="AY139" s="44"/>
      <c r="AZ139" s="45"/>
      <c r="BA139" s="45"/>
      <c r="BB139" s="46"/>
      <c r="BC139" s="46"/>
      <c r="BD139" s="23" t="str">
        <f aca="false">IF(AND(ISNUMBER(BB139),ISNUMBER(BC139),BB139&gt;0),1-BC139/BB139,"")</f>
        <v/>
      </c>
      <c r="BE139" s="47"/>
      <c r="BF139" s="48"/>
      <c r="BG139" s="48"/>
      <c r="BH139" s="27" t="str">
        <f aca="false">IF(AND(ISNUMBER(BF139),ISNUMBER(BG139),BG139&gt;0),BF139/BG139,"")</f>
        <v/>
      </c>
      <c r="BI139" s="48"/>
      <c r="BJ139" s="44"/>
      <c r="BK139" s="46"/>
      <c r="BL139" s="46"/>
      <c r="BM139" s="36" t="str">
        <f aca="false">IF(ISNUMBER(Q139),IF(Q139&lt;0,"YES","no"),"")</f>
        <v>no</v>
      </c>
      <c r="BN139" s="36" t="str">
        <f aca="false">IFERROR(IF(AND(ISNUMBER(K139),ISNUMBER(INDEX('Lift Inputs'!$H:$H,MATCH(C139,'Lift Inputs'!$C:$C,0)))),IF(K139&lt;INDEX('Lift Inputs'!$H:$H,MATCH(C139,'Lift Inputs'!$C:$C,0)),"YES","no"),""),"")</f>
        <v/>
      </c>
      <c r="BO139" s="44"/>
    </row>
    <row r="140" customFormat="false" ht="15" hidden="false" customHeight="false" outlineLevel="0" collapsed="false">
      <c r="A140" s="15" t="s">
        <v>37</v>
      </c>
      <c r="B140" s="15" t="s">
        <v>61</v>
      </c>
      <c r="C140" s="15" t="n">
        <v>36</v>
      </c>
      <c r="D140" s="15" t="s">
        <v>200</v>
      </c>
      <c r="E140" s="15" t="n">
        <v>637</v>
      </c>
      <c r="F140" s="15" t="s">
        <v>354</v>
      </c>
      <c r="G140" s="15" t="s">
        <v>355</v>
      </c>
      <c r="H140" s="15" t="s">
        <v>356</v>
      </c>
      <c r="I140" s="15" t="s">
        <v>357</v>
      </c>
      <c r="J140" s="15" t="s">
        <v>177</v>
      </c>
      <c r="K140" s="35" t="n">
        <v>134.99</v>
      </c>
      <c r="L140" s="35"/>
      <c r="M140" s="23" t="str">
        <f aca="false">IF(AND(ISNUMBER(L140),ISNUMBER(K140),K140&gt;0),L140/K140-1,"")</f>
        <v/>
      </c>
      <c r="N140" s="36" t="str">
        <f aca="false">IF(M140="","No List Price",IF(M140&lt;=0,"At/below price",IF(M140&lt;=0.12,"&lt;=12% (STR zone)",IF(M140&lt;=0.25,"12-25%","&gt;25% (likely ignored)"))))</f>
        <v>No List Price</v>
      </c>
      <c r="O140" s="15" t="s">
        <v>320</v>
      </c>
      <c r="P140" s="35" t="n">
        <v>54.99</v>
      </c>
      <c r="Q140" s="22" t="n">
        <f aca="false">IF(AND(ISNUMBER(K140),ISNUMBER(P140),N(P140)&gt;0),K140/P140-1,"")</f>
        <v>1.45480996544826</v>
      </c>
      <c r="R140" s="15" t="s">
        <v>512</v>
      </c>
      <c r="S140" s="37" t="n">
        <v>1358</v>
      </c>
      <c r="T140" s="37" t="n">
        <v>92</v>
      </c>
      <c r="U140" s="38" t="n">
        <f aca="false">IF(AND(ISNUMBER(K140),ISNUMBER(T140)),K140*T140*52/12,"")</f>
        <v>53816.0133333333</v>
      </c>
      <c r="V140" s="15" t="n">
        <v>4.4</v>
      </c>
      <c r="W140" s="37" t="n">
        <v>5871</v>
      </c>
      <c r="X140" s="39" t="n">
        <v>46307</v>
      </c>
      <c r="Y140" s="15" t="n">
        <v>258</v>
      </c>
      <c r="Z140" s="40" t="n">
        <v>44154</v>
      </c>
      <c r="AA140" s="41" t="n">
        <f aca="false">IF(ISNUMBER(Z140),(DATE(2026,10,13)-Z140)/365,"")</f>
        <v>5.9013698630137</v>
      </c>
      <c r="AB140" s="37" t="n">
        <v>13039</v>
      </c>
      <c r="AC140" s="15" t="s">
        <v>313</v>
      </c>
      <c r="AD140" s="15" t="n">
        <v>1</v>
      </c>
      <c r="AE140" s="15" t="s">
        <v>314</v>
      </c>
      <c r="AF140" s="42" t="n">
        <v>0.80168776371308</v>
      </c>
      <c r="AG140" s="42" t="n">
        <v>0.361339222679758</v>
      </c>
      <c r="AH140" s="15" t="n">
        <v>316</v>
      </c>
      <c r="AI140" s="37" t="n">
        <v>591713</v>
      </c>
      <c r="AJ140" s="37" t="n">
        <v>5504</v>
      </c>
      <c r="AK140" s="15" t="s">
        <v>315</v>
      </c>
      <c r="AL140" s="43" t="n">
        <v>107.7</v>
      </c>
      <c r="AM140" s="43" t="n">
        <v>191.5</v>
      </c>
      <c r="AN140" s="25" t="n">
        <f aca="false">IF(AND(ISNUMBER(AM140),ISNUMBER(AL140),AL140&gt;=5),AM140/AL140,"")</f>
        <v>1.77808727948004</v>
      </c>
      <c r="AO140" s="43" t="n">
        <v>49.4</v>
      </c>
      <c r="AP140" s="43" t="n">
        <v>99.8</v>
      </c>
      <c r="AQ140" s="25" t="n">
        <f aca="false">IF(AND(ISNUMBER(AP140),ISNUMBER(AO140),AO140&gt;=5),AP140/AO140,"")</f>
        <v>2.02024291497976</v>
      </c>
      <c r="AR140" s="43" t="n">
        <v>127.5</v>
      </c>
      <c r="AS140" s="43" t="n">
        <v>175.6</v>
      </c>
      <c r="AT140" s="22" t="n">
        <f aca="false">IF(AND(ISNUMBER(AS140),ISNUMBER(AR140),AR140&gt;0),AS140/AR140-1,"")</f>
        <v>0.377254901960784</v>
      </c>
      <c r="AU140" s="44"/>
      <c r="AV140" s="44"/>
      <c r="AW140" s="44"/>
      <c r="AX140" s="44"/>
      <c r="AY140" s="44"/>
      <c r="AZ140" s="45"/>
      <c r="BA140" s="45"/>
      <c r="BB140" s="46"/>
      <c r="BC140" s="46"/>
      <c r="BD140" s="23" t="str">
        <f aca="false">IF(AND(ISNUMBER(BB140),ISNUMBER(BC140),BB140&gt;0),1-BC140/BB140,"")</f>
        <v/>
      </c>
      <c r="BE140" s="47"/>
      <c r="BF140" s="48"/>
      <c r="BG140" s="48"/>
      <c r="BH140" s="27" t="str">
        <f aca="false">IF(AND(ISNUMBER(BF140),ISNUMBER(BG140),BG140&gt;0),BF140/BG140,"")</f>
        <v/>
      </c>
      <c r="BI140" s="48"/>
      <c r="BJ140" s="44"/>
      <c r="BK140" s="46"/>
      <c r="BL140" s="46"/>
      <c r="BM140" s="36" t="str">
        <f aca="false">IF(ISNUMBER(Q140),IF(Q140&lt;0,"YES","no"),"")</f>
        <v>no</v>
      </c>
      <c r="BN140" s="36" t="str">
        <f aca="false">IFERROR(IF(AND(ISNUMBER(K140),ISNUMBER(INDEX('Lift Inputs'!$H:$H,MATCH(C140,'Lift Inputs'!$C:$C,0)))),IF(K140&lt;INDEX('Lift Inputs'!$H:$H,MATCH(C140,'Lift Inputs'!$C:$C,0)),"YES","no"),""),"")</f>
        <v/>
      </c>
      <c r="BO140" s="44"/>
    </row>
    <row r="141" customFormat="false" ht="15" hidden="false" customHeight="false" outlineLevel="0" collapsed="false">
      <c r="A141" s="15" t="s">
        <v>37</v>
      </c>
      <c r="B141" s="15" t="s">
        <v>61</v>
      </c>
      <c r="C141" s="15" t="n">
        <v>36</v>
      </c>
      <c r="D141" s="15" t="s">
        <v>200</v>
      </c>
      <c r="E141" s="15" t="n">
        <v>1814</v>
      </c>
      <c r="F141" s="15" t="s">
        <v>358</v>
      </c>
      <c r="G141" s="15" t="s">
        <v>359</v>
      </c>
      <c r="H141" s="15" t="s">
        <v>360</v>
      </c>
      <c r="I141" s="15" t="s">
        <v>361</v>
      </c>
      <c r="J141" s="15" t="s">
        <v>177</v>
      </c>
      <c r="K141" s="35" t="n">
        <v>67.98</v>
      </c>
      <c r="L141" s="35" t="n">
        <v>99.99</v>
      </c>
      <c r="M141" s="23" t="n">
        <f aca="false">IF(AND(ISNUMBER(L141),ISNUMBER(K141),K141&gt;0),L141/K141-1,"")</f>
        <v>0.470873786407767</v>
      </c>
      <c r="N141" s="36" t="str">
        <f aca="false">IF(M141="","No List Price",IF(M141&lt;=0,"At/below price",IF(M141&lt;=0.12,"&lt;=12% (STR zone)",IF(M141&lt;=0.25,"12-25%","&gt;25% (likely ignored)"))))</f>
        <v>&gt;25% (likely ignored)</v>
      </c>
      <c r="O141" s="15" t="s">
        <v>320</v>
      </c>
      <c r="P141" s="35" t="n">
        <v>54.99</v>
      </c>
      <c r="Q141" s="22" t="n">
        <f aca="false">IF(AND(ISNUMBER(K141),ISNUMBER(P141),N(P141)&gt;0),K141/P141-1,"")</f>
        <v>0.236224768139662</v>
      </c>
      <c r="R141" s="15" t="s">
        <v>512</v>
      </c>
      <c r="S141" s="37" t="n">
        <v>14479</v>
      </c>
      <c r="T141" s="37" t="n">
        <v>81</v>
      </c>
      <c r="U141" s="38" t="n">
        <f aca="false">IF(AND(ISNUMBER(K141),ISNUMBER(T141)),K141*T141*52/12,"")</f>
        <v>23860.98</v>
      </c>
      <c r="V141" s="15" t="n">
        <v>4.4</v>
      </c>
      <c r="W141" s="37" t="n">
        <v>4095</v>
      </c>
      <c r="X141" s="39" t="n">
        <v>46307</v>
      </c>
      <c r="Y141" s="15" t="n">
        <v>40</v>
      </c>
      <c r="Z141" s="40" t="n">
        <v>43776</v>
      </c>
      <c r="AA141" s="41" t="n">
        <f aca="false">IF(ISNUMBER(Z141),(DATE(2026,10,13)-Z141)/365,"")</f>
        <v>6.93698630136986</v>
      </c>
      <c r="AB141" s="37" t="n">
        <v>2824</v>
      </c>
      <c r="AC141" s="15" t="s">
        <v>313</v>
      </c>
      <c r="AD141" s="15" t="n">
        <v>1</v>
      </c>
      <c r="AE141" s="15" t="s">
        <v>314</v>
      </c>
      <c r="AF141" s="42" t="n">
        <v>0</v>
      </c>
      <c r="AG141" s="42" t="n">
        <v>0</v>
      </c>
      <c r="AH141" s="15" t="n">
        <v>158</v>
      </c>
      <c r="AI141" s="37" t="n">
        <v>67699</v>
      </c>
      <c r="AJ141" s="37" t="n">
        <v>1687</v>
      </c>
      <c r="AK141" s="15" t="s">
        <v>315</v>
      </c>
      <c r="AL141" s="43" t="n">
        <v>83.8</v>
      </c>
      <c r="AM141" s="43" t="n">
        <v>85.2</v>
      </c>
      <c r="AN141" s="25" t="n">
        <f aca="false">IF(AND(ISNUMBER(AM141),ISNUMBER(AL141),AL141&gt;=5),AM141/AL141,"")</f>
        <v>1.01670644391408</v>
      </c>
      <c r="AO141" s="43" t="n">
        <v>10.4</v>
      </c>
      <c r="AP141" s="43" t="n">
        <v>24</v>
      </c>
      <c r="AQ141" s="25" t="n">
        <f aca="false">IF(AND(ISNUMBER(AP141),ISNUMBER(AO141),AO141&gt;=5),AP141/AO141,"")</f>
        <v>2.30769230769231</v>
      </c>
      <c r="AR141" s="43" t="n">
        <v>64.5</v>
      </c>
      <c r="AS141" s="43" t="n">
        <v>46</v>
      </c>
      <c r="AT141" s="22" t="n">
        <f aca="false">IF(AND(ISNUMBER(AS141),ISNUMBER(AR141),AR141&gt;0),AS141/AR141-1,"")</f>
        <v>-0.286821705426357</v>
      </c>
      <c r="AU141" s="44"/>
      <c r="AV141" s="44"/>
      <c r="AW141" s="44"/>
      <c r="AX141" s="44"/>
      <c r="AY141" s="44"/>
      <c r="AZ141" s="45"/>
      <c r="BA141" s="45"/>
      <c r="BB141" s="46"/>
      <c r="BC141" s="46"/>
      <c r="BD141" s="23" t="str">
        <f aca="false">IF(AND(ISNUMBER(BB141),ISNUMBER(BC141),BB141&gt;0),1-BC141/BB141,"")</f>
        <v/>
      </c>
      <c r="BE141" s="47"/>
      <c r="BF141" s="48"/>
      <c r="BG141" s="48"/>
      <c r="BH141" s="27" t="str">
        <f aca="false">IF(AND(ISNUMBER(BF141),ISNUMBER(BG141),BG141&gt;0),BF141/BG141,"")</f>
        <v/>
      </c>
      <c r="BI141" s="48"/>
      <c r="BJ141" s="44"/>
      <c r="BK141" s="46"/>
      <c r="BL141" s="46"/>
      <c r="BM141" s="36" t="str">
        <f aca="false">IF(ISNUMBER(Q141),IF(Q141&lt;0,"YES","no"),"")</f>
        <v>no</v>
      </c>
      <c r="BN141" s="36" t="str">
        <f aca="false">IFERROR(IF(AND(ISNUMBER(K141),ISNUMBER(INDEX('Lift Inputs'!$H:$H,MATCH(C141,'Lift Inputs'!$C:$C,0)))),IF(K141&lt;INDEX('Lift Inputs'!$H:$H,MATCH(C141,'Lift Inputs'!$C:$C,0)),"YES","no"),""),"")</f>
        <v/>
      </c>
      <c r="BO141" s="44"/>
    </row>
    <row r="142" customFormat="false" ht="15" hidden="false" customHeight="false" outlineLevel="0" collapsed="false">
      <c r="A142" s="15" t="s">
        <v>37</v>
      </c>
      <c r="B142" s="15" t="s">
        <v>61</v>
      </c>
      <c r="C142" s="15" t="n">
        <v>36</v>
      </c>
      <c r="D142" s="15" t="s">
        <v>200</v>
      </c>
      <c r="E142" s="15" t="n">
        <v>22</v>
      </c>
      <c r="F142" s="15" t="s">
        <v>349</v>
      </c>
      <c r="G142" s="15" t="s">
        <v>366</v>
      </c>
      <c r="H142" s="15" t="s">
        <v>367</v>
      </c>
      <c r="I142" s="15" t="s">
        <v>368</v>
      </c>
      <c r="J142" s="15" t="s">
        <v>177</v>
      </c>
      <c r="K142" s="35" t="n">
        <v>59.99</v>
      </c>
      <c r="L142" s="35"/>
      <c r="M142" s="23" t="str">
        <f aca="false">IF(AND(ISNUMBER(L142),ISNUMBER(K142),K142&gt;0),L142/K142-1,"")</f>
        <v/>
      </c>
      <c r="N142" s="36" t="str">
        <f aca="false">IF(M142="","No List Price",IF(M142&lt;=0,"At/below price",IF(M142&lt;=0.12,"&lt;=12% (STR zone)",IF(M142&lt;=0.25,"12-25%","&gt;25% (likely ignored)"))))</f>
        <v>No List Price</v>
      </c>
      <c r="O142" s="15" t="s">
        <v>311</v>
      </c>
      <c r="P142" s="35" t="n">
        <v>54.99</v>
      </c>
      <c r="Q142" s="22" t="n">
        <f aca="false">IF(AND(ISNUMBER(K142),ISNUMBER(P142),N(P142)&gt;0),K142/P142-1,"")</f>
        <v>0.0909256228405164</v>
      </c>
      <c r="R142" s="15" t="s">
        <v>512</v>
      </c>
      <c r="S142" s="37" t="n">
        <v>23979</v>
      </c>
      <c r="T142" s="37" t="n">
        <v>81</v>
      </c>
      <c r="U142" s="38" t="n">
        <f aca="false">IF(AND(ISNUMBER(K142),ISNUMBER(T142)),K142*T142*52/12,"")</f>
        <v>21056.49</v>
      </c>
      <c r="V142" s="15" t="n">
        <v>4.5</v>
      </c>
      <c r="W142" s="37" t="n">
        <v>3911</v>
      </c>
      <c r="X142" s="39" t="n">
        <v>46307</v>
      </c>
      <c r="Y142" s="15" t="n">
        <v>42</v>
      </c>
      <c r="Z142" s="40" t="n">
        <v>45740</v>
      </c>
      <c r="AA142" s="41" t="n">
        <f aca="false">IF(ISNUMBER(Z142),(DATE(2026,10,13)-Z142)/365,"")</f>
        <v>1.55616438356164</v>
      </c>
      <c r="AB142" s="37" t="n">
        <v>1814</v>
      </c>
      <c r="AC142" s="15" t="s">
        <v>313</v>
      </c>
      <c r="AD142" s="15" t="n">
        <v>1</v>
      </c>
      <c r="AE142" s="15" t="s">
        <v>331</v>
      </c>
      <c r="AF142" s="42" t="n">
        <v>0</v>
      </c>
      <c r="AG142" s="42" t="n">
        <v>0</v>
      </c>
      <c r="AH142" s="15" t="n">
        <v>278</v>
      </c>
      <c r="AI142" s="37" t="n">
        <v>114504</v>
      </c>
      <c r="AJ142" s="37" t="n">
        <v>947</v>
      </c>
      <c r="AK142" s="15" t="s">
        <v>326</v>
      </c>
      <c r="AL142" s="43" t="n">
        <v>431.4</v>
      </c>
      <c r="AM142" s="43" t="n">
        <v>472.5</v>
      </c>
      <c r="AN142" s="25" t="n">
        <f aca="false">IF(AND(ISNUMBER(AM142),ISNUMBER(AL142),AL142&gt;=5),AM142/AL142,"")</f>
        <v>1.09527121001391</v>
      </c>
      <c r="AO142" s="43" t="n">
        <v>13.8</v>
      </c>
      <c r="AP142" s="43" t="n">
        <v>16.5</v>
      </c>
      <c r="AQ142" s="25" t="n">
        <f aca="false">IF(AND(ISNUMBER(AP142),ISNUMBER(AO142),AO142&gt;=5),AP142/AO142,"")</f>
        <v>1.19565217391304</v>
      </c>
      <c r="AR142" s="43" t="n">
        <v>365.3</v>
      </c>
      <c r="AS142" s="43" t="n">
        <v>327.3</v>
      </c>
      <c r="AT142" s="22" t="n">
        <f aca="false">IF(AND(ISNUMBER(AS142),ISNUMBER(AR142),AR142&gt;0),AS142/AR142-1,"")</f>
        <v>-0.104024089789214</v>
      </c>
      <c r="AU142" s="44"/>
      <c r="AV142" s="44"/>
      <c r="AW142" s="44"/>
      <c r="AX142" s="44"/>
      <c r="AY142" s="44"/>
      <c r="AZ142" s="45"/>
      <c r="BA142" s="45"/>
      <c r="BB142" s="46"/>
      <c r="BC142" s="46"/>
      <c r="BD142" s="23" t="str">
        <f aca="false">IF(AND(ISNUMBER(BB142),ISNUMBER(BC142),BB142&gt;0),1-BC142/BB142,"")</f>
        <v/>
      </c>
      <c r="BE142" s="47"/>
      <c r="BF142" s="48"/>
      <c r="BG142" s="48"/>
      <c r="BH142" s="27" t="str">
        <f aca="false">IF(AND(ISNUMBER(BF142),ISNUMBER(BG142),BG142&gt;0),BF142/BG142,"")</f>
        <v/>
      </c>
      <c r="BI142" s="48"/>
      <c r="BJ142" s="44"/>
      <c r="BK142" s="46"/>
      <c r="BL142" s="46"/>
      <c r="BM142" s="36" t="str">
        <f aca="false">IF(ISNUMBER(Q142),IF(Q142&lt;0,"YES","no"),"")</f>
        <v>no</v>
      </c>
      <c r="BN142" s="36" t="str">
        <f aca="false">IFERROR(IF(AND(ISNUMBER(K142),ISNUMBER(INDEX('Lift Inputs'!$H:$H,MATCH(C142,'Lift Inputs'!$C:$C,0)))),IF(K142&lt;INDEX('Lift Inputs'!$H:$H,MATCH(C142,'Lift Inputs'!$C:$C,0)),"YES","no"),""),"")</f>
        <v/>
      </c>
      <c r="BO142" s="44"/>
    </row>
    <row r="143" customFormat="false" ht="15" hidden="false" customHeight="false" outlineLevel="0" collapsed="false">
      <c r="A143" s="15" t="s">
        <v>37</v>
      </c>
      <c r="B143" s="15" t="s">
        <v>61</v>
      </c>
      <c r="C143" s="15" t="n">
        <v>36</v>
      </c>
      <c r="D143" s="15" t="s">
        <v>200</v>
      </c>
      <c r="E143" s="15" t="n">
        <v>1510</v>
      </c>
      <c r="F143" s="15" t="s">
        <v>373</v>
      </c>
      <c r="G143" s="15" t="s">
        <v>374</v>
      </c>
      <c r="H143" s="15" t="s">
        <v>375</v>
      </c>
      <c r="I143" s="15" t="s">
        <v>352</v>
      </c>
      <c r="J143" s="15" t="s">
        <v>177</v>
      </c>
      <c r="K143" s="35" t="n">
        <v>55</v>
      </c>
      <c r="L143" s="35"/>
      <c r="M143" s="23" t="str">
        <f aca="false">IF(AND(ISNUMBER(L143),ISNUMBER(K143),K143&gt;0),L143/K143-1,"")</f>
        <v/>
      </c>
      <c r="N143" s="36" t="str">
        <f aca="false">IF(M143="","No List Price",IF(M143&lt;=0,"At/below price",IF(M143&lt;=0.12,"&lt;=12% (STR zone)",IF(M143&lt;=0.25,"12-25%","&gt;25% (likely ignored)"))))</f>
        <v>No List Price</v>
      </c>
      <c r="O143" s="15"/>
      <c r="P143" s="35" t="n">
        <v>54.99</v>
      </c>
      <c r="Q143" s="22" t="n">
        <f aca="false">IF(AND(ISNUMBER(K143),ISNUMBER(P143),N(P143)&gt;0),K143/P143-1,"")</f>
        <v>0.000181851245681042</v>
      </c>
      <c r="R143" s="15" t="s">
        <v>512</v>
      </c>
      <c r="S143" s="37" t="n">
        <v>4051</v>
      </c>
      <c r="T143" s="37" t="n">
        <v>35</v>
      </c>
      <c r="U143" s="38" t="n">
        <f aca="false">IF(AND(ISNUMBER(K143),ISNUMBER(T143)),K143*T143*52/12,"")</f>
        <v>8341.66666666667</v>
      </c>
      <c r="V143" s="15" t="n">
        <v>4.4</v>
      </c>
      <c r="W143" s="37" t="n">
        <v>1909</v>
      </c>
      <c r="X143" s="39" t="n">
        <v>46307</v>
      </c>
      <c r="Y143" s="15"/>
      <c r="Z143" s="40"/>
      <c r="AA143" s="41" t="str">
        <f aca="false">IF(ISNUMBER(Z143),(DATE(2026,10,13)-Z143)/365,"")</f>
        <v/>
      </c>
      <c r="AB143" s="37"/>
      <c r="AC143" s="15"/>
      <c r="AD143" s="15"/>
      <c r="AE143" s="15"/>
      <c r="AF143" s="42"/>
      <c r="AG143" s="42"/>
      <c r="AH143" s="15"/>
      <c r="AI143" s="37" t="n">
        <v>171534</v>
      </c>
      <c r="AJ143" s="37" t="n">
        <v>2682</v>
      </c>
      <c r="AK143" s="15"/>
      <c r="AL143" s="43"/>
      <c r="AM143" s="43"/>
      <c r="AN143" s="25" t="str">
        <f aca="false">IF(AND(ISNUMBER(AM143),ISNUMBER(AL143),AL143&gt;=5),AM143/AL143,"")</f>
        <v/>
      </c>
      <c r="AO143" s="43"/>
      <c r="AP143" s="43"/>
      <c r="AQ143" s="25" t="str">
        <f aca="false">IF(AND(ISNUMBER(AP143),ISNUMBER(AO143),AO143&gt;=5),AP143/AO143,"")</f>
        <v/>
      </c>
      <c r="AR143" s="43"/>
      <c r="AS143" s="43"/>
      <c r="AT143" s="22" t="str">
        <f aca="false">IF(AND(ISNUMBER(AS143),ISNUMBER(AR143),AR143&gt;0),AS143/AR143-1,"")</f>
        <v/>
      </c>
      <c r="AU143" s="44"/>
      <c r="AV143" s="44"/>
      <c r="AW143" s="44"/>
      <c r="AX143" s="44"/>
      <c r="AY143" s="44"/>
      <c r="AZ143" s="45"/>
      <c r="BA143" s="45"/>
      <c r="BB143" s="46"/>
      <c r="BC143" s="46"/>
      <c r="BD143" s="23" t="str">
        <f aca="false">IF(AND(ISNUMBER(BB143),ISNUMBER(BC143),BB143&gt;0),1-BC143/BB143,"")</f>
        <v/>
      </c>
      <c r="BE143" s="47"/>
      <c r="BF143" s="48"/>
      <c r="BG143" s="48"/>
      <c r="BH143" s="27" t="str">
        <f aca="false">IF(AND(ISNUMBER(BF143),ISNUMBER(BG143),BG143&gt;0),BF143/BG143,"")</f>
        <v/>
      </c>
      <c r="BI143" s="48"/>
      <c r="BJ143" s="44"/>
      <c r="BK143" s="46"/>
      <c r="BL143" s="46"/>
      <c r="BM143" s="36" t="str">
        <f aca="false">IF(ISNUMBER(Q143),IF(Q143&lt;0,"YES","no"),"")</f>
        <v>no</v>
      </c>
      <c r="BN143" s="36" t="str">
        <f aca="false">IFERROR(IF(AND(ISNUMBER(K143),ISNUMBER(INDEX('Lift Inputs'!$H:$H,MATCH(C143,'Lift Inputs'!$C:$C,0)))),IF(K143&lt;INDEX('Lift Inputs'!$H:$H,MATCH(C143,'Lift Inputs'!$C:$C,0)),"YES","no"),""),"")</f>
        <v/>
      </c>
      <c r="BO143" s="44"/>
    </row>
    <row r="144" customFormat="false" ht="15" hidden="false" customHeight="false" outlineLevel="0" collapsed="false">
      <c r="A144" s="15" t="s">
        <v>37</v>
      </c>
      <c r="B144" s="15" t="s">
        <v>61</v>
      </c>
      <c r="C144" s="15" t="n">
        <v>36</v>
      </c>
      <c r="D144" s="15" t="s">
        <v>200</v>
      </c>
      <c r="E144" s="15" t="n">
        <v>1516</v>
      </c>
      <c r="F144" s="15" t="s">
        <v>415</v>
      </c>
      <c r="G144" s="15" t="s">
        <v>416</v>
      </c>
      <c r="H144" s="15" t="s">
        <v>417</v>
      </c>
      <c r="I144" s="15" t="s">
        <v>352</v>
      </c>
      <c r="J144" s="15" t="s">
        <v>178</v>
      </c>
      <c r="K144" s="35" t="n">
        <v>74.99</v>
      </c>
      <c r="L144" s="35" t="n">
        <v>79.99</v>
      </c>
      <c r="M144" s="23" t="n">
        <f aca="false">IF(AND(ISNUMBER(L144),ISNUMBER(K144),K144&gt;0),L144/K144-1,"")</f>
        <v>0.0666755567408988</v>
      </c>
      <c r="N144" s="36" t="str">
        <f aca="false">IF(M144="","No List Price",IF(M144&lt;=0,"At/below price",IF(M144&lt;=0.12,"&lt;=12% (STR zone)",IF(M144&lt;=0.25,"12-25%","&gt;25% (likely ignored)"))))</f>
        <v>&lt;=12% (STR zone)</v>
      </c>
      <c r="O144" s="15"/>
      <c r="P144" s="35" t="n">
        <v>54.99</v>
      </c>
      <c r="Q144" s="22" t="n">
        <f aca="false">IF(AND(ISNUMBER(K144),ISNUMBER(P144),N(P144)&gt;0),K144/P144-1,"")</f>
        <v>0.363702491362066</v>
      </c>
      <c r="R144" s="15" t="s">
        <v>512</v>
      </c>
      <c r="S144" s="37" t="n">
        <v>39296</v>
      </c>
      <c r="T144" s="37" t="n">
        <v>81</v>
      </c>
      <c r="U144" s="38" t="n">
        <f aca="false">IF(AND(ISNUMBER(K144),ISNUMBER(T144)),K144*T144*52/12,"")</f>
        <v>26321.49</v>
      </c>
      <c r="V144" s="15" t="n">
        <v>4.6</v>
      </c>
      <c r="W144" s="37" t="n">
        <v>121</v>
      </c>
      <c r="X144" s="39" t="n">
        <v>46307</v>
      </c>
      <c r="Y144" s="15"/>
      <c r="Z144" s="40"/>
      <c r="AA144" s="41" t="str">
        <f aca="false">IF(ISNUMBER(Z144),(DATE(2026,10,13)-Z144)/365,"")</f>
        <v/>
      </c>
      <c r="AB144" s="37"/>
      <c r="AC144" s="15"/>
      <c r="AD144" s="15"/>
      <c r="AE144" s="15"/>
      <c r="AF144" s="42"/>
      <c r="AG144" s="42"/>
      <c r="AH144" s="15"/>
      <c r="AI144" s="37"/>
      <c r="AJ144" s="37"/>
      <c r="AK144" s="15"/>
      <c r="AL144" s="43"/>
      <c r="AM144" s="43"/>
      <c r="AN144" s="25" t="str">
        <f aca="false">IF(AND(ISNUMBER(AM144),ISNUMBER(AL144),AL144&gt;=5),AM144/AL144,"")</f>
        <v/>
      </c>
      <c r="AO144" s="43"/>
      <c r="AP144" s="43"/>
      <c r="AQ144" s="25" t="str">
        <f aca="false">IF(AND(ISNUMBER(AP144),ISNUMBER(AO144),AO144&gt;=5),AP144/AO144,"")</f>
        <v/>
      </c>
      <c r="AR144" s="43"/>
      <c r="AS144" s="43"/>
      <c r="AT144" s="22" t="str">
        <f aca="false">IF(AND(ISNUMBER(AS144),ISNUMBER(AR144),AR144&gt;0),AS144/AR144-1,"")</f>
        <v/>
      </c>
      <c r="AU144" s="44"/>
      <c r="AV144" s="44"/>
      <c r="AW144" s="44"/>
      <c r="AX144" s="44"/>
      <c r="AY144" s="44"/>
      <c r="AZ144" s="45"/>
      <c r="BA144" s="45"/>
      <c r="BB144" s="46"/>
      <c r="BC144" s="46"/>
      <c r="BD144" s="23" t="str">
        <f aca="false">IF(AND(ISNUMBER(BB144),ISNUMBER(BC144),BB144&gt;0),1-BC144/BB144,"")</f>
        <v/>
      </c>
      <c r="BE144" s="47"/>
      <c r="BF144" s="48"/>
      <c r="BG144" s="48"/>
      <c r="BH144" s="27" t="str">
        <f aca="false">IF(AND(ISNUMBER(BF144),ISNUMBER(BG144),BG144&gt;0),BF144/BG144,"")</f>
        <v/>
      </c>
      <c r="BI144" s="48"/>
      <c r="BJ144" s="44"/>
      <c r="BK144" s="46"/>
      <c r="BL144" s="46"/>
      <c r="BM144" s="36" t="str">
        <f aca="false">IF(ISNUMBER(Q144),IF(Q144&lt;0,"YES","no"),"")</f>
        <v>no</v>
      </c>
      <c r="BN144" s="36" t="str">
        <f aca="false">IFERROR(IF(AND(ISNUMBER(K144),ISNUMBER(INDEX('Lift Inputs'!$H:$H,MATCH(C144,'Lift Inputs'!$C:$C,0)))),IF(K144&lt;INDEX('Lift Inputs'!$H:$H,MATCH(C144,'Lift Inputs'!$C:$C,0)),"YES","no"),""),"")</f>
        <v/>
      </c>
      <c r="BO144" s="44"/>
    </row>
    <row r="145" customFormat="false" ht="15" hidden="false" customHeight="false" outlineLevel="0" collapsed="false">
      <c r="A145" s="15" t="s">
        <v>37</v>
      </c>
      <c r="B145" s="15" t="s">
        <v>61</v>
      </c>
      <c r="C145" s="15" t="n">
        <v>36</v>
      </c>
      <c r="D145" s="15" t="s">
        <v>200</v>
      </c>
      <c r="E145" s="15" t="n">
        <v>1519</v>
      </c>
      <c r="F145" s="15" t="s">
        <v>418</v>
      </c>
      <c r="G145" s="15" t="s">
        <v>419</v>
      </c>
      <c r="H145" s="15" t="s">
        <v>420</v>
      </c>
      <c r="I145" s="15" t="s">
        <v>421</v>
      </c>
      <c r="J145" s="15" t="s">
        <v>178</v>
      </c>
      <c r="K145" s="35" t="n">
        <v>107.1</v>
      </c>
      <c r="L145" s="35"/>
      <c r="M145" s="23" t="str">
        <f aca="false">IF(AND(ISNUMBER(L145),ISNUMBER(K145),K145&gt;0),L145/K145-1,"")</f>
        <v/>
      </c>
      <c r="N145" s="36" t="str">
        <f aca="false">IF(M145="","No List Price",IF(M145&lt;=0,"At/below price",IF(M145&lt;=0.12,"&lt;=12% (STR zone)",IF(M145&lt;=0.25,"12-25%","&gt;25% (likely ignored)"))))</f>
        <v>No List Price</v>
      </c>
      <c r="O145" s="15" t="s">
        <v>311</v>
      </c>
      <c r="P145" s="35" t="n">
        <v>54.99</v>
      </c>
      <c r="Q145" s="22" t="n">
        <f aca="false">IF(AND(ISNUMBER(K145),ISNUMBER(P145),N(P145)&gt;0),K145/P145-1,"")</f>
        <v>0.947626841243862</v>
      </c>
      <c r="R145" s="15" t="s">
        <v>512</v>
      </c>
      <c r="S145" s="37" t="n">
        <v>15882</v>
      </c>
      <c r="T145" s="37" t="n">
        <v>81</v>
      </c>
      <c r="U145" s="38" t="n">
        <f aca="false">IF(AND(ISNUMBER(K145),ISNUMBER(T145)),K145*T145*52/12,"")</f>
        <v>37592.1</v>
      </c>
      <c r="V145" s="15" t="n">
        <v>4.4</v>
      </c>
      <c r="W145" s="37" t="n">
        <v>426</v>
      </c>
      <c r="X145" s="39" t="n">
        <v>46307</v>
      </c>
      <c r="Y145" s="15" t="n">
        <v>35</v>
      </c>
      <c r="Z145" s="40" t="n">
        <v>45575</v>
      </c>
      <c r="AA145" s="41" t="n">
        <f aca="false">IF(ISNUMBER(Z145),(DATE(2026,10,13)-Z145)/365,"")</f>
        <v>2.00821917808219</v>
      </c>
      <c r="AB145" s="37" t="n">
        <v>2442</v>
      </c>
      <c r="AC145" s="15" t="s">
        <v>313</v>
      </c>
      <c r="AD145" s="15" t="n">
        <v>1</v>
      </c>
      <c r="AE145" s="15" t="s">
        <v>314</v>
      </c>
      <c r="AF145" s="42" t="n">
        <v>0</v>
      </c>
      <c r="AG145" s="42" t="n">
        <v>0</v>
      </c>
      <c r="AH145" s="15" t="n">
        <v>231</v>
      </c>
      <c r="AI145" s="37"/>
      <c r="AJ145" s="37"/>
      <c r="AK145" s="15"/>
      <c r="AL145" s="43"/>
      <c r="AM145" s="43"/>
      <c r="AN145" s="25" t="str">
        <f aca="false">IF(AND(ISNUMBER(AM145),ISNUMBER(AL145),AL145&gt;=5),AM145/AL145,"")</f>
        <v/>
      </c>
      <c r="AO145" s="43"/>
      <c r="AP145" s="43"/>
      <c r="AQ145" s="25" t="str">
        <f aca="false">IF(AND(ISNUMBER(AP145),ISNUMBER(AO145),AO145&gt;=5),AP145/AO145,"")</f>
        <v/>
      </c>
      <c r="AR145" s="43"/>
      <c r="AS145" s="43"/>
      <c r="AT145" s="22" t="str">
        <f aca="false">IF(AND(ISNUMBER(AS145),ISNUMBER(AR145),AR145&gt;0),AS145/AR145-1,"")</f>
        <v/>
      </c>
      <c r="AU145" s="44"/>
      <c r="AV145" s="44"/>
      <c r="AW145" s="44"/>
      <c r="AX145" s="44"/>
      <c r="AY145" s="44"/>
      <c r="AZ145" s="45"/>
      <c r="BA145" s="45"/>
      <c r="BB145" s="46"/>
      <c r="BC145" s="46"/>
      <c r="BD145" s="23" t="str">
        <f aca="false">IF(AND(ISNUMBER(BB145),ISNUMBER(BC145),BB145&gt;0),1-BC145/BB145,"")</f>
        <v/>
      </c>
      <c r="BE145" s="47"/>
      <c r="BF145" s="48"/>
      <c r="BG145" s="48"/>
      <c r="BH145" s="27" t="str">
        <f aca="false">IF(AND(ISNUMBER(BF145),ISNUMBER(BG145),BG145&gt;0),BF145/BG145,"")</f>
        <v/>
      </c>
      <c r="BI145" s="48"/>
      <c r="BJ145" s="44"/>
      <c r="BK145" s="46"/>
      <c r="BL145" s="46"/>
      <c r="BM145" s="36" t="str">
        <f aca="false">IF(ISNUMBER(Q145),IF(Q145&lt;0,"YES","no"),"")</f>
        <v>no</v>
      </c>
      <c r="BN145" s="36" t="str">
        <f aca="false">IFERROR(IF(AND(ISNUMBER(K145),ISNUMBER(INDEX('Lift Inputs'!$H:$H,MATCH(C145,'Lift Inputs'!$C:$C,0)))),IF(K145&lt;INDEX('Lift Inputs'!$H:$H,MATCH(C145,'Lift Inputs'!$C:$C,0)),"YES","no"),""),"")</f>
        <v/>
      </c>
      <c r="BO145" s="44"/>
    </row>
    <row r="146" customFormat="false" ht="15" hidden="false" customHeight="false" outlineLevel="0" collapsed="false">
      <c r="A146" s="15" t="s">
        <v>37</v>
      </c>
      <c r="B146" s="15" t="s">
        <v>61</v>
      </c>
      <c r="C146" s="15" t="n">
        <v>36</v>
      </c>
      <c r="D146" s="15" t="s">
        <v>200</v>
      </c>
      <c r="E146" s="15" t="n">
        <v>1508</v>
      </c>
      <c r="F146" s="15" t="s">
        <v>422</v>
      </c>
      <c r="G146" s="15" t="s">
        <v>423</v>
      </c>
      <c r="H146" s="15" t="s">
        <v>424</v>
      </c>
      <c r="I146" s="15" t="s">
        <v>425</v>
      </c>
      <c r="J146" s="15" t="s">
        <v>178</v>
      </c>
      <c r="K146" s="35" t="n">
        <v>69.99</v>
      </c>
      <c r="L146" s="35"/>
      <c r="M146" s="23" t="str">
        <f aca="false">IF(AND(ISNUMBER(L146),ISNUMBER(K146),K146&gt;0),L146/K146-1,"")</f>
        <v/>
      </c>
      <c r="N146" s="36" t="str">
        <f aca="false">IF(M146="","No List Price",IF(M146&lt;=0,"At/below price",IF(M146&lt;=0.12,"&lt;=12% (STR zone)",IF(M146&lt;=0.25,"12-25%","&gt;25% (likely ignored)"))))</f>
        <v>No List Price</v>
      </c>
      <c r="O146" s="15" t="s">
        <v>320</v>
      </c>
      <c r="P146" s="35" t="n">
        <v>54.99</v>
      </c>
      <c r="Q146" s="22" t="n">
        <f aca="false">IF(AND(ISNUMBER(K146),ISNUMBER(P146),N(P146)&gt;0),K146/P146-1,"")</f>
        <v>0.272776868521549</v>
      </c>
      <c r="R146" s="15" t="s">
        <v>512</v>
      </c>
      <c r="S146" s="37" t="n">
        <v>33423</v>
      </c>
      <c r="T146" s="37" t="n">
        <v>35</v>
      </c>
      <c r="U146" s="38" t="n">
        <f aca="false">IF(AND(ISNUMBER(K146),ISNUMBER(T146)),K146*T146*52/12,"")</f>
        <v>10615.15</v>
      </c>
      <c r="V146" s="15" t="n">
        <v>4.4</v>
      </c>
      <c r="W146" s="37" t="n">
        <v>1040</v>
      </c>
      <c r="X146" s="39" t="n">
        <v>46307</v>
      </c>
      <c r="Y146" s="15" t="n">
        <v>51</v>
      </c>
      <c r="Z146" s="40" t="n">
        <v>44681</v>
      </c>
      <c r="AA146" s="41" t="n">
        <f aca="false">IF(ISNUMBER(Z146),(DATE(2026,10,13)-Z146)/365,"")</f>
        <v>4.45753424657534</v>
      </c>
      <c r="AB146" s="37" t="n">
        <v>1349</v>
      </c>
      <c r="AC146" s="15" t="s">
        <v>313</v>
      </c>
      <c r="AD146" s="15" t="n">
        <v>1</v>
      </c>
      <c r="AE146" s="15" t="s">
        <v>331</v>
      </c>
      <c r="AF146" s="42" t="n">
        <v>0</v>
      </c>
      <c r="AG146" s="42" t="n">
        <v>0</v>
      </c>
      <c r="AH146" s="15" t="n">
        <v>152</v>
      </c>
      <c r="AI146" s="37"/>
      <c r="AJ146" s="37"/>
      <c r="AK146" s="15"/>
      <c r="AL146" s="43"/>
      <c r="AM146" s="43"/>
      <c r="AN146" s="25" t="str">
        <f aca="false">IF(AND(ISNUMBER(AM146),ISNUMBER(AL146),AL146&gt;=5),AM146/AL146,"")</f>
        <v/>
      </c>
      <c r="AO146" s="43"/>
      <c r="AP146" s="43"/>
      <c r="AQ146" s="25" t="str">
        <f aca="false">IF(AND(ISNUMBER(AP146),ISNUMBER(AO146),AO146&gt;=5),AP146/AO146,"")</f>
        <v/>
      </c>
      <c r="AR146" s="43"/>
      <c r="AS146" s="43"/>
      <c r="AT146" s="22" t="str">
        <f aca="false">IF(AND(ISNUMBER(AS146),ISNUMBER(AR146),AR146&gt;0),AS146/AR146-1,"")</f>
        <v/>
      </c>
      <c r="AU146" s="44"/>
      <c r="AV146" s="44"/>
      <c r="AW146" s="44"/>
      <c r="AX146" s="44"/>
      <c r="AY146" s="44"/>
      <c r="AZ146" s="45"/>
      <c r="BA146" s="45"/>
      <c r="BB146" s="46"/>
      <c r="BC146" s="46"/>
      <c r="BD146" s="23" t="str">
        <f aca="false">IF(AND(ISNUMBER(BB146),ISNUMBER(BC146),BB146&gt;0),1-BC146/BB146,"")</f>
        <v/>
      </c>
      <c r="BE146" s="47"/>
      <c r="BF146" s="48"/>
      <c r="BG146" s="48"/>
      <c r="BH146" s="27" t="str">
        <f aca="false">IF(AND(ISNUMBER(BF146),ISNUMBER(BG146),BG146&gt;0),BF146/BG146,"")</f>
        <v/>
      </c>
      <c r="BI146" s="48"/>
      <c r="BJ146" s="44"/>
      <c r="BK146" s="46"/>
      <c r="BL146" s="46"/>
      <c r="BM146" s="36" t="str">
        <f aca="false">IF(ISNUMBER(Q146),IF(Q146&lt;0,"YES","no"),"")</f>
        <v>no</v>
      </c>
      <c r="BN146" s="36" t="str">
        <f aca="false">IFERROR(IF(AND(ISNUMBER(K146),ISNUMBER(INDEX('Lift Inputs'!$H:$H,MATCH(C146,'Lift Inputs'!$C:$C,0)))),IF(K146&lt;INDEX('Lift Inputs'!$H:$H,MATCH(C146,'Lift Inputs'!$C:$C,0)),"YES","no"),""),"")</f>
        <v/>
      </c>
      <c r="BO146" s="44"/>
    </row>
    <row r="147" customFormat="false" ht="15" hidden="false" customHeight="false" outlineLevel="0" collapsed="false">
      <c r="A147" s="15" t="s">
        <v>37</v>
      </c>
      <c r="B147" s="15" t="s">
        <v>61</v>
      </c>
      <c r="C147" s="15" t="n">
        <v>36</v>
      </c>
      <c r="D147" s="15" t="s">
        <v>200</v>
      </c>
      <c r="E147" s="15" t="n">
        <v>31</v>
      </c>
      <c r="F147" s="15" t="s">
        <v>426</v>
      </c>
      <c r="G147" s="15" t="s">
        <v>427</v>
      </c>
      <c r="H147" s="15" t="s">
        <v>428</v>
      </c>
      <c r="I147" s="15" t="s">
        <v>429</v>
      </c>
      <c r="J147" s="15" t="s">
        <v>178</v>
      </c>
      <c r="K147" s="35" t="n">
        <v>328</v>
      </c>
      <c r="L147" s="35"/>
      <c r="M147" s="23" t="str">
        <f aca="false">IF(AND(ISNUMBER(L147),ISNUMBER(K147),K147&gt;0),L147/K147-1,"")</f>
        <v/>
      </c>
      <c r="N147" s="36" t="str">
        <f aca="false">IF(M147="","No List Price",IF(M147&lt;=0,"At/below price",IF(M147&lt;=0.12,"&lt;=12% (STR zone)",IF(M147&lt;=0.25,"12-25%","&gt;25% (likely ignored)"))))</f>
        <v>No List Price</v>
      </c>
      <c r="O147" s="15"/>
      <c r="P147" s="35" t="n">
        <v>54.99</v>
      </c>
      <c r="Q147" s="22" t="n">
        <f aca="false">IF(AND(ISNUMBER(K147),ISNUMBER(P147),N(P147)&gt;0),K147/P147-1,"")</f>
        <v>4.96472085833788</v>
      </c>
      <c r="R147" s="15" t="s">
        <v>512</v>
      </c>
      <c r="S147" s="37" t="n">
        <v>45709</v>
      </c>
      <c r="T147" s="37" t="n">
        <v>35</v>
      </c>
      <c r="U147" s="38" t="n">
        <f aca="false">IF(AND(ISNUMBER(K147),ISNUMBER(T147)),K147*T147*52/12,"")</f>
        <v>49746.6666666667</v>
      </c>
      <c r="V147" s="15" t="n">
        <v>3.9</v>
      </c>
      <c r="W147" s="37" t="n">
        <v>425</v>
      </c>
      <c r="X147" s="39" t="n">
        <v>46307</v>
      </c>
      <c r="Y147" s="15" t="n">
        <v>54</v>
      </c>
      <c r="Z147" s="40" t="n">
        <v>41624</v>
      </c>
      <c r="AA147" s="41" t="n">
        <f aca="false">IF(ISNUMBER(Z147),(DATE(2026,10,13)-Z147)/365,"")</f>
        <v>12.8328767123288</v>
      </c>
      <c r="AB147" s="37" t="n">
        <v>875</v>
      </c>
      <c r="AC147" s="15" t="s">
        <v>313</v>
      </c>
      <c r="AD147" s="15" t="n">
        <v>2</v>
      </c>
      <c r="AE147" s="15" t="s">
        <v>314</v>
      </c>
      <c r="AF147" s="42" t="n">
        <v>0</v>
      </c>
      <c r="AG147" s="42" t="n">
        <v>0</v>
      </c>
      <c r="AH147" s="15" t="n">
        <v>93</v>
      </c>
      <c r="AI147" s="37"/>
      <c r="AJ147" s="37"/>
      <c r="AK147" s="15"/>
      <c r="AL147" s="43"/>
      <c r="AM147" s="43"/>
      <c r="AN147" s="25" t="str">
        <f aca="false">IF(AND(ISNUMBER(AM147),ISNUMBER(AL147),AL147&gt;=5),AM147/AL147,"")</f>
        <v/>
      </c>
      <c r="AO147" s="43"/>
      <c r="AP147" s="43"/>
      <c r="AQ147" s="25" t="str">
        <f aca="false">IF(AND(ISNUMBER(AP147),ISNUMBER(AO147),AO147&gt;=5),AP147/AO147,"")</f>
        <v/>
      </c>
      <c r="AR147" s="43"/>
      <c r="AS147" s="43"/>
      <c r="AT147" s="22" t="str">
        <f aca="false">IF(AND(ISNUMBER(AS147),ISNUMBER(AR147),AR147&gt;0),AS147/AR147-1,"")</f>
        <v/>
      </c>
      <c r="AU147" s="44"/>
      <c r="AV147" s="44"/>
      <c r="AW147" s="44"/>
      <c r="AX147" s="44"/>
      <c r="AY147" s="44"/>
      <c r="AZ147" s="45"/>
      <c r="BA147" s="45"/>
      <c r="BB147" s="46"/>
      <c r="BC147" s="46"/>
      <c r="BD147" s="23" t="str">
        <f aca="false">IF(AND(ISNUMBER(BB147),ISNUMBER(BC147),BB147&gt;0),1-BC147/BB147,"")</f>
        <v/>
      </c>
      <c r="BE147" s="47"/>
      <c r="BF147" s="48"/>
      <c r="BG147" s="48"/>
      <c r="BH147" s="27" t="str">
        <f aca="false">IF(AND(ISNUMBER(BF147),ISNUMBER(BG147),BG147&gt;0),BF147/BG147,"")</f>
        <v/>
      </c>
      <c r="BI147" s="48"/>
      <c r="BJ147" s="44"/>
      <c r="BK147" s="46"/>
      <c r="BL147" s="46"/>
      <c r="BM147" s="36" t="str">
        <f aca="false">IF(ISNUMBER(Q147),IF(Q147&lt;0,"YES","no"),"")</f>
        <v>no</v>
      </c>
      <c r="BN147" s="36" t="str">
        <f aca="false">IFERROR(IF(AND(ISNUMBER(K147),ISNUMBER(INDEX('Lift Inputs'!$H:$H,MATCH(C147,'Lift Inputs'!$C:$C,0)))),IF(K147&lt;INDEX('Lift Inputs'!$H:$H,MATCH(C147,'Lift Inputs'!$C:$C,0)),"YES","no"),""),"")</f>
        <v/>
      </c>
      <c r="BO147" s="44"/>
    </row>
    <row r="148" customFormat="false" ht="15" hidden="false" customHeight="false" outlineLevel="0" collapsed="false">
      <c r="A148" s="15" t="s">
        <v>37</v>
      </c>
      <c r="B148" s="15" t="s">
        <v>61</v>
      </c>
      <c r="C148" s="15" t="n">
        <v>36</v>
      </c>
      <c r="D148" s="15" t="s">
        <v>200</v>
      </c>
      <c r="E148" s="15" t="n">
        <v>1515</v>
      </c>
      <c r="F148" s="15" t="s">
        <v>430</v>
      </c>
      <c r="G148" s="15" t="s">
        <v>431</v>
      </c>
      <c r="H148" s="15" t="s">
        <v>432</v>
      </c>
      <c r="I148" s="15" t="s">
        <v>433</v>
      </c>
      <c r="J148" s="15" t="s">
        <v>178</v>
      </c>
      <c r="K148" s="35" t="n">
        <v>46.74</v>
      </c>
      <c r="L148" s="35" t="n">
        <v>59.99</v>
      </c>
      <c r="M148" s="23" t="n">
        <f aca="false">IF(AND(ISNUMBER(L148),ISNUMBER(K148),K148&gt;0),L148/K148-1,"")</f>
        <v>0.283483097988875</v>
      </c>
      <c r="N148" s="36" t="str">
        <f aca="false">IF(M148="","No List Price",IF(M148&lt;=0,"At/below price",IF(M148&lt;=0.12,"&lt;=12% (STR zone)",IF(M148&lt;=0.25,"12-25%","&gt;25% (likely ignored)"))))</f>
        <v>&gt;25% (likely ignored)</v>
      </c>
      <c r="O148" s="15" t="s">
        <v>320</v>
      </c>
      <c r="P148" s="35" t="n">
        <v>54.99</v>
      </c>
      <c r="Q148" s="22" t="n">
        <f aca="false">IF(AND(ISNUMBER(K148),ISNUMBER(P148),N(P148)&gt;0),K148/P148-1,"")</f>
        <v>-0.150027277686852</v>
      </c>
      <c r="R148" s="15" t="s">
        <v>512</v>
      </c>
      <c r="S148" s="37" t="n">
        <v>37217</v>
      </c>
      <c r="T148" s="37" t="n">
        <v>35</v>
      </c>
      <c r="U148" s="38" t="n">
        <f aca="false">IF(AND(ISNUMBER(K148),ISNUMBER(T148)),K148*T148*52/12,"")</f>
        <v>7088.9</v>
      </c>
      <c r="V148" s="15" t="n">
        <v>4.5</v>
      </c>
      <c r="W148" s="37" t="n">
        <v>2261</v>
      </c>
      <c r="X148" s="39" t="n">
        <v>46307</v>
      </c>
      <c r="Y148" s="15" t="n">
        <v>30</v>
      </c>
      <c r="Z148" s="40" t="n">
        <v>45146</v>
      </c>
      <c r="AA148" s="41" t="n">
        <f aca="false">IF(ISNUMBER(Z148),(DATE(2026,10,13)-Z148)/365,"")</f>
        <v>3.18356164383562</v>
      </c>
      <c r="AB148" s="37" t="n">
        <v>1260</v>
      </c>
      <c r="AC148" s="15" t="s">
        <v>313</v>
      </c>
      <c r="AD148" s="15" t="n">
        <v>2</v>
      </c>
      <c r="AE148" s="15" t="s">
        <v>314</v>
      </c>
      <c r="AF148" s="42" t="n">
        <v>0</v>
      </c>
      <c r="AG148" s="42" t="n">
        <v>0</v>
      </c>
      <c r="AH148" s="15" t="n">
        <v>222</v>
      </c>
      <c r="AI148" s="37"/>
      <c r="AJ148" s="37"/>
      <c r="AK148" s="15"/>
      <c r="AL148" s="43"/>
      <c r="AM148" s="43"/>
      <c r="AN148" s="25" t="str">
        <f aca="false">IF(AND(ISNUMBER(AM148),ISNUMBER(AL148),AL148&gt;=5),AM148/AL148,"")</f>
        <v/>
      </c>
      <c r="AO148" s="43"/>
      <c r="AP148" s="43"/>
      <c r="AQ148" s="25" t="str">
        <f aca="false">IF(AND(ISNUMBER(AP148),ISNUMBER(AO148),AO148&gt;=5),AP148/AO148,"")</f>
        <v/>
      </c>
      <c r="AR148" s="43"/>
      <c r="AS148" s="43"/>
      <c r="AT148" s="22" t="str">
        <f aca="false">IF(AND(ISNUMBER(AS148),ISNUMBER(AR148),AR148&gt;0),AS148/AR148-1,"")</f>
        <v/>
      </c>
      <c r="AU148" s="44"/>
      <c r="AV148" s="44"/>
      <c r="AW148" s="44"/>
      <c r="AX148" s="44"/>
      <c r="AY148" s="44"/>
      <c r="AZ148" s="45"/>
      <c r="BA148" s="45"/>
      <c r="BB148" s="46"/>
      <c r="BC148" s="46"/>
      <c r="BD148" s="23" t="str">
        <f aca="false">IF(AND(ISNUMBER(BB148),ISNUMBER(BC148),BB148&gt;0),1-BC148/BB148,"")</f>
        <v/>
      </c>
      <c r="BE148" s="47"/>
      <c r="BF148" s="48"/>
      <c r="BG148" s="48"/>
      <c r="BH148" s="27" t="str">
        <f aca="false">IF(AND(ISNUMBER(BF148),ISNUMBER(BG148),BG148&gt;0),BF148/BG148,"")</f>
        <v/>
      </c>
      <c r="BI148" s="48"/>
      <c r="BJ148" s="44"/>
      <c r="BK148" s="46"/>
      <c r="BL148" s="46"/>
      <c r="BM148" s="36" t="str">
        <f aca="false">IF(ISNUMBER(Q148),IF(Q148&lt;0,"YES","no"),"")</f>
        <v>YES</v>
      </c>
      <c r="BN148" s="36" t="str">
        <f aca="false">IFERROR(IF(AND(ISNUMBER(K148),ISNUMBER(INDEX('Lift Inputs'!$H:$H,MATCH(C148,'Lift Inputs'!$C:$C,0)))),IF(K148&lt;INDEX('Lift Inputs'!$H:$H,MATCH(C148,'Lift Inputs'!$C:$C,0)),"YES","no"),""),"")</f>
        <v/>
      </c>
      <c r="BO148" s="44"/>
    </row>
    <row r="149" customFormat="false" ht="15" hidden="false" customHeight="false" outlineLevel="0" collapsed="false">
      <c r="A149" s="15" t="s">
        <v>37</v>
      </c>
      <c r="B149" s="15" t="s">
        <v>61</v>
      </c>
      <c r="C149" s="15" t="n">
        <v>36</v>
      </c>
      <c r="D149" s="15" t="s">
        <v>200</v>
      </c>
      <c r="E149" s="15" t="n">
        <v>32</v>
      </c>
      <c r="F149" s="15" t="s">
        <v>434</v>
      </c>
      <c r="G149" s="15" t="s">
        <v>435</v>
      </c>
      <c r="H149" s="15" t="s">
        <v>436</v>
      </c>
      <c r="I149" s="15" t="s">
        <v>437</v>
      </c>
      <c r="J149" s="15" t="s">
        <v>178</v>
      </c>
      <c r="K149" s="35" t="n">
        <v>51.29</v>
      </c>
      <c r="L149" s="35" t="n">
        <v>62.99</v>
      </c>
      <c r="M149" s="23" t="n">
        <f aca="false">IF(AND(ISNUMBER(L149),ISNUMBER(K149),K149&gt;0),L149/K149-1,"")</f>
        <v>0.228114642230454</v>
      </c>
      <c r="N149" s="36" t="str">
        <f aca="false">IF(M149="","No List Price",IF(M149&lt;=0,"At/below price",IF(M149&lt;=0.12,"&lt;=12% (STR zone)",IF(M149&lt;=0.25,"12-25%","&gt;25% (likely ignored)"))))</f>
        <v>12-25%</v>
      </c>
      <c r="O149" s="15" t="s">
        <v>311</v>
      </c>
      <c r="P149" s="35" t="n">
        <v>54.99</v>
      </c>
      <c r="Q149" s="22" t="n">
        <f aca="false">IF(AND(ISNUMBER(K149),ISNUMBER(P149),N(P149)&gt;0),K149/P149-1,"")</f>
        <v>-0.0672849609019822</v>
      </c>
      <c r="R149" s="15" t="s">
        <v>512</v>
      </c>
      <c r="S149" s="37" t="n">
        <v>33959</v>
      </c>
      <c r="T149" s="37" t="n">
        <v>35</v>
      </c>
      <c r="U149" s="38" t="n">
        <f aca="false">IF(AND(ISNUMBER(K149),ISNUMBER(T149)),K149*T149*52/12,"")</f>
        <v>7778.98333333333</v>
      </c>
      <c r="V149" s="15" t="n">
        <v>4.4</v>
      </c>
      <c r="W149" s="37" t="n">
        <v>674</v>
      </c>
      <c r="X149" s="39" t="n">
        <v>46307</v>
      </c>
      <c r="Y149" s="15" t="n">
        <v>74</v>
      </c>
      <c r="Z149" s="40" t="n">
        <v>45423</v>
      </c>
      <c r="AA149" s="41" t="n">
        <f aca="false">IF(ISNUMBER(Z149),(DATE(2026,10,13)-Z149)/365,"")</f>
        <v>2.42465753424658</v>
      </c>
      <c r="AB149" s="37" t="n">
        <v>2428</v>
      </c>
      <c r="AC149" s="15" t="s">
        <v>313</v>
      </c>
      <c r="AD149" s="15" t="n">
        <v>1</v>
      </c>
      <c r="AE149" s="15" t="s">
        <v>331</v>
      </c>
      <c r="AF149" s="42" t="n">
        <v>0</v>
      </c>
      <c r="AG149" s="42" t="n">
        <v>0</v>
      </c>
      <c r="AH149" s="15" t="n">
        <v>151</v>
      </c>
      <c r="AI149" s="37"/>
      <c r="AJ149" s="37"/>
      <c r="AK149" s="15"/>
      <c r="AL149" s="43"/>
      <c r="AM149" s="43"/>
      <c r="AN149" s="25" t="str">
        <f aca="false">IF(AND(ISNUMBER(AM149),ISNUMBER(AL149),AL149&gt;=5),AM149/AL149,"")</f>
        <v/>
      </c>
      <c r="AO149" s="43"/>
      <c r="AP149" s="43"/>
      <c r="AQ149" s="25" t="str">
        <f aca="false">IF(AND(ISNUMBER(AP149),ISNUMBER(AO149),AO149&gt;=5),AP149/AO149,"")</f>
        <v/>
      </c>
      <c r="AR149" s="43"/>
      <c r="AS149" s="43"/>
      <c r="AT149" s="22" t="str">
        <f aca="false">IF(AND(ISNUMBER(AS149),ISNUMBER(AR149),AR149&gt;0),AS149/AR149-1,"")</f>
        <v/>
      </c>
      <c r="AU149" s="44"/>
      <c r="AV149" s="44"/>
      <c r="AW149" s="44"/>
      <c r="AX149" s="44"/>
      <c r="AY149" s="44"/>
      <c r="AZ149" s="45"/>
      <c r="BA149" s="45"/>
      <c r="BB149" s="46"/>
      <c r="BC149" s="46"/>
      <c r="BD149" s="23" t="str">
        <f aca="false">IF(AND(ISNUMBER(BB149),ISNUMBER(BC149),BB149&gt;0),1-BC149/BB149,"")</f>
        <v/>
      </c>
      <c r="BE149" s="47"/>
      <c r="BF149" s="48"/>
      <c r="BG149" s="48"/>
      <c r="BH149" s="27" t="str">
        <f aca="false">IF(AND(ISNUMBER(BF149),ISNUMBER(BG149),BG149&gt;0),BF149/BG149,"")</f>
        <v/>
      </c>
      <c r="BI149" s="48"/>
      <c r="BJ149" s="44"/>
      <c r="BK149" s="46"/>
      <c r="BL149" s="46"/>
      <c r="BM149" s="36" t="str">
        <f aca="false">IF(ISNUMBER(Q149),IF(Q149&lt;0,"YES","no"),"")</f>
        <v>YES</v>
      </c>
      <c r="BN149" s="36" t="str">
        <f aca="false">IFERROR(IF(AND(ISNUMBER(K149),ISNUMBER(INDEX('Lift Inputs'!$H:$H,MATCH(C149,'Lift Inputs'!$C:$C,0)))),IF(K149&lt;INDEX('Lift Inputs'!$H:$H,MATCH(C149,'Lift Inputs'!$C:$C,0)),"YES","no"),""),"")</f>
        <v/>
      </c>
      <c r="BO149" s="44"/>
    </row>
    <row r="150" customFormat="false" ht="15" hidden="false" customHeight="false" outlineLevel="0" collapsed="false">
      <c r="A150" s="15" t="s">
        <v>37</v>
      </c>
      <c r="B150" s="15" t="s">
        <v>61</v>
      </c>
      <c r="C150" s="15" t="n">
        <v>36</v>
      </c>
      <c r="D150" s="15" t="s">
        <v>200</v>
      </c>
      <c r="E150" s="15" t="n">
        <v>1522</v>
      </c>
      <c r="F150" s="15" t="s">
        <v>438</v>
      </c>
      <c r="G150" s="15" t="s">
        <v>439</v>
      </c>
      <c r="H150" s="15" t="s">
        <v>439</v>
      </c>
      <c r="I150" s="15" t="s">
        <v>440</v>
      </c>
      <c r="J150" s="15" t="s">
        <v>178</v>
      </c>
      <c r="K150" s="35" t="n">
        <v>46.66</v>
      </c>
      <c r="L150" s="35" t="n">
        <v>54.9</v>
      </c>
      <c r="M150" s="23" t="n">
        <f aca="false">IF(AND(ISNUMBER(L150),ISNUMBER(K150),K150&gt;0),L150/K150-1,"")</f>
        <v>0.176596656665238</v>
      </c>
      <c r="N150" s="36" t="str">
        <f aca="false">IF(M150="","No List Price",IF(M150&lt;=0,"At/below price",IF(M150&lt;=0.12,"&lt;=12% (STR zone)",IF(M150&lt;=0.25,"12-25%","&gt;25% (likely ignored)"))))</f>
        <v>12-25%</v>
      </c>
      <c r="O150" s="15" t="s">
        <v>311</v>
      </c>
      <c r="P150" s="35" t="n">
        <v>54.99</v>
      </c>
      <c r="Q150" s="22" t="n">
        <f aca="false">IF(AND(ISNUMBER(K150),ISNUMBER(P150),N(P150)&gt;0),K150/P150-1,"")</f>
        <v>-0.151482087652301</v>
      </c>
      <c r="R150" s="15" t="s">
        <v>512</v>
      </c>
      <c r="S150" s="37" t="n">
        <v>26043</v>
      </c>
      <c r="T150" s="37" t="n">
        <v>35</v>
      </c>
      <c r="U150" s="38" t="n">
        <f aca="false">IF(AND(ISNUMBER(K150),ISNUMBER(T150)),K150*T150*52/12,"")</f>
        <v>7076.76666666667</v>
      </c>
      <c r="V150" s="15" t="n">
        <v>4.4</v>
      </c>
      <c r="W150" s="37" t="n">
        <v>6629</v>
      </c>
      <c r="X150" s="39" t="n">
        <v>46307</v>
      </c>
      <c r="Y150" s="15" t="n">
        <v>79</v>
      </c>
      <c r="Z150" s="40" t="n">
        <v>44652</v>
      </c>
      <c r="AA150" s="41" t="n">
        <f aca="false">IF(ISNUMBER(Z150),(DATE(2026,10,13)-Z150)/365,"")</f>
        <v>4.53698630136986</v>
      </c>
      <c r="AB150" s="37" t="n">
        <v>1557</v>
      </c>
      <c r="AC150" s="15" t="s">
        <v>313</v>
      </c>
      <c r="AD150" s="15" t="n">
        <v>1</v>
      </c>
      <c r="AE150" s="15" t="s">
        <v>331</v>
      </c>
      <c r="AF150" s="42" t="n">
        <v>0</v>
      </c>
      <c r="AG150" s="42" t="n">
        <v>0</v>
      </c>
      <c r="AH150" s="15" t="n">
        <v>167</v>
      </c>
      <c r="AI150" s="37"/>
      <c r="AJ150" s="37"/>
      <c r="AK150" s="15" t="s">
        <v>315</v>
      </c>
      <c r="AL150" s="43" t="n">
        <v>0</v>
      </c>
      <c r="AM150" s="43" t="n">
        <v>0</v>
      </c>
      <c r="AN150" s="25" t="str">
        <f aca="false">IF(AND(ISNUMBER(AM150),ISNUMBER(AL150),AL150&gt;=5),AM150/AL150,"")</f>
        <v/>
      </c>
      <c r="AO150" s="43" t="n">
        <v>0</v>
      </c>
      <c r="AP150" s="43" t="n">
        <v>0</v>
      </c>
      <c r="AQ150" s="25" t="str">
        <f aca="false">IF(AND(ISNUMBER(AP150),ISNUMBER(AO150),AO150&gt;=5),AP150/AO150,"")</f>
        <v/>
      </c>
      <c r="AR150" s="43" t="n">
        <v>13.3</v>
      </c>
      <c r="AS150" s="43" t="n">
        <v>0.3</v>
      </c>
      <c r="AT150" s="22" t="n">
        <f aca="false">IF(AND(ISNUMBER(AS150),ISNUMBER(AR150),AR150&gt;0),AS150/AR150-1,"")</f>
        <v>-0.977443609022556</v>
      </c>
      <c r="AU150" s="44"/>
      <c r="AV150" s="44"/>
      <c r="AW150" s="44"/>
      <c r="AX150" s="44"/>
      <c r="AY150" s="44"/>
      <c r="AZ150" s="45"/>
      <c r="BA150" s="45"/>
      <c r="BB150" s="46"/>
      <c r="BC150" s="46"/>
      <c r="BD150" s="23" t="str">
        <f aca="false">IF(AND(ISNUMBER(BB150),ISNUMBER(BC150),BB150&gt;0),1-BC150/BB150,"")</f>
        <v/>
      </c>
      <c r="BE150" s="47"/>
      <c r="BF150" s="48"/>
      <c r="BG150" s="48"/>
      <c r="BH150" s="27" t="str">
        <f aca="false">IF(AND(ISNUMBER(BF150),ISNUMBER(BG150),BG150&gt;0),BF150/BG150,"")</f>
        <v/>
      </c>
      <c r="BI150" s="48"/>
      <c r="BJ150" s="44"/>
      <c r="BK150" s="46"/>
      <c r="BL150" s="46"/>
      <c r="BM150" s="36" t="str">
        <f aca="false">IF(ISNUMBER(Q150),IF(Q150&lt;0,"YES","no"),"")</f>
        <v>YES</v>
      </c>
      <c r="BN150" s="36" t="str">
        <f aca="false">IFERROR(IF(AND(ISNUMBER(K150),ISNUMBER(INDEX('Lift Inputs'!$H:$H,MATCH(C150,'Lift Inputs'!$C:$C,0)))),IF(K150&lt;INDEX('Lift Inputs'!$H:$H,MATCH(C150,'Lift Inputs'!$C:$C,0)),"YES","no"),""),"")</f>
        <v/>
      </c>
      <c r="BO150" s="44"/>
    </row>
    <row r="151" customFormat="false" ht="15" hidden="false" customHeight="false" outlineLevel="0" collapsed="false">
      <c r="A151" s="15" t="s">
        <v>37</v>
      </c>
      <c r="B151" s="15" t="s">
        <v>61</v>
      </c>
      <c r="C151" s="15" t="n">
        <v>36</v>
      </c>
      <c r="D151" s="15" t="s">
        <v>200</v>
      </c>
      <c r="E151" s="15" t="n">
        <v>30</v>
      </c>
      <c r="F151" s="15" t="s">
        <v>441</v>
      </c>
      <c r="G151" s="15" t="s">
        <v>442</v>
      </c>
      <c r="H151" s="15" t="s">
        <v>443</v>
      </c>
      <c r="I151" s="15" t="s">
        <v>444</v>
      </c>
      <c r="J151" s="15" t="s">
        <v>178</v>
      </c>
      <c r="K151" s="35" t="n">
        <v>94.99</v>
      </c>
      <c r="L151" s="35"/>
      <c r="M151" s="23" t="str">
        <f aca="false">IF(AND(ISNUMBER(L151),ISNUMBER(K151),K151&gt;0),L151/K151-1,"")</f>
        <v/>
      </c>
      <c r="N151" s="36" t="str">
        <f aca="false">IF(M151="","No List Price",IF(M151&lt;=0,"At/below price",IF(M151&lt;=0.12,"&lt;=12% (STR zone)",IF(M151&lt;=0.25,"12-25%","&gt;25% (likely ignored)"))))</f>
        <v>No List Price</v>
      </c>
      <c r="O151" s="15" t="s">
        <v>311</v>
      </c>
      <c r="P151" s="35" t="n">
        <v>54.99</v>
      </c>
      <c r="Q151" s="22" t="n">
        <f aca="false">IF(AND(ISNUMBER(K151),ISNUMBER(P151),N(P151)&gt;0),K151/P151-1,"")</f>
        <v>0.727404982724132</v>
      </c>
      <c r="R151" s="15" t="s">
        <v>512</v>
      </c>
      <c r="S151" s="37" t="n">
        <v>79376</v>
      </c>
      <c r="T151" s="37" t="n">
        <v>18</v>
      </c>
      <c r="U151" s="38" t="n">
        <f aca="false">IF(AND(ISNUMBER(K151),ISNUMBER(T151)),K151*T151*52/12,"")</f>
        <v>7409.22</v>
      </c>
      <c r="V151" s="15" t="n">
        <v>4.4</v>
      </c>
      <c r="W151" s="37" t="n">
        <v>641</v>
      </c>
      <c r="X151" s="39" t="n">
        <v>46307</v>
      </c>
      <c r="Y151" s="15"/>
      <c r="Z151" s="40"/>
      <c r="AA151" s="41" t="str">
        <f aca="false">IF(ISNUMBER(Z151),(DATE(2026,10,13)-Z151)/365,"")</f>
        <v/>
      </c>
      <c r="AB151" s="37"/>
      <c r="AC151" s="15"/>
      <c r="AD151" s="15"/>
      <c r="AE151" s="15"/>
      <c r="AF151" s="42"/>
      <c r="AG151" s="42"/>
      <c r="AH151" s="15"/>
      <c r="AI151" s="37"/>
      <c r="AJ151" s="37"/>
      <c r="AK151" s="15"/>
      <c r="AL151" s="43"/>
      <c r="AM151" s="43"/>
      <c r="AN151" s="25" t="str">
        <f aca="false">IF(AND(ISNUMBER(AM151),ISNUMBER(AL151),AL151&gt;=5),AM151/AL151,"")</f>
        <v/>
      </c>
      <c r="AO151" s="43"/>
      <c r="AP151" s="43"/>
      <c r="AQ151" s="25" t="str">
        <f aca="false">IF(AND(ISNUMBER(AP151),ISNUMBER(AO151),AO151&gt;=5),AP151/AO151,"")</f>
        <v/>
      </c>
      <c r="AR151" s="43"/>
      <c r="AS151" s="43"/>
      <c r="AT151" s="22" t="str">
        <f aca="false">IF(AND(ISNUMBER(AS151),ISNUMBER(AR151),AR151&gt;0),AS151/AR151-1,"")</f>
        <v/>
      </c>
      <c r="AU151" s="44"/>
      <c r="AV151" s="44"/>
      <c r="AW151" s="44"/>
      <c r="AX151" s="44"/>
      <c r="AY151" s="44"/>
      <c r="AZ151" s="45"/>
      <c r="BA151" s="45"/>
      <c r="BB151" s="46"/>
      <c r="BC151" s="46"/>
      <c r="BD151" s="23" t="str">
        <f aca="false">IF(AND(ISNUMBER(BB151),ISNUMBER(BC151),BB151&gt;0),1-BC151/BB151,"")</f>
        <v/>
      </c>
      <c r="BE151" s="47"/>
      <c r="BF151" s="48"/>
      <c r="BG151" s="48"/>
      <c r="BH151" s="27" t="str">
        <f aca="false">IF(AND(ISNUMBER(BF151),ISNUMBER(BG151),BG151&gt;0),BF151/BG151,"")</f>
        <v/>
      </c>
      <c r="BI151" s="48"/>
      <c r="BJ151" s="44"/>
      <c r="BK151" s="46"/>
      <c r="BL151" s="46"/>
      <c r="BM151" s="36" t="str">
        <f aca="false">IF(ISNUMBER(Q151),IF(Q151&lt;0,"YES","no"),"")</f>
        <v>no</v>
      </c>
      <c r="BN151" s="36" t="str">
        <f aca="false">IFERROR(IF(AND(ISNUMBER(K151),ISNUMBER(INDEX('Lift Inputs'!$H:$H,MATCH(C151,'Lift Inputs'!$C:$C,0)))),IF(K151&lt;INDEX('Lift Inputs'!$H:$H,MATCH(C151,'Lift Inputs'!$C:$C,0)),"YES","no"),""),"")</f>
        <v/>
      </c>
      <c r="BO151" s="44"/>
    </row>
    <row r="152" customFormat="false" ht="15" hidden="false" customHeight="false" outlineLevel="0" collapsed="false">
      <c r="A152" s="15" t="s">
        <v>37</v>
      </c>
      <c r="B152" s="15" t="s">
        <v>61</v>
      </c>
      <c r="C152" s="15" t="n">
        <v>36</v>
      </c>
      <c r="D152" s="15" t="s">
        <v>200</v>
      </c>
      <c r="E152" s="15" t="n">
        <v>28</v>
      </c>
      <c r="F152" s="15" t="s">
        <v>445</v>
      </c>
      <c r="G152" s="15" t="s">
        <v>446</v>
      </c>
      <c r="H152" s="15" t="s">
        <v>447</v>
      </c>
      <c r="I152" s="15" t="s">
        <v>448</v>
      </c>
      <c r="J152" s="15" t="s">
        <v>178</v>
      </c>
      <c r="K152" s="35" t="n">
        <v>56.99</v>
      </c>
      <c r="L152" s="35"/>
      <c r="M152" s="23" t="str">
        <f aca="false">IF(AND(ISNUMBER(L152),ISNUMBER(K152),K152&gt;0),L152/K152-1,"")</f>
        <v/>
      </c>
      <c r="N152" s="36" t="str">
        <f aca="false">IF(M152="","No List Price",IF(M152&lt;=0,"At/below price",IF(M152&lt;=0.12,"&lt;=12% (STR zone)",IF(M152&lt;=0.25,"12-25%","&gt;25% (likely ignored)"))))</f>
        <v>No List Price</v>
      </c>
      <c r="O152" s="15" t="s">
        <v>311</v>
      </c>
      <c r="P152" s="35" t="n">
        <v>54.99</v>
      </c>
      <c r="Q152" s="22" t="n">
        <f aca="false">IF(AND(ISNUMBER(K152),ISNUMBER(P152),N(P152)&gt;0),K152/P152-1,"")</f>
        <v>0.0363702491362066</v>
      </c>
      <c r="R152" s="15" t="s">
        <v>512</v>
      </c>
      <c r="S152" s="37" t="n">
        <v>76312</v>
      </c>
      <c r="T152" s="37" t="n">
        <v>18</v>
      </c>
      <c r="U152" s="38" t="n">
        <f aca="false">IF(AND(ISNUMBER(K152),ISNUMBER(T152)),K152*T152*52/12,"")</f>
        <v>4445.22</v>
      </c>
      <c r="V152" s="15" t="n">
        <v>4.3</v>
      </c>
      <c r="W152" s="37" t="n">
        <v>281</v>
      </c>
      <c r="X152" s="39" t="n">
        <v>46307</v>
      </c>
      <c r="Y152" s="15" t="n">
        <v>32</v>
      </c>
      <c r="Z152" s="40" t="n">
        <v>45671</v>
      </c>
      <c r="AA152" s="41" t="n">
        <f aca="false">IF(ISNUMBER(Z152),(DATE(2026,10,13)-Z152)/365,"")</f>
        <v>1.74520547945205</v>
      </c>
      <c r="AB152" s="37" t="n">
        <v>1508</v>
      </c>
      <c r="AC152" s="15" t="s">
        <v>313</v>
      </c>
      <c r="AD152" s="15" t="n">
        <v>1</v>
      </c>
      <c r="AE152" s="15" t="s">
        <v>331</v>
      </c>
      <c r="AF152" s="42" t="n">
        <v>0</v>
      </c>
      <c r="AG152" s="42" t="n">
        <v>0</v>
      </c>
      <c r="AH152" s="15" t="n">
        <v>126</v>
      </c>
      <c r="AI152" s="37"/>
      <c r="AJ152" s="37"/>
      <c r="AK152" s="15"/>
      <c r="AL152" s="43"/>
      <c r="AM152" s="43"/>
      <c r="AN152" s="25" t="str">
        <f aca="false">IF(AND(ISNUMBER(AM152),ISNUMBER(AL152),AL152&gt;=5),AM152/AL152,"")</f>
        <v/>
      </c>
      <c r="AO152" s="43"/>
      <c r="AP152" s="43"/>
      <c r="AQ152" s="25" t="str">
        <f aca="false">IF(AND(ISNUMBER(AP152),ISNUMBER(AO152),AO152&gt;=5),AP152/AO152,"")</f>
        <v/>
      </c>
      <c r="AR152" s="43"/>
      <c r="AS152" s="43"/>
      <c r="AT152" s="22" t="str">
        <f aca="false">IF(AND(ISNUMBER(AS152),ISNUMBER(AR152),AR152&gt;0),AS152/AR152-1,"")</f>
        <v/>
      </c>
      <c r="AU152" s="44"/>
      <c r="AV152" s="44"/>
      <c r="AW152" s="44"/>
      <c r="AX152" s="44"/>
      <c r="AY152" s="44"/>
      <c r="AZ152" s="45"/>
      <c r="BA152" s="45"/>
      <c r="BB152" s="46"/>
      <c r="BC152" s="46"/>
      <c r="BD152" s="23" t="str">
        <f aca="false">IF(AND(ISNUMBER(BB152),ISNUMBER(BC152),BB152&gt;0),1-BC152/BB152,"")</f>
        <v/>
      </c>
      <c r="BE152" s="47"/>
      <c r="BF152" s="48"/>
      <c r="BG152" s="48"/>
      <c r="BH152" s="27" t="str">
        <f aca="false">IF(AND(ISNUMBER(BF152),ISNUMBER(BG152),BG152&gt;0),BF152/BG152,"")</f>
        <v/>
      </c>
      <c r="BI152" s="48"/>
      <c r="BJ152" s="44"/>
      <c r="BK152" s="46"/>
      <c r="BL152" s="46"/>
      <c r="BM152" s="36" t="str">
        <f aca="false">IF(ISNUMBER(Q152),IF(Q152&lt;0,"YES","no"),"")</f>
        <v>no</v>
      </c>
      <c r="BN152" s="36" t="str">
        <f aca="false">IFERROR(IF(AND(ISNUMBER(K152),ISNUMBER(INDEX('Lift Inputs'!$H:$H,MATCH(C152,'Lift Inputs'!$C:$C,0)))),IF(K152&lt;INDEX('Lift Inputs'!$H:$H,MATCH(C152,'Lift Inputs'!$C:$C,0)),"YES","no"),""),"")</f>
        <v/>
      </c>
      <c r="BO152" s="44"/>
    </row>
    <row r="153" customFormat="false" ht="15" hidden="false" customHeight="false" outlineLevel="0" collapsed="false">
      <c r="A153" s="15" t="s">
        <v>37</v>
      </c>
      <c r="B153" s="15" t="s">
        <v>61</v>
      </c>
      <c r="C153" s="15" t="n">
        <v>36</v>
      </c>
      <c r="D153" s="15" t="s">
        <v>200</v>
      </c>
      <c r="E153" s="15" t="n">
        <v>24</v>
      </c>
      <c r="F153" s="15" t="s">
        <v>449</v>
      </c>
      <c r="G153" s="15" t="s">
        <v>450</v>
      </c>
      <c r="H153" s="15" t="s">
        <v>451</v>
      </c>
      <c r="I153" s="15" t="s">
        <v>352</v>
      </c>
      <c r="J153" s="15" t="s">
        <v>178</v>
      </c>
      <c r="K153" s="35" t="n">
        <v>76.99</v>
      </c>
      <c r="L153" s="35" t="n">
        <v>84.99</v>
      </c>
      <c r="M153" s="23" t="n">
        <f aca="false">IF(AND(ISNUMBER(L153),ISNUMBER(K153),K153&gt;0),L153/K153-1,"")</f>
        <v>0.103909598649175</v>
      </c>
      <c r="N153" s="36" t="str">
        <f aca="false">IF(M153="","No List Price",IF(M153&lt;=0,"At/below price",IF(M153&lt;=0.12,"&lt;=12% (STR zone)",IF(M153&lt;=0.25,"12-25%","&gt;25% (likely ignored)"))))</f>
        <v>&lt;=12% (STR zone)</v>
      </c>
      <c r="O153" s="15"/>
      <c r="P153" s="35" t="n">
        <v>54.99</v>
      </c>
      <c r="Q153" s="22" t="n">
        <f aca="false">IF(AND(ISNUMBER(K153),ISNUMBER(P153),N(P153)&gt;0),K153/P153-1,"")</f>
        <v>0.400072740498272</v>
      </c>
      <c r="R153" s="15" t="s">
        <v>512</v>
      </c>
      <c r="S153" s="37" t="n">
        <v>23579</v>
      </c>
      <c r="T153" s="37" t="n">
        <v>18</v>
      </c>
      <c r="U153" s="38" t="n">
        <f aca="false">IF(AND(ISNUMBER(K153),ISNUMBER(T153)),K153*T153*52/12,"")</f>
        <v>6005.22</v>
      </c>
      <c r="V153" s="15" t="n">
        <v>4.6</v>
      </c>
      <c r="W153" s="37" t="n">
        <v>688</v>
      </c>
      <c r="X153" s="39" t="n">
        <v>46307</v>
      </c>
      <c r="Y153" s="15"/>
      <c r="Z153" s="40"/>
      <c r="AA153" s="41" t="str">
        <f aca="false">IF(ISNUMBER(Z153),(DATE(2026,10,13)-Z153)/365,"")</f>
        <v/>
      </c>
      <c r="AB153" s="37"/>
      <c r="AC153" s="15"/>
      <c r="AD153" s="15"/>
      <c r="AE153" s="15"/>
      <c r="AF153" s="42"/>
      <c r="AG153" s="42"/>
      <c r="AH153" s="15"/>
      <c r="AI153" s="37" t="n">
        <v>58169</v>
      </c>
      <c r="AJ153" s="37" t="n">
        <v>1164</v>
      </c>
      <c r="AK153" s="15" t="s">
        <v>315</v>
      </c>
      <c r="AL153" s="43" t="n">
        <v>1.3</v>
      </c>
      <c r="AM153" s="43" t="n">
        <v>2.2</v>
      </c>
      <c r="AN153" s="25" t="str">
        <f aca="false">IF(AND(ISNUMBER(AM153),ISNUMBER(AL153),AL153&gt;=5),AM153/AL153,"")</f>
        <v/>
      </c>
      <c r="AO153" s="43" t="n">
        <v>3.5</v>
      </c>
      <c r="AP153" s="43" t="n">
        <v>2.5</v>
      </c>
      <c r="AQ153" s="25" t="str">
        <f aca="false">IF(AND(ISNUMBER(AP153),ISNUMBER(AO153),AO153&gt;=5),AP153/AO153,"")</f>
        <v/>
      </c>
      <c r="AR153" s="43" t="n">
        <v>1.7</v>
      </c>
      <c r="AS153" s="43" t="n">
        <v>5.7</v>
      </c>
      <c r="AT153" s="22" t="n">
        <f aca="false">IF(AND(ISNUMBER(AS153),ISNUMBER(AR153),AR153&gt;0),AS153/AR153-1,"")</f>
        <v>2.35294117647059</v>
      </c>
      <c r="AU153" s="44"/>
      <c r="AV153" s="44"/>
      <c r="AW153" s="44"/>
      <c r="AX153" s="44"/>
      <c r="AY153" s="44"/>
      <c r="AZ153" s="45"/>
      <c r="BA153" s="45"/>
      <c r="BB153" s="46"/>
      <c r="BC153" s="46"/>
      <c r="BD153" s="23" t="str">
        <f aca="false">IF(AND(ISNUMBER(BB153),ISNUMBER(BC153),BB153&gt;0),1-BC153/BB153,"")</f>
        <v/>
      </c>
      <c r="BE153" s="47"/>
      <c r="BF153" s="48"/>
      <c r="BG153" s="48"/>
      <c r="BH153" s="27" t="str">
        <f aca="false">IF(AND(ISNUMBER(BF153),ISNUMBER(BG153),BG153&gt;0),BF153/BG153,"")</f>
        <v/>
      </c>
      <c r="BI153" s="48"/>
      <c r="BJ153" s="44"/>
      <c r="BK153" s="46"/>
      <c r="BL153" s="46"/>
      <c r="BM153" s="36" t="str">
        <f aca="false">IF(ISNUMBER(Q153),IF(Q153&lt;0,"YES","no"),"")</f>
        <v>no</v>
      </c>
      <c r="BN153" s="36" t="str">
        <f aca="false">IFERROR(IF(AND(ISNUMBER(K153),ISNUMBER(INDEX('Lift Inputs'!$H:$H,MATCH(C153,'Lift Inputs'!$C:$C,0)))),IF(K153&lt;INDEX('Lift Inputs'!$H:$H,MATCH(C153,'Lift Inputs'!$C:$C,0)),"YES","no"),""),"")</f>
        <v/>
      </c>
      <c r="BO153" s="44"/>
    </row>
    <row r="154" customFormat="false" ht="15" hidden="false" customHeight="false" outlineLevel="0" collapsed="false">
      <c r="A154" s="15" t="s">
        <v>37</v>
      </c>
      <c r="B154" s="15" t="s">
        <v>61</v>
      </c>
      <c r="C154" s="15" t="n">
        <v>36</v>
      </c>
      <c r="D154" s="15" t="s">
        <v>200</v>
      </c>
      <c r="E154" s="15" t="n">
        <v>26</v>
      </c>
      <c r="F154" s="15" t="s">
        <v>452</v>
      </c>
      <c r="G154" s="15" t="s">
        <v>453</v>
      </c>
      <c r="H154" s="15" t="s">
        <v>454</v>
      </c>
      <c r="I154" s="15" t="s">
        <v>352</v>
      </c>
      <c r="J154" s="15" t="s">
        <v>178</v>
      </c>
      <c r="K154" s="35" t="n">
        <v>129.94</v>
      </c>
      <c r="L154" s="35"/>
      <c r="M154" s="23" t="str">
        <f aca="false">IF(AND(ISNUMBER(L154),ISNUMBER(K154),K154&gt;0),L154/K154-1,"")</f>
        <v/>
      </c>
      <c r="N154" s="36" t="str">
        <f aca="false">IF(M154="","No List Price",IF(M154&lt;=0,"At/below price",IF(M154&lt;=0.12,"&lt;=12% (STR zone)",IF(M154&lt;=0.25,"12-25%","&gt;25% (likely ignored)"))))</f>
        <v>No List Price</v>
      </c>
      <c r="O154" s="15"/>
      <c r="P154" s="35" t="n">
        <v>54.99</v>
      </c>
      <c r="Q154" s="22" t="n">
        <f aca="false">IF(AND(ISNUMBER(K154),ISNUMBER(P154),N(P154)&gt;0),K154/P154-1,"")</f>
        <v>1.36297508637934</v>
      </c>
      <c r="R154" s="15" t="s">
        <v>512</v>
      </c>
      <c r="S154" s="37" t="n">
        <v>47800</v>
      </c>
      <c r="T154" s="37" t="n">
        <v>18</v>
      </c>
      <c r="U154" s="38" t="n">
        <f aca="false">IF(AND(ISNUMBER(K154),ISNUMBER(T154)),K154*T154*52/12,"")</f>
        <v>10135.32</v>
      </c>
      <c r="V154" s="15" t="n">
        <v>4.5</v>
      </c>
      <c r="W154" s="37" t="n">
        <v>517</v>
      </c>
      <c r="X154" s="39" t="n">
        <v>46307</v>
      </c>
      <c r="Y154" s="15"/>
      <c r="Z154" s="40"/>
      <c r="AA154" s="41" t="str">
        <f aca="false">IF(ISNUMBER(Z154),(DATE(2026,10,13)-Z154)/365,"")</f>
        <v/>
      </c>
      <c r="AB154" s="37"/>
      <c r="AC154" s="15"/>
      <c r="AD154" s="15"/>
      <c r="AE154" s="15"/>
      <c r="AF154" s="42"/>
      <c r="AG154" s="42"/>
      <c r="AH154" s="15"/>
      <c r="AI154" s="37"/>
      <c r="AJ154" s="37"/>
      <c r="AK154" s="15"/>
      <c r="AL154" s="43"/>
      <c r="AM154" s="43"/>
      <c r="AN154" s="25" t="str">
        <f aca="false">IF(AND(ISNUMBER(AM154),ISNUMBER(AL154),AL154&gt;=5),AM154/AL154,"")</f>
        <v/>
      </c>
      <c r="AO154" s="43"/>
      <c r="AP154" s="43"/>
      <c r="AQ154" s="25" t="str">
        <f aca="false">IF(AND(ISNUMBER(AP154),ISNUMBER(AO154),AO154&gt;=5),AP154/AO154,"")</f>
        <v/>
      </c>
      <c r="AR154" s="43"/>
      <c r="AS154" s="43"/>
      <c r="AT154" s="22" t="str">
        <f aca="false">IF(AND(ISNUMBER(AS154),ISNUMBER(AR154),AR154&gt;0),AS154/AR154-1,"")</f>
        <v/>
      </c>
      <c r="AU154" s="44"/>
      <c r="AV154" s="44"/>
      <c r="AW154" s="44"/>
      <c r="AX154" s="44"/>
      <c r="AY154" s="44"/>
      <c r="AZ154" s="45"/>
      <c r="BA154" s="45"/>
      <c r="BB154" s="46"/>
      <c r="BC154" s="46"/>
      <c r="BD154" s="23" t="str">
        <f aca="false">IF(AND(ISNUMBER(BB154),ISNUMBER(BC154),BB154&gt;0),1-BC154/BB154,"")</f>
        <v/>
      </c>
      <c r="BE154" s="47"/>
      <c r="BF154" s="48"/>
      <c r="BG154" s="48"/>
      <c r="BH154" s="27" t="str">
        <f aca="false">IF(AND(ISNUMBER(BF154),ISNUMBER(BG154),BG154&gt;0),BF154/BG154,"")</f>
        <v/>
      </c>
      <c r="BI154" s="48"/>
      <c r="BJ154" s="44"/>
      <c r="BK154" s="46"/>
      <c r="BL154" s="46"/>
      <c r="BM154" s="36" t="str">
        <f aca="false">IF(ISNUMBER(Q154),IF(Q154&lt;0,"YES","no"),"")</f>
        <v>no</v>
      </c>
      <c r="BN154" s="36" t="str">
        <f aca="false">IFERROR(IF(AND(ISNUMBER(K154),ISNUMBER(INDEX('Lift Inputs'!$H:$H,MATCH(C154,'Lift Inputs'!$C:$C,0)))),IF(K154&lt;INDEX('Lift Inputs'!$H:$H,MATCH(C154,'Lift Inputs'!$C:$C,0)),"YES","no"),""),"")</f>
        <v/>
      </c>
      <c r="BO154" s="44"/>
    </row>
    <row r="155" customFormat="false" ht="15" hidden="false" customHeight="false" outlineLevel="0" collapsed="false">
      <c r="A155" s="15" t="s">
        <v>37</v>
      </c>
      <c r="B155" s="15" t="s">
        <v>61</v>
      </c>
      <c r="C155" s="15" t="n">
        <v>36</v>
      </c>
      <c r="D155" s="15" t="s">
        <v>200</v>
      </c>
      <c r="E155" s="15" t="n">
        <v>633</v>
      </c>
      <c r="F155" s="15" t="s">
        <v>438</v>
      </c>
      <c r="G155" s="15" t="s">
        <v>455</v>
      </c>
      <c r="H155" s="15" t="s">
        <v>455</v>
      </c>
      <c r="I155" s="15" t="s">
        <v>456</v>
      </c>
      <c r="J155" s="15" t="s">
        <v>178</v>
      </c>
      <c r="K155" s="35" t="n">
        <v>69.99</v>
      </c>
      <c r="L155" s="35" t="n">
        <v>84.99</v>
      </c>
      <c r="M155" s="23" t="n">
        <f aca="false">IF(AND(ISNUMBER(L155),ISNUMBER(K155),K155&gt;0),L155/K155-1,"")</f>
        <v>0.214316330904415</v>
      </c>
      <c r="N155" s="36" t="str">
        <f aca="false">IF(M155="","No List Price",IF(M155&lt;=0,"At/below price",IF(M155&lt;=0.12,"&lt;=12% (STR zone)",IF(M155&lt;=0.25,"12-25%","&gt;25% (likely ignored)"))))</f>
        <v>12-25%</v>
      </c>
      <c r="O155" s="15"/>
      <c r="P155" s="35" t="n">
        <v>54.99</v>
      </c>
      <c r="Q155" s="22" t="n">
        <f aca="false">IF(AND(ISNUMBER(K155),ISNUMBER(P155),N(P155)&gt;0),K155/P155-1,"")</f>
        <v>0.272776868521549</v>
      </c>
      <c r="R155" s="15" t="s">
        <v>512</v>
      </c>
      <c r="S155" s="37" t="n">
        <v>39194</v>
      </c>
      <c r="T155" s="37" t="n">
        <v>18</v>
      </c>
      <c r="U155" s="38" t="n">
        <f aca="false">IF(AND(ISNUMBER(K155),ISNUMBER(T155)),K155*T155*52/12,"")</f>
        <v>5459.22</v>
      </c>
      <c r="V155" s="15" t="n">
        <v>4.5</v>
      </c>
      <c r="W155" s="37" t="n">
        <v>1639</v>
      </c>
      <c r="X155" s="39" t="n">
        <v>46307</v>
      </c>
      <c r="Y155" s="15" t="n">
        <v>32</v>
      </c>
      <c r="Z155" s="40" t="n">
        <v>45744</v>
      </c>
      <c r="AA155" s="41" t="n">
        <f aca="false">IF(ISNUMBER(Z155),(DATE(2026,10,13)-Z155)/365,"")</f>
        <v>1.54520547945205</v>
      </c>
      <c r="AB155" s="37" t="n">
        <v>1201</v>
      </c>
      <c r="AC155" s="15" t="s">
        <v>313</v>
      </c>
      <c r="AD155" s="15" t="n">
        <v>1</v>
      </c>
      <c r="AE155" s="15" t="s">
        <v>331</v>
      </c>
      <c r="AF155" s="42" t="n">
        <v>0</v>
      </c>
      <c r="AG155" s="42" t="n">
        <v>0</v>
      </c>
      <c r="AH155" s="15" t="n">
        <v>121</v>
      </c>
      <c r="AI155" s="37"/>
      <c r="AJ155" s="37"/>
      <c r="AK155" s="15" t="s">
        <v>315</v>
      </c>
      <c r="AL155" s="43" t="n">
        <v>0</v>
      </c>
      <c r="AM155" s="43" t="n">
        <v>0</v>
      </c>
      <c r="AN155" s="25" t="str">
        <f aca="false">IF(AND(ISNUMBER(AM155),ISNUMBER(AL155),AL155&gt;=5),AM155/AL155,"")</f>
        <v/>
      </c>
      <c r="AO155" s="43" t="n">
        <v>0</v>
      </c>
      <c r="AP155" s="43" t="n">
        <v>0</v>
      </c>
      <c r="AQ155" s="25" t="str">
        <f aca="false">IF(AND(ISNUMBER(AP155),ISNUMBER(AO155),AO155&gt;=5),AP155/AO155,"")</f>
        <v/>
      </c>
      <c r="AR155" s="43" t="n">
        <v>5.8</v>
      </c>
      <c r="AS155" s="43" t="n">
        <v>0.2</v>
      </c>
      <c r="AT155" s="22" t="n">
        <f aca="false">IF(AND(ISNUMBER(AS155),ISNUMBER(AR155),AR155&gt;0),AS155/AR155-1,"")</f>
        <v>-0.96551724137931</v>
      </c>
      <c r="AU155" s="44"/>
      <c r="AV155" s="44"/>
      <c r="AW155" s="44"/>
      <c r="AX155" s="44"/>
      <c r="AY155" s="44"/>
      <c r="AZ155" s="45"/>
      <c r="BA155" s="45"/>
      <c r="BB155" s="46"/>
      <c r="BC155" s="46"/>
      <c r="BD155" s="23" t="str">
        <f aca="false">IF(AND(ISNUMBER(BB155),ISNUMBER(BC155),BB155&gt;0),1-BC155/BB155,"")</f>
        <v/>
      </c>
      <c r="BE155" s="47"/>
      <c r="BF155" s="48"/>
      <c r="BG155" s="48"/>
      <c r="BH155" s="27" t="str">
        <f aca="false">IF(AND(ISNUMBER(BF155),ISNUMBER(BG155),BG155&gt;0),BF155/BG155,"")</f>
        <v/>
      </c>
      <c r="BI155" s="48"/>
      <c r="BJ155" s="44"/>
      <c r="BK155" s="46"/>
      <c r="BL155" s="46"/>
      <c r="BM155" s="36" t="str">
        <f aca="false">IF(ISNUMBER(Q155),IF(Q155&lt;0,"YES","no"),"")</f>
        <v>no</v>
      </c>
      <c r="BN155" s="36" t="str">
        <f aca="false">IFERROR(IF(AND(ISNUMBER(K155),ISNUMBER(INDEX('Lift Inputs'!$H:$H,MATCH(C155,'Lift Inputs'!$C:$C,0)))),IF(K155&lt;INDEX('Lift Inputs'!$H:$H,MATCH(C155,'Lift Inputs'!$C:$C,0)),"YES","no"),""),"")</f>
        <v/>
      </c>
      <c r="BO155" s="44"/>
    </row>
    <row r="156" customFormat="false" ht="15" hidden="false" customHeight="false" outlineLevel="0" collapsed="false">
      <c r="A156" s="15" t="s">
        <v>37</v>
      </c>
      <c r="B156" s="15" t="s">
        <v>61</v>
      </c>
      <c r="C156" s="15" t="n">
        <v>36</v>
      </c>
      <c r="D156" s="15" t="s">
        <v>200</v>
      </c>
      <c r="E156" s="15" t="n">
        <v>186</v>
      </c>
      <c r="F156" s="15" t="s">
        <v>389</v>
      </c>
      <c r="G156" s="15" t="s">
        <v>457</v>
      </c>
      <c r="H156" s="15" t="s">
        <v>458</v>
      </c>
      <c r="I156" s="15" t="s">
        <v>352</v>
      </c>
      <c r="J156" s="15" t="s">
        <v>178</v>
      </c>
      <c r="K156" s="35" t="n">
        <v>79.98</v>
      </c>
      <c r="L156" s="35"/>
      <c r="M156" s="23" t="str">
        <f aca="false">IF(AND(ISNUMBER(L156),ISNUMBER(K156),K156&gt;0),L156/K156-1,"")</f>
        <v/>
      </c>
      <c r="N156" s="36" t="str">
        <f aca="false">IF(M156="","No List Price",IF(M156&lt;=0,"At/below price",IF(M156&lt;=0.12,"&lt;=12% (STR zone)",IF(M156&lt;=0.25,"12-25%","&gt;25% (likely ignored)"))))</f>
        <v>No List Price</v>
      </c>
      <c r="O156" s="15"/>
      <c r="P156" s="35" t="n">
        <v>54.99</v>
      </c>
      <c r="Q156" s="22" t="n">
        <f aca="false">IF(AND(ISNUMBER(K156),ISNUMBER(P156),N(P156)&gt;0),K156/P156-1,"")</f>
        <v>0.454446262956901</v>
      </c>
      <c r="R156" s="15" t="s">
        <v>512</v>
      </c>
      <c r="S156" s="37" t="n">
        <v>131083</v>
      </c>
      <c r="T156" s="37" t="n">
        <v>5</v>
      </c>
      <c r="U156" s="38" t="n">
        <f aca="false">IF(AND(ISNUMBER(K156),ISNUMBER(T156)),K156*T156*52/12,"")</f>
        <v>1732.9</v>
      </c>
      <c r="V156" s="15" t="n">
        <v>4.5</v>
      </c>
      <c r="W156" s="37" t="n">
        <v>2691</v>
      </c>
      <c r="X156" s="39" t="n">
        <v>46307</v>
      </c>
      <c r="Y156" s="15"/>
      <c r="Z156" s="40"/>
      <c r="AA156" s="41" t="str">
        <f aca="false">IF(ISNUMBER(Z156),(DATE(2026,10,13)-Z156)/365,"")</f>
        <v/>
      </c>
      <c r="AB156" s="37"/>
      <c r="AC156" s="15"/>
      <c r="AD156" s="15"/>
      <c r="AE156" s="15"/>
      <c r="AF156" s="42"/>
      <c r="AG156" s="42"/>
      <c r="AH156" s="15"/>
      <c r="AI156" s="37"/>
      <c r="AJ156" s="37"/>
      <c r="AK156" s="15"/>
      <c r="AL156" s="43"/>
      <c r="AM156" s="43"/>
      <c r="AN156" s="25" t="str">
        <f aca="false">IF(AND(ISNUMBER(AM156),ISNUMBER(AL156),AL156&gt;=5),AM156/AL156,"")</f>
        <v/>
      </c>
      <c r="AO156" s="43"/>
      <c r="AP156" s="43"/>
      <c r="AQ156" s="25" t="str">
        <f aca="false">IF(AND(ISNUMBER(AP156),ISNUMBER(AO156),AO156&gt;=5),AP156/AO156,"")</f>
        <v/>
      </c>
      <c r="AR156" s="43"/>
      <c r="AS156" s="43"/>
      <c r="AT156" s="22" t="str">
        <f aca="false">IF(AND(ISNUMBER(AS156),ISNUMBER(AR156),AR156&gt;0),AS156/AR156-1,"")</f>
        <v/>
      </c>
      <c r="AU156" s="44"/>
      <c r="AV156" s="44"/>
      <c r="AW156" s="44"/>
      <c r="AX156" s="44"/>
      <c r="AY156" s="44"/>
      <c r="AZ156" s="45"/>
      <c r="BA156" s="45"/>
      <c r="BB156" s="46"/>
      <c r="BC156" s="46"/>
      <c r="BD156" s="23" t="str">
        <f aca="false">IF(AND(ISNUMBER(BB156),ISNUMBER(BC156),BB156&gt;0),1-BC156/BB156,"")</f>
        <v/>
      </c>
      <c r="BE156" s="47"/>
      <c r="BF156" s="48"/>
      <c r="BG156" s="48"/>
      <c r="BH156" s="27" t="str">
        <f aca="false">IF(AND(ISNUMBER(BF156),ISNUMBER(BG156),BG156&gt;0),BF156/BG156,"")</f>
        <v/>
      </c>
      <c r="BI156" s="48"/>
      <c r="BJ156" s="44"/>
      <c r="BK156" s="46"/>
      <c r="BL156" s="46"/>
      <c r="BM156" s="36" t="str">
        <f aca="false">IF(ISNUMBER(Q156),IF(Q156&lt;0,"YES","no"),"")</f>
        <v>no</v>
      </c>
      <c r="BN156" s="36" t="str">
        <f aca="false">IFERROR(IF(AND(ISNUMBER(K156),ISNUMBER(INDEX('Lift Inputs'!$H:$H,MATCH(C156,'Lift Inputs'!$C:$C,0)))),IF(K156&lt;INDEX('Lift Inputs'!$H:$H,MATCH(C156,'Lift Inputs'!$C:$C,0)),"YES","no"),""),"")</f>
        <v/>
      </c>
      <c r="BO156" s="44"/>
    </row>
    <row r="157" customFormat="false" ht="15" hidden="false" customHeight="false" outlineLevel="0" collapsed="false">
      <c r="A157" s="15" t="s">
        <v>37</v>
      </c>
      <c r="B157" s="15" t="s">
        <v>61</v>
      </c>
      <c r="C157" s="15" t="n">
        <v>36</v>
      </c>
      <c r="D157" s="15" t="s">
        <v>200</v>
      </c>
      <c r="E157" s="15" t="n">
        <v>1512</v>
      </c>
      <c r="F157" s="15" t="s">
        <v>459</v>
      </c>
      <c r="G157" s="15" t="s">
        <v>460</v>
      </c>
      <c r="H157" s="15" t="s">
        <v>461</v>
      </c>
      <c r="I157" s="15" t="s">
        <v>462</v>
      </c>
      <c r="J157" s="15" t="s">
        <v>178</v>
      </c>
      <c r="K157" s="35" t="n">
        <v>94.99</v>
      </c>
      <c r="L157" s="35"/>
      <c r="M157" s="23" t="str">
        <f aca="false">IF(AND(ISNUMBER(L157),ISNUMBER(K157),K157&gt;0),L157/K157-1,"")</f>
        <v/>
      </c>
      <c r="N157" s="36" t="str">
        <f aca="false">IF(M157="","No List Price",IF(M157&lt;=0,"At/below price",IF(M157&lt;=0.12,"&lt;=12% (STR zone)",IF(M157&lt;=0.25,"12-25%","&gt;25% (likely ignored)"))))</f>
        <v>No List Price</v>
      </c>
      <c r="O157" s="15" t="s">
        <v>311</v>
      </c>
      <c r="P157" s="35" t="n">
        <v>54.99</v>
      </c>
      <c r="Q157" s="22" t="n">
        <f aca="false">IF(AND(ISNUMBER(K157),ISNUMBER(P157),N(P157)&gt;0),K157/P157-1,"")</f>
        <v>0.727404982724132</v>
      </c>
      <c r="R157" s="15" t="s">
        <v>512</v>
      </c>
      <c r="S157" s="37" t="n">
        <v>1003118</v>
      </c>
      <c r="T157" s="37" t="n">
        <v>5</v>
      </c>
      <c r="U157" s="38" t="n">
        <f aca="false">IF(AND(ISNUMBER(K157),ISNUMBER(T157)),K157*T157*52/12,"")</f>
        <v>2058.11666666667</v>
      </c>
      <c r="V157" s="15" t="n">
        <v>4.4</v>
      </c>
      <c r="W157" s="37" t="n">
        <v>18</v>
      </c>
      <c r="X157" s="39" t="n">
        <v>46307</v>
      </c>
      <c r="Y157" s="15"/>
      <c r="Z157" s="40"/>
      <c r="AA157" s="41" t="str">
        <f aca="false">IF(ISNUMBER(Z157),(DATE(2026,10,13)-Z157)/365,"")</f>
        <v/>
      </c>
      <c r="AB157" s="37"/>
      <c r="AC157" s="15"/>
      <c r="AD157" s="15"/>
      <c r="AE157" s="15"/>
      <c r="AF157" s="42"/>
      <c r="AG157" s="42"/>
      <c r="AH157" s="15"/>
      <c r="AI157" s="37"/>
      <c r="AJ157" s="37"/>
      <c r="AK157" s="15"/>
      <c r="AL157" s="43"/>
      <c r="AM157" s="43"/>
      <c r="AN157" s="25" t="str">
        <f aca="false">IF(AND(ISNUMBER(AM157),ISNUMBER(AL157),AL157&gt;=5),AM157/AL157,"")</f>
        <v/>
      </c>
      <c r="AO157" s="43"/>
      <c r="AP157" s="43"/>
      <c r="AQ157" s="25" t="str">
        <f aca="false">IF(AND(ISNUMBER(AP157),ISNUMBER(AO157),AO157&gt;=5),AP157/AO157,"")</f>
        <v/>
      </c>
      <c r="AR157" s="43"/>
      <c r="AS157" s="43"/>
      <c r="AT157" s="22" t="str">
        <f aca="false">IF(AND(ISNUMBER(AS157),ISNUMBER(AR157),AR157&gt;0),AS157/AR157-1,"")</f>
        <v/>
      </c>
      <c r="AU157" s="44"/>
      <c r="AV157" s="44"/>
      <c r="AW157" s="44"/>
      <c r="AX157" s="44"/>
      <c r="AY157" s="44"/>
      <c r="AZ157" s="45"/>
      <c r="BA157" s="45"/>
      <c r="BB157" s="46"/>
      <c r="BC157" s="46"/>
      <c r="BD157" s="23" t="str">
        <f aca="false">IF(AND(ISNUMBER(BB157),ISNUMBER(BC157),BB157&gt;0),1-BC157/BB157,"")</f>
        <v/>
      </c>
      <c r="BE157" s="47"/>
      <c r="BF157" s="48"/>
      <c r="BG157" s="48"/>
      <c r="BH157" s="27" t="str">
        <f aca="false">IF(AND(ISNUMBER(BF157),ISNUMBER(BG157),BG157&gt;0),BF157/BG157,"")</f>
        <v/>
      </c>
      <c r="BI157" s="48"/>
      <c r="BJ157" s="44"/>
      <c r="BK157" s="46"/>
      <c r="BL157" s="46"/>
      <c r="BM157" s="36" t="str">
        <f aca="false">IF(ISNUMBER(Q157),IF(Q157&lt;0,"YES","no"),"")</f>
        <v>no</v>
      </c>
      <c r="BN157" s="36" t="str">
        <f aca="false">IFERROR(IF(AND(ISNUMBER(K157),ISNUMBER(INDEX('Lift Inputs'!$H:$H,MATCH(C157,'Lift Inputs'!$C:$C,0)))),IF(K157&lt;INDEX('Lift Inputs'!$H:$H,MATCH(C157,'Lift Inputs'!$C:$C,0)),"YES","no"),""),"")</f>
        <v/>
      </c>
      <c r="BO157" s="44"/>
    </row>
    <row r="158" customFormat="false" ht="15" hidden="false" customHeight="false" outlineLevel="0" collapsed="false">
      <c r="A158" s="15" t="s">
        <v>37</v>
      </c>
      <c r="B158" s="15" t="s">
        <v>61</v>
      </c>
      <c r="C158" s="15" t="n">
        <v>36</v>
      </c>
      <c r="D158" s="15" t="s">
        <v>200</v>
      </c>
      <c r="E158" s="15" t="n">
        <v>1521</v>
      </c>
      <c r="F158" s="15" t="s">
        <v>399</v>
      </c>
      <c r="G158" s="15" t="s">
        <v>467</v>
      </c>
      <c r="H158" s="15" t="s">
        <v>467</v>
      </c>
      <c r="I158" s="15" t="s">
        <v>468</v>
      </c>
      <c r="J158" s="15" t="s">
        <v>178</v>
      </c>
      <c r="K158" s="35" t="n">
        <v>109.99</v>
      </c>
      <c r="L158" s="35"/>
      <c r="M158" s="23" t="str">
        <f aca="false">IF(AND(ISNUMBER(L158),ISNUMBER(K158),K158&gt;0),L158/K158-1,"")</f>
        <v/>
      </c>
      <c r="N158" s="36" t="str">
        <f aca="false">IF(M158="","No List Price",IF(M158&lt;=0,"At/below price",IF(M158&lt;=0.12,"&lt;=12% (STR zone)",IF(M158&lt;=0.25,"12-25%","&gt;25% (likely ignored)"))))</f>
        <v>No List Price</v>
      </c>
      <c r="O158" s="15"/>
      <c r="P158" s="35" t="n">
        <v>54.99</v>
      </c>
      <c r="Q158" s="22" t="n">
        <f aca="false">IF(AND(ISNUMBER(K158),ISNUMBER(P158),N(P158)&gt;0),K158/P158-1,"")</f>
        <v>1.00018185124568</v>
      </c>
      <c r="R158" s="15" t="s">
        <v>512</v>
      </c>
      <c r="S158" s="37" t="n">
        <v>1506045</v>
      </c>
      <c r="T158" s="37" t="n">
        <v>5</v>
      </c>
      <c r="U158" s="38" t="n">
        <f aca="false">IF(AND(ISNUMBER(K158),ISNUMBER(T158)),K158*T158*52/12,"")</f>
        <v>2383.11666666667</v>
      </c>
      <c r="V158" s="15" t="n">
        <v>4.5</v>
      </c>
      <c r="W158" s="37" t="n">
        <v>39</v>
      </c>
      <c r="X158" s="39" t="n">
        <v>46307</v>
      </c>
      <c r="Y158" s="15" t="n">
        <v>1</v>
      </c>
      <c r="Z158" s="40" t="n">
        <v>45716</v>
      </c>
      <c r="AA158" s="41" t="n">
        <f aca="false">IF(ISNUMBER(Z158),(DATE(2026,10,13)-Z158)/365,"")</f>
        <v>1.62191780821918</v>
      </c>
      <c r="AB158" s="37" t="n">
        <v>12</v>
      </c>
      <c r="AC158" s="15" t="s">
        <v>465</v>
      </c>
      <c r="AD158" s="15" t="n">
        <v>0</v>
      </c>
      <c r="AE158" s="15" t="s">
        <v>466</v>
      </c>
      <c r="AF158" s="42" t="n">
        <v>0</v>
      </c>
      <c r="AG158" s="42" t="n">
        <v>0</v>
      </c>
      <c r="AH158" s="15" t="n">
        <v>0</v>
      </c>
      <c r="AI158" s="37"/>
      <c r="AJ158" s="37"/>
      <c r="AK158" s="15"/>
      <c r="AL158" s="43"/>
      <c r="AM158" s="43"/>
      <c r="AN158" s="25" t="str">
        <f aca="false">IF(AND(ISNUMBER(AM158),ISNUMBER(AL158),AL158&gt;=5),AM158/AL158,"")</f>
        <v/>
      </c>
      <c r="AO158" s="43"/>
      <c r="AP158" s="43"/>
      <c r="AQ158" s="25" t="str">
        <f aca="false">IF(AND(ISNUMBER(AP158),ISNUMBER(AO158),AO158&gt;=5),AP158/AO158,"")</f>
        <v/>
      </c>
      <c r="AR158" s="43"/>
      <c r="AS158" s="43"/>
      <c r="AT158" s="22" t="str">
        <f aca="false">IF(AND(ISNUMBER(AS158),ISNUMBER(AR158),AR158&gt;0),AS158/AR158-1,"")</f>
        <v/>
      </c>
      <c r="AU158" s="44"/>
      <c r="AV158" s="44"/>
      <c r="AW158" s="44"/>
      <c r="AX158" s="44"/>
      <c r="AY158" s="44"/>
      <c r="AZ158" s="45"/>
      <c r="BA158" s="45"/>
      <c r="BB158" s="46"/>
      <c r="BC158" s="46"/>
      <c r="BD158" s="23" t="str">
        <f aca="false">IF(AND(ISNUMBER(BB158),ISNUMBER(BC158),BB158&gt;0),1-BC158/BB158,"")</f>
        <v/>
      </c>
      <c r="BE158" s="47"/>
      <c r="BF158" s="48"/>
      <c r="BG158" s="48"/>
      <c r="BH158" s="27" t="str">
        <f aca="false">IF(AND(ISNUMBER(BF158),ISNUMBER(BG158),BG158&gt;0),BF158/BG158,"")</f>
        <v/>
      </c>
      <c r="BI158" s="48"/>
      <c r="BJ158" s="44"/>
      <c r="BK158" s="46"/>
      <c r="BL158" s="46"/>
      <c r="BM158" s="36" t="str">
        <f aca="false">IF(ISNUMBER(Q158),IF(Q158&lt;0,"YES","no"),"")</f>
        <v>no</v>
      </c>
      <c r="BN158" s="36" t="str">
        <f aca="false">IFERROR(IF(AND(ISNUMBER(K158),ISNUMBER(INDEX('Lift Inputs'!$H:$H,MATCH(C158,'Lift Inputs'!$C:$C,0)))),IF(K158&lt;INDEX('Lift Inputs'!$H:$H,MATCH(C158,'Lift Inputs'!$C:$C,0)),"YES","no"),""),"")</f>
        <v/>
      </c>
      <c r="BO158" s="44"/>
    </row>
    <row r="159" customFormat="false" ht="15" hidden="false" customHeight="false" outlineLevel="0" collapsed="false">
      <c r="A159" s="15" t="s">
        <v>37</v>
      </c>
      <c r="B159" s="15" t="s">
        <v>61</v>
      </c>
      <c r="C159" s="15" t="n">
        <v>36</v>
      </c>
      <c r="D159" s="15" t="s">
        <v>200</v>
      </c>
      <c r="E159" s="15" t="n">
        <v>180</v>
      </c>
      <c r="F159" s="15" t="s">
        <v>399</v>
      </c>
      <c r="G159" s="15" t="s">
        <v>463</v>
      </c>
      <c r="H159" s="15" t="s">
        <v>463</v>
      </c>
      <c r="I159" s="15" t="s">
        <v>464</v>
      </c>
      <c r="J159" s="15" t="s">
        <v>178</v>
      </c>
      <c r="K159" s="35" t="n">
        <v>46.74</v>
      </c>
      <c r="L159" s="35"/>
      <c r="M159" s="23" t="str">
        <f aca="false">IF(AND(ISNUMBER(L159),ISNUMBER(K159),K159&gt;0),L159/K159-1,"")</f>
        <v/>
      </c>
      <c r="N159" s="36" t="str">
        <f aca="false">IF(M159="","No List Price",IF(M159&lt;=0,"At/below price",IF(M159&lt;=0.12,"&lt;=12% (STR zone)",IF(M159&lt;=0.25,"12-25%","&gt;25% (likely ignored)"))))</f>
        <v>No List Price</v>
      </c>
      <c r="O159" s="15"/>
      <c r="P159" s="35" t="n">
        <v>54.99</v>
      </c>
      <c r="Q159" s="22" t="n">
        <f aca="false">IF(AND(ISNUMBER(K159),ISNUMBER(P159),N(P159)&gt;0),K159/P159-1,"")</f>
        <v>-0.150027277686852</v>
      </c>
      <c r="R159" s="15" t="s">
        <v>512</v>
      </c>
      <c r="S159" s="37" t="n">
        <v>2065761</v>
      </c>
      <c r="T159" s="37" t="n">
        <v>5</v>
      </c>
      <c r="U159" s="38" t="n">
        <f aca="false">IF(AND(ISNUMBER(K159),ISNUMBER(T159)),K159*T159*52/12,"")</f>
        <v>1012.7</v>
      </c>
      <c r="V159" s="15" t="n">
        <v>4.5</v>
      </c>
      <c r="W159" s="37" t="n">
        <v>11</v>
      </c>
      <c r="X159" s="39" t="n">
        <v>46307</v>
      </c>
      <c r="Y159" s="15" t="n">
        <v>1</v>
      </c>
      <c r="Z159" s="40" t="n">
        <v>46078</v>
      </c>
      <c r="AA159" s="41" t="n">
        <f aca="false">IF(ISNUMBER(Z159),(DATE(2026,10,13)-Z159)/365,"")</f>
        <v>0.63013698630137</v>
      </c>
      <c r="AB159" s="37" t="n">
        <v>5</v>
      </c>
      <c r="AC159" s="15" t="s">
        <v>465</v>
      </c>
      <c r="AD159" s="15" t="n">
        <v>0</v>
      </c>
      <c r="AE159" s="15" t="s">
        <v>466</v>
      </c>
      <c r="AF159" s="42" t="n">
        <v>0</v>
      </c>
      <c r="AG159" s="42" t="n">
        <v>0</v>
      </c>
      <c r="AH159" s="15" t="n">
        <v>0</v>
      </c>
      <c r="AI159" s="37"/>
      <c r="AJ159" s="37"/>
      <c r="AK159" s="15"/>
      <c r="AL159" s="43"/>
      <c r="AM159" s="43"/>
      <c r="AN159" s="25" t="str">
        <f aca="false">IF(AND(ISNUMBER(AM159),ISNUMBER(AL159),AL159&gt;=5),AM159/AL159,"")</f>
        <v/>
      </c>
      <c r="AO159" s="43"/>
      <c r="AP159" s="43"/>
      <c r="AQ159" s="25" t="str">
        <f aca="false">IF(AND(ISNUMBER(AP159),ISNUMBER(AO159),AO159&gt;=5),AP159/AO159,"")</f>
        <v/>
      </c>
      <c r="AR159" s="43"/>
      <c r="AS159" s="43"/>
      <c r="AT159" s="22" t="str">
        <f aca="false">IF(AND(ISNUMBER(AS159),ISNUMBER(AR159),AR159&gt;0),AS159/AR159-1,"")</f>
        <v/>
      </c>
      <c r="AU159" s="44"/>
      <c r="AV159" s="44"/>
      <c r="AW159" s="44"/>
      <c r="AX159" s="44"/>
      <c r="AY159" s="44"/>
      <c r="AZ159" s="45"/>
      <c r="BA159" s="45"/>
      <c r="BB159" s="46"/>
      <c r="BC159" s="46"/>
      <c r="BD159" s="23" t="str">
        <f aca="false">IF(AND(ISNUMBER(BB159),ISNUMBER(BC159),BB159&gt;0),1-BC159/BB159,"")</f>
        <v/>
      </c>
      <c r="BE159" s="47"/>
      <c r="BF159" s="48"/>
      <c r="BG159" s="48"/>
      <c r="BH159" s="27" t="str">
        <f aca="false">IF(AND(ISNUMBER(BF159),ISNUMBER(BG159),BG159&gt;0),BF159/BG159,"")</f>
        <v/>
      </c>
      <c r="BI159" s="48"/>
      <c r="BJ159" s="44"/>
      <c r="BK159" s="46"/>
      <c r="BL159" s="46"/>
      <c r="BM159" s="36" t="str">
        <f aca="false">IF(ISNUMBER(Q159),IF(Q159&lt;0,"YES","no"),"")</f>
        <v>YES</v>
      </c>
      <c r="BN159" s="36" t="str">
        <f aca="false">IFERROR(IF(AND(ISNUMBER(K159),ISNUMBER(INDEX('Lift Inputs'!$H:$H,MATCH(C159,'Lift Inputs'!$C:$C,0)))),IF(K159&lt;INDEX('Lift Inputs'!$H:$H,MATCH(C159,'Lift Inputs'!$C:$C,0)),"YES","no"),""),"")</f>
        <v/>
      </c>
      <c r="BO159" s="44"/>
    </row>
    <row r="160" customFormat="false" ht="15" hidden="false" customHeight="false" outlineLevel="0" collapsed="false">
      <c r="A160" s="15" t="s">
        <v>37</v>
      </c>
      <c r="B160" s="15" t="s">
        <v>61</v>
      </c>
      <c r="C160" s="15" t="n">
        <v>36</v>
      </c>
      <c r="D160" s="15" t="s">
        <v>200</v>
      </c>
      <c r="E160" s="15" t="n">
        <v>5</v>
      </c>
      <c r="F160" s="15" t="s">
        <v>399</v>
      </c>
      <c r="G160" s="15" t="s">
        <v>469</v>
      </c>
      <c r="H160" s="15" t="s">
        <v>470</v>
      </c>
      <c r="I160" s="15" t="s">
        <v>407</v>
      </c>
      <c r="J160" s="15" t="s">
        <v>178</v>
      </c>
      <c r="K160" s="35" t="n">
        <v>109.99</v>
      </c>
      <c r="L160" s="35"/>
      <c r="M160" s="23" t="str">
        <f aca="false">IF(AND(ISNUMBER(L160),ISNUMBER(K160),K160&gt;0),L160/K160-1,"")</f>
        <v/>
      </c>
      <c r="N160" s="36" t="str">
        <f aca="false">IF(M160="","No List Price",IF(M160&lt;=0,"At/below price",IF(M160&lt;=0.12,"&lt;=12% (STR zone)",IF(M160&lt;=0.25,"12-25%","&gt;25% (likely ignored)"))))</f>
        <v>No List Price</v>
      </c>
      <c r="O160" s="15"/>
      <c r="P160" s="35" t="n">
        <v>54.99</v>
      </c>
      <c r="Q160" s="22" t="n">
        <f aca="false">IF(AND(ISNUMBER(K160),ISNUMBER(P160),N(P160)&gt;0),K160/P160-1,"")</f>
        <v>1.00018185124568</v>
      </c>
      <c r="R160" s="15" t="s">
        <v>512</v>
      </c>
      <c r="S160" s="37" t="n">
        <v>4355899</v>
      </c>
      <c r="T160" s="37" t="n">
        <v>5</v>
      </c>
      <c r="U160" s="38" t="n">
        <f aca="false">IF(AND(ISNUMBER(K160),ISNUMBER(T160)),K160*T160*52/12,"")</f>
        <v>2383.11666666667</v>
      </c>
      <c r="V160" s="15" t="n">
        <v>4.5</v>
      </c>
      <c r="W160" s="37" t="n">
        <v>2</v>
      </c>
      <c r="X160" s="39" t="n">
        <v>46307</v>
      </c>
      <c r="Y160" s="15"/>
      <c r="Z160" s="40"/>
      <c r="AA160" s="41" t="str">
        <f aca="false">IF(ISNUMBER(Z160),(DATE(2026,10,13)-Z160)/365,"")</f>
        <v/>
      </c>
      <c r="AB160" s="37"/>
      <c r="AC160" s="15"/>
      <c r="AD160" s="15"/>
      <c r="AE160" s="15"/>
      <c r="AF160" s="42"/>
      <c r="AG160" s="42"/>
      <c r="AH160" s="15"/>
      <c r="AI160" s="37"/>
      <c r="AJ160" s="37"/>
      <c r="AK160" s="15"/>
      <c r="AL160" s="43"/>
      <c r="AM160" s="43"/>
      <c r="AN160" s="25" t="str">
        <f aca="false">IF(AND(ISNUMBER(AM160),ISNUMBER(AL160),AL160&gt;=5),AM160/AL160,"")</f>
        <v/>
      </c>
      <c r="AO160" s="43"/>
      <c r="AP160" s="43"/>
      <c r="AQ160" s="25" t="str">
        <f aca="false">IF(AND(ISNUMBER(AP160),ISNUMBER(AO160),AO160&gt;=5),AP160/AO160,"")</f>
        <v/>
      </c>
      <c r="AR160" s="43"/>
      <c r="AS160" s="43"/>
      <c r="AT160" s="22" t="str">
        <f aca="false">IF(AND(ISNUMBER(AS160),ISNUMBER(AR160),AR160&gt;0),AS160/AR160-1,"")</f>
        <v/>
      </c>
      <c r="AU160" s="44"/>
      <c r="AV160" s="44"/>
      <c r="AW160" s="44"/>
      <c r="AX160" s="44"/>
      <c r="AY160" s="44"/>
      <c r="AZ160" s="45"/>
      <c r="BA160" s="45"/>
      <c r="BB160" s="46"/>
      <c r="BC160" s="46"/>
      <c r="BD160" s="23" t="str">
        <f aca="false">IF(AND(ISNUMBER(BB160),ISNUMBER(BC160),BB160&gt;0),1-BC160/BB160,"")</f>
        <v/>
      </c>
      <c r="BE160" s="47"/>
      <c r="BF160" s="48"/>
      <c r="BG160" s="48"/>
      <c r="BH160" s="27" t="str">
        <f aca="false">IF(AND(ISNUMBER(BF160),ISNUMBER(BG160),BG160&gt;0),BF160/BG160,"")</f>
        <v/>
      </c>
      <c r="BI160" s="48"/>
      <c r="BJ160" s="44"/>
      <c r="BK160" s="46"/>
      <c r="BL160" s="46"/>
      <c r="BM160" s="36" t="str">
        <f aca="false">IF(ISNUMBER(Q160),IF(Q160&lt;0,"YES","no"),"")</f>
        <v>no</v>
      </c>
      <c r="BN160" s="36" t="str">
        <f aca="false">IFERROR(IF(AND(ISNUMBER(K160),ISNUMBER(INDEX('Lift Inputs'!$H:$H,MATCH(C160,'Lift Inputs'!$C:$C,0)))),IF(K160&lt;INDEX('Lift Inputs'!$H:$H,MATCH(C160,'Lift Inputs'!$C:$C,0)),"YES","no"),""),"")</f>
        <v/>
      </c>
      <c r="BO160" s="44"/>
    </row>
    <row r="161" customFormat="false" ht="15" hidden="false" customHeight="false" outlineLevel="0" collapsed="false">
      <c r="A161" s="15" t="s">
        <v>37</v>
      </c>
      <c r="B161" s="15" t="s">
        <v>61</v>
      </c>
      <c r="C161" s="15" t="n">
        <v>36</v>
      </c>
      <c r="D161" s="15" t="s">
        <v>200</v>
      </c>
      <c r="E161" s="15" t="n">
        <v>23</v>
      </c>
      <c r="F161" s="15" t="s">
        <v>471</v>
      </c>
      <c r="G161" s="15" t="s">
        <v>472</v>
      </c>
      <c r="H161" s="15" t="s">
        <v>473</v>
      </c>
      <c r="I161" s="15" t="s">
        <v>474</v>
      </c>
      <c r="J161" s="15" t="s">
        <v>178</v>
      </c>
      <c r="K161" s="35" t="n">
        <v>174.3</v>
      </c>
      <c r="L161" s="35"/>
      <c r="M161" s="23" t="str">
        <f aca="false">IF(AND(ISNUMBER(L161),ISNUMBER(K161),K161&gt;0),L161/K161-1,"")</f>
        <v/>
      </c>
      <c r="N161" s="36" t="str">
        <f aca="false">IF(M161="","No List Price",IF(M161&lt;=0,"At/below price",IF(M161&lt;=0.12,"&lt;=12% (STR zone)",IF(M161&lt;=0.25,"12-25%","&gt;25% (likely ignored)"))))</f>
        <v>No List Price</v>
      </c>
      <c r="O161" s="15"/>
      <c r="P161" s="35" t="n">
        <v>54.99</v>
      </c>
      <c r="Q161" s="22" t="n">
        <f aca="false">IF(AND(ISNUMBER(K161),ISNUMBER(P161),N(P161)&gt;0),K161/P161-1,"")</f>
        <v>2.1696672122204</v>
      </c>
      <c r="R161" s="15" t="s">
        <v>512</v>
      </c>
      <c r="S161" s="37" t="n">
        <v>591414</v>
      </c>
      <c r="T161" s="37" t="n">
        <v>5</v>
      </c>
      <c r="U161" s="38" t="n">
        <f aca="false">IF(AND(ISNUMBER(K161),ISNUMBER(T161)),K161*T161*52/12,"")</f>
        <v>3776.5</v>
      </c>
      <c r="V161" s="15" t="n">
        <v>4.3</v>
      </c>
      <c r="W161" s="37" t="n">
        <v>35</v>
      </c>
      <c r="X161" s="39" t="n">
        <v>46307</v>
      </c>
      <c r="Y161" s="15"/>
      <c r="Z161" s="40"/>
      <c r="AA161" s="41" t="str">
        <f aca="false">IF(ISNUMBER(Z161),(DATE(2026,10,13)-Z161)/365,"")</f>
        <v/>
      </c>
      <c r="AB161" s="37"/>
      <c r="AC161" s="15"/>
      <c r="AD161" s="15"/>
      <c r="AE161" s="15"/>
      <c r="AF161" s="42"/>
      <c r="AG161" s="42"/>
      <c r="AH161" s="15"/>
      <c r="AI161" s="37"/>
      <c r="AJ161" s="37"/>
      <c r="AK161" s="15"/>
      <c r="AL161" s="43"/>
      <c r="AM161" s="43"/>
      <c r="AN161" s="25" t="str">
        <f aca="false">IF(AND(ISNUMBER(AM161),ISNUMBER(AL161),AL161&gt;=5),AM161/AL161,"")</f>
        <v/>
      </c>
      <c r="AO161" s="43"/>
      <c r="AP161" s="43"/>
      <c r="AQ161" s="25" t="str">
        <f aca="false">IF(AND(ISNUMBER(AP161),ISNUMBER(AO161),AO161&gt;=5),AP161/AO161,"")</f>
        <v/>
      </c>
      <c r="AR161" s="43"/>
      <c r="AS161" s="43"/>
      <c r="AT161" s="22" t="str">
        <f aca="false">IF(AND(ISNUMBER(AS161),ISNUMBER(AR161),AR161&gt;0),AS161/AR161-1,"")</f>
        <v/>
      </c>
      <c r="AU161" s="44"/>
      <c r="AV161" s="44"/>
      <c r="AW161" s="44"/>
      <c r="AX161" s="44"/>
      <c r="AY161" s="44"/>
      <c r="AZ161" s="45"/>
      <c r="BA161" s="45"/>
      <c r="BB161" s="46"/>
      <c r="BC161" s="46"/>
      <c r="BD161" s="23" t="str">
        <f aca="false">IF(AND(ISNUMBER(BB161),ISNUMBER(BC161),BB161&gt;0),1-BC161/BB161,"")</f>
        <v/>
      </c>
      <c r="BE161" s="47"/>
      <c r="BF161" s="48"/>
      <c r="BG161" s="48"/>
      <c r="BH161" s="27" t="str">
        <f aca="false">IF(AND(ISNUMBER(BF161),ISNUMBER(BG161),BG161&gt;0),BF161/BG161,"")</f>
        <v/>
      </c>
      <c r="BI161" s="48"/>
      <c r="BJ161" s="44"/>
      <c r="BK161" s="46"/>
      <c r="BL161" s="46"/>
      <c r="BM161" s="36" t="str">
        <f aca="false">IF(ISNUMBER(Q161),IF(Q161&lt;0,"YES","no"),"")</f>
        <v>no</v>
      </c>
      <c r="BN161" s="36" t="str">
        <f aca="false">IFERROR(IF(AND(ISNUMBER(K161),ISNUMBER(INDEX('Lift Inputs'!$H:$H,MATCH(C161,'Lift Inputs'!$C:$C,0)))),IF(K161&lt;INDEX('Lift Inputs'!$H:$H,MATCH(C161,'Lift Inputs'!$C:$C,0)),"YES","no"),""),"")</f>
        <v/>
      </c>
      <c r="BO161" s="44"/>
    </row>
    <row r="162" customFormat="false" ht="15" hidden="false" customHeight="false" outlineLevel="0" collapsed="false">
      <c r="A162" s="15" t="s">
        <v>37</v>
      </c>
      <c r="B162" s="15" t="s">
        <v>65</v>
      </c>
      <c r="C162" s="15" t="n">
        <v>73</v>
      </c>
      <c r="D162" s="15" t="s">
        <v>204</v>
      </c>
      <c r="E162" s="15" t="n">
        <v>4</v>
      </c>
      <c r="F162" s="15" t="s">
        <v>316</v>
      </c>
      <c r="G162" s="15" t="s">
        <v>317</v>
      </c>
      <c r="H162" s="15" t="s">
        <v>318</v>
      </c>
      <c r="I162" s="15" t="s">
        <v>319</v>
      </c>
      <c r="J162" s="15" t="s">
        <v>176</v>
      </c>
      <c r="K162" s="35" t="n">
        <v>109.99</v>
      </c>
      <c r="L162" s="35"/>
      <c r="M162" s="23" t="str">
        <f aca="false">IF(AND(ISNUMBER(L162),ISNUMBER(K162),K162&gt;0),L162/K162-1,"")</f>
        <v/>
      </c>
      <c r="N162" s="36" t="str">
        <f aca="false">IF(M162="","No List Price",IF(M162&lt;=0,"At/below price",IF(M162&lt;=0.12,"&lt;=12% (STR zone)",IF(M162&lt;=0.25,"12-25%","&gt;25% (likely ignored)"))))</f>
        <v>No List Price</v>
      </c>
      <c r="O162" s="15" t="s">
        <v>320</v>
      </c>
      <c r="P162" s="35"/>
      <c r="Q162" s="22" t="str">
        <f aca="false">IF(AND(ISNUMBER(K162),ISNUMBER(P162),N(P162)&gt;0),K162/P162-1,"")</f>
        <v/>
      </c>
      <c r="R162" s="15"/>
      <c r="S162" s="37" t="n">
        <v>304</v>
      </c>
      <c r="T162" s="37" t="n">
        <v>809</v>
      </c>
      <c r="U162" s="38" t="n">
        <f aca="false">IF(AND(ISNUMBER(K162),ISNUMBER(T162)),K162*T162*52/12,"")</f>
        <v>385588.276666667</v>
      </c>
      <c r="V162" s="15" t="n">
        <v>4.5</v>
      </c>
      <c r="W162" s="37" t="n">
        <v>21927</v>
      </c>
      <c r="X162" s="39" t="n">
        <v>46307</v>
      </c>
      <c r="Y162" s="15" t="n">
        <v>181</v>
      </c>
      <c r="Z162" s="40" t="n">
        <v>43281</v>
      </c>
      <c r="AA162" s="41" t="n">
        <f aca="false">IF(ISNUMBER(Z162),(DATE(2026,10,13)-Z162)/365,"")</f>
        <v>8.29315068493151</v>
      </c>
      <c r="AB162" s="37" t="n">
        <v>32356</v>
      </c>
      <c r="AC162" s="15" t="s">
        <v>313</v>
      </c>
      <c r="AD162" s="15" t="n">
        <v>2</v>
      </c>
      <c r="AE162" s="15" t="s">
        <v>314</v>
      </c>
      <c r="AF162" s="42" t="n">
        <v>0</v>
      </c>
      <c r="AG162" s="42" t="n">
        <v>0</v>
      </c>
      <c r="AH162" s="15" t="n">
        <v>268</v>
      </c>
      <c r="AI162" s="37" t="n">
        <v>2565055</v>
      </c>
      <c r="AJ162" s="37" t="n">
        <v>8283</v>
      </c>
      <c r="AK162" s="15" t="s">
        <v>315</v>
      </c>
      <c r="AL162" s="43" t="n">
        <v>556.9</v>
      </c>
      <c r="AM162" s="43" t="n">
        <v>657.2</v>
      </c>
      <c r="AN162" s="25" t="n">
        <f aca="false">IF(AND(ISNUMBER(AM162),ISNUMBER(AL162),AL162&gt;=5),AM162/AL162,"")</f>
        <v>1.18010414796193</v>
      </c>
      <c r="AO162" s="43" t="n">
        <v>102</v>
      </c>
      <c r="AP162" s="43" t="n">
        <v>151.8</v>
      </c>
      <c r="AQ162" s="25" t="n">
        <f aca="false">IF(AND(ISNUMBER(AP162),ISNUMBER(AO162),AO162&gt;=5),AP162/AO162,"")</f>
        <v>1.48823529411765</v>
      </c>
      <c r="AR162" s="43" t="n">
        <v>259.8</v>
      </c>
      <c r="AS162" s="43" t="n">
        <v>667.9</v>
      </c>
      <c r="AT162" s="22" t="n">
        <f aca="false">IF(AND(ISNUMBER(AS162),ISNUMBER(AR162),AR162&gt;0),AS162/AR162-1,"")</f>
        <v>1.57082371054657</v>
      </c>
      <c r="AU162" s="44"/>
      <c r="AV162" s="44"/>
      <c r="AW162" s="44"/>
      <c r="AX162" s="44"/>
      <c r="AY162" s="44"/>
      <c r="AZ162" s="45"/>
      <c r="BA162" s="45"/>
      <c r="BB162" s="46"/>
      <c r="BC162" s="46"/>
      <c r="BD162" s="23" t="str">
        <f aca="false">IF(AND(ISNUMBER(BB162),ISNUMBER(BC162),BB162&gt;0),1-BC162/BB162,"")</f>
        <v/>
      </c>
      <c r="BE162" s="47"/>
      <c r="BF162" s="48"/>
      <c r="BG162" s="48"/>
      <c r="BH162" s="27" t="str">
        <f aca="false">IF(AND(ISNUMBER(BF162),ISNUMBER(BG162),BG162&gt;0),BF162/BG162,"")</f>
        <v/>
      </c>
      <c r="BI162" s="48"/>
      <c r="BJ162" s="44"/>
      <c r="BK162" s="46"/>
      <c r="BL162" s="46"/>
      <c r="BM162" s="36" t="str">
        <f aca="false">IF(ISNUMBER(Q162),IF(Q162&lt;0,"YES","no"),"")</f>
        <v/>
      </c>
      <c r="BN162" s="36" t="str">
        <f aca="false">IFERROR(IF(AND(ISNUMBER(K162),ISNUMBER(INDEX('Lift Inputs'!$H:$H,MATCH(C162,'Lift Inputs'!$C:$C,0)))),IF(K162&lt;INDEX('Lift Inputs'!$H:$H,MATCH(C162,'Lift Inputs'!$C:$C,0)),"YES","no"),""),"")</f>
        <v/>
      </c>
      <c r="BO162" s="44"/>
    </row>
    <row r="163" customFormat="false" ht="15" hidden="false" customHeight="false" outlineLevel="0" collapsed="false">
      <c r="A163" s="15" t="s">
        <v>37</v>
      </c>
      <c r="B163" s="15" t="s">
        <v>65</v>
      </c>
      <c r="C163" s="15" t="n">
        <v>73</v>
      </c>
      <c r="D163" s="15" t="s">
        <v>204</v>
      </c>
      <c r="E163" s="15" t="n">
        <v>479</v>
      </c>
      <c r="F163" s="15" t="s">
        <v>376</v>
      </c>
      <c r="G163" s="15" t="s">
        <v>513</v>
      </c>
      <c r="H163" s="15" t="s">
        <v>514</v>
      </c>
      <c r="I163" s="15" t="s">
        <v>515</v>
      </c>
      <c r="J163" s="15" t="s">
        <v>176</v>
      </c>
      <c r="K163" s="35" t="n">
        <v>58</v>
      </c>
      <c r="L163" s="35"/>
      <c r="M163" s="23" t="str">
        <f aca="false">IF(AND(ISNUMBER(L163),ISNUMBER(K163),K163&gt;0),L163/K163-1,"")</f>
        <v/>
      </c>
      <c r="N163" s="36" t="str">
        <f aca="false">IF(M163="","No List Price",IF(M163&lt;=0,"At/below price",IF(M163&lt;=0.12,"&lt;=12% (STR zone)",IF(M163&lt;=0.25,"12-25%","&gt;25% (likely ignored)"))))</f>
        <v>No List Price</v>
      </c>
      <c r="O163" s="15" t="s">
        <v>311</v>
      </c>
      <c r="P163" s="35"/>
      <c r="Q163" s="22" t="str">
        <f aca="false">IF(AND(ISNUMBER(K163),ISNUMBER(P163),N(P163)&gt;0),K163/P163-1,"")</f>
        <v/>
      </c>
      <c r="R163" s="15"/>
      <c r="S163" s="37" t="n">
        <v>23122</v>
      </c>
      <c r="T163" s="37" t="n">
        <v>35</v>
      </c>
      <c r="U163" s="38" t="n">
        <f aca="false">IF(AND(ISNUMBER(K163),ISNUMBER(T163)),K163*T163*52/12,"")</f>
        <v>8796.66666666667</v>
      </c>
      <c r="V163" s="15" t="n">
        <v>4.6</v>
      </c>
      <c r="W163" s="37" t="n">
        <v>976</v>
      </c>
      <c r="X163" s="39" t="n">
        <v>46307</v>
      </c>
      <c r="Y163" s="15"/>
      <c r="Z163" s="40"/>
      <c r="AA163" s="41" t="str">
        <f aca="false">IF(ISNUMBER(Z163),(DATE(2026,10,13)-Z163)/365,"")</f>
        <v/>
      </c>
      <c r="AB163" s="37"/>
      <c r="AC163" s="15"/>
      <c r="AD163" s="15"/>
      <c r="AE163" s="15"/>
      <c r="AF163" s="42"/>
      <c r="AG163" s="42"/>
      <c r="AH163" s="15"/>
      <c r="AI163" s="37" t="n">
        <v>59725</v>
      </c>
      <c r="AJ163" s="37" t="n">
        <v>1014</v>
      </c>
      <c r="AK163" s="15"/>
      <c r="AL163" s="43"/>
      <c r="AM163" s="43"/>
      <c r="AN163" s="25" t="str">
        <f aca="false">IF(AND(ISNUMBER(AM163),ISNUMBER(AL163),AL163&gt;=5),AM163/AL163,"")</f>
        <v/>
      </c>
      <c r="AO163" s="43"/>
      <c r="AP163" s="43"/>
      <c r="AQ163" s="25" t="str">
        <f aca="false">IF(AND(ISNUMBER(AP163),ISNUMBER(AO163),AO163&gt;=5),AP163/AO163,"")</f>
        <v/>
      </c>
      <c r="AR163" s="43"/>
      <c r="AS163" s="43"/>
      <c r="AT163" s="22" t="str">
        <f aca="false">IF(AND(ISNUMBER(AS163),ISNUMBER(AR163),AR163&gt;0),AS163/AR163-1,"")</f>
        <v/>
      </c>
      <c r="AU163" s="44"/>
      <c r="AV163" s="44"/>
      <c r="AW163" s="44"/>
      <c r="AX163" s="44"/>
      <c r="AY163" s="44"/>
      <c r="AZ163" s="45"/>
      <c r="BA163" s="45"/>
      <c r="BB163" s="46"/>
      <c r="BC163" s="46"/>
      <c r="BD163" s="23" t="str">
        <f aca="false">IF(AND(ISNUMBER(BB163),ISNUMBER(BC163),BB163&gt;0),1-BC163/BB163,"")</f>
        <v/>
      </c>
      <c r="BE163" s="47"/>
      <c r="BF163" s="48"/>
      <c r="BG163" s="48"/>
      <c r="BH163" s="27" t="str">
        <f aca="false">IF(AND(ISNUMBER(BF163),ISNUMBER(BG163),BG163&gt;0),BF163/BG163,"")</f>
        <v/>
      </c>
      <c r="BI163" s="48"/>
      <c r="BJ163" s="44"/>
      <c r="BK163" s="46"/>
      <c r="BL163" s="46"/>
      <c r="BM163" s="36" t="str">
        <f aca="false">IF(ISNUMBER(Q163),IF(Q163&lt;0,"YES","no"),"")</f>
        <v/>
      </c>
      <c r="BN163" s="36" t="str">
        <f aca="false">IFERROR(IF(AND(ISNUMBER(K163),ISNUMBER(INDEX('Lift Inputs'!$H:$H,MATCH(C163,'Lift Inputs'!$C:$C,0)))),IF(K163&lt;INDEX('Lift Inputs'!$H:$H,MATCH(C163,'Lift Inputs'!$C:$C,0)),"YES","no"),""),"")</f>
        <v/>
      </c>
      <c r="BO163" s="44"/>
    </row>
    <row r="164" customFormat="false" ht="15" hidden="false" customHeight="false" outlineLevel="0" collapsed="false">
      <c r="A164" s="15" t="s">
        <v>37</v>
      </c>
      <c r="B164" s="15" t="s">
        <v>65</v>
      </c>
      <c r="C164" s="15" t="n">
        <v>73</v>
      </c>
      <c r="D164" s="15" t="s">
        <v>204</v>
      </c>
      <c r="E164" s="15" t="n">
        <v>1160</v>
      </c>
      <c r="F164" s="15" t="s">
        <v>516</v>
      </c>
      <c r="G164" s="15" t="s">
        <v>517</v>
      </c>
      <c r="H164" s="15" t="s">
        <v>518</v>
      </c>
      <c r="I164" s="15" t="s">
        <v>519</v>
      </c>
      <c r="J164" s="15" t="s">
        <v>176</v>
      </c>
      <c r="K164" s="35" t="n">
        <v>111.2</v>
      </c>
      <c r="L164" s="35" t="n">
        <v>139</v>
      </c>
      <c r="M164" s="23" t="n">
        <f aca="false">IF(AND(ISNUMBER(L164),ISNUMBER(K164),K164&gt;0),L164/K164-1,"")</f>
        <v>0.25</v>
      </c>
      <c r="N164" s="36" t="str">
        <f aca="false">IF(M164="","No List Price",IF(M164&lt;=0,"At/below price",IF(M164&lt;=0.12,"&lt;=12% (STR zone)",IF(M164&lt;=0.25,"12-25%","&gt;25% (likely ignored)"))))</f>
        <v>12-25%</v>
      </c>
      <c r="O164" s="15" t="s">
        <v>520</v>
      </c>
      <c r="P164" s="35"/>
      <c r="Q164" s="22" t="str">
        <f aca="false">IF(AND(ISNUMBER(K164),ISNUMBER(P164),N(P164)&gt;0),K164/P164-1,"")</f>
        <v/>
      </c>
      <c r="R164" s="15"/>
      <c r="S164" s="37" t="n">
        <v>22651</v>
      </c>
      <c r="T164" s="37" t="n">
        <v>35</v>
      </c>
      <c r="U164" s="38" t="n">
        <f aca="false">IF(AND(ISNUMBER(K164),ISNUMBER(T164)),K164*T164*52/12,"")</f>
        <v>16865.3333333333</v>
      </c>
      <c r="V164" s="15" t="n">
        <v>4.4</v>
      </c>
      <c r="W164" s="37" t="n">
        <v>663</v>
      </c>
      <c r="X164" s="39" t="n">
        <v>46307</v>
      </c>
      <c r="Y164" s="15"/>
      <c r="Z164" s="40"/>
      <c r="AA164" s="41" t="str">
        <f aca="false">IF(ISNUMBER(Z164),(DATE(2026,10,13)-Z164)/365,"")</f>
        <v/>
      </c>
      <c r="AB164" s="37"/>
      <c r="AC164" s="15"/>
      <c r="AD164" s="15"/>
      <c r="AE164" s="15"/>
      <c r="AF164" s="42"/>
      <c r="AG164" s="42"/>
      <c r="AH164" s="15"/>
      <c r="AI164" s="37" t="n">
        <v>110996</v>
      </c>
      <c r="AJ164" s="37" t="n">
        <v>2646</v>
      </c>
      <c r="AK164" s="15"/>
      <c r="AL164" s="43"/>
      <c r="AM164" s="43"/>
      <c r="AN164" s="25" t="str">
        <f aca="false">IF(AND(ISNUMBER(AM164),ISNUMBER(AL164),AL164&gt;=5),AM164/AL164,"")</f>
        <v/>
      </c>
      <c r="AO164" s="43"/>
      <c r="AP164" s="43"/>
      <c r="AQ164" s="25" t="str">
        <f aca="false">IF(AND(ISNUMBER(AP164),ISNUMBER(AO164),AO164&gt;=5),AP164/AO164,"")</f>
        <v/>
      </c>
      <c r="AR164" s="43"/>
      <c r="AS164" s="43"/>
      <c r="AT164" s="22" t="str">
        <f aca="false">IF(AND(ISNUMBER(AS164),ISNUMBER(AR164),AR164&gt;0),AS164/AR164-1,"")</f>
        <v/>
      </c>
      <c r="AU164" s="44"/>
      <c r="AV164" s="44"/>
      <c r="AW164" s="44"/>
      <c r="AX164" s="44"/>
      <c r="AY164" s="44"/>
      <c r="AZ164" s="45"/>
      <c r="BA164" s="45"/>
      <c r="BB164" s="46"/>
      <c r="BC164" s="46"/>
      <c r="BD164" s="23" t="str">
        <f aca="false">IF(AND(ISNUMBER(BB164),ISNUMBER(BC164),BB164&gt;0),1-BC164/BB164,"")</f>
        <v/>
      </c>
      <c r="BE164" s="47"/>
      <c r="BF164" s="48"/>
      <c r="BG164" s="48"/>
      <c r="BH164" s="27" t="str">
        <f aca="false">IF(AND(ISNUMBER(BF164),ISNUMBER(BG164),BG164&gt;0),BF164/BG164,"")</f>
        <v/>
      </c>
      <c r="BI164" s="48"/>
      <c r="BJ164" s="44"/>
      <c r="BK164" s="46"/>
      <c r="BL164" s="46"/>
      <c r="BM164" s="36" t="str">
        <f aca="false">IF(ISNUMBER(Q164),IF(Q164&lt;0,"YES","no"),"")</f>
        <v/>
      </c>
      <c r="BN164" s="36" t="str">
        <f aca="false">IFERROR(IF(AND(ISNUMBER(K164),ISNUMBER(INDEX('Lift Inputs'!$H:$H,MATCH(C164,'Lift Inputs'!$C:$C,0)))),IF(K164&lt;INDEX('Lift Inputs'!$H:$H,MATCH(C164,'Lift Inputs'!$C:$C,0)),"YES","no"),""),"")</f>
        <v/>
      </c>
      <c r="BO164" s="44"/>
    </row>
    <row r="165" customFormat="false" ht="15" hidden="false" customHeight="false" outlineLevel="0" collapsed="false">
      <c r="A165" s="15" t="s">
        <v>37</v>
      </c>
      <c r="B165" s="15" t="s">
        <v>65</v>
      </c>
      <c r="C165" s="15" t="n">
        <v>73</v>
      </c>
      <c r="D165" s="15" t="s">
        <v>204</v>
      </c>
      <c r="E165" s="15" t="n">
        <v>3</v>
      </c>
      <c r="F165" s="15" t="s">
        <v>341</v>
      </c>
      <c r="G165" s="15" t="s">
        <v>342</v>
      </c>
      <c r="H165" s="15" t="s">
        <v>343</v>
      </c>
      <c r="I165" s="15" t="s">
        <v>344</v>
      </c>
      <c r="J165" s="15" t="s">
        <v>177</v>
      </c>
      <c r="K165" s="35" t="n">
        <v>89.99</v>
      </c>
      <c r="L165" s="35"/>
      <c r="M165" s="23" t="str">
        <f aca="false">IF(AND(ISNUMBER(L165),ISNUMBER(K165),K165&gt;0),L165/K165-1,"")</f>
        <v/>
      </c>
      <c r="N165" s="36" t="str">
        <f aca="false">IF(M165="","No List Price",IF(M165&lt;=0,"At/below price",IF(M165&lt;=0.12,"&lt;=12% (STR zone)",IF(M165&lt;=0.25,"12-25%","&gt;25% (likely ignored)"))))</f>
        <v>No List Price</v>
      </c>
      <c r="O165" s="15" t="s">
        <v>311</v>
      </c>
      <c r="P165" s="35"/>
      <c r="Q165" s="22" t="str">
        <f aca="false">IF(AND(ISNUMBER(K165),ISNUMBER(P165),N(P165)&gt;0),K165/P165-1,"")</f>
        <v/>
      </c>
      <c r="R165" s="15"/>
      <c r="S165" s="37" t="n">
        <v>6971</v>
      </c>
      <c r="T165" s="37" t="n">
        <v>104</v>
      </c>
      <c r="U165" s="38" t="n">
        <f aca="false">IF(AND(ISNUMBER(K165),ISNUMBER(T165)),K165*T165*52/12,"")</f>
        <v>40555.4933333333</v>
      </c>
      <c r="V165" s="15" t="n">
        <v>4.3</v>
      </c>
      <c r="W165" s="37" t="n">
        <v>2766</v>
      </c>
      <c r="X165" s="39" t="n">
        <v>46307</v>
      </c>
      <c r="Y165" s="15" t="n">
        <v>104</v>
      </c>
      <c r="Z165" s="40" t="n">
        <v>45649</v>
      </c>
      <c r="AA165" s="41" t="n">
        <f aca="false">IF(ISNUMBER(Z165),(DATE(2026,10,13)-Z165)/365,"")</f>
        <v>1.80547945205479</v>
      </c>
      <c r="AB165" s="37" t="n">
        <v>4777</v>
      </c>
      <c r="AC165" s="15" t="s">
        <v>313</v>
      </c>
      <c r="AD165" s="15" t="n">
        <v>1</v>
      </c>
      <c r="AE165" s="15" t="s">
        <v>345</v>
      </c>
      <c r="AF165" s="42" t="n">
        <v>0</v>
      </c>
      <c r="AG165" s="42" t="n">
        <v>0</v>
      </c>
      <c r="AH165" s="15" t="n">
        <v>190</v>
      </c>
      <c r="AI165" s="37" t="n">
        <v>407949</v>
      </c>
      <c r="AJ165" s="37" t="n">
        <v>2137</v>
      </c>
      <c r="AK165" s="15" t="s">
        <v>326</v>
      </c>
      <c r="AL165" s="43" t="n">
        <v>356.5</v>
      </c>
      <c r="AM165" s="43" t="n">
        <v>490</v>
      </c>
      <c r="AN165" s="25" t="n">
        <f aca="false">IF(AND(ISNUMBER(AM165),ISNUMBER(AL165),AL165&gt;=5),AM165/AL165,"")</f>
        <v>1.37447405329593</v>
      </c>
      <c r="AO165" s="43" t="n">
        <v>57.6</v>
      </c>
      <c r="AP165" s="43" t="n">
        <v>82.5</v>
      </c>
      <c r="AQ165" s="25" t="n">
        <f aca="false">IF(AND(ISNUMBER(AP165),ISNUMBER(AO165),AO165&gt;=5),AP165/AO165,"")</f>
        <v>1.43229166666667</v>
      </c>
      <c r="AR165" s="43" t="n">
        <v>239.9</v>
      </c>
      <c r="AS165" s="43" t="n">
        <v>571.4</v>
      </c>
      <c r="AT165" s="22" t="n">
        <f aca="false">IF(AND(ISNUMBER(AS165),ISNUMBER(AR165),AR165&gt;0),AS165/AR165-1,"")</f>
        <v>1.38182576073364</v>
      </c>
      <c r="AU165" s="44"/>
      <c r="AV165" s="44"/>
      <c r="AW165" s="44"/>
      <c r="AX165" s="44"/>
      <c r="AY165" s="44"/>
      <c r="AZ165" s="45"/>
      <c r="BA165" s="45"/>
      <c r="BB165" s="46"/>
      <c r="BC165" s="46"/>
      <c r="BD165" s="23" t="str">
        <f aca="false">IF(AND(ISNUMBER(BB165),ISNUMBER(BC165),BB165&gt;0),1-BC165/BB165,"")</f>
        <v/>
      </c>
      <c r="BE165" s="47"/>
      <c r="BF165" s="48"/>
      <c r="BG165" s="48"/>
      <c r="BH165" s="27" t="str">
        <f aca="false">IF(AND(ISNUMBER(BF165),ISNUMBER(BG165),BG165&gt;0),BF165/BG165,"")</f>
        <v/>
      </c>
      <c r="BI165" s="48"/>
      <c r="BJ165" s="44"/>
      <c r="BK165" s="46"/>
      <c r="BL165" s="46"/>
      <c r="BM165" s="36" t="str">
        <f aca="false">IF(ISNUMBER(Q165),IF(Q165&lt;0,"YES","no"),"")</f>
        <v/>
      </c>
      <c r="BN165" s="36" t="str">
        <f aca="false">IFERROR(IF(AND(ISNUMBER(K165),ISNUMBER(INDEX('Lift Inputs'!$H:$H,MATCH(C165,'Lift Inputs'!$C:$C,0)))),IF(K165&lt;INDEX('Lift Inputs'!$H:$H,MATCH(C165,'Lift Inputs'!$C:$C,0)),"YES","no"),""),"")</f>
        <v/>
      </c>
      <c r="BO165" s="44"/>
    </row>
    <row r="166" customFormat="false" ht="15" hidden="false" customHeight="false" outlineLevel="0" collapsed="false">
      <c r="A166" s="15" t="s">
        <v>37</v>
      </c>
      <c r="B166" s="15" t="s">
        <v>65</v>
      </c>
      <c r="C166" s="15" t="n">
        <v>73</v>
      </c>
      <c r="D166" s="15" t="s">
        <v>204</v>
      </c>
      <c r="E166" s="15" t="n">
        <v>6</v>
      </c>
      <c r="F166" s="15" t="s">
        <v>307</v>
      </c>
      <c r="G166" s="15" t="s">
        <v>346</v>
      </c>
      <c r="H166" s="15" t="s">
        <v>347</v>
      </c>
      <c r="I166" s="15" t="s">
        <v>348</v>
      </c>
      <c r="J166" s="15" t="s">
        <v>177</v>
      </c>
      <c r="K166" s="35" t="n">
        <v>89.99</v>
      </c>
      <c r="L166" s="35" t="n">
        <v>119.99</v>
      </c>
      <c r="M166" s="23" t="n">
        <f aca="false">IF(AND(ISNUMBER(L166),ISNUMBER(K166),K166&gt;0),L166/K166-1,"")</f>
        <v>0.333370374486054</v>
      </c>
      <c r="N166" s="36" t="str">
        <f aca="false">IF(M166="","No List Price",IF(M166&lt;=0,"At/below price",IF(M166&lt;=0.12,"&lt;=12% (STR zone)",IF(M166&lt;=0.25,"12-25%","&gt;25% (likely ignored)"))))</f>
        <v>&gt;25% (likely ignored)</v>
      </c>
      <c r="O166" s="15" t="s">
        <v>311</v>
      </c>
      <c r="P166" s="35"/>
      <c r="Q166" s="22" t="str">
        <f aca="false">IF(AND(ISNUMBER(K166),ISNUMBER(P166),N(P166)&gt;0),K166/P166-1,"")</f>
        <v/>
      </c>
      <c r="R166" s="15"/>
      <c r="S166" s="37" t="n">
        <v>8938</v>
      </c>
      <c r="T166" s="37" t="n">
        <v>104</v>
      </c>
      <c r="U166" s="38" t="n">
        <f aca="false">IF(AND(ISNUMBER(K166),ISNUMBER(T166)),K166*T166*52/12,"")</f>
        <v>40555.4933333333</v>
      </c>
      <c r="V166" s="15" t="n">
        <v>4.5</v>
      </c>
      <c r="W166" s="37" t="n">
        <v>588</v>
      </c>
      <c r="X166" s="39" t="n">
        <v>46307</v>
      </c>
      <c r="Y166" s="15" t="n">
        <v>39</v>
      </c>
      <c r="Z166" s="40" t="n">
        <v>45936</v>
      </c>
      <c r="AA166" s="41" t="n">
        <f aca="false">IF(ISNUMBER(Z166),(DATE(2026,10,13)-Z166)/365,"")</f>
        <v>1.01917808219178</v>
      </c>
      <c r="AB166" s="37" t="n">
        <v>4014</v>
      </c>
      <c r="AC166" s="15" t="s">
        <v>313</v>
      </c>
      <c r="AD166" s="15" t="n">
        <v>4</v>
      </c>
      <c r="AE166" s="15" t="s">
        <v>314</v>
      </c>
      <c r="AF166" s="42" t="n">
        <v>0</v>
      </c>
      <c r="AG166" s="42" t="n">
        <v>0</v>
      </c>
      <c r="AH166" s="15" t="n">
        <v>313</v>
      </c>
      <c r="AI166" s="37" t="n">
        <v>840292</v>
      </c>
      <c r="AJ166" s="37" t="n">
        <v>3961</v>
      </c>
      <c r="AK166" s="15" t="s">
        <v>326</v>
      </c>
      <c r="AL166" s="43" t="n">
        <v>279.8</v>
      </c>
      <c r="AM166" s="43" t="n">
        <v>493.8</v>
      </c>
      <c r="AN166" s="25" t="n">
        <f aca="false">IF(AND(ISNUMBER(AM166),ISNUMBER(AL166),AL166&gt;=5),AM166/AL166,"")</f>
        <v>1.76483202287348</v>
      </c>
      <c r="AO166" s="43" t="n">
        <v>320.1</v>
      </c>
      <c r="AP166" s="43" t="n">
        <v>534.8</v>
      </c>
      <c r="AQ166" s="25" t="n">
        <f aca="false">IF(AND(ISNUMBER(AP166),ISNUMBER(AO166),AO166&gt;=5),AP166/AO166,"")</f>
        <v>1.67072789753202</v>
      </c>
      <c r="AR166" s="43" t="n">
        <v>248.7</v>
      </c>
      <c r="AS166" s="43" t="n">
        <v>226.2</v>
      </c>
      <c r="AT166" s="22" t="n">
        <f aca="false">IF(AND(ISNUMBER(AS166),ISNUMBER(AR166),AR166&gt;0),AS166/AR166-1,"")</f>
        <v>-0.0904704463208685</v>
      </c>
      <c r="AU166" s="44"/>
      <c r="AV166" s="44"/>
      <c r="AW166" s="44"/>
      <c r="AX166" s="44"/>
      <c r="AY166" s="44"/>
      <c r="AZ166" s="45"/>
      <c r="BA166" s="45"/>
      <c r="BB166" s="46"/>
      <c r="BC166" s="46"/>
      <c r="BD166" s="23" t="str">
        <f aca="false">IF(AND(ISNUMBER(BB166),ISNUMBER(BC166),BB166&gt;0),1-BC166/BB166,"")</f>
        <v/>
      </c>
      <c r="BE166" s="47"/>
      <c r="BF166" s="48"/>
      <c r="BG166" s="48"/>
      <c r="BH166" s="27" t="str">
        <f aca="false">IF(AND(ISNUMBER(BF166),ISNUMBER(BG166),BG166&gt;0),BF166/BG166,"")</f>
        <v/>
      </c>
      <c r="BI166" s="48"/>
      <c r="BJ166" s="44"/>
      <c r="BK166" s="46"/>
      <c r="BL166" s="46"/>
      <c r="BM166" s="36" t="str">
        <f aca="false">IF(ISNUMBER(Q166),IF(Q166&lt;0,"YES","no"),"")</f>
        <v/>
      </c>
      <c r="BN166" s="36" t="str">
        <f aca="false">IFERROR(IF(AND(ISNUMBER(K166),ISNUMBER(INDEX('Lift Inputs'!$H:$H,MATCH(C166,'Lift Inputs'!$C:$C,0)))),IF(K166&lt;INDEX('Lift Inputs'!$H:$H,MATCH(C166,'Lift Inputs'!$C:$C,0)),"YES","no"),""),"")</f>
        <v/>
      </c>
      <c r="BO166" s="44"/>
    </row>
    <row r="167" customFormat="false" ht="15" hidden="false" customHeight="false" outlineLevel="0" collapsed="false">
      <c r="A167" s="15" t="s">
        <v>37</v>
      </c>
      <c r="B167" s="15" t="s">
        <v>65</v>
      </c>
      <c r="C167" s="15" t="n">
        <v>73</v>
      </c>
      <c r="D167" s="15" t="s">
        <v>204</v>
      </c>
      <c r="E167" s="15" t="n">
        <v>1507</v>
      </c>
      <c r="F167" s="15" t="s">
        <v>349</v>
      </c>
      <c r="G167" s="15" t="s">
        <v>350</v>
      </c>
      <c r="H167" s="15" t="s">
        <v>351</v>
      </c>
      <c r="I167" s="15" t="s">
        <v>352</v>
      </c>
      <c r="J167" s="15" t="s">
        <v>177</v>
      </c>
      <c r="K167" s="35" t="n">
        <v>79.99</v>
      </c>
      <c r="L167" s="35"/>
      <c r="M167" s="23" t="str">
        <f aca="false">IF(AND(ISNUMBER(L167),ISNUMBER(K167),K167&gt;0),L167/K167-1,"")</f>
        <v/>
      </c>
      <c r="N167" s="36" t="str">
        <f aca="false">IF(M167="","No List Price",IF(M167&lt;=0,"At/below price",IF(M167&lt;=0.12,"&lt;=12% (STR zone)",IF(M167&lt;=0.25,"12-25%","&gt;25% (likely ignored)"))))</f>
        <v>No List Price</v>
      </c>
      <c r="O167" s="15"/>
      <c r="P167" s="35"/>
      <c r="Q167" s="22" t="str">
        <f aca="false">IF(AND(ISNUMBER(K167),ISNUMBER(P167),N(P167)&gt;0),K167/P167-1,"")</f>
        <v/>
      </c>
      <c r="R167" s="15"/>
      <c r="S167" s="37" t="n">
        <v>7961</v>
      </c>
      <c r="T167" s="37" t="n">
        <v>104</v>
      </c>
      <c r="U167" s="38" t="n">
        <f aca="false">IF(AND(ISNUMBER(K167),ISNUMBER(T167)),K167*T167*52/12,"")</f>
        <v>36048.8266666667</v>
      </c>
      <c r="V167" s="15" t="n">
        <v>4.5</v>
      </c>
      <c r="W167" s="37" t="n">
        <v>3776</v>
      </c>
      <c r="X167" s="39" t="n">
        <v>46307</v>
      </c>
      <c r="Y167" s="15"/>
      <c r="Z167" s="40"/>
      <c r="AA167" s="41" t="str">
        <f aca="false">IF(ISNUMBER(Z167),(DATE(2026,10,13)-Z167)/365,"")</f>
        <v/>
      </c>
      <c r="AB167" s="37"/>
      <c r="AC167" s="15"/>
      <c r="AD167" s="15"/>
      <c r="AE167" s="15"/>
      <c r="AF167" s="42"/>
      <c r="AG167" s="42"/>
      <c r="AH167" s="15"/>
      <c r="AI167" s="37" t="n">
        <v>185157</v>
      </c>
      <c r="AJ167" s="37" t="n">
        <v>1447</v>
      </c>
      <c r="AK167" s="15" t="s">
        <v>326</v>
      </c>
      <c r="AL167" s="43" t="n">
        <v>295.1</v>
      </c>
      <c r="AM167" s="43" t="n">
        <v>388</v>
      </c>
      <c r="AN167" s="25" t="n">
        <f aca="false">IF(AND(ISNUMBER(AM167),ISNUMBER(AL167),AL167&gt;=5),AM167/AL167,"")</f>
        <v>1.31480853947814</v>
      </c>
      <c r="AO167" s="43" t="n">
        <v>1.1</v>
      </c>
      <c r="AP167" s="43" t="n">
        <v>0.5</v>
      </c>
      <c r="AQ167" s="25" t="str">
        <f aca="false">IF(AND(ISNUMBER(AP167),ISNUMBER(AO167),AO167&gt;=5),AP167/AO167,"")</f>
        <v/>
      </c>
      <c r="AR167" s="43" t="n">
        <v>254.1</v>
      </c>
      <c r="AS167" s="43" t="n">
        <v>411.3</v>
      </c>
      <c r="AT167" s="22" t="n">
        <f aca="false">IF(AND(ISNUMBER(AS167),ISNUMBER(AR167),AR167&gt;0),AS167/AR167-1,"")</f>
        <v>0.618654073199528</v>
      </c>
      <c r="AU167" s="44"/>
      <c r="AV167" s="44"/>
      <c r="AW167" s="44"/>
      <c r="AX167" s="44"/>
      <c r="AY167" s="44"/>
      <c r="AZ167" s="45"/>
      <c r="BA167" s="45"/>
      <c r="BB167" s="46"/>
      <c r="BC167" s="46"/>
      <c r="BD167" s="23" t="str">
        <f aca="false">IF(AND(ISNUMBER(BB167),ISNUMBER(BC167),BB167&gt;0),1-BC167/BB167,"")</f>
        <v/>
      </c>
      <c r="BE167" s="47"/>
      <c r="BF167" s="48"/>
      <c r="BG167" s="48"/>
      <c r="BH167" s="27" t="str">
        <f aca="false">IF(AND(ISNUMBER(BF167),ISNUMBER(BG167),BG167&gt;0),BF167/BG167,"")</f>
        <v/>
      </c>
      <c r="BI167" s="48"/>
      <c r="BJ167" s="44"/>
      <c r="BK167" s="46"/>
      <c r="BL167" s="46"/>
      <c r="BM167" s="36" t="str">
        <f aca="false">IF(ISNUMBER(Q167),IF(Q167&lt;0,"YES","no"),"")</f>
        <v/>
      </c>
      <c r="BN167" s="36" t="str">
        <f aca="false">IFERROR(IF(AND(ISNUMBER(K167),ISNUMBER(INDEX('Lift Inputs'!$H:$H,MATCH(C167,'Lift Inputs'!$C:$C,0)))),IF(K167&lt;INDEX('Lift Inputs'!$H:$H,MATCH(C167,'Lift Inputs'!$C:$C,0)),"YES","no"),""),"")</f>
        <v/>
      </c>
      <c r="BO167" s="44"/>
    </row>
    <row r="168" customFormat="false" ht="15" hidden="false" customHeight="false" outlineLevel="0" collapsed="false">
      <c r="A168" s="15" t="s">
        <v>37</v>
      </c>
      <c r="B168" s="15" t="s">
        <v>65</v>
      </c>
      <c r="C168" s="15" t="n">
        <v>73</v>
      </c>
      <c r="D168" s="15" t="s">
        <v>204</v>
      </c>
      <c r="E168" s="15" t="n">
        <v>637</v>
      </c>
      <c r="F168" s="15" t="s">
        <v>354</v>
      </c>
      <c r="G168" s="15" t="s">
        <v>355</v>
      </c>
      <c r="H168" s="15" t="s">
        <v>356</v>
      </c>
      <c r="I168" s="15" t="s">
        <v>357</v>
      </c>
      <c r="J168" s="15" t="s">
        <v>177</v>
      </c>
      <c r="K168" s="35" t="n">
        <v>134.99</v>
      </c>
      <c r="L168" s="35"/>
      <c r="M168" s="23" t="str">
        <f aca="false">IF(AND(ISNUMBER(L168),ISNUMBER(K168),K168&gt;0),L168/K168-1,"")</f>
        <v/>
      </c>
      <c r="N168" s="36" t="str">
        <f aca="false">IF(M168="","No List Price",IF(M168&lt;=0,"At/below price",IF(M168&lt;=0.12,"&lt;=12% (STR zone)",IF(M168&lt;=0.25,"12-25%","&gt;25% (likely ignored)"))))</f>
        <v>No List Price</v>
      </c>
      <c r="O168" s="15" t="s">
        <v>320</v>
      </c>
      <c r="P168" s="35"/>
      <c r="Q168" s="22" t="str">
        <f aca="false">IF(AND(ISNUMBER(K168),ISNUMBER(P168),N(P168)&gt;0),K168/P168-1,"")</f>
        <v/>
      </c>
      <c r="R168" s="15"/>
      <c r="S168" s="37" t="n">
        <v>1358</v>
      </c>
      <c r="T168" s="37" t="n">
        <v>92</v>
      </c>
      <c r="U168" s="38" t="n">
        <f aca="false">IF(AND(ISNUMBER(K168),ISNUMBER(T168)),K168*T168*52/12,"")</f>
        <v>53816.0133333333</v>
      </c>
      <c r="V168" s="15" t="n">
        <v>4.4</v>
      </c>
      <c r="W168" s="37" t="n">
        <v>5871</v>
      </c>
      <c r="X168" s="39" t="n">
        <v>46307</v>
      </c>
      <c r="Y168" s="15" t="n">
        <v>258</v>
      </c>
      <c r="Z168" s="40" t="n">
        <v>44154</v>
      </c>
      <c r="AA168" s="41" t="n">
        <f aca="false">IF(ISNUMBER(Z168),(DATE(2026,10,13)-Z168)/365,"")</f>
        <v>5.9013698630137</v>
      </c>
      <c r="AB168" s="37" t="n">
        <v>13039</v>
      </c>
      <c r="AC168" s="15" t="s">
        <v>313</v>
      </c>
      <c r="AD168" s="15" t="n">
        <v>1</v>
      </c>
      <c r="AE168" s="15" t="s">
        <v>314</v>
      </c>
      <c r="AF168" s="42" t="n">
        <v>0.80168776371308</v>
      </c>
      <c r="AG168" s="42" t="n">
        <v>0.361339222679758</v>
      </c>
      <c r="AH168" s="15" t="n">
        <v>316</v>
      </c>
      <c r="AI168" s="37" t="n">
        <v>591713</v>
      </c>
      <c r="AJ168" s="37" t="n">
        <v>5504</v>
      </c>
      <c r="AK168" s="15" t="s">
        <v>315</v>
      </c>
      <c r="AL168" s="43" t="n">
        <v>107.7</v>
      </c>
      <c r="AM168" s="43" t="n">
        <v>191.5</v>
      </c>
      <c r="AN168" s="25" t="n">
        <f aca="false">IF(AND(ISNUMBER(AM168),ISNUMBER(AL168),AL168&gt;=5),AM168/AL168,"")</f>
        <v>1.77808727948004</v>
      </c>
      <c r="AO168" s="43" t="n">
        <v>49.4</v>
      </c>
      <c r="AP168" s="43" t="n">
        <v>99.8</v>
      </c>
      <c r="AQ168" s="25" t="n">
        <f aca="false">IF(AND(ISNUMBER(AP168),ISNUMBER(AO168),AO168&gt;=5),AP168/AO168,"")</f>
        <v>2.02024291497976</v>
      </c>
      <c r="AR168" s="43" t="n">
        <v>127.5</v>
      </c>
      <c r="AS168" s="43" t="n">
        <v>175.6</v>
      </c>
      <c r="AT168" s="22" t="n">
        <f aca="false">IF(AND(ISNUMBER(AS168),ISNUMBER(AR168),AR168&gt;0),AS168/AR168-1,"")</f>
        <v>0.377254901960784</v>
      </c>
      <c r="AU168" s="44"/>
      <c r="AV168" s="44"/>
      <c r="AW168" s="44"/>
      <c r="AX168" s="44"/>
      <c r="AY168" s="44"/>
      <c r="AZ168" s="45"/>
      <c r="BA168" s="45"/>
      <c r="BB168" s="46"/>
      <c r="BC168" s="46"/>
      <c r="BD168" s="23" t="str">
        <f aca="false">IF(AND(ISNUMBER(BB168),ISNUMBER(BC168),BB168&gt;0),1-BC168/BB168,"")</f>
        <v/>
      </c>
      <c r="BE168" s="47"/>
      <c r="BF168" s="48"/>
      <c r="BG168" s="48"/>
      <c r="BH168" s="27" t="str">
        <f aca="false">IF(AND(ISNUMBER(BF168),ISNUMBER(BG168),BG168&gt;0),BF168/BG168,"")</f>
        <v/>
      </c>
      <c r="BI168" s="48"/>
      <c r="BJ168" s="44"/>
      <c r="BK168" s="46"/>
      <c r="BL168" s="46"/>
      <c r="BM168" s="36" t="str">
        <f aca="false">IF(ISNUMBER(Q168),IF(Q168&lt;0,"YES","no"),"")</f>
        <v/>
      </c>
      <c r="BN168" s="36" t="str">
        <f aca="false">IFERROR(IF(AND(ISNUMBER(K168),ISNUMBER(INDEX('Lift Inputs'!$H:$H,MATCH(C168,'Lift Inputs'!$C:$C,0)))),IF(K168&lt;INDEX('Lift Inputs'!$H:$H,MATCH(C168,'Lift Inputs'!$C:$C,0)),"YES","no"),""),"")</f>
        <v/>
      </c>
      <c r="BO168" s="44"/>
    </row>
    <row r="169" customFormat="false" ht="15" hidden="false" customHeight="false" outlineLevel="0" collapsed="false">
      <c r="A169" s="15" t="s">
        <v>37</v>
      </c>
      <c r="B169" s="15" t="s">
        <v>65</v>
      </c>
      <c r="C169" s="15" t="n">
        <v>73</v>
      </c>
      <c r="D169" s="15" t="s">
        <v>204</v>
      </c>
      <c r="E169" s="15" t="n">
        <v>481</v>
      </c>
      <c r="F169" s="15" t="s">
        <v>521</v>
      </c>
      <c r="G169" s="15" t="s">
        <v>522</v>
      </c>
      <c r="H169" s="15" t="s">
        <v>523</v>
      </c>
      <c r="I169" s="15" t="s">
        <v>524</v>
      </c>
      <c r="J169" s="15" t="s">
        <v>177</v>
      </c>
      <c r="K169" s="35" t="n">
        <v>29.99</v>
      </c>
      <c r="L169" s="35"/>
      <c r="M169" s="23" t="str">
        <f aca="false">IF(AND(ISNUMBER(L169),ISNUMBER(K169),K169&gt;0),L169/K169-1,"")</f>
        <v/>
      </c>
      <c r="N169" s="36" t="str">
        <f aca="false">IF(M169="","No List Price",IF(M169&lt;=0,"At/below price",IF(M169&lt;=0.12,"&lt;=12% (STR zone)",IF(M169&lt;=0.25,"12-25%","&gt;25% (likely ignored)"))))</f>
        <v>No List Price</v>
      </c>
      <c r="O169" s="15" t="s">
        <v>320</v>
      </c>
      <c r="P169" s="35"/>
      <c r="Q169" s="22" t="str">
        <f aca="false">IF(AND(ISNUMBER(K169),ISNUMBER(P169),N(P169)&gt;0),K169/P169-1,"")</f>
        <v/>
      </c>
      <c r="R169" s="15"/>
      <c r="S169" s="37" t="n">
        <v>9600</v>
      </c>
      <c r="T169" s="37" t="n">
        <v>81</v>
      </c>
      <c r="U169" s="38" t="n">
        <f aca="false">IF(AND(ISNUMBER(K169),ISNUMBER(T169)),K169*T169*52/12,"")</f>
        <v>10526.49</v>
      </c>
      <c r="V169" s="15" t="n">
        <v>4.3</v>
      </c>
      <c r="W169" s="37" t="n">
        <v>1029</v>
      </c>
      <c r="X169" s="39" t="n">
        <v>46307</v>
      </c>
      <c r="Y169" s="15" t="n">
        <v>79</v>
      </c>
      <c r="Z169" s="40" t="n">
        <v>45362</v>
      </c>
      <c r="AA169" s="41" t="n">
        <f aca="false">IF(ISNUMBER(Z169),(DATE(2026,10,13)-Z169)/365,"")</f>
        <v>2.59178082191781</v>
      </c>
      <c r="AB169" s="37" t="n">
        <v>3822</v>
      </c>
      <c r="AC169" s="15" t="s">
        <v>313</v>
      </c>
      <c r="AD169" s="15" t="n">
        <v>1</v>
      </c>
      <c r="AE169" s="15" t="s">
        <v>331</v>
      </c>
      <c r="AF169" s="42" t="n">
        <v>0</v>
      </c>
      <c r="AG169" s="42" t="n">
        <v>0</v>
      </c>
      <c r="AH169" s="15" t="n">
        <v>93</v>
      </c>
      <c r="AI169" s="37" t="n">
        <v>80454</v>
      </c>
      <c r="AJ169" s="37" t="n">
        <v>892</v>
      </c>
      <c r="AK169" s="15" t="s">
        <v>315</v>
      </c>
      <c r="AL169" s="43" t="n">
        <v>57.9</v>
      </c>
      <c r="AM169" s="43" t="n">
        <v>56.8</v>
      </c>
      <c r="AN169" s="25" t="n">
        <f aca="false">IF(AND(ISNUMBER(AM169),ISNUMBER(AL169),AL169&gt;=5),AM169/AL169,"")</f>
        <v>0.981001727115717</v>
      </c>
      <c r="AO169" s="43" t="n">
        <v>0.2</v>
      </c>
      <c r="AP169" s="43" t="n">
        <v>0.2</v>
      </c>
      <c r="AQ169" s="25" t="str">
        <f aca="false">IF(AND(ISNUMBER(AP169),ISNUMBER(AO169),AO169&gt;=5),AP169/AO169,"")</f>
        <v/>
      </c>
      <c r="AR169" s="43" t="n">
        <v>59.7</v>
      </c>
      <c r="AS169" s="43" t="n">
        <v>55.4</v>
      </c>
      <c r="AT169" s="22" t="n">
        <f aca="false">IF(AND(ISNUMBER(AS169),ISNUMBER(AR169),AR169&gt;0),AS169/AR169-1,"")</f>
        <v>-0.0720268006700168</v>
      </c>
      <c r="AU169" s="44"/>
      <c r="AV169" s="44"/>
      <c r="AW169" s="44"/>
      <c r="AX169" s="44"/>
      <c r="AY169" s="44"/>
      <c r="AZ169" s="45"/>
      <c r="BA169" s="45"/>
      <c r="BB169" s="46"/>
      <c r="BC169" s="46"/>
      <c r="BD169" s="23" t="str">
        <f aca="false">IF(AND(ISNUMBER(BB169),ISNUMBER(BC169),BB169&gt;0),1-BC169/BB169,"")</f>
        <v/>
      </c>
      <c r="BE169" s="47"/>
      <c r="BF169" s="48"/>
      <c r="BG169" s="48"/>
      <c r="BH169" s="27" t="str">
        <f aca="false">IF(AND(ISNUMBER(BF169),ISNUMBER(BG169),BG169&gt;0),BF169/BG169,"")</f>
        <v/>
      </c>
      <c r="BI169" s="48"/>
      <c r="BJ169" s="44"/>
      <c r="BK169" s="46"/>
      <c r="BL169" s="46"/>
      <c r="BM169" s="36" t="str">
        <f aca="false">IF(ISNUMBER(Q169),IF(Q169&lt;0,"YES","no"),"")</f>
        <v/>
      </c>
      <c r="BN169" s="36" t="str">
        <f aca="false">IFERROR(IF(AND(ISNUMBER(K169),ISNUMBER(INDEX('Lift Inputs'!$H:$H,MATCH(C169,'Lift Inputs'!$C:$C,0)))),IF(K169&lt;INDEX('Lift Inputs'!$H:$H,MATCH(C169,'Lift Inputs'!$C:$C,0)),"YES","no"),""),"")</f>
        <v/>
      </c>
      <c r="BO169" s="44"/>
    </row>
    <row r="170" customFormat="false" ht="15" hidden="false" customHeight="false" outlineLevel="0" collapsed="false">
      <c r="A170" s="15" t="s">
        <v>37</v>
      </c>
      <c r="B170" s="15" t="s">
        <v>65</v>
      </c>
      <c r="C170" s="15" t="n">
        <v>73</v>
      </c>
      <c r="D170" s="15" t="s">
        <v>204</v>
      </c>
      <c r="E170" s="15" t="n">
        <v>697</v>
      </c>
      <c r="F170" s="15"/>
      <c r="G170" s="15" t="s">
        <v>525</v>
      </c>
      <c r="H170" s="15" t="s">
        <v>526</v>
      </c>
      <c r="I170" s="15" t="s">
        <v>527</v>
      </c>
      <c r="J170" s="15" t="s">
        <v>177</v>
      </c>
      <c r="K170" s="35" t="n">
        <v>44.99</v>
      </c>
      <c r="L170" s="35"/>
      <c r="M170" s="23" t="str">
        <f aca="false">IF(AND(ISNUMBER(L170),ISNUMBER(K170),K170&gt;0),L170/K170-1,"")</f>
        <v/>
      </c>
      <c r="N170" s="36" t="str">
        <f aca="false">IF(M170="","No List Price",IF(M170&lt;=0,"At/below price",IF(M170&lt;=0.12,"&lt;=12% (STR zone)",IF(M170&lt;=0.25,"12-25%","&gt;25% (likely ignored)"))))</f>
        <v>No List Price</v>
      </c>
      <c r="O170" s="15" t="s">
        <v>311</v>
      </c>
      <c r="P170" s="35"/>
      <c r="Q170" s="22" t="str">
        <f aca="false">IF(AND(ISNUMBER(K170),ISNUMBER(P170),N(P170)&gt;0),K170/P170-1,"")</f>
        <v/>
      </c>
      <c r="R170" s="15"/>
      <c r="S170" s="37" t="n">
        <v>19075</v>
      </c>
      <c r="T170" s="37" t="n">
        <v>81</v>
      </c>
      <c r="U170" s="38" t="n">
        <f aca="false">IF(AND(ISNUMBER(K170),ISNUMBER(T170)),K170*T170*52/12,"")</f>
        <v>15791.49</v>
      </c>
      <c r="V170" s="15" t="n">
        <v>4.4</v>
      </c>
      <c r="W170" s="37" t="n">
        <v>168</v>
      </c>
      <c r="X170" s="39" t="n">
        <v>46307</v>
      </c>
      <c r="Y170" s="15" t="n">
        <v>24</v>
      </c>
      <c r="Z170" s="40" t="n">
        <v>46069</v>
      </c>
      <c r="AA170" s="41" t="n">
        <f aca="false">IF(ISNUMBER(Z170),(DATE(2026,10,13)-Z170)/365,"")</f>
        <v>0.654794520547945</v>
      </c>
      <c r="AB170" s="37" t="n">
        <v>1938</v>
      </c>
      <c r="AC170" s="15" t="s">
        <v>313</v>
      </c>
      <c r="AD170" s="15" t="n">
        <v>1</v>
      </c>
      <c r="AE170" s="15" t="s">
        <v>314</v>
      </c>
      <c r="AF170" s="42" t="n">
        <v>0</v>
      </c>
      <c r="AG170" s="42" t="n">
        <v>0</v>
      </c>
      <c r="AH170" s="15" t="n">
        <v>80</v>
      </c>
      <c r="AI170" s="37" t="n">
        <v>95724</v>
      </c>
      <c r="AJ170" s="37" t="n">
        <v>951</v>
      </c>
      <c r="AK170" s="15" t="s">
        <v>315</v>
      </c>
      <c r="AL170" s="43" t="n">
        <v>97</v>
      </c>
      <c r="AM170" s="43" t="n">
        <v>114.2</v>
      </c>
      <c r="AN170" s="25" t="n">
        <f aca="false">IF(AND(ISNUMBER(AM170),ISNUMBER(AL170),AL170&gt;=5),AM170/AL170,"")</f>
        <v>1.17731958762887</v>
      </c>
      <c r="AO170" s="43" t="n">
        <v>112.6</v>
      </c>
      <c r="AP170" s="43" t="n">
        <v>150.5</v>
      </c>
      <c r="AQ170" s="25" t="n">
        <f aca="false">IF(AND(ISNUMBER(AP170),ISNUMBER(AO170),AO170&gt;=5),AP170/AO170,"")</f>
        <v>1.33658969804618</v>
      </c>
      <c r="AR170" s="43" t="n">
        <v>70.3</v>
      </c>
      <c r="AS170" s="43" t="n">
        <v>72.2</v>
      </c>
      <c r="AT170" s="22" t="n">
        <f aca="false">IF(AND(ISNUMBER(AS170),ISNUMBER(AR170),AR170&gt;0),AS170/AR170-1,"")</f>
        <v>0.0270270270270272</v>
      </c>
      <c r="AU170" s="44"/>
      <c r="AV170" s="44"/>
      <c r="AW170" s="44"/>
      <c r="AX170" s="44"/>
      <c r="AY170" s="44"/>
      <c r="AZ170" s="45"/>
      <c r="BA170" s="45"/>
      <c r="BB170" s="46"/>
      <c r="BC170" s="46"/>
      <c r="BD170" s="23" t="str">
        <f aca="false">IF(AND(ISNUMBER(BB170),ISNUMBER(BC170),BB170&gt;0),1-BC170/BB170,"")</f>
        <v/>
      </c>
      <c r="BE170" s="47"/>
      <c r="BF170" s="48"/>
      <c r="BG170" s="48"/>
      <c r="BH170" s="27" t="str">
        <f aca="false">IF(AND(ISNUMBER(BF170),ISNUMBER(BG170),BG170&gt;0),BF170/BG170,"")</f>
        <v/>
      </c>
      <c r="BI170" s="48"/>
      <c r="BJ170" s="44"/>
      <c r="BK170" s="46"/>
      <c r="BL170" s="46"/>
      <c r="BM170" s="36" t="str">
        <f aca="false">IF(ISNUMBER(Q170),IF(Q170&lt;0,"YES","no"),"")</f>
        <v/>
      </c>
      <c r="BN170" s="36" t="str">
        <f aca="false">IFERROR(IF(AND(ISNUMBER(K170),ISNUMBER(INDEX('Lift Inputs'!$H:$H,MATCH(C170,'Lift Inputs'!$C:$C,0)))),IF(K170&lt;INDEX('Lift Inputs'!$H:$H,MATCH(C170,'Lift Inputs'!$C:$C,0)),"YES","no"),""),"")</f>
        <v/>
      </c>
      <c r="BO170" s="44"/>
    </row>
    <row r="171" customFormat="false" ht="15" hidden="false" customHeight="false" outlineLevel="0" collapsed="false">
      <c r="A171" s="15" t="s">
        <v>37</v>
      </c>
      <c r="B171" s="15" t="s">
        <v>65</v>
      </c>
      <c r="C171" s="15" t="n">
        <v>73</v>
      </c>
      <c r="D171" s="15" t="s">
        <v>204</v>
      </c>
      <c r="E171" s="15" t="n">
        <v>698</v>
      </c>
      <c r="F171" s="15" t="s">
        <v>354</v>
      </c>
      <c r="G171" s="15" t="s">
        <v>528</v>
      </c>
      <c r="H171" s="15" t="s">
        <v>529</v>
      </c>
      <c r="I171" s="15" t="s">
        <v>530</v>
      </c>
      <c r="J171" s="15" t="s">
        <v>177</v>
      </c>
      <c r="K171" s="35" t="n">
        <v>54.99</v>
      </c>
      <c r="L171" s="35"/>
      <c r="M171" s="23" t="str">
        <f aca="false">IF(AND(ISNUMBER(L171),ISNUMBER(K171),K171&gt;0),L171/K171-1,"")</f>
        <v/>
      </c>
      <c r="N171" s="36" t="str">
        <f aca="false">IF(M171="","No List Price",IF(M171&lt;=0,"At/below price",IF(M171&lt;=0.12,"&lt;=12% (STR zone)",IF(M171&lt;=0.25,"12-25%","&gt;25% (likely ignored)"))))</f>
        <v>No List Price</v>
      </c>
      <c r="O171" s="15" t="s">
        <v>320</v>
      </c>
      <c r="P171" s="35"/>
      <c r="Q171" s="22" t="str">
        <f aca="false">IF(AND(ISNUMBER(K171),ISNUMBER(P171),N(P171)&gt;0),K171/P171-1,"")</f>
        <v/>
      </c>
      <c r="R171" s="15"/>
      <c r="S171" s="37" t="n">
        <v>13383</v>
      </c>
      <c r="T171" s="37" t="n">
        <v>35</v>
      </c>
      <c r="U171" s="38" t="n">
        <f aca="false">IF(AND(ISNUMBER(K171),ISNUMBER(T171)),K171*T171*52/12,"")</f>
        <v>8340.15</v>
      </c>
      <c r="V171" s="15" t="n">
        <v>4.5</v>
      </c>
      <c r="W171" s="37" t="n">
        <v>331</v>
      </c>
      <c r="X171" s="39" t="n">
        <v>46307</v>
      </c>
      <c r="Y171" s="15" t="n">
        <v>126</v>
      </c>
      <c r="Z171" s="40" t="n">
        <v>45387</v>
      </c>
      <c r="AA171" s="41" t="n">
        <f aca="false">IF(ISNUMBER(Z171),(DATE(2026,10,13)-Z171)/365,"")</f>
        <v>2.52328767123288</v>
      </c>
      <c r="AB171" s="37" t="n">
        <v>3003</v>
      </c>
      <c r="AC171" s="15" t="s">
        <v>313</v>
      </c>
      <c r="AD171" s="15" t="n">
        <v>1</v>
      </c>
      <c r="AE171" s="15" t="s">
        <v>314</v>
      </c>
      <c r="AF171" s="42" t="n">
        <v>0.0119047619047619</v>
      </c>
      <c r="AG171" s="42" t="n">
        <v>0</v>
      </c>
      <c r="AH171" s="15" t="n">
        <v>125</v>
      </c>
      <c r="AI171" s="37" t="n">
        <v>157609</v>
      </c>
      <c r="AJ171" s="37" t="n">
        <v>2308</v>
      </c>
      <c r="AK171" s="15" t="s">
        <v>531</v>
      </c>
      <c r="AL171" s="43" t="n">
        <v>19.8</v>
      </c>
      <c r="AM171" s="43" t="n">
        <v>25.8</v>
      </c>
      <c r="AN171" s="25" t="n">
        <f aca="false">IF(AND(ISNUMBER(AM171),ISNUMBER(AL171),AL171&gt;=5),AM171/AL171,"")</f>
        <v>1.3030303030303</v>
      </c>
      <c r="AO171" s="43" t="n">
        <v>3.8</v>
      </c>
      <c r="AP171" s="43" t="n">
        <v>38.2</v>
      </c>
      <c r="AQ171" s="25" t="str">
        <f aca="false">IF(AND(ISNUMBER(AP171),ISNUMBER(AO171),AO171&gt;=5),AP171/AO171,"")</f>
        <v/>
      </c>
      <c r="AR171" s="43" t="n">
        <v>31.9</v>
      </c>
      <c r="AS171" s="43" t="n">
        <v>29.5</v>
      </c>
      <c r="AT171" s="22" t="n">
        <f aca="false">IF(AND(ISNUMBER(AS171),ISNUMBER(AR171),AR171&gt;0),AS171/AR171-1,"")</f>
        <v>-0.0752351097178683</v>
      </c>
      <c r="AU171" s="44"/>
      <c r="AV171" s="44"/>
      <c r="AW171" s="44"/>
      <c r="AX171" s="44"/>
      <c r="AY171" s="44"/>
      <c r="AZ171" s="45"/>
      <c r="BA171" s="45"/>
      <c r="BB171" s="46"/>
      <c r="BC171" s="46"/>
      <c r="BD171" s="23" t="str">
        <f aca="false">IF(AND(ISNUMBER(BB171),ISNUMBER(BC171),BB171&gt;0),1-BC171/BB171,"")</f>
        <v/>
      </c>
      <c r="BE171" s="47"/>
      <c r="BF171" s="48"/>
      <c r="BG171" s="48"/>
      <c r="BH171" s="27" t="str">
        <f aca="false">IF(AND(ISNUMBER(BF171),ISNUMBER(BG171),BG171&gt;0),BF171/BG171,"")</f>
        <v/>
      </c>
      <c r="BI171" s="48"/>
      <c r="BJ171" s="44"/>
      <c r="BK171" s="46"/>
      <c r="BL171" s="46"/>
      <c r="BM171" s="36" t="str">
        <f aca="false">IF(ISNUMBER(Q171),IF(Q171&lt;0,"YES","no"),"")</f>
        <v/>
      </c>
      <c r="BN171" s="36" t="str">
        <f aca="false">IFERROR(IF(AND(ISNUMBER(K171),ISNUMBER(INDEX('Lift Inputs'!$H:$H,MATCH(C171,'Lift Inputs'!$C:$C,0)))),IF(K171&lt;INDEX('Lift Inputs'!$H:$H,MATCH(C171,'Lift Inputs'!$C:$C,0)),"YES","no"),""),"")</f>
        <v/>
      </c>
      <c r="BO171" s="44"/>
    </row>
    <row r="172" customFormat="false" ht="15" hidden="false" customHeight="false" outlineLevel="0" collapsed="false">
      <c r="A172" s="15" t="s">
        <v>37</v>
      </c>
      <c r="B172" s="15" t="s">
        <v>65</v>
      </c>
      <c r="C172" s="15" t="n">
        <v>73</v>
      </c>
      <c r="D172" s="15" t="s">
        <v>204</v>
      </c>
      <c r="E172" s="15" t="n">
        <v>1510</v>
      </c>
      <c r="F172" s="15" t="s">
        <v>373</v>
      </c>
      <c r="G172" s="15" t="s">
        <v>374</v>
      </c>
      <c r="H172" s="15" t="s">
        <v>375</v>
      </c>
      <c r="I172" s="15" t="s">
        <v>352</v>
      </c>
      <c r="J172" s="15" t="s">
        <v>177</v>
      </c>
      <c r="K172" s="35" t="n">
        <v>55</v>
      </c>
      <c r="L172" s="35"/>
      <c r="M172" s="23" t="str">
        <f aca="false">IF(AND(ISNUMBER(L172),ISNUMBER(K172),K172&gt;0),L172/K172-1,"")</f>
        <v/>
      </c>
      <c r="N172" s="36" t="str">
        <f aca="false">IF(M172="","No List Price",IF(M172&lt;=0,"At/below price",IF(M172&lt;=0.12,"&lt;=12% (STR zone)",IF(M172&lt;=0.25,"12-25%","&gt;25% (likely ignored)"))))</f>
        <v>No List Price</v>
      </c>
      <c r="O172" s="15"/>
      <c r="P172" s="35"/>
      <c r="Q172" s="22" t="str">
        <f aca="false">IF(AND(ISNUMBER(K172),ISNUMBER(P172),N(P172)&gt;0),K172/P172-1,"")</f>
        <v/>
      </c>
      <c r="R172" s="15"/>
      <c r="S172" s="37" t="n">
        <v>4051</v>
      </c>
      <c r="T172" s="37" t="n">
        <v>35</v>
      </c>
      <c r="U172" s="38" t="n">
        <f aca="false">IF(AND(ISNUMBER(K172),ISNUMBER(T172)),K172*T172*52/12,"")</f>
        <v>8341.66666666667</v>
      </c>
      <c r="V172" s="15" t="n">
        <v>4.4</v>
      </c>
      <c r="W172" s="37" t="n">
        <v>1909</v>
      </c>
      <c r="X172" s="39" t="n">
        <v>46307</v>
      </c>
      <c r="Y172" s="15"/>
      <c r="Z172" s="40"/>
      <c r="AA172" s="41" t="str">
        <f aca="false">IF(ISNUMBER(Z172),(DATE(2026,10,13)-Z172)/365,"")</f>
        <v/>
      </c>
      <c r="AB172" s="37"/>
      <c r="AC172" s="15"/>
      <c r="AD172" s="15"/>
      <c r="AE172" s="15"/>
      <c r="AF172" s="42"/>
      <c r="AG172" s="42"/>
      <c r="AH172" s="15"/>
      <c r="AI172" s="37" t="n">
        <v>171534</v>
      </c>
      <c r="AJ172" s="37" t="n">
        <v>2682</v>
      </c>
      <c r="AK172" s="15"/>
      <c r="AL172" s="43"/>
      <c r="AM172" s="43"/>
      <c r="AN172" s="25" t="str">
        <f aca="false">IF(AND(ISNUMBER(AM172),ISNUMBER(AL172),AL172&gt;=5),AM172/AL172,"")</f>
        <v/>
      </c>
      <c r="AO172" s="43"/>
      <c r="AP172" s="43"/>
      <c r="AQ172" s="25" t="str">
        <f aca="false">IF(AND(ISNUMBER(AP172),ISNUMBER(AO172),AO172&gt;=5),AP172/AO172,"")</f>
        <v/>
      </c>
      <c r="AR172" s="43"/>
      <c r="AS172" s="43"/>
      <c r="AT172" s="22" t="str">
        <f aca="false">IF(AND(ISNUMBER(AS172),ISNUMBER(AR172),AR172&gt;0),AS172/AR172-1,"")</f>
        <v/>
      </c>
      <c r="AU172" s="44"/>
      <c r="AV172" s="44"/>
      <c r="AW172" s="44"/>
      <c r="AX172" s="44"/>
      <c r="AY172" s="44"/>
      <c r="AZ172" s="45"/>
      <c r="BA172" s="45"/>
      <c r="BB172" s="46"/>
      <c r="BC172" s="46"/>
      <c r="BD172" s="23" t="str">
        <f aca="false">IF(AND(ISNUMBER(BB172),ISNUMBER(BC172),BB172&gt;0),1-BC172/BB172,"")</f>
        <v/>
      </c>
      <c r="BE172" s="47"/>
      <c r="BF172" s="48"/>
      <c r="BG172" s="48"/>
      <c r="BH172" s="27" t="str">
        <f aca="false">IF(AND(ISNUMBER(BF172),ISNUMBER(BG172),BG172&gt;0),BF172/BG172,"")</f>
        <v/>
      </c>
      <c r="BI172" s="48"/>
      <c r="BJ172" s="44"/>
      <c r="BK172" s="46"/>
      <c r="BL172" s="46"/>
      <c r="BM172" s="36" t="str">
        <f aca="false">IF(ISNUMBER(Q172),IF(Q172&lt;0,"YES","no"),"")</f>
        <v/>
      </c>
      <c r="BN172" s="36" t="str">
        <f aca="false">IFERROR(IF(AND(ISNUMBER(K172),ISNUMBER(INDEX('Lift Inputs'!$H:$H,MATCH(C172,'Lift Inputs'!$C:$C,0)))),IF(K172&lt;INDEX('Lift Inputs'!$H:$H,MATCH(C172,'Lift Inputs'!$C:$C,0)),"YES","no"),""),"")</f>
        <v/>
      </c>
      <c r="BO172" s="44"/>
    </row>
    <row r="173" customFormat="false" ht="15" hidden="false" customHeight="false" outlineLevel="0" collapsed="false">
      <c r="A173" s="15" t="s">
        <v>37</v>
      </c>
      <c r="B173" s="15" t="s">
        <v>65</v>
      </c>
      <c r="C173" s="15" t="n">
        <v>73</v>
      </c>
      <c r="D173" s="15" t="s">
        <v>204</v>
      </c>
      <c r="E173" s="15" t="n">
        <v>478</v>
      </c>
      <c r="F173" s="15" t="s">
        <v>532</v>
      </c>
      <c r="G173" s="15" t="s">
        <v>533</v>
      </c>
      <c r="H173" s="15" t="s">
        <v>534</v>
      </c>
      <c r="I173" s="15" t="s">
        <v>535</v>
      </c>
      <c r="J173" s="15" t="s">
        <v>177</v>
      </c>
      <c r="K173" s="35" t="n">
        <v>74.99</v>
      </c>
      <c r="L173" s="35"/>
      <c r="M173" s="23" t="str">
        <f aca="false">IF(AND(ISNUMBER(L173),ISNUMBER(K173),K173&gt;0),L173/K173-1,"")</f>
        <v/>
      </c>
      <c r="N173" s="36" t="str">
        <f aca="false">IF(M173="","No List Price",IF(M173&lt;=0,"At/below price",IF(M173&lt;=0.12,"&lt;=12% (STR zone)",IF(M173&lt;=0.25,"12-25%","&gt;25% (likely ignored)"))))</f>
        <v>No List Price</v>
      </c>
      <c r="O173" s="15"/>
      <c r="P173" s="35"/>
      <c r="Q173" s="22" t="str">
        <f aca="false">IF(AND(ISNUMBER(K173),ISNUMBER(P173),N(P173)&gt;0),K173/P173-1,"")</f>
        <v/>
      </c>
      <c r="R173" s="15"/>
      <c r="S173" s="37" t="n">
        <v>100300</v>
      </c>
      <c r="T173" s="37" t="n">
        <v>5</v>
      </c>
      <c r="U173" s="38" t="n">
        <f aca="false">IF(AND(ISNUMBER(K173),ISNUMBER(T173)),K173*T173*52/12,"")</f>
        <v>1624.78333333333</v>
      </c>
      <c r="V173" s="15" t="n">
        <v>4.5</v>
      </c>
      <c r="W173" s="37" t="n">
        <v>456</v>
      </c>
      <c r="X173" s="39" t="n">
        <v>46307</v>
      </c>
      <c r="Y173" s="15"/>
      <c r="Z173" s="40"/>
      <c r="AA173" s="41" t="str">
        <f aca="false">IF(ISNUMBER(Z173),(DATE(2026,10,13)-Z173)/365,"")</f>
        <v/>
      </c>
      <c r="AB173" s="37"/>
      <c r="AC173" s="15"/>
      <c r="AD173" s="15"/>
      <c r="AE173" s="15"/>
      <c r="AF173" s="42"/>
      <c r="AG173" s="42"/>
      <c r="AH173" s="15"/>
      <c r="AI173" s="37" t="n">
        <v>14965</v>
      </c>
      <c r="AJ173" s="37" t="n">
        <v>410</v>
      </c>
      <c r="AK173" s="15" t="s">
        <v>315</v>
      </c>
      <c r="AL173" s="43" t="n">
        <v>1.4</v>
      </c>
      <c r="AM173" s="43" t="n">
        <v>0</v>
      </c>
      <c r="AN173" s="25" t="str">
        <f aca="false">IF(AND(ISNUMBER(AM173),ISNUMBER(AL173),AL173&gt;=5),AM173/AL173,"")</f>
        <v/>
      </c>
      <c r="AO173" s="43" t="n">
        <v>0</v>
      </c>
      <c r="AP173" s="43" t="n">
        <v>0</v>
      </c>
      <c r="AQ173" s="25" t="str">
        <f aca="false">IF(AND(ISNUMBER(AP173),ISNUMBER(AO173),AO173&gt;=5),AP173/AO173,"")</f>
        <v/>
      </c>
      <c r="AR173" s="43" t="n">
        <v>1.3</v>
      </c>
      <c r="AS173" s="43" t="n">
        <v>1.6</v>
      </c>
      <c r="AT173" s="22" t="n">
        <f aca="false">IF(AND(ISNUMBER(AS173),ISNUMBER(AR173),AR173&gt;0),AS173/AR173-1,"")</f>
        <v>0.230769230769231</v>
      </c>
      <c r="AU173" s="44"/>
      <c r="AV173" s="44"/>
      <c r="AW173" s="44"/>
      <c r="AX173" s="44"/>
      <c r="AY173" s="44"/>
      <c r="AZ173" s="45"/>
      <c r="BA173" s="45"/>
      <c r="BB173" s="46"/>
      <c r="BC173" s="46"/>
      <c r="BD173" s="23" t="str">
        <f aca="false">IF(AND(ISNUMBER(BB173),ISNUMBER(BC173),BB173&gt;0),1-BC173/BB173,"")</f>
        <v/>
      </c>
      <c r="BE173" s="47"/>
      <c r="BF173" s="48"/>
      <c r="BG173" s="48"/>
      <c r="BH173" s="27" t="str">
        <f aca="false">IF(AND(ISNUMBER(BF173),ISNUMBER(BG173),BG173&gt;0),BF173/BG173,"")</f>
        <v/>
      </c>
      <c r="BI173" s="48"/>
      <c r="BJ173" s="44"/>
      <c r="BK173" s="46"/>
      <c r="BL173" s="46"/>
      <c r="BM173" s="36" t="str">
        <f aca="false">IF(ISNUMBER(Q173),IF(Q173&lt;0,"YES","no"),"")</f>
        <v/>
      </c>
      <c r="BN173" s="36" t="str">
        <f aca="false">IFERROR(IF(AND(ISNUMBER(K173),ISNUMBER(INDEX('Lift Inputs'!$H:$H,MATCH(C173,'Lift Inputs'!$C:$C,0)))),IF(K173&lt;INDEX('Lift Inputs'!$H:$H,MATCH(C173,'Lift Inputs'!$C:$C,0)),"YES","no"),""),"")</f>
        <v/>
      </c>
      <c r="BO173" s="44"/>
    </row>
    <row r="174" customFormat="false" ht="15" hidden="false" customHeight="false" outlineLevel="0" collapsed="false">
      <c r="A174" s="15" t="s">
        <v>37</v>
      </c>
      <c r="B174" s="15" t="s">
        <v>65</v>
      </c>
      <c r="C174" s="15" t="n">
        <v>73</v>
      </c>
      <c r="D174" s="15" t="s">
        <v>204</v>
      </c>
      <c r="E174" s="15" t="n">
        <v>24</v>
      </c>
      <c r="F174" s="15" t="s">
        <v>449</v>
      </c>
      <c r="G174" s="15" t="s">
        <v>450</v>
      </c>
      <c r="H174" s="15" t="s">
        <v>451</v>
      </c>
      <c r="I174" s="15" t="s">
        <v>352</v>
      </c>
      <c r="J174" s="15" t="s">
        <v>178</v>
      </c>
      <c r="K174" s="35" t="n">
        <v>76.99</v>
      </c>
      <c r="L174" s="35" t="n">
        <v>84.99</v>
      </c>
      <c r="M174" s="23" t="n">
        <f aca="false">IF(AND(ISNUMBER(L174),ISNUMBER(K174),K174&gt;0),L174/K174-1,"")</f>
        <v>0.103909598649175</v>
      </c>
      <c r="N174" s="36" t="str">
        <f aca="false">IF(M174="","No List Price",IF(M174&lt;=0,"At/below price",IF(M174&lt;=0.12,"&lt;=12% (STR zone)",IF(M174&lt;=0.25,"12-25%","&gt;25% (likely ignored)"))))</f>
        <v>&lt;=12% (STR zone)</v>
      </c>
      <c r="O174" s="15"/>
      <c r="P174" s="35"/>
      <c r="Q174" s="22" t="str">
        <f aca="false">IF(AND(ISNUMBER(K174),ISNUMBER(P174),N(P174)&gt;0),K174/P174-1,"")</f>
        <v/>
      </c>
      <c r="R174" s="15"/>
      <c r="S174" s="37" t="n">
        <v>23579</v>
      </c>
      <c r="T174" s="37" t="n">
        <v>18</v>
      </c>
      <c r="U174" s="38" t="n">
        <f aca="false">IF(AND(ISNUMBER(K174),ISNUMBER(T174)),K174*T174*52/12,"")</f>
        <v>6005.22</v>
      </c>
      <c r="V174" s="15" t="n">
        <v>4.6</v>
      </c>
      <c r="W174" s="37" t="n">
        <v>688</v>
      </c>
      <c r="X174" s="39" t="n">
        <v>46307</v>
      </c>
      <c r="Y174" s="15"/>
      <c r="Z174" s="40"/>
      <c r="AA174" s="41" t="str">
        <f aca="false">IF(ISNUMBER(Z174),(DATE(2026,10,13)-Z174)/365,"")</f>
        <v/>
      </c>
      <c r="AB174" s="37"/>
      <c r="AC174" s="15"/>
      <c r="AD174" s="15"/>
      <c r="AE174" s="15"/>
      <c r="AF174" s="42"/>
      <c r="AG174" s="42"/>
      <c r="AH174" s="15"/>
      <c r="AI174" s="37" t="n">
        <v>58169</v>
      </c>
      <c r="AJ174" s="37" t="n">
        <v>1164</v>
      </c>
      <c r="AK174" s="15" t="s">
        <v>315</v>
      </c>
      <c r="AL174" s="43" t="n">
        <v>1.3</v>
      </c>
      <c r="AM174" s="43" t="n">
        <v>2.2</v>
      </c>
      <c r="AN174" s="25" t="str">
        <f aca="false">IF(AND(ISNUMBER(AM174),ISNUMBER(AL174),AL174&gt;=5),AM174/AL174,"")</f>
        <v/>
      </c>
      <c r="AO174" s="43" t="n">
        <v>3.5</v>
      </c>
      <c r="AP174" s="43" t="n">
        <v>2.5</v>
      </c>
      <c r="AQ174" s="25" t="str">
        <f aca="false">IF(AND(ISNUMBER(AP174),ISNUMBER(AO174),AO174&gt;=5),AP174/AO174,"")</f>
        <v/>
      </c>
      <c r="AR174" s="43" t="n">
        <v>1.7</v>
      </c>
      <c r="AS174" s="43" t="n">
        <v>5.7</v>
      </c>
      <c r="AT174" s="22" t="n">
        <f aca="false">IF(AND(ISNUMBER(AS174),ISNUMBER(AR174),AR174&gt;0),AS174/AR174-1,"")</f>
        <v>2.35294117647059</v>
      </c>
      <c r="AU174" s="44"/>
      <c r="AV174" s="44"/>
      <c r="AW174" s="44"/>
      <c r="AX174" s="44"/>
      <c r="AY174" s="44"/>
      <c r="AZ174" s="45"/>
      <c r="BA174" s="45"/>
      <c r="BB174" s="46"/>
      <c r="BC174" s="46"/>
      <c r="BD174" s="23" t="str">
        <f aca="false">IF(AND(ISNUMBER(BB174),ISNUMBER(BC174),BB174&gt;0),1-BC174/BB174,"")</f>
        <v/>
      </c>
      <c r="BE174" s="47"/>
      <c r="BF174" s="48"/>
      <c r="BG174" s="48"/>
      <c r="BH174" s="27" t="str">
        <f aca="false">IF(AND(ISNUMBER(BF174),ISNUMBER(BG174),BG174&gt;0),BF174/BG174,"")</f>
        <v/>
      </c>
      <c r="BI174" s="48"/>
      <c r="BJ174" s="44"/>
      <c r="BK174" s="46"/>
      <c r="BL174" s="46"/>
      <c r="BM174" s="36" t="str">
        <f aca="false">IF(ISNUMBER(Q174),IF(Q174&lt;0,"YES","no"),"")</f>
        <v/>
      </c>
      <c r="BN174" s="36" t="str">
        <f aca="false">IFERROR(IF(AND(ISNUMBER(K174),ISNUMBER(INDEX('Lift Inputs'!$H:$H,MATCH(C174,'Lift Inputs'!$C:$C,0)))),IF(K174&lt;INDEX('Lift Inputs'!$H:$H,MATCH(C174,'Lift Inputs'!$C:$C,0)),"YES","no"),""),"")</f>
        <v/>
      </c>
      <c r="BO174" s="44"/>
    </row>
    <row r="175" customFormat="false" ht="15" hidden="false" customHeight="false" outlineLevel="0" collapsed="false">
      <c r="A175" s="15" t="s">
        <v>37</v>
      </c>
      <c r="B175" s="15" t="s">
        <v>65</v>
      </c>
      <c r="C175" s="15" t="n">
        <v>73</v>
      </c>
      <c r="D175" s="15" t="s">
        <v>204</v>
      </c>
      <c r="E175" s="15" t="n">
        <v>495</v>
      </c>
      <c r="F175" s="15" t="s">
        <v>307</v>
      </c>
      <c r="G175" s="15" t="s">
        <v>308</v>
      </c>
      <c r="H175" s="15" t="s">
        <v>309</v>
      </c>
      <c r="I175" s="15" t="s">
        <v>310</v>
      </c>
      <c r="J175" s="15"/>
      <c r="K175" s="35" t="n">
        <v>62.99</v>
      </c>
      <c r="L175" s="35" t="n">
        <v>69.99</v>
      </c>
      <c r="M175" s="23" t="n">
        <f aca="false">IF(AND(ISNUMBER(L175),ISNUMBER(K175),K175&gt;0),L175/K175-1,"")</f>
        <v>0.111128750595332</v>
      </c>
      <c r="N175" s="36" t="str">
        <f aca="false">IF(M175="","No List Price",IF(M175&lt;=0,"At/below price",IF(M175&lt;=0.12,"&lt;=12% (STR zone)",IF(M175&lt;=0.25,"12-25%","&gt;25% (likely ignored)"))))</f>
        <v>&lt;=12% (STR zone)</v>
      </c>
      <c r="O175" s="15" t="s">
        <v>311</v>
      </c>
      <c r="P175" s="35"/>
      <c r="Q175" s="22" t="str">
        <f aca="false">IF(AND(ISNUMBER(K175),ISNUMBER(P175),N(P175)&gt;0),K175/P175-1,"")</f>
        <v/>
      </c>
      <c r="R175" s="15"/>
      <c r="S175" s="37" t="n">
        <v>256</v>
      </c>
      <c r="T175" s="37" t="n">
        <v>809</v>
      </c>
      <c r="U175" s="38" t="n">
        <f aca="false">IF(AND(ISNUMBER(K175),ISNUMBER(T175)),K175*T175*52/12,"")</f>
        <v>220821.943333333</v>
      </c>
      <c r="V175" s="15" t="n">
        <v>4.4</v>
      </c>
      <c r="W175" s="37" t="n">
        <v>65061</v>
      </c>
      <c r="X175" s="39" t="n">
        <v>46307</v>
      </c>
      <c r="Y175" s="15" t="n">
        <v>131</v>
      </c>
      <c r="Z175" s="40" t="n">
        <v>43348</v>
      </c>
      <c r="AA175" s="41" t="n">
        <f aca="false">IF(ISNUMBER(Z175),(DATE(2026,10,13)-Z175)/365,"")</f>
        <v>8.10958904109589</v>
      </c>
      <c r="AB175" s="37" t="n">
        <v>45362</v>
      </c>
      <c r="AC175" s="15" t="s">
        <v>313</v>
      </c>
      <c r="AD175" s="15" t="n">
        <v>2</v>
      </c>
      <c r="AE175" s="15" t="s">
        <v>314</v>
      </c>
      <c r="AF175" s="42" t="n">
        <v>0.0164948453608247</v>
      </c>
      <c r="AG175" s="42" t="n">
        <v>0.00101190492103934</v>
      </c>
      <c r="AH175" s="15" t="n">
        <v>343</v>
      </c>
      <c r="AI175" s="37" t="n">
        <v>2166046</v>
      </c>
      <c r="AJ175" s="37" t="n">
        <v>6935</v>
      </c>
      <c r="AK175" s="15" t="s">
        <v>315</v>
      </c>
      <c r="AL175" s="43" t="n">
        <v>924.6</v>
      </c>
      <c r="AM175" s="43" t="n">
        <v>986.2</v>
      </c>
      <c r="AN175" s="25" t="n">
        <f aca="false">IF(AND(ISNUMBER(AM175),ISNUMBER(AL175),AL175&gt;=5),AM175/AL175,"")</f>
        <v>1.06662340471555</v>
      </c>
      <c r="AO175" s="43" t="n">
        <v>371.8</v>
      </c>
      <c r="AP175" s="43" t="n">
        <v>574.2</v>
      </c>
      <c r="AQ175" s="25" t="n">
        <f aca="false">IF(AND(ISNUMBER(AP175),ISNUMBER(AO175),AO175&gt;=5),AP175/AO175,"")</f>
        <v>1.54437869822485</v>
      </c>
      <c r="AR175" s="43" t="n">
        <v>832.8</v>
      </c>
      <c r="AS175" s="43" t="n">
        <v>785.1</v>
      </c>
      <c r="AT175" s="22" t="n">
        <f aca="false">IF(AND(ISNUMBER(AS175),ISNUMBER(AR175),AR175&gt;0),AS175/AR175-1,"")</f>
        <v>-0.0572766570605187</v>
      </c>
      <c r="AU175" s="44"/>
      <c r="AV175" s="44"/>
      <c r="AW175" s="44"/>
      <c r="AX175" s="44"/>
      <c r="AY175" s="44"/>
      <c r="AZ175" s="45"/>
      <c r="BA175" s="45"/>
      <c r="BB175" s="46"/>
      <c r="BC175" s="46"/>
      <c r="BD175" s="23" t="str">
        <f aca="false">IF(AND(ISNUMBER(BB175),ISNUMBER(BC175),BB175&gt;0),1-BC175/BB175,"")</f>
        <v/>
      </c>
      <c r="BE175" s="47"/>
      <c r="BF175" s="48"/>
      <c r="BG175" s="48"/>
      <c r="BH175" s="27" t="str">
        <f aca="false">IF(AND(ISNUMBER(BF175),ISNUMBER(BG175),BG175&gt;0),BF175/BG175,"")</f>
        <v/>
      </c>
      <c r="BI175" s="48"/>
      <c r="BJ175" s="44"/>
      <c r="BK175" s="46"/>
      <c r="BL175" s="46"/>
      <c r="BM175" s="36" t="str">
        <f aca="false">IF(ISNUMBER(Q175),IF(Q175&lt;0,"YES","no"),"")</f>
        <v/>
      </c>
      <c r="BN175" s="36" t="str">
        <f aca="false">IFERROR(IF(AND(ISNUMBER(K175),ISNUMBER(INDEX('Lift Inputs'!$H:$H,MATCH(C175,'Lift Inputs'!$C:$C,0)))),IF(K175&lt;INDEX('Lift Inputs'!$H:$H,MATCH(C175,'Lift Inputs'!$C:$C,0)),"YES","no"),""),"")</f>
        <v/>
      </c>
      <c r="BO175" s="44"/>
    </row>
    <row r="176" customFormat="false" ht="15" hidden="false" customHeight="false" outlineLevel="0" collapsed="false">
      <c r="A176" s="15" t="s">
        <v>37</v>
      </c>
      <c r="B176" s="15" t="s">
        <v>65</v>
      </c>
      <c r="C176" s="15" t="n">
        <v>73</v>
      </c>
      <c r="D176" s="15" t="s">
        <v>204</v>
      </c>
      <c r="E176" s="15" t="n">
        <v>1814</v>
      </c>
      <c r="F176" s="15" t="s">
        <v>358</v>
      </c>
      <c r="G176" s="15" t="s">
        <v>359</v>
      </c>
      <c r="H176" s="15" t="s">
        <v>360</v>
      </c>
      <c r="I176" s="15" t="s">
        <v>361</v>
      </c>
      <c r="J176" s="15"/>
      <c r="K176" s="35" t="n">
        <v>67.98</v>
      </c>
      <c r="L176" s="35" t="n">
        <v>99.99</v>
      </c>
      <c r="M176" s="23" t="n">
        <f aca="false">IF(AND(ISNUMBER(L176),ISNUMBER(K176),K176&gt;0),L176/K176-1,"")</f>
        <v>0.470873786407767</v>
      </c>
      <c r="N176" s="36" t="str">
        <f aca="false">IF(M176="","No List Price",IF(M176&lt;=0,"At/below price",IF(M176&lt;=0.12,"&lt;=12% (STR zone)",IF(M176&lt;=0.25,"12-25%","&gt;25% (likely ignored)"))))</f>
        <v>&gt;25% (likely ignored)</v>
      </c>
      <c r="O176" s="15" t="s">
        <v>320</v>
      </c>
      <c r="P176" s="35"/>
      <c r="Q176" s="22" t="str">
        <f aca="false">IF(AND(ISNUMBER(K176),ISNUMBER(P176),N(P176)&gt;0),K176/P176-1,"")</f>
        <v/>
      </c>
      <c r="R176" s="15"/>
      <c r="S176" s="37" t="n">
        <v>14479</v>
      </c>
      <c r="T176" s="37" t="n">
        <v>81</v>
      </c>
      <c r="U176" s="38" t="n">
        <f aca="false">IF(AND(ISNUMBER(K176),ISNUMBER(T176)),K176*T176*52/12,"")</f>
        <v>23860.98</v>
      </c>
      <c r="V176" s="15" t="n">
        <v>4.4</v>
      </c>
      <c r="W176" s="37" t="n">
        <v>4095</v>
      </c>
      <c r="X176" s="39" t="n">
        <v>46307</v>
      </c>
      <c r="Y176" s="15" t="n">
        <v>40</v>
      </c>
      <c r="Z176" s="40" t="n">
        <v>43776</v>
      </c>
      <c r="AA176" s="41" t="n">
        <f aca="false">IF(ISNUMBER(Z176),(DATE(2026,10,13)-Z176)/365,"")</f>
        <v>6.93698630136986</v>
      </c>
      <c r="AB176" s="37" t="n">
        <v>2824</v>
      </c>
      <c r="AC176" s="15" t="s">
        <v>313</v>
      </c>
      <c r="AD176" s="15" t="n">
        <v>1</v>
      </c>
      <c r="AE176" s="15" t="s">
        <v>314</v>
      </c>
      <c r="AF176" s="42" t="n">
        <v>0</v>
      </c>
      <c r="AG176" s="42" t="n">
        <v>0</v>
      </c>
      <c r="AH176" s="15" t="n">
        <v>158</v>
      </c>
      <c r="AI176" s="37" t="n">
        <v>67699</v>
      </c>
      <c r="AJ176" s="37" t="n">
        <v>1687</v>
      </c>
      <c r="AK176" s="15" t="s">
        <v>315</v>
      </c>
      <c r="AL176" s="43" t="n">
        <v>83.8</v>
      </c>
      <c r="AM176" s="43" t="n">
        <v>85.2</v>
      </c>
      <c r="AN176" s="25" t="n">
        <f aca="false">IF(AND(ISNUMBER(AM176),ISNUMBER(AL176),AL176&gt;=5),AM176/AL176,"")</f>
        <v>1.01670644391408</v>
      </c>
      <c r="AO176" s="43" t="n">
        <v>10.4</v>
      </c>
      <c r="AP176" s="43" t="n">
        <v>24</v>
      </c>
      <c r="AQ176" s="25" t="n">
        <f aca="false">IF(AND(ISNUMBER(AP176),ISNUMBER(AO176),AO176&gt;=5),AP176/AO176,"")</f>
        <v>2.30769230769231</v>
      </c>
      <c r="AR176" s="43" t="n">
        <v>64.5</v>
      </c>
      <c r="AS176" s="43" t="n">
        <v>46</v>
      </c>
      <c r="AT176" s="22" t="n">
        <f aca="false">IF(AND(ISNUMBER(AS176),ISNUMBER(AR176),AR176&gt;0),AS176/AR176-1,"")</f>
        <v>-0.286821705426357</v>
      </c>
      <c r="AU176" s="44"/>
      <c r="AV176" s="44"/>
      <c r="AW176" s="44"/>
      <c r="AX176" s="44"/>
      <c r="AY176" s="44"/>
      <c r="AZ176" s="45"/>
      <c r="BA176" s="45"/>
      <c r="BB176" s="46"/>
      <c r="BC176" s="46"/>
      <c r="BD176" s="23" t="str">
        <f aca="false">IF(AND(ISNUMBER(BB176),ISNUMBER(BC176),BB176&gt;0),1-BC176/BB176,"")</f>
        <v/>
      </c>
      <c r="BE176" s="47"/>
      <c r="BF176" s="48"/>
      <c r="BG176" s="48"/>
      <c r="BH176" s="27" t="str">
        <f aca="false">IF(AND(ISNUMBER(BF176),ISNUMBER(BG176),BG176&gt;0),BF176/BG176,"")</f>
        <v/>
      </c>
      <c r="BI176" s="48"/>
      <c r="BJ176" s="44"/>
      <c r="BK176" s="46"/>
      <c r="BL176" s="46"/>
      <c r="BM176" s="36" t="str">
        <f aca="false">IF(ISNUMBER(Q176),IF(Q176&lt;0,"YES","no"),"")</f>
        <v/>
      </c>
      <c r="BN176" s="36" t="str">
        <f aca="false">IFERROR(IF(AND(ISNUMBER(K176),ISNUMBER(INDEX('Lift Inputs'!$H:$H,MATCH(C176,'Lift Inputs'!$C:$C,0)))),IF(K176&lt;INDEX('Lift Inputs'!$H:$H,MATCH(C176,'Lift Inputs'!$C:$C,0)),"YES","no"),""),"")</f>
        <v/>
      </c>
      <c r="BO176" s="44"/>
    </row>
    <row r="177" customFormat="false" ht="15" hidden="false" customHeight="false" outlineLevel="0" collapsed="false">
      <c r="A177" s="15" t="s">
        <v>37</v>
      </c>
      <c r="B177" s="15" t="s">
        <v>68</v>
      </c>
      <c r="C177" s="15" t="n">
        <v>40</v>
      </c>
      <c r="D177" s="15" t="s">
        <v>144</v>
      </c>
      <c r="E177" s="15" t="n">
        <v>488</v>
      </c>
      <c r="F177" s="15"/>
      <c r="G177" s="15" t="s">
        <v>536</v>
      </c>
      <c r="H177" s="15" t="s">
        <v>537</v>
      </c>
      <c r="I177" s="15" t="s">
        <v>538</v>
      </c>
      <c r="J177" s="15"/>
      <c r="K177" s="35" t="n">
        <v>12.99</v>
      </c>
      <c r="L177" s="35" t="n">
        <v>17.49</v>
      </c>
      <c r="M177" s="23" t="n">
        <f aca="false">IF(AND(ISNUMBER(L177),ISNUMBER(K177),K177&gt;0),L177/K177-1,"")</f>
        <v>0.346420323325635</v>
      </c>
      <c r="N177" s="36" t="str">
        <f aca="false">IF(M177="","No List Price",IF(M177&lt;=0,"At/below price",IF(M177&lt;=0.12,"&lt;=12% (STR zone)",IF(M177&lt;=0.25,"12-25%","&gt;25% (likely ignored)"))))</f>
        <v>&gt;25% (likely ignored)</v>
      </c>
      <c r="O177" s="15" t="s">
        <v>311</v>
      </c>
      <c r="P177" s="35"/>
      <c r="Q177" s="22" t="str">
        <f aca="false">IF(AND(ISNUMBER(K177),ISNUMBER(P177),N(P177)&gt;0),K177/P177-1,"")</f>
        <v/>
      </c>
      <c r="R177" s="15"/>
      <c r="S177" s="37" t="n">
        <v>559</v>
      </c>
      <c r="T177" s="37" t="n">
        <v>1040</v>
      </c>
      <c r="U177" s="38" t="n">
        <f aca="false">IF(AND(ISNUMBER(K177),ISNUMBER(T177)),K177*T177*52/12,"")</f>
        <v>58541.6</v>
      </c>
      <c r="V177" s="15" t="n">
        <v>4.4</v>
      </c>
      <c r="W177" s="37" t="n">
        <v>37593</v>
      </c>
      <c r="X177" s="39" t="n">
        <v>46307</v>
      </c>
      <c r="Y177" s="15" t="n">
        <v>64</v>
      </c>
      <c r="Z177" s="40" t="n">
        <v>43397</v>
      </c>
      <c r="AA177" s="41" t="n">
        <f aca="false">IF(ISNUMBER(Z177),(DATE(2026,10,13)-Z177)/365,"")</f>
        <v>7.97534246575343</v>
      </c>
      <c r="AB177" s="37" t="n">
        <v>19630</v>
      </c>
      <c r="AC177" s="15" t="s">
        <v>313</v>
      </c>
      <c r="AD177" s="15" t="n">
        <v>1</v>
      </c>
      <c r="AE177" s="15" t="s">
        <v>314</v>
      </c>
      <c r="AF177" s="42" t="n">
        <v>0.158</v>
      </c>
      <c r="AG177" s="42" t="n">
        <v>0.0556190116250586</v>
      </c>
      <c r="AH177" s="15" t="n">
        <v>387</v>
      </c>
      <c r="AI177" s="37"/>
      <c r="AJ177" s="37"/>
      <c r="AK177" s="15"/>
      <c r="AL177" s="43"/>
      <c r="AM177" s="43"/>
      <c r="AN177" s="25" t="str">
        <f aca="false">IF(AND(ISNUMBER(AM177),ISNUMBER(AL177),AL177&gt;=5),AM177/AL177,"")</f>
        <v/>
      </c>
      <c r="AO177" s="43"/>
      <c r="AP177" s="43"/>
      <c r="AQ177" s="25" t="str">
        <f aca="false">IF(AND(ISNUMBER(AP177),ISNUMBER(AO177),AO177&gt;=5),AP177/AO177,"")</f>
        <v/>
      </c>
      <c r="AR177" s="43"/>
      <c r="AS177" s="43"/>
      <c r="AT177" s="22" t="str">
        <f aca="false">IF(AND(ISNUMBER(AS177),ISNUMBER(AR177),AR177&gt;0),AS177/AR177-1,"")</f>
        <v/>
      </c>
      <c r="AU177" s="44"/>
      <c r="AV177" s="44"/>
      <c r="AW177" s="44"/>
      <c r="AX177" s="44"/>
      <c r="AY177" s="44"/>
      <c r="AZ177" s="45"/>
      <c r="BA177" s="45"/>
      <c r="BB177" s="46"/>
      <c r="BC177" s="46"/>
      <c r="BD177" s="23" t="str">
        <f aca="false">IF(AND(ISNUMBER(BB177),ISNUMBER(BC177),BB177&gt;0),1-BC177/BB177,"")</f>
        <v/>
      </c>
      <c r="BE177" s="47"/>
      <c r="BF177" s="48"/>
      <c r="BG177" s="48"/>
      <c r="BH177" s="27" t="str">
        <f aca="false">IF(AND(ISNUMBER(BF177),ISNUMBER(BG177),BG177&gt;0),BF177/BG177,"")</f>
        <v/>
      </c>
      <c r="BI177" s="48"/>
      <c r="BJ177" s="44"/>
      <c r="BK177" s="46"/>
      <c r="BL177" s="46"/>
      <c r="BM177" s="36" t="str">
        <f aca="false">IF(ISNUMBER(Q177),IF(Q177&lt;0,"YES","no"),"")</f>
        <v/>
      </c>
      <c r="BN177" s="36" t="str">
        <f aca="false">IFERROR(IF(AND(ISNUMBER(K177),ISNUMBER(INDEX('Lift Inputs'!$H:$H,MATCH(C177,'Lift Inputs'!$C:$C,0)))),IF(K177&lt;INDEX('Lift Inputs'!$H:$H,MATCH(C177,'Lift Inputs'!$C:$C,0)),"YES","no"),""),"")</f>
        <v/>
      </c>
      <c r="BO177" s="44"/>
    </row>
    <row r="178" customFormat="false" ht="15" hidden="false" customHeight="false" outlineLevel="0" collapsed="false">
      <c r="A178" s="15" t="s">
        <v>37</v>
      </c>
      <c r="B178" s="15" t="s">
        <v>68</v>
      </c>
      <c r="C178" s="15" t="n">
        <v>40</v>
      </c>
      <c r="D178" s="15" t="s">
        <v>144</v>
      </c>
      <c r="E178" s="15" t="n">
        <v>491</v>
      </c>
      <c r="F178" s="15" t="s">
        <v>362</v>
      </c>
      <c r="G178" s="15" t="s">
        <v>539</v>
      </c>
      <c r="H178" s="15" t="s">
        <v>540</v>
      </c>
      <c r="I178" s="15" t="s">
        <v>541</v>
      </c>
      <c r="J178" s="15"/>
      <c r="K178" s="35" t="n">
        <v>8.49</v>
      </c>
      <c r="L178" s="35"/>
      <c r="M178" s="23" t="str">
        <f aca="false">IF(AND(ISNUMBER(L178),ISNUMBER(K178),K178&gt;0),L178/K178-1,"")</f>
        <v/>
      </c>
      <c r="N178" s="36" t="str">
        <f aca="false">IF(M178="","No List Price",IF(M178&lt;=0,"At/below price",IF(M178&lt;=0.12,"&lt;=12% (STR zone)",IF(M178&lt;=0.25,"12-25%","&gt;25% (likely ignored)"))))</f>
        <v>No List Price</v>
      </c>
      <c r="O178" s="15"/>
      <c r="P178" s="35"/>
      <c r="Q178" s="22" t="str">
        <f aca="false">IF(AND(ISNUMBER(K178),ISNUMBER(P178),N(P178)&gt;0),K178/P178-1,"")</f>
        <v/>
      </c>
      <c r="R178" s="15"/>
      <c r="S178" s="37" t="n">
        <v>1250</v>
      </c>
      <c r="T178" s="37" t="n">
        <v>924</v>
      </c>
      <c r="U178" s="38" t="n">
        <f aca="false">IF(AND(ISNUMBER(K178),ISNUMBER(T178)),K178*T178*52/12,"")</f>
        <v>33993.96</v>
      </c>
      <c r="V178" s="15" t="n">
        <v>4.4</v>
      </c>
      <c r="W178" s="37" t="n">
        <v>12316</v>
      </c>
      <c r="X178" s="39" t="n">
        <v>46307</v>
      </c>
      <c r="Y178" s="15"/>
      <c r="Z178" s="40"/>
      <c r="AA178" s="41" t="str">
        <f aca="false">IF(ISNUMBER(Z178),(DATE(2026,10,13)-Z178)/365,"")</f>
        <v/>
      </c>
      <c r="AB178" s="37"/>
      <c r="AC178" s="15"/>
      <c r="AD178" s="15"/>
      <c r="AE178" s="15"/>
      <c r="AF178" s="42"/>
      <c r="AG178" s="42"/>
      <c r="AH178" s="15"/>
      <c r="AI178" s="37"/>
      <c r="AJ178" s="37"/>
      <c r="AK178" s="15"/>
      <c r="AL178" s="43"/>
      <c r="AM178" s="43"/>
      <c r="AN178" s="25" t="str">
        <f aca="false">IF(AND(ISNUMBER(AM178),ISNUMBER(AL178),AL178&gt;=5),AM178/AL178,"")</f>
        <v/>
      </c>
      <c r="AO178" s="43"/>
      <c r="AP178" s="43"/>
      <c r="AQ178" s="25" t="str">
        <f aca="false">IF(AND(ISNUMBER(AP178),ISNUMBER(AO178),AO178&gt;=5),AP178/AO178,"")</f>
        <v/>
      </c>
      <c r="AR178" s="43"/>
      <c r="AS178" s="43"/>
      <c r="AT178" s="22" t="str">
        <f aca="false">IF(AND(ISNUMBER(AS178),ISNUMBER(AR178),AR178&gt;0),AS178/AR178-1,"")</f>
        <v/>
      </c>
      <c r="AU178" s="44"/>
      <c r="AV178" s="44"/>
      <c r="AW178" s="44"/>
      <c r="AX178" s="44"/>
      <c r="AY178" s="44"/>
      <c r="AZ178" s="45"/>
      <c r="BA178" s="45"/>
      <c r="BB178" s="46"/>
      <c r="BC178" s="46"/>
      <c r="BD178" s="23" t="str">
        <f aca="false">IF(AND(ISNUMBER(BB178),ISNUMBER(BC178),BB178&gt;0),1-BC178/BB178,"")</f>
        <v/>
      </c>
      <c r="BE178" s="47"/>
      <c r="BF178" s="48"/>
      <c r="BG178" s="48"/>
      <c r="BH178" s="27" t="str">
        <f aca="false">IF(AND(ISNUMBER(BF178),ISNUMBER(BG178),BG178&gt;0),BF178/BG178,"")</f>
        <v/>
      </c>
      <c r="BI178" s="48"/>
      <c r="BJ178" s="44"/>
      <c r="BK178" s="46"/>
      <c r="BL178" s="46"/>
      <c r="BM178" s="36" t="str">
        <f aca="false">IF(ISNUMBER(Q178),IF(Q178&lt;0,"YES","no"),"")</f>
        <v/>
      </c>
      <c r="BN178" s="36" t="str">
        <f aca="false">IFERROR(IF(AND(ISNUMBER(K178),ISNUMBER(INDEX('Lift Inputs'!$H:$H,MATCH(C178,'Lift Inputs'!$C:$C,0)))),IF(K178&lt;INDEX('Lift Inputs'!$H:$H,MATCH(C178,'Lift Inputs'!$C:$C,0)),"YES","no"),""),"")</f>
        <v/>
      </c>
      <c r="BO178" s="44"/>
    </row>
    <row r="179" customFormat="false" ht="15" hidden="false" customHeight="false" outlineLevel="0" collapsed="false">
      <c r="A179" s="15" t="s">
        <v>37</v>
      </c>
      <c r="B179" s="15" t="s">
        <v>68</v>
      </c>
      <c r="C179" s="15" t="n">
        <v>40</v>
      </c>
      <c r="D179" s="15" t="s">
        <v>144</v>
      </c>
      <c r="E179" s="15" t="n">
        <v>1094</v>
      </c>
      <c r="F179" s="15" t="s">
        <v>542</v>
      </c>
      <c r="G179" s="15" t="s">
        <v>543</v>
      </c>
      <c r="H179" s="15" t="s">
        <v>544</v>
      </c>
      <c r="I179" s="15" t="s">
        <v>545</v>
      </c>
      <c r="J179" s="15"/>
      <c r="K179" s="35" t="n">
        <v>12.99</v>
      </c>
      <c r="L179" s="35"/>
      <c r="M179" s="23" t="str">
        <f aca="false">IF(AND(ISNUMBER(L179),ISNUMBER(K179),K179&gt;0),L179/K179-1,"")</f>
        <v/>
      </c>
      <c r="N179" s="36" t="str">
        <f aca="false">IF(M179="","No List Price",IF(M179&lt;=0,"At/below price",IF(M179&lt;=0.12,"&lt;=12% (STR zone)",IF(M179&lt;=0.25,"12-25%","&gt;25% (likely ignored)"))))</f>
        <v>No List Price</v>
      </c>
      <c r="O179" s="15" t="s">
        <v>311</v>
      </c>
      <c r="P179" s="35"/>
      <c r="Q179" s="22" t="str">
        <f aca="false">IF(AND(ISNUMBER(K179),ISNUMBER(P179),N(P179)&gt;0),K179/P179-1,"")</f>
        <v/>
      </c>
      <c r="R179" s="15"/>
      <c r="S179" s="37" t="n">
        <v>2467</v>
      </c>
      <c r="T179" s="37" t="n">
        <v>809</v>
      </c>
      <c r="U179" s="38" t="n">
        <f aca="false">IF(AND(ISNUMBER(K179),ISNUMBER(T179)),K179*T179*52/12,"")</f>
        <v>45538.61</v>
      </c>
      <c r="V179" s="15" t="n">
        <v>4.4</v>
      </c>
      <c r="W179" s="37" t="n">
        <v>7225</v>
      </c>
      <c r="X179" s="39" t="n">
        <v>46307</v>
      </c>
      <c r="Y179" s="15"/>
      <c r="Z179" s="40"/>
      <c r="AA179" s="41" t="str">
        <f aca="false">IF(ISNUMBER(Z179),(DATE(2026,10,13)-Z179)/365,"")</f>
        <v/>
      </c>
      <c r="AB179" s="37"/>
      <c r="AC179" s="15"/>
      <c r="AD179" s="15"/>
      <c r="AE179" s="15"/>
      <c r="AF179" s="42"/>
      <c r="AG179" s="42"/>
      <c r="AH179" s="15"/>
      <c r="AI179" s="37" t="n">
        <v>151964</v>
      </c>
      <c r="AJ179" s="37" t="n">
        <v>1980</v>
      </c>
      <c r="AK179" s="15" t="s">
        <v>315</v>
      </c>
      <c r="AL179" s="43" t="n">
        <v>175.7</v>
      </c>
      <c r="AM179" s="43" t="n">
        <v>215.5</v>
      </c>
      <c r="AN179" s="25" t="n">
        <f aca="false">IF(AND(ISNUMBER(AM179),ISNUMBER(AL179),AL179&gt;=5),AM179/AL179,"")</f>
        <v>1.22652248150256</v>
      </c>
      <c r="AO179" s="43" t="n">
        <v>71.9</v>
      </c>
      <c r="AP179" s="43" t="n">
        <v>70.5</v>
      </c>
      <c r="AQ179" s="25" t="n">
        <f aca="false">IF(AND(ISNUMBER(AP179),ISNUMBER(AO179),AO179&gt;=5),AP179/AO179,"")</f>
        <v>0.980528511821975</v>
      </c>
      <c r="AR179" s="43" t="n">
        <v>133.5</v>
      </c>
      <c r="AS179" s="43" t="n">
        <v>273.1</v>
      </c>
      <c r="AT179" s="22" t="n">
        <f aca="false">IF(AND(ISNUMBER(AS179),ISNUMBER(AR179),AR179&gt;0),AS179/AR179-1,"")</f>
        <v>1.04569288389513</v>
      </c>
      <c r="AU179" s="44"/>
      <c r="AV179" s="44"/>
      <c r="AW179" s="44"/>
      <c r="AX179" s="44"/>
      <c r="AY179" s="44"/>
      <c r="AZ179" s="45"/>
      <c r="BA179" s="45"/>
      <c r="BB179" s="46"/>
      <c r="BC179" s="46"/>
      <c r="BD179" s="23" t="str">
        <f aca="false">IF(AND(ISNUMBER(BB179),ISNUMBER(BC179),BB179&gt;0),1-BC179/BB179,"")</f>
        <v/>
      </c>
      <c r="BE179" s="47"/>
      <c r="BF179" s="48"/>
      <c r="BG179" s="48"/>
      <c r="BH179" s="27" t="str">
        <f aca="false">IF(AND(ISNUMBER(BF179),ISNUMBER(BG179),BG179&gt;0),BF179/BG179,"")</f>
        <v/>
      </c>
      <c r="BI179" s="48"/>
      <c r="BJ179" s="44"/>
      <c r="BK179" s="46"/>
      <c r="BL179" s="46"/>
      <c r="BM179" s="36" t="str">
        <f aca="false">IF(ISNUMBER(Q179),IF(Q179&lt;0,"YES","no"),"")</f>
        <v/>
      </c>
      <c r="BN179" s="36" t="str">
        <f aca="false">IFERROR(IF(AND(ISNUMBER(K179),ISNUMBER(INDEX('Lift Inputs'!$H:$H,MATCH(C179,'Lift Inputs'!$C:$C,0)))),IF(K179&lt;INDEX('Lift Inputs'!$H:$H,MATCH(C179,'Lift Inputs'!$C:$C,0)),"YES","no"),""),"")</f>
        <v/>
      </c>
      <c r="BO179" s="44"/>
    </row>
    <row r="180" customFormat="false" ht="15" hidden="false" customHeight="false" outlineLevel="0" collapsed="false">
      <c r="A180" s="15" t="s">
        <v>37</v>
      </c>
      <c r="B180" s="15" t="s">
        <v>68</v>
      </c>
      <c r="C180" s="15" t="n">
        <v>40</v>
      </c>
      <c r="D180" s="15" t="s">
        <v>144</v>
      </c>
      <c r="E180" s="15" t="n">
        <v>1093</v>
      </c>
      <c r="F180" s="15"/>
      <c r="G180" s="15" t="s">
        <v>546</v>
      </c>
      <c r="H180" s="15" t="s">
        <v>547</v>
      </c>
      <c r="I180" s="15" t="s">
        <v>548</v>
      </c>
      <c r="J180" s="15"/>
      <c r="K180" s="35" t="n">
        <v>14.99</v>
      </c>
      <c r="L180" s="35" t="n">
        <v>23.15</v>
      </c>
      <c r="M180" s="23" t="n">
        <f aca="false">IF(AND(ISNUMBER(L180),ISNUMBER(K180),K180&gt;0),L180/K180-1,"")</f>
        <v>0.544362908605737</v>
      </c>
      <c r="N180" s="36" t="str">
        <f aca="false">IF(M180="","No List Price",IF(M180&lt;=0,"At/below price",IF(M180&lt;=0.12,"&lt;=12% (STR zone)",IF(M180&lt;=0.25,"12-25%","&gt;25% (likely ignored)"))))</f>
        <v>&gt;25% (likely ignored)</v>
      </c>
      <c r="O180" s="15" t="s">
        <v>311</v>
      </c>
      <c r="P180" s="35"/>
      <c r="Q180" s="22" t="str">
        <f aca="false">IF(AND(ISNUMBER(K180),ISNUMBER(P180),N(P180)&gt;0),K180/P180-1,"")</f>
        <v/>
      </c>
      <c r="R180" s="15"/>
      <c r="S180" s="37" t="n">
        <v>3133</v>
      </c>
      <c r="T180" s="37" t="n">
        <v>347</v>
      </c>
      <c r="U180" s="38" t="n">
        <f aca="false">IF(AND(ISNUMBER(K180),ISNUMBER(T180)),K180*T180*52/12,"")</f>
        <v>22539.9633333333</v>
      </c>
      <c r="V180" s="15" t="n">
        <v>4.6</v>
      </c>
      <c r="W180" s="37" t="n">
        <v>1289</v>
      </c>
      <c r="X180" s="39" t="n">
        <v>46307</v>
      </c>
      <c r="Y180" s="15"/>
      <c r="Z180" s="40"/>
      <c r="AA180" s="41" t="str">
        <f aca="false">IF(ISNUMBER(Z180),(DATE(2026,10,13)-Z180)/365,"")</f>
        <v/>
      </c>
      <c r="AB180" s="37"/>
      <c r="AC180" s="15"/>
      <c r="AD180" s="15"/>
      <c r="AE180" s="15"/>
      <c r="AF180" s="42"/>
      <c r="AG180" s="42"/>
      <c r="AH180" s="15"/>
      <c r="AI180" s="37"/>
      <c r="AJ180" s="37"/>
      <c r="AK180" s="15"/>
      <c r="AL180" s="43"/>
      <c r="AM180" s="43"/>
      <c r="AN180" s="25" t="str">
        <f aca="false">IF(AND(ISNUMBER(AM180),ISNUMBER(AL180),AL180&gt;=5),AM180/AL180,"")</f>
        <v/>
      </c>
      <c r="AO180" s="43"/>
      <c r="AP180" s="43"/>
      <c r="AQ180" s="25" t="str">
        <f aca="false">IF(AND(ISNUMBER(AP180),ISNUMBER(AO180),AO180&gt;=5),AP180/AO180,"")</f>
        <v/>
      </c>
      <c r="AR180" s="43"/>
      <c r="AS180" s="43"/>
      <c r="AT180" s="22" t="str">
        <f aca="false">IF(AND(ISNUMBER(AS180),ISNUMBER(AR180),AR180&gt;0),AS180/AR180-1,"")</f>
        <v/>
      </c>
      <c r="AU180" s="44"/>
      <c r="AV180" s="44"/>
      <c r="AW180" s="44"/>
      <c r="AX180" s="44"/>
      <c r="AY180" s="44"/>
      <c r="AZ180" s="45"/>
      <c r="BA180" s="45"/>
      <c r="BB180" s="46"/>
      <c r="BC180" s="46"/>
      <c r="BD180" s="23" t="str">
        <f aca="false">IF(AND(ISNUMBER(BB180),ISNUMBER(BC180),BB180&gt;0),1-BC180/BB180,"")</f>
        <v/>
      </c>
      <c r="BE180" s="47"/>
      <c r="BF180" s="48"/>
      <c r="BG180" s="48"/>
      <c r="BH180" s="27" t="str">
        <f aca="false">IF(AND(ISNUMBER(BF180),ISNUMBER(BG180),BG180&gt;0),BF180/BG180,"")</f>
        <v/>
      </c>
      <c r="BI180" s="48"/>
      <c r="BJ180" s="44"/>
      <c r="BK180" s="46"/>
      <c r="BL180" s="46"/>
      <c r="BM180" s="36" t="str">
        <f aca="false">IF(ISNUMBER(Q180),IF(Q180&lt;0,"YES","no"),"")</f>
        <v/>
      </c>
      <c r="BN180" s="36" t="str">
        <f aca="false">IFERROR(IF(AND(ISNUMBER(K180),ISNUMBER(INDEX('Lift Inputs'!$H:$H,MATCH(C180,'Lift Inputs'!$C:$C,0)))),IF(K180&lt;INDEX('Lift Inputs'!$H:$H,MATCH(C180,'Lift Inputs'!$C:$C,0)),"YES","no"),""),"")</f>
        <v/>
      </c>
      <c r="BO180" s="44"/>
    </row>
    <row r="181" customFormat="false" ht="15" hidden="false" customHeight="false" outlineLevel="0" collapsed="false">
      <c r="A181" s="15" t="s">
        <v>37</v>
      </c>
      <c r="B181" s="15" t="s">
        <v>68</v>
      </c>
      <c r="C181" s="15" t="n">
        <v>40</v>
      </c>
      <c r="D181" s="15" t="s">
        <v>144</v>
      </c>
      <c r="E181" s="15" t="n">
        <v>1889</v>
      </c>
      <c r="F181" s="15" t="s">
        <v>549</v>
      </c>
      <c r="G181" s="15" t="s">
        <v>550</v>
      </c>
      <c r="H181" s="15" t="s">
        <v>551</v>
      </c>
      <c r="I181" s="15" t="s">
        <v>552</v>
      </c>
      <c r="J181" s="15"/>
      <c r="K181" s="35" t="n">
        <v>17.99</v>
      </c>
      <c r="L181" s="35"/>
      <c r="M181" s="23" t="str">
        <f aca="false">IF(AND(ISNUMBER(L181),ISNUMBER(K181),K181&gt;0),L181/K181-1,"")</f>
        <v/>
      </c>
      <c r="N181" s="36" t="str">
        <f aca="false">IF(M181="","No List Price",IF(M181&lt;=0,"At/below price",IF(M181&lt;=0.12,"&lt;=12% (STR zone)",IF(M181&lt;=0.25,"12-25%","&gt;25% (likely ignored)"))))</f>
        <v>No List Price</v>
      </c>
      <c r="O181" s="15"/>
      <c r="P181" s="35"/>
      <c r="Q181" s="22" t="str">
        <f aca="false">IF(AND(ISNUMBER(K181),ISNUMBER(P181),N(P181)&gt;0),K181/P181-1,"")</f>
        <v/>
      </c>
      <c r="R181" s="15"/>
      <c r="S181" s="37" t="n">
        <v>12744</v>
      </c>
      <c r="T181" s="37" t="n">
        <v>92</v>
      </c>
      <c r="U181" s="38" t="n">
        <f aca="false">IF(AND(ISNUMBER(K181),ISNUMBER(T181)),K181*T181*52/12,"")</f>
        <v>7172.01333333333</v>
      </c>
      <c r="V181" s="15" t="n">
        <v>4.2</v>
      </c>
      <c r="W181" s="37" t="n">
        <v>1630</v>
      </c>
      <c r="X181" s="39" t="n">
        <v>46307</v>
      </c>
      <c r="Y181" s="15"/>
      <c r="Z181" s="40"/>
      <c r="AA181" s="41" t="str">
        <f aca="false">IF(ISNUMBER(Z181),(DATE(2026,10,13)-Z181)/365,"")</f>
        <v/>
      </c>
      <c r="AB181" s="37"/>
      <c r="AC181" s="15"/>
      <c r="AD181" s="15"/>
      <c r="AE181" s="15"/>
      <c r="AF181" s="42"/>
      <c r="AG181" s="42"/>
      <c r="AH181" s="15"/>
      <c r="AI181" s="37" t="n">
        <v>15537</v>
      </c>
      <c r="AJ181" s="37" t="n">
        <v>438</v>
      </c>
      <c r="AK181" s="15" t="s">
        <v>553</v>
      </c>
      <c r="AL181" s="43" t="n">
        <v>41.8</v>
      </c>
      <c r="AM181" s="43" t="n">
        <v>35.8</v>
      </c>
      <c r="AN181" s="25" t="n">
        <f aca="false">IF(AND(ISNUMBER(AM181),ISNUMBER(AL181),AL181&gt;=5),AM181/AL181,"")</f>
        <v>0.856459330143541</v>
      </c>
      <c r="AO181" s="43" t="n">
        <v>3.4</v>
      </c>
      <c r="AP181" s="43" t="n">
        <v>4.8</v>
      </c>
      <c r="AQ181" s="25" t="str">
        <f aca="false">IF(AND(ISNUMBER(AP181),ISNUMBER(AO181),AO181&gt;=5),AP181/AO181,"")</f>
        <v/>
      </c>
      <c r="AR181" s="43" t="n">
        <v>32.4</v>
      </c>
      <c r="AS181" s="43" t="n">
        <v>25.3</v>
      </c>
      <c r="AT181" s="22" t="n">
        <f aca="false">IF(AND(ISNUMBER(AS181),ISNUMBER(AR181),AR181&gt;0),AS181/AR181-1,"")</f>
        <v>-0.219135802469136</v>
      </c>
      <c r="AU181" s="44"/>
      <c r="AV181" s="44"/>
      <c r="AW181" s="44"/>
      <c r="AX181" s="44"/>
      <c r="AY181" s="44"/>
      <c r="AZ181" s="45"/>
      <c r="BA181" s="45"/>
      <c r="BB181" s="46"/>
      <c r="BC181" s="46"/>
      <c r="BD181" s="23" t="str">
        <f aca="false">IF(AND(ISNUMBER(BB181),ISNUMBER(BC181),BB181&gt;0),1-BC181/BB181,"")</f>
        <v/>
      </c>
      <c r="BE181" s="47"/>
      <c r="BF181" s="48"/>
      <c r="BG181" s="48"/>
      <c r="BH181" s="27" t="str">
        <f aca="false">IF(AND(ISNUMBER(BF181),ISNUMBER(BG181),BG181&gt;0),BF181/BG181,"")</f>
        <v/>
      </c>
      <c r="BI181" s="48"/>
      <c r="BJ181" s="44"/>
      <c r="BK181" s="46"/>
      <c r="BL181" s="46"/>
      <c r="BM181" s="36" t="str">
        <f aca="false">IF(ISNUMBER(Q181),IF(Q181&lt;0,"YES","no"),"")</f>
        <v/>
      </c>
      <c r="BN181" s="36" t="str">
        <f aca="false">IFERROR(IF(AND(ISNUMBER(K181),ISNUMBER(INDEX('Lift Inputs'!$H:$H,MATCH(C181,'Lift Inputs'!$C:$C,0)))),IF(K181&lt;INDEX('Lift Inputs'!$H:$H,MATCH(C181,'Lift Inputs'!$C:$C,0)),"YES","no"),""),"")</f>
        <v/>
      </c>
      <c r="BO181" s="44"/>
    </row>
    <row r="182" customFormat="false" ht="15" hidden="false" customHeight="false" outlineLevel="0" collapsed="false">
      <c r="A182" s="15" t="s">
        <v>37</v>
      </c>
      <c r="B182" s="15" t="s">
        <v>68</v>
      </c>
      <c r="C182" s="15" t="n">
        <v>40</v>
      </c>
      <c r="D182" s="15" t="s">
        <v>144</v>
      </c>
      <c r="E182" s="15" t="n">
        <v>1891</v>
      </c>
      <c r="F182" s="15" t="s">
        <v>554</v>
      </c>
      <c r="G182" s="15" t="s">
        <v>555</v>
      </c>
      <c r="H182" s="15" t="s">
        <v>556</v>
      </c>
      <c r="I182" s="15" t="s">
        <v>557</v>
      </c>
      <c r="J182" s="15"/>
      <c r="K182" s="35" t="n">
        <v>13.99</v>
      </c>
      <c r="L182" s="35"/>
      <c r="M182" s="23" t="str">
        <f aca="false">IF(AND(ISNUMBER(L182),ISNUMBER(K182),K182&gt;0),L182/K182-1,"")</f>
        <v/>
      </c>
      <c r="N182" s="36" t="str">
        <f aca="false">IF(M182="","No List Price",IF(M182&lt;=0,"At/below price",IF(M182&lt;=0.12,"&lt;=12% (STR zone)",IF(M182&lt;=0.25,"12-25%","&gt;25% (likely ignored)"))))</f>
        <v>No List Price</v>
      </c>
      <c r="O182" s="15"/>
      <c r="P182" s="35"/>
      <c r="Q182" s="22" t="str">
        <f aca="false">IF(AND(ISNUMBER(K182),ISNUMBER(P182),N(P182)&gt;0),K182/P182-1,"")</f>
        <v/>
      </c>
      <c r="R182" s="15"/>
      <c r="S182" s="37" t="n">
        <v>50401</v>
      </c>
      <c r="T182" s="37" t="n">
        <v>5</v>
      </c>
      <c r="U182" s="38" t="n">
        <f aca="false">IF(AND(ISNUMBER(K182),ISNUMBER(T182)),K182*T182*52/12,"")</f>
        <v>303.116666666667</v>
      </c>
      <c r="V182" s="15" t="n">
        <v>4.5</v>
      </c>
      <c r="W182" s="37" t="n">
        <v>622</v>
      </c>
      <c r="X182" s="39" t="n">
        <v>46307</v>
      </c>
      <c r="Y182" s="15"/>
      <c r="Z182" s="40"/>
      <c r="AA182" s="41" t="str">
        <f aca="false">IF(ISNUMBER(Z182),(DATE(2026,10,13)-Z182)/365,"")</f>
        <v/>
      </c>
      <c r="AB182" s="37"/>
      <c r="AC182" s="15"/>
      <c r="AD182" s="15"/>
      <c r="AE182" s="15"/>
      <c r="AF182" s="42"/>
      <c r="AG182" s="42"/>
      <c r="AH182" s="15"/>
      <c r="AI182" s="37"/>
      <c r="AJ182" s="37"/>
      <c r="AK182" s="15"/>
      <c r="AL182" s="43"/>
      <c r="AM182" s="43"/>
      <c r="AN182" s="25" t="str">
        <f aca="false">IF(AND(ISNUMBER(AM182),ISNUMBER(AL182),AL182&gt;=5),AM182/AL182,"")</f>
        <v/>
      </c>
      <c r="AO182" s="43"/>
      <c r="AP182" s="43"/>
      <c r="AQ182" s="25" t="str">
        <f aca="false">IF(AND(ISNUMBER(AP182),ISNUMBER(AO182),AO182&gt;=5),AP182/AO182,"")</f>
        <v/>
      </c>
      <c r="AR182" s="43"/>
      <c r="AS182" s="43"/>
      <c r="AT182" s="22" t="str">
        <f aca="false">IF(AND(ISNUMBER(AS182),ISNUMBER(AR182),AR182&gt;0),AS182/AR182-1,"")</f>
        <v/>
      </c>
      <c r="AU182" s="44"/>
      <c r="AV182" s="44"/>
      <c r="AW182" s="44"/>
      <c r="AX182" s="44"/>
      <c r="AY182" s="44"/>
      <c r="AZ182" s="45"/>
      <c r="BA182" s="45"/>
      <c r="BB182" s="46"/>
      <c r="BC182" s="46"/>
      <c r="BD182" s="23" t="str">
        <f aca="false">IF(AND(ISNUMBER(BB182),ISNUMBER(BC182),BB182&gt;0),1-BC182/BB182,"")</f>
        <v/>
      </c>
      <c r="BE182" s="47"/>
      <c r="BF182" s="48"/>
      <c r="BG182" s="48"/>
      <c r="BH182" s="27" t="str">
        <f aca="false">IF(AND(ISNUMBER(BF182),ISNUMBER(BG182),BG182&gt;0),BF182/BG182,"")</f>
        <v/>
      </c>
      <c r="BI182" s="48"/>
      <c r="BJ182" s="44"/>
      <c r="BK182" s="46"/>
      <c r="BL182" s="46"/>
      <c r="BM182" s="36" t="str">
        <f aca="false">IF(ISNUMBER(Q182),IF(Q182&lt;0,"YES","no"),"")</f>
        <v/>
      </c>
      <c r="BN182" s="36" t="str">
        <f aca="false">IFERROR(IF(AND(ISNUMBER(K182),ISNUMBER(INDEX('Lift Inputs'!$H:$H,MATCH(C182,'Lift Inputs'!$C:$C,0)))),IF(K182&lt;INDEX('Lift Inputs'!$H:$H,MATCH(C182,'Lift Inputs'!$C:$C,0)),"YES","no"),""),"")</f>
        <v/>
      </c>
      <c r="BO182" s="44"/>
    </row>
    <row r="183" customFormat="false" ht="15" hidden="false" customHeight="false" outlineLevel="0" collapsed="false">
      <c r="A183" s="15" t="s">
        <v>71</v>
      </c>
      <c r="B183" s="15" t="s">
        <v>72</v>
      </c>
      <c r="C183" s="15" t="n">
        <v>37</v>
      </c>
      <c r="D183" s="15" t="s">
        <v>208</v>
      </c>
      <c r="E183" s="15" t="n">
        <v>144</v>
      </c>
      <c r="F183" s="15" t="s">
        <v>362</v>
      </c>
      <c r="G183" s="15" t="s">
        <v>558</v>
      </c>
      <c r="H183" s="15" t="s">
        <v>559</v>
      </c>
      <c r="I183" s="15" t="s">
        <v>560</v>
      </c>
      <c r="J183" s="15" t="s">
        <v>176</v>
      </c>
      <c r="K183" s="35" t="n">
        <v>17.99</v>
      </c>
      <c r="L183" s="35"/>
      <c r="M183" s="23" t="str">
        <f aca="false">IF(AND(ISNUMBER(L183),ISNUMBER(K183),K183&gt;0),L183/K183-1,"")</f>
        <v/>
      </c>
      <c r="N183" s="36" t="str">
        <f aca="false">IF(M183="","No List Price",IF(M183&lt;=0,"At/below price",IF(M183&lt;=0.12,"&lt;=12% (STR zone)",IF(M183&lt;=0.25,"12-25%","&gt;25% (likely ignored)"))))</f>
        <v>No List Price</v>
      </c>
      <c r="O183" s="15" t="s">
        <v>311</v>
      </c>
      <c r="P183" s="35" t="n">
        <v>31.7828058727569</v>
      </c>
      <c r="Q183" s="22" t="n">
        <f aca="false">IF(AND(ISNUMBER(K183),ISNUMBER(P183),N(P183)&gt;0),K183/P183-1,"")</f>
        <v>-0.433970679869383</v>
      </c>
      <c r="R183" s="15" t="s">
        <v>312</v>
      </c>
      <c r="S183" s="37" t="n">
        <v>497</v>
      </c>
      <c r="T183" s="37" t="n">
        <v>1963</v>
      </c>
      <c r="U183" s="38" t="n">
        <f aca="false">IF(AND(ISNUMBER(K183),ISNUMBER(T183)),K183*T183*52/12,"")</f>
        <v>153028.936666667</v>
      </c>
      <c r="V183" s="15" t="n">
        <v>4.3</v>
      </c>
      <c r="W183" s="37" t="n">
        <v>6297</v>
      </c>
      <c r="X183" s="39" t="n">
        <v>46307</v>
      </c>
      <c r="Y183" s="15" t="n">
        <v>141</v>
      </c>
      <c r="Z183" s="40" t="n">
        <v>45307</v>
      </c>
      <c r="AA183" s="41" t="n">
        <f aca="false">IF(ISNUMBER(Z183),(DATE(2026,10,13)-Z183)/365,"")</f>
        <v>2.74246575342466</v>
      </c>
      <c r="AB183" s="37" t="n">
        <v>24056</v>
      </c>
      <c r="AC183" s="15" t="s">
        <v>313</v>
      </c>
      <c r="AD183" s="15" t="n">
        <v>1</v>
      </c>
      <c r="AE183" s="15" t="s">
        <v>331</v>
      </c>
      <c r="AF183" s="42" t="n">
        <v>0</v>
      </c>
      <c r="AG183" s="42" t="n">
        <v>0</v>
      </c>
      <c r="AH183" s="15" t="n">
        <v>274</v>
      </c>
      <c r="AI183" s="37" t="n">
        <v>997443</v>
      </c>
      <c r="AJ183" s="37" t="n">
        <v>3432</v>
      </c>
      <c r="AK183" s="15" t="s">
        <v>326</v>
      </c>
      <c r="AL183" s="43" t="n">
        <v>1354.7</v>
      </c>
      <c r="AM183" s="43" t="n">
        <v>1510.2</v>
      </c>
      <c r="AN183" s="25" t="n">
        <f aca="false">IF(AND(ISNUMBER(AM183),ISNUMBER(AL183),AL183&gt;=5),AM183/AL183,"")</f>
        <v>1.1147855613789</v>
      </c>
      <c r="AO183" s="43" t="n">
        <v>152.8</v>
      </c>
      <c r="AP183" s="43" t="n">
        <v>191</v>
      </c>
      <c r="AQ183" s="25" t="n">
        <f aca="false">IF(AND(ISNUMBER(AP183),ISNUMBER(AO183),AO183&gt;=5),AP183/AO183,"")</f>
        <v>1.25</v>
      </c>
      <c r="AR183" s="43" t="n">
        <v>1293.4</v>
      </c>
      <c r="AS183" s="43" t="n">
        <v>1696.6</v>
      </c>
      <c r="AT183" s="22" t="n">
        <f aca="false">IF(AND(ISNUMBER(AS183),ISNUMBER(AR183),AR183&gt;0),AS183/AR183-1,"")</f>
        <v>0.3117365084274</v>
      </c>
      <c r="AU183" s="44"/>
      <c r="AV183" s="44"/>
      <c r="AW183" s="44"/>
      <c r="AX183" s="44"/>
      <c r="AY183" s="44"/>
      <c r="AZ183" s="45"/>
      <c r="BA183" s="45"/>
      <c r="BB183" s="46"/>
      <c r="BC183" s="46"/>
      <c r="BD183" s="23" t="str">
        <f aca="false">IF(AND(ISNUMBER(BB183),ISNUMBER(BC183),BB183&gt;0),1-BC183/BB183,"")</f>
        <v/>
      </c>
      <c r="BE183" s="47"/>
      <c r="BF183" s="48"/>
      <c r="BG183" s="48"/>
      <c r="BH183" s="27" t="str">
        <f aca="false">IF(AND(ISNUMBER(BF183),ISNUMBER(BG183),BG183&gt;0),BF183/BG183,"")</f>
        <v/>
      </c>
      <c r="BI183" s="48"/>
      <c r="BJ183" s="44"/>
      <c r="BK183" s="46"/>
      <c r="BL183" s="46"/>
      <c r="BM183" s="36" t="str">
        <f aca="false">IF(ISNUMBER(Q183),IF(Q183&lt;0,"YES","no"),"")</f>
        <v>YES</v>
      </c>
      <c r="BN183" s="36" t="str">
        <f aca="false">IFERROR(IF(AND(ISNUMBER(K183),ISNUMBER(INDEX('Lift Inputs'!$H:$H,MATCH(C183,'Lift Inputs'!$C:$C,0)))),IF(K183&lt;INDEX('Lift Inputs'!$H:$H,MATCH(C183,'Lift Inputs'!$C:$C,0)),"YES","no"),""),"")</f>
        <v/>
      </c>
      <c r="BO183" s="44"/>
    </row>
    <row r="184" customFormat="false" ht="15" hidden="false" customHeight="false" outlineLevel="0" collapsed="false">
      <c r="A184" s="15" t="s">
        <v>71</v>
      </c>
      <c r="B184" s="15" t="s">
        <v>72</v>
      </c>
      <c r="C184" s="15" t="n">
        <v>37</v>
      </c>
      <c r="D184" s="15" t="s">
        <v>208</v>
      </c>
      <c r="E184" s="15" t="n">
        <v>8</v>
      </c>
      <c r="F184" s="15" t="s">
        <v>327</v>
      </c>
      <c r="G184" s="15" t="s">
        <v>561</v>
      </c>
      <c r="H184" s="15" t="s">
        <v>562</v>
      </c>
      <c r="I184" s="15" t="s">
        <v>563</v>
      </c>
      <c r="J184" s="15" t="s">
        <v>176</v>
      </c>
      <c r="K184" s="35" t="n">
        <v>16.13</v>
      </c>
      <c r="L184" s="35" t="n">
        <v>19.99</v>
      </c>
      <c r="M184" s="23" t="n">
        <f aca="false">IF(AND(ISNUMBER(L184),ISNUMBER(K184),K184&gt;0),L184/K184-1,"")</f>
        <v>0.2393056416615</v>
      </c>
      <c r="N184" s="36" t="str">
        <f aca="false">IF(M184="","No List Price",IF(M184&lt;=0,"At/below price",IF(M184&lt;=0.12,"&lt;=12% (STR zone)",IF(M184&lt;=0.25,"12-25%","&gt;25% (likely ignored)"))))</f>
        <v>12-25%</v>
      </c>
      <c r="O184" s="15" t="s">
        <v>311</v>
      </c>
      <c r="P184" s="35" t="n">
        <v>31.7828058727569</v>
      </c>
      <c r="Q184" s="22" t="n">
        <f aca="false">IF(AND(ISNUMBER(K184),ISNUMBER(P184),N(P184)&gt;0),K184/P184-1,"")</f>
        <v>-0.492492888621075</v>
      </c>
      <c r="R184" s="15" t="s">
        <v>312</v>
      </c>
      <c r="S184" s="37" t="n">
        <v>949</v>
      </c>
      <c r="T184" s="37" t="n">
        <v>809</v>
      </c>
      <c r="U184" s="38" t="n">
        <f aca="false">IF(AND(ISNUMBER(K184),ISNUMBER(T184)),K184*T184*52/12,"")</f>
        <v>56546.4033333333</v>
      </c>
      <c r="V184" s="15" t="n">
        <v>4.5</v>
      </c>
      <c r="W184" s="37" t="n">
        <v>5747</v>
      </c>
      <c r="X184" s="39" t="n">
        <v>46307</v>
      </c>
      <c r="Y184" s="15" t="n">
        <v>128</v>
      </c>
      <c r="Z184" s="40" t="n">
        <v>44895</v>
      </c>
      <c r="AA184" s="41" t="n">
        <f aca="false">IF(ISNUMBER(Z184),(DATE(2026,10,13)-Z184)/365,"")</f>
        <v>3.87123287671233</v>
      </c>
      <c r="AB184" s="37" t="n">
        <v>15843</v>
      </c>
      <c r="AC184" s="15" t="s">
        <v>313</v>
      </c>
      <c r="AD184" s="15" t="n">
        <v>4</v>
      </c>
      <c r="AE184" s="15" t="s">
        <v>331</v>
      </c>
      <c r="AF184" s="42" t="n">
        <v>0.002</v>
      </c>
      <c r="AG184" s="42" t="n">
        <v>0</v>
      </c>
      <c r="AH184" s="15" t="n">
        <v>423</v>
      </c>
      <c r="AI184" s="37" t="n">
        <v>385363</v>
      </c>
      <c r="AJ184" s="37" t="n">
        <v>3599</v>
      </c>
      <c r="AK184" s="15" t="s">
        <v>326</v>
      </c>
      <c r="AL184" s="43" t="n">
        <v>651.1</v>
      </c>
      <c r="AM184" s="43" t="n">
        <v>674.8</v>
      </c>
      <c r="AN184" s="25" t="n">
        <f aca="false">IF(AND(ISNUMBER(AM184),ISNUMBER(AL184),AL184&gt;=5),AM184/AL184,"")</f>
        <v>1.0363999385655</v>
      </c>
      <c r="AO184" s="43" t="n">
        <v>53</v>
      </c>
      <c r="AP184" s="43" t="n">
        <v>38.8</v>
      </c>
      <c r="AQ184" s="25" t="n">
        <f aca="false">IF(AND(ISNUMBER(AP184),ISNUMBER(AO184),AO184&gt;=5),AP184/AO184,"")</f>
        <v>0.732075471698113</v>
      </c>
      <c r="AR184" s="43" t="n">
        <v>767.9</v>
      </c>
      <c r="AS184" s="43" t="n">
        <v>665.3</v>
      </c>
      <c r="AT184" s="22" t="n">
        <f aca="false">IF(AND(ISNUMBER(AS184),ISNUMBER(AR184),AR184&gt;0),AS184/AR184-1,"")</f>
        <v>-0.133611147284803</v>
      </c>
      <c r="AU184" s="44"/>
      <c r="AV184" s="44"/>
      <c r="AW184" s="44"/>
      <c r="AX184" s="44"/>
      <c r="AY184" s="44"/>
      <c r="AZ184" s="45"/>
      <c r="BA184" s="45"/>
      <c r="BB184" s="46"/>
      <c r="BC184" s="46"/>
      <c r="BD184" s="23" t="str">
        <f aca="false">IF(AND(ISNUMBER(BB184),ISNUMBER(BC184),BB184&gt;0),1-BC184/BB184,"")</f>
        <v/>
      </c>
      <c r="BE184" s="47"/>
      <c r="BF184" s="48"/>
      <c r="BG184" s="48"/>
      <c r="BH184" s="27" t="str">
        <f aca="false">IF(AND(ISNUMBER(BF184),ISNUMBER(BG184),BG184&gt;0),BF184/BG184,"")</f>
        <v/>
      </c>
      <c r="BI184" s="48"/>
      <c r="BJ184" s="44"/>
      <c r="BK184" s="46"/>
      <c r="BL184" s="46"/>
      <c r="BM184" s="36" t="str">
        <f aca="false">IF(ISNUMBER(Q184),IF(Q184&lt;0,"YES","no"),"")</f>
        <v>YES</v>
      </c>
      <c r="BN184" s="36" t="str">
        <f aca="false">IFERROR(IF(AND(ISNUMBER(K184),ISNUMBER(INDEX('Lift Inputs'!$H:$H,MATCH(C184,'Lift Inputs'!$C:$C,0)))),IF(K184&lt;INDEX('Lift Inputs'!$H:$H,MATCH(C184,'Lift Inputs'!$C:$C,0)),"YES","no"),""),"")</f>
        <v/>
      </c>
      <c r="BO184" s="44"/>
    </row>
    <row r="185" customFormat="false" ht="15" hidden="false" customHeight="false" outlineLevel="0" collapsed="false">
      <c r="A185" s="15" t="s">
        <v>71</v>
      </c>
      <c r="B185" s="15" t="s">
        <v>72</v>
      </c>
      <c r="C185" s="15" t="n">
        <v>37</v>
      </c>
      <c r="D185" s="15" t="s">
        <v>208</v>
      </c>
      <c r="E185" s="15" t="n">
        <v>72</v>
      </c>
      <c r="F185" s="15" t="s">
        <v>494</v>
      </c>
      <c r="G185" s="15" t="s">
        <v>564</v>
      </c>
      <c r="H185" s="15" t="s">
        <v>565</v>
      </c>
      <c r="I185" s="15" t="s">
        <v>566</v>
      </c>
      <c r="J185" s="15" t="s">
        <v>176</v>
      </c>
      <c r="K185" s="35" t="n">
        <v>19.99</v>
      </c>
      <c r="L185" s="35"/>
      <c r="M185" s="23" t="str">
        <f aca="false">IF(AND(ISNUMBER(L185),ISNUMBER(K185),K185&gt;0),L185/K185-1,"")</f>
        <v/>
      </c>
      <c r="N185" s="36" t="str">
        <f aca="false">IF(M185="","No List Price",IF(M185&lt;=0,"At/below price",IF(M185&lt;=0.12,"&lt;=12% (STR zone)",IF(M185&lt;=0.25,"12-25%","&gt;25% (likely ignored)"))))</f>
        <v>No List Price</v>
      </c>
      <c r="O185" s="15" t="s">
        <v>311</v>
      </c>
      <c r="P185" s="35" t="n">
        <v>31.7828058727569</v>
      </c>
      <c r="Q185" s="22" t="n">
        <f aca="false">IF(AND(ISNUMBER(K185),ISNUMBER(P185),N(P185)&gt;0),K185/P185-1,"")</f>
        <v>-0.371043573684767</v>
      </c>
      <c r="R185" s="15" t="s">
        <v>312</v>
      </c>
      <c r="S185" s="37" t="n">
        <v>2025</v>
      </c>
      <c r="T185" s="37" t="n">
        <v>809</v>
      </c>
      <c r="U185" s="38" t="n">
        <f aca="false">IF(AND(ISNUMBER(K185),ISNUMBER(T185)),K185*T185*52/12,"")</f>
        <v>70078.2766666667</v>
      </c>
      <c r="V185" s="15" t="n">
        <v>4.4</v>
      </c>
      <c r="W185" s="37" t="n">
        <v>17886</v>
      </c>
      <c r="X185" s="39" t="n">
        <v>46307</v>
      </c>
      <c r="Y185" s="15" t="n">
        <v>183</v>
      </c>
      <c r="Z185" s="40" t="n">
        <v>44081</v>
      </c>
      <c r="AA185" s="41" t="n">
        <f aca="false">IF(ISNUMBER(Z185),(DATE(2026,10,13)-Z185)/365,"")</f>
        <v>6.1013698630137</v>
      </c>
      <c r="AB185" s="37" t="n">
        <v>25725</v>
      </c>
      <c r="AC185" s="15" t="s">
        <v>313</v>
      </c>
      <c r="AD185" s="15" t="n">
        <v>1</v>
      </c>
      <c r="AE185" s="15" t="s">
        <v>336</v>
      </c>
      <c r="AF185" s="42" t="n">
        <v>0.394</v>
      </c>
      <c r="AG185" s="42" t="n">
        <v>0.340323178776637</v>
      </c>
      <c r="AH185" s="15" t="n">
        <v>452</v>
      </c>
      <c r="AI185" s="37" t="n">
        <v>356457</v>
      </c>
      <c r="AJ185" s="37" t="n">
        <v>3352</v>
      </c>
      <c r="AK185" s="15" t="s">
        <v>326</v>
      </c>
      <c r="AL185" s="43" t="n">
        <v>442.7</v>
      </c>
      <c r="AM185" s="43" t="n">
        <v>435.8</v>
      </c>
      <c r="AN185" s="25" t="n">
        <f aca="false">IF(AND(ISNUMBER(AM185),ISNUMBER(AL185),AL185&gt;=5),AM185/AL185,"")</f>
        <v>0.984413824260221</v>
      </c>
      <c r="AO185" s="43" t="n">
        <v>35.5</v>
      </c>
      <c r="AP185" s="43" t="n">
        <v>76</v>
      </c>
      <c r="AQ185" s="25" t="n">
        <f aca="false">IF(AND(ISNUMBER(AP185),ISNUMBER(AO185),AO185&gt;=5),AP185/AO185,"")</f>
        <v>2.14084507042254</v>
      </c>
      <c r="AR185" s="43" t="n">
        <v>433.4</v>
      </c>
      <c r="AS185" s="43" t="n">
        <v>502.5</v>
      </c>
      <c r="AT185" s="22" t="n">
        <f aca="false">IF(AND(ISNUMBER(AS185),ISNUMBER(AR185),AR185&gt;0),AS185/AR185-1,"")</f>
        <v>0.159437009690817</v>
      </c>
      <c r="AU185" s="44"/>
      <c r="AV185" s="44"/>
      <c r="AW185" s="44"/>
      <c r="AX185" s="44"/>
      <c r="AY185" s="44"/>
      <c r="AZ185" s="45"/>
      <c r="BA185" s="45"/>
      <c r="BB185" s="46"/>
      <c r="BC185" s="46"/>
      <c r="BD185" s="23" t="str">
        <f aca="false">IF(AND(ISNUMBER(BB185),ISNUMBER(BC185),BB185&gt;0),1-BC185/BB185,"")</f>
        <v/>
      </c>
      <c r="BE185" s="47"/>
      <c r="BF185" s="48"/>
      <c r="BG185" s="48"/>
      <c r="BH185" s="27" t="str">
        <f aca="false">IF(AND(ISNUMBER(BF185),ISNUMBER(BG185),BG185&gt;0),BF185/BG185,"")</f>
        <v/>
      </c>
      <c r="BI185" s="48"/>
      <c r="BJ185" s="44"/>
      <c r="BK185" s="46"/>
      <c r="BL185" s="46"/>
      <c r="BM185" s="36" t="str">
        <f aca="false">IF(ISNUMBER(Q185),IF(Q185&lt;0,"YES","no"),"")</f>
        <v>YES</v>
      </c>
      <c r="BN185" s="36" t="str">
        <f aca="false">IFERROR(IF(AND(ISNUMBER(K185),ISNUMBER(INDEX('Lift Inputs'!$H:$H,MATCH(C185,'Lift Inputs'!$C:$C,0)))),IF(K185&lt;INDEX('Lift Inputs'!$H:$H,MATCH(C185,'Lift Inputs'!$C:$C,0)),"YES","no"),""),"")</f>
        <v/>
      </c>
      <c r="BO185" s="44"/>
    </row>
    <row r="186" customFormat="false" ht="15" hidden="false" customHeight="false" outlineLevel="0" collapsed="false">
      <c r="A186" s="15" t="s">
        <v>71</v>
      </c>
      <c r="B186" s="15" t="s">
        <v>72</v>
      </c>
      <c r="C186" s="15" t="n">
        <v>37</v>
      </c>
      <c r="D186" s="15" t="s">
        <v>208</v>
      </c>
      <c r="E186" s="15" t="n">
        <v>1526</v>
      </c>
      <c r="F186" s="15" t="s">
        <v>475</v>
      </c>
      <c r="G186" s="15" t="s">
        <v>567</v>
      </c>
      <c r="H186" s="15" t="s">
        <v>568</v>
      </c>
      <c r="I186" s="15" t="s">
        <v>569</v>
      </c>
      <c r="J186" s="15" t="s">
        <v>177</v>
      </c>
      <c r="K186" s="35" t="n">
        <v>13.99</v>
      </c>
      <c r="L186" s="35" t="n">
        <v>18.99</v>
      </c>
      <c r="M186" s="23" t="n">
        <f aca="false">IF(AND(ISNUMBER(L186),ISNUMBER(K186),K186&gt;0),L186/K186-1,"")</f>
        <v>0.357398141529664</v>
      </c>
      <c r="N186" s="36" t="str">
        <f aca="false">IF(M186="","No List Price",IF(M186&lt;=0,"At/below price",IF(M186&lt;=0.12,"&lt;=12% (STR zone)",IF(M186&lt;=0.25,"12-25%","&gt;25% (likely ignored)"))))</f>
        <v>&gt;25% (likely ignored)</v>
      </c>
      <c r="O186" s="15" t="s">
        <v>311</v>
      </c>
      <c r="P186" s="35" t="n">
        <v>31.7828058727569</v>
      </c>
      <c r="Q186" s="22" t="n">
        <f aca="false">IF(AND(ISNUMBER(K186),ISNUMBER(P186),N(P186)&gt;0),K186/P186-1,"")</f>
        <v>-0.559824892238614</v>
      </c>
      <c r="R186" s="15" t="s">
        <v>312</v>
      </c>
      <c r="S186" s="37" t="n">
        <v>3102</v>
      </c>
      <c r="T186" s="37" t="n">
        <v>347</v>
      </c>
      <c r="U186" s="38" t="n">
        <f aca="false">IF(AND(ISNUMBER(K186),ISNUMBER(T186)),K186*T186*52/12,"")</f>
        <v>21036.2966666667</v>
      </c>
      <c r="V186" s="15" t="n">
        <v>4.3</v>
      </c>
      <c r="W186" s="37" t="n">
        <v>7075</v>
      </c>
      <c r="X186" s="39" t="n">
        <v>46307</v>
      </c>
      <c r="Y186" s="15" t="n">
        <v>115</v>
      </c>
      <c r="Z186" s="40" t="n">
        <v>44158</v>
      </c>
      <c r="AA186" s="41" t="n">
        <f aca="false">IF(ISNUMBER(Z186),(DATE(2026,10,13)-Z186)/365,"")</f>
        <v>5.89041095890411</v>
      </c>
      <c r="AB186" s="37" t="n">
        <v>13814</v>
      </c>
      <c r="AC186" s="15" t="s">
        <v>313</v>
      </c>
      <c r="AD186" s="15" t="n">
        <v>2</v>
      </c>
      <c r="AE186" s="15" t="s">
        <v>331</v>
      </c>
      <c r="AF186" s="42" t="n">
        <v>0</v>
      </c>
      <c r="AG186" s="42" t="n">
        <v>0</v>
      </c>
      <c r="AH186" s="15" t="n">
        <v>453</v>
      </c>
      <c r="AI186" s="37" t="n">
        <v>164434</v>
      </c>
      <c r="AJ186" s="37" t="n">
        <v>2031</v>
      </c>
      <c r="AK186" s="15" t="s">
        <v>326</v>
      </c>
      <c r="AL186" s="43" t="n">
        <v>864</v>
      </c>
      <c r="AM186" s="43" t="n">
        <v>705.8</v>
      </c>
      <c r="AN186" s="25" t="n">
        <f aca="false">IF(AND(ISNUMBER(AM186),ISNUMBER(AL186),AL186&gt;=5),AM186/AL186,"")</f>
        <v>0.816898148148148</v>
      </c>
      <c r="AO186" s="43" t="n">
        <v>82.8</v>
      </c>
      <c r="AP186" s="43" t="n">
        <v>78</v>
      </c>
      <c r="AQ186" s="25" t="n">
        <f aca="false">IF(AND(ISNUMBER(AP186),ISNUMBER(AO186),AO186&gt;=5),AP186/AO186,"")</f>
        <v>0.942028985507247</v>
      </c>
      <c r="AR186" s="43" t="n">
        <v>572.8</v>
      </c>
      <c r="AS186" s="43" t="n">
        <v>489.9</v>
      </c>
      <c r="AT186" s="22" t="n">
        <f aca="false">IF(AND(ISNUMBER(AS186),ISNUMBER(AR186),AR186&gt;0),AS186/AR186-1,"")</f>
        <v>-0.144727653631285</v>
      </c>
      <c r="AU186" s="44"/>
      <c r="AV186" s="44"/>
      <c r="AW186" s="44"/>
      <c r="AX186" s="44"/>
      <c r="AY186" s="44"/>
      <c r="AZ186" s="45"/>
      <c r="BA186" s="45"/>
      <c r="BB186" s="46"/>
      <c r="BC186" s="46"/>
      <c r="BD186" s="23" t="str">
        <f aca="false">IF(AND(ISNUMBER(BB186),ISNUMBER(BC186),BB186&gt;0),1-BC186/BB186,"")</f>
        <v/>
      </c>
      <c r="BE186" s="47"/>
      <c r="BF186" s="48"/>
      <c r="BG186" s="48"/>
      <c r="BH186" s="27" t="str">
        <f aca="false">IF(AND(ISNUMBER(BF186),ISNUMBER(BG186),BG186&gt;0),BF186/BG186,"")</f>
        <v/>
      </c>
      <c r="BI186" s="48"/>
      <c r="BJ186" s="44"/>
      <c r="BK186" s="46"/>
      <c r="BL186" s="46"/>
      <c r="BM186" s="36" t="str">
        <f aca="false">IF(ISNUMBER(Q186),IF(Q186&lt;0,"YES","no"),"")</f>
        <v>YES</v>
      </c>
      <c r="BN186" s="36" t="str">
        <f aca="false">IFERROR(IF(AND(ISNUMBER(K186),ISNUMBER(INDEX('Lift Inputs'!$H:$H,MATCH(C186,'Lift Inputs'!$C:$C,0)))),IF(K186&lt;INDEX('Lift Inputs'!$H:$H,MATCH(C186,'Lift Inputs'!$C:$C,0)),"YES","no"),""),"")</f>
        <v/>
      </c>
      <c r="BO186" s="44"/>
    </row>
    <row r="187" customFormat="false" ht="15" hidden="false" customHeight="false" outlineLevel="0" collapsed="false">
      <c r="A187" s="15" t="s">
        <v>71</v>
      </c>
      <c r="B187" s="15" t="s">
        <v>72</v>
      </c>
      <c r="C187" s="15" t="n">
        <v>37</v>
      </c>
      <c r="D187" s="15" t="s">
        <v>208</v>
      </c>
      <c r="E187" s="15" t="n">
        <v>1528</v>
      </c>
      <c r="F187" s="15" t="s">
        <v>570</v>
      </c>
      <c r="G187" s="15" t="s">
        <v>571</v>
      </c>
      <c r="H187" s="15" t="s">
        <v>572</v>
      </c>
      <c r="I187" s="15" t="s">
        <v>573</v>
      </c>
      <c r="J187" s="15" t="s">
        <v>177</v>
      </c>
      <c r="K187" s="35" t="n">
        <v>22.99</v>
      </c>
      <c r="L187" s="35"/>
      <c r="M187" s="23" t="str">
        <f aca="false">IF(AND(ISNUMBER(L187),ISNUMBER(K187),K187&gt;0),L187/K187-1,"")</f>
        <v/>
      </c>
      <c r="N187" s="36" t="str">
        <f aca="false">IF(M187="","No List Price",IF(M187&lt;=0,"At/below price",IF(M187&lt;=0.12,"&lt;=12% (STR zone)",IF(M187&lt;=0.25,"12-25%","&gt;25% (likely ignored)"))))</f>
        <v>No List Price</v>
      </c>
      <c r="O187" s="15" t="s">
        <v>311</v>
      </c>
      <c r="P187" s="35" t="n">
        <v>31.7828058727569</v>
      </c>
      <c r="Q187" s="22" t="n">
        <f aca="false">IF(AND(ISNUMBER(K187),ISNUMBER(P187),N(P187)&gt;0),K187/P187-1,"")</f>
        <v>-0.276652914407844</v>
      </c>
      <c r="R187" s="15" t="s">
        <v>312</v>
      </c>
      <c r="S187" s="37" t="n">
        <v>4671</v>
      </c>
      <c r="T187" s="37" t="n">
        <v>208</v>
      </c>
      <c r="U187" s="38" t="n">
        <f aca="false">IF(AND(ISNUMBER(K187),ISNUMBER(T187)),K187*T187*52/12,"")</f>
        <v>20721.6533333333</v>
      </c>
      <c r="V187" s="15" t="n">
        <v>4.3</v>
      </c>
      <c r="W187" s="37" t="n">
        <v>5837</v>
      </c>
      <c r="X187" s="39" t="n">
        <v>46307</v>
      </c>
      <c r="Y187" s="15" t="n">
        <v>154</v>
      </c>
      <c r="Z187" s="40" t="n">
        <v>43803</v>
      </c>
      <c r="AA187" s="41" t="n">
        <f aca="false">IF(ISNUMBER(Z187),(DATE(2026,10,13)-Z187)/365,"")</f>
        <v>6.86301369863014</v>
      </c>
      <c r="AB187" s="37" t="n">
        <v>9242</v>
      </c>
      <c r="AC187" s="15" t="s">
        <v>313</v>
      </c>
      <c r="AD187" s="15" t="n">
        <v>1</v>
      </c>
      <c r="AE187" s="15" t="s">
        <v>331</v>
      </c>
      <c r="AF187" s="42" t="n">
        <v>0</v>
      </c>
      <c r="AG187" s="42" t="n">
        <v>0</v>
      </c>
      <c r="AH187" s="15" t="n">
        <v>334</v>
      </c>
      <c r="AI187" s="37" t="n">
        <v>163454</v>
      </c>
      <c r="AJ187" s="37" t="n">
        <v>1240</v>
      </c>
      <c r="AK187" s="15" t="s">
        <v>326</v>
      </c>
      <c r="AL187" s="43" t="n">
        <v>43.5</v>
      </c>
      <c r="AM187" s="43" t="n">
        <v>18.2</v>
      </c>
      <c r="AN187" s="25" t="n">
        <f aca="false">IF(AND(ISNUMBER(AM187),ISNUMBER(AL187),AL187&gt;=5),AM187/AL187,"")</f>
        <v>0.418390804597701</v>
      </c>
      <c r="AO187" s="43" t="n">
        <v>91.2</v>
      </c>
      <c r="AP187" s="43" t="n">
        <v>70</v>
      </c>
      <c r="AQ187" s="25" t="n">
        <f aca="false">IF(AND(ISNUMBER(AP187),ISNUMBER(AO187),AO187&gt;=5),AP187/AO187,"")</f>
        <v>0.767543859649123</v>
      </c>
      <c r="AR187" s="43" t="n">
        <v>57.6</v>
      </c>
      <c r="AS187" s="43" t="n">
        <v>162.2</v>
      </c>
      <c r="AT187" s="22" t="n">
        <f aca="false">IF(AND(ISNUMBER(AS187),ISNUMBER(AR187),AR187&gt;0),AS187/AR187-1,"")</f>
        <v>1.81597222222222</v>
      </c>
      <c r="AU187" s="44"/>
      <c r="AV187" s="44"/>
      <c r="AW187" s="44"/>
      <c r="AX187" s="44"/>
      <c r="AY187" s="44"/>
      <c r="AZ187" s="45"/>
      <c r="BA187" s="45"/>
      <c r="BB187" s="46"/>
      <c r="BC187" s="46"/>
      <c r="BD187" s="23" t="str">
        <f aca="false">IF(AND(ISNUMBER(BB187),ISNUMBER(BC187),BB187&gt;0),1-BC187/BB187,"")</f>
        <v/>
      </c>
      <c r="BE187" s="47"/>
      <c r="BF187" s="48"/>
      <c r="BG187" s="48"/>
      <c r="BH187" s="27" t="str">
        <f aca="false">IF(AND(ISNUMBER(BF187),ISNUMBER(BG187),BG187&gt;0),BF187/BG187,"")</f>
        <v/>
      </c>
      <c r="BI187" s="48"/>
      <c r="BJ187" s="44"/>
      <c r="BK187" s="46"/>
      <c r="BL187" s="46"/>
      <c r="BM187" s="36" t="str">
        <f aca="false">IF(ISNUMBER(Q187),IF(Q187&lt;0,"YES","no"),"")</f>
        <v>YES</v>
      </c>
      <c r="BN187" s="36" t="str">
        <f aca="false">IFERROR(IF(AND(ISNUMBER(K187),ISNUMBER(INDEX('Lift Inputs'!$H:$H,MATCH(C187,'Lift Inputs'!$C:$C,0)))),IF(K187&lt;INDEX('Lift Inputs'!$H:$H,MATCH(C187,'Lift Inputs'!$C:$C,0)),"YES","no"),""),"")</f>
        <v/>
      </c>
      <c r="BO187" s="44"/>
    </row>
    <row r="188" customFormat="false" ht="15" hidden="false" customHeight="false" outlineLevel="0" collapsed="false">
      <c r="A188" s="15" t="s">
        <v>71</v>
      </c>
      <c r="B188" s="15" t="s">
        <v>72</v>
      </c>
      <c r="C188" s="15" t="n">
        <v>37</v>
      </c>
      <c r="D188" s="15" t="s">
        <v>208</v>
      </c>
      <c r="E188" s="15" t="n">
        <v>159</v>
      </c>
      <c r="F188" s="15" t="s">
        <v>574</v>
      </c>
      <c r="G188" s="15" t="s">
        <v>575</v>
      </c>
      <c r="H188" s="15" t="s">
        <v>576</v>
      </c>
      <c r="I188" s="15" t="s">
        <v>577</v>
      </c>
      <c r="J188" s="15" t="s">
        <v>177</v>
      </c>
      <c r="K188" s="35" t="n">
        <v>23.99</v>
      </c>
      <c r="L188" s="35"/>
      <c r="M188" s="23" t="str">
        <f aca="false">IF(AND(ISNUMBER(L188),ISNUMBER(K188),K188&gt;0),L188/K188-1,"")</f>
        <v/>
      </c>
      <c r="N188" s="36" t="str">
        <f aca="false">IF(M188="","No List Price",IF(M188&lt;=0,"At/below price",IF(M188&lt;=0.12,"&lt;=12% (STR zone)",IF(M188&lt;=0.25,"12-25%","&gt;25% (likely ignored)"))))</f>
        <v>No List Price</v>
      </c>
      <c r="O188" s="15"/>
      <c r="P188" s="35" t="n">
        <v>31.7828058727569</v>
      </c>
      <c r="Q188" s="22" t="n">
        <f aca="false">IF(AND(ISNUMBER(K188),ISNUMBER(P188),N(P188)&gt;0),K188/P188-1,"")</f>
        <v>-0.245189361315536</v>
      </c>
      <c r="R188" s="15" t="s">
        <v>353</v>
      </c>
      <c r="S188" s="37" t="n">
        <v>17918</v>
      </c>
      <c r="T188" s="37" t="n">
        <v>104</v>
      </c>
      <c r="U188" s="38" t="n">
        <f aca="false">IF(AND(ISNUMBER(K188),ISNUMBER(T188)),K188*T188*52/12,"")</f>
        <v>10811.4933333333</v>
      </c>
      <c r="V188" s="15" t="n">
        <v>4.4</v>
      </c>
      <c r="W188" s="37" t="n">
        <v>780</v>
      </c>
      <c r="X188" s="39" t="n">
        <v>46307</v>
      </c>
      <c r="Y188" s="15"/>
      <c r="Z188" s="40"/>
      <c r="AA188" s="41" t="str">
        <f aca="false">IF(ISNUMBER(Z188),(DATE(2026,10,13)-Z188)/365,"")</f>
        <v/>
      </c>
      <c r="AB188" s="37"/>
      <c r="AC188" s="15"/>
      <c r="AD188" s="15"/>
      <c r="AE188" s="15"/>
      <c r="AF188" s="42"/>
      <c r="AG188" s="42"/>
      <c r="AH188" s="15"/>
      <c r="AI188" s="37" t="n">
        <v>99046</v>
      </c>
      <c r="AJ188" s="37" t="n">
        <v>1117</v>
      </c>
      <c r="AK188" s="15" t="s">
        <v>315</v>
      </c>
      <c r="AL188" s="43" t="n">
        <v>1</v>
      </c>
      <c r="AM188" s="43" t="n">
        <v>1</v>
      </c>
      <c r="AN188" s="25" t="str">
        <f aca="false">IF(AND(ISNUMBER(AM188),ISNUMBER(AL188),AL188&gt;=5),AM188/AL188,"")</f>
        <v/>
      </c>
      <c r="AO188" s="43" t="n">
        <v>0</v>
      </c>
      <c r="AP188" s="43" t="n">
        <v>0</v>
      </c>
      <c r="AQ188" s="25" t="str">
        <f aca="false">IF(AND(ISNUMBER(AP188),ISNUMBER(AO188),AO188&gt;=5),AP188/AO188,"")</f>
        <v/>
      </c>
      <c r="AR188" s="43" t="n">
        <v>1.5</v>
      </c>
      <c r="AS188" s="43" t="n">
        <v>14</v>
      </c>
      <c r="AT188" s="22" t="n">
        <f aca="false">IF(AND(ISNUMBER(AS188),ISNUMBER(AR188),AR188&gt;0),AS188/AR188-1,"")</f>
        <v>8.33333333333333</v>
      </c>
      <c r="AU188" s="44"/>
      <c r="AV188" s="44"/>
      <c r="AW188" s="44"/>
      <c r="AX188" s="44"/>
      <c r="AY188" s="44"/>
      <c r="AZ188" s="45"/>
      <c r="BA188" s="45"/>
      <c r="BB188" s="46"/>
      <c r="BC188" s="46"/>
      <c r="BD188" s="23" t="str">
        <f aca="false">IF(AND(ISNUMBER(BB188),ISNUMBER(BC188),BB188&gt;0),1-BC188/BB188,"")</f>
        <v/>
      </c>
      <c r="BE188" s="47"/>
      <c r="BF188" s="48"/>
      <c r="BG188" s="48"/>
      <c r="BH188" s="27" t="str">
        <f aca="false">IF(AND(ISNUMBER(BF188),ISNUMBER(BG188),BG188&gt;0),BF188/BG188,"")</f>
        <v/>
      </c>
      <c r="BI188" s="48"/>
      <c r="BJ188" s="44"/>
      <c r="BK188" s="46"/>
      <c r="BL188" s="46"/>
      <c r="BM188" s="36" t="str">
        <f aca="false">IF(ISNUMBER(Q188),IF(Q188&lt;0,"YES","no"),"")</f>
        <v>YES</v>
      </c>
      <c r="BN188" s="36" t="str">
        <f aca="false">IFERROR(IF(AND(ISNUMBER(K188),ISNUMBER(INDEX('Lift Inputs'!$H:$H,MATCH(C188,'Lift Inputs'!$C:$C,0)))),IF(K188&lt;INDEX('Lift Inputs'!$H:$H,MATCH(C188,'Lift Inputs'!$C:$C,0)),"YES","no"),""),"")</f>
        <v/>
      </c>
      <c r="BO188" s="44"/>
    </row>
    <row r="189" customFormat="false" ht="15" hidden="false" customHeight="false" outlineLevel="0" collapsed="false">
      <c r="A189" s="15" t="s">
        <v>71</v>
      </c>
      <c r="B189" s="15" t="s">
        <v>72</v>
      </c>
      <c r="C189" s="15" t="n">
        <v>37</v>
      </c>
      <c r="D189" s="15" t="s">
        <v>208</v>
      </c>
      <c r="E189" s="15" t="n">
        <v>1535</v>
      </c>
      <c r="F189" s="15" t="s">
        <v>578</v>
      </c>
      <c r="G189" s="15" t="s">
        <v>579</v>
      </c>
      <c r="H189" s="15" t="s">
        <v>580</v>
      </c>
      <c r="I189" s="15" t="s">
        <v>581</v>
      </c>
      <c r="J189" s="15" t="s">
        <v>177</v>
      </c>
      <c r="K189" s="35" t="n">
        <v>20.99</v>
      </c>
      <c r="L189" s="35"/>
      <c r="M189" s="23" t="str">
        <f aca="false">IF(AND(ISNUMBER(L189),ISNUMBER(K189),K189&gt;0),L189/K189-1,"")</f>
        <v/>
      </c>
      <c r="N189" s="36" t="str">
        <f aca="false">IF(M189="","No List Price",IF(M189&lt;=0,"At/below price",IF(M189&lt;=0.12,"&lt;=12% (STR zone)",IF(M189&lt;=0.25,"12-25%","&gt;25% (likely ignored)"))))</f>
        <v>No List Price</v>
      </c>
      <c r="O189" s="15" t="s">
        <v>311</v>
      </c>
      <c r="P189" s="35" t="n">
        <v>31.7828058727569</v>
      </c>
      <c r="Q189" s="22" t="n">
        <f aca="false">IF(AND(ISNUMBER(K189),ISNUMBER(P189),N(P189)&gt;0),K189/P189-1,"")</f>
        <v>-0.339580020592459</v>
      </c>
      <c r="R189" s="15" t="s">
        <v>312</v>
      </c>
      <c r="S189" s="37" t="n">
        <v>30991</v>
      </c>
      <c r="T189" s="37" t="n">
        <v>92</v>
      </c>
      <c r="U189" s="38" t="n">
        <f aca="false">IF(AND(ISNUMBER(K189),ISNUMBER(T189)),K189*T189*52/12,"")</f>
        <v>8368.01333333333</v>
      </c>
      <c r="V189" s="15" t="n">
        <v>4.4</v>
      </c>
      <c r="W189" s="37" t="n">
        <v>9828</v>
      </c>
      <c r="X189" s="39" t="n">
        <v>46307</v>
      </c>
      <c r="Y189" s="15" t="n">
        <v>146</v>
      </c>
      <c r="Z189" s="40" t="n">
        <v>43833</v>
      </c>
      <c r="AA189" s="41" t="n">
        <f aca="false">IF(ISNUMBER(Z189),(DATE(2026,10,13)-Z189)/365,"")</f>
        <v>6.78082191780822</v>
      </c>
      <c r="AB189" s="37" t="n">
        <v>10275</v>
      </c>
      <c r="AC189" s="15" t="s">
        <v>582</v>
      </c>
      <c r="AD189" s="15" t="n">
        <v>2</v>
      </c>
      <c r="AE189" s="15" t="s">
        <v>583</v>
      </c>
      <c r="AF189" s="42" t="n">
        <v>0</v>
      </c>
      <c r="AG189" s="42" t="n">
        <v>0</v>
      </c>
      <c r="AH189" s="15" t="n">
        <v>399</v>
      </c>
      <c r="AI189" s="37" t="n">
        <v>119531</v>
      </c>
      <c r="AJ189" s="37" t="n">
        <v>1524</v>
      </c>
      <c r="AK189" s="15" t="s">
        <v>326</v>
      </c>
      <c r="AL189" s="43" t="n">
        <v>190.1</v>
      </c>
      <c r="AM189" s="43" t="n">
        <v>144</v>
      </c>
      <c r="AN189" s="25" t="n">
        <f aca="false">IF(AND(ISNUMBER(AM189),ISNUMBER(AL189),AL189&gt;=5),AM189/AL189,"")</f>
        <v>0.757496054708048</v>
      </c>
      <c r="AO189" s="43" t="n">
        <v>12.7</v>
      </c>
      <c r="AP189" s="43" t="n">
        <v>28</v>
      </c>
      <c r="AQ189" s="25" t="n">
        <f aca="false">IF(AND(ISNUMBER(AP189),ISNUMBER(AO189),AO189&gt;=5),AP189/AO189,"")</f>
        <v>2.20472440944882</v>
      </c>
      <c r="AR189" s="43" t="n">
        <v>236.5</v>
      </c>
      <c r="AS189" s="43" t="n">
        <v>216.6</v>
      </c>
      <c r="AT189" s="22" t="n">
        <f aca="false">IF(AND(ISNUMBER(AS189),ISNUMBER(AR189),AR189&gt;0),AS189/AR189-1,"")</f>
        <v>-0.0841437632135307</v>
      </c>
      <c r="AU189" s="44"/>
      <c r="AV189" s="44"/>
      <c r="AW189" s="44"/>
      <c r="AX189" s="44"/>
      <c r="AY189" s="44"/>
      <c r="AZ189" s="45"/>
      <c r="BA189" s="45"/>
      <c r="BB189" s="46"/>
      <c r="BC189" s="46"/>
      <c r="BD189" s="23" t="str">
        <f aca="false">IF(AND(ISNUMBER(BB189),ISNUMBER(BC189),BB189&gt;0),1-BC189/BB189,"")</f>
        <v/>
      </c>
      <c r="BE189" s="47"/>
      <c r="BF189" s="48"/>
      <c r="BG189" s="48"/>
      <c r="BH189" s="27" t="str">
        <f aca="false">IF(AND(ISNUMBER(BF189),ISNUMBER(BG189),BG189&gt;0),BF189/BG189,"")</f>
        <v/>
      </c>
      <c r="BI189" s="48"/>
      <c r="BJ189" s="44"/>
      <c r="BK189" s="46"/>
      <c r="BL189" s="46"/>
      <c r="BM189" s="36" t="str">
        <f aca="false">IF(ISNUMBER(Q189),IF(Q189&lt;0,"YES","no"),"")</f>
        <v>YES</v>
      </c>
      <c r="BN189" s="36" t="str">
        <f aca="false">IFERROR(IF(AND(ISNUMBER(K189),ISNUMBER(INDEX('Lift Inputs'!$H:$H,MATCH(C189,'Lift Inputs'!$C:$C,0)))),IF(K189&lt;INDEX('Lift Inputs'!$H:$H,MATCH(C189,'Lift Inputs'!$C:$C,0)),"YES","no"),""),"")</f>
        <v/>
      </c>
      <c r="BO189" s="44"/>
    </row>
    <row r="190" customFormat="false" ht="15" hidden="false" customHeight="false" outlineLevel="0" collapsed="false">
      <c r="A190" s="15" t="s">
        <v>71</v>
      </c>
      <c r="B190" s="15" t="s">
        <v>72</v>
      </c>
      <c r="C190" s="15" t="n">
        <v>37</v>
      </c>
      <c r="D190" s="15" t="s">
        <v>208</v>
      </c>
      <c r="E190" s="15" t="n">
        <v>148</v>
      </c>
      <c r="F190" s="15" t="s">
        <v>584</v>
      </c>
      <c r="G190" s="15" t="s">
        <v>585</v>
      </c>
      <c r="H190" s="15" t="s">
        <v>586</v>
      </c>
      <c r="I190" s="15" t="s">
        <v>587</v>
      </c>
      <c r="J190" s="15" t="s">
        <v>177</v>
      </c>
      <c r="K190" s="35" t="n">
        <v>22.99</v>
      </c>
      <c r="L190" s="35"/>
      <c r="M190" s="23" t="str">
        <f aca="false">IF(AND(ISNUMBER(L190),ISNUMBER(K190),K190&gt;0),L190/K190-1,"")</f>
        <v/>
      </c>
      <c r="N190" s="36" t="str">
        <f aca="false">IF(M190="","No List Price",IF(M190&lt;=0,"At/below price",IF(M190&lt;=0.12,"&lt;=12% (STR zone)",IF(M190&lt;=0.25,"12-25%","&gt;25% (likely ignored)"))))</f>
        <v>No List Price</v>
      </c>
      <c r="O190" s="15" t="s">
        <v>311</v>
      </c>
      <c r="P190" s="35" t="n">
        <v>31.7828058727569</v>
      </c>
      <c r="Q190" s="22" t="n">
        <f aca="false">IF(AND(ISNUMBER(K190),ISNUMBER(P190),N(P190)&gt;0),K190/P190-1,"")</f>
        <v>-0.276652914407844</v>
      </c>
      <c r="R190" s="15" t="s">
        <v>312</v>
      </c>
      <c r="S190" s="37" t="n">
        <v>23154</v>
      </c>
      <c r="T190" s="37" t="n">
        <v>92</v>
      </c>
      <c r="U190" s="38" t="n">
        <f aca="false">IF(AND(ISNUMBER(K190),ISNUMBER(T190)),K190*T190*52/12,"")</f>
        <v>9165.34666666667</v>
      </c>
      <c r="V190" s="15" t="n">
        <v>4.4</v>
      </c>
      <c r="W190" s="37" t="n">
        <v>6981</v>
      </c>
      <c r="X190" s="39" t="n">
        <v>46307</v>
      </c>
      <c r="Y190" s="15" t="n">
        <v>96</v>
      </c>
      <c r="Z190" s="40" t="n">
        <v>44096</v>
      </c>
      <c r="AA190" s="41" t="n">
        <f aca="false">IF(ISNUMBER(Z190),(DATE(2026,10,13)-Z190)/365,"")</f>
        <v>6.06027397260274</v>
      </c>
      <c r="AB190" s="37" t="n">
        <v>2778</v>
      </c>
      <c r="AC190" s="15" t="s">
        <v>313</v>
      </c>
      <c r="AD190" s="15" t="n">
        <v>1</v>
      </c>
      <c r="AE190" s="15" t="s">
        <v>331</v>
      </c>
      <c r="AF190" s="42" t="n">
        <v>0</v>
      </c>
      <c r="AG190" s="42" t="n">
        <v>0</v>
      </c>
      <c r="AH190" s="15" t="n">
        <v>350</v>
      </c>
      <c r="AI190" s="37" t="n">
        <v>47722</v>
      </c>
      <c r="AJ190" s="37" t="n">
        <v>1085</v>
      </c>
      <c r="AK190" s="15" t="s">
        <v>315</v>
      </c>
      <c r="AL190" s="43" t="n">
        <v>100.2</v>
      </c>
      <c r="AM190" s="43" t="n">
        <v>103.8</v>
      </c>
      <c r="AN190" s="25" t="n">
        <f aca="false">IF(AND(ISNUMBER(AM190),ISNUMBER(AL190),AL190&gt;=5),AM190/AL190,"")</f>
        <v>1.03592814371257</v>
      </c>
      <c r="AO190" s="43" t="n">
        <v>7.2</v>
      </c>
      <c r="AP190" s="43" t="n">
        <v>4.5</v>
      </c>
      <c r="AQ190" s="25" t="n">
        <f aca="false">IF(AND(ISNUMBER(AP190),ISNUMBER(AO190),AO190&gt;=5),AP190/AO190,"")</f>
        <v>0.625</v>
      </c>
      <c r="AR190" s="43" t="n">
        <v>103.7</v>
      </c>
      <c r="AS190" s="43" t="n">
        <v>97.6</v>
      </c>
      <c r="AT190" s="22" t="n">
        <f aca="false">IF(AND(ISNUMBER(AS190),ISNUMBER(AR190),AR190&gt;0),AS190/AR190-1,"")</f>
        <v>-0.0588235294117648</v>
      </c>
      <c r="AU190" s="44"/>
      <c r="AV190" s="44"/>
      <c r="AW190" s="44"/>
      <c r="AX190" s="44"/>
      <c r="AY190" s="44"/>
      <c r="AZ190" s="45"/>
      <c r="BA190" s="45"/>
      <c r="BB190" s="46"/>
      <c r="BC190" s="46"/>
      <c r="BD190" s="23" t="str">
        <f aca="false">IF(AND(ISNUMBER(BB190),ISNUMBER(BC190),BB190&gt;0),1-BC190/BB190,"")</f>
        <v/>
      </c>
      <c r="BE190" s="47"/>
      <c r="BF190" s="48"/>
      <c r="BG190" s="48"/>
      <c r="BH190" s="27" t="str">
        <f aca="false">IF(AND(ISNUMBER(BF190),ISNUMBER(BG190),BG190&gt;0),BF190/BG190,"")</f>
        <v/>
      </c>
      <c r="BI190" s="48"/>
      <c r="BJ190" s="44"/>
      <c r="BK190" s="46"/>
      <c r="BL190" s="46"/>
      <c r="BM190" s="36" t="str">
        <f aca="false">IF(ISNUMBER(Q190),IF(Q190&lt;0,"YES","no"),"")</f>
        <v>YES</v>
      </c>
      <c r="BN190" s="36" t="str">
        <f aca="false">IFERROR(IF(AND(ISNUMBER(K190),ISNUMBER(INDEX('Lift Inputs'!$H:$H,MATCH(C190,'Lift Inputs'!$C:$C,0)))),IF(K190&lt;INDEX('Lift Inputs'!$H:$H,MATCH(C190,'Lift Inputs'!$C:$C,0)),"YES","no"),""),"")</f>
        <v/>
      </c>
      <c r="BO190" s="44"/>
    </row>
    <row r="191" customFormat="false" ht="15" hidden="false" customHeight="false" outlineLevel="0" collapsed="false">
      <c r="A191" s="15" t="s">
        <v>71</v>
      </c>
      <c r="B191" s="15" t="s">
        <v>72</v>
      </c>
      <c r="C191" s="15" t="n">
        <v>37</v>
      </c>
      <c r="D191" s="15" t="s">
        <v>208</v>
      </c>
      <c r="E191" s="15" t="n">
        <v>1536</v>
      </c>
      <c r="F191" s="15" t="s">
        <v>588</v>
      </c>
      <c r="G191" s="15" t="s">
        <v>589</v>
      </c>
      <c r="H191" s="15" t="s">
        <v>590</v>
      </c>
      <c r="I191" s="15" t="s">
        <v>577</v>
      </c>
      <c r="J191" s="15" t="s">
        <v>177</v>
      </c>
      <c r="K191" s="35" t="n">
        <v>27.99</v>
      </c>
      <c r="L191" s="35"/>
      <c r="M191" s="23" t="str">
        <f aca="false">IF(AND(ISNUMBER(L191),ISNUMBER(K191),K191&gt;0),L191/K191-1,"")</f>
        <v/>
      </c>
      <c r="N191" s="36" t="str">
        <f aca="false">IF(M191="","No List Price",IF(M191&lt;=0,"At/below price",IF(M191&lt;=0.12,"&lt;=12% (STR zone)",IF(M191&lt;=0.25,"12-25%","&gt;25% (likely ignored)"))))</f>
        <v>No List Price</v>
      </c>
      <c r="O191" s="15"/>
      <c r="P191" s="35" t="n">
        <v>31.7828058727569</v>
      </c>
      <c r="Q191" s="22" t="n">
        <f aca="false">IF(AND(ISNUMBER(K191),ISNUMBER(P191),N(P191)&gt;0),K191/P191-1,"")</f>
        <v>-0.119335148946305</v>
      </c>
      <c r="R191" s="15" t="s">
        <v>353</v>
      </c>
      <c r="S191" s="37" t="n">
        <v>68667</v>
      </c>
      <c r="T191" s="37" t="n">
        <v>35</v>
      </c>
      <c r="U191" s="38" t="n">
        <f aca="false">IF(AND(ISNUMBER(K191),ISNUMBER(T191)),K191*T191*52/12,"")</f>
        <v>4245.15</v>
      </c>
      <c r="V191" s="15" t="n">
        <v>4.4</v>
      </c>
      <c r="W191" s="37" t="n">
        <v>2838</v>
      </c>
      <c r="X191" s="39" t="n">
        <v>46307</v>
      </c>
      <c r="Y191" s="15"/>
      <c r="Z191" s="40"/>
      <c r="AA191" s="41" t="str">
        <f aca="false">IF(ISNUMBER(Z191),(DATE(2026,10,13)-Z191)/365,"")</f>
        <v/>
      </c>
      <c r="AB191" s="37"/>
      <c r="AC191" s="15"/>
      <c r="AD191" s="15"/>
      <c r="AE191" s="15"/>
      <c r="AF191" s="42"/>
      <c r="AG191" s="42"/>
      <c r="AH191" s="15"/>
      <c r="AI191" s="37" t="n">
        <v>21925</v>
      </c>
      <c r="AJ191" s="37" t="n">
        <v>461</v>
      </c>
      <c r="AK191" s="15" t="s">
        <v>315</v>
      </c>
      <c r="AL191" s="43" t="n">
        <v>31.9</v>
      </c>
      <c r="AM191" s="43" t="n">
        <v>28.5</v>
      </c>
      <c r="AN191" s="25" t="n">
        <f aca="false">IF(AND(ISNUMBER(AM191),ISNUMBER(AL191),AL191&gt;=5),AM191/AL191,"")</f>
        <v>0.893416927899687</v>
      </c>
      <c r="AO191" s="43" t="n">
        <v>2.8</v>
      </c>
      <c r="AP191" s="43" t="n">
        <v>3</v>
      </c>
      <c r="AQ191" s="25" t="str">
        <f aca="false">IF(AND(ISNUMBER(AP191),ISNUMBER(AO191),AO191&gt;=5),AP191/AO191,"")</f>
        <v/>
      </c>
      <c r="AR191" s="43" t="n">
        <v>38.5</v>
      </c>
      <c r="AS191" s="43" t="n">
        <v>22.1</v>
      </c>
      <c r="AT191" s="22" t="n">
        <f aca="false">IF(AND(ISNUMBER(AS191),ISNUMBER(AR191),AR191&gt;0),AS191/AR191-1,"")</f>
        <v>-0.425974025974026</v>
      </c>
      <c r="AU191" s="44"/>
      <c r="AV191" s="44"/>
      <c r="AW191" s="44"/>
      <c r="AX191" s="44"/>
      <c r="AY191" s="44"/>
      <c r="AZ191" s="45"/>
      <c r="BA191" s="45"/>
      <c r="BB191" s="46"/>
      <c r="BC191" s="46"/>
      <c r="BD191" s="23" t="str">
        <f aca="false">IF(AND(ISNUMBER(BB191),ISNUMBER(BC191),BB191&gt;0),1-BC191/BB191,"")</f>
        <v/>
      </c>
      <c r="BE191" s="47"/>
      <c r="BF191" s="48"/>
      <c r="BG191" s="48"/>
      <c r="BH191" s="27" t="str">
        <f aca="false">IF(AND(ISNUMBER(BF191),ISNUMBER(BG191),BG191&gt;0),BF191/BG191,"")</f>
        <v/>
      </c>
      <c r="BI191" s="48"/>
      <c r="BJ191" s="44"/>
      <c r="BK191" s="46"/>
      <c r="BL191" s="46"/>
      <c r="BM191" s="36" t="str">
        <f aca="false">IF(ISNUMBER(Q191),IF(Q191&lt;0,"YES","no"),"")</f>
        <v>YES</v>
      </c>
      <c r="BN191" s="36" t="str">
        <f aca="false">IFERROR(IF(AND(ISNUMBER(K191),ISNUMBER(INDEX('Lift Inputs'!$H:$H,MATCH(C191,'Lift Inputs'!$C:$C,0)))),IF(K191&lt;INDEX('Lift Inputs'!$H:$H,MATCH(C191,'Lift Inputs'!$C:$C,0)),"YES","no"),""),"")</f>
        <v/>
      </c>
      <c r="BO191" s="44"/>
    </row>
    <row r="192" customFormat="false" ht="15" hidden="false" customHeight="false" outlineLevel="0" collapsed="false">
      <c r="A192" s="15" t="s">
        <v>71</v>
      </c>
      <c r="B192" s="15" t="s">
        <v>72</v>
      </c>
      <c r="C192" s="15" t="n">
        <v>37</v>
      </c>
      <c r="D192" s="15" t="s">
        <v>208</v>
      </c>
      <c r="E192" s="15" t="n">
        <v>165</v>
      </c>
      <c r="F192" s="15" t="s">
        <v>591</v>
      </c>
      <c r="G192" s="15" t="s">
        <v>592</v>
      </c>
      <c r="H192" s="15" t="s">
        <v>593</v>
      </c>
      <c r="I192" s="15" t="s">
        <v>594</v>
      </c>
      <c r="J192" s="15" t="s">
        <v>177</v>
      </c>
      <c r="K192" s="35" t="n">
        <v>28.99</v>
      </c>
      <c r="L192" s="35"/>
      <c r="M192" s="23" t="str">
        <f aca="false">IF(AND(ISNUMBER(L192),ISNUMBER(K192),K192&gt;0),L192/K192-1,"")</f>
        <v/>
      </c>
      <c r="N192" s="36" t="str">
        <f aca="false">IF(M192="","No List Price",IF(M192&lt;=0,"At/below price",IF(M192&lt;=0.12,"&lt;=12% (STR zone)",IF(M192&lt;=0.25,"12-25%","&gt;25% (likely ignored)"))))</f>
        <v>No List Price</v>
      </c>
      <c r="O192" s="15" t="s">
        <v>311</v>
      </c>
      <c r="P192" s="35" t="n">
        <v>31.7828058727569</v>
      </c>
      <c r="Q192" s="22" t="n">
        <f aca="false">IF(AND(ISNUMBER(K192),ISNUMBER(P192),N(P192)&gt;0),K192/P192-1,"")</f>
        <v>-0.0878715958539968</v>
      </c>
      <c r="R192" s="15" t="s">
        <v>312</v>
      </c>
      <c r="S192" s="37" t="n">
        <v>110638</v>
      </c>
      <c r="T192" s="37" t="n">
        <v>35</v>
      </c>
      <c r="U192" s="38" t="n">
        <f aca="false">IF(AND(ISNUMBER(K192),ISNUMBER(T192)),K192*T192*52/12,"")</f>
        <v>4396.81666666667</v>
      </c>
      <c r="V192" s="15" t="n">
        <v>4.4</v>
      </c>
      <c r="W192" s="37" t="n">
        <v>772</v>
      </c>
      <c r="X192" s="39" t="n">
        <v>46307</v>
      </c>
      <c r="Y192" s="15" t="n">
        <v>23</v>
      </c>
      <c r="Z192" s="40" t="n">
        <v>44733</v>
      </c>
      <c r="AA192" s="41" t="n">
        <f aca="false">IF(ISNUMBER(Z192),(DATE(2026,10,13)-Z192)/365,"")</f>
        <v>4.31506849315069</v>
      </c>
      <c r="AB192" s="37" t="n">
        <v>931</v>
      </c>
      <c r="AC192" s="15" t="s">
        <v>313</v>
      </c>
      <c r="AD192" s="15" t="n">
        <v>1</v>
      </c>
      <c r="AE192" s="15" t="s">
        <v>331</v>
      </c>
      <c r="AF192" s="42" t="n">
        <v>0</v>
      </c>
      <c r="AG192" s="42" t="n">
        <v>0</v>
      </c>
      <c r="AH192" s="15" t="n">
        <v>87</v>
      </c>
      <c r="AI192" s="37"/>
      <c r="AJ192" s="37"/>
      <c r="AK192" s="15"/>
      <c r="AL192" s="43"/>
      <c r="AM192" s="43"/>
      <c r="AN192" s="25" t="str">
        <f aca="false">IF(AND(ISNUMBER(AM192),ISNUMBER(AL192),AL192&gt;=5),AM192/AL192,"")</f>
        <v/>
      </c>
      <c r="AO192" s="43"/>
      <c r="AP192" s="43"/>
      <c r="AQ192" s="25" t="str">
        <f aca="false">IF(AND(ISNUMBER(AP192),ISNUMBER(AO192),AO192&gt;=5),AP192/AO192,"")</f>
        <v/>
      </c>
      <c r="AR192" s="43"/>
      <c r="AS192" s="43"/>
      <c r="AT192" s="22" t="str">
        <f aca="false">IF(AND(ISNUMBER(AS192),ISNUMBER(AR192),AR192&gt;0),AS192/AR192-1,"")</f>
        <v/>
      </c>
      <c r="AU192" s="44"/>
      <c r="AV192" s="44"/>
      <c r="AW192" s="44"/>
      <c r="AX192" s="44"/>
      <c r="AY192" s="44"/>
      <c r="AZ192" s="45"/>
      <c r="BA192" s="45"/>
      <c r="BB192" s="46"/>
      <c r="BC192" s="46"/>
      <c r="BD192" s="23" t="str">
        <f aca="false">IF(AND(ISNUMBER(BB192),ISNUMBER(BC192),BB192&gt;0),1-BC192/BB192,"")</f>
        <v/>
      </c>
      <c r="BE192" s="47"/>
      <c r="BF192" s="48"/>
      <c r="BG192" s="48"/>
      <c r="BH192" s="27" t="str">
        <f aca="false">IF(AND(ISNUMBER(BF192),ISNUMBER(BG192),BG192&gt;0),BF192/BG192,"")</f>
        <v/>
      </c>
      <c r="BI192" s="48"/>
      <c r="BJ192" s="44"/>
      <c r="BK192" s="46"/>
      <c r="BL192" s="46"/>
      <c r="BM192" s="36" t="str">
        <f aca="false">IF(ISNUMBER(Q192),IF(Q192&lt;0,"YES","no"),"")</f>
        <v>YES</v>
      </c>
      <c r="BN192" s="36" t="str">
        <f aca="false">IFERROR(IF(AND(ISNUMBER(K192),ISNUMBER(INDEX('Lift Inputs'!$H:$H,MATCH(C192,'Lift Inputs'!$C:$C,0)))),IF(K192&lt;INDEX('Lift Inputs'!$H:$H,MATCH(C192,'Lift Inputs'!$C:$C,0)),"YES","no"),""),"")</f>
        <v/>
      </c>
      <c r="BO192" s="44"/>
    </row>
    <row r="193" customFormat="false" ht="15" hidden="false" customHeight="false" outlineLevel="0" collapsed="false">
      <c r="A193" s="15" t="s">
        <v>71</v>
      </c>
      <c r="B193" s="15" t="s">
        <v>72</v>
      </c>
      <c r="C193" s="15" t="n">
        <v>37</v>
      </c>
      <c r="D193" s="15" t="s">
        <v>208</v>
      </c>
      <c r="E193" s="15" t="n">
        <v>640</v>
      </c>
      <c r="F193" s="15" t="s">
        <v>595</v>
      </c>
      <c r="G193" s="15" t="s">
        <v>596</v>
      </c>
      <c r="H193" s="15" t="s">
        <v>597</v>
      </c>
      <c r="I193" s="15" t="s">
        <v>577</v>
      </c>
      <c r="J193" s="15" t="s">
        <v>177</v>
      </c>
      <c r="K193" s="35" t="n">
        <v>21.99</v>
      </c>
      <c r="L193" s="35"/>
      <c r="M193" s="23" t="str">
        <f aca="false">IF(AND(ISNUMBER(L193),ISNUMBER(K193),K193&gt;0),L193/K193-1,"")</f>
        <v/>
      </c>
      <c r="N193" s="36" t="str">
        <f aca="false">IF(M193="","No List Price",IF(M193&lt;=0,"At/below price",IF(M193&lt;=0.12,"&lt;=12% (STR zone)",IF(M193&lt;=0.25,"12-25%","&gt;25% (likely ignored)"))))</f>
        <v>No List Price</v>
      </c>
      <c r="O193" s="15"/>
      <c r="P193" s="35" t="n">
        <v>31.7828058727569</v>
      </c>
      <c r="Q193" s="22" t="n">
        <f aca="false">IF(AND(ISNUMBER(K193),ISNUMBER(P193),N(P193)&gt;0),K193/P193-1,"")</f>
        <v>-0.308116467500151</v>
      </c>
      <c r="R193" s="15" t="s">
        <v>353</v>
      </c>
      <c r="S193" s="37" t="n">
        <v>57010</v>
      </c>
      <c r="T193" s="37" t="n">
        <v>35</v>
      </c>
      <c r="U193" s="38" t="n">
        <f aca="false">IF(AND(ISNUMBER(K193),ISNUMBER(T193)),K193*T193*52/12,"")</f>
        <v>3335.15</v>
      </c>
      <c r="V193" s="15" t="n">
        <v>4.5</v>
      </c>
      <c r="W193" s="37" t="n">
        <v>1017</v>
      </c>
      <c r="X193" s="39" t="n">
        <v>46307</v>
      </c>
      <c r="Y193" s="15"/>
      <c r="Z193" s="40"/>
      <c r="AA193" s="41" t="str">
        <f aca="false">IF(ISNUMBER(Z193),(DATE(2026,10,13)-Z193)/365,"")</f>
        <v/>
      </c>
      <c r="AB193" s="37"/>
      <c r="AC193" s="15"/>
      <c r="AD193" s="15"/>
      <c r="AE193" s="15"/>
      <c r="AF193" s="42"/>
      <c r="AG193" s="42"/>
      <c r="AH193" s="15"/>
      <c r="AI193" s="37" t="n">
        <v>23621</v>
      </c>
      <c r="AJ193" s="37" t="n">
        <v>569</v>
      </c>
      <c r="AK193" s="15" t="s">
        <v>315</v>
      </c>
      <c r="AL193" s="43" t="n">
        <v>10.2</v>
      </c>
      <c r="AM193" s="43" t="n">
        <v>10.2</v>
      </c>
      <c r="AN193" s="25" t="n">
        <f aca="false">IF(AND(ISNUMBER(AM193),ISNUMBER(AL193),AL193&gt;=5),AM193/AL193,"")</f>
        <v>1</v>
      </c>
      <c r="AO193" s="43" t="n">
        <v>0.5</v>
      </c>
      <c r="AP193" s="43" t="n">
        <v>0.8</v>
      </c>
      <c r="AQ193" s="25" t="str">
        <f aca="false">IF(AND(ISNUMBER(AP193),ISNUMBER(AO193),AO193&gt;=5),AP193/AO193,"")</f>
        <v/>
      </c>
      <c r="AR193" s="43" t="n">
        <v>9.8</v>
      </c>
      <c r="AS193" s="43" t="n">
        <v>12.2</v>
      </c>
      <c r="AT193" s="22" t="n">
        <f aca="false">IF(AND(ISNUMBER(AS193),ISNUMBER(AR193),AR193&gt;0),AS193/AR193-1,"")</f>
        <v>0.244897959183673</v>
      </c>
      <c r="AU193" s="44"/>
      <c r="AV193" s="44"/>
      <c r="AW193" s="44"/>
      <c r="AX193" s="44"/>
      <c r="AY193" s="44"/>
      <c r="AZ193" s="45"/>
      <c r="BA193" s="45"/>
      <c r="BB193" s="46"/>
      <c r="BC193" s="46"/>
      <c r="BD193" s="23" t="str">
        <f aca="false">IF(AND(ISNUMBER(BB193),ISNUMBER(BC193),BB193&gt;0),1-BC193/BB193,"")</f>
        <v/>
      </c>
      <c r="BE193" s="47"/>
      <c r="BF193" s="48"/>
      <c r="BG193" s="48"/>
      <c r="BH193" s="27" t="str">
        <f aca="false">IF(AND(ISNUMBER(BF193),ISNUMBER(BG193),BG193&gt;0),BF193/BG193,"")</f>
        <v/>
      </c>
      <c r="BI193" s="48"/>
      <c r="BJ193" s="44"/>
      <c r="BK193" s="46"/>
      <c r="BL193" s="46"/>
      <c r="BM193" s="36" t="str">
        <f aca="false">IF(ISNUMBER(Q193),IF(Q193&lt;0,"YES","no"),"")</f>
        <v>YES</v>
      </c>
      <c r="BN193" s="36" t="str">
        <f aca="false">IFERROR(IF(AND(ISNUMBER(K193),ISNUMBER(INDEX('Lift Inputs'!$H:$H,MATCH(C193,'Lift Inputs'!$C:$C,0)))),IF(K193&lt;INDEX('Lift Inputs'!$H:$H,MATCH(C193,'Lift Inputs'!$C:$C,0)),"YES","no"),""),"")</f>
        <v/>
      </c>
      <c r="BO193" s="44"/>
    </row>
    <row r="194" customFormat="false" ht="15" hidden="false" customHeight="false" outlineLevel="0" collapsed="false">
      <c r="A194" s="15" t="s">
        <v>71</v>
      </c>
      <c r="B194" s="15" t="s">
        <v>72</v>
      </c>
      <c r="C194" s="15" t="n">
        <v>37</v>
      </c>
      <c r="D194" s="15" t="s">
        <v>208</v>
      </c>
      <c r="E194" s="15" t="n">
        <v>1540</v>
      </c>
      <c r="F194" s="15" t="s">
        <v>598</v>
      </c>
      <c r="G194" s="15" t="s">
        <v>599</v>
      </c>
      <c r="H194" s="15" t="s">
        <v>600</v>
      </c>
      <c r="I194" s="15" t="s">
        <v>577</v>
      </c>
      <c r="J194" s="15" t="s">
        <v>177</v>
      </c>
      <c r="K194" s="35" t="n">
        <v>27.99</v>
      </c>
      <c r="L194" s="35"/>
      <c r="M194" s="23" t="str">
        <f aca="false">IF(AND(ISNUMBER(L194),ISNUMBER(K194),K194&gt;0),L194/K194-1,"")</f>
        <v/>
      </c>
      <c r="N194" s="36" t="str">
        <f aca="false">IF(M194="","No List Price",IF(M194&lt;=0,"At/below price",IF(M194&lt;=0.12,"&lt;=12% (STR zone)",IF(M194&lt;=0.25,"12-25%","&gt;25% (likely ignored)"))))</f>
        <v>No List Price</v>
      </c>
      <c r="O194" s="15"/>
      <c r="P194" s="35" t="n">
        <v>31.7828058727569</v>
      </c>
      <c r="Q194" s="22" t="n">
        <f aca="false">IF(AND(ISNUMBER(K194),ISNUMBER(P194),N(P194)&gt;0),K194/P194-1,"")</f>
        <v>-0.119335148946305</v>
      </c>
      <c r="R194" s="15" t="s">
        <v>353</v>
      </c>
      <c r="S194" s="37" t="n">
        <v>89437</v>
      </c>
      <c r="T194" s="37" t="n">
        <v>18</v>
      </c>
      <c r="U194" s="38" t="n">
        <f aca="false">IF(AND(ISNUMBER(K194),ISNUMBER(T194)),K194*T194*52/12,"")</f>
        <v>2183.22</v>
      </c>
      <c r="V194" s="15" t="n">
        <v>4.5</v>
      </c>
      <c r="W194" s="37" t="n">
        <v>205</v>
      </c>
      <c r="X194" s="39" t="n">
        <v>46307</v>
      </c>
      <c r="Y194" s="15"/>
      <c r="Z194" s="40"/>
      <c r="AA194" s="41" t="str">
        <f aca="false">IF(ISNUMBER(Z194),(DATE(2026,10,13)-Z194)/365,"")</f>
        <v/>
      </c>
      <c r="AB194" s="37"/>
      <c r="AC194" s="15"/>
      <c r="AD194" s="15"/>
      <c r="AE194" s="15"/>
      <c r="AF194" s="42"/>
      <c r="AG194" s="42"/>
      <c r="AH194" s="15"/>
      <c r="AI194" s="37"/>
      <c r="AJ194" s="37"/>
      <c r="AK194" s="15"/>
      <c r="AL194" s="43"/>
      <c r="AM194" s="43"/>
      <c r="AN194" s="25" t="str">
        <f aca="false">IF(AND(ISNUMBER(AM194),ISNUMBER(AL194),AL194&gt;=5),AM194/AL194,"")</f>
        <v/>
      </c>
      <c r="AO194" s="43"/>
      <c r="AP194" s="43"/>
      <c r="AQ194" s="25" t="str">
        <f aca="false">IF(AND(ISNUMBER(AP194),ISNUMBER(AO194),AO194&gt;=5),AP194/AO194,"")</f>
        <v/>
      </c>
      <c r="AR194" s="43"/>
      <c r="AS194" s="43"/>
      <c r="AT194" s="22" t="str">
        <f aca="false">IF(AND(ISNUMBER(AS194),ISNUMBER(AR194),AR194&gt;0),AS194/AR194-1,"")</f>
        <v/>
      </c>
      <c r="AU194" s="44"/>
      <c r="AV194" s="44"/>
      <c r="AW194" s="44"/>
      <c r="AX194" s="44"/>
      <c r="AY194" s="44"/>
      <c r="AZ194" s="45"/>
      <c r="BA194" s="45"/>
      <c r="BB194" s="46"/>
      <c r="BC194" s="46"/>
      <c r="BD194" s="23" t="str">
        <f aca="false">IF(AND(ISNUMBER(BB194),ISNUMBER(BC194),BB194&gt;0),1-BC194/BB194,"")</f>
        <v/>
      </c>
      <c r="BE194" s="47"/>
      <c r="BF194" s="48"/>
      <c r="BG194" s="48"/>
      <c r="BH194" s="27" t="str">
        <f aca="false">IF(AND(ISNUMBER(BF194),ISNUMBER(BG194),BG194&gt;0),BF194/BG194,"")</f>
        <v/>
      </c>
      <c r="BI194" s="48"/>
      <c r="BJ194" s="44"/>
      <c r="BK194" s="46"/>
      <c r="BL194" s="46"/>
      <c r="BM194" s="36" t="str">
        <f aca="false">IF(ISNUMBER(Q194),IF(Q194&lt;0,"YES","no"),"")</f>
        <v>YES</v>
      </c>
      <c r="BN194" s="36" t="str">
        <f aca="false">IFERROR(IF(AND(ISNUMBER(K194),ISNUMBER(INDEX('Lift Inputs'!$H:$H,MATCH(C194,'Lift Inputs'!$C:$C,0)))),IF(K194&lt;INDEX('Lift Inputs'!$H:$H,MATCH(C194,'Lift Inputs'!$C:$C,0)),"YES","no"),""),"")</f>
        <v/>
      </c>
      <c r="BO194" s="44"/>
    </row>
    <row r="195" customFormat="false" ht="15" hidden="false" customHeight="false" outlineLevel="0" collapsed="false">
      <c r="A195" s="15" t="s">
        <v>71</v>
      </c>
      <c r="B195" s="15" t="s">
        <v>72</v>
      </c>
      <c r="C195" s="15" t="n">
        <v>37</v>
      </c>
      <c r="D195" s="15" t="s">
        <v>208</v>
      </c>
      <c r="E195" s="15" t="n">
        <v>163</v>
      </c>
      <c r="F195" s="15" t="s">
        <v>601</v>
      </c>
      <c r="G195" s="15" t="s">
        <v>602</v>
      </c>
      <c r="H195" s="15" t="s">
        <v>603</v>
      </c>
      <c r="I195" s="15" t="s">
        <v>604</v>
      </c>
      <c r="J195" s="15" t="s">
        <v>177</v>
      </c>
      <c r="K195" s="35" t="n">
        <v>23.99</v>
      </c>
      <c r="L195" s="35"/>
      <c r="M195" s="23" t="str">
        <f aca="false">IF(AND(ISNUMBER(L195),ISNUMBER(K195),K195&gt;0),L195/K195-1,"")</f>
        <v/>
      </c>
      <c r="N195" s="36" t="str">
        <f aca="false">IF(M195="","No List Price",IF(M195&lt;=0,"At/below price",IF(M195&lt;=0.12,"&lt;=12% (STR zone)",IF(M195&lt;=0.25,"12-25%","&gt;25% (likely ignored)"))))</f>
        <v>No List Price</v>
      </c>
      <c r="O195" s="15" t="s">
        <v>311</v>
      </c>
      <c r="P195" s="35" t="n">
        <v>31.7828058727569</v>
      </c>
      <c r="Q195" s="22" t="n">
        <f aca="false">IF(AND(ISNUMBER(K195),ISNUMBER(P195),N(P195)&gt;0),K195/P195-1,"")</f>
        <v>-0.245189361315536</v>
      </c>
      <c r="R195" s="15" t="s">
        <v>312</v>
      </c>
      <c r="S195" s="37" t="n">
        <v>96002</v>
      </c>
      <c r="T195" s="37" t="n">
        <v>18</v>
      </c>
      <c r="U195" s="38" t="n">
        <f aca="false">IF(AND(ISNUMBER(K195),ISNUMBER(T195)),K195*T195*52/12,"")</f>
        <v>1871.22</v>
      </c>
      <c r="V195" s="15" t="n">
        <v>4.2</v>
      </c>
      <c r="W195" s="37" t="n">
        <v>361</v>
      </c>
      <c r="X195" s="39" t="n">
        <v>46307</v>
      </c>
      <c r="Y195" s="15" t="n">
        <v>73</v>
      </c>
      <c r="Z195" s="40" t="n">
        <v>45510</v>
      </c>
      <c r="AA195" s="41" t="n">
        <f aca="false">IF(ISNUMBER(Z195),(DATE(2026,10,13)-Z195)/365,"")</f>
        <v>2.18630136986301</v>
      </c>
      <c r="AB195" s="37" t="n">
        <v>2708</v>
      </c>
      <c r="AC195" s="15" t="s">
        <v>313</v>
      </c>
      <c r="AD195" s="15" t="n">
        <v>1</v>
      </c>
      <c r="AE195" s="15" t="s">
        <v>331</v>
      </c>
      <c r="AF195" s="42" t="n">
        <v>0</v>
      </c>
      <c r="AG195" s="42" t="n">
        <v>0</v>
      </c>
      <c r="AH195" s="15" t="n">
        <v>124</v>
      </c>
      <c r="AI195" s="37" t="n">
        <v>23278</v>
      </c>
      <c r="AJ195" s="37" t="n">
        <v>634</v>
      </c>
      <c r="AK195" s="15" t="s">
        <v>315</v>
      </c>
      <c r="AL195" s="43" t="n">
        <v>35.2</v>
      </c>
      <c r="AM195" s="43" t="n">
        <v>19.5</v>
      </c>
      <c r="AN195" s="25" t="n">
        <f aca="false">IF(AND(ISNUMBER(AM195),ISNUMBER(AL195),AL195&gt;=5),AM195/AL195,"")</f>
        <v>0.553977272727273</v>
      </c>
      <c r="AO195" s="43" t="n">
        <v>3.7</v>
      </c>
      <c r="AP195" s="43" t="n">
        <v>2.5</v>
      </c>
      <c r="AQ195" s="25" t="str">
        <f aca="false">IF(AND(ISNUMBER(AP195),ISNUMBER(AO195),AO195&gt;=5),AP195/AO195,"")</f>
        <v/>
      </c>
      <c r="AR195" s="43" t="n">
        <v>59.9</v>
      </c>
      <c r="AS195" s="43" t="n">
        <v>33.4</v>
      </c>
      <c r="AT195" s="22" t="n">
        <f aca="false">IF(AND(ISNUMBER(AS195),ISNUMBER(AR195),AR195&gt;0),AS195/AR195-1,"")</f>
        <v>-0.442404006677796</v>
      </c>
      <c r="AU195" s="44"/>
      <c r="AV195" s="44"/>
      <c r="AW195" s="44"/>
      <c r="AX195" s="44"/>
      <c r="AY195" s="44"/>
      <c r="AZ195" s="45"/>
      <c r="BA195" s="45"/>
      <c r="BB195" s="46"/>
      <c r="BC195" s="46"/>
      <c r="BD195" s="23" t="str">
        <f aca="false">IF(AND(ISNUMBER(BB195),ISNUMBER(BC195),BB195&gt;0),1-BC195/BB195,"")</f>
        <v/>
      </c>
      <c r="BE195" s="47"/>
      <c r="BF195" s="48"/>
      <c r="BG195" s="48"/>
      <c r="BH195" s="27" t="str">
        <f aca="false">IF(AND(ISNUMBER(BF195),ISNUMBER(BG195),BG195&gt;0),BF195/BG195,"")</f>
        <v/>
      </c>
      <c r="BI195" s="48"/>
      <c r="BJ195" s="44"/>
      <c r="BK195" s="46"/>
      <c r="BL195" s="46"/>
      <c r="BM195" s="36" t="str">
        <f aca="false">IF(ISNUMBER(Q195),IF(Q195&lt;0,"YES","no"),"")</f>
        <v>YES</v>
      </c>
      <c r="BN195" s="36" t="str">
        <f aca="false">IFERROR(IF(AND(ISNUMBER(K195),ISNUMBER(INDEX('Lift Inputs'!$H:$H,MATCH(C195,'Lift Inputs'!$C:$C,0)))),IF(K195&lt;INDEX('Lift Inputs'!$H:$H,MATCH(C195,'Lift Inputs'!$C:$C,0)),"YES","no"),""),"")</f>
        <v/>
      </c>
      <c r="BO195" s="44"/>
    </row>
    <row r="196" customFormat="false" ht="15" hidden="false" customHeight="false" outlineLevel="0" collapsed="false">
      <c r="A196" s="15" t="s">
        <v>71</v>
      </c>
      <c r="B196" s="15" t="s">
        <v>72</v>
      </c>
      <c r="C196" s="15" t="n">
        <v>37</v>
      </c>
      <c r="D196" s="15" t="s">
        <v>208</v>
      </c>
      <c r="E196" s="15" t="n">
        <v>149</v>
      </c>
      <c r="F196" s="15" t="s">
        <v>598</v>
      </c>
      <c r="G196" s="15" t="s">
        <v>605</v>
      </c>
      <c r="H196" s="15" t="s">
        <v>606</v>
      </c>
      <c r="I196" s="15" t="s">
        <v>577</v>
      </c>
      <c r="J196" s="15" t="s">
        <v>177</v>
      </c>
      <c r="K196" s="35" t="n">
        <v>21.99</v>
      </c>
      <c r="L196" s="35" t="n">
        <v>25.99</v>
      </c>
      <c r="M196" s="23" t="n">
        <f aca="false">IF(AND(ISNUMBER(L196),ISNUMBER(K196),K196&gt;0),L196/K196-1,"")</f>
        <v>0.181900864029104</v>
      </c>
      <c r="N196" s="36" t="str">
        <f aca="false">IF(M196="","No List Price",IF(M196&lt;=0,"At/below price",IF(M196&lt;=0.12,"&lt;=12% (STR zone)",IF(M196&lt;=0.25,"12-25%","&gt;25% (likely ignored)"))))</f>
        <v>12-25%</v>
      </c>
      <c r="O196" s="15"/>
      <c r="P196" s="35" t="n">
        <v>31.7828058727569</v>
      </c>
      <c r="Q196" s="22" t="n">
        <f aca="false">IF(AND(ISNUMBER(K196),ISNUMBER(P196),N(P196)&gt;0),K196/P196-1,"")</f>
        <v>-0.308116467500151</v>
      </c>
      <c r="R196" s="15" t="s">
        <v>353</v>
      </c>
      <c r="S196" s="37" t="n">
        <v>28165</v>
      </c>
      <c r="T196" s="37" t="n">
        <v>5</v>
      </c>
      <c r="U196" s="38" t="n">
        <f aca="false">IF(AND(ISNUMBER(K196),ISNUMBER(T196)),K196*T196*52/12,"")</f>
        <v>476.45</v>
      </c>
      <c r="V196" s="15" t="n">
        <v>4.4</v>
      </c>
      <c r="W196" s="37" t="n">
        <v>12125</v>
      </c>
      <c r="X196" s="39" t="n">
        <v>46307</v>
      </c>
      <c r="Y196" s="15"/>
      <c r="Z196" s="40"/>
      <c r="AA196" s="41" t="str">
        <f aca="false">IF(ISNUMBER(Z196),(DATE(2026,10,13)-Z196)/365,"")</f>
        <v/>
      </c>
      <c r="AB196" s="37"/>
      <c r="AC196" s="15"/>
      <c r="AD196" s="15"/>
      <c r="AE196" s="15"/>
      <c r="AF196" s="42"/>
      <c r="AG196" s="42"/>
      <c r="AH196" s="15"/>
      <c r="AI196" s="37" t="n">
        <v>20002</v>
      </c>
      <c r="AJ196" s="37" t="n">
        <v>618</v>
      </c>
      <c r="AK196" s="15"/>
      <c r="AL196" s="43"/>
      <c r="AM196" s="43"/>
      <c r="AN196" s="25" t="str">
        <f aca="false">IF(AND(ISNUMBER(AM196),ISNUMBER(AL196),AL196&gt;=5),AM196/AL196,"")</f>
        <v/>
      </c>
      <c r="AO196" s="43"/>
      <c r="AP196" s="43"/>
      <c r="AQ196" s="25" t="str">
        <f aca="false">IF(AND(ISNUMBER(AP196),ISNUMBER(AO196),AO196&gt;=5),AP196/AO196,"")</f>
        <v/>
      </c>
      <c r="AR196" s="43"/>
      <c r="AS196" s="43"/>
      <c r="AT196" s="22" t="str">
        <f aca="false">IF(AND(ISNUMBER(AS196),ISNUMBER(AR196),AR196&gt;0),AS196/AR196-1,"")</f>
        <v/>
      </c>
      <c r="AU196" s="44"/>
      <c r="AV196" s="44"/>
      <c r="AW196" s="44"/>
      <c r="AX196" s="44"/>
      <c r="AY196" s="44"/>
      <c r="AZ196" s="45"/>
      <c r="BA196" s="45"/>
      <c r="BB196" s="46"/>
      <c r="BC196" s="46"/>
      <c r="BD196" s="23" t="str">
        <f aca="false">IF(AND(ISNUMBER(BB196),ISNUMBER(BC196),BB196&gt;0),1-BC196/BB196,"")</f>
        <v/>
      </c>
      <c r="BE196" s="47"/>
      <c r="BF196" s="48"/>
      <c r="BG196" s="48"/>
      <c r="BH196" s="27" t="str">
        <f aca="false">IF(AND(ISNUMBER(BF196),ISNUMBER(BG196),BG196&gt;0),BF196/BG196,"")</f>
        <v/>
      </c>
      <c r="BI196" s="48"/>
      <c r="BJ196" s="44"/>
      <c r="BK196" s="46"/>
      <c r="BL196" s="46"/>
      <c r="BM196" s="36" t="str">
        <f aca="false">IF(ISNUMBER(Q196),IF(Q196&lt;0,"YES","no"),"")</f>
        <v>YES</v>
      </c>
      <c r="BN196" s="36" t="str">
        <f aca="false">IFERROR(IF(AND(ISNUMBER(K196),ISNUMBER(INDEX('Lift Inputs'!$H:$H,MATCH(C196,'Lift Inputs'!$C:$C,0)))),IF(K196&lt;INDEX('Lift Inputs'!$H:$H,MATCH(C196,'Lift Inputs'!$C:$C,0)),"YES","no"),""),"")</f>
        <v/>
      </c>
      <c r="BO196" s="44"/>
    </row>
    <row r="197" customFormat="false" ht="15" hidden="false" customHeight="false" outlineLevel="0" collapsed="false">
      <c r="A197" s="15" t="s">
        <v>71</v>
      </c>
      <c r="B197" s="15" t="s">
        <v>72</v>
      </c>
      <c r="C197" s="15" t="n">
        <v>37</v>
      </c>
      <c r="D197" s="15" t="s">
        <v>208</v>
      </c>
      <c r="E197" s="15" t="n">
        <v>1547</v>
      </c>
      <c r="F197" s="15" t="s">
        <v>607</v>
      </c>
      <c r="G197" s="15" t="s">
        <v>608</v>
      </c>
      <c r="H197" s="15" t="s">
        <v>609</v>
      </c>
      <c r="I197" s="15" t="s">
        <v>577</v>
      </c>
      <c r="J197" s="15" t="s">
        <v>177</v>
      </c>
      <c r="K197" s="35" t="n">
        <v>28.99</v>
      </c>
      <c r="L197" s="35"/>
      <c r="M197" s="23" t="str">
        <f aca="false">IF(AND(ISNUMBER(L197),ISNUMBER(K197),K197&gt;0),L197/K197-1,"")</f>
        <v/>
      </c>
      <c r="N197" s="36" t="str">
        <f aca="false">IF(M197="","No List Price",IF(M197&lt;=0,"At/below price",IF(M197&lt;=0.12,"&lt;=12% (STR zone)",IF(M197&lt;=0.25,"12-25%","&gt;25% (likely ignored)"))))</f>
        <v>No List Price</v>
      </c>
      <c r="O197" s="15"/>
      <c r="P197" s="35" t="n">
        <v>31.7828058727569</v>
      </c>
      <c r="Q197" s="22" t="n">
        <f aca="false">IF(AND(ISNUMBER(K197),ISNUMBER(P197),N(P197)&gt;0),K197/P197-1,"")</f>
        <v>-0.0878715958539968</v>
      </c>
      <c r="R197" s="15" t="s">
        <v>353</v>
      </c>
      <c r="S197" s="37" t="n">
        <v>300374</v>
      </c>
      <c r="T197" s="37" t="n">
        <v>5</v>
      </c>
      <c r="U197" s="38" t="n">
        <f aca="false">IF(AND(ISNUMBER(K197),ISNUMBER(T197)),K197*T197*52/12,"")</f>
        <v>628.116666666667</v>
      </c>
      <c r="V197" s="15" t="n">
        <v>4.3</v>
      </c>
      <c r="W197" s="37" t="n">
        <v>907</v>
      </c>
      <c r="X197" s="39" t="n">
        <v>46307</v>
      </c>
      <c r="Y197" s="15"/>
      <c r="Z197" s="40"/>
      <c r="AA197" s="41" t="str">
        <f aca="false">IF(ISNUMBER(Z197),(DATE(2026,10,13)-Z197)/365,"")</f>
        <v/>
      </c>
      <c r="AB197" s="37"/>
      <c r="AC197" s="15"/>
      <c r="AD197" s="15"/>
      <c r="AE197" s="15"/>
      <c r="AF197" s="42"/>
      <c r="AG197" s="42"/>
      <c r="AH197" s="15"/>
      <c r="AI197" s="37"/>
      <c r="AJ197" s="37"/>
      <c r="AK197" s="15"/>
      <c r="AL197" s="43"/>
      <c r="AM197" s="43"/>
      <c r="AN197" s="25" t="str">
        <f aca="false">IF(AND(ISNUMBER(AM197),ISNUMBER(AL197),AL197&gt;=5),AM197/AL197,"")</f>
        <v/>
      </c>
      <c r="AO197" s="43"/>
      <c r="AP197" s="43"/>
      <c r="AQ197" s="25" t="str">
        <f aca="false">IF(AND(ISNUMBER(AP197),ISNUMBER(AO197),AO197&gt;=5),AP197/AO197,"")</f>
        <v/>
      </c>
      <c r="AR197" s="43"/>
      <c r="AS197" s="43"/>
      <c r="AT197" s="22" t="str">
        <f aca="false">IF(AND(ISNUMBER(AS197),ISNUMBER(AR197),AR197&gt;0),AS197/AR197-1,"")</f>
        <v/>
      </c>
      <c r="AU197" s="44"/>
      <c r="AV197" s="44"/>
      <c r="AW197" s="44"/>
      <c r="AX197" s="44"/>
      <c r="AY197" s="44"/>
      <c r="AZ197" s="45"/>
      <c r="BA197" s="45"/>
      <c r="BB197" s="46"/>
      <c r="BC197" s="46"/>
      <c r="BD197" s="23" t="str">
        <f aca="false">IF(AND(ISNUMBER(BB197),ISNUMBER(BC197),BB197&gt;0),1-BC197/BB197,"")</f>
        <v/>
      </c>
      <c r="BE197" s="47"/>
      <c r="BF197" s="48"/>
      <c r="BG197" s="48"/>
      <c r="BH197" s="27" t="str">
        <f aca="false">IF(AND(ISNUMBER(BF197),ISNUMBER(BG197),BG197&gt;0),BF197/BG197,"")</f>
        <v/>
      </c>
      <c r="BI197" s="48"/>
      <c r="BJ197" s="44"/>
      <c r="BK197" s="46"/>
      <c r="BL197" s="46"/>
      <c r="BM197" s="36" t="str">
        <f aca="false">IF(ISNUMBER(Q197),IF(Q197&lt;0,"YES","no"),"")</f>
        <v>YES</v>
      </c>
      <c r="BN197" s="36" t="str">
        <f aca="false">IFERROR(IF(AND(ISNUMBER(K197),ISNUMBER(INDEX('Lift Inputs'!$H:$H,MATCH(C197,'Lift Inputs'!$C:$C,0)))),IF(K197&lt;INDEX('Lift Inputs'!$H:$H,MATCH(C197,'Lift Inputs'!$C:$C,0)),"YES","no"),""),"")</f>
        <v/>
      </c>
      <c r="BO197" s="44"/>
    </row>
    <row r="198" customFormat="false" ht="15" hidden="false" customHeight="false" outlineLevel="0" collapsed="false">
      <c r="A198" s="15" t="s">
        <v>71</v>
      </c>
      <c r="B198" s="15" t="s">
        <v>72</v>
      </c>
      <c r="C198" s="15" t="n">
        <v>37</v>
      </c>
      <c r="D198" s="15" t="s">
        <v>208</v>
      </c>
      <c r="E198" s="15" t="n">
        <v>1546</v>
      </c>
      <c r="F198" s="15" t="s">
        <v>610</v>
      </c>
      <c r="G198" s="15" t="s">
        <v>611</v>
      </c>
      <c r="H198" s="15" t="s">
        <v>612</v>
      </c>
      <c r="I198" s="15" t="s">
        <v>577</v>
      </c>
      <c r="J198" s="15" t="s">
        <v>177</v>
      </c>
      <c r="K198" s="35" t="n">
        <v>25.99</v>
      </c>
      <c r="L198" s="35"/>
      <c r="M198" s="23" t="str">
        <f aca="false">IF(AND(ISNUMBER(L198),ISNUMBER(K198),K198&gt;0),L198/K198-1,"")</f>
        <v/>
      </c>
      <c r="N198" s="36" t="str">
        <f aca="false">IF(M198="","No List Price",IF(M198&lt;=0,"At/below price",IF(M198&lt;=0.12,"&lt;=12% (STR zone)",IF(M198&lt;=0.25,"12-25%","&gt;25% (likely ignored)"))))</f>
        <v>No List Price</v>
      </c>
      <c r="O198" s="15"/>
      <c r="P198" s="35" t="n">
        <v>31.7828058727569</v>
      </c>
      <c r="Q198" s="22" t="n">
        <f aca="false">IF(AND(ISNUMBER(K198),ISNUMBER(P198),N(P198)&gt;0),K198/P198-1,"")</f>
        <v>-0.18226225513092</v>
      </c>
      <c r="R198" s="15" t="s">
        <v>353</v>
      </c>
      <c r="S198" s="37" t="n">
        <v>52458</v>
      </c>
      <c r="T198" s="37" t="n">
        <v>5</v>
      </c>
      <c r="U198" s="38" t="n">
        <f aca="false">IF(AND(ISNUMBER(K198),ISNUMBER(T198)),K198*T198*52/12,"")</f>
        <v>563.116666666667</v>
      </c>
      <c r="V198" s="15" t="n">
        <v>4.3</v>
      </c>
      <c r="W198" s="37" t="n">
        <v>2260</v>
      </c>
      <c r="X198" s="39" t="n">
        <v>46307</v>
      </c>
      <c r="Y198" s="15"/>
      <c r="Z198" s="40"/>
      <c r="AA198" s="41" t="str">
        <f aca="false">IF(ISNUMBER(Z198),(DATE(2026,10,13)-Z198)/365,"")</f>
        <v/>
      </c>
      <c r="AB198" s="37"/>
      <c r="AC198" s="15"/>
      <c r="AD198" s="15"/>
      <c r="AE198" s="15"/>
      <c r="AF198" s="42"/>
      <c r="AG198" s="42"/>
      <c r="AH198" s="15"/>
      <c r="AI198" s="37"/>
      <c r="AJ198" s="37"/>
      <c r="AK198" s="15"/>
      <c r="AL198" s="43"/>
      <c r="AM198" s="43"/>
      <c r="AN198" s="25" t="str">
        <f aca="false">IF(AND(ISNUMBER(AM198),ISNUMBER(AL198),AL198&gt;=5),AM198/AL198,"")</f>
        <v/>
      </c>
      <c r="AO198" s="43"/>
      <c r="AP198" s="43"/>
      <c r="AQ198" s="25" t="str">
        <f aca="false">IF(AND(ISNUMBER(AP198),ISNUMBER(AO198),AO198&gt;=5),AP198/AO198,"")</f>
        <v/>
      </c>
      <c r="AR198" s="43"/>
      <c r="AS198" s="43"/>
      <c r="AT198" s="22" t="str">
        <f aca="false">IF(AND(ISNUMBER(AS198),ISNUMBER(AR198),AR198&gt;0),AS198/AR198-1,"")</f>
        <v/>
      </c>
      <c r="AU198" s="44"/>
      <c r="AV198" s="44"/>
      <c r="AW198" s="44"/>
      <c r="AX198" s="44"/>
      <c r="AY198" s="44"/>
      <c r="AZ198" s="45"/>
      <c r="BA198" s="45"/>
      <c r="BB198" s="46"/>
      <c r="BC198" s="46"/>
      <c r="BD198" s="23" t="str">
        <f aca="false">IF(AND(ISNUMBER(BB198),ISNUMBER(BC198),BB198&gt;0),1-BC198/BB198,"")</f>
        <v/>
      </c>
      <c r="BE198" s="47"/>
      <c r="BF198" s="48"/>
      <c r="BG198" s="48"/>
      <c r="BH198" s="27" t="str">
        <f aca="false">IF(AND(ISNUMBER(BF198),ISNUMBER(BG198),BG198&gt;0),BF198/BG198,"")</f>
        <v/>
      </c>
      <c r="BI198" s="48"/>
      <c r="BJ198" s="44"/>
      <c r="BK198" s="46"/>
      <c r="BL198" s="46"/>
      <c r="BM198" s="36" t="str">
        <f aca="false">IF(ISNUMBER(Q198),IF(Q198&lt;0,"YES","no"),"")</f>
        <v>YES</v>
      </c>
      <c r="BN198" s="36" t="str">
        <f aca="false">IFERROR(IF(AND(ISNUMBER(K198),ISNUMBER(INDEX('Lift Inputs'!$H:$H,MATCH(C198,'Lift Inputs'!$C:$C,0)))),IF(K198&lt;INDEX('Lift Inputs'!$H:$H,MATCH(C198,'Lift Inputs'!$C:$C,0)),"YES","no"),""),"")</f>
        <v/>
      </c>
      <c r="BO198" s="44"/>
    </row>
    <row r="199" customFormat="false" ht="15" hidden="false" customHeight="false" outlineLevel="0" collapsed="false">
      <c r="A199" s="15" t="s">
        <v>71</v>
      </c>
      <c r="B199" s="15" t="s">
        <v>72</v>
      </c>
      <c r="C199" s="15" t="n">
        <v>37</v>
      </c>
      <c r="D199" s="15" t="s">
        <v>208</v>
      </c>
      <c r="E199" s="15" t="n">
        <v>147</v>
      </c>
      <c r="F199" s="15" t="s">
        <v>613</v>
      </c>
      <c r="G199" s="15" t="s">
        <v>614</v>
      </c>
      <c r="H199" s="15" t="s">
        <v>615</v>
      </c>
      <c r="I199" s="15" t="s">
        <v>616</v>
      </c>
      <c r="J199" s="15" t="s">
        <v>178</v>
      </c>
      <c r="K199" s="35" t="n">
        <v>26.99</v>
      </c>
      <c r="L199" s="35"/>
      <c r="M199" s="23" t="str">
        <f aca="false">IF(AND(ISNUMBER(L199),ISNUMBER(K199),K199&gt;0),L199/K199-1,"")</f>
        <v/>
      </c>
      <c r="N199" s="36" t="str">
        <f aca="false">IF(M199="","No List Price",IF(M199&lt;=0,"At/below price",IF(M199&lt;=0.12,"&lt;=12% (STR zone)",IF(M199&lt;=0.25,"12-25%","&gt;25% (likely ignored)"))))</f>
        <v>No List Price</v>
      </c>
      <c r="O199" s="15" t="s">
        <v>311</v>
      </c>
      <c r="P199" s="35" t="n">
        <v>31.7828058727569</v>
      </c>
      <c r="Q199" s="22" t="n">
        <f aca="false">IF(AND(ISNUMBER(K199),ISNUMBER(P199),N(P199)&gt;0),K199/P199-1,"")</f>
        <v>-0.150798702038612</v>
      </c>
      <c r="R199" s="15" t="s">
        <v>312</v>
      </c>
      <c r="S199" s="37" t="n">
        <v>20031</v>
      </c>
      <c r="T199" s="37" t="n">
        <v>104</v>
      </c>
      <c r="U199" s="38" t="n">
        <f aca="false">IF(AND(ISNUMBER(K199),ISNUMBER(T199)),K199*T199*52/12,"")</f>
        <v>12163.4933333333</v>
      </c>
      <c r="V199" s="15" t="n">
        <v>4.4</v>
      </c>
      <c r="W199" s="37" t="n">
        <v>4031</v>
      </c>
      <c r="X199" s="39" t="n">
        <v>46307</v>
      </c>
      <c r="Y199" s="15" t="n">
        <v>47</v>
      </c>
      <c r="Z199" s="40" t="n">
        <v>44180</v>
      </c>
      <c r="AA199" s="41" t="n">
        <f aca="false">IF(ISNUMBER(Z199),(DATE(2026,10,13)-Z199)/365,"")</f>
        <v>5.83013698630137</v>
      </c>
      <c r="AB199" s="37" t="n">
        <v>3299</v>
      </c>
      <c r="AC199" s="15" t="s">
        <v>313</v>
      </c>
      <c r="AD199" s="15" t="n">
        <v>1</v>
      </c>
      <c r="AE199" s="15" t="s">
        <v>331</v>
      </c>
      <c r="AF199" s="42" t="n">
        <v>0</v>
      </c>
      <c r="AG199" s="42" t="n">
        <v>0</v>
      </c>
      <c r="AH199" s="15" t="n">
        <v>125</v>
      </c>
      <c r="AI199" s="37" t="n">
        <v>66544</v>
      </c>
      <c r="AJ199" s="37" t="n">
        <v>832</v>
      </c>
      <c r="AK199" s="15" t="s">
        <v>326</v>
      </c>
      <c r="AL199" s="43" t="n">
        <v>82.8</v>
      </c>
      <c r="AM199" s="43" t="n">
        <v>97</v>
      </c>
      <c r="AN199" s="25" t="n">
        <f aca="false">IF(AND(ISNUMBER(AM199),ISNUMBER(AL199),AL199&gt;=5),AM199/AL199,"")</f>
        <v>1.17149758454106</v>
      </c>
      <c r="AO199" s="43" t="n">
        <v>8.8</v>
      </c>
      <c r="AP199" s="43" t="n">
        <v>12.2</v>
      </c>
      <c r="AQ199" s="25" t="n">
        <f aca="false">IF(AND(ISNUMBER(AP199),ISNUMBER(AO199),AO199&gt;=5),AP199/AO199,"")</f>
        <v>1.38636363636364</v>
      </c>
      <c r="AR199" s="43" t="n">
        <v>82.4</v>
      </c>
      <c r="AS199" s="43" t="n">
        <v>132.5</v>
      </c>
      <c r="AT199" s="22" t="n">
        <f aca="false">IF(AND(ISNUMBER(AS199),ISNUMBER(AR199),AR199&gt;0),AS199/AR199-1,"")</f>
        <v>0.608009708737864</v>
      </c>
      <c r="AU199" s="44"/>
      <c r="AV199" s="44"/>
      <c r="AW199" s="44"/>
      <c r="AX199" s="44"/>
      <c r="AY199" s="44"/>
      <c r="AZ199" s="45"/>
      <c r="BA199" s="45"/>
      <c r="BB199" s="46"/>
      <c r="BC199" s="46"/>
      <c r="BD199" s="23" t="str">
        <f aca="false">IF(AND(ISNUMBER(BB199),ISNUMBER(BC199),BB199&gt;0),1-BC199/BB199,"")</f>
        <v/>
      </c>
      <c r="BE199" s="47"/>
      <c r="BF199" s="48"/>
      <c r="BG199" s="48"/>
      <c r="BH199" s="27" t="str">
        <f aca="false">IF(AND(ISNUMBER(BF199),ISNUMBER(BG199),BG199&gt;0),BF199/BG199,"")</f>
        <v/>
      </c>
      <c r="BI199" s="48"/>
      <c r="BJ199" s="44"/>
      <c r="BK199" s="46"/>
      <c r="BL199" s="46"/>
      <c r="BM199" s="36" t="str">
        <f aca="false">IF(ISNUMBER(Q199),IF(Q199&lt;0,"YES","no"),"")</f>
        <v>YES</v>
      </c>
      <c r="BN199" s="36" t="str">
        <f aca="false">IFERROR(IF(AND(ISNUMBER(K199),ISNUMBER(INDEX('Lift Inputs'!$H:$H,MATCH(C199,'Lift Inputs'!$C:$C,0)))),IF(K199&lt;INDEX('Lift Inputs'!$H:$H,MATCH(C199,'Lift Inputs'!$C:$C,0)),"YES","no"),""),"")</f>
        <v/>
      </c>
      <c r="BO199" s="44"/>
    </row>
    <row r="200" customFormat="false" ht="15" hidden="false" customHeight="false" outlineLevel="0" collapsed="false">
      <c r="A200" s="15" t="s">
        <v>71</v>
      </c>
      <c r="B200" s="15" t="s">
        <v>72</v>
      </c>
      <c r="C200" s="15" t="n">
        <v>37</v>
      </c>
      <c r="D200" s="15" t="s">
        <v>208</v>
      </c>
      <c r="E200" s="15" t="n">
        <v>146</v>
      </c>
      <c r="F200" s="15" t="s">
        <v>307</v>
      </c>
      <c r="G200" s="15" t="s">
        <v>617</v>
      </c>
      <c r="H200" s="15" t="s">
        <v>618</v>
      </c>
      <c r="I200" s="15" t="s">
        <v>577</v>
      </c>
      <c r="J200" s="15" t="s">
        <v>178</v>
      </c>
      <c r="K200" s="35" t="n">
        <v>19.99</v>
      </c>
      <c r="L200" s="35"/>
      <c r="M200" s="23" t="str">
        <f aca="false">IF(AND(ISNUMBER(L200),ISNUMBER(K200),K200&gt;0),L200/K200-1,"")</f>
        <v/>
      </c>
      <c r="N200" s="36" t="str">
        <f aca="false">IF(M200="","No List Price",IF(M200&lt;=0,"At/below price",IF(M200&lt;=0.12,"&lt;=12% (STR zone)",IF(M200&lt;=0.25,"12-25%","&gt;25% (likely ignored)"))))</f>
        <v>No List Price</v>
      </c>
      <c r="O200" s="15"/>
      <c r="P200" s="35" t="n">
        <v>31.7828058727569</v>
      </c>
      <c r="Q200" s="22" t="n">
        <f aca="false">IF(AND(ISNUMBER(K200),ISNUMBER(P200),N(P200)&gt;0),K200/P200-1,"")</f>
        <v>-0.371043573684767</v>
      </c>
      <c r="R200" s="15" t="s">
        <v>353</v>
      </c>
      <c r="S200" s="37" t="n">
        <v>22342</v>
      </c>
      <c r="T200" s="37" t="n">
        <v>92</v>
      </c>
      <c r="U200" s="38" t="n">
        <f aca="false">IF(AND(ISNUMBER(K200),ISNUMBER(T200)),K200*T200*52/12,"")</f>
        <v>7969.34666666667</v>
      </c>
      <c r="V200" s="15" t="n">
        <v>4.3</v>
      </c>
      <c r="W200" s="37" t="n">
        <v>2745</v>
      </c>
      <c r="X200" s="39" t="n">
        <v>46307</v>
      </c>
      <c r="Y200" s="15"/>
      <c r="Z200" s="40"/>
      <c r="AA200" s="41" t="str">
        <f aca="false">IF(ISNUMBER(Z200),(DATE(2026,10,13)-Z200)/365,"")</f>
        <v/>
      </c>
      <c r="AB200" s="37"/>
      <c r="AC200" s="15"/>
      <c r="AD200" s="15"/>
      <c r="AE200" s="15"/>
      <c r="AF200" s="42"/>
      <c r="AG200" s="42"/>
      <c r="AH200" s="15"/>
      <c r="AI200" s="37" t="n">
        <v>89691</v>
      </c>
      <c r="AJ200" s="37" t="n">
        <v>1094</v>
      </c>
      <c r="AK200" s="15" t="s">
        <v>315</v>
      </c>
      <c r="AL200" s="43" t="n">
        <v>20.8</v>
      </c>
      <c r="AM200" s="43" t="n">
        <v>31.8</v>
      </c>
      <c r="AN200" s="25" t="n">
        <f aca="false">IF(AND(ISNUMBER(AM200),ISNUMBER(AL200),AL200&gt;=5),AM200/AL200,"")</f>
        <v>1.52884615384615</v>
      </c>
      <c r="AO200" s="43" t="n">
        <v>20.4</v>
      </c>
      <c r="AP200" s="43" t="n">
        <v>17.8</v>
      </c>
      <c r="AQ200" s="25" t="n">
        <f aca="false">IF(AND(ISNUMBER(AP200),ISNUMBER(AO200),AO200&gt;=5),AP200/AO200,"")</f>
        <v>0.872549019607843</v>
      </c>
      <c r="AR200" s="43" t="n">
        <v>24.4</v>
      </c>
      <c r="AS200" s="43" t="n">
        <v>28.2</v>
      </c>
      <c r="AT200" s="22" t="n">
        <f aca="false">IF(AND(ISNUMBER(AS200),ISNUMBER(AR200),AR200&gt;0),AS200/AR200-1,"")</f>
        <v>0.155737704918033</v>
      </c>
      <c r="AU200" s="44"/>
      <c r="AV200" s="44"/>
      <c r="AW200" s="44"/>
      <c r="AX200" s="44"/>
      <c r="AY200" s="44"/>
      <c r="AZ200" s="45"/>
      <c r="BA200" s="45"/>
      <c r="BB200" s="46"/>
      <c r="BC200" s="46"/>
      <c r="BD200" s="23" t="str">
        <f aca="false">IF(AND(ISNUMBER(BB200),ISNUMBER(BC200),BB200&gt;0),1-BC200/BB200,"")</f>
        <v/>
      </c>
      <c r="BE200" s="47"/>
      <c r="BF200" s="48"/>
      <c r="BG200" s="48"/>
      <c r="BH200" s="27" t="str">
        <f aca="false">IF(AND(ISNUMBER(BF200),ISNUMBER(BG200),BG200&gt;0),BF200/BG200,"")</f>
        <v/>
      </c>
      <c r="BI200" s="48"/>
      <c r="BJ200" s="44"/>
      <c r="BK200" s="46"/>
      <c r="BL200" s="46"/>
      <c r="BM200" s="36" t="str">
        <f aca="false">IF(ISNUMBER(Q200),IF(Q200&lt;0,"YES","no"),"")</f>
        <v>YES</v>
      </c>
      <c r="BN200" s="36" t="str">
        <f aca="false">IFERROR(IF(AND(ISNUMBER(K200),ISNUMBER(INDEX('Lift Inputs'!$H:$H,MATCH(C200,'Lift Inputs'!$C:$C,0)))),IF(K200&lt;INDEX('Lift Inputs'!$H:$H,MATCH(C200,'Lift Inputs'!$C:$C,0)),"YES","no"),""),"")</f>
        <v/>
      </c>
      <c r="BO200" s="44"/>
    </row>
    <row r="201" customFormat="false" ht="15" hidden="false" customHeight="false" outlineLevel="0" collapsed="false">
      <c r="A201" s="15" t="s">
        <v>71</v>
      </c>
      <c r="B201" s="15" t="s">
        <v>72</v>
      </c>
      <c r="C201" s="15" t="n">
        <v>37</v>
      </c>
      <c r="D201" s="15" t="s">
        <v>208</v>
      </c>
      <c r="E201" s="15" t="n">
        <v>625</v>
      </c>
      <c r="F201" s="15" t="s">
        <v>619</v>
      </c>
      <c r="G201" s="15" t="s">
        <v>620</v>
      </c>
      <c r="H201" s="15" t="s">
        <v>621</v>
      </c>
      <c r="I201" s="15" t="s">
        <v>622</v>
      </c>
      <c r="J201" s="15" t="s">
        <v>178</v>
      </c>
      <c r="K201" s="35" t="n">
        <v>21.99</v>
      </c>
      <c r="L201" s="35"/>
      <c r="M201" s="23" t="str">
        <f aca="false">IF(AND(ISNUMBER(L201),ISNUMBER(K201),K201&gt;0),L201/K201-1,"")</f>
        <v/>
      </c>
      <c r="N201" s="36" t="str">
        <f aca="false">IF(M201="","No List Price",IF(M201&lt;=0,"At/below price",IF(M201&lt;=0.12,"&lt;=12% (STR zone)",IF(M201&lt;=0.25,"12-25%","&gt;25% (likely ignored)"))))</f>
        <v>No List Price</v>
      </c>
      <c r="O201" s="15" t="s">
        <v>520</v>
      </c>
      <c r="P201" s="35" t="n">
        <v>30.9834572490706</v>
      </c>
      <c r="Q201" s="22" t="n">
        <f aca="false">IF(AND(ISNUMBER(K201),ISNUMBER(P201),N(P201)&gt;0),K201/P201-1,"")</f>
        <v>-0.290266421102519</v>
      </c>
      <c r="R201" s="15" t="s">
        <v>623</v>
      </c>
      <c r="S201" s="37" t="n">
        <v>132024</v>
      </c>
      <c r="T201" s="37" t="n">
        <v>81</v>
      </c>
      <c r="U201" s="38" t="n">
        <f aca="false">IF(AND(ISNUMBER(K201),ISNUMBER(T201)),K201*T201*52/12,"")</f>
        <v>7718.49</v>
      </c>
      <c r="V201" s="15" t="n">
        <v>4.4</v>
      </c>
      <c r="W201" s="37" t="n">
        <v>3943</v>
      </c>
      <c r="X201" s="39" t="n">
        <v>46307</v>
      </c>
      <c r="Y201" s="15" t="n">
        <v>94</v>
      </c>
      <c r="Z201" s="40" t="n">
        <v>44451</v>
      </c>
      <c r="AA201" s="41" t="n">
        <f aca="false">IF(ISNUMBER(Z201),(DATE(2026,10,13)-Z201)/365,"")</f>
        <v>5.08767123287671</v>
      </c>
      <c r="AB201" s="37" t="n">
        <v>2237</v>
      </c>
      <c r="AC201" s="15" t="s">
        <v>313</v>
      </c>
      <c r="AD201" s="15" t="n">
        <v>1</v>
      </c>
      <c r="AE201" s="15" t="s">
        <v>331</v>
      </c>
      <c r="AF201" s="42" t="n">
        <v>0</v>
      </c>
      <c r="AG201" s="42" t="n">
        <v>0</v>
      </c>
      <c r="AH201" s="15" t="n">
        <v>296</v>
      </c>
      <c r="AI201" s="37" t="n">
        <v>48561</v>
      </c>
      <c r="AJ201" s="37" t="n">
        <v>615</v>
      </c>
      <c r="AK201" s="15" t="s">
        <v>326</v>
      </c>
      <c r="AL201" s="43" t="n">
        <v>38.5</v>
      </c>
      <c r="AM201" s="43" t="n">
        <v>33.8</v>
      </c>
      <c r="AN201" s="25" t="n">
        <f aca="false">IF(AND(ISNUMBER(AM201),ISNUMBER(AL201),AL201&gt;=5),AM201/AL201,"")</f>
        <v>0.877922077922078</v>
      </c>
      <c r="AO201" s="43" t="n">
        <v>4.3</v>
      </c>
      <c r="AP201" s="43" t="n">
        <v>5</v>
      </c>
      <c r="AQ201" s="25" t="str">
        <f aca="false">IF(AND(ISNUMBER(AP201),ISNUMBER(AO201),AO201&gt;=5),AP201/AO201,"")</f>
        <v/>
      </c>
      <c r="AR201" s="43" t="n">
        <v>35.7</v>
      </c>
      <c r="AS201" s="43" t="n">
        <v>64.4</v>
      </c>
      <c r="AT201" s="22" t="n">
        <f aca="false">IF(AND(ISNUMBER(AS201),ISNUMBER(AR201),AR201&gt;0),AS201/AR201-1,"")</f>
        <v>0.803921568627451</v>
      </c>
      <c r="AU201" s="44"/>
      <c r="AV201" s="44"/>
      <c r="AW201" s="44"/>
      <c r="AX201" s="44"/>
      <c r="AY201" s="44"/>
      <c r="AZ201" s="45"/>
      <c r="BA201" s="45"/>
      <c r="BB201" s="46"/>
      <c r="BC201" s="46"/>
      <c r="BD201" s="23" t="str">
        <f aca="false">IF(AND(ISNUMBER(BB201),ISNUMBER(BC201),BB201&gt;0),1-BC201/BB201,"")</f>
        <v/>
      </c>
      <c r="BE201" s="47"/>
      <c r="BF201" s="48"/>
      <c r="BG201" s="48"/>
      <c r="BH201" s="27" t="str">
        <f aca="false">IF(AND(ISNUMBER(BF201),ISNUMBER(BG201),BG201&gt;0),BF201/BG201,"")</f>
        <v/>
      </c>
      <c r="BI201" s="48"/>
      <c r="BJ201" s="44"/>
      <c r="BK201" s="46"/>
      <c r="BL201" s="46"/>
      <c r="BM201" s="36" t="str">
        <f aca="false">IF(ISNUMBER(Q201),IF(Q201&lt;0,"YES","no"),"")</f>
        <v>YES</v>
      </c>
      <c r="BN201" s="36" t="str">
        <f aca="false">IFERROR(IF(AND(ISNUMBER(K201),ISNUMBER(INDEX('Lift Inputs'!$H:$H,MATCH(C201,'Lift Inputs'!$C:$C,0)))),IF(K201&lt;INDEX('Lift Inputs'!$H:$H,MATCH(C201,'Lift Inputs'!$C:$C,0)),"YES","no"),""),"")</f>
        <v/>
      </c>
      <c r="BO201" s="44"/>
    </row>
    <row r="202" customFormat="false" ht="15" hidden="false" customHeight="false" outlineLevel="0" collapsed="false">
      <c r="A202" s="15" t="s">
        <v>71</v>
      </c>
      <c r="B202" s="15" t="s">
        <v>72</v>
      </c>
      <c r="C202" s="15" t="n">
        <v>37</v>
      </c>
      <c r="D202" s="15" t="s">
        <v>208</v>
      </c>
      <c r="E202" s="15" t="n">
        <v>142</v>
      </c>
      <c r="F202" s="15" t="s">
        <v>624</v>
      </c>
      <c r="G202" s="15" t="s">
        <v>625</v>
      </c>
      <c r="H202" s="15" t="s">
        <v>626</v>
      </c>
      <c r="I202" s="15" t="s">
        <v>577</v>
      </c>
      <c r="J202" s="15" t="s">
        <v>178</v>
      </c>
      <c r="K202" s="35" t="n">
        <v>30.99</v>
      </c>
      <c r="L202" s="35"/>
      <c r="M202" s="23" t="str">
        <f aca="false">IF(AND(ISNUMBER(L202),ISNUMBER(K202),K202&gt;0),L202/K202-1,"")</f>
        <v/>
      </c>
      <c r="N202" s="36" t="str">
        <f aca="false">IF(M202="","No List Price",IF(M202&lt;=0,"At/below price",IF(M202&lt;=0.12,"&lt;=12% (STR zone)",IF(M202&lt;=0.25,"12-25%","&gt;25% (likely ignored)"))))</f>
        <v>No List Price</v>
      </c>
      <c r="O202" s="15"/>
      <c r="P202" s="35" t="n">
        <v>31.7828058727569</v>
      </c>
      <c r="Q202" s="22" t="n">
        <f aca="false">IF(AND(ISNUMBER(K202),ISNUMBER(P202),N(P202)&gt;0),K202/P202-1,"")</f>
        <v>-0.0249444896693812</v>
      </c>
      <c r="R202" s="15" t="s">
        <v>353</v>
      </c>
      <c r="S202" s="37" t="n">
        <v>83620</v>
      </c>
      <c r="T202" s="37" t="n">
        <v>35</v>
      </c>
      <c r="U202" s="38" t="n">
        <f aca="false">IF(AND(ISNUMBER(K202),ISNUMBER(T202)),K202*T202*52/12,"")</f>
        <v>4700.15</v>
      </c>
      <c r="V202" s="15" t="n">
        <v>4.2</v>
      </c>
      <c r="W202" s="37" t="n">
        <v>909</v>
      </c>
      <c r="X202" s="39" t="n">
        <v>46307</v>
      </c>
      <c r="Y202" s="15"/>
      <c r="Z202" s="40"/>
      <c r="AA202" s="41" t="str">
        <f aca="false">IF(ISNUMBER(Z202),(DATE(2026,10,13)-Z202)/365,"")</f>
        <v/>
      </c>
      <c r="AB202" s="37"/>
      <c r="AC202" s="15"/>
      <c r="AD202" s="15"/>
      <c r="AE202" s="15"/>
      <c r="AF202" s="42"/>
      <c r="AG202" s="42"/>
      <c r="AH202" s="15"/>
      <c r="AI202" s="37" t="n">
        <v>11441</v>
      </c>
      <c r="AJ202" s="37" t="n">
        <v>382</v>
      </c>
      <c r="AK202" s="15" t="s">
        <v>326</v>
      </c>
      <c r="AL202" s="43" t="n">
        <v>36</v>
      </c>
      <c r="AM202" s="43" t="n">
        <v>35.5</v>
      </c>
      <c r="AN202" s="25" t="n">
        <f aca="false">IF(AND(ISNUMBER(AM202),ISNUMBER(AL202),AL202&gt;=5),AM202/AL202,"")</f>
        <v>0.986111111111111</v>
      </c>
      <c r="AO202" s="43" t="n">
        <v>1.2</v>
      </c>
      <c r="AP202" s="43" t="n">
        <v>0.5</v>
      </c>
      <c r="AQ202" s="25" t="str">
        <f aca="false">IF(AND(ISNUMBER(AP202),ISNUMBER(AO202),AO202&gt;=5),AP202/AO202,"")</f>
        <v/>
      </c>
      <c r="AR202" s="43" t="n">
        <v>28.2</v>
      </c>
      <c r="AS202" s="43" t="n">
        <v>41.4</v>
      </c>
      <c r="AT202" s="22" t="n">
        <f aca="false">IF(AND(ISNUMBER(AS202),ISNUMBER(AR202),AR202&gt;0),AS202/AR202-1,"")</f>
        <v>0.468085106382979</v>
      </c>
      <c r="AU202" s="44"/>
      <c r="AV202" s="44"/>
      <c r="AW202" s="44"/>
      <c r="AX202" s="44"/>
      <c r="AY202" s="44"/>
      <c r="AZ202" s="45"/>
      <c r="BA202" s="45"/>
      <c r="BB202" s="46"/>
      <c r="BC202" s="46"/>
      <c r="BD202" s="23" t="str">
        <f aca="false">IF(AND(ISNUMBER(BB202),ISNUMBER(BC202),BB202&gt;0),1-BC202/BB202,"")</f>
        <v/>
      </c>
      <c r="BE202" s="47"/>
      <c r="BF202" s="48"/>
      <c r="BG202" s="48"/>
      <c r="BH202" s="27" t="str">
        <f aca="false">IF(AND(ISNUMBER(BF202),ISNUMBER(BG202),BG202&gt;0),BF202/BG202,"")</f>
        <v/>
      </c>
      <c r="BI202" s="48"/>
      <c r="BJ202" s="44"/>
      <c r="BK202" s="46"/>
      <c r="BL202" s="46"/>
      <c r="BM202" s="36" t="str">
        <f aca="false">IF(ISNUMBER(Q202),IF(Q202&lt;0,"YES","no"),"")</f>
        <v>YES</v>
      </c>
      <c r="BN202" s="36" t="str">
        <f aca="false">IFERROR(IF(AND(ISNUMBER(K202),ISNUMBER(INDEX('Lift Inputs'!$H:$H,MATCH(C202,'Lift Inputs'!$C:$C,0)))),IF(K202&lt;INDEX('Lift Inputs'!$H:$H,MATCH(C202,'Lift Inputs'!$C:$C,0)),"YES","no"),""),"")</f>
        <v/>
      </c>
      <c r="BO202" s="44"/>
    </row>
    <row r="203" customFormat="false" ht="15" hidden="false" customHeight="false" outlineLevel="0" collapsed="false">
      <c r="A203" s="15" t="s">
        <v>71</v>
      </c>
      <c r="B203" s="15" t="s">
        <v>72</v>
      </c>
      <c r="C203" s="15" t="n">
        <v>37</v>
      </c>
      <c r="D203" s="15" t="s">
        <v>208</v>
      </c>
      <c r="E203" s="15" t="n">
        <v>1542</v>
      </c>
      <c r="F203" s="15" t="s">
        <v>627</v>
      </c>
      <c r="G203" s="15" t="s">
        <v>628</v>
      </c>
      <c r="H203" s="15" t="s">
        <v>629</v>
      </c>
      <c r="I203" s="15" t="s">
        <v>577</v>
      </c>
      <c r="J203" s="15" t="s">
        <v>178</v>
      </c>
      <c r="K203" s="35" t="n">
        <v>24.99</v>
      </c>
      <c r="L203" s="35"/>
      <c r="M203" s="23" t="str">
        <f aca="false">IF(AND(ISNUMBER(L203),ISNUMBER(K203),K203&gt;0),L203/K203-1,"")</f>
        <v/>
      </c>
      <c r="N203" s="36" t="str">
        <f aca="false">IF(M203="","No List Price",IF(M203&lt;=0,"At/below price",IF(M203&lt;=0.12,"&lt;=12% (STR zone)",IF(M203&lt;=0.25,"12-25%","&gt;25% (likely ignored)"))))</f>
        <v>No List Price</v>
      </c>
      <c r="O203" s="15"/>
      <c r="P203" s="35" t="n">
        <v>31.7828058727569</v>
      </c>
      <c r="Q203" s="22" t="n">
        <f aca="false">IF(AND(ISNUMBER(K203),ISNUMBER(P203),N(P203)&gt;0),K203/P203-1,"")</f>
        <v>-0.213725808223228</v>
      </c>
      <c r="R203" s="15" t="s">
        <v>353</v>
      </c>
      <c r="S203" s="37" t="n">
        <v>180867</v>
      </c>
      <c r="T203" s="37" t="n">
        <v>18</v>
      </c>
      <c r="U203" s="38" t="n">
        <f aca="false">IF(AND(ISNUMBER(K203),ISNUMBER(T203)),K203*T203*52/12,"")</f>
        <v>1949.22</v>
      </c>
      <c r="V203" s="15" t="n">
        <v>4.3</v>
      </c>
      <c r="W203" s="37" t="n">
        <v>1032</v>
      </c>
      <c r="X203" s="39" t="n">
        <v>46307</v>
      </c>
      <c r="Y203" s="15"/>
      <c r="Z203" s="40"/>
      <c r="AA203" s="41" t="str">
        <f aca="false">IF(ISNUMBER(Z203),(DATE(2026,10,13)-Z203)/365,"")</f>
        <v/>
      </c>
      <c r="AB203" s="37"/>
      <c r="AC203" s="15"/>
      <c r="AD203" s="15"/>
      <c r="AE203" s="15"/>
      <c r="AF203" s="42"/>
      <c r="AG203" s="42"/>
      <c r="AH203" s="15"/>
      <c r="AI203" s="37" t="n">
        <v>16567</v>
      </c>
      <c r="AJ203" s="37" t="n">
        <v>357</v>
      </c>
      <c r="AK203" s="15" t="s">
        <v>326</v>
      </c>
      <c r="AL203" s="43" t="n">
        <v>28</v>
      </c>
      <c r="AM203" s="43" t="n">
        <v>28.5</v>
      </c>
      <c r="AN203" s="25" t="n">
        <f aca="false">IF(AND(ISNUMBER(AM203),ISNUMBER(AL203),AL203&gt;=5),AM203/AL203,"")</f>
        <v>1.01785714285714</v>
      </c>
      <c r="AO203" s="43" t="n">
        <v>4.8</v>
      </c>
      <c r="AP203" s="43" t="n">
        <v>7</v>
      </c>
      <c r="AQ203" s="25" t="str">
        <f aca="false">IF(AND(ISNUMBER(AP203),ISNUMBER(AO203),AO203&gt;=5),AP203/AO203,"")</f>
        <v/>
      </c>
      <c r="AR203" s="43" t="n">
        <v>27.1</v>
      </c>
      <c r="AS203" s="43" t="n">
        <v>39.9</v>
      </c>
      <c r="AT203" s="22" t="n">
        <f aca="false">IF(AND(ISNUMBER(AS203),ISNUMBER(AR203),AR203&gt;0),AS203/AR203-1,"")</f>
        <v>0.472324723247232</v>
      </c>
      <c r="AU203" s="44"/>
      <c r="AV203" s="44"/>
      <c r="AW203" s="44"/>
      <c r="AX203" s="44"/>
      <c r="AY203" s="44"/>
      <c r="AZ203" s="45"/>
      <c r="BA203" s="45"/>
      <c r="BB203" s="46"/>
      <c r="BC203" s="46"/>
      <c r="BD203" s="23" t="str">
        <f aca="false">IF(AND(ISNUMBER(BB203),ISNUMBER(BC203),BB203&gt;0),1-BC203/BB203,"")</f>
        <v/>
      </c>
      <c r="BE203" s="47"/>
      <c r="BF203" s="48"/>
      <c r="BG203" s="48"/>
      <c r="BH203" s="27" t="str">
        <f aca="false">IF(AND(ISNUMBER(BF203),ISNUMBER(BG203),BG203&gt;0),BF203/BG203,"")</f>
        <v/>
      </c>
      <c r="BI203" s="48"/>
      <c r="BJ203" s="44"/>
      <c r="BK203" s="46"/>
      <c r="BL203" s="46"/>
      <c r="BM203" s="36" t="str">
        <f aca="false">IF(ISNUMBER(Q203),IF(Q203&lt;0,"YES","no"),"")</f>
        <v>YES</v>
      </c>
      <c r="BN203" s="36" t="str">
        <f aca="false">IFERROR(IF(AND(ISNUMBER(K203),ISNUMBER(INDEX('Lift Inputs'!$H:$H,MATCH(C203,'Lift Inputs'!$C:$C,0)))),IF(K203&lt;INDEX('Lift Inputs'!$H:$H,MATCH(C203,'Lift Inputs'!$C:$C,0)),"YES","no"),""),"")</f>
        <v/>
      </c>
      <c r="BO203" s="44"/>
    </row>
    <row r="204" customFormat="false" ht="15" hidden="false" customHeight="false" outlineLevel="0" collapsed="false">
      <c r="A204" s="15" t="s">
        <v>71</v>
      </c>
      <c r="B204" s="15" t="s">
        <v>72</v>
      </c>
      <c r="C204" s="15" t="n">
        <v>37</v>
      </c>
      <c r="D204" s="15" t="s">
        <v>208</v>
      </c>
      <c r="E204" s="15" t="n">
        <v>158</v>
      </c>
      <c r="F204" s="15" t="s">
        <v>630</v>
      </c>
      <c r="G204" s="15" t="s">
        <v>631</v>
      </c>
      <c r="H204" s="15" t="s">
        <v>632</v>
      </c>
      <c r="I204" s="15" t="s">
        <v>577</v>
      </c>
      <c r="J204" s="15" t="s">
        <v>178</v>
      </c>
      <c r="K204" s="35" t="n">
        <v>26.99</v>
      </c>
      <c r="L204" s="35"/>
      <c r="M204" s="23" t="str">
        <f aca="false">IF(AND(ISNUMBER(L204),ISNUMBER(K204),K204&gt;0),L204/K204-1,"")</f>
        <v/>
      </c>
      <c r="N204" s="36" t="str">
        <f aca="false">IF(M204="","No List Price",IF(M204&lt;=0,"At/below price",IF(M204&lt;=0.12,"&lt;=12% (STR zone)",IF(M204&lt;=0.25,"12-25%","&gt;25% (likely ignored)"))))</f>
        <v>No List Price</v>
      </c>
      <c r="O204" s="15"/>
      <c r="P204" s="35" t="n">
        <v>31.7828058727569</v>
      </c>
      <c r="Q204" s="22" t="n">
        <f aca="false">IF(AND(ISNUMBER(K204),ISNUMBER(P204),N(P204)&gt;0),K204/P204-1,"")</f>
        <v>-0.150798702038612</v>
      </c>
      <c r="R204" s="15" t="s">
        <v>353</v>
      </c>
      <c r="S204" s="37" t="n">
        <v>76753</v>
      </c>
      <c r="T204" s="37" t="n">
        <v>18</v>
      </c>
      <c r="U204" s="38" t="n">
        <f aca="false">IF(AND(ISNUMBER(K204),ISNUMBER(T204)),K204*T204*52/12,"")</f>
        <v>2105.22</v>
      </c>
      <c r="V204" s="15" t="n">
        <v>4.5</v>
      </c>
      <c r="W204" s="37" t="n">
        <v>127</v>
      </c>
      <c r="X204" s="39" t="n">
        <v>46307</v>
      </c>
      <c r="Y204" s="15"/>
      <c r="Z204" s="40"/>
      <c r="AA204" s="41" t="str">
        <f aca="false">IF(ISNUMBER(Z204),(DATE(2026,10,13)-Z204)/365,"")</f>
        <v/>
      </c>
      <c r="AB204" s="37"/>
      <c r="AC204" s="15"/>
      <c r="AD204" s="15"/>
      <c r="AE204" s="15"/>
      <c r="AF204" s="42"/>
      <c r="AG204" s="42"/>
      <c r="AH204" s="15"/>
      <c r="AI204" s="37" t="n">
        <v>35631</v>
      </c>
      <c r="AJ204" s="37" t="n">
        <v>592</v>
      </c>
      <c r="AK204" s="15" t="s">
        <v>315</v>
      </c>
      <c r="AL204" s="43" t="n">
        <v>14.2</v>
      </c>
      <c r="AM204" s="43" t="n">
        <v>9.8</v>
      </c>
      <c r="AN204" s="25" t="n">
        <f aca="false">IF(AND(ISNUMBER(AM204),ISNUMBER(AL204),AL204&gt;=5),AM204/AL204,"")</f>
        <v>0.690140845070423</v>
      </c>
      <c r="AO204" s="43" t="n">
        <v>1.9</v>
      </c>
      <c r="AP204" s="43" t="n">
        <v>1.5</v>
      </c>
      <c r="AQ204" s="25" t="str">
        <f aca="false">IF(AND(ISNUMBER(AP204),ISNUMBER(AO204),AO204&gt;=5),AP204/AO204,"")</f>
        <v/>
      </c>
      <c r="AR204" s="43" t="n">
        <v>21.1</v>
      </c>
      <c r="AS204" s="43" t="n">
        <v>25</v>
      </c>
      <c r="AT204" s="22" t="n">
        <f aca="false">IF(AND(ISNUMBER(AS204),ISNUMBER(AR204),AR204&gt;0),AS204/AR204-1,"")</f>
        <v>0.184834123222749</v>
      </c>
      <c r="AU204" s="44"/>
      <c r="AV204" s="44"/>
      <c r="AW204" s="44"/>
      <c r="AX204" s="44"/>
      <c r="AY204" s="44"/>
      <c r="AZ204" s="45"/>
      <c r="BA204" s="45"/>
      <c r="BB204" s="46"/>
      <c r="BC204" s="46"/>
      <c r="BD204" s="23" t="str">
        <f aca="false">IF(AND(ISNUMBER(BB204),ISNUMBER(BC204),BB204&gt;0),1-BC204/BB204,"")</f>
        <v/>
      </c>
      <c r="BE204" s="47"/>
      <c r="BF204" s="48"/>
      <c r="BG204" s="48"/>
      <c r="BH204" s="27" t="str">
        <f aca="false">IF(AND(ISNUMBER(BF204),ISNUMBER(BG204),BG204&gt;0),BF204/BG204,"")</f>
        <v/>
      </c>
      <c r="BI204" s="48"/>
      <c r="BJ204" s="44"/>
      <c r="BK204" s="46"/>
      <c r="BL204" s="46"/>
      <c r="BM204" s="36" t="str">
        <f aca="false">IF(ISNUMBER(Q204),IF(Q204&lt;0,"YES","no"),"")</f>
        <v>YES</v>
      </c>
      <c r="BN204" s="36" t="str">
        <f aca="false">IFERROR(IF(AND(ISNUMBER(K204),ISNUMBER(INDEX('Lift Inputs'!$H:$H,MATCH(C204,'Lift Inputs'!$C:$C,0)))),IF(K204&lt;INDEX('Lift Inputs'!$H:$H,MATCH(C204,'Lift Inputs'!$C:$C,0)),"YES","no"),""),"")</f>
        <v/>
      </c>
      <c r="BO204" s="44"/>
    </row>
    <row r="205" customFormat="false" ht="15" hidden="false" customHeight="false" outlineLevel="0" collapsed="false">
      <c r="A205" s="15" t="s">
        <v>71</v>
      </c>
      <c r="B205" s="15" t="s">
        <v>72</v>
      </c>
      <c r="C205" s="15" t="n">
        <v>37</v>
      </c>
      <c r="D205" s="15" t="s">
        <v>208</v>
      </c>
      <c r="E205" s="15" t="n">
        <v>1534</v>
      </c>
      <c r="F205" s="15" t="s">
        <v>633</v>
      </c>
      <c r="G205" s="15" t="s">
        <v>634</v>
      </c>
      <c r="H205" s="15" t="s">
        <v>635</v>
      </c>
      <c r="I205" s="15" t="s">
        <v>577</v>
      </c>
      <c r="J205" s="15" t="s">
        <v>178</v>
      </c>
      <c r="K205" s="35" t="n">
        <v>18.99</v>
      </c>
      <c r="L205" s="35"/>
      <c r="M205" s="23" t="str">
        <f aca="false">IF(AND(ISNUMBER(L205),ISNUMBER(K205),K205&gt;0),L205/K205-1,"")</f>
        <v/>
      </c>
      <c r="N205" s="36" t="str">
        <f aca="false">IF(M205="","No List Price",IF(M205&lt;=0,"At/below price",IF(M205&lt;=0.12,"&lt;=12% (STR zone)",IF(M205&lt;=0.25,"12-25%","&gt;25% (likely ignored)"))))</f>
        <v>No List Price</v>
      </c>
      <c r="O205" s="15"/>
      <c r="P205" s="35" t="n">
        <v>31.7828058727569</v>
      </c>
      <c r="Q205" s="22" t="n">
        <f aca="false">IF(AND(ISNUMBER(K205),ISNUMBER(P205),N(P205)&gt;0),K205/P205-1,"")</f>
        <v>-0.402507126777075</v>
      </c>
      <c r="R205" s="15" t="s">
        <v>353</v>
      </c>
      <c r="S205" s="37" t="n">
        <v>59039</v>
      </c>
      <c r="T205" s="37" t="n">
        <v>18</v>
      </c>
      <c r="U205" s="38" t="n">
        <f aca="false">IF(AND(ISNUMBER(K205),ISNUMBER(T205)),K205*T205*52/12,"")</f>
        <v>1481.22</v>
      </c>
      <c r="V205" s="15" t="n">
        <v>4.3</v>
      </c>
      <c r="W205" s="37" t="n">
        <v>10761</v>
      </c>
      <c r="X205" s="39" t="n">
        <v>46307</v>
      </c>
      <c r="Y205" s="15"/>
      <c r="Z205" s="40"/>
      <c r="AA205" s="41" t="str">
        <f aca="false">IF(ISNUMBER(Z205),(DATE(2026,10,13)-Z205)/365,"")</f>
        <v/>
      </c>
      <c r="AB205" s="37"/>
      <c r="AC205" s="15"/>
      <c r="AD205" s="15"/>
      <c r="AE205" s="15"/>
      <c r="AF205" s="42"/>
      <c r="AG205" s="42"/>
      <c r="AH205" s="15"/>
      <c r="AI205" s="37"/>
      <c r="AJ205" s="37"/>
      <c r="AK205" s="15"/>
      <c r="AL205" s="43"/>
      <c r="AM205" s="43"/>
      <c r="AN205" s="25" t="str">
        <f aca="false">IF(AND(ISNUMBER(AM205),ISNUMBER(AL205),AL205&gt;=5),AM205/AL205,"")</f>
        <v/>
      </c>
      <c r="AO205" s="43"/>
      <c r="AP205" s="43"/>
      <c r="AQ205" s="25" t="str">
        <f aca="false">IF(AND(ISNUMBER(AP205),ISNUMBER(AO205),AO205&gt;=5),AP205/AO205,"")</f>
        <v/>
      </c>
      <c r="AR205" s="43"/>
      <c r="AS205" s="43"/>
      <c r="AT205" s="22" t="str">
        <f aca="false">IF(AND(ISNUMBER(AS205),ISNUMBER(AR205),AR205&gt;0),AS205/AR205-1,"")</f>
        <v/>
      </c>
      <c r="AU205" s="44"/>
      <c r="AV205" s="44"/>
      <c r="AW205" s="44"/>
      <c r="AX205" s="44"/>
      <c r="AY205" s="44"/>
      <c r="AZ205" s="45"/>
      <c r="BA205" s="45"/>
      <c r="BB205" s="46"/>
      <c r="BC205" s="46"/>
      <c r="BD205" s="23" t="str">
        <f aca="false">IF(AND(ISNUMBER(BB205),ISNUMBER(BC205),BB205&gt;0),1-BC205/BB205,"")</f>
        <v/>
      </c>
      <c r="BE205" s="47"/>
      <c r="BF205" s="48"/>
      <c r="BG205" s="48"/>
      <c r="BH205" s="27" t="str">
        <f aca="false">IF(AND(ISNUMBER(BF205),ISNUMBER(BG205),BG205&gt;0),BF205/BG205,"")</f>
        <v/>
      </c>
      <c r="BI205" s="48"/>
      <c r="BJ205" s="44"/>
      <c r="BK205" s="46"/>
      <c r="BL205" s="46"/>
      <c r="BM205" s="36" t="str">
        <f aca="false">IF(ISNUMBER(Q205),IF(Q205&lt;0,"YES","no"),"")</f>
        <v>YES</v>
      </c>
      <c r="BN205" s="36" t="str">
        <f aca="false">IFERROR(IF(AND(ISNUMBER(K205),ISNUMBER(INDEX('Lift Inputs'!$H:$H,MATCH(C205,'Lift Inputs'!$C:$C,0)))),IF(K205&lt;INDEX('Lift Inputs'!$H:$H,MATCH(C205,'Lift Inputs'!$C:$C,0)),"YES","no"),""),"")</f>
        <v/>
      </c>
      <c r="BO205" s="44"/>
    </row>
    <row r="206" customFormat="false" ht="15" hidden="false" customHeight="false" outlineLevel="0" collapsed="false">
      <c r="A206" s="15" t="s">
        <v>71</v>
      </c>
      <c r="B206" s="15" t="s">
        <v>72</v>
      </c>
      <c r="C206" s="15" t="n">
        <v>37</v>
      </c>
      <c r="D206" s="15" t="s">
        <v>208</v>
      </c>
      <c r="E206" s="15" t="n">
        <v>160</v>
      </c>
      <c r="F206" s="15"/>
      <c r="G206" s="15" t="s">
        <v>636</v>
      </c>
      <c r="H206" s="15" t="s">
        <v>637</v>
      </c>
      <c r="I206" s="15" t="s">
        <v>638</v>
      </c>
      <c r="J206" s="15" t="s">
        <v>178</v>
      </c>
      <c r="K206" s="35" t="n">
        <v>5.93</v>
      </c>
      <c r="L206" s="35"/>
      <c r="M206" s="23" t="str">
        <f aca="false">IF(AND(ISNUMBER(L206),ISNUMBER(K206),K206&gt;0),L206/K206-1,"")</f>
        <v/>
      </c>
      <c r="N206" s="36" t="str">
        <f aca="false">IF(M206="","No List Price",IF(M206&lt;=0,"At/below price",IF(M206&lt;=0.12,"&lt;=12% (STR zone)",IF(M206&lt;=0.25,"12-25%","&gt;25% (likely ignored)"))))</f>
        <v>No List Price</v>
      </c>
      <c r="O206" s="15" t="s">
        <v>311</v>
      </c>
      <c r="P206" s="35" t="n">
        <v>31.7828058727569</v>
      </c>
      <c r="Q206" s="22" t="n">
        <f aca="false">IF(AND(ISNUMBER(K206),ISNUMBER(P206),N(P206)&gt;0),K206/P206-1,"")</f>
        <v>-0.813421130162615</v>
      </c>
      <c r="R206" s="15" t="s">
        <v>312</v>
      </c>
      <c r="S206" s="37" t="n">
        <v>80060</v>
      </c>
      <c r="T206" s="37" t="n">
        <v>5</v>
      </c>
      <c r="U206" s="38" t="n">
        <f aca="false">IF(AND(ISNUMBER(K206),ISNUMBER(T206)),K206*T206*52/12,"")</f>
        <v>128.483333333333</v>
      </c>
      <c r="V206" s="15" t="n">
        <v>4.6</v>
      </c>
      <c r="W206" s="37" t="n">
        <v>46</v>
      </c>
      <c r="X206" s="39" t="n">
        <v>46307</v>
      </c>
      <c r="Y206" s="15"/>
      <c r="Z206" s="40"/>
      <c r="AA206" s="41" t="str">
        <f aca="false">IF(ISNUMBER(Z206),(DATE(2026,10,13)-Z206)/365,"")</f>
        <v/>
      </c>
      <c r="AB206" s="37"/>
      <c r="AC206" s="15"/>
      <c r="AD206" s="15"/>
      <c r="AE206" s="15"/>
      <c r="AF206" s="42"/>
      <c r="AG206" s="42"/>
      <c r="AH206" s="15"/>
      <c r="AI206" s="37" t="n">
        <v>41904</v>
      </c>
      <c r="AJ206" s="37" t="n">
        <v>827</v>
      </c>
      <c r="AK206" s="15"/>
      <c r="AL206" s="43"/>
      <c r="AM206" s="43"/>
      <c r="AN206" s="25" t="str">
        <f aca="false">IF(AND(ISNUMBER(AM206),ISNUMBER(AL206),AL206&gt;=5),AM206/AL206,"")</f>
        <v/>
      </c>
      <c r="AO206" s="43"/>
      <c r="AP206" s="43"/>
      <c r="AQ206" s="25" t="str">
        <f aca="false">IF(AND(ISNUMBER(AP206),ISNUMBER(AO206),AO206&gt;=5),AP206/AO206,"")</f>
        <v/>
      </c>
      <c r="AR206" s="43"/>
      <c r="AS206" s="43"/>
      <c r="AT206" s="22" t="str">
        <f aca="false">IF(AND(ISNUMBER(AS206),ISNUMBER(AR206),AR206&gt;0),AS206/AR206-1,"")</f>
        <v/>
      </c>
      <c r="AU206" s="44"/>
      <c r="AV206" s="44"/>
      <c r="AW206" s="44"/>
      <c r="AX206" s="44"/>
      <c r="AY206" s="44"/>
      <c r="AZ206" s="45"/>
      <c r="BA206" s="45"/>
      <c r="BB206" s="46"/>
      <c r="BC206" s="46"/>
      <c r="BD206" s="23" t="str">
        <f aca="false">IF(AND(ISNUMBER(BB206),ISNUMBER(BC206),BB206&gt;0),1-BC206/BB206,"")</f>
        <v/>
      </c>
      <c r="BE206" s="47"/>
      <c r="BF206" s="48"/>
      <c r="BG206" s="48"/>
      <c r="BH206" s="27" t="str">
        <f aca="false">IF(AND(ISNUMBER(BF206),ISNUMBER(BG206),BG206&gt;0),BF206/BG206,"")</f>
        <v/>
      </c>
      <c r="BI206" s="48"/>
      <c r="BJ206" s="44"/>
      <c r="BK206" s="46"/>
      <c r="BL206" s="46"/>
      <c r="BM206" s="36" t="str">
        <f aca="false">IF(ISNUMBER(Q206),IF(Q206&lt;0,"YES","no"),"")</f>
        <v>YES</v>
      </c>
      <c r="BN206" s="36" t="str">
        <f aca="false">IFERROR(IF(AND(ISNUMBER(K206),ISNUMBER(INDEX('Lift Inputs'!$H:$H,MATCH(C206,'Lift Inputs'!$C:$C,0)))),IF(K206&lt;INDEX('Lift Inputs'!$H:$H,MATCH(C206,'Lift Inputs'!$C:$C,0)),"YES","no"),""),"")</f>
        <v/>
      </c>
      <c r="BO206" s="44"/>
    </row>
    <row r="207" customFormat="false" ht="15" hidden="false" customHeight="false" outlineLevel="0" collapsed="false">
      <c r="A207" s="15" t="s">
        <v>71</v>
      </c>
      <c r="B207" s="15" t="s">
        <v>72</v>
      </c>
      <c r="C207" s="15" t="n">
        <v>37</v>
      </c>
      <c r="D207" s="15" t="s">
        <v>208</v>
      </c>
      <c r="E207" s="15" t="n">
        <v>151</v>
      </c>
      <c r="F207" s="15" t="s">
        <v>639</v>
      </c>
      <c r="G207" s="15" t="s">
        <v>640</v>
      </c>
      <c r="H207" s="15" t="s">
        <v>641</v>
      </c>
      <c r="I207" s="15" t="s">
        <v>642</v>
      </c>
      <c r="J207" s="15"/>
      <c r="K207" s="35" t="n">
        <v>15.99</v>
      </c>
      <c r="L207" s="35"/>
      <c r="M207" s="23" t="str">
        <f aca="false">IF(AND(ISNUMBER(L207),ISNUMBER(K207),K207&gt;0),L207/K207-1,"")</f>
        <v/>
      </c>
      <c r="N207" s="36" t="str">
        <f aca="false">IF(M207="","No List Price",IF(M207&lt;=0,"At/below price",IF(M207&lt;=0.12,"&lt;=12% (STR zone)",IF(M207&lt;=0.25,"12-25%","&gt;25% (likely ignored)"))))</f>
        <v>No List Price</v>
      </c>
      <c r="O207" s="15" t="s">
        <v>311</v>
      </c>
      <c r="P207" s="35" t="n">
        <v>31.7828058727569</v>
      </c>
      <c r="Q207" s="22" t="n">
        <f aca="false">IF(AND(ISNUMBER(K207),ISNUMBER(P207),N(P207)&gt;0),K207/P207-1,"")</f>
        <v>-0.496897786053998</v>
      </c>
      <c r="R207" s="15" t="s">
        <v>312</v>
      </c>
      <c r="S207" s="37" t="n">
        <v>58723</v>
      </c>
      <c r="T207" s="37" t="n">
        <v>35</v>
      </c>
      <c r="U207" s="38" t="n">
        <f aca="false">IF(AND(ISNUMBER(K207),ISNUMBER(T207)),K207*T207*52/12,"")</f>
        <v>2425.15</v>
      </c>
      <c r="V207" s="15" t="n">
        <v>4.5</v>
      </c>
      <c r="W207" s="37" t="n">
        <v>968</v>
      </c>
      <c r="X207" s="39" t="n">
        <v>46307</v>
      </c>
      <c r="Y207" s="15" t="n">
        <v>47</v>
      </c>
      <c r="Z207" s="40" t="n">
        <v>45742</v>
      </c>
      <c r="AA207" s="41" t="n">
        <f aca="false">IF(ISNUMBER(Z207),(DATE(2026,10,13)-Z207)/365,"")</f>
        <v>1.55068493150685</v>
      </c>
      <c r="AB207" s="37" t="n">
        <v>335</v>
      </c>
      <c r="AC207" s="15" t="s">
        <v>313</v>
      </c>
      <c r="AD207" s="15" t="n">
        <v>1</v>
      </c>
      <c r="AE207" s="15" t="s">
        <v>331</v>
      </c>
      <c r="AF207" s="42" t="n">
        <v>0</v>
      </c>
      <c r="AG207" s="42" t="n">
        <v>0</v>
      </c>
      <c r="AH207" s="15" t="n">
        <v>210</v>
      </c>
      <c r="AI207" s="37" t="n">
        <v>26952</v>
      </c>
      <c r="AJ207" s="37" t="n">
        <v>504</v>
      </c>
      <c r="AK207" s="15" t="s">
        <v>326</v>
      </c>
      <c r="AL207" s="43" t="n">
        <v>116.8</v>
      </c>
      <c r="AM207" s="43" t="n">
        <v>124.2</v>
      </c>
      <c r="AN207" s="25" t="n">
        <f aca="false">IF(AND(ISNUMBER(AM207),ISNUMBER(AL207),AL207&gt;=5),AM207/AL207,"")</f>
        <v>1.06335616438356</v>
      </c>
      <c r="AO207" s="43" t="n">
        <v>2.1</v>
      </c>
      <c r="AP207" s="43" t="n">
        <v>2.5</v>
      </c>
      <c r="AQ207" s="25" t="str">
        <f aca="false">IF(AND(ISNUMBER(AP207),ISNUMBER(AO207),AO207&gt;=5),AP207/AO207,"")</f>
        <v/>
      </c>
      <c r="AR207" s="43" t="n">
        <v>117.1</v>
      </c>
      <c r="AS207" s="43" t="n">
        <v>98</v>
      </c>
      <c r="AT207" s="22" t="n">
        <f aca="false">IF(AND(ISNUMBER(AS207),ISNUMBER(AR207),AR207&gt;0),AS207/AR207-1,"")</f>
        <v>-0.163108454312553</v>
      </c>
      <c r="AU207" s="44"/>
      <c r="AV207" s="44"/>
      <c r="AW207" s="44"/>
      <c r="AX207" s="44"/>
      <c r="AY207" s="44"/>
      <c r="AZ207" s="45"/>
      <c r="BA207" s="45"/>
      <c r="BB207" s="46"/>
      <c r="BC207" s="46"/>
      <c r="BD207" s="23" t="str">
        <f aca="false">IF(AND(ISNUMBER(BB207),ISNUMBER(BC207),BB207&gt;0),1-BC207/BB207,"")</f>
        <v/>
      </c>
      <c r="BE207" s="47"/>
      <c r="BF207" s="48"/>
      <c r="BG207" s="48"/>
      <c r="BH207" s="27" t="str">
        <f aca="false">IF(AND(ISNUMBER(BF207),ISNUMBER(BG207),BG207&gt;0),BF207/BG207,"")</f>
        <v/>
      </c>
      <c r="BI207" s="48"/>
      <c r="BJ207" s="44"/>
      <c r="BK207" s="46"/>
      <c r="BL207" s="46"/>
      <c r="BM207" s="36" t="str">
        <f aca="false">IF(ISNUMBER(Q207),IF(Q207&lt;0,"YES","no"),"")</f>
        <v>YES</v>
      </c>
      <c r="BN207" s="36" t="str">
        <f aca="false">IFERROR(IF(AND(ISNUMBER(K207),ISNUMBER(INDEX('Lift Inputs'!$H:$H,MATCH(C207,'Lift Inputs'!$C:$C,0)))),IF(K207&lt;INDEX('Lift Inputs'!$H:$H,MATCH(C207,'Lift Inputs'!$C:$C,0)),"YES","no"),""),"")</f>
        <v/>
      </c>
      <c r="BO207" s="44"/>
    </row>
    <row r="208" customFormat="false" ht="15" hidden="false" customHeight="false" outlineLevel="0" collapsed="false">
      <c r="A208" s="15" t="s">
        <v>71</v>
      </c>
      <c r="B208" s="15" t="s">
        <v>72</v>
      </c>
      <c r="C208" s="15" t="n">
        <v>37</v>
      </c>
      <c r="D208" s="15" t="s">
        <v>208</v>
      </c>
      <c r="E208" s="15" t="n">
        <v>1548</v>
      </c>
      <c r="F208" s="15" t="s">
        <v>643</v>
      </c>
      <c r="G208" s="15" t="s">
        <v>644</v>
      </c>
      <c r="H208" s="15" t="s">
        <v>645</v>
      </c>
      <c r="I208" s="15" t="s">
        <v>577</v>
      </c>
      <c r="J208" s="15"/>
      <c r="K208" s="35" t="n">
        <v>15.99</v>
      </c>
      <c r="L208" s="35"/>
      <c r="M208" s="23" t="str">
        <f aca="false">IF(AND(ISNUMBER(L208),ISNUMBER(K208),K208&gt;0),L208/K208-1,"")</f>
        <v/>
      </c>
      <c r="N208" s="36" t="str">
        <f aca="false">IF(M208="","No List Price",IF(M208&lt;=0,"At/below price",IF(M208&lt;=0.12,"&lt;=12% (STR zone)",IF(M208&lt;=0.25,"12-25%","&gt;25% (likely ignored)"))))</f>
        <v>No List Price</v>
      </c>
      <c r="O208" s="15"/>
      <c r="P208" s="35" t="n">
        <v>31.7828058727569</v>
      </c>
      <c r="Q208" s="22" t="n">
        <f aca="false">IF(AND(ISNUMBER(K208),ISNUMBER(P208),N(P208)&gt;0),K208/P208-1,"")</f>
        <v>-0.496897786053998</v>
      </c>
      <c r="R208" s="15" t="s">
        <v>353</v>
      </c>
      <c r="S208" s="37" t="n">
        <v>420044</v>
      </c>
      <c r="T208" s="37" t="n">
        <v>5</v>
      </c>
      <c r="U208" s="38" t="n">
        <f aca="false">IF(AND(ISNUMBER(K208),ISNUMBER(T208)),K208*T208*52/12,"")</f>
        <v>346.45</v>
      </c>
      <c r="V208" s="15" t="n">
        <v>4.3</v>
      </c>
      <c r="W208" s="37" t="n">
        <v>5277</v>
      </c>
      <c r="X208" s="39" t="n">
        <v>46279</v>
      </c>
      <c r="Y208" s="15"/>
      <c r="Z208" s="40"/>
      <c r="AA208" s="41" t="str">
        <f aca="false">IF(ISNUMBER(Z208),(DATE(2026,10,13)-Z208)/365,"")</f>
        <v/>
      </c>
      <c r="AB208" s="37"/>
      <c r="AC208" s="15"/>
      <c r="AD208" s="15"/>
      <c r="AE208" s="15"/>
      <c r="AF208" s="42"/>
      <c r="AG208" s="42"/>
      <c r="AH208" s="15"/>
      <c r="AI208" s="37"/>
      <c r="AJ208" s="37"/>
      <c r="AK208" s="15" t="s">
        <v>326</v>
      </c>
      <c r="AL208" s="43" t="n">
        <v>0</v>
      </c>
      <c r="AM208" s="43" t="n">
        <v>0</v>
      </c>
      <c r="AN208" s="25" t="str">
        <f aca="false">IF(AND(ISNUMBER(AM208),ISNUMBER(AL208),AL208&gt;=5),AM208/AL208,"")</f>
        <v/>
      </c>
      <c r="AO208" s="43" t="n">
        <v>0</v>
      </c>
      <c r="AP208" s="43" t="n">
        <v>0</v>
      </c>
      <c r="AQ208" s="25" t="str">
        <f aca="false">IF(AND(ISNUMBER(AP208),ISNUMBER(AO208),AO208&gt;=5),AP208/AO208,"")</f>
        <v/>
      </c>
      <c r="AR208" s="43" t="n">
        <v>0</v>
      </c>
      <c r="AS208" s="43" t="n">
        <v>0.2</v>
      </c>
      <c r="AT208" s="22" t="str">
        <f aca="false">IF(AND(ISNUMBER(AS208),ISNUMBER(AR208),AR208&gt;0),AS208/AR208-1,"")</f>
        <v/>
      </c>
      <c r="AU208" s="44"/>
      <c r="AV208" s="44"/>
      <c r="AW208" s="44"/>
      <c r="AX208" s="44"/>
      <c r="AY208" s="44"/>
      <c r="AZ208" s="45"/>
      <c r="BA208" s="45"/>
      <c r="BB208" s="46"/>
      <c r="BC208" s="46"/>
      <c r="BD208" s="23" t="str">
        <f aca="false">IF(AND(ISNUMBER(BB208),ISNUMBER(BC208),BB208&gt;0),1-BC208/BB208,"")</f>
        <v/>
      </c>
      <c r="BE208" s="47"/>
      <c r="BF208" s="48"/>
      <c r="BG208" s="48"/>
      <c r="BH208" s="27" t="str">
        <f aca="false">IF(AND(ISNUMBER(BF208),ISNUMBER(BG208),BG208&gt;0),BF208/BG208,"")</f>
        <v/>
      </c>
      <c r="BI208" s="48"/>
      <c r="BJ208" s="44"/>
      <c r="BK208" s="46"/>
      <c r="BL208" s="46"/>
      <c r="BM208" s="36" t="str">
        <f aca="false">IF(ISNUMBER(Q208),IF(Q208&lt;0,"YES","no"),"")</f>
        <v>YES</v>
      </c>
      <c r="BN208" s="36" t="str">
        <f aca="false">IFERROR(IF(AND(ISNUMBER(K208),ISNUMBER(INDEX('Lift Inputs'!$H:$H,MATCH(C208,'Lift Inputs'!$C:$C,0)))),IF(K208&lt;INDEX('Lift Inputs'!$H:$H,MATCH(C208,'Lift Inputs'!$C:$C,0)),"YES","no"),""),"")</f>
        <v/>
      </c>
      <c r="BO208" s="44"/>
    </row>
    <row r="209" customFormat="false" ht="15" hidden="false" customHeight="false" outlineLevel="0" collapsed="false">
      <c r="A209" s="15" t="s">
        <v>71</v>
      </c>
      <c r="B209" s="15" t="s">
        <v>78</v>
      </c>
      <c r="C209" s="15" t="n">
        <v>31</v>
      </c>
      <c r="D209" s="15" t="s">
        <v>208</v>
      </c>
      <c r="E209" s="15" t="n">
        <v>144</v>
      </c>
      <c r="F209" s="15" t="s">
        <v>362</v>
      </c>
      <c r="G209" s="15" t="s">
        <v>558</v>
      </c>
      <c r="H209" s="15" t="s">
        <v>559</v>
      </c>
      <c r="I209" s="15" t="s">
        <v>560</v>
      </c>
      <c r="J209" s="15" t="s">
        <v>176</v>
      </c>
      <c r="K209" s="35" t="n">
        <v>17.99</v>
      </c>
      <c r="L209" s="35"/>
      <c r="M209" s="23" t="str">
        <f aca="false">IF(AND(ISNUMBER(L209),ISNUMBER(K209),K209&gt;0),L209/K209-1,"")</f>
        <v/>
      </c>
      <c r="N209" s="36" t="str">
        <f aca="false">IF(M209="","No List Price",IF(M209&lt;=0,"At/below price",IF(M209&lt;=0.12,"&lt;=12% (STR zone)",IF(M209&lt;=0.25,"12-25%","&gt;25% (likely ignored)"))))</f>
        <v>No List Price</v>
      </c>
      <c r="O209" s="15" t="s">
        <v>311</v>
      </c>
      <c r="P209" s="35" t="n">
        <v>32.0634653465347</v>
      </c>
      <c r="Q209" s="22" t="n">
        <f aca="false">IF(AND(ISNUMBER(K209),ISNUMBER(P209),N(P209)&gt;0),K209/P209-1,"")</f>
        <v>-0.438925275057822</v>
      </c>
      <c r="R209" s="15" t="s">
        <v>312</v>
      </c>
      <c r="S209" s="37" t="n">
        <v>497</v>
      </c>
      <c r="T209" s="37" t="n">
        <v>1963</v>
      </c>
      <c r="U209" s="38" t="n">
        <f aca="false">IF(AND(ISNUMBER(K209),ISNUMBER(T209)),K209*T209*52/12,"")</f>
        <v>153028.936666667</v>
      </c>
      <c r="V209" s="15" t="n">
        <v>4.3</v>
      </c>
      <c r="W209" s="37" t="n">
        <v>6297</v>
      </c>
      <c r="X209" s="39" t="n">
        <v>46307</v>
      </c>
      <c r="Y209" s="15" t="n">
        <v>141</v>
      </c>
      <c r="Z209" s="40" t="n">
        <v>45307</v>
      </c>
      <c r="AA209" s="41" t="n">
        <f aca="false">IF(ISNUMBER(Z209),(DATE(2026,10,13)-Z209)/365,"")</f>
        <v>2.74246575342466</v>
      </c>
      <c r="AB209" s="37" t="n">
        <v>24056</v>
      </c>
      <c r="AC209" s="15" t="s">
        <v>313</v>
      </c>
      <c r="AD209" s="15" t="n">
        <v>1</v>
      </c>
      <c r="AE209" s="15" t="s">
        <v>331</v>
      </c>
      <c r="AF209" s="42" t="n">
        <v>0</v>
      </c>
      <c r="AG209" s="42" t="n">
        <v>0</v>
      </c>
      <c r="AH209" s="15" t="n">
        <v>274</v>
      </c>
      <c r="AI209" s="37" t="n">
        <v>997443</v>
      </c>
      <c r="AJ209" s="37" t="n">
        <v>3432</v>
      </c>
      <c r="AK209" s="15" t="s">
        <v>326</v>
      </c>
      <c r="AL209" s="43" t="n">
        <v>1354.7</v>
      </c>
      <c r="AM209" s="43" t="n">
        <v>1510.2</v>
      </c>
      <c r="AN209" s="25" t="n">
        <f aca="false">IF(AND(ISNUMBER(AM209),ISNUMBER(AL209),AL209&gt;=5),AM209/AL209,"")</f>
        <v>1.1147855613789</v>
      </c>
      <c r="AO209" s="43" t="n">
        <v>152.8</v>
      </c>
      <c r="AP209" s="43" t="n">
        <v>191</v>
      </c>
      <c r="AQ209" s="25" t="n">
        <f aca="false">IF(AND(ISNUMBER(AP209),ISNUMBER(AO209),AO209&gt;=5),AP209/AO209,"")</f>
        <v>1.25</v>
      </c>
      <c r="AR209" s="43" t="n">
        <v>1293.4</v>
      </c>
      <c r="AS209" s="43" t="n">
        <v>1696.6</v>
      </c>
      <c r="AT209" s="22" t="n">
        <f aca="false">IF(AND(ISNUMBER(AS209),ISNUMBER(AR209),AR209&gt;0),AS209/AR209-1,"")</f>
        <v>0.3117365084274</v>
      </c>
      <c r="AU209" s="44"/>
      <c r="AV209" s="44"/>
      <c r="AW209" s="44"/>
      <c r="AX209" s="44"/>
      <c r="AY209" s="44"/>
      <c r="AZ209" s="45"/>
      <c r="BA209" s="45"/>
      <c r="BB209" s="46"/>
      <c r="BC209" s="46"/>
      <c r="BD209" s="23" t="str">
        <f aca="false">IF(AND(ISNUMBER(BB209),ISNUMBER(BC209),BB209&gt;0),1-BC209/BB209,"")</f>
        <v/>
      </c>
      <c r="BE209" s="47"/>
      <c r="BF209" s="48"/>
      <c r="BG209" s="48"/>
      <c r="BH209" s="27" t="str">
        <f aca="false">IF(AND(ISNUMBER(BF209),ISNUMBER(BG209),BG209&gt;0),BF209/BG209,"")</f>
        <v/>
      </c>
      <c r="BI209" s="48"/>
      <c r="BJ209" s="44"/>
      <c r="BK209" s="46"/>
      <c r="BL209" s="46"/>
      <c r="BM209" s="36" t="str">
        <f aca="false">IF(ISNUMBER(Q209),IF(Q209&lt;0,"YES","no"),"")</f>
        <v>YES</v>
      </c>
      <c r="BN209" s="36" t="str">
        <f aca="false">IFERROR(IF(AND(ISNUMBER(K209),ISNUMBER(INDEX('Lift Inputs'!$H:$H,MATCH(C209,'Lift Inputs'!$C:$C,0)))),IF(K209&lt;INDEX('Lift Inputs'!$H:$H,MATCH(C209,'Lift Inputs'!$C:$C,0)),"YES","no"),""),"")</f>
        <v/>
      </c>
      <c r="BO209" s="44"/>
    </row>
    <row r="210" customFormat="false" ht="15" hidden="false" customHeight="false" outlineLevel="0" collapsed="false">
      <c r="A210" s="15" t="s">
        <v>71</v>
      </c>
      <c r="B210" s="15" t="s">
        <v>78</v>
      </c>
      <c r="C210" s="15" t="n">
        <v>31</v>
      </c>
      <c r="D210" s="15" t="s">
        <v>208</v>
      </c>
      <c r="E210" s="15" t="n">
        <v>8</v>
      </c>
      <c r="F210" s="15" t="s">
        <v>327</v>
      </c>
      <c r="G210" s="15" t="s">
        <v>561</v>
      </c>
      <c r="H210" s="15" t="s">
        <v>562</v>
      </c>
      <c r="I210" s="15" t="s">
        <v>563</v>
      </c>
      <c r="J210" s="15" t="s">
        <v>176</v>
      </c>
      <c r="K210" s="35" t="n">
        <v>16.13</v>
      </c>
      <c r="L210" s="35" t="n">
        <v>19.99</v>
      </c>
      <c r="M210" s="23" t="n">
        <f aca="false">IF(AND(ISNUMBER(L210),ISNUMBER(K210),K210&gt;0),L210/K210-1,"")</f>
        <v>0.2393056416615</v>
      </c>
      <c r="N210" s="36" t="str">
        <f aca="false">IF(M210="","No List Price",IF(M210&lt;=0,"At/below price",IF(M210&lt;=0.12,"&lt;=12% (STR zone)",IF(M210&lt;=0.25,"12-25%","&gt;25% (likely ignored)"))))</f>
        <v>12-25%</v>
      </c>
      <c r="O210" s="15" t="s">
        <v>311</v>
      </c>
      <c r="P210" s="35" t="n">
        <v>32.0634653465347</v>
      </c>
      <c r="Q210" s="22" t="n">
        <f aca="false">IF(AND(ISNUMBER(K210),ISNUMBER(P210),N(P210)&gt;0),K210/P210-1,"")</f>
        <v>-0.496935224384806</v>
      </c>
      <c r="R210" s="15" t="s">
        <v>312</v>
      </c>
      <c r="S210" s="37" t="n">
        <v>949</v>
      </c>
      <c r="T210" s="37" t="n">
        <v>809</v>
      </c>
      <c r="U210" s="38" t="n">
        <f aca="false">IF(AND(ISNUMBER(K210),ISNUMBER(T210)),K210*T210*52/12,"")</f>
        <v>56546.4033333333</v>
      </c>
      <c r="V210" s="15" t="n">
        <v>4.5</v>
      </c>
      <c r="W210" s="37" t="n">
        <v>5747</v>
      </c>
      <c r="X210" s="39" t="n">
        <v>46307</v>
      </c>
      <c r="Y210" s="15" t="n">
        <v>128</v>
      </c>
      <c r="Z210" s="40" t="n">
        <v>44895</v>
      </c>
      <c r="AA210" s="41" t="n">
        <f aca="false">IF(ISNUMBER(Z210),(DATE(2026,10,13)-Z210)/365,"")</f>
        <v>3.87123287671233</v>
      </c>
      <c r="AB210" s="37" t="n">
        <v>15843</v>
      </c>
      <c r="AC210" s="15" t="s">
        <v>313</v>
      </c>
      <c r="AD210" s="15" t="n">
        <v>4</v>
      </c>
      <c r="AE210" s="15" t="s">
        <v>331</v>
      </c>
      <c r="AF210" s="42" t="n">
        <v>0.002</v>
      </c>
      <c r="AG210" s="42" t="n">
        <v>0</v>
      </c>
      <c r="AH210" s="15" t="n">
        <v>423</v>
      </c>
      <c r="AI210" s="37" t="n">
        <v>385363</v>
      </c>
      <c r="AJ210" s="37" t="n">
        <v>3599</v>
      </c>
      <c r="AK210" s="15" t="s">
        <v>326</v>
      </c>
      <c r="AL210" s="43" t="n">
        <v>651.1</v>
      </c>
      <c r="AM210" s="43" t="n">
        <v>674.8</v>
      </c>
      <c r="AN210" s="25" t="n">
        <f aca="false">IF(AND(ISNUMBER(AM210),ISNUMBER(AL210),AL210&gt;=5),AM210/AL210,"")</f>
        <v>1.0363999385655</v>
      </c>
      <c r="AO210" s="43" t="n">
        <v>53</v>
      </c>
      <c r="AP210" s="43" t="n">
        <v>38.8</v>
      </c>
      <c r="AQ210" s="25" t="n">
        <f aca="false">IF(AND(ISNUMBER(AP210),ISNUMBER(AO210),AO210&gt;=5),AP210/AO210,"")</f>
        <v>0.732075471698113</v>
      </c>
      <c r="AR210" s="43" t="n">
        <v>767.9</v>
      </c>
      <c r="AS210" s="43" t="n">
        <v>665.3</v>
      </c>
      <c r="AT210" s="22" t="n">
        <f aca="false">IF(AND(ISNUMBER(AS210),ISNUMBER(AR210),AR210&gt;0),AS210/AR210-1,"")</f>
        <v>-0.133611147284803</v>
      </c>
      <c r="AU210" s="44"/>
      <c r="AV210" s="44"/>
      <c r="AW210" s="44"/>
      <c r="AX210" s="44"/>
      <c r="AY210" s="44"/>
      <c r="AZ210" s="45"/>
      <c r="BA210" s="45"/>
      <c r="BB210" s="46"/>
      <c r="BC210" s="46"/>
      <c r="BD210" s="23" t="str">
        <f aca="false">IF(AND(ISNUMBER(BB210),ISNUMBER(BC210),BB210&gt;0),1-BC210/BB210,"")</f>
        <v/>
      </c>
      <c r="BE210" s="47"/>
      <c r="BF210" s="48"/>
      <c r="BG210" s="48"/>
      <c r="BH210" s="27" t="str">
        <f aca="false">IF(AND(ISNUMBER(BF210),ISNUMBER(BG210),BG210&gt;0),BF210/BG210,"")</f>
        <v/>
      </c>
      <c r="BI210" s="48"/>
      <c r="BJ210" s="44"/>
      <c r="BK210" s="46"/>
      <c r="BL210" s="46"/>
      <c r="BM210" s="36" t="str">
        <f aca="false">IF(ISNUMBER(Q210),IF(Q210&lt;0,"YES","no"),"")</f>
        <v>YES</v>
      </c>
      <c r="BN210" s="36" t="str">
        <f aca="false">IFERROR(IF(AND(ISNUMBER(K210),ISNUMBER(INDEX('Lift Inputs'!$H:$H,MATCH(C210,'Lift Inputs'!$C:$C,0)))),IF(K210&lt;INDEX('Lift Inputs'!$H:$H,MATCH(C210,'Lift Inputs'!$C:$C,0)),"YES","no"),""),"")</f>
        <v/>
      </c>
      <c r="BO210" s="44"/>
    </row>
    <row r="211" customFormat="false" ht="15" hidden="false" customHeight="false" outlineLevel="0" collapsed="false">
      <c r="A211" s="15" t="s">
        <v>71</v>
      </c>
      <c r="B211" s="15" t="s">
        <v>78</v>
      </c>
      <c r="C211" s="15" t="n">
        <v>31</v>
      </c>
      <c r="D211" s="15" t="s">
        <v>208</v>
      </c>
      <c r="E211" s="15" t="n">
        <v>72</v>
      </c>
      <c r="F211" s="15" t="s">
        <v>494</v>
      </c>
      <c r="G211" s="15" t="s">
        <v>564</v>
      </c>
      <c r="H211" s="15" t="s">
        <v>565</v>
      </c>
      <c r="I211" s="15" t="s">
        <v>566</v>
      </c>
      <c r="J211" s="15" t="s">
        <v>176</v>
      </c>
      <c r="K211" s="35" t="n">
        <v>19.99</v>
      </c>
      <c r="L211" s="35"/>
      <c r="M211" s="23" t="str">
        <f aca="false">IF(AND(ISNUMBER(L211),ISNUMBER(K211),K211&gt;0),L211/K211-1,"")</f>
        <v/>
      </c>
      <c r="N211" s="36" t="str">
        <f aca="false">IF(M211="","No List Price",IF(M211&lt;=0,"At/below price",IF(M211&lt;=0.12,"&lt;=12% (STR zone)",IF(M211&lt;=0.25,"12-25%","&gt;25% (likely ignored)"))))</f>
        <v>No List Price</v>
      </c>
      <c r="O211" s="15" t="s">
        <v>311</v>
      </c>
      <c r="P211" s="35" t="n">
        <v>32.0634653465347</v>
      </c>
      <c r="Q211" s="22" t="n">
        <f aca="false">IF(AND(ISNUMBER(K211),ISNUMBER(P211),N(P211)&gt;0),K211/P211-1,"")</f>
        <v>-0.376548985458913</v>
      </c>
      <c r="R211" s="15" t="s">
        <v>312</v>
      </c>
      <c r="S211" s="37" t="n">
        <v>2025</v>
      </c>
      <c r="T211" s="37" t="n">
        <v>809</v>
      </c>
      <c r="U211" s="38" t="n">
        <f aca="false">IF(AND(ISNUMBER(K211),ISNUMBER(T211)),K211*T211*52/12,"")</f>
        <v>70078.2766666667</v>
      </c>
      <c r="V211" s="15" t="n">
        <v>4.4</v>
      </c>
      <c r="W211" s="37" t="n">
        <v>17886</v>
      </c>
      <c r="X211" s="39" t="n">
        <v>46307</v>
      </c>
      <c r="Y211" s="15" t="n">
        <v>183</v>
      </c>
      <c r="Z211" s="40" t="n">
        <v>44081</v>
      </c>
      <c r="AA211" s="41" t="n">
        <f aca="false">IF(ISNUMBER(Z211),(DATE(2026,10,13)-Z211)/365,"")</f>
        <v>6.1013698630137</v>
      </c>
      <c r="AB211" s="37" t="n">
        <v>25725</v>
      </c>
      <c r="AC211" s="15" t="s">
        <v>313</v>
      </c>
      <c r="AD211" s="15" t="n">
        <v>1</v>
      </c>
      <c r="AE211" s="15" t="s">
        <v>336</v>
      </c>
      <c r="AF211" s="42" t="n">
        <v>0.394</v>
      </c>
      <c r="AG211" s="42" t="n">
        <v>0.340323178776637</v>
      </c>
      <c r="AH211" s="15" t="n">
        <v>452</v>
      </c>
      <c r="AI211" s="37" t="n">
        <v>356457</v>
      </c>
      <c r="AJ211" s="37" t="n">
        <v>3352</v>
      </c>
      <c r="AK211" s="15" t="s">
        <v>326</v>
      </c>
      <c r="AL211" s="43" t="n">
        <v>442.7</v>
      </c>
      <c r="AM211" s="43" t="n">
        <v>435.8</v>
      </c>
      <c r="AN211" s="25" t="n">
        <f aca="false">IF(AND(ISNUMBER(AM211),ISNUMBER(AL211),AL211&gt;=5),AM211/AL211,"")</f>
        <v>0.984413824260221</v>
      </c>
      <c r="AO211" s="43" t="n">
        <v>35.5</v>
      </c>
      <c r="AP211" s="43" t="n">
        <v>76</v>
      </c>
      <c r="AQ211" s="25" t="n">
        <f aca="false">IF(AND(ISNUMBER(AP211),ISNUMBER(AO211),AO211&gt;=5),AP211/AO211,"")</f>
        <v>2.14084507042254</v>
      </c>
      <c r="AR211" s="43" t="n">
        <v>433.4</v>
      </c>
      <c r="AS211" s="43" t="n">
        <v>502.5</v>
      </c>
      <c r="AT211" s="22" t="n">
        <f aca="false">IF(AND(ISNUMBER(AS211),ISNUMBER(AR211),AR211&gt;0),AS211/AR211-1,"")</f>
        <v>0.159437009690817</v>
      </c>
      <c r="AU211" s="44"/>
      <c r="AV211" s="44"/>
      <c r="AW211" s="44"/>
      <c r="AX211" s="44"/>
      <c r="AY211" s="44"/>
      <c r="AZ211" s="45"/>
      <c r="BA211" s="45"/>
      <c r="BB211" s="46"/>
      <c r="BC211" s="46"/>
      <c r="BD211" s="23" t="str">
        <f aca="false">IF(AND(ISNUMBER(BB211),ISNUMBER(BC211),BB211&gt;0),1-BC211/BB211,"")</f>
        <v/>
      </c>
      <c r="BE211" s="47"/>
      <c r="BF211" s="48"/>
      <c r="BG211" s="48"/>
      <c r="BH211" s="27" t="str">
        <f aca="false">IF(AND(ISNUMBER(BF211),ISNUMBER(BG211),BG211&gt;0),BF211/BG211,"")</f>
        <v/>
      </c>
      <c r="BI211" s="48"/>
      <c r="BJ211" s="44"/>
      <c r="BK211" s="46"/>
      <c r="BL211" s="46"/>
      <c r="BM211" s="36" t="str">
        <f aca="false">IF(ISNUMBER(Q211),IF(Q211&lt;0,"YES","no"),"")</f>
        <v>YES</v>
      </c>
      <c r="BN211" s="36" t="str">
        <f aca="false">IFERROR(IF(AND(ISNUMBER(K211),ISNUMBER(INDEX('Lift Inputs'!$H:$H,MATCH(C211,'Lift Inputs'!$C:$C,0)))),IF(K211&lt;INDEX('Lift Inputs'!$H:$H,MATCH(C211,'Lift Inputs'!$C:$C,0)),"YES","no"),""),"")</f>
        <v/>
      </c>
      <c r="BO211" s="44"/>
    </row>
    <row r="212" customFormat="false" ht="15" hidden="false" customHeight="false" outlineLevel="0" collapsed="false">
      <c r="A212" s="15" t="s">
        <v>71</v>
      </c>
      <c r="B212" s="15" t="s">
        <v>78</v>
      </c>
      <c r="C212" s="15" t="n">
        <v>31</v>
      </c>
      <c r="D212" s="15" t="s">
        <v>208</v>
      </c>
      <c r="E212" s="15" t="n">
        <v>1526</v>
      </c>
      <c r="F212" s="15" t="s">
        <v>475</v>
      </c>
      <c r="G212" s="15" t="s">
        <v>567</v>
      </c>
      <c r="H212" s="15" t="s">
        <v>568</v>
      </c>
      <c r="I212" s="15" t="s">
        <v>569</v>
      </c>
      <c r="J212" s="15" t="s">
        <v>176</v>
      </c>
      <c r="K212" s="35" t="n">
        <v>13.99</v>
      </c>
      <c r="L212" s="35" t="n">
        <v>18.99</v>
      </c>
      <c r="M212" s="23" t="n">
        <f aca="false">IF(AND(ISNUMBER(L212),ISNUMBER(K212),K212&gt;0),L212/K212-1,"")</f>
        <v>0.357398141529664</v>
      </c>
      <c r="N212" s="36" t="str">
        <f aca="false">IF(M212="","No List Price",IF(M212&lt;=0,"At/below price",IF(M212&lt;=0.12,"&lt;=12% (STR zone)",IF(M212&lt;=0.25,"12-25%","&gt;25% (likely ignored)"))))</f>
        <v>&gt;25% (likely ignored)</v>
      </c>
      <c r="O212" s="15" t="s">
        <v>311</v>
      </c>
      <c r="P212" s="35" t="n">
        <v>32.0634653465347</v>
      </c>
      <c r="Q212" s="22" t="n">
        <f aca="false">IF(AND(ISNUMBER(K212),ISNUMBER(P212),N(P212)&gt;0),K212/P212-1,"")</f>
        <v>-0.563677854255638</v>
      </c>
      <c r="R212" s="15" t="s">
        <v>312</v>
      </c>
      <c r="S212" s="37" t="n">
        <v>3102</v>
      </c>
      <c r="T212" s="37" t="n">
        <v>347</v>
      </c>
      <c r="U212" s="38" t="n">
        <f aca="false">IF(AND(ISNUMBER(K212),ISNUMBER(T212)),K212*T212*52/12,"")</f>
        <v>21036.2966666667</v>
      </c>
      <c r="V212" s="15" t="n">
        <v>4.3</v>
      </c>
      <c r="W212" s="37" t="n">
        <v>7075</v>
      </c>
      <c r="X212" s="39" t="n">
        <v>46307</v>
      </c>
      <c r="Y212" s="15" t="n">
        <v>115</v>
      </c>
      <c r="Z212" s="40" t="n">
        <v>44158</v>
      </c>
      <c r="AA212" s="41" t="n">
        <f aca="false">IF(ISNUMBER(Z212),(DATE(2026,10,13)-Z212)/365,"")</f>
        <v>5.89041095890411</v>
      </c>
      <c r="AB212" s="37" t="n">
        <v>13814</v>
      </c>
      <c r="AC212" s="15" t="s">
        <v>313</v>
      </c>
      <c r="AD212" s="15" t="n">
        <v>2</v>
      </c>
      <c r="AE212" s="15" t="s">
        <v>331</v>
      </c>
      <c r="AF212" s="42" t="n">
        <v>0</v>
      </c>
      <c r="AG212" s="42" t="n">
        <v>0</v>
      </c>
      <c r="AH212" s="15" t="n">
        <v>453</v>
      </c>
      <c r="AI212" s="37" t="n">
        <v>164434</v>
      </c>
      <c r="AJ212" s="37" t="n">
        <v>2031</v>
      </c>
      <c r="AK212" s="15" t="s">
        <v>326</v>
      </c>
      <c r="AL212" s="43" t="n">
        <v>864</v>
      </c>
      <c r="AM212" s="43" t="n">
        <v>705.8</v>
      </c>
      <c r="AN212" s="25" t="n">
        <f aca="false">IF(AND(ISNUMBER(AM212),ISNUMBER(AL212),AL212&gt;=5),AM212/AL212,"")</f>
        <v>0.816898148148148</v>
      </c>
      <c r="AO212" s="43" t="n">
        <v>82.8</v>
      </c>
      <c r="AP212" s="43" t="n">
        <v>78</v>
      </c>
      <c r="AQ212" s="25" t="n">
        <f aca="false">IF(AND(ISNUMBER(AP212),ISNUMBER(AO212),AO212&gt;=5),AP212/AO212,"")</f>
        <v>0.942028985507247</v>
      </c>
      <c r="AR212" s="43" t="n">
        <v>572.8</v>
      </c>
      <c r="AS212" s="43" t="n">
        <v>489.9</v>
      </c>
      <c r="AT212" s="22" t="n">
        <f aca="false">IF(AND(ISNUMBER(AS212),ISNUMBER(AR212),AR212&gt;0),AS212/AR212-1,"")</f>
        <v>-0.144727653631285</v>
      </c>
      <c r="AU212" s="44"/>
      <c r="AV212" s="44"/>
      <c r="AW212" s="44"/>
      <c r="AX212" s="44"/>
      <c r="AY212" s="44"/>
      <c r="AZ212" s="45"/>
      <c r="BA212" s="45"/>
      <c r="BB212" s="46"/>
      <c r="BC212" s="46"/>
      <c r="BD212" s="23" t="str">
        <f aca="false">IF(AND(ISNUMBER(BB212),ISNUMBER(BC212),BB212&gt;0),1-BC212/BB212,"")</f>
        <v/>
      </c>
      <c r="BE212" s="47"/>
      <c r="BF212" s="48"/>
      <c r="BG212" s="48"/>
      <c r="BH212" s="27" t="str">
        <f aca="false">IF(AND(ISNUMBER(BF212),ISNUMBER(BG212),BG212&gt;0),BF212/BG212,"")</f>
        <v/>
      </c>
      <c r="BI212" s="48"/>
      <c r="BJ212" s="44"/>
      <c r="BK212" s="46"/>
      <c r="BL212" s="46"/>
      <c r="BM212" s="36" t="str">
        <f aca="false">IF(ISNUMBER(Q212),IF(Q212&lt;0,"YES","no"),"")</f>
        <v>YES</v>
      </c>
      <c r="BN212" s="36" t="str">
        <f aca="false">IFERROR(IF(AND(ISNUMBER(K212),ISNUMBER(INDEX('Lift Inputs'!$H:$H,MATCH(C212,'Lift Inputs'!$C:$C,0)))),IF(K212&lt;INDEX('Lift Inputs'!$H:$H,MATCH(C212,'Lift Inputs'!$C:$C,0)),"YES","no"),""),"")</f>
        <v/>
      </c>
      <c r="BO212" s="44"/>
    </row>
    <row r="213" customFormat="false" ht="15" hidden="false" customHeight="false" outlineLevel="0" collapsed="false">
      <c r="A213" s="15" t="s">
        <v>71</v>
      </c>
      <c r="B213" s="15" t="s">
        <v>78</v>
      </c>
      <c r="C213" s="15" t="n">
        <v>31</v>
      </c>
      <c r="D213" s="15" t="s">
        <v>208</v>
      </c>
      <c r="E213" s="15" t="n">
        <v>1528</v>
      </c>
      <c r="F213" s="15" t="s">
        <v>570</v>
      </c>
      <c r="G213" s="15" t="s">
        <v>571</v>
      </c>
      <c r="H213" s="15" t="s">
        <v>572</v>
      </c>
      <c r="I213" s="15" t="s">
        <v>573</v>
      </c>
      <c r="J213" s="15" t="s">
        <v>176</v>
      </c>
      <c r="K213" s="35" t="n">
        <v>22.99</v>
      </c>
      <c r="L213" s="35"/>
      <c r="M213" s="23" t="str">
        <f aca="false">IF(AND(ISNUMBER(L213),ISNUMBER(K213),K213&gt;0),L213/K213-1,"")</f>
        <v/>
      </c>
      <c r="N213" s="36" t="str">
        <f aca="false">IF(M213="","No List Price",IF(M213&lt;=0,"At/below price",IF(M213&lt;=0.12,"&lt;=12% (STR zone)",IF(M213&lt;=0.25,"12-25%","&gt;25% (likely ignored)"))))</f>
        <v>No List Price</v>
      </c>
      <c r="O213" s="15" t="s">
        <v>311</v>
      </c>
      <c r="P213" s="35" t="n">
        <v>32.0634653465347</v>
      </c>
      <c r="Q213" s="22" t="n">
        <f aca="false">IF(AND(ISNUMBER(K213),ISNUMBER(P213),N(P213)&gt;0),K213/P213-1,"")</f>
        <v>-0.282984551060551</v>
      </c>
      <c r="R213" s="15" t="s">
        <v>312</v>
      </c>
      <c r="S213" s="37" t="n">
        <v>4671</v>
      </c>
      <c r="T213" s="37" t="n">
        <v>208</v>
      </c>
      <c r="U213" s="38" t="n">
        <f aca="false">IF(AND(ISNUMBER(K213),ISNUMBER(T213)),K213*T213*52/12,"")</f>
        <v>20721.6533333333</v>
      </c>
      <c r="V213" s="15" t="n">
        <v>4.3</v>
      </c>
      <c r="W213" s="37" t="n">
        <v>5837</v>
      </c>
      <c r="X213" s="39" t="n">
        <v>46307</v>
      </c>
      <c r="Y213" s="15" t="n">
        <v>154</v>
      </c>
      <c r="Z213" s="40" t="n">
        <v>43803</v>
      </c>
      <c r="AA213" s="41" t="n">
        <f aca="false">IF(ISNUMBER(Z213),(DATE(2026,10,13)-Z213)/365,"")</f>
        <v>6.86301369863014</v>
      </c>
      <c r="AB213" s="37" t="n">
        <v>9242</v>
      </c>
      <c r="AC213" s="15" t="s">
        <v>313</v>
      </c>
      <c r="AD213" s="15" t="n">
        <v>1</v>
      </c>
      <c r="AE213" s="15" t="s">
        <v>331</v>
      </c>
      <c r="AF213" s="42" t="n">
        <v>0</v>
      </c>
      <c r="AG213" s="42" t="n">
        <v>0</v>
      </c>
      <c r="AH213" s="15" t="n">
        <v>334</v>
      </c>
      <c r="AI213" s="37" t="n">
        <v>163454</v>
      </c>
      <c r="AJ213" s="37" t="n">
        <v>1240</v>
      </c>
      <c r="AK213" s="15" t="s">
        <v>326</v>
      </c>
      <c r="AL213" s="43" t="n">
        <v>43.5</v>
      </c>
      <c r="AM213" s="43" t="n">
        <v>18.2</v>
      </c>
      <c r="AN213" s="25" t="n">
        <f aca="false">IF(AND(ISNUMBER(AM213),ISNUMBER(AL213),AL213&gt;=5),AM213/AL213,"")</f>
        <v>0.418390804597701</v>
      </c>
      <c r="AO213" s="43" t="n">
        <v>91.2</v>
      </c>
      <c r="AP213" s="43" t="n">
        <v>70</v>
      </c>
      <c r="AQ213" s="25" t="n">
        <f aca="false">IF(AND(ISNUMBER(AP213),ISNUMBER(AO213),AO213&gt;=5),AP213/AO213,"")</f>
        <v>0.767543859649123</v>
      </c>
      <c r="AR213" s="43" t="n">
        <v>57.6</v>
      </c>
      <c r="AS213" s="43" t="n">
        <v>162.2</v>
      </c>
      <c r="AT213" s="22" t="n">
        <f aca="false">IF(AND(ISNUMBER(AS213),ISNUMBER(AR213),AR213&gt;0),AS213/AR213-1,"")</f>
        <v>1.81597222222222</v>
      </c>
      <c r="AU213" s="44"/>
      <c r="AV213" s="44"/>
      <c r="AW213" s="44"/>
      <c r="AX213" s="44"/>
      <c r="AY213" s="44"/>
      <c r="AZ213" s="45"/>
      <c r="BA213" s="45"/>
      <c r="BB213" s="46"/>
      <c r="BC213" s="46"/>
      <c r="BD213" s="23" t="str">
        <f aca="false">IF(AND(ISNUMBER(BB213),ISNUMBER(BC213),BB213&gt;0),1-BC213/BB213,"")</f>
        <v/>
      </c>
      <c r="BE213" s="47"/>
      <c r="BF213" s="48"/>
      <c r="BG213" s="48"/>
      <c r="BH213" s="27" t="str">
        <f aca="false">IF(AND(ISNUMBER(BF213),ISNUMBER(BG213),BG213&gt;0),BF213/BG213,"")</f>
        <v/>
      </c>
      <c r="BI213" s="48"/>
      <c r="BJ213" s="44"/>
      <c r="BK213" s="46"/>
      <c r="BL213" s="46"/>
      <c r="BM213" s="36" t="str">
        <f aca="false">IF(ISNUMBER(Q213),IF(Q213&lt;0,"YES","no"),"")</f>
        <v>YES</v>
      </c>
      <c r="BN213" s="36" t="str">
        <f aca="false">IFERROR(IF(AND(ISNUMBER(K213),ISNUMBER(INDEX('Lift Inputs'!$H:$H,MATCH(C213,'Lift Inputs'!$C:$C,0)))),IF(K213&lt;INDEX('Lift Inputs'!$H:$H,MATCH(C213,'Lift Inputs'!$C:$C,0)),"YES","no"),""),"")</f>
        <v/>
      </c>
      <c r="BO213" s="44"/>
    </row>
    <row r="214" customFormat="false" ht="15" hidden="false" customHeight="false" outlineLevel="0" collapsed="false">
      <c r="A214" s="15" t="s">
        <v>71</v>
      </c>
      <c r="B214" s="15" t="s">
        <v>78</v>
      </c>
      <c r="C214" s="15" t="n">
        <v>31</v>
      </c>
      <c r="D214" s="15" t="s">
        <v>208</v>
      </c>
      <c r="E214" s="15" t="n">
        <v>1535</v>
      </c>
      <c r="F214" s="15" t="s">
        <v>578</v>
      </c>
      <c r="G214" s="15" t="s">
        <v>579</v>
      </c>
      <c r="H214" s="15" t="s">
        <v>580</v>
      </c>
      <c r="I214" s="15" t="s">
        <v>581</v>
      </c>
      <c r="J214" s="15" t="s">
        <v>176</v>
      </c>
      <c r="K214" s="35" t="n">
        <v>20.99</v>
      </c>
      <c r="L214" s="35"/>
      <c r="M214" s="23" t="str">
        <f aca="false">IF(AND(ISNUMBER(L214),ISNUMBER(K214),K214&gt;0),L214/K214-1,"")</f>
        <v/>
      </c>
      <c r="N214" s="36" t="str">
        <f aca="false">IF(M214="","No List Price",IF(M214&lt;=0,"At/below price",IF(M214&lt;=0.12,"&lt;=12% (STR zone)",IF(M214&lt;=0.25,"12-25%","&gt;25% (likely ignored)"))))</f>
        <v>No List Price</v>
      </c>
      <c r="O214" s="15" t="s">
        <v>311</v>
      </c>
      <c r="P214" s="35" t="n">
        <v>32.0634653465347</v>
      </c>
      <c r="Q214" s="22" t="n">
        <f aca="false">IF(AND(ISNUMBER(K214),ISNUMBER(P214),N(P214)&gt;0),K214/P214-1,"")</f>
        <v>-0.345360840659459</v>
      </c>
      <c r="R214" s="15" t="s">
        <v>312</v>
      </c>
      <c r="S214" s="37" t="n">
        <v>30991</v>
      </c>
      <c r="T214" s="37" t="n">
        <v>92</v>
      </c>
      <c r="U214" s="38" t="n">
        <f aca="false">IF(AND(ISNUMBER(K214),ISNUMBER(T214)),K214*T214*52/12,"")</f>
        <v>8368.01333333333</v>
      </c>
      <c r="V214" s="15" t="n">
        <v>4.4</v>
      </c>
      <c r="W214" s="37" t="n">
        <v>9828</v>
      </c>
      <c r="X214" s="39" t="n">
        <v>46307</v>
      </c>
      <c r="Y214" s="15" t="n">
        <v>146</v>
      </c>
      <c r="Z214" s="40" t="n">
        <v>43833</v>
      </c>
      <c r="AA214" s="41" t="n">
        <f aca="false">IF(ISNUMBER(Z214),(DATE(2026,10,13)-Z214)/365,"")</f>
        <v>6.78082191780822</v>
      </c>
      <c r="AB214" s="37" t="n">
        <v>10275</v>
      </c>
      <c r="AC214" s="15" t="s">
        <v>582</v>
      </c>
      <c r="AD214" s="15" t="n">
        <v>2</v>
      </c>
      <c r="AE214" s="15" t="s">
        <v>583</v>
      </c>
      <c r="AF214" s="42" t="n">
        <v>0</v>
      </c>
      <c r="AG214" s="42" t="n">
        <v>0</v>
      </c>
      <c r="AH214" s="15" t="n">
        <v>399</v>
      </c>
      <c r="AI214" s="37" t="n">
        <v>119531</v>
      </c>
      <c r="AJ214" s="37" t="n">
        <v>1524</v>
      </c>
      <c r="AK214" s="15" t="s">
        <v>326</v>
      </c>
      <c r="AL214" s="43" t="n">
        <v>190.1</v>
      </c>
      <c r="AM214" s="43" t="n">
        <v>144</v>
      </c>
      <c r="AN214" s="25" t="n">
        <f aca="false">IF(AND(ISNUMBER(AM214),ISNUMBER(AL214),AL214&gt;=5),AM214/AL214,"")</f>
        <v>0.757496054708048</v>
      </c>
      <c r="AO214" s="43" t="n">
        <v>12.7</v>
      </c>
      <c r="AP214" s="43" t="n">
        <v>28</v>
      </c>
      <c r="AQ214" s="25" t="n">
        <f aca="false">IF(AND(ISNUMBER(AP214),ISNUMBER(AO214),AO214&gt;=5),AP214/AO214,"")</f>
        <v>2.20472440944882</v>
      </c>
      <c r="AR214" s="43" t="n">
        <v>236.5</v>
      </c>
      <c r="AS214" s="43" t="n">
        <v>216.6</v>
      </c>
      <c r="AT214" s="22" t="n">
        <f aca="false">IF(AND(ISNUMBER(AS214),ISNUMBER(AR214),AR214&gt;0),AS214/AR214-1,"")</f>
        <v>-0.0841437632135307</v>
      </c>
      <c r="AU214" s="44"/>
      <c r="AV214" s="44"/>
      <c r="AW214" s="44"/>
      <c r="AX214" s="44"/>
      <c r="AY214" s="44"/>
      <c r="AZ214" s="45"/>
      <c r="BA214" s="45"/>
      <c r="BB214" s="46"/>
      <c r="BC214" s="46"/>
      <c r="BD214" s="23" t="str">
        <f aca="false">IF(AND(ISNUMBER(BB214),ISNUMBER(BC214),BB214&gt;0),1-BC214/BB214,"")</f>
        <v/>
      </c>
      <c r="BE214" s="47"/>
      <c r="BF214" s="48"/>
      <c r="BG214" s="48"/>
      <c r="BH214" s="27" t="str">
        <f aca="false">IF(AND(ISNUMBER(BF214),ISNUMBER(BG214),BG214&gt;0),BF214/BG214,"")</f>
        <v/>
      </c>
      <c r="BI214" s="48"/>
      <c r="BJ214" s="44"/>
      <c r="BK214" s="46"/>
      <c r="BL214" s="46"/>
      <c r="BM214" s="36" t="str">
        <f aca="false">IF(ISNUMBER(Q214),IF(Q214&lt;0,"YES","no"),"")</f>
        <v>YES</v>
      </c>
      <c r="BN214" s="36" t="str">
        <f aca="false">IFERROR(IF(AND(ISNUMBER(K214),ISNUMBER(INDEX('Lift Inputs'!$H:$H,MATCH(C214,'Lift Inputs'!$C:$C,0)))),IF(K214&lt;INDEX('Lift Inputs'!$H:$H,MATCH(C214,'Lift Inputs'!$C:$C,0)),"YES","no"),""),"")</f>
        <v/>
      </c>
      <c r="BO214" s="44"/>
    </row>
    <row r="215" customFormat="false" ht="15" hidden="false" customHeight="false" outlineLevel="0" collapsed="false">
      <c r="A215" s="15" t="s">
        <v>71</v>
      </c>
      <c r="B215" s="15" t="s">
        <v>78</v>
      </c>
      <c r="C215" s="15" t="n">
        <v>31</v>
      </c>
      <c r="D215" s="15" t="s">
        <v>208</v>
      </c>
      <c r="E215" s="15" t="n">
        <v>159</v>
      </c>
      <c r="F215" s="15" t="s">
        <v>574</v>
      </c>
      <c r="G215" s="15" t="s">
        <v>575</v>
      </c>
      <c r="H215" s="15" t="s">
        <v>576</v>
      </c>
      <c r="I215" s="15" t="s">
        <v>577</v>
      </c>
      <c r="J215" s="15" t="s">
        <v>177</v>
      </c>
      <c r="K215" s="35" t="n">
        <v>23.99</v>
      </c>
      <c r="L215" s="35"/>
      <c r="M215" s="23" t="str">
        <f aca="false">IF(AND(ISNUMBER(L215),ISNUMBER(K215),K215&gt;0),L215/K215-1,"")</f>
        <v/>
      </c>
      <c r="N215" s="36" t="str">
        <f aca="false">IF(M215="","No List Price",IF(M215&lt;=0,"At/below price",IF(M215&lt;=0.12,"&lt;=12% (STR zone)",IF(M215&lt;=0.25,"12-25%","&gt;25% (likely ignored)"))))</f>
        <v>No List Price</v>
      </c>
      <c r="O215" s="15"/>
      <c r="P215" s="35" t="n">
        <v>32.0634653465347</v>
      </c>
      <c r="Q215" s="22" t="n">
        <f aca="false">IF(AND(ISNUMBER(K215),ISNUMBER(P215),N(P215)&gt;0),K215/P215-1,"")</f>
        <v>-0.251796406261097</v>
      </c>
      <c r="R215" s="15" t="s">
        <v>353</v>
      </c>
      <c r="S215" s="37" t="n">
        <v>17918</v>
      </c>
      <c r="T215" s="37" t="n">
        <v>104</v>
      </c>
      <c r="U215" s="38" t="n">
        <f aca="false">IF(AND(ISNUMBER(K215),ISNUMBER(T215)),K215*T215*52/12,"")</f>
        <v>10811.4933333333</v>
      </c>
      <c r="V215" s="15" t="n">
        <v>4.4</v>
      </c>
      <c r="W215" s="37" t="n">
        <v>780</v>
      </c>
      <c r="X215" s="39" t="n">
        <v>46307</v>
      </c>
      <c r="Y215" s="15"/>
      <c r="Z215" s="40"/>
      <c r="AA215" s="41" t="str">
        <f aca="false">IF(ISNUMBER(Z215),(DATE(2026,10,13)-Z215)/365,"")</f>
        <v/>
      </c>
      <c r="AB215" s="37"/>
      <c r="AC215" s="15"/>
      <c r="AD215" s="15"/>
      <c r="AE215" s="15"/>
      <c r="AF215" s="42"/>
      <c r="AG215" s="42"/>
      <c r="AH215" s="15"/>
      <c r="AI215" s="37" t="n">
        <v>99046</v>
      </c>
      <c r="AJ215" s="37" t="n">
        <v>1117</v>
      </c>
      <c r="AK215" s="15" t="s">
        <v>315</v>
      </c>
      <c r="AL215" s="43" t="n">
        <v>1</v>
      </c>
      <c r="AM215" s="43" t="n">
        <v>1</v>
      </c>
      <c r="AN215" s="25" t="str">
        <f aca="false">IF(AND(ISNUMBER(AM215),ISNUMBER(AL215),AL215&gt;=5),AM215/AL215,"")</f>
        <v/>
      </c>
      <c r="AO215" s="43" t="n">
        <v>0</v>
      </c>
      <c r="AP215" s="43" t="n">
        <v>0</v>
      </c>
      <c r="AQ215" s="25" t="str">
        <f aca="false">IF(AND(ISNUMBER(AP215),ISNUMBER(AO215),AO215&gt;=5),AP215/AO215,"")</f>
        <v/>
      </c>
      <c r="AR215" s="43" t="n">
        <v>1.5</v>
      </c>
      <c r="AS215" s="43" t="n">
        <v>14</v>
      </c>
      <c r="AT215" s="22" t="n">
        <f aca="false">IF(AND(ISNUMBER(AS215),ISNUMBER(AR215),AR215&gt;0),AS215/AR215-1,"")</f>
        <v>8.33333333333333</v>
      </c>
      <c r="AU215" s="44"/>
      <c r="AV215" s="44"/>
      <c r="AW215" s="44"/>
      <c r="AX215" s="44"/>
      <c r="AY215" s="44"/>
      <c r="AZ215" s="45"/>
      <c r="BA215" s="45"/>
      <c r="BB215" s="46"/>
      <c r="BC215" s="46"/>
      <c r="BD215" s="23" t="str">
        <f aca="false">IF(AND(ISNUMBER(BB215),ISNUMBER(BC215),BB215&gt;0),1-BC215/BB215,"")</f>
        <v/>
      </c>
      <c r="BE215" s="47"/>
      <c r="BF215" s="48"/>
      <c r="BG215" s="48"/>
      <c r="BH215" s="27" t="str">
        <f aca="false">IF(AND(ISNUMBER(BF215),ISNUMBER(BG215),BG215&gt;0),BF215/BG215,"")</f>
        <v/>
      </c>
      <c r="BI215" s="48"/>
      <c r="BJ215" s="44"/>
      <c r="BK215" s="46"/>
      <c r="BL215" s="46"/>
      <c r="BM215" s="36" t="str">
        <f aca="false">IF(ISNUMBER(Q215),IF(Q215&lt;0,"YES","no"),"")</f>
        <v>YES</v>
      </c>
      <c r="BN215" s="36" t="str">
        <f aca="false">IFERROR(IF(AND(ISNUMBER(K215),ISNUMBER(INDEX('Lift Inputs'!$H:$H,MATCH(C215,'Lift Inputs'!$C:$C,0)))),IF(K215&lt;INDEX('Lift Inputs'!$H:$H,MATCH(C215,'Lift Inputs'!$C:$C,0)),"YES","no"),""),"")</f>
        <v/>
      </c>
      <c r="BO215" s="44"/>
    </row>
    <row r="216" customFormat="false" ht="15" hidden="false" customHeight="false" outlineLevel="0" collapsed="false">
      <c r="A216" s="15" t="s">
        <v>71</v>
      </c>
      <c r="B216" s="15" t="s">
        <v>78</v>
      </c>
      <c r="C216" s="15" t="n">
        <v>31</v>
      </c>
      <c r="D216" s="15" t="s">
        <v>208</v>
      </c>
      <c r="E216" s="15" t="n">
        <v>147</v>
      </c>
      <c r="F216" s="15" t="s">
        <v>613</v>
      </c>
      <c r="G216" s="15" t="s">
        <v>614</v>
      </c>
      <c r="H216" s="15" t="s">
        <v>615</v>
      </c>
      <c r="I216" s="15" t="s">
        <v>616</v>
      </c>
      <c r="J216" s="15" t="s">
        <v>177</v>
      </c>
      <c r="K216" s="35" t="n">
        <v>26.99</v>
      </c>
      <c r="L216" s="35"/>
      <c r="M216" s="23" t="str">
        <f aca="false">IF(AND(ISNUMBER(L216),ISNUMBER(K216),K216&gt;0),L216/K216-1,"")</f>
        <v/>
      </c>
      <c r="N216" s="36" t="str">
        <f aca="false">IF(M216="","No List Price",IF(M216&lt;=0,"At/below price",IF(M216&lt;=0.12,"&lt;=12% (STR zone)",IF(M216&lt;=0.25,"12-25%","&gt;25% (likely ignored)"))))</f>
        <v>No List Price</v>
      </c>
      <c r="O216" s="15" t="s">
        <v>311</v>
      </c>
      <c r="P216" s="35" t="n">
        <v>32.0634653465347</v>
      </c>
      <c r="Q216" s="22" t="n">
        <f aca="false">IF(AND(ISNUMBER(K216),ISNUMBER(P216),N(P216)&gt;0),K216/P216-1,"")</f>
        <v>-0.158231971862735</v>
      </c>
      <c r="R216" s="15" t="s">
        <v>312</v>
      </c>
      <c r="S216" s="37" t="n">
        <v>20031</v>
      </c>
      <c r="T216" s="37" t="n">
        <v>104</v>
      </c>
      <c r="U216" s="38" t="n">
        <f aca="false">IF(AND(ISNUMBER(K216),ISNUMBER(T216)),K216*T216*52/12,"")</f>
        <v>12163.4933333333</v>
      </c>
      <c r="V216" s="15" t="n">
        <v>4.4</v>
      </c>
      <c r="W216" s="37" t="n">
        <v>4031</v>
      </c>
      <c r="X216" s="39" t="n">
        <v>46307</v>
      </c>
      <c r="Y216" s="15" t="n">
        <v>47</v>
      </c>
      <c r="Z216" s="40" t="n">
        <v>44180</v>
      </c>
      <c r="AA216" s="41" t="n">
        <f aca="false">IF(ISNUMBER(Z216),(DATE(2026,10,13)-Z216)/365,"")</f>
        <v>5.83013698630137</v>
      </c>
      <c r="AB216" s="37" t="n">
        <v>3299</v>
      </c>
      <c r="AC216" s="15" t="s">
        <v>313</v>
      </c>
      <c r="AD216" s="15" t="n">
        <v>1</v>
      </c>
      <c r="AE216" s="15" t="s">
        <v>331</v>
      </c>
      <c r="AF216" s="42" t="n">
        <v>0</v>
      </c>
      <c r="AG216" s="42" t="n">
        <v>0</v>
      </c>
      <c r="AH216" s="15" t="n">
        <v>125</v>
      </c>
      <c r="AI216" s="37" t="n">
        <v>66544</v>
      </c>
      <c r="AJ216" s="37" t="n">
        <v>832</v>
      </c>
      <c r="AK216" s="15" t="s">
        <v>326</v>
      </c>
      <c r="AL216" s="43" t="n">
        <v>82.8</v>
      </c>
      <c r="AM216" s="43" t="n">
        <v>97</v>
      </c>
      <c r="AN216" s="25" t="n">
        <f aca="false">IF(AND(ISNUMBER(AM216),ISNUMBER(AL216),AL216&gt;=5),AM216/AL216,"")</f>
        <v>1.17149758454106</v>
      </c>
      <c r="AO216" s="43" t="n">
        <v>8.8</v>
      </c>
      <c r="AP216" s="43" t="n">
        <v>12.2</v>
      </c>
      <c r="AQ216" s="25" t="n">
        <f aca="false">IF(AND(ISNUMBER(AP216),ISNUMBER(AO216),AO216&gt;=5),AP216/AO216,"")</f>
        <v>1.38636363636364</v>
      </c>
      <c r="AR216" s="43" t="n">
        <v>82.4</v>
      </c>
      <c r="AS216" s="43" t="n">
        <v>132.5</v>
      </c>
      <c r="AT216" s="22" t="n">
        <f aca="false">IF(AND(ISNUMBER(AS216),ISNUMBER(AR216),AR216&gt;0),AS216/AR216-1,"")</f>
        <v>0.608009708737864</v>
      </c>
      <c r="AU216" s="44"/>
      <c r="AV216" s="44"/>
      <c r="AW216" s="44"/>
      <c r="AX216" s="44"/>
      <c r="AY216" s="44"/>
      <c r="AZ216" s="45"/>
      <c r="BA216" s="45"/>
      <c r="BB216" s="46"/>
      <c r="BC216" s="46"/>
      <c r="BD216" s="23" t="str">
        <f aca="false">IF(AND(ISNUMBER(BB216),ISNUMBER(BC216),BB216&gt;0),1-BC216/BB216,"")</f>
        <v/>
      </c>
      <c r="BE216" s="47"/>
      <c r="BF216" s="48"/>
      <c r="BG216" s="48"/>
      <c r="BH216" s="27" t="str">
        <f aca="false">IF(AND(ISNUMBER(BF216),ISNUMBER(BG216),BG216&gt;0),BF216/BG216,"")</f>
        <v/>
      </c>
      <c r="BI216" s="48"/>
      <c r="BJ216" s="44"/>
      <c r="BK216" s="46"/>
      <c r="BL216" s="46"/>
      <c r="BM216" s="36" t="str">
        <f aca="false">IF(ISNUMBER(Q216),IF(Q216&lt;0,"YES","no"),"")</f>
        <v>YES</v>
      </c>
      <c r="BN216" s="36" t="str">
        <f aca="false">IFERROR(IF(AND(ISNUMBER(K216),ISNUMBER(INDEX('Lift Inputs'!$H:$H,MATCH(C216,'Lift Inputs'!$C:$C,0)))),IF(K216&lt;INDEX('Lift Inputs'!$H:$H,MATCH(C216,'Lift Inputs'!$C:$C,0)),"YES","no"),""),"")</f>
        <v/>
      </c>
      <c r="BO216" s="44"/>
    </row>
    <row r="217" customFormat="false" ht="15" hidden="false" customHeight="false" outlineLevel="0" collapsed="false">
      <c r="A217" s="15" t="s">
        <v>71</v>
      </c>
      <c r="B217" s="15" t="s">
        <v>78</v>
      </c>
      <c r="C217" s="15" t="n">
        <v>31</v>
      </c>
      <c r="D217" s="15" t="s">
        <v>208</v>
      </c>
      <c r="E217" s="15" t="n">
        <v>146</v>
      </c>
      <c r="F217" s="15" t="s">
        <v>307</v>
      </c>
      <c r="G217" s="15" t="s">
        <v>617</v>
      </c>
      <c r="H217" s="15" t="s">
        <v>618</v>
      </c>
      <c r="I217" s="15" t="s">
        <v>577</v>
      </c>
      <c r="J217" s="15" t="s">
        <v>177</v>
      </c>
      <c r="K217" s="35" t="n">
        <v>19.99</v>
      </c>
      <c r="L217" s="35"/>
      <c r="M217" s="23" t="str">
        <f aca="false">IF(AND(ISNUMBER(L217),ISNUMBER(K217),K217&gt;0),L217/K217-1,"")</f>
        <v/>
      </c>
      <c r="N217" s="36" t="str">
        <f aca="false">IF(M217="","No List Price",IF(M217&lt;=0,"At/below price",IF(M217&lt;=0.12,"&lt;=12% (STR zone)",IF(M217&lt;=0.25,"12-25%","&gt;25% (likely ignored)"))))</f>
        <v>No List Price</v>
      </c>
      <c r="O217" s="15"/>
      <c r="P217" s="35" t="n">
        <v>32.0634653465347</v>
      </c>
      <c r="Q217" s="22" t="n">
        <f aca="false">IF(AND(ISNUMBER(K217),ISNUMBER(P217),N(P217)&gt;0),K217/P217-1,"")</f>
        <v>-0.376548985458913</v>
      </c>
      <c r="R217" s="15" t="s">
        <v>353</v>
      </c>
      <c r="S217" s="37" t="n">
        <v>22342</v>
      </c>
      <c r="T217" s="37" t="n">
        <v>92</v>
      </c>
      <c r="U217" s="38" t="n">
        <f aca="false">IF(AND(ISNUMBER(K217),ISNUMBER(T217)),K217*T217*52/12,"")</f>
        <v>7969.34666666667</v>
      </c>
      <c r="V217" s="15" t="n">
        <v>4.3</v>
      </c>
      <c r="W217" s="37" t="n">
        <v>2745</v>
      </c>
      <c r="X217" s="39" t="n">
        <v>46307</v>
      </c>
      <c r="Y217" s="15"/>
      <c r="Z217" s="40"/>
      <c r="AA217" s="41" t="str">
        <f aca="false">IF(ISNUMBER(Z217),(DATE(2026,10,13)-Z217)/365,"")</f>
        <v/>
      </c>
      <c r="AB217" s="37"/>
      <c r="AC217" s="15"/>
      <c r="AD217" s="15"/>
      <c r="AE217" s="15"/>
      <c r="AF217" s="42"/>
      <c r="AG217" s="42"/>
      <c r="AH217" s="15"/>
      <c r="AI217" s="37" t="n">
        <v>89691</v>
      </c>
      <c r="AJ217" s="37" t="n">
        <v>1094</v>
      </c>
      <c r="AK217" s="15" t="s">
        <v>315</v>
      </c>
      <c r="AL217" s="43" t="n">
        <v>20.8</v>
      </c>
      <c r="AM217" s="43" t="n">
        <v>31.8</v>
      </c>
      <c r="AN217" s="25" t="n">
        <f aca="false">IF(AND(ISNUMBER(AM217),ISNUMBER(AL217),AL217&gt;=5),AM217/AL217,"")</f>
        <v>1.52884615384615</v>
      </c>
      <c r="AO217" s="43" t="n">
        <v>20.4</v>
      </c>
      <c r="AP217" s="43" t="n">
        <v>17.8</v>
      </c>
      <c r="AQ217" s="25" t="n">
        <f aca="false">IF(AND(ISNUMBER(AP217),ISNUMBER(AO217),AO217&gt;=5),AP217/AO217,"")</f>
        <v>0.872549019607843</v>
      </c>
      <c r="AR217" s="43" t="n">
        <v>24.4</v>
      </c>
      <c r="AS217" s="43" t="n">
        <v>28.2</v>
      </c>
      <c r="AT217" s="22" t="n">
        <f aca="false">IF(AND(ISNUMBER(AS217),ISNUMBER(AR217),AR217&gt;0),AS217/AR217-1,"")</f>
        <v>0.155737704918033</v>
      </c>
      <c r="AU217" s="44"/>
      <c r="AV217" s="44"/>
      <c r="AW217" s="44"/>
      <c r="AX217" s="44"/>
      <c r="AY217" s="44"/>
      <c r="AZ217" s="45"/>
      <c r="BA217" s="45"/>
      <c r="BB217" s="46"/>
      <c r="BC217" s="46"/>
      <c r="BD217" s="23" t="str">
        <f aca="false">IF(AND(ISNUMBER(BB217),ISNUMBER(BC217),BB217&gt;0),1-BC217/BB217,"")</f>
        <v/>
      </c>
      <c r="BE217" s="47"/>
      <c r="BF217" s="48"/>
      <c r="BG217" s="48"/>
      <c r="BH217" s="27" t="str">
        <f aca="false">IF(AND(ISNUMBER(BF217),ISNUMBER(BG217),BG217&gt;0),BF217/BG217,"")</f>
        <v/>
      </c>
      <c r="BI217" s="48"/>
      <c r="BJ217" s="44"/>
      <c r="BK217" s="46"/>
      <c r="BL217" s="46"/>
      <c r="BM217" s="36" t="str">
        <f aca="false">IF(ISNUMBER(Q217),IF(Q217&lt;0,"YES","no"),"")</f>
        <v>YES</v>
      </c>
      <c r="BN217" s="36" t="str">
        <f aca="false">IFERROR(IF(AND(ISNUMBER(K217),ISNUMBER(INDEX('Lift Inputs'!$H:$H,MATCH(C217,'Lift Inputs'!$C:$C,0)))),IF(K217&lt;INDEX('Lift Inputs'!$H:$H,MATCH(C217,'Lift Inputs'!$C:$C,0)),"YES","no"),""),"")</f>
        <v/>
      </c>
      <c r="BO217" s="44"/>
    </row>
    <row r="218" customFormat="false" ht="15" hidden="false" customHeight="false" outlineLevel="0" collapsed="false">
      <c r="A218" s="15" t="s">
        <v>71</v>
      </c>
      <c r="B218" s="15" t="s">
        <v>78</v>
      </c>
      <c r="C218" s="15" t="n">
        <v>31</v>
      </c>
      <c r="D218" s="15" t="s">
        <v>208</v>
      </c>
      <c r="E218" s="15" t="n">
        <v>148</v>
      </c>
      <c r="F218" s="15" t="s">
        <v>584</v>
      </c>
      <c r="G218" s="15" t="s">
        <v>585</v>
      </c>
      <c r="H218" s="15" t="s">
        <v>586</v>
      </c>
      <c r="I218" s="15" t="s">
        <v>587</v>
      </c>
      <c r="J218" s="15" t="s">
        <v>177</v>
      </c>
      <c r="K218" s="35" t="n">
        <v>22.99</v>
      </c>
      <c r="L218" s="35"/>
      <c r="M218" s="23" t="str">
        <f aca="false">IF(AND(ISNUMBER(L218),ISNUMBER(K218),K218&gt;0),L218/K218-1,"")</f>
        <v/>
      </c>
      <c r="N218" s="36" t="str">
        <f aca="false">IF(M218="","No List Price",IF(M218&lt;=0,"At/below price",IF(M218&lt;=0.12,"&lt;=12% (STR zone)",IF(M218&lt;=0.25,"12-25%","&gt;25% (likely ignored)"))))</f>
        <v>No List Price</v>
      </c>
      <c r="O218" s="15" t="s">
        <v>311</v>
      </c>
      <c r="P218" s="35" t="n">
        <v>32.0634653465347</v>
      </c>
      <c r="Q218" s="22" t="n">
        <f aca="false">IF(AND(ISNUMBER(K218),ISNUMBER(P218),N(P218)&gt;0),K218/P218-1,"")</f>
        <v>-0.282984551060551</v>
      </c>
      <c r="R218" s="15" t="s">
        <v>312</v>
      </c>
      <c r="S218" s="37" t="n">
        <v>23154</v>
      </c>
      <c r="T218" s="37" t="n">
        <v>92</v>
      </c>
      <c r="U218" s="38" t="n">
        <f aca="false">IF(AND(ISNUMBER(K218),ISNUMBER(T218)),K218*T218*52/12,"")</f>
        <v>9165.34666666667</v>
      </c>
      <c r="V218" s="15" t="n">
        <v>4.4</v>
      </c>
      <c r="W218" s="37" t="n">
        <v>6981</v>
      </c>
      <c r="X218" s="39" t="n">
        <v>46307</v>
      </c>
      <c r="Y218" s="15" t="n">
        <v>96</v>
      </c>
      <c r="Z218" s="40" t="n">
        <v>44096</v>
      </c>
      <c r="AA218" s="41" t="n">
        <f aca="false">IF(ISNUMBER(Z218),(DATE(2026,10,13)-Z218)/365,"")</f>
        <v>6.06027397260274</v>
      </c>
      <c r="AB218" s="37" t="n">
        <v>2778</v>
      </c>
      <c r="AC218" s="15" t="s">
        <v>313</v>
      </c>
      <c r="AD218" s="15" t="n">
        <v>1</v>
      </c>
      <c r="AE218" s="15" t="s">
        <v>331</v>
      </c>
      <c r="AF218" s="42" t="n">
        <v>0</v>
      </c>
      <c r="AG218" s="42" t="n">
        <v>0</v>
      </c>
      <c r="AH218" s="15" t="n">
        <v>350</v>
      </c>
      <c r="AI218" s="37" t="n">
        <v>47722</v>
      </c>
      <c r="AJ218" s="37" t="n">
        <v>1085</v>
      </c>
      <c r="AK218" s="15" t="s">
        <v>315</v>
      </c>
      <c r="AL218" s="43" t="n">
        <v>100.2</v>
      </c>
      <c r="AM218" s="43" t="n">
        <v>103.8</v>
      </c>
      <c r="AN218" s="25" t="n">
        <f aca="false">IF(AND(ISNUMBER(AM218),ISNUMBER(AL218),AL218&gt;=5),AM218/AL218,"")</f>
        <v>1.03592814371257</v>
      </c>
      <c r="AO218" s="43" t="n">
        <v>7.2</v>
      </c>
      <c r="AP218" s="43" t="n">
        <v>4.5</v>
      </c>
      <c r="AQ218" s="25" t="n">
        <f aca="false">IF(AND(ISNUMBER(AP218),ISNUMBER(AO218),AO218&gt;=5),AP218/AO218,"")</f>
        <v>0.625</v>
      </c>
      <c r="AR218" s="43" t="n">
        <v>103.7</v>
      </c>
      <c r="AS218" s="43" t="n">
        <v>97.6</v>
      </c>
      <c r="AT218" s="22" t="n">
        <f aca="false">IF(AND(ISNUMBER(AS218),ISNUMBER(AR218),AR218&gt;0),AS218/AR218-1,"")</f>
        <v>-0.0588235294117648</v>
      </c>
      <c r="AU218" s="44"/>
      <c r="AV218" s="44"/>
      <c r="AW218" s="44"/>
      <c r="AX218" s="44"/>
      <c r="AY218" s="44"/>
      <c r="AZ218" s="45"/>
      <c r="BA218" s="45"/>
      <c r="BB218" s="46"/>
      <c r="BC218" s="46"/>
      <c r="BD218" s="23" t="str">
        <f aca="false">IF(AND(ISNUMBER(BB218),ISNUMBER(BC218),BB218&gt;0),1-BC218/BB218,"")</f>
        <v/>
      </c>
      <c r="BE218" s="47"/>
      <c r="BF218" s="48"/>
      <c r="BG218" s="48"/>
      <c r="BH218" s="27" t="str">
        <f aca="false">IF(AND(ISNUMBER(BF218),ISNUMBER(BG218),BG218&gt;0),BF218/BG218,"")</f>
        <v/>
      </c>
      <c r="BI218" s="48"/>
      <c r="BJ218" s="44"/>
      <c r="BK218" s="46"/>
      <c r="BL218" s="46"/>
      <c r="BM218" s="36" t="str">
        <f aca="false">IF(ISNUMBER(Q218),IF(Q218&lt;0,"YES","no"),"")</f>
        <v>YES</v>
      </c>
      <c r="BN218" s="36" t="str">
        <f aca="false">IFERROR(IF(AND(ISNUMBER(K218),ISNUMBER(INDEX('Lift Inputs'!$H:$H,MATCH(C218,'Lift Inputs'!$C:$C,0)))),IF(K218&lt;INDEX('Lift Inputs'!$H:$H,MATCH(C218,'Lift Inputs'!$C:$C,0)),"YES","no"),""),"")</f>
        <v/>
      </c>
      <c r="BO218" s="44"/>
    </row>
    <row r="219" customFormat="false" ht="15" hidden="false" customHeight="false" outlineLevel="0" collapsed="false">
      <c r="A219" s="15" t="s">
        <v>71</v>
      </c>
      <c r="B219" s="15" t="s">
        <v>78</v>
      </c>
      <c r="C219" s="15" t="n">
        <v>31</v>
      </c>
      <c r="D219" s="15" t="s">
        <v>208</v>
      </c>
      <c r="E219" s="15" t="n">
        <v>625</v>
      </c>
      <c r="F219" s="15" t="s">
        <v>619</v>
      </c>
      <c r="G219" s="15" t="s">
        <v>620</v>
      </c>
      <c r="H219" s="15" t="s">
        <v>621</v>
      </c>
      <c r="I219" s="15" t="s">
        <v>622</v>
      </c>
      <c r="J219" s="15" t="s">
        <v>177</v>
      </c>
      <c r="K219" s="35" t="n">
        <v>21.99</v>
      </c>
      <c r="L219" s="35"/>
      <c r="M219" s="23" t="str">
        <f aca="false">IF(AND(ISNUMBER(L219),ISNUMBER(K219),K219&gt;0),L219/K219-1,"")</f>
        <v/>
      </c>
      <c r="N219" s="36" t="str">
        <f aca="false">IF(M219="","No List Price",IF(M219&lt;=0,"At/below price",IF(M219&lt;=0.12,"&lt;=12% (STR zone)",IF(M219&lt;=0.25,"12-25%","&gt;25% (likely ignored)"))))</f>
        <v>No List Price</v>
      </c>
      <c r="O219" s="15" t="s">
        <v>520</v>
      </c>
      <c r="P219" s="35" t="n">
        <v>31.3887096774194</v>
      </c>
      <c r="Q219" s="22" t="n">
        <f aca="false">IF(AND(ISNUMBER(K219),ISNUMBER(P219),N(P219)&gt;0),K219/P219-1,"")</f>
        <v>-0.299429628487745</v>
      </c>
      <c r="R219" s="15" t="s">
        <v>623</v>
      </c>
      <c r="S219" s="37" t="n">
        <v>132024</v>
      </c>
      <c r="T219" s="37" t="n">
        <v>81</v>
      </c>
      <c r="U219" s="38" t="n">
        <f aca="false">IF(AND(ISNUMBER(K219),ISNUMBER(T219)),K219*T219*52/12,"")</f>
        <v>7718.49</v>
      </c>
      <c r="V219" s="15" t="n">
        <v>4.4</v>
      </c>
      <c r="W219" s="37" t="n">
        <v>3943</v>
      </c>
      <c r="X219" s="39" t="n">
        <v>46307</v>
      </c>
      <c r="Y219" s="15" t="n">
        <v>94</v>
      </c>
      <c r="Z219" s="40" t="n">
        <v>44451</v>
      </c>
      <c r="AA219" s="41" t="n">
        <f aca="false">IF(ISNUMBER(Z219),(DATE(2026,10,13)-Z219)/365,"")</f>
        <v>5.08767123287671</v>
      </c>
      <c r="AB219" s="37" t="n">
        <v>2237</v>
      </c>
      <c r="AC219" s="15" t="s">
        <v>313</v>
      </c>
      <c r="AD219" s="15" t="n">
        <v>1</v>
      </c>
      <c r="AE219" s="15" t="s">
        <v>331</v>
      </c>
      <c r="AF219" s="42" t="n">
        <v>0</v>
      </c>
      <c r="AG219" s="42" t="n">
        <v>0</v>
      </c>
      <c r="AH219" s="15" t="n">
        <v>296</v>
      </c>
      <c r="AI219" s="37" t="n">
        <v>48561</v>
      </c>
      <c r="AJ219" s="37" t="n">
        <v>615</v>
      </c>
      <c r="AK219" s="15" t="s">
        <v>326</v>
      </c>
      <c r="AL219" s="43" t="n">
        <v>38.5</v>
      </c>
      <c r="AM219" s="43" t="n">
        <v>33.8</v>
      </c>
      <c r="AN219" s="25" t="n">
        <f aca="false">IF(AND(ISNUMBER(AM219),ISNUMBER(AL219),AL219&gt;=5),AM219/AL219,"")</f>
        <v>0.877922077922078</v>
      </c>
      <c r="AO219" s="43" t="n">
        <v>4.3</v>
      </c>
      <c r="AP219" s="43" t="n">
        <v>5</v>
      </c>
      <c r="AQ219" s="25" t="str">
        <f aca="false">IF(AND(ISNUMBER(AP219),ISNUMBER(AO219),AO219&gt;=5),AP219/AO219,"")</f>
        <v/>
      </c>
      <c r="AR219" s="43" t="n">
        <v>35.7</v>
      </c>
      <c r="AS219" s="43" t="n">
        <v>64.4</v>
      </c>
      <c r="AT219" s="22" t="n">
        <f aca="false">IF(AND(ISNUMBER(AS219),ISNUMBER(AR219),AR219&gt;0),AS219/AR219-1,"")</f>
        <v>0.803921568627451</v>
      </c>
      <c r="AU219" s="44"/>
      <c r="AV219" s="44"/>
      <c r="AW219" s="44"/>
      <c r="AX219" s="44"/>
      <c r="AY219" s="44"/>
      <c r="AZ219" s="45"/>
      <c r="BA219" s="45"/>
      <c r="BB219" s="46"/>
      <c r="BC219" s="46"/>
      <c r="BD219" s="23" t="str">
        <f aca="false">IF(AND(ISNUMBER(BB219),ISNUMBER(BC219),BB219&gt;0),1-BC219/BB219,"")</f>
        <v/>
      </c>
      <c r="BE219" s="47"/>
      <c r="BF219" s="48"/>
      <c r="BG219" s="48"/>
      <c r="BH219" s="27" t="str">
        <f aca="false">IF(AND(ISNUMBER(BF219),ISNUMBER(BG219),BG219&gt;0),BF219/BG219,"")</f>
        <v/>
      </c>
      <c r="BI219" s="48"/>
      <c r="BJ219" s="44"/>
      <c r="BK219" s="46"/>
      <c r="BL219" s="46"/>
      <c r="BM219" s="36" t="str">
        <f aca="false">IF(ISNUMBER(Q219),IF(Q219&lt;0,"YES","no"),"")</f>
        <v>YES</v>
      </c>
      <c r="BN219" s="36" t="str">
        <f aca="false">IFERROR(IF(AND(ISNUMBER(K219),ISNUMBER(INDEX('Lift Inputs'!$H:$H,MATCH(C219,'Lift Inputs'!$C:$C,0)))),IF(K219&lt;INDEX('Lift Inputs'!$H:$H,MATCH(C219,'Lift Inputs'!$C:$C,0)),"YES","no"),""),"")</f>
        <v/>
      </c>
      <c r="BO219" s="44"/>
    </row>
    <row r="220" customFormat="false" ht="15" hidden="false" customHeight="false" outlineLevel="0" collapsed="false">
      <c r="A220" s="15" t="s">
        <v>71</v>
      </c>
      <c r="B220" s="15" t="s">
        <v>78</v>
      </c>
      <c r="C220" s="15" t="n">
        <v>31</v>
      </c>
      <c r="D220" s="15" t="s">
        <v>208</v>
      </c>
      <c r="E220" s="15" t="n">
        <v>1536</v>
      </c>
      <c r="F220" s="15" t="s">
        <v>588</v>
      </c>
      <c r="G220" s="15" t="s">
        <v>589</v>
      </c>
      <c r="H220" s="15" t="s">
        <v>590</v>
      </c>
      <c r="I220" s="15" t="s">
        <v>577</v>
      </c>
      <c r="J220" s="15" t="s">
        <v>177</v>
      </c>
      <c r="K220" s="35" t="n">
        <v>27.99</v>
      </c>
      <c r="L220" s="35"/>
      <c r="M220" s="23" t="str">
        <f aca="false">IF(AND(ISNUMBER(L220),ISNUMBER(K220),K220&gt;0),L220/K220-1,"")</f>
        <v/>
      </c>
      <c r="N220" s="36" t="str">
        <f aca="false">IF(M220="","No List Price",IF(M220&lt;=0,"At/below price",IF(M220&lt;=0.12,"&lt;=12% (STR zone)",IF(M220&lt;=0.25,"12-25%","&gt;25% (likely ignored)"))))</f>
        <v>No List Price</v>
      </c>
      <c r="O220" s="15"/>
      <c r="P220" s="35" t="n">
        <v>32.0634653465347</v>
      </c>
      <c r="Q220" s="22" t="n">
        <f aca="false">IF(AND(ISNUMBER(K220),ISNUMBER(P220),N(P220)&gt;0),K220/P220-1,"")</f>
        <v>-0.127043827063281</v>
      </c>
      <c r="R220" s="15" t="s">
        <v>353</v>
      </c>
      <c r="S220" s="37" t="n">
        <v>68667</v>
      </c>
      <c r="T220" s="37" t="n">
        <v>35</v>
      </c>
      <c r="U220" s="38" t="n">
        <f aca="false">IF(AND(ISNUMBER(K220),ISNUMBER(T220)),K220*T220*52/12,"")</f>
        <v>4245.15</v>
      </c>
      <c r="V220" s="15" t="n">
        <v>4.4</v>
      </c>
      <c r="W220" s="37" t="n">
        <v>2838</v>
      </c>
      <c r="X220" s="39" t="n">
        <v>46307</v>
      </c>
      <c r="Y220" s="15"/>
      <c r="Z220" s="40"/>
      <c r="AA220" s="41" t="str">
        <f aca="false">IF(ISNUMBER(Z220),(DATE(2026,10,13)-Z220)/365,"")</f>
        <v/>
      </c>
      <c r="AB220" s="37"/>
      <c r="AC220" s="15"/>
      <c r="AD220" s="15"/>
      <c r="AE220" s="15"/>
      <c r="AF220" s="42"/>
      <c r="AG220" s="42"/>
      <c r="AH220" s="15"/>
      <c r="AI220" s="37" t="n">
        <v>21925</v>
      </c>
      <c r="AJ220" s="37" t="n">
        <v>461</v>
      </c>
      <c r="AK220" s="15" t="s">
        <v>315</v>
      </c>
      <c r="AL220" s="43" t="n">
        <v>31.9</v>
      </c>
      <c r="AM220" s="43" t="n">
        <v>28.5</v>
      </c>
      <c r="AN220" s="25" t="n">
        <f aca="false">IF(AND(ISNUMBER(AM220),ISNUMBER(AL220),AL220&gt;=5),AM220/AL220,"")</f>
        <v>0.893416927899687</v>
      </c>
      <c r="AO220" s="43" t="n">
        <v>2.8</v>
      </c>
      <c r="AP220" s="43" t="n">
        <v>3</v>
      </c>
      <c r="AQ220" s="25" t="str">
        <f aca="false">IF(AND(ISNUMBER(AP220),ISNUMBER(AO220),AO220&gt;=5),AP220/AO220,"")</f>
        <v/>
      </c>
      <c r="AR220" s="43" t="n">
        <v>38.5</v>
      </c>
      <c r="AS220" s="43" t="n">
        <v>22.1</v>
      </c>
      <c r="AT220" s="22" t="n">
        <f aca="false">IF(AND(ISNUMBER(AS220),ISNUMBER(AR220),AR220&gt;0),AS220/AR220-1,"")</f>
        <v>-0.425974025974026</v>
      </c>
      <c r="AU220" s="44"/>
      <c r="AV220" s="44"/>
      <c r="AW220" s="44"/>
      <c r="AX220" s="44"/>
      <c r="AY220" s="44"/>
      <c r="AZ220" s="45"/>
      <c r="BA220" s="45"/>
      <c r="BB220" s="46"/>
      <c r="BC220" s="46"/>
      <c r="BD220" s="23" t="str">
        <f aca="false">IF(AND(ISNUMBER(BB220),ISNUMBER(BC220),BB220&gt;0),1-BC220/BB220,"")</f>
        <v/>
      </c>
      <c r="BE220" s="47"/>
      <c r="BF220" s="48"/>
      <c r="BG220" s="48"/>
      <c r="BH220" s="27" t="str">
        <f aca="false">IF(AND(ISNUMBER(BF220),ISNUMBER(BG220),BG220&gt;0),BF220/BG220,"")</f>
        <v/>
      </c>
      <c r="BI220" s="48"/>
      <c r="BJ220" s="44"/>
      <c r="BK220" s="46"/>
      <c r="BL220" s="46"/>
      <c r="BM220" s="36" t="str">
        <f aca="false">IF(ISNUMBER(Q220),IF(Q220&lt;0,"YES","no"),"")</f>
        <v>YES</v>
      </c>
      <c r="BN220" s="36" t="str">
        <f aca="false">IFERROR(IF(AND(ISNUMBER(K220),ISNUMBER(INDEX('Lift Inputs'!$H:$H,MATCH(C220,'Lift Inputs'!$C:$C,0)))),IF(K220&lt;INDEX('Lift Inputs'!$H:$H,MATCH(C220,'Lift Inputs'!$C:$C,0)),"YES","no"),""),"")</f>
        <v/>
      </c>
      <c r="BO220" s="44"/>
    </row>
    <row r="221" customFormat="false" ht="15" hidden="false" customHeight="false" outlineLevel="0" collapsed="false">
      <c r="A221" s="15" t="s">
        <v>71</v>
      </c>
      <c r="B221" s="15" t="s">
        <v>78</v>
      </c>
      <c r="C221" s="15" t="n">
        <v>31</v>
      </c>
      <c r="D221" s="15" t="s">
        <v>208</v>
      </c>
      <c r="E221" s="15" t="n">
        <v>165</v>
      </c>
      <c r="F221" s="15" t="s">
        <v>591</v>
      </c>
      <c r="G221" s="15" t="s">
        <v>592</v>
      </c>
      <c r="H221" s="15" t="s">
        <v>593</v>
      </c>
      <c r="I221" s="15" t="s">
        <v>594</v>
      </c>
      <c r="J221" s="15" t="s">
        <v>177</v>
      </c>
      <c r="K221" s="35" t="n">
        <v>28.99</v>
      </c>
      <c r="L221" s="35"/>
      <c r="M221" s="23" t="str">
        <f aca="false">IF(AND(ISNUMBER(L221),ISNUMBER(K221),K221&gt;0),L221/K221-1,"")</f>
        <v/>
      </c>
      <c r="N221" s="36" t="str">
        <f aca="false">IF(M221="","No List Price",IF(M221&lt;=0,"At/below price",IF(M221&lt;=0.12,"&lt;=12% (STR zone)",IF(M221&lt;=0.25,"12-25%","&gt;25% (likely ignored)"))))</f>
        <v>No List Price</v>
      </c>
      <c r="O221" s="15" t="s">
        <v>311</v>
      </c>
      <c r="P221" s="35" t="n">
        <v>32.0634653465347</v>
      </c>
      <c r="Q221" s="22" t="n">
        <f aca="false">IF(AND(ISNUMBER(K221),ISNUMBER(P221),N(P221)&gt;0),K221/P221-1,"")</f>
        <v>-0.0958556822638269</v>
      </c>
      <c r="R221" s="15" t="s">
        <v>312</v>
      </c>
      <c r="S221" s="37" t="n">
        <v>110638</v>
      </c>
      <c r="T221" s="37" t="n">
        <v>35</v>
      </c>
      <c r="U221" s="38" t="n">
        <f aca="false">IF(AND(ISNUMBER(K221),ISNUMBER(T221)),K221*T221*52/12,"")</f>
        <v>4396.81666666667</v>
      </c>
      <c r="V221" s="15" t="n">
        <v>4.4</v>
      </c>
      <c r="W221" s="37" t="n">
        <v>772</v>
      </c>
      <c r="X221" s="39" t="n">
        <v>46307</v>
      </c>
      <c r="Y221" s="15" t="n">
        <v>23</v>
      </c>
      <c r="Z221" s="40" t="n">
        <v>44733</v>
      </c>
      <c r="AA221" s="41" t="n">
        <f aca="false">IF(ISNUMBER(Z221),(DATE(2026,10,13)-Z221)/365,"")</f>
        <v>4.31506849315069</v>
      </c>
      <c r="AB221" s="37" t="n">
        <v>931</v>
      </c>
      <c r="AC221" s="15" t="s">
        <v>313</v>
      </c>
      <c r="AD221" s="15" t="n">
        <v>1</v>
      </c>
      <c r="AE221" s="15" t="s">
        <v>331</v>
      </c>
      <c r="AF221" s="42" t="n">
        <v>0</v>
      </c>
      <c r="AG221" s="42" t="n">
        <v>0</v>
      </c>
      <c r="AH221" s="15" t="n">
        <v>87</v>
      </c>
      <c r="AI221" s="37"/>
      <c r="AJ221" s="37"/>
      <c r="AK221" s="15"/>
      <c r="AL221" s="43"/>
      <c r="AM221" s="43"/>
      <c r="AN221" s="25" t="str">
        <f aca="false">IF(AND(ISNUMBER(AM221),ISNUMBER(AL221),AL221&gt;=5),AM221/AL221,"")</f>
        <v/>
      </c>
      <c r="AO221" s="43"/>
      <c r="AP221" s="43"/>
      <c r="AQ221" s="25" t="str">
        <f aca="false">IF(AND(ISNUMBER(AP221),ISNUMBER(AO221),AO221&gt;=5),AP221/AO221,"")</f>
        <v/>
      </c>
      <c r="AR221" s="43"/>
      <c r="AS221" s="43"/>
      <c r="AT221" s="22" t="str">
        <f aca="false">IF(AND(ISNUMBER(AS221),ISNUMBER(AR221),AR221&gt;0),AS221/AR221-1,"")</f>
        <v/>
      </c>
      <c r="AU221" s="44"/>
      <c r="AV221" s="44"/>
      <c r="AW221" s="44"/>
      <c r="AX221" s="44"/>
      <c r="AY221" s="44"/>
      <c r="AZ221" s="45"/>
      <c r="BA221" s="45"/>
      <c r="BB221" s="46"/>
      <c r="BC221" s="46"/>
      <c r="BD221" s="23" t="str">
        <f aca="false">IF(AND(ISNUMBER(BB221),ISNUMBER(BC221),BB221&gt;0),1-BC221/BB221,"")</f>
        <v/>
      </c>
      <c r="BE221" s="47"/>
      <c r="BF221" s="48"/>
      <c r="BG221" s="48"/>
      <c r="BH221" s="27" t="str">
        <f aca="false">IF(AND(ISNUMBER(BF221),ISNUMBER(BG221),BG221&gt;0),BF221/BG221,"")</f>
        <v/>
      </c>
      <c r="BI221" s="48"/>
      <c r="BJ221" s="44"/>
      <c r="BK221" s="46"/>
      <c r="BL221" s="46"/>
      <c r="BM221" s="36" t="str">
        <f aca="false">IF(ISNUMBER(Q221),IF(Q221&lt;0,"YES","no"),"")</f>
        <v>YES</v>
      </c>
      <c r="BN221" s="36" t="str">
        <f aca="false">IFERROR(IF(AND(ISNUMBER(K221),ISNUMBER(INDEX('Lift Inputs'!$H:$H,MATCH(C221,'Lift Inputs'!$C:$C,0)))),IF(K221&lt;INDEX('Lift Inputs'!$H:$H,MATCH(C221,'Lift Inputs'!$C:$C,0)),"YES","no"),""),"")</f>
        <v/>
      </c>
      <c r="BO221" s="44"/>
    </row>
    <row r="222" customFormat="false" ht="15" hidden="false" customHeight="false" outlineLevel="0" collapsed="false">
      <c r="A222" s="15" t="s">
        <v>71</v>
      </c>
      <c r="B222" s="15" t="s">
        <v>78</v>
      </c>
      <c r="C222" s="15" t="n">
        <v>31</v>
      </c>
      <c r="D222" s="15" t="s">
        <v>208</v>
      </c>
      <c r="E222" s="15" t="n">
        <v>640</v>
      </c>
      <c r="F222" s="15" t="s">
        <v>595</v>
      </c>
      <c r="G222" s="15" t="s">
        <v>596</v>
      </c>
      <c r="H222" s="15" t="s">
        <v>597</v>
      </c>
      <c r="I222" s="15" t="s">
        <v>577</v>
      </c>
      <c r="J222" s="15" t="s">
        <v>177</v>
      </c>
      <c r="K222" s="35" t="n">
        <v>21.99</v>
      </c>
      <c r="L222" s="35"/>
      <c r="M222" s="23" t="str">
        <f aca="false">IF(AND(ISNUMBER(L222),ISNUMBER(K222),K222&gt;0),L222/K222-1,"")</f>
        <v/>
      </c>
      <c r="N222" s="36" t="str">
        <f aca="false">IF(M222="","No List Price",IF(M222&lt;=0,"At/below price",IF(M222&lt;=0.12,"&lt;=12% (STR zone)",IF(M222&lt;=0.25,"12-25%","&gt;25% (likely ignored)"))))</f>
        <v>No List Price</v>
      </c>
      <c r="O222" s="15"/>
      <c r="P222" s="35" t="n">
        <v>32.0634653465347</v>
      </c>
      <c r="Q222" s="22" t="n">
        <f aca="false">IF(AND(ISNUMBER(K222),ISNUMBER(P222),N(P222)&gt;0),K222/P222-1,"")</f>
        <v>-0.314172695860005</v>
      </c>
      <c r="R222" s="15" t="s">
        <v>353</v>
      </c>
      <c r="S222" s="37" t="n">
        <v>57010</v>
      </c>
      <c r="T222" s="37" t="n">
        <v>35</v>
      </c>
      <c r="U222" s="38" t="n">
        <f aca="false">IF(AND(ISNUMBER(K222),ISNUMBER(T222)),K222*T222*52/12,"")</f>
        <v>3335.15</v>
      </c>
      <c r="V222" s="15" t="n">
        <v>4.5</v>
      </c>
      <c r="W222" s="37" t="n">
        <v>1017</v>
      </c>
      <c r="X222" s="39" t="n">
        <v>46307</v>
      </c>
      <c r="Y222" s="15"/>
      <c r="Z222" s="40"/>
      <c r="AA222" s="41" t="str">
        <f aca="false">IF(ISNUMBER(Z222),(DATE(2026,10,13)-Z222)/365,"")</f>
        <v/>
      </c>
      <c r="AB222" s="37"/>
      <c r="AC222" s="15"/>
      <c r="AD222" s="15"/>
      <c r="AE222" s="15"/>
      <c r="AF222" s="42"/>
      <c r="AG222" s="42"/>
      <c r="AH222" s="15"/>
      <c r="AI222" s="37" t="n">
        <v>23621</v>
      </c>
      <c r="AJ222" s="37" t="n">
        <v>569</v>
      </c>
      <c r="AK222" s="15" t="s">
        <v>315</v>
      </c>
      <c r="AL222" s="43" t="n">
        <v>10.2</v>
      </c>
      <c r="AM222" s="43" t="n">
        <v>10.2</v>
      </c>
      <c r="AN222" s="25" t="n">
        <f aca="false">IF(AND(ISNUMBER(AM222),ISNUMBER(AL222),AL222&gt;=5),AM222/AL222,"")</f>
        <v>1</v>
      </c>
      <c r="AO222" s="43" t="n">
        <v>0.5</v>
      </c>
      <c r="AP222" s="43" t="n">
        <v>0.8</v>
      </c>
      <c r="AQ222" s="25" t="str">
        <f aca="false">IF(AND(ISNUMBER(AP222),ISNUMBER(AO222),AO222&gt;=5),AP222/AO222,"")</f>
        <v/>
      </c>
      <c r="AR222" s="43" t="n">
        <v>9.8</v>
      </c>
      <c r="AS222" s="43" t="n">
        <v>12.2</v>
      </c>
      <c r="AT222" s="22" t="n">
        <f aca="false">IF(AND(ISNUMBER(AS222),ISNUMBER(AR222),AR222&gt;0),AS222/AR222-1,"")</f>
        <v>0.244897959183673</v>
      </c>
      <c r="AU222" s="44"/>
      <c r="AV222" s="44"/>
      <c r="AW222" s="44"/>
      <c r="AX222" s="44"/>
      <c r="AY222" s="44"/>
      <c r="AZ222" s="45"/>
      <c r="BA222" s="45"/>
      <c r="BB222" s="46"/>
      <c r="BC222" s="46"/>
      <c r="BD222" s="23" t="str">
        <f aca="false">IF(AND(ISNUMBER(BB222),ISNUMBER(BC222),BB222&gt;0),1-BC222/BB222,"")</f>
        <v/>
      </c>
      <c r="BE222" s="47"/>
      <c r="BF222" s="48"/>
      <c r="BG222" s="48"/>
      <c r="BH222" s="27" t="str">
        <f aca="false">IF(AND(ISNUMBER(BF222),ISNUMBER(BG222),BG222&gt;0),BF222/BG222,"")</f>
        <v/>
      </c>
      <c r="BI222" s="48"/>
      <c r="BJ222" s="44"/>
      <c r="BK222" s="46"/>
      <c r="BL222" s="46"/>
      <c r="BM222" s="36" t="str">
        <f aca="false">IF(ISNUMBER(Q222),IF(Q222&lt;0,"YES","no"),"")</f>
        <v>YES</v>
      </c>
      <c r="BN222" s="36" t="str">
        <f aca="false">IFERROR(IF(AND(ISNUMBER(K222),ISNUMBER(INDEX('Lift Inputs'!$H:$H,MATCH(C222,'Lift Inputs'!$C:$C,0)))),IF(K222&lt;INDEX('Lift Inputs'!$H:$H,MATCH(C222,'Lift Inputs'!$C:$C,0)),"YES","no"),""),"")</f>
        <v/>
      </c>
      <c r="BO222" s="44"/>
    </row>
    <row r="223" customFormat="false" ht="15" hidden="false" customHeight="false" outlineLevel="0" collapsed="false">
      <c r="A223" s="15" t="s">
        <v>71</v>
      </c>
      <c r="B223" s="15" t="s">
        <v>78</v>
      </c>
      <c r="C223" s="15" t="n">
        <v>31</v>
      </c>
      <c r="D223" s="15" t="s">
        <v>208</v>
      </c>
      <c r="E223" s="15" t="n">
        <v>1540</v>
      </c>
      <c r="F223" s="15" t="s">
        <v>598</v>
      </c>
      <c r="G223" s="15" t="s">
        <v>599</v>
      </c>
      <c r="H223" s="15" t="s">
        <v>600</v>
      </c>
      <c r="I223" s="15" t="s">
        <v>577</v>
      </c>
      <c r="J223" s="15" t="s">
        <v>177</v>
      </c>
      <c r="K223" s="35" t="n">
        <v>27.99</v>
      </c>
      <c r="L223" s="35"/>
      <c r="M223" s="23" t="str">
        <f aca="false">IF(AND(ISNUMBER(L223),ISNUMBER(K223),K223&gt;0),L223/K223-1,"")</f>
        <v/>
      </c>
      <c r="N223" s="36" t="str">
        <f aca="false">IF(M223="","No List Price",IF(M223&lt;=0,"At/below price",IF(M223&lt;=0.12,"&lt;=12% (STR zone)",IF(M223&lt;=0.25,"12-25%","&gt;25% (likely ignored)"))))</f>
        <v>No List Price</v>
      </c>
      <c r="O223" s="15"/>
      <c r="P223" s="35" t="n">
        <v>32.0634653465347</v>
      </c>
      <c r="Q223" s="22" t="n">
        <f aca="false">IF(AND(ISNUMBER(K223),ISNUMBER(P223),N(P223)&gt;0),K223/P223-1,"")</f>
        <v>-0.127043827063281</v>
      </c>
      <c r="R223" s="15" t="s">
        <v>353</v>
      </c>
      <c r="S223" s="37" t="n">
        <v>89437</v>
      </c>
      <c r="T223" s="37" t="n">
        <v>18</v>
      </c>
      <c r="U223" s="38" t="n">
        <f aca="false">IF(AND(ISNUMBER(K223),ISNUMBER(T223)),K223*T223*52/12,"")</f>
        <v>2183.22</v>
      </c>
      <c r="V223" s="15" t="n">
        <v>4.5</v>
      </c>
      <c r="W223" s="37" t="n">
        <v>205</v>
      </c>
      <c r="X223" s="39" t="n">
        <v>46307</v>
      </c>
      <c r="Y223" s="15"/>
      <c r="Z223" s="40"/>
      <c r="AA223" s="41" t="str">
        <f aca="false">IF(ISNUMBER(Z223),(DATE(2026,10,13)-Z223)/365,"")</f>
        <v/>
      </c>
      <c r="AB223" s="37"/>
      <c r="AC223" s="15"/>
      <c r="AD223" s="15"/>
      <c r="AE223" s="15"/>
      <c r="AF223" s="42"/>
      <c r="AG223" s="42"/>
      <c r="AH223" s="15"/>
      <c r="AI223" s="37"/>
      <c r="AJ223" s="37"/>
      <c r="AK223" s="15"/>
      <c r="AL223" s="43"/>
      <c r="AM223" s="43"/>
      <c r="AN223" s="25" t="str">
        <f aca="false">IF(AND(ISNUMBER(AM223),ISNUMBER(AL223),AL223&gt;=5),AM223/AL223,"")</f>
        <v/>
      </c>
      <c r="AO223" s="43"/>
      <c r="AP223" s="43"/>
      <c r="AQ223" s="25" t="str">
        <f aca="false">IF(AND(ISNUMBER(AP223),ISNUMBER(AO223),AO223&gt;=5),AP223/AO223,"")</f>
        <v/>
      </c>
      <c r="AR223" s="43"/>
      <c r="AS223" s="43"/>
      <c r="AT223" s="22" t="str">
        <f aca="false">IF(AND(ISNUMBER(AS223),ISNUMBER(AR223),AR223&gt;0),AS223/AR223-1,"")</f>
        <v/>
      </c>
      <c r="AU223" s="44"/>
      <c r="AV223" s="44"/>
      <c r="AW223" s="44"/>
      <c r="AX223" s="44"/>
      <c r="AY223" s="44"/>
      <c r="AZ223" s="45"/>
      <c r="BA223" s="45"/>
      <c r="BB223" s="46"/>
      <c r="BC223" s="46"/>
      <c r="BD223" s="23" t="str">
        <f aca="false">IF(AND(ISNUMBER(BB223),ISNUMBER(BC223),BB223&gt;0),1-BC223/BB223,"")</f>
        <v/>
      </c>
      <c r="BE223" s="47"/>
      <c r="BF223" s="48"/>
      <c r="BG223" s="48"/>
      <c r="BH223" s="27" t="str">
        <f aca="false">IF(AND(ISNUMBER(BF223),ISNUMBER(BG223),BG223&gt;0),BF223/BG223,"")</f>
        <v/>
      </c>
      <c r="BI223" s="48"/>
      <c r="BJ223" s="44"/>
      <c r="BK223" s="46"/>
      <c r="BL223" s="46"/>
      <c r="BM223" s="36" t="str">
        <f aca="false">IF(ISNUMBER(Q223),IF(Q223&lt;0,"YES","no"),"")</f>
        <v>YES</v>
      </c>
      <c r="BN223" s="36" t="str">
        <f aca="false">IFERROR(IF(AND(ISNUMBER(K223),ISNUMBER(INDEX('Lift Inputs'!$H:$H,MATCH(C223,'Lift Inputs'!$C:$C,0)))),IF(K223&lt;INDEX('Lift Inputs'!$H:$H,MATCH(C223,'Lift Inputs'!$C:$C,0)),"YES","no"),""),"")</f>
        <v/>
      </c>
      <c r="BO223" s="44"/>
    </row>
    <row r="224" customFormat="false" ht="15" hidden="false" customHeight="false" outlineLevel="0" collapsed="false">
      <c r="A224" s="15" t="s">
        <v>71</v>
      </c>
      <c r="B224" s="15" t="s">
        <v>78</v>
      </c>
      <c r="C224" s="15" t="n">
        <v>31</v>
      </c>
      <c r="D224" s="15" t="s">
        <v>208</v>
      </c>
      <c r="E224" s="15" t="n">
        <v>1542</v>
      </c>
      <c r="F224" s="15" t="s">
        <v>627</v>
      </c>
      <c r="G224" s="15" t="s">
        <v>628</v>
      </c>
      <c r="H224" s="15" t="s">
        <v>629</v>
      </c>
      <c r="I224" s="15" t="s">
        <v>577</v>
      </c>
      <c r="J224" s="15" t="s">
        <v>177</v>
      </c>
      <c r="K224" s="35" t="n">
        <v>24.99</v>
      </c>
      <c r="L224" s="35"/>
      <c r="M224" s="23" t="str">
        <f aca="false">IF(AND(ISNUMBER(L224),ISNUMBER(K224),K224&gt;0),L224/K224-1,"")</f>
        <v/>
      </c>
      <c r="N224" s="36" t="str">
        <f aca="false">IF(M224="","No List Price",IF(M224&lt;=0,"At/below price",IF(M224&lt;=0.12,"&lt;=12% (STR zone)",IF(M224&lt;=0.25,"12-25%","&gt;25% (likely ignored)"))))</f>
        <v>No List Price</v>
      </c>
      <c r="O224" s="15"/>
      <c r="P224" s="35" t="n">
        <v>32.0634653465347</v>
      </c>
      <c r="Q224" s="22" t="n">
        <f aca="false">IF(AND(ISNUMBER(K224),ISNUMBER(P224),N(P224)&gt;0),K224/P224-1,"")</f>
        <v>-0.220608261461643</v>
      </c>
      <c r="R224" s="15" t="s">
        <v>353</v>
      </c>
      <c r="S224" s="37" t="n">
        <v>180867</v>
      </c>
      <c r="T224" s="37" t="n">
        <v>18</v>
      </c>
      <c r="U224" s="38" t="n">
        <f aca="false">IF(AND(ISNUMBER(K224),ISNUMBER(T224)),K224*T224*52/12,"")</f>
        <v>1949.22</v>
      </c>
      <c r="V224" s="15" t="n">
        <v>4.3</v>
      </c>
      <c r="W224" s="37" t="n">
        <v>1032</v>
      </c>
      <c r="X224" s="39" t="n">
        <v>46307</v>
      </c>
      <c r="Y224" s="15"/>
      <c r="Z224" s="40"/>
      <c r="AA224" s="41" t="str">
        <f aca="false">IF(ISNUMBER(Z224),(DATE(2026,10,13)-Z224)/365,"")</f>
        <v/>
      </c>
      <c r="AB224" s="37"/>
      <c r="AC224" s="15"/>
      <c r="AD224" s="15"/>
      <c r="AE224" s="15"/>
      <c r="AF224" s="42"/>
      <c r="AG224" s="42"/>
      <c r="AH224" s="15"/>
      <c r="AI224" s="37" t="n">
        <v>16567</v>
      </c>
      <c r="AJ224" s="37" t="n">
        <v>357</v>
      </c>
      <c r="AK224" s="15" t="s">
        <v>326</v>
      </c>
      <c r="AL224" s="43" t="n">
        <v>28</v>
      </c>
      <c r="AM224" s="43" t="n">
        <v>28.5</v>
      </c>
      <c r="AN224" s="25" t="n">
        <f aca="false">IF(AND(ISNUMBER(AM224),ISNUMBER(AL224),AL224&gt;=5),AM224/AL224,"")</f>
        <v>1.01785714285714</v>
      </c>
      <c r="AO224" s="43" t="n">
        <v>4.8</v>
      </c>
      <c r="AP224" s="43" t="n">
        <v>7</v>
      </c>
      <c r="AQ224" s="25" t="str">
        <f aca="false">IF(AND(ISNUMBER(AP224),ISNUMBER(AO224),AO224&gt;=5),AP224/AO224,"")</f>
        <v/>
      </c>
      <c r="AR224" s="43" t="n">
        <v>27.1</v>
      </c>
      <c r="AS224" s="43" t="n">
        <v>39.9</v>
      </c>
      <c r="AT224" s="22" t="n">
        <f aca="false">IF(AND(ISNUMBER(AS224),ISNUMBER(AR224),AR224&gt;0),AS224/AR224-1,"")</f>
        <v>0.472324723247232</v>
      </c>
      <c r="AU224" s="44"/>
      <c r="AV224" s="44"/>
      <c r="AW224" s="44"/>
      <c r="AX224" s="44"/>
      <c r="AY224" s="44"/>
      <c r="AZ224" s="45"/>
      <c r="BA224" s="45"/>
      <c r="BB224" s="46"/>
      <c r="BC224" s="46"/>
      <c r="BD224" s="23" t="str">
        <f aca="false">IF(AND(ISNUMBER(BB224),ISNUMBER(BC224),BB224&gt;0),1-BC224/BB224,"")</f>
        <v/>
      </c>
      <c r="BE224" s="47"/>
      <c r="BF224" s="48"/>
      <c r="BG224" s="48"/>
      <c r="BH224" s="27" t="str">
        <f aca="false">IF(AND(ISNUMBER(BF224),ISNUMBER(BG224),BG224&gt;0),BF224/BG224,"")</f>
        <v/>
      </c>
      <c r="BI224" s="48"/>
      <c r="BJ224" s="44"/>
      <c r="BK224" s="46"/>
      <c r="BL224" s="46"/>
      <c r="BM224" s="36" t="str">
        <f aca="false">IF(ISNUMBER(Q224),IF(Q224&lt;0,"YES","no"),"")</f>
        <v>YES</v>
      </c>
      <c r="BN224" s="36" t="str">
        <f aca="false">IFERROR(IF(AND(ISNUMBER(K224),ISNUMBER(INDEX('Lift Inputs'!$H:$H,MATCH(C224,'Lift Inputs'!$C:$C,0)))),IF(K224&lt;INDEX('Lift Inputs'!$H:$H,MATCH(C224,'Lift Inputs'!$C:$C,0)),"YES","no"),""),"")</f>
        <v/>
      </c>
      <c r="BO224" s="44"/>
    </row>
    <row r="225" customFormat="false" ht="15" hidden="false" customHeight="false" outlineLevel="0" collapsed="false">
      <c r="A225" s="15" t="s">
        <v>71</v>
      </c>
      <c r="B225" s="15" t="s">
        <v>78</v>
      </c>
      <c r="C225" s="15" t="n">
        <v>31</v>
      </c>
      <c r="D225" s="15" t="s">
        <v>208</v>
      </c>
      <c r="E225" s="15" t="n">
        <v>163</v>
      </c>
      <c r="F225" s="15" t="s">
        <v>601</v>
      </c>
      <c r="G225" s="15" t="s">
        <v>602</v>
      </c>
      <c r="H225" s="15" t="s">
        <v>603</v>
      </c>
      <c r="I225" s="15" t="s">
        <v>604</v>
      </c>
      <c r="J225" s="15" t="s">
        <v>177</v>
      </c>
      <c r="K225" s="35" t="n">
        <v>23.99</v>
      </c>
      <c r="L225" s="35"/>
      <c r="M225" s="23" t="str">
        <f aca="false">IF(AND(ISNUMBER(L225),ISNUMBER(K225),K225&gt;0),L225/K225-1,"")</f>
        <v/>
      </c>
      <c r="N225" s="36" t="str">
        <f aca="false">IF(M225="","No List Price",IF(M225&lt;=0,"At/below price",IF(M225&lt;=0.12,"&lt;=12% (STR zone)",IF(M225&lt;=0.25,"12-25%","&gt;25% (likely ignored)"))))</f>
        <v>No List Price</v>
      </c>
      <c r="O225" s="15" t="s">
        <v>311</v>
      </c>
      <c r="P225" s="35" t="n">
        <v>32.0634653465347</v>
      </c>
      <c r="Q225" s="22" t="n">
        <f aca="false">IF(AND(ISNUMBER(K225),ISNUMBER(P225),N(P225)&gt;0),K225/P225-1,"")</f>
        <v>-0.251796406261097</v>
      </c>
      <c r="R225" s="15" t="s">
        <v>312</v>
      </c>
      <c r="S225" s="37" t="n">
        <v>96002</v>
      </c>
      <c r="T225" s="37" t="n">
        <v>18</v>
      </c>
      <c r="U225" s="38" t="n">
        <f aca="false">IF(AND(ISNUMBER(K225),ISNUMBER(T225)),K225*T225*52/12,"")</f>
        <v>1871.22</v>
      </c>
      <c r="V225" s="15" t="n">
        <v>4.2</v>
      </c>
      <c r="W225" s="37" t="n">
        <v>361</v>
      </c>
      <c r="X225" s="39" t="n">
        <v>46307</v>
      </c>
      <c r="Y225" s="15" t="n">
        <v>73</v>
      </c>
      <c r="Z225" s="40" t="n">
        <v>45510</v>
      </c>
      <c r="AA225" s="41" t="n">
        <f aca="false">IF(ISNUMBER(Z225),(DATE(2026,10,13)-Z225)/365,"")</f>
        <v>2.18630136986301</v>
      </c>
      <c r="AB225" s="37" t="n">
        <v>2708</v>
      </c>
      <c r="AC225" s="15" t="s">
        <v>313</v>
      </c>
      <c r="AD225" s="15" t="n">
        <v>1</v>
      </c>
      <c r="AE225" s="15" t="s">
        <v>331</v>
      </c>
      <c r="AF225" s="42" t="n">
        <v>0</v>
      </c>
      <c r="AG225" s="42" t="n">
        <v>0</v>
      </c>
      <c r="AH225" s="15" t="n">
        <v>124</v>
      </c>
      <c r="AI225" s="37" t="n">
        <v>23278</v>
      </c>
      <c r="AJ225" s="37" t="n">
        <v>634</v>
      </c>
      <c r="AK225" s="15" t="s">
        <v>315</v>
      </c>
      <c r="AL225" s="43" t="n">
        <v>35.2</v>
      </c>
      <c r="AM225" s="43" t="n">
        <v>19.5</v>
      </c>
      <c r="AN225" s="25" t="n">
        <f aca="false">IF(AND(ISNUMBER(AM225),ISNUMBER(AL225),AL225&gt;=5),AM225/AL225,"")</f>
        <v>0.553977272727273</v>
      </c>
      <c r="AO225" s="43" t="n">
        <v>3.7</v>
      </c>
      <c r="AP225" s="43" t="n">
        <v>2.5</v>
      </c>
      <c r="AQ225" s="25" t="str">
        <f aca="false">IF(AND(ISNUMBER(AP225),ISNUMBER(AO225),AO225&gt;=5),AP225/AO225,"")</f>
        <v/>
      </c>
      <c r="AR225" s="43" t="n">
        <v>59.9</v>
      </c>
      <c r="AS225" s="43" t="n">
        <v>33.4</v>
      </c>
      <c r="AT225" s="22" t="n">
        <f aca="false">IF(AND(ISNUMBER(AS225),ISNUMBER(AR225),AR225&gt;0),AS225/AR225-1,"")</f>
        <v>-0.442404006677796</v>
      </c>
      <c r="AU225" s="44"/>
      <c r="AV225" s="44"/>
      <c r="AW225" s="44"/>
      <c r="AX225" s="44"/>
      <c r="AY225" s="44"/>
      <c r="AZ225" s="45"/>
      <c r="BA225" s="45"/>
      <c r="BB225" s="46"/>
      <c r="BC225" s="46"/>
      <c r="BD225" s="23" t="str">
        <f aca="false">IF(AND(ISNUMBER(BB225),ISNUMBER(BC225),BB225&gt;0),1-BC225/BB225,"")</f>
        <v/>
      </c>
      <c r="BE225" s="47"/>
      <c r="BF225" s="48"/>
      <c r="BG225" s="48"/>
      <c r="BH225" s="27" t="str">
        <f aca="false">IF(AND(ISNUMBER(BF225),ISNUMBER(BG225),BG225&gt;0),BF225/BG225,"")</f>
        <v/>
      </c>
      <c r="BI225" s="48"/>
      <c r="BJ225" s="44"/>
      <c r="BK225" s="46"/>
      <c r="BL225" s="46"/>
      <c r="BM225" s="36" t="str">
        <f aca="false">IF(ISNUMBER(Q225),IF(Q225&lt;0,"YES","no"),"")</f>
        <v>YES</v>
      </c>
      <c r="BN225" s="36" t="str">
        <f aca="false">IFERROR(IF(AND(ISNUMBER(K225),ISNUMBER(INDEX('Lift Inputs'!$H:$H,MATCH(C225,'Lift Inputs'!$C:$C,0)))),IF(K225&lt;INDEX('Lift Inputs'!$H:$H,MATCH(C225,'Lift Inputs'!$C:$C,0)),"YES","no"),""),"")</f>
        <v/>
      </c>
      <c r="BO225" s="44"/>
    </row>
    <row r="226" customFormat="false" ht="15" hidden="false" customHeight="false" outlineLevel="0" collapsed="false">
      <c r="A226" s="15" t="s">
        <v>71</v>
      </c>
      <c r="B226" s="15" t="s">
        <v>78</v>
      </c>
      <c r="C226" s="15" t="n">
        <v>31</v>
      </c>
      <c r="D226" s="15" t="s">
        <v>208</v>
      </c>
      <c r="E226" s="15" t="n">
        <v>158</v>
      </c>
      <c r="F226" s="15" t="s">
        <v>630</v>
      </c>
      <c r="G226" s="15" t="s">
        <v>631</v>
      </c>
      <c r="H226" s="15" t="s">
        <v>632</v>
      </c>
      <c r="I226" s="15" t="s">
        <v>577</v>
      </c>
      <c r="J226" s="15" t="s">
        <v>177</v>
      </c>
      <c r="K226" s="35" t="n">
        <v>26.99</v>
      </c>
      <c r="L226" s="35"/>
      <c r="M226" s="23" t="str">
        <f aca="false">IF(AND(ISNUMBER(L226),ISNUMBER(K226),K226&gt;0),L226/K226-1,"")</f>
        <v/>
      </c>
      <c r="N226" s="36" t="str">
        <f aca="false">IF(M226="","No List Price",IF(M226&lt;=0,"At/below price",IF(M226&lt;=0.12,"&lt;=12% (STR zone)",IF(M226&lt;=0.25,"12-25%","&gt;25% (likely ignored)"))))</f>
        <v>No List Price</v>
      </c>
      <c r="O226" s="15"/>
      <c r="P226" s="35" t="n">
        <v>32.0634653465347</v>
      </c>
      <c r="Q226" s="22" t="n">
        <f aca="false">IF(AND(ISNUMBER(K226),ISNUMBER(P226),N(P226)&gt;0),K226/P226-1,"")</f>
        <v>-0.158231971862735</v>
      </c>
      <c r="R226" s="15" t="s">
        <v>353</v>
      </c>
      <c r="S226" s="37" t="n">
        <v>76753</v>
      </c>
      <c r="T226" s="37" t="n">
        <v>18</v>
      </c>
      <c r="U226" s="38" t="n">
        <f aca="false">IF(AND(ISNUMBER(K226),ISNUMBER(T226)),K226*T226*52/12,"")</f>
        <v>2105.22</v>
      </c>
      <c r="V226" s="15" t="n">
        <v>4.5</v>
      </c>
      <c r="W226" s="37" t="n">
        <v>127</v>
      </c>
      <c r="X226" s="39" t="n">
        <v>46307</v>
      </c>
      <c r="Y226" s="15"/>
      <c r="Z226" s="40"/>
      <c r="AA226" s="41" t="str">
        <f aca="false">IF(ISNUMBER(Z226),(DATE(2026,10,13)-Z226)/365,"")</f>
        <v/>
      </c>
      <c r="AB226" s="37"/>
      <c r="AC226" s="15"/>
      <c r="AD226" s="15"/>
      <c r="AE226" s="15"/>
      <c r="AF226" s="42"/>
      <c r="AG226" s="42"/>
      <c r="AH226" s="15"/>
      <c r="AI226" s="37" t="n">
        <v>35631</v>
      </c>
      <c r="AJ226" s="37" t="n">
        <v>592</v>
      </c>
      <c r="AK226" s="15" t="s">
        <v>315</v>
      </c>
      <c r="AL226" s="43" t="n">
        <v>14.2</v>
      </c>
      <c r="AM226" s="43" t="n">
        <v>9.8</v>
      </c>
      <c r="AN226" s="25" t="n">
        <f aca="false">IF(AND(ISNUMBER(AM226),ISNUMBER(AL226),AL226&gt;=5),AM226/AL226,"")</f>
        <v>0.690140845070423</v>
      </c>
      <c r="AO226" s="43" t="n">
        <v>1.9</v>
      </c>
      <c r="AP226" s="43" t="n">
        <v>1.5</v>
      </c>
      <c r="AQ226" s="25" t="str">
        <f aca="false">IF(AND(ISNUMBER(AP226),ISNUMBER(AO226),AO226&gt;=5),AP226/AO226,"")</f>
        <v/>
      </c>
      <c r="AR226" s="43" t="n">
        <v>21.1</v>
      </c>
      <c r="AS226" s="43" t="n">
        <v>25</v>
      </c>
      <c r="AT226" s="22" t="n">
        <f aca="false">IF(AND(ISNUMBER(AS226),ISNUMBER(AR226),AR226&gt;0),AS226/AR226-1,"")</f>
        <v>0.184834123222749</v>
      </c>
      <c r="AU226" s="44"/>
      <c r="AV226" s="44"/>
      <c r="AW226" s="44"/>
      <c r="AX226" s="44"/>
      <c r="AY226" s="44"/>
      <c r="AZ226" s="45"/>
      <c r="BA226" s="45"/>
      <c r="BB226" s="46"/>
      <c r="BC226" s="46"/>
      <c r="BD226" s="23" t="str">
        <f aca="false">IF(AND(ISNUMBER(BB226),ISNUMBER(BC226),BB226&gt;0),1-BC226/BB226,"")</f>
        <v/>
      </c>
      <c r="BE226" s="47"/>
      <c r="BF226" s="48"/>
      <c r="BG226" s="48"/>
      <c r="BH226" s="27" t="str">
        <f aca="false">IF(AND(ISNUMBER(BF226),ISNUMBER(BG226),BG226&gt;0),BF226/BG226,"")</f>
        <v/>
      </c>
      <c r="BI226" s="48"/>
      <c r="BJ226" s="44"/>
      <c r="BK226" s="46"/>
      <c r="BL226" s="46"/>
      <c r="BM226" s="36" t="str">
        <f aca="false">IF(ISNUMBER(Q226),IF(Q226&lt;0,"YES","no"),"")</f>
        <v>YES</v>
      </c>
      <c r="BN226" s="36" t="str">
        <f aca="false">IFERROR(IF(AND(ISNUMBER(K226),ISNUMBER(INDEX('Lift Inputs'!$H:$H,MATCH(C226,'Lift Inputs'!$C:$C,0)))),IF(K226&lt;INDEX('Lift Inputs'!$H:$H,MATCH(C226,'Lift Inputs'!$C:$C,0)),"YES","no"),""),"")</f>
        <v/>
      </c>
      <c r="BO226" s="44"/>
    </row>
    <row r="227" customFormat="false" ht="15" hidden="false" customHeight="false" outlineLevel="0" collapsed="false">
      <c r="A227" s="15" t="s">
        <v>71</v>
      </c>
      <c r="B227" s="15" t="s">
        <v>78</v>
      </c>
      <c r="C227" s="15" t="n">
        <v>31</v>
      </c>
      <c r="D227" s="15" t="s">
        <v>208</v>
      </c>
      <c r="E227" s="15" t="n">
        <v>1534</v>
      </c>
      <c r="F227" s="15" t="s">
        <v>633</v>
      </c>
      <c r="G227" s="15" t="s">
        <v>634</v>
      </c>
      <c r="H227" s="15" t="s">
        <v>635</v>
      </c>
      <c r="I227" s="15" t="s">
        <v>577</v>
      </c>
      <c r="J227" s="15" t="s">
        <v>177</v>
      </c>
      <c r="K227" s="35" t="n">
        <v>18.99</v>
      </c>
      <c r="L227" s="35"/>
      <c r="M227" s="23" t="str">
        <f aca="false">IF(AND(ISNUMBER(L227),ISNUMBER(K227),K227&gt;0),L227/K227-1,"")</f>
        <v/>
      </c>
      <c r="N227" s="36" t="str">
        <f aca="false">IF(M227="","No List Price",IF(M227&lt;=0,"At/below price",IF(M227&lt;=0.12,"&lt;=12% (STR zone)",IF(M227&lt;=0.25,"12-25%","&gt;25% (likely ignored)"))))</f>
        <v>No List Price</v>
      </c>
      <c r="O227" s="15"/>
      <c r="P227" s="35" t="n">
        <v>32.0634653465347</v>
      </c>
      <c r="Q227" s="22" t="n">
        <f aca="false">IF(AND(ISNUMBER(K227),ISNUMBER(P227),N(P227)&gt;0),K227/P227-1,"")</f>
        <v>-0.407737130258367</v>
      </c>
      <c r="R227" s="15" t="s">
        <v>353</v>
      </c>
      <c r="S227" s="37" t="n">
        <v>59039</v>
      </c>
      <c r="T227" s="37" t="n">
        <v>18</v>
      </c>
      <c r="U227" s="38" t="n">
        <f aca="false">IF(AND(ISNUMBER(K227),ISNUMBER(T227)),K227*T227*52/12,"")</f>
        <v>1481.22</v>
      </c>
      <c r="V227" s="15" t="n">
        <v>4.3</v>
      </c>
      <c r="W227" s="37" t="n">
        <v>10761</v>
      </c>
      <c r="X227" s="39" t="n">
        <v>46307</v>
      </c>
      <c r="Y227" s="15"/>
      <c r="Z227" s="40"/>
      <c r="AA227" s="41" t="str">
        <f aca="false">IF(ISNUMBER(Z227),(DATE(2026,10,13)-Z227)/365,"")</f>
        <v/>
      </c>
      <c r="AB227" s="37"/>
      <c r="AC227" s="15"/>
      <c r="AD227" s="15"/>
      <c r="AE227" s="15"/>
      <c r="AF227" s="42"/>
      <c r="AG227" s="42"/>
      <c r="AH227" s="15"/>
      <c r="AI227" s="37"/>
      <c r="AJ227" s="37"/>
      <c r="AK227" s="15"/>
      <c r="AL227" s="43"/>
      <c r="AM227" s="43"/>
      <c r="AN227" s="25" t="str">
        <f aca="false">IF(AND(ISNUMBER(AM227),ISNUMBER(AL227),AL227&gt;=5),AM227/AL227,"")</f>
        <v/>
      </c>
      <c r="AO227" s="43"/>
      <c r="AP227" s="43"/>
      <c r="AQ227" s="25" t="str">
        <f aca="false">IF(AND(ISNUMBER(AP227),ISNUMBER(AO227),AO227&gt;=5),AP227/AO227,"")</f>
        <v/>
      </c>
      <c r="AR227" s="43"/>
      <c r="AS227" s="43"/>
      <c r="AT227" s="22" t="str">
        <f aca="false">IF(AND(ISNUMBER(AS227),ISNUMBER(AR227),AR227&gt;0),AS227/AR227-1,"")</f>
        <v/>
      </c>
      <c r="AU227" s="44"/>
      <c r="AV227" s="44"/>
      <c r="AW227" s="44"/>
      <c r="AX227" s="44"/>
      <c r="AY227" s="44"/>
      <c r="AZ227" s="45"/>
      <c r="BA227" s="45"/>
      <c r="BB227" s="46"/>
      <c r="BC227" s="46"/>
      <c r="BD227" s="23" t="str">
        <f aca="false">IF(AND(ISNUMBER(BB227),ISNUMBER(BC227),BB227&gt;0),1-BC227/BB227,"")</f>
        <v/>
      </c>
      <c r="BE227" s="47"/>
      <c r="BF227" s="48"/>
      <c r="BG227" s="48"/>
      <c r="BH227" s="27" t="str">
        <f aca="false">IF(AND(ISNUMBER(BF227),ISNUMBER(BG227),BG227&gt;0),BF227/BG227,"")</f>
        <v/>
      </c>
      <c r="BI227" s="48"/>
      <c r="BJ227" s="44"/>
      <c r="BK227" s="46"/>
      <c r="BL227" s="46"/>
      <c r="BM227" s="36" t="str">
        <f aca="false">IF(ISNUMBER(Q227),IF(Q227&lt;0,"YES","no"),"")</f>
        <v>YES</v>
      </c>
      <c r="BN227" s="36" t="str">
        <f aca="false">IFERROR(IF(AND(ISNUMBER(K227),ISNUMBER(INDEX('Lift Inputs'!$H:$H,MATCH(C227,'Lift Inputs'!$C:$C,0)))),IF(K227&lt;INDEX('Lift Inputs'!$H:$H,MATCH(C227,'Lift Inputs'!$C:$C,0)),"YES","no"),""),"")</f>
        <v/>
      </c>
      <c r="BO227" s="44"/>
    </row>
    <row r="228" customFormat="false" ht="15" hidden="false" customHeight="false" outlineLevel="0" collapsed="false">
      <c r="A228" s="15" t="s">
        <v>71</v>
      </c>
      <c r="B228" s="15" t="s">
        <v>78</v>
      </c>
      <c r="C228" s="15" t="n">
        <v>31</v>
      </c>
      <c r="D228" s="15" t="s">
        <v>208</v>
      </c>
      <c r="E228" s="15" t="n">
        <v>149</v>
      </c>
      <c r="F228" s="15" t="s">
        <v>598</v>
      </c>
      <c r="G228" s="15" t="s">
        <v>605</v>
      </c>
      <c r="H228" s="15" t="s">
        <v>606</v>
      </c>
      <c r="I228" s="15" t="s">
        <v>577</v>
      </c>
      <c r="J228" s="15" t="s">
        <v>177</v>
      </c>
      <c r="K228" s="35" t="n">
        <v>21.99</v>
      </c>
      <c r="L228" s="35" t="n">
        <v>25.99</v>
      </c>
      <c r="M228" s="23" t="n">
        <f aca="false">IF(AND(ISNUMBER(L228),ISNUMBER(K228),K228&gt;0),L228/K228-1,"")</f>
        <v>0.181900864029104</v>
      </c>
      <c r="N228" s="36" t="str">
        <f aca="false">IF(M228="","No List Price",IF(M228&lt;=0,"At/below price",IF(M228&lt;=0.12,"&lt;=12% (STR zone)",IF(M228&lt;=0.25,"12-25%","&gt;25% (likely ignored)"))))</f>
        <v>12-25%</v>
      </c>
      <c r="O228" s="15"/>
      <c r="P228" s="35" t="n">
        <v>32.0634653465347</v>
      </c>
      <c r="Q228" s="22" t="n">
        <f aca="false">IF(AND(ISNUMBER(K228),ISNUMBER(P228),N(P228)&gt;0),K228/P228-1,"")</f>
        <v>-0.314172695860005</v>
      </c>
      <c r="R228" s="15" t="s">
        <v>353</v>
      </c>
      <c r="S228" s="37" t="n">
        <v>28165</v>
      </c>
      <c r="T228" s="37" t="n">
        <v>5</v>
      </c>
      <c r="U228" s="38" t="n">
        <f aca="false">IF(AND(ISNUMBER(K228),ISNUMBER(T228)),K228*T228*52/12,"")</f>
        <v>476.45</v>
      </c>
      <c r="V228" s="15" t="n">
        <v>4.4</v>
      </c>
      <c r="W228" s="37" t="n">
        <v>12125</v>
      </c>
      <c r="X228" s="39" t="n">
        <v>46307</v>
      </c>
      <c r="Y228" s="15"/>
      <c r="Z228" s="40"/>
      <c r="AA228" s="41" t="str">
        <f aca="false">IF(ISNUMBER(Z228),(DATE(2026,10,13)-Z228)/365,"")</f>
        <v/>
      </c>
      <c r="AB228" s="37"/>
      <c r="AC228" s="15"/>
      <c r="AD228" s="15"/>
      <c r="AE228" s="15"/>
      <c r="AF228" s="42"/>
      <c r="AG228" s="42"/>
      <c r="AH228" s="15"/>
      <c r="AI228" s="37" t="n">
        <v>20002</v>
      </c>
      <c r="AJ228" s="37" t="n">
        <v>618</v>
      </c>
      <c r="AK228" s="15"/>
      <c r="AL228" s="43"/>
      <c r="AM228" s="43"/>
      <c r="AN228" s="25" t="str">
        <f aca="false">IF(AND(ISNUMBER(AM228),ISNUMBER(AL228),AL228&gt;=5),AM228/AL228,"")</f>
        <v/>
      </c>
      <c r="AO228" s="43"/>
      <c r="AP228" s="43"/>
      <c r="AQ228" s="25" t="str">
        <f aca="false">IF(AND(ISNUMBER(AP228),ISNUMBER(AO228),AO228&gt;=5),AP228/AO228,"")</f>
        <v/>
      </c>
      <c r="AR228" s="43"/>
      <c r="AS228" s="43"/>
      <c r="AT228" s="22" t="str">
        <f aca="false">IF(AND(ISNUMBER(AS228),ISNUMBER(AR228),AR228&gt;0),AS228/AR228-1,"")</f>
        <v/>
      </c>
      <c r="AU228" s="44"/>
      <c r="AV228" s="44"/>
      <c r="AW228" s="44"/>
      <c r="AX228" s="44"/>
      <c r="AY228" s="44"/>
      <c r="AZ228" s="45"/>
      <c r="BA228" s="45"/>
      <c r="BB228" s="46"/>
      <c r="BC228" s="46"/>
      <c r="BD228" s="23" t="str">
        <f aca="false">IF(AND(ISNUMBER(BB228),ISNUMBER(BC228),BB228&gt;0),1-BC228/BB228,"")</f>
        <v/>
      </c>
      <c r="BE228" s="47"/>
      <c r="BF228" s="48"/>
      <c r="BG228" s="48"/>
      <c r="BH228" s="27" t="str">
        <f aca="false">IF(AND(ISNUMBER(BF228),ISNUMBER(BG228),BG228&gt;0),BF228/BG228,"")</f>
        <v/>
      </c>
      <c r="BI228" s="48"/>
      <c r="BJ228" s="44"/>
      <c r="BK228" s="46"/>
      <c r="BL228" s="46"/>
      <c r="BM228" s="36" t="str">
        <f aca="false">IF(ISNUMBER(Q228),IF(Q228&lt;0,"YES","no"),"")</f>
        <v>YES</v>
      </c>
      <c r="BN228" s="36" t="str">
        <f aca="false">IFERROR(IF(AND(ISNUMBER(K228),ISNUMBER(INDEX('Lift Inputs'!$H:$H,MATCH(C228,'Lift Inputs'!$C:$C,0)))),IF(K228&lt;INDEX('Lift Inputs'!$H:$H,MATCH(C228,'Lift Inputs'!$C:$C,0)),"YES","no"),""),"")</f>
        <v/>
      </c>
      <c r="BO228" s="44"/>
    </row>
    <row r="229" customFormat="false" ht="15" hidden="false" customHeight="false" outlineLevel="0" collapsed="false">
      <c r="A229" s="15" t="s">
        <v>71</v>
      </c>
      <c r="B229" s="15" t="s">
        <v>78</v>
      </c>
      <c r="C229" s="15" t="n">
        <v>31</v>
      </c>
      <c r="D229" s="15" t="s">
        <v>208</v>
      </c>
      <c r="E229" s="15" t="n">
        <v>1547</v>
      </c>
      <c r="F229" s="15" t="s">
        <v>607</v>
      </c>
      <c r="G229" s="15" t="s">
        <v>608</v>
      </c>
      <c r="H229" s="15" t="s">
        <v>609</v>
      </c>
      <c r="I229" s="15" t="s">
        <v>577</v>
      </c>
      <c r="J229" s="15" t="s">
        <v>177</v>
      </c>
      <c r="K229" s="35" t="n">
        <v>28.99</v>
      </c>
      <c r="L229" s="35"/>
      <c r="M229" s="23" t="str">
        <f aca="false">IF(AND(ISNUMBER(L229),ISNUMBER(K229),K229&gt;0),L229/K229-1,"")</f>
        <v/>
      </c>
      <c r="N229" s="36" t="str">
        <f aca="false">IF(M229="","No List Price",IF(M229&lt;=0,"At/below price",IF(M229&lt;=0.12,"&lt;=12% (STR zone)",IF(M229&lt;=0.25,"12-25%","&gt;25% (likely ignored)"))))</f>
        <v>No List Price</v>
      </c>
      <c r="O229" s="15"/>
      <c r="P229" s="35" t="n">
        <v>32.0634653465347</v>
      </c>
      <c r="Q229" s="22" t="n">
        <f aca="false">IF(AND(ISNUMBER(K229),ISNUMBER(P229),N(P229)&gt;0),K229/P229-1,"")</f>
        <v>-0.0958556822638269</v>
      </c>
      <c r="R229" s="15" t="s">
        <v>353</v>
      </c>
      <c r="S229" s="37" t="n">
        <v>300374</v>
      </c>
      <c r="T229" s="37" t="n">
        <v>5</v>
      </c>
      <c r="U229" s="38" t="n">
        <f aca="false">IF(AND(ISNUMBER(K229),ISNUMBER(T229)),K229*T229*52/12,"")</f>
        <v>628.116666666667</v>
      </c>
      <c r="V229" s="15" t="n">
        <v>4.3</v>
      </c>
      <c r="W229" s="37" t="n">
        <v>907</v>
      </c>
      <c r="X229" s="39" t="n">
        <v>46307</v>
      </c>
      <c r="Y229" s="15"/>
      <c r="Z229" s="40"/>
      <c r="AA229" s="41" t="str">
        <f aca="false">IF(ISNUMBER(Z229),(DATE(2026,10,13)-Z229)/365,"")</f>
        <v/>
      </c>
      <c r="AB229" s="37"/>
      <c r="AC229" s="15"/>
      <c r="AD229" s="15"/>
      <c r="AE229" s="15"/>
      <c r="AF229" s="42"/>
      <c r="AG229" s="42"/>
      <c r="AH229" s="15"/>
      <c r="AI229" s="37"/>
      <c r="AJ229" s="37"/>
      <c r="AK229" s="15"/>
      <c r="AL229" s="43"/>
      <c r="AM229" s="43"/>
      <c r="AN229" s="25" t="str">
        <f aca="false">IF(AND(ISNUMBER(AM229),ISNUMBER(AL229),AL229&gt;=5),AM229/AL229,"")</f>
        <v/>
      </c>
      <c r="AO229" s="43"/>
      <c r="AP229" s="43"/>
      <c r="AQ229" s="25" t="str">
        <f aca="false">IF(AND(ISNUMBER(AP229),ISNUMBER(AO229),AO229&gt;=5),AP229/AO229,"")</f>
        <v/>
      </c>
      <c r="AR229" s="43"/>
      <c r="AS229" s="43"/>
      <c r="AT229" s="22" t="str">
        <f aca="false">IF(AND(ISNUMBER(AS229),ISNUMBER(AR229),AR229&gt;0),AS229/AR229-1,"")</f>
        <v/>
      </c>
      <c r="AU229" s="44"/>
      <c r="AV229" s="44"/>
      <c r="AW229" s="44"/>
      <c r="AX229" s="44"/>
      <c r="AY229" s="44"/>
      <c r="AZ229" s="45"/>
      <c r="BA229" s="45"/>
      <c r="BB229" s="46"/>
      <c r="BC229" s="46"/>
      <c r="BD229" s="23" t="str">
        <f aca="false">IF(AND(ISNUMBER(BB229),ISNUMBER(BC229),BB229&gt;0),1-BC229/BB229,"")</f>
        <v/>
      </c>
      <c r="BE229" s="47"/>
      <c r="BF229" s="48"/>
      <c r="BG229" s="48"/>
      <c r="BH229" s="27" t="str">
        <f aca="false">IF(AND(ISNUMBER(BF229),ISNUMBER(BG229),BG229&gt;0),BF229/BG229,"")</f>
        <v/>
      </c>
      <c r="BI229" s="48"/>
      <c r="BJ229" s="44"/>
      <c r="BK229" s="46"/>
      <c r="BL229" s="46"/>
      <c r="BM229" s="36" t="str">
        <f aca="false">IF(ISNUMBER(Q229),IF(Q229&lt;0,"YES","no"),"")</f>
        <v>YES</v>
      </c>
      <c r="BN229" s="36" t="str">
        <f aca="false">IFERROR(IF(AND(ISNUMBER(K229),ISNUMBER(INDEX('Lift Inputs'!$H:$H,MATCH(C229,'Lift Inputs'!$C:$C,0)))),IF(K229&lt;INDEX('Lift Inputs'!$H:$H,MATCH(C229,'Lift Inputs'!$C:$C,0)),"YES","no"),""),"")</f>
        <v/>
      </c>
      <c r="BO229" s="44"/>
    </row>
    <row r="230" customFormat="false" ht="15" hidden="false" customHeight="false" outlineLevel="0" collapsed="false">
      <c r="A230" s="15" t="s">
        <v>71</v>
      </c>
      <c r="B230" s="15" t="s">
        <v>78</v>
      </c>
      <c r="C230" s="15" t="n">
        <v>31</v>
      </c>
      <c r="D230" s="15" t="s">
        <v>208</v>
      </c>
      <c r="E230" s="15" t="n">
        <v>1546</v>
      </c>
      <c r="F230" s="15" t="s">
        <v>610</v>
      </c>
      <c r="G230" s="15" t="s">
        <v>611</v>
      </c>
      <c r="H230" s="15" t="s">
        <v>612</v>
      </c>
      <c r="I230" s="15" t="s">
        <v>577</v>
      </c>
      <c r="J230" s="15" t="s">
        <v>177</v>
      </c>
      <c r="K230" s="35" t="n">
        <v>25.99</v>
      </c>
      <c r="L230" s="35"/>
      <c r="M230" s="23" t="str">
        <f aca="false">IF(AND(ISNUMBER(L230),ISNUMBER(K230),K230&gt;0),L230/K230-1,"")</f>
        <v/>
      </c>
      <c r="N230" s="36" t="str">
        <f aca="false">IF(M230="","No List Price",IF(M230&lt;=0,"At/below price",IF(M230&lt;=0.12,"&lt;=12% (STR zone)",IF(M230&lt;=0.25,"12-25%","&gt;25% (likely ignored)"))))</f>
        <v>No List Price</v>
      </c>
      <c r="O230" s="15"/>
      <c r="P230" s="35" t="n">
        <v>32.0634653465347</v>
      </c>
      <c r="Q230" s="22" t="n">
        <f aca="false">IF(AND(ISNUMBER(K230),ISNUMBER(P230),N(P230)&gt;0),K230/P230-1,"")</f>
        <v>-0.189420116662189</v>
      </c>
      <c r="R230" s="15" t="s">
        <v>353</v>
      </c>
      <c r="S230" s="37" t="n">
        <v>52458</v>
      </c>
      <c r="T230" s="37" t="n">
        <v>5</v>
      </c>
      <c r="U230" s="38" t="n">
        <f aca="false">IF(AND(ISNUMBER(K230),ISNUMBER(T230)),K230*T230*52/12,"")</f>
        <v>563.116666666667</v>
      </c>
      <c r="V230" s="15" t="n">
        <v>4.3</v>
      </c>
      <c r="W230" s="37" t="n">
        <v>2260</v>
      </c>
      <c r="X230" s="39" t="n">
        <v>46307</v>
      </c>
      <c r="Y230" s="15"/>
      <c r="Z230" s="40"/>
      <c r="AA230" s="41" t="str">
        <f aca="false">IF(ISNUMBER(Z230),(DATE(2026,10,13)-Z230)/365,"")</f>
        <v/>
      </c>
      <c r="AB230" s="37"/>
      <c r="AC230" s="15"/>
      <c r="AD230" s="15"/>
      <c r="AE230" s="15"/>
      <c r="AF230" s="42"/>
      <c r="AG230" s="42"/>
      <c r="AH230" s="15"/>
      <c r="AI230" s="37"/>
      <c r="AJ230" s="37"/>
      <c r="AK230" s="15"/>
      <c r="AL230" s="43"/>
      <c r="AM230" s="43"/>
      <c r="AN230" s="25" t="str">
        <f aca="false">IF(AND(ISNUMBER(AM230),ISNUMBER(AL230),AL230&gt;=5),AM230/AL230,"")</f>
        <v/>
      </c>
      <c r="AO230" s="43"/>
      <c r="AP230" s="43"/>
      <c r="AQ230" s="25" t="str">
        <f aca="false">IF(AND(ISNUMBER(AP230),ISNUMBER(AO230),AO230&gt;=5),AP230/AO230,"")</f>
        <v/>
      </c>
      <c r="AR230" s="43"/>
      <c r="AS230" s="43"/>
      <c r="AT230" s="22" t="str">
        <f aca="false">IF(AND(ISNUMBER(AS230),ISNUMBER(AR230),AR230&gt;0),AS230/AR230-1,"")</f>
        <v/>
      </c>
      <c r="AU230" s="44"/>
      <c r="AV230" s="44"/>
      <c r="AW230" s="44"/>
      <c r="AX230" s="44"/>
      <c r="AY230" s="44"/>
      <c r="AZ230" s="45"/>
      <c r="BA230" s="45"/>
      <c r="BB230" s="46"/>
      <c r="BC230" s="46"/>
      <c r="BD230" s="23" t="str">
        <f aca="false">IF(AND(ISNUMBER(BB230),ISNUMBER(BC230),BB230&gt;0),1-BC230/BB230,"")</f>
        <v/>
      </c>
      <c r="BE230" s="47"/>
      <c r="BF230" s="48"/>
      <c r="BG230" s="48"/>
      <c r="BH230" s="27" t="str">
        <f aca="false">IF(AND(ISNUMBER(BF230),ISNUMBER(BG230),BG230&gt;0),BF230/BG230,"")</f>
        <v/>
      </c>
      <c r="BI230" s="48"/>
      <c r="BJ230" s="44"/>
      <c r="BK230" s="46"/>
      <c r="BL230" s="46"/>
      <c r="BM230" s="36" t="str">
        <f aca="false">IF(ISNUMBER(Q230),IF(Q230&lt;0,"YES","no"),"")</f>
        <v>YES</v>
      </c>
      <c r="BN230" s="36" t="str">
        <f aca="false">IFERROR(IF(AND(ISNUMBER(K230),ISNUMBER(INDEX('Lift Inputs'!$H:$H,MATCH(C230,'Lift Inputs'!$C:$C,0)))),IF(K230&lt;INDEX('Lift Inputs'!$H:$H,MATCH(C230,'Lift Inputs'!$C:$C,0)),"YES","no"),""),"")</f>
        <v/>
      </c>
      <c r="BO230" s="44"/>
    </row>
    <row r="231" customFormat="false" ht="15" hidden="false" customHeight="false" outlineLevel="0" collapsed="false">
      <c r="A231" s="15" t="s">
        <v>71</v>
      </c>
      <c r="B231" s="15" t="s">
        <v>78</v>
      </c>
      <c r="C231" s="15" t="n">
        <v>31</v>
      </c>
      <c r="D231" s="15" t="s">
        <v>208</v>
      </c>
      <c r="E231" s="15" t="n">
        <v>142</v>
      </c>
      <c r="F231" s="15" t="s">
        <v>624</v>
      </c>
      <c r="G231" s="15" t="s">
        <v>625</v>
      </c>
      <c r="H231" s="15" t="s">
        <v>626</v>
      </c>
      <c r="I231" s="15" t="s">
        <v>577</v>
      </c>
      <c r="J231" s="15" t="s">
        <v>178</v>
      </c>
      <c r="K231" s="35" t="n">
        <v>30.99</v>
      </c>
      <c r="L231" s="35"/>
      <c r="M231" s="23" t="str">
        <f aca="false">IF(AND(ISNUMBER(L231),ISNUMBER(K231),K231&gt;0),L231/K231-1,"")</f>
        <v/>
      </c>
      <c r="N231" s="36" t="str">
        <f aca="false">IF(M231="","No List Price",IF(M231&lt;=0,"At/below price",IF(M231&lt;=0.12,"&lt;=12% (STR zone)",IF(M231&lt;=0.25,"12-25%","&gt;25% (likely ignored)"))))</f>
        <v>No List Price</v>
      </c>
      <c r="O231" s="15"/>
      <c r="P231" s="35" t="n">
        <v>32.0634653465347</v>
      </c>
      <c r="Q231" s="22" t="n">
        <f aca="false">IF(AND(ISNUMBER(K231),ISNUMBER(P231),N(P231)&gt;0),K231/P231-1,"")</f>
        <v>-0.0334793926649188</v>
      </c>
      <c r="R231" s="15" t="s">
        <v>353</v>
      </c>
      <c r="S231" s="37" t="n">
        <v>83620</v>
      </c>
      <c r="T231" s="37" t="n">
        <v>35</v>
      </c>
      <c r="U231" s="38" t="n">
        <f aca="false">IF(AND(ISNUMBER(K231),ISNUMBER(T231)),K231*T231*52/12,"")</f>
        <v>4700.15</v>
      </c>
      <c r="V231" s="15" t="n">
        <v>4.2</v>
      </c>
      <c r="W231" s="37" t="n">
        <v>909</v>
      </c>
      <c r="X231" s="39" t="n">
        <v>46307</v>
      </c>
      <c r="Y231" s="15"/>
      <c r="Z231" s="40"/>
      <c r="AA231" s="41" t="str">
        <f aca="false">IF(ISNUMBER(Z231),(DATE(2026,10,13)-Z231)/365,"")</f>
        <v/>
      </c>
      <c r="AB231" s="37"/>
      <c r="AC231" s="15"/>
      <c r="AD231" s="15"/>
      <c r="AE231" s="15"/>
      <c r="AF231" s="42"/>
      <c r="AG231" s="42"/>
      <c r="AH231" s="15"/>
      <c r="AI231" s="37" t="n">
        <v>11441</v>
      </c>
      <c r="AJ231" s="37" t="n">
        <v>382</v>
      </c>
      <c r="AK231" s="15" t="s">
        <v>326</v>
      </c>
      <c r="AL231" s="43" t="n">
        <v>36</v>
      </c>
      <c r="AM231" s="43" t="n">
        <v>35.5</v>
      </c>
      <c r="AN231" s="25" t="n">
        <f aca="false">IF(AND(ISNUMBER(AM231),ISNUMBER(AL231),AL231&gt;=5),AM231/AL231,"")</f>
        <v>0.986111111111111</v>
      </c>
      <c r="AO231" s="43" t="n">
        <v>1.2</v>
      </c>
      <c r="AP231" s="43" t="n">
        <v>0.5</v>
      </c>
      <c r="AQ231" s="25" t="str">
        <f aca="false">IF(AND(ISNUMBER(AP231),ISNUMBER(AO231),AO231&gt;=5),AP231/AO231,"")</f>
        <v/>
      </c>
      <c r="AR231" s="43" t="n">
        <v>28.2</v>
      </c>
      <c r="AS231" s="43" t="n">
        <v>41.4</v>
      </c>
      <c r="AT231" s="22" t="n">
        <f aca="false">IF(AND(ISNUMBER(AS231),ISNUMBER(AR231),AR231&gt;0),AS231/AR231-1,"")</f>
        <v>0.468085106382979</v>
      </c>
      <c r="AU231" s="44"/>
      <c r="AV231" s="44"/>
      <c r="AW231" s="44"/>
      <c r="AX231" s="44"/>
      <c r="AY231" s="44"/>
      <c r="AZ231" s="45"/>
      <c r="BA231" s="45"/>
      <c r="BB231" s="46"/>
      <c r="BC231" s="46"/>
      <c r="BD231" s="23" t="str">
        <f aca="false">IF(AND(ISNUMBER(BB231),ISNUMBER(BC231),BB231&gt;0),1-BC231/BB231,"")</f>
        <v/>
      </c>
      <c r="BE231" s="47"/>
      <c r="BF231" s="48"/>
      <c r="BG231" s="48"/>
      <c r="BH231" s="27" t="str">
        <f aca="false">IF(AND(ISNUMBER(BF231),ISNUMBER(BG231),BG231&gt;0),BF231/BG231,"")</f>
        <v/>
      </c>
      <c r="BI231" s="48"/>
      <c r="BJ231" s="44"/>
      <c r="BK231" s="46"/>
      <c r="BL231" s="46"/>
      <c r="BM231" s="36" t="str">
        <f aca="false">IF(ISNUMBER(Q231),IF(Q231&lt;0,"YES","no"),"")</f>
        <v>YES</v>
      </c>
      <c r="BN231" s="36" t="str">
        <f aca="false">IFERROR(IF(AND(ISNUMBER(K231),ISNUMBER(INDEX('Lift Inputs'!$H:$H,MATCH(C231,'Lift Inputs'!$C:$C,0)))),IF(K231&lt;INDEX('Lift Inputs'!$H:$H,MATCH(C231,'Lift Inputs'!$C:$C,0)),"YES","no"),""),"")</f>
        <v/>
      </c>
      <c r="BO231" s="44"/>
    </row>
    <row r="232" customFormat="false" ht="15" hidden="false" customHeight="false" outlineLevel="0" collapsed="false">
      <c r="A232" s="15" t="s">
        <v>71</v>
      </c>
      <c r="B232" s="15" t="s">
        <v>78</v>
      </c>
      <c r="C232" s="15" t="n">
        <v>31</v>
      </c>
      <c r="D232" s="15" t="s">
        <v>208</v>
      </c>
      <c r="E232" s="15" t="n">
        <v>160</v>
      </c>
      <c r="F232" s="15"/>
      <c r="G232" s="15" t="s">
        <v>636</v>
      </c>
      <c r="H232" s="15" t="s">
        <v>637</v>
      </c>
      <c r="I232" s="15" t="s">
        <v>638</v>
      </c>
      <c r="J232" s="15" t="s">
        <v>178</v>
      </c>
      <c r="K232" s="35" t="n">
        <v>5.93</v>
      </c>
      <c r="L232" s="35"/>
      <c r="M232" s="23" t="str">
        <f aca="false">IF(AND(ISNUMBER(L232),ISNUMBER(K232),K232&gt;0),L232/K232-1,"")</f>
        <v/>
      </c>
      <c r="N232" s="36" t="str">
        <f aca="false">IF(M232="","No List Price",IF(M232&lt;=0,"At/below price",IF(M232&lt;=0.12,"&lt;=12% (STR zone)",IF(M232&lt;=0.25,"12-25%","&gt;25% (likely ignored)"))))</f>
        <v>No List Price</v>
      </c>
      <c r="O232" s="15" t="s">
        <v>311</v>
      </c>
      <c r="P232" s="35" t="n">
        <v>32.0634653465347</v>
      </c>
      <c r="Q232" s="22" t="n">
        <f aca="false">IF(AND(ISNUMBER(K232),ISNUMBER(P232),N(P232)&gt;0),K232/P232-1,"")</f>
        <v>-0.815054301339238</v>
      </c>
      <c r="R232" s="15" t="s">
        <v>312</v>
      </c>
      <c r="S232" s="37" t="n">
        <v>80060</v>
      </c>
      <c r="T232" s="37" t="n">
        <v>5</v>
      </c>
      <c r="U232" s="38" t="n">
        <f aca="false">IF(AND(ISNUMBER(K232),ISNUMBER(T232)),K232*T232*52/12,"")</f>
        <v>128.483333333333</v>
      </c>
      <c r="V232" s="15" t="n">
        <v>4.6</v>
      </c>
      <c r="W232" s="37" t="n">
        <v>46</v>
      </c>
      <c r="X232" s="39" t="n">
        <v>46307</v>
      </c>
      <c r="Y232" s="15"/>
      <c r="Z232" s="40"/>
      <c r="AA232" s="41" t="str">
        <f aca="false">IF(ISNUMBER(Z232),(DATE(2026,10,13)-Z232)/365,"")</f>
        <v/>
      </c>
      <c r="AB232" s="37"/>
      <c r="AC232" s="15"/>
      <c r="AD232" s="15"/>
      <c r="AE232" s="15"/>
      <c r="AF232" s="42"/>
      <c r="AG232" s="42"/>
      <c r="AH232" s="15"/>
      <c r="AI232" s="37" t="n">
        <v>41904</v>
      </c>
      <c r="AJ232" s="37" t="n">
        <v>827</v>
      </c>
      <c r="AK232" s="15"/>
      <c r="AL232" s="43"/>
      <c r="AM232" s="43"/>
      <c r="AN232" s="25" t="str">
        <f aca="false">IF(AND(ISNUMBER(AM232),ISNUMBER(AL232),AL232&gt;=5),AM232/AL232,"")</f>
        <v/>
      </c>
      <c r="AO232" s="43"/>
      <c r="AP232" s="43"/>
      <c r="AQ232" s="25" t="str">
        <f aca="false">IF(AND(ISNUMBER(AP232),ISNUMBER(AO232),AO232&gt;=5),AP232/AO232,"")</f>
        <v/>
      </c>
      <c r="AR232" s="43"/>
      <c r="AS232" s="43"/>
      <c r="AT232" s="22" t="str">
        <f aca="false">IF(AND(ISNUMBER(AS232),ISNUMBER(AR232),AR232&gt;0),AS232/AR232-1,"")</f>
        <v/>
      </c>
      <c r="AU232" s="44"/>
      <c r="AV232" s="44"/>
      <c r="AW232" s="44"/>
      <c r="AX232" s="44"/>
      <c r="AY232" s="44"/>
      <c r="AZ232" s="45"/>
      <c r="BA232" s="45"/>
      <c r="BB232" s="46"/>
      <c r="BC232" s="46"/>
      <c r="BD232" s="23" t="str">
        <f aca="false">IF(AND(ISNUMBER(BB232),ISNUMBER(BC232),BB232&gt;0),1-BC232/BB232,"")</f>
        <v/>
      </c>
      <c r="BE232" s="47"/>
      <c r="BF232" s="48"/>
      <c r="BG232" s="48"/>
      <c r="BH232" s="27" t="str">
        <f aca="false">IF(AND(ISNUMBER(BF232),ISNUMBER(BG232),BG232&gt;0),BF232/BG232,"")</f>
        <v/>
      </c>
      <c r="BI232" s="48"/>
      <c r="BJ232" s="44"/>
      <c r="BK232" s="46"/>
      <c r="BL232" s="46"/>
      <c r="BM232" s="36" t="str">
        <f aca="false">IF(ISNUMBER(Q232),IF(Q232&lt;0,"YES","no"),"")</f>
        <v>YES</v>
      </c>
      <c r="BN232" s="36" t="str">
        <f aca="false">IFERROR(IF(AND(ISNUMBER(K232),ISNUMBER(INDEX('Lift Inputs'!$H:$H,MATCH(C232,'Lift Inputs'!$C:$C,0)))),IF(K232&lt;INDEX('Lift Inputs'!$H:$H,MATCH(C232,'Lift Inputs'!$C:$C,0)),"YES","no"),""),"")</f>
        <v/>
      </c>
      <c r="BO232" s="44"/>
    </row>
    <row r="233" customFormat="false" ht="15" hidden="false" customHeight="false" outlineLevel="0" collapsed="false">
      <c r="A233" s="15" t="s">
        <v>71</v>
      </c>
      <c r="B233" s="15" t="s">
        <v>78</v>
      </c>
      <c r="C233" s="15" t="n">
        <v>31</v>
      </c>
      <c r="D233" s="15" t="s">
        <v>208</v>
      </c>
      <c r="E233" s="15" t="n">
        <v>151</v>
      </c>
      <c r="F233" s="15" t="s">
        <v>639</v>
      </c>
      <c r="G233" s="15" t="s">
        <v>640</v>
      </c>
      <c r="H233" s="15" t="s">
        <v>641</v>
      </c>
      <c r="I233" s="15" t="s">
        <v>642</v>
      </c>
      <c r="J233" s="15"/>
      <c r="K233" s="35" t="n">
        <v>15.99</v>
      </c>
      <c r="L233" s="35"/>
      <c r="M233" s="23" t="str">
        <f aca="false">IF(AND(ISNUMBER(L233),ISNUMBER(K233),K233&gt;0),L233/K233-1,"")</f>
        <v/>
      </c>
      <c r="N233" s="36" t="str">
        <f aca="false">IF(M233="","No List Price",IF(M233&lt;=0,"At/below price",IF(M233&lt;=0.12,"&lt;=12% (STR zone)",IF(M233&lt;=0.25,"12-25%","&gt;25% (likely ignored)"))))</f>
        <v>No List Price</v>
      </c>
      <c r="O233" s="15" t="s">
        <v>311</v>
      </c>
      <c r="P233" s="35" t="n">
        <v>32.0634653465347</v>
      </c>
      <c r="Q233" s="22" t="n">
        <f aca="false">IF(AND(ISNUMBER(K233),ISNUMBER(P233),N(P233)&gt;0),K233/P233-1,"")</f>
        <v>-0.50130156465673</v>
      </c>
      <c r="R233" s="15" t="s">
        <v>312</v>
      </c>
      <c r="S233" s="37" t="n">
        <v>58723</v>
      </c>
      <c r="T233" s="37" t="n">
        <v>35</v>
      </c>
      <c r="U233" s="38" t="n">
        <f aca="false">IF(AND(ISNUMBER(K233),ISNUMBER(T233)),K233*T233*52/12,"")</f>
        <v>2425.15</v>
      </c>
      <c r="V233" s="15" t="n">
        <v>4.5</v>
      </c>
      <c r="W233" s="37" t="n">
        <v>968</v>
      </c>
      <c r="X233" s="39" t="n">
        <v>46307</v>
      </c>
      <c r="Y233" s="15" t="n">
        <v>47</v>
      </c>
      <c r="Z233" s="40" t="n">
        <v>45742</v>
      </c>
      <c r="AA233" s="41" t="n">
        <f aca="false">IF(ISNUMBER(Z233),(DATE(2026,10,13)-Z233)/365,"")</f>
        <v>1.55068493150685</v>
      </c>
      <c r="AB233" s="37" t="n">
        <v>335</v>
      </c>
      <c r="AC233" s="15" t="s">
        <v>313</v>
      </c>
      <c r="AD233" s="15" t="n">
        <v>1</v>
      </c>
      <c r="AE233" s="15" t="s">
        <v>331</v>
      </c>
      <c r="AF233" s="42" t="n">
        <v>0</v>
      </c>
      <c r="AG233" s="42" t="n">
        <v>0</v>
      </c>
      <c r="AH233" s="15" t="n">
        <v>210</v>
      </c>
      <c r="AI233" s="37" t="n">
        <v>26952</v>
      </c>
      <c r="AJ233" s="37" t="n">
        <v>504</v>
      </c>
      <c r="AK233" s="15" t="s">
        <v>326</v>
      </c>
      <c r="AL233" s="43" t="n">
        <v>116.8</v>
      </c>
      <c r="AM233" s="43" t="n">
        <v>124.2</v>
      </c>
      <c r="AN233" s="25" t="n">
        <f aca="false">IF(AND(ISNUMBER(AM233),ISNUMBER(AL233),AL233&gt;=5),AM233/AL233,"")</f>
        <v>1.06335616438356</v>
      </c>
      <c r="AO233" s="43" t="n">
        <v>2.1</v>
      </c>
      <c r="AP233" s="43" t="n">
        <v>2.5</v>
      </c>
      <c r="AQ233" s="25" t="str">
        <f aca="false">IF(AND(ISNUMBER(AP233),ISNUMBER(AO233),AO233&gt;=5),AP233/AO233,"")</f>
        <v/>
      </c>
      <c r="AR233" s="43" t="n">
        <v>117.1</v>
      </c>
      <c r="AS233" s="43" t="n">
        <v>98</v>
      </c>
      <c r="AT233" s="22" t="n">
        <f aca="false">IF(AND(ISNUMBER(AS233),ISNUMBER(AR233),AR233&gt;0),AS233/AR233-1,"")</f>
        <v>-0.163108454312553</v>
      </c>
      <c r="AU233" s="44"/>
      <c r="AV233" s="44"/>
      <c r="AW233" s="44"/>
      <c r="AX233" s="44"/>
      <c r="AY233" s="44"/>
      <c r="AZ233" s="45"/>
      <c r="BA233" s="45"/>
      <c r="BB233" s="46"/>
      <c r="BC233" s="46"/>
      <c r="BD233" s="23" t="str">
        <f aca="false">IF(AND(ISNUMBER(BB233),ISNUMBER(BC233),BB233&gt;0),1-BC233/BB233,"")</f>
        <v/>
      </c>
      <c r="BE233" s="47"/>
      <c r="BF233" s="48"/>
      <c r="BG233" s="48"/>
      <c r="BH233" s="27" t="str">
        <f aca="false">IF(AND(ISNUMBER(BF233),ISNUMBER(BG233),BG233&gt;0),BF233/BG233,"")</f>
        <v/>
      </c>
      <c r="BI233" s="48"/>
      <c r="BJ233" s="44"/>
      <c r="BK233" s="46"/>
      <c r="BL233" s="46"/>
      <c r="BM233" s="36" t="str">
        <f aca="false">IF(ISNUMBER(Q233),IF(Q233&lt;0,"YES","no"),"")</f>
        <v>YES</v>
      </c>
      <c r="BN233" s="36" t="str">
        <f aca="false">IFERROR(IF(AND(ISNUMBER(K233),ISNUMBER(INDEX('Lift Inputs'!$H:$H,MATCH(C233,'Lift Inputs'!$C:$C,0)))),IF(K233&lt;INDEX('Lift Inputs'!$H:$H,MATCH(C233,'Lift Inputs'!$C:$C,0)),"YES","no"),""),"")</f>
        <v/>
      </c>
      <c r="BO233" s="44"/>
    </row>
    <row r="234" customFormat="false" ht="15" hidden="false" customHeight="false" outlineLevel="0" collapsed="false">
      <c r="A234" s="15" t="s">
        <v>71</v>
      </c>
      <c r="B234" s="15" t="s">
        <v>78</v>
      </c>
      <c r="C234" s="15" t="n">
        <v>31</v>
      </c>
      <c r="D234" s="15" t="s">
        <v>208</v>
      </c>
      <c r="E234" s="15" t="n">
        <v>1548</v>
      </c>
      <c r="F234" s="15" t="s">
        <v>643</v>
      </c>
      <c r="G234" s="15" t="s">
        <v>644</v>
      </c>
      <c r="H234" s="15" t="s">
        <v>645</v>
      </c>
      <c r="I234" s="15" t="s">
        <v>577</v>
      </c>
      <c r="J234" s="15"/>
      <c r="K234" s="35" t="n">
        <v>15.99</v>
      </c>
      <c r="L234" s="35"/>
      <c r="M234" s="23" t="str">
        <f aca="false">IF(AND(ISNUMBER(L234),ISNUMBER(K234),K234&gt;0),L234/K234-1,"")</f>
        <v/>
      </c>
      <c r="N234" s="36" t="str">
        <f aca="false">IF(M234="","No List Price",IF(M234&lt;=0,"At/below price",IF(M234&lt;=0.12,"&lt;=12% (STR zone)",IF(M234&lt;=0.25,"12-25%","&gt;25% (likely ignored)"))))</f>
        <v>No List Price</v>
      </c>
      <c r="O234" s="15"/>
      <c r="P234" s="35" t="n">
        <v>32.0634653465347</v>
      </c>
      <c r="Q234" s="22" t="n">
        <f aca="false">IF(AND(ISNUMBER(K234),ISNUMBER(P234),N(P234)&gt;0),K234/P234-1,"")</f>
        <v>-0.50130156465673</v>
      </c>
      <c r="R234" s="15" t="s">
        <v>353</v>
      </c>
      <c r="S234" s="37" t="n">
        <v>420044</v>
      </c>
      <c r="T234" s="37" t="n">
        <v>5</v>
      </c>
      <c r="U234" s="38" t="n">
        <f aca="false">IF(AND(ISNUMBER(K234),ISNUMBER(T234)),K234*T234*52/12,"")</f>
        <v>346.45</v>
      </c>
      <c r="V234" s="15" t="n">
        <v>4.3</v>
      </c>
      <c r="W234" s="37" t="n">
        <v>5277</v>
      </c>
      <c r="X234" s="39" t="n">
        <v>46279</v>
      </c>
      <c r="Y234" s="15"/>
      <c r="Z234" s="40"/>
      <c r="AA234" s="41" t="str">
        <f aca="false">IF(ISNUMBER(Z234),(DATE(2026,10,13)-Z234)/365,"")</f>
        <v/>
      </c>
      <c r="AB234" s="37"/>
      <c r="AC234" s="15"/>
      <c r="AD234" s="15"/>
      <c r="AE234" s="15"/>
      <c r="AF234" s="42"/>
      <c r="AG234" s="42"/>
      <c r="AH234" s="15"/>
      <c r="AI234" s="37"/>
      <c r="AJ234" s="37"/>
      <c r="AK234" s="15" t="s">
        <v>326</v>
      </c>
      <c r="AL234" s="43" t="n">
        <v>0</v>
      </c>
      <c r="AM234" s="43" t="n">
        <v>0</v>
      </c>
      <c r="AN234" s="25" t="str">
        <f aca="false">IF(AND(ISNUMBER(AM234),ISNUMBER(AL234),AL234&gt;=5),AM234/AL234,"")</f>
        <v/>
      </c>
      <c r="AO234" s="43" t="n">
        <v>0</v>
      </c>
      <c r="AP234" s="43" t="n">
        <v>0</v>
      </c>
      <c r="AQ234" s="25" t="str">
        <f aca="false">IF(AND(ISNUMBER(AP234),ISNUMBER(AO234),AO234&gt;=5),AP234/AO234,"")</f>
        <v/>
      </c>
      <c r="AR234" s="43" t="n">
        <v>0</v>
      </c>
      <c r="AS234" s="43" t="n">
        <v>0.2</v>
      </c>
      <c r="AT234" s="22" t="str">
        <f aca="false">IF(AND(ISNUMBER(AS234),ISNUMBER(AR234),AR234&gt;0),AS234/AR234-1,"")</f>
        <v/>
      </c>
      <c r="AU234" s="44"/>
      <c r="AV234" s="44"/>
      <c r="AW234" s="44"/>
      <c r="AX234" s="44"/>
      <c r="AY234" s="44"/>
      <c r="AZ234" s="45"/>
      <c r="BA234" s="45"/>
      <c r="BB234" s="46"/>
      <c r="BC234" s="46"/>
      <c r="BD234" s="23" t="str">
        <f aca="false">IF(AND(ISNUMBER(BB234),ISNUMBER(BC234),BB234&gt;0),1-BC234/BB234,"")</f>
        <v/>
      </c>
      <c r="BE234" s="47"/>
      <c r="BF234" s="48"/>
      <c r="BG234" s="48"/>
      <c r="BH234" s="27" t="str">
        <f aca="false">IF(AND(ISNUMBER(BF234),ISNUMBER(BG234),BG234&gt;0),BF234/BG234,"")</f>
        <v/>
      </c>
      <c r="BI234" s="48"/>
      <c r="BJ234" s="44"/>
      <c r="BK234" s="46"/>
      <c r="BL234" s="46"/>
      <c r="BM234" s="36" t="str">
        <f aca="false">IF(ISNUMBER(Q234),IF(Q234&lt;0,"YES","no"),"")</f>
        <v>YES</v>
      </c>
      <c r="BN234" s="36" t="str">
        <f aca="false">IFERROR(IF(AND(ISNUMBER(K234),ISNUMBER(INDEX('Lift Inputs'!$H:$H,MATCH(C234,'Lift Inputs'!$C:$C,0)))),IF(K234&lt;INDEX('Lift Inputs'!$H:$H,MATCH(C234,'Lift Inputs'!$C:$C,0)),"YES","no"),""),"")</f>
        <v/>
      </c>
      <c r="BO234" s="44"/>
    </row>
    <row r="235" customFormat="false" ht="15" hidden="false" customHeight="false" outlineLevel="0" collapsed="false">
      <c r="A235" s="15" t="s">
        <v>71</v>
      </c>
      <c r="B235" s="15" t="s">
        <v>83</v>
      </c>
      <c r="C235" s="15" t="n">
        <v>39</v>
      </c>
      <c r="D235" s="15" t="s">
        <v>208</v>
      </c>
      <c r="E235" s="15" t="n">
        <v>144</v>
      </c>
      <c r="F235" s="15" t="s">
        <v>362</v>
      </c>
      <c r="G235" s="15" t="s">
        <v>558</v>
      </c>
      <c r="H235" s="15" t="s">
        <v>559</v>
      </c>
      <c r="I235" s="15" t="s">
        <v>560</v>
      </c>
      <c r="J235" s="15" t="s">
        <v>176</v>
      </c>
      <c r="K235" s="35" t="n">
        <v>17.99</v>
      </c>
      <c r="L235" s="35"/>
      <c r="M235" s="23" t="str">
        <f aca="false">IF(AND(ISNUMBER(L235),ISNUMBER(K235),K235&gt;0),L235/K235-1,"")</f>
        <v/>
      </c>
      <c r="N235" s="36" t="str">
        <f aca="false">IF(M235="","No List Price",IF(M235&lt;=0,"At/below price",IF(M235&lt;=0.12,"&lt;=12% (STR zone)",IF(M235&lt;=0.25,"12-25%","&gt;25% (likely ignored)"))))</f>
        <v>No List Price</v>
      </c>
      <c r="O235" s="15" t="s">
        <v>311</v>
      </c>
      <c r="P235" s="35" t="n">
        <v>38.6576923076923</v>
      </c>
      <c r="Q235" s="22" t="n">
        <f aca="false">IF(AND(ISNUMBER(K235),ISNUMBER(P235),N(P235)&gt;0),K235/P235-1,"")</f>
        <v>-0.534633369813949</v>
      </c>
      <c r="R235" s="15" t="s">
        <v>312</v>
      </c>
      <c r="S235" s="37" t="n">
        <v>497</v>
      </c>
      <c r="T235" s="37" t="n">
        <v>1963</v>
      </c>
      <c r="U235" s="38" t="n">
        <f aca="false">IF(AND(ISNUMBER(K235),ISNUMBER(T235)),K235*T235*52/12,"")</f>
        <v>153028.936666667</v>
      </c>
      <c r="V235" s="15" t="n">
        <v>4.3</v>
      </c>
      <c r="W235" s="37" t="n">
        <v>6297</v>
      </c>
      <c r="X235" s="39" t="n">
        <v>46307</v>
      </c>
      <c r="Y235" s="15" t="n">
        <v>141</v>
      </c>
      <c r="Z235" s="40" t="n">
        <v>45307</v>
      </c>
      <c r="AA235" s="41" t="n">
        <f aca="false">IF(ISNUMBER(Z235),(DATE(2026,10,13)-Z235)/365,"")</f>
        <v>2.74246575342466</v>
      </c>
      <c r="AB235" s="37" t="n">
        <v>24056</v>
      </c>
      <c r="AC235" s="15" t="s">
        <v>313</v>
      </c>
      <c r="AD235" s="15" t="n">
        <v>1</v>
      </c>
      <c r="AE235" s="15" t="s">
        <v>331</v>
      </c>
      <c r="AF235" s="42" t="n">
        <v>0</v>
      </c>
      <c r="AG235" s="42" t="n">
        <v>0</v>
      </c>
      <c r="AH235" s="15" t="n">
        <v>274</v>
      </c>
      <c r="AI235" s="37" t="n">
        <v>997443</v>
      </c>
      <c r="AJ235" s="37" t="n">
        <v>3432</v>
      </c>
      <c r="AK235" s="15" t="s">
        <v>326</v>
      </c>
      <c r="AL235" s="43" t="n">
        <v>1354.7</v>
      </c>
      <c r="AM235" s="43" t="n">
        <v>1510.2</v>
      </c>
      <c r="AN235" s="25" t="n">
        <f aca="false">IF(AND(ISNUMBER(AM235),ISNUMBER(AL235),AL235&gt;=5),AM235/AL235,"")</f>
        <v>1.1147855613789</v>
      </c>
      <c r="AO235" s="43" t="n">
        <v>152.8</v>
      </c>
      <c r="AP235" s="43" t="n">
        <v>191</v>
      </c>
      <c r="AQ235" s="25" t="n">
        <f aca="false">IF(AND(ISNUMBER(AP235),ISNUMBER(AO235),AO235&gt;=5),AP235/AO235,"")</f>
        <v>1.25</v>
      </c>
      <c r="AR235" s="43" t="n">
        <v>1293.4</v>
      </c>
      <c r="AS235" s="43" t="n">
        <v>1696.6</v>
      </c>
      <c r="AT235" s="22" t="n">
        <f aca="false">IF(AND(ISNUMBER(AS235),ISNUMBER(AR235),AR235&gt;0),AS235/AR235-1,"")</f>
        <v>0.3117365084274</v>
      </c>
      <c r="AU235" s="44"/>
      <c r="AV235" s="44"/>
      <c r="AW235" s="44"/>
      <c r="AX235" s="44"/>
      <c r="AY235" s="44"/>
      <c r="AZ235" s="45"/>
      <c r="BA235" s="45"/>
      <c r="BB235" s="46"/>
      <c r="BC235" s="46"/>
      <c r="BD235" s="23" t="str">
        <f aca="false">IF(AND(ISNUMBER(BB235),ISNUMBER(BC235),BB235&gt;0),1-BC235/BB235,"")</f>
        <v/>
      </c>
      <c r="BE235" s="47"/>
      <c r="BF235" s="48"/>
      <c r="BG235" s="48"/>
      <c r="BH235" s="27" t="str">
        <f aca="false">IF(AND(ISNUMBER(BF235),ISNUMBER(BG235),BG235&gt;0),BF235/BG235,"")</f>
        <v/>
      </c>
      <c r="BI235" s="48"/>
      <c r="BJ235" s="44"/>
      <c r="BK235" s="46"/>
      <c r="BL235" s="46"/>
      <c r="BM235" s="36" t="str">
        <f aca="false">IF(ISNUMBER(Q235),IF(Q235&lt;0,"YES","no"),"")</f>
        <v>YES</v>
      </c>
      <c r="BN235" s="36" t="str">
        <f aca="false">IFERROR(IF(AND(ISNUMBER(K235),ISNUMBER(INDEX('Lift Inputs'!$H:$H,MATCH(C235,'Lift Inputs'!$C:$C,0)))),IF(K235&lt;INDEX('Lift Inputs'!$H:$H,MATCH(C235,'Lift Inputs'!$C:$C,0)),"YES","no"),""),"")</f>
        <v/>
      </c>
      <c r="BO235" s="44"/>
    </row>
    <row r="236" customFormat="false" ht="15" hidden="false" customHeight="false" outlineLevel="0" collapsed="false">
      <c r="A236" s="15" t="s">
        <v>71</v>
      </c>
      <c r="B236" s="15" t="s">
        <v>83</v>
      </c>
      <c r="C236" s="15" t="n">
        <v>39</v>
      </c>
      <c r="D236" s="15" t="s">
        <v>208</v>
      </c>
      <c r="E236" s="15" t="n">
        <v>8</v>
      </c>
      <c r="F236" s="15" t="s">
        <v>327</v>
      </c>
      <c r="G236" s="15" t="s">
        <v>561</v>
      </c>
      <c r="H236" s="15" t="s">
        <v>562</v>
      </c>
      <c r="I236" s="15" t="s">
        <v>563</v>
      </c>
      <c r="J236" s="15" t="s">
        <v>176</v>
      </c>
      <c r="K236" s="35" t="n">
        <v>16.13</v>
      </c>
      <c r="L236" s="35" t="n">
        <v>19.99</v>
      </c>
      <c r="M236" s="23" t="n">
        <f aca="false">IF(AND(ISNUMBER(L236),ISNUMBER(K236),K236&gt;0),L236/K236-1,"")</f>
        <v>0.2393056416615</v>
      </c>
      <c r="N236" s="36" t="str">
        <f aca="false">IF(M236="","No List Price",IF(M236&lt;=0,"At/below price",IF(M236&lt;=0.12,"&lt;=12% (STR zone)",IF(M236&lt;=0.25,"12-25%","&gt;25% (likely ignored)"))))</f>
        <v>12-25%</v>
      </c>
      <c r="O236" s="15" t="s">
        <v>311</v>
      </c>
      <c r="P236" s="35" t="n">
        <v>38.6576923076923</v>
      </c>
      <c r="Q236" s="22" t="n">
        <f aca="false">IF(AND(ISNUMBER(K236),ISNUMBER(P236),N(P236)&gt;0),K236/P236-1,"")</f>
        <v>-0.582747985275097</v>
      </c>
      <c r="R236" s="15" t="s">
        <v>312</v>
      </c>
      <c r="S236" s="37" t="n">
        <v>949</v>
      </c>
      <c r="T236" s="37" t="n">
        <v>809</v>
      </c>
      <c r="U236" s="38" t="n">
        <f aca="false">IF(AND(ISNUMBER(K236),ISNUMBER(T236)),K236*T236*52/12,"")</f>
        <v>56546.4033333333</v>
      </c>
      <c r="V236" s="15" t="n">
        <v>4.5</v>
      </c>
      <c r="W236" s="37" t="n">
        <v>5747</v>
      </c>
      <c r="X236" s="39" t="n">
        <v>46307</v>
      </c>
      <c r="Y236" s="15" t="n">
        <v>128</v>
      </c>
      <c r="Z236" s="40" t="n">
        <v>44895</v>
      </c>
      <c r="AA236" s="41" t="n">
        <f aca="false">IF(ISNUMBER(Z236),(DATE(2026,10,13)-Z236)/365,"")</f>
        <v>3.87123287671233</v>
      </c>
      <c r="AB236" s="37" t="n">
        <v>15843</v>
      </c>
      <c r="AC236" s="15" t="s">
        <v>313</v>
      </c>
      <c r="AD236" s="15" t="n">
        <v>4</v>
      </c>
      <c r="AE236" s="15" t="s">
        <v>331</v>
      </c>
      <c r="AF236" s="42" t="n">
        <v>0.002</v>
      </c>
      <c r="AG236" s="42" t="n">
        <v>0</v>
      </c>
      <c r="AH236" s="15" t="n">
        <v>423</v>
      </c>
      <c r="AI236" s="37" t="n">
        <v>385363</v>
      </c>
      <c r="AJ236" s="37" t="n">
        <v>3599</v>
      </c>
      <c r="AK236" s="15" t="s">
        <v>326</v>
      </c>
      <c r="AL236" s="43" t="n">
        <v>651.1</v>
      </c>
      <c r="AM236" s="43" t="n">
        <v>674.8</v>
      </c>
      <c r="AN236" s="25" t="n">
        <f aca="false">IF(AND(ISNUMBER(AM236),ISNUMBER(AL236),AL236&gt;=5),AM236/AL236,"")</f>
        <v>1.0363999385655</v>
      </c>
      <c r="AO236" s="43" t="n">
        <v>53</v>
      </c>
      <c r="AP236" s="43" t="n">
        <v>38.8</v>
      </c>
      <c r="AQ236" s="25" t="n">
        <f aca="false">IF(AND(ISNUMBER(AP236),ISNUMBER(AO236),AO236&gt;=5),AP236/AO236,"")</f>
        <v>0.732075471698113</v>
      </c>
      <c r="AR236" s="43" t="n">
        <v>767.9</v>
      </c>
      <c r="AS236" s="43" t="n">
        <v>665.3</v>
      </c>
      <c r="AT236" s="22" t="n">
        <f aca="false">IF(AND(ISNUMBER(AS236),ISNUMBER(AR236),AR236&gt;0),AS236/AR236-1,"")</f>
        <v>-0.133611147284803</v>
      </c>
      <c r="AU236" s="44"/>
      <c r="AV236" s="44"/>
      <c r="AW236" s="44"/>
      <c r="AX236" s="44"/>
      <c r="AY236" s="44"/>
      <c r="AZ236" s="45"/>
      <c r="BA236" s="45"/>
      <c r="BB236" s="46"/>
      <c r="BC236" s="46"/>
      <c r="BD236" s="23" t="str">
        <f aca="false">IF(AND(ISNUMBER(BB236),ISNUMBER(BC236),BB236&gt;0),1-BC236/BB236,"")</f>
        <v/>
      </c>
      <c r="BE236" s="47"/>
      <c r="BF236" s="48"/>
      <c r="BG236" s="48"/>
      <c r="BH236" s="27" t="str">
        <f aca="false">IF(AND(ISNUMBER(BF236),ISNUMBER(BG236),BG236&gt;0),BF236/BG236,"")</f>
        <v/>
      </c>
      <c r="BI236" s="48"/>
      <c r="BJ236" s="44"/>
      <c r="BK236" s="46"/>
      <c r="BL236" s="46"/>
      <c r="BM236" s="36" t="str">
        <f aca="false">IF(ISNUMBER(Q236),IF(Q236&lt;0,"YES","no"),"")</f>
        <v>YES</v>
      </c>
      <c r="BN236" s="36" t="str">
        <f aca="false">IFERROR(IF(AND(ISNUMBER(K236),ISNUMBER(INDEX('Lift Inputs'!$H:$H,MATCH(C236,'Lift Inputs'!$C:$C,0)))),IF(K236&lt;INDEX('Lift Inputs'!$H:$H,MATCH(C236,'Lift Inputs'!$C:$C,0)),"YES","no"),""),"")</f>
        <v/>
      </c>
      <c r="BO236" s="44"/>
    </row>
    <row r="237" customFormat="false" ht="15" hidden="false" customHeight="false" outlineLevel="0" collapsed="false">
      <c r="A237" s="15" t="s">
        <v>71</v>
      </c>
      <c r="B237" s="15" t="s">
        <v>83</v>
      </c>
      <c r="C237" s="15" t="n">
        <v>39</v>
      </c>
      <c r="D237" s="15" t="s">
        <v>208</v>
      </c>
      <c r="E237" s="15" t="n">
        <v>72</v>
      </c>
      <c r="F237" s="15" t="s">
        <v>494</v>
      </c>
      <c r="G237" s="15" t="s">
        <v>564</v>
      </c>
      <c r="H237" s="15" t="s">
        <v>565</v>
      </c>
      <c r="I237" s="15" t="s">
        <v>566</v>
      </c>
      <c r="J237" s="15" t="s">
        <v>176</v>
      </c>
      <c r="K237" s="35" t="n">
        <v>19.99</v>
      </c>
      <c r="L237" s="35"/>
      <c r="M237" s="23" t="str">
        <f aca="false">IF(AND(ISNUMBER(L237),ISNUMBER(K237),K237&gt;0),L237/K237-1,"")</f>
        <v/>
      </c>
      <c r="N237" s="36" t="str">
        <f aca="false">IF(M237="","No List Price",IF(M237&lt;=0,"At/below price",IF(M237&lt;=0.12,"&lt;=12% (STR zone)",IF(M237&lt;=0.25,"12-25%","&gt;25% (likely ignored)"))))</f>
        <v>No List Price</v>
      </c>
      <c r="O237" s="15" t="s">
        <v>311</v>
      </c>
      <c r="P237" s="35" t="n">
        <v>38.6576923076923</v>
      </c>
      <c r="Q237" s="22" t="n">
        <f aca="false">IF(AND(ISNUMBER(K237),ISNUMBER(P237),N(P237)&gt;0),K237/P237-1,"")</f>
        <v>-0.482897224156801</v>
      </c>
      <c r="R237" s="15" t="s">
        <v>312</v>
      </c>
      <c r="S237" s="37" t="n">
        <v>2025</v>
      </c>
      <c r="T237" s="37" t="n">
        <v>809</v>
      </c>
      <c r="U237" s="38" t="n">
        <f aca="false">IF(AND(ISNUMBER(K237),ISNUMBER(T237)),K237*T237*52/12,"")</f>
        <v>70078.2766666667</v>
      </c>
      <c r="V237" s="15" t="n">
        <v>4.4</v>
      </c>
      <c r="W237" s="37" t="n">
        <v>17886</v>
      </c>
      <c r="X237" s="39" t="n">
        <v>46307</v>
      </c>
      <c r="Y237" s="15" t="n">
        <v>183</v>
      </c>
      <c r="Z237" s="40" t="n">
        <v>44081</v>
      </c>
      <c r="AA237" s="41" t="n">
        <f aca="false">IF(ISNUMBER(Z237),(DATE(2026,10,13)-Z237)/365,"")</f>
        <v>6.1013698630137</v>
      </c>
      <c r="AB237" s="37" t="n">
        <v>25725</v>
      </c>
      <c r="AC237" s="15" t="s">
        <v>313</v>
      </c>
      <c r="AD237" s="15" t="n">
        <v>1</v>
      </c>
      <c r="AE237" s="15" t="s">
        <v>336</v>
      </c>
      <c r="AF237" s="42" t="n">
        <v>0.394</v>
      </c>
      <c r="AG237" s="42" t="n">
        <v>0.340323178776637</v>
      </c>
      <c r="AH237" s="15" t="n">
        <v>452</v>
      </c>
      <c r="AI237" s="37" t="n">
        <v>356457</v>
      </c>
      <c r="AJ237" s="37" t="n">
        <v>3352</v>
      </c>
      <c r="AK237" s="15" t="s">
        <v>326</v>
      </c>
      <c r="AL237" s="43" t="n">
        <v>442.7</v>
      </c>
      <c r="AM237" s="43" t="n">
        <v>435.8</v>
      </c>
      <c r="AN237" s="25" t="n">
        <f aca="false">IF(AND(ISNUMBER(AM237),ISNUMBER(AL237),AL237&gt;=5),AM237/AL237,"")</f>
        <v>0.984413824260221</v>
      </c>
      <c r="AO237" s="43" t="n">
        <v>35.5</v>
      </c>
      <c r="AP237" s="43" t="n">
        <v>76</v>
      </c>
      <c r="AQ237" s="25" t="n">
        <f aca="false">IF(AND(ISNUMBER(AP237),ISNUMBER(AO237),AO237&gt;=5),AP237/AO237,"")</f>
        <v>2.14084507042254</v>
      </c>
      <c r="AR237" s="43" t="n">
        <v>433.4</v>
      </c>
      <c r="AS237" s="43" t="n">
        <v>502.5</v>
      </c>
      <c r="AT237" s="22" t="n">
        <f aca="false">IF(AND(ISNUMBER(AS237),ISNUMBER(AR237),AR237&gt;0),AS237/AR237-1,"")</f>
        <v>0.159437009690817</v>
      </c>
      <c r="AU237" s="44"/>
      <c r="AV237" s="44"/>
      <c r="AW237" s="44"/>
      <c r="AX237" s="44"/>
      <c r="AY237" s="44"/>
      <c r="AZ237" s="45"/>
      <c r="BA237" s="45"/>
      <c r="BB237" s="46"/>
      <c r="BC237" s="46"/>
      <c r="BD237" s="23" t="str">
        <f aca="false">IF(AND(ISNUMBER(BB237),ISNUMBER(BC237),BB237&gt;0),1-BC237/BB237,"")</f>
        <v/>
      </c>
      <c r="BE237" s="47"/>
      <c r="BF237" s="48"/>
      <c r="BG237" s="48"/>
      <c r="BH237" s="27" t="str">
        <f aca="false">IF(AND(ISNUMBER(BF237),ISNUMBER(BG237),BG237&gt;0),BF237/BG237,"")</f>
        <v/>
      </c>
      <c r="BI237" s="48"/>
      <c r="BJ237" s="44"/>
      <c r="BK237" s="46"/>
      <c r="BL237" s="46"/>
      <c r="BM237" s="36" t="str">
        <f aca="false">IF(ISNUMBER(Q237),IF(Q237&lt;0,"YES","no"),"")</f>
        <v>YES</v>
      </c>
      <c r="BN237" s="36" t="str">
        <f aca="false">IFERROR(IF(AND(ISNUMBER(K237),ISNUMBER(INDEX('Lift Inputs'!$H:$H,MATCH(C237,'Lift Inputs'!$C:$C,0)))),IF(K237&lt;INDEX('Lift Inputs'!$H:$H,MATCH(C237,'Lift Inputs'!$C:$C,0)),"YES","no"),""),"")</f>
        <v/>
      </c>
      <c r="BO237" s="44"/>
    </row>
    <row r="238" customFormat="false" ht="15" hidden="false" customHeight="false" outlineLevel="0" collapsed="false">
      <c r="A238" s="15" t="s">
        <v>71</v>
      </c>
      <c r="B238" s="15" t="s">
        <v>83</v>
      </c>
      <c r="C238" s="15" t="n">
        <v>39</v>
      </c>
      <c r="D238" s="15" t="s">
        <v>208</v>
      </c>
      <c r="E238" s="15" t="n">
        <v>1526</v>
      </c>
      <c r="F238" s="15" t="s">
        <v>475</v>
      </c>
      <c r="G238" s="15" t="s">
        <v>567</v>
      </c>
      <c r="H238" s="15" t="s">
        <v>568</v>
      </c>
      <c r="I238" s="15" t="s">
        <v>569</v>
      </c>
      <c r="J238" s="15" t="s">
        <v>176</v>
      </c>
      <c r="K238" s="35" t="n">
        <v>13.99</v>
      </c>
      <c r="L238" s="35" t="n">
        <v>18.99</v>
      </c>
      <c r="M238" s="23" t="n">
        <f aca="false">IF(AND(ISNUMBER(L238),ISNUMBER(K238),K238&gt;0),L238/K238-1,"")</f>
        <v>0.357398141529664</v>
      </c>
      <c r="N238" s="36" t="str">
        <f aca="false">IF(M238="","No List Price",IF(M238&lt;=0,"At/below price",IF(M238&lt;=0.12,"&lt;=12% (STR zone)",IF(M238&lt;=0.25,"12-25%","&gt;25% (likely ignored)"))))</f>
        <v>&gt;25% (likely ignored)</v>
      </c>
      <c r="O238" s="15" t="s">
        <v>311</v>
      </c>
      <c r="P238" s="35" t="n">
        <v>38.6576923076923</v>
      </c>
      <c r="Q238" s="22" t="n">
        <f aca="false">IF(AND(ISNUMBER(K238),ISNUMBER(P238),N(P238)&gt;0),K238/P238-1,"")</f>
        <v>-0.638105661128246</v>
      </c>
      <c r="R238" s="15" t="s">
        <v>312</v>
      </c>
      <c r="S238" s="37" t="n">
        <v>3102</v>
      </c>
      <c r="T238" s="37" t="n">
        <v>347</v>
      </c>
      <c r="U238" s="38" t="n">
        <f aca="false">IF(AND(ISNUMBER(K238),ISNUMBER(T238)),K238*T238*52/12,"")</f>
        <v>21036.2966666667</v>
      </c>
      <c r="V238" s="15" t="n">
        <v>4.3</v>
      </c>
      <c r="W238" s="37" t="n">
        <v>7075</v>
      </c>
      <c r="X238" s="39" t="n">
        <v>46307</v>
      </c>
      <c r="Y238" s="15" t="n">
        <v>115</v>
      </c>
      <c r="Z238" s="40" t="n">
        <v>44158</v>
      </c>
      <c r="AA238" s="41" t="n">
        <f aca="false">IF(ISNUMBER(Z238),(DATE(2026,10,13)-Z238)/365,"")</f>
        <v>5.89041095890411</v>
      </c>
      <c r="AB238" s="37" t="n">
        <v>13814</v>
      </c>
      <c r="AC238" s="15" t="s">
        <v>313</v>
      </c>
      <c r="AD238" s="15" t="n">
        <v>2</v>
      </c>
      <c r="AE238" s="15" t="s">
        <v>331</v>
      </c>
      <c r="AF238" s="42" t="n">
        <v>0</v>
      </c>
      <c r="AG238" s="42" t="n">
        <v>0</v>
      </c>
      <c r="AH238" s="15" t="n">
        <v>453</v>
      </c>
      <c r="AI238" s="37" t="n">
        <v>164434</v>
      </c>
      <c r="AJ238" s="37" t="n">
        <v>2031</v>
      </c>
      <c r="AK238" s="15" t="s">
        <v>326</v>
      </c>
      <c r="AL238" s="43" t="n">
        <v>864</v>
      </c>
      <c r="AM238" s="43" t="n">
        <v>705.8</v>
      </c>
      <c r="AN238" s="25" t="n">
        <f aca="false">IF(AND(ISNUMBER(AM238),ISNUMBER(AL238),AL238&gt;=5),AM238/AL238,"")</f>
        <v>0.816898148148148</v>
      </c>
      <c r="AO238" s="43" t="n">
        <v>82.8</v>
      </c>
      <c r="AP238" s="43" t="n">
        <v>78</v>
      </c>
      <c r="AQ238" s="25" t="n">
        <f aca="false">IF(AND(ISNUMBER(AP238),ISNUMBER(AO238),AO238&gt;=5),AP238/AO238,"")</f>
        <v>0.942028985507247</v>
      </c>
      <c r="AR238" s="43" t="n">
        <v>572.8</v>
      </c>
      <c r="AS238" s="43" t="n">
        <v>489.9</v>
      </c>
      <c r="AT238" s="22" t="n">
        <f aca="false">IF(AND(ISNUMBER(AS238),ISNUMBER(AR238),AR238&gt;0),AS238/AR238-1,"")</f>
        <v>-0.144727653631285</v>
      </c>
      <c r="AU238" s="44"/>
      <c r="AV238" s="44"/>
      <c r="AW238" s="44"/>
      <c r="AX238" s="44"/>
      <c r="AY238" s="44"/>
      <c r="AZ238" s="45"/>
      <c r="BA238" s="45"/>
      <c r="BB238" s="46"/>
      <c r="BC238" s="46"/>
      <c r="BD238" s="23" t="str">
        <f aca="false">IF(AND(ISNUMBER(BB238),ISNUMBER(BC238),BB238&gt;0),1-BC238/BB238,"")</f>
        <v/>
      </c>
      <c r="BE238" s="47"/>
      <c r="BF238" s="48"/>
      <c r="BG238" s="48"/>
      <c r="BH238" s="27" t="str">
        <f aca="false">IF(AND(ISNUMBER(BF238),ISNUMBER(BG238),BG238&gt;0),BF238/BG238,"")</f>
        <v/>
      </c>
      <c r="BI238" s="48"/>
      <c r="BJ238" s="44"/>
      <c r="BK238" s="46"/>
      <c r="BL238" s="46"/>
      <c r="BM238" s="36" t="str">
        <f aca="false">IF(ISNUMBER(Q238),IF(Q238&lt;0,"YES","no"),"")</f>
        <v>YES</v>
      </c>
      <c r="BN238" s="36" t="str">
        <f aca="false">IFERROR(IF(AND(ISNUMBER(K238),ISNUMBER(INDEX('Lift Inputs'!$H:$H,MATCH(C238,'Lift Inputs'!$C:$C,0)))),IF(K238&lt;INDEX('Lift Inputs'!$H:$H,MATCH(C238,'Lift Inputs'!$C:$C,0)),"YES","no"),""),"")</f>
        <v/>
      </c>
      <c r="BO238" s="44"/>
    </row>
    <row r="239" customFormat="false" ht="15" hidden="false" customHeight="false" outlineLevel="0" collapsed="false">
      <c r="A239" s="15" t="s">
        <v>71</v>
      </c>
      <c r="B239" s="15" t="s">
        <v>83</v>
      </c>
      <c r="C239" s="15" t="n">
        <v>39</v>
      </c>
      <c r="D239" s="15" t="s">
        <v>208</v>
      </c>
      <c r="E239" s="15" t="n">
        <v>1527</v>
      </c>
      <c r="F239" s="15" t="s">
        <v>362</v>
      </c>
      <c r="G239" s="15" t="s">
        <v>646</v>
      </c>
      <c r="H239" s="15" t="s">
        <v>647</v>
      </c>
      <c r="I239" s="15" t="s">
        <v>648</v>
      </c>
      <c r="J239" s="15" t="s">
        <v>176</v>
      </c>
      <c r="K239" s="35" t="n">
        <v>15.98</v>
      </c>
      <c r="L239" s="35" t="n">
        <v>19.99</v>
      </c>
      <c r="M239" s="23" t="n">
        <f aca="false">IF(AND(ISNUMBER(L239),ISNUMBER(K239),K239&gt;0),L239/K239-1,"")</f>
        <v>0.250938673341677</v>
      </c>
      <c r="N239" s="36" t="str">
        <f aca="false">IF(M239="","No List Price",IF(M239&lt;=0,"At/below price",IF(M239&lt;=0.12,"&lt;=12% (STR zone)",IF(M239&lt;=0.25,"12-25%","&gt;25% (likely ignored)"))))</f>
        <v>&gt;25% (likely ignored)</v>
      </c>
      <c r="O239" s="15" t="s">
        <v>311</v>
      </c>
      <c r="P239" s="35" t="n">
        <v>38.6576923076923</v>
      </c>
      <c r="Q239" s="22" t="n">
        <f aca="false">IF(AND(ISNUMBER(K239),ISNUMBER(P239),N(P239)&gt;0),K239/P239-1,"")</f>
        <v>-0.586628196199383</v>
      </c>
      <c r="R239" s="15" t="s">
        <v>312</v>
      </c>
      <c r="S239" s="37" t="n">
        <v>4306</v>
      </c>
      <c r="T239" s="37" t="n">
        <v>208</v>
      </c>
      <c r="U239" s="38" t="n">
        <f aca="false">IF(AND(ISNUMBER(K239),ISNUMBER(T239)),K239*T239*52/12,"")</f>
        <v>14403.3066666667</v>
      </c>
      <c r="V239" s="15" t="n">
        <v>4.4</v>
      </c>
      <c r="W239" s="37" t="n">
        <v>1858</v>
      </c>
      <c r="X239" s="39" t="n">
        <v>46307</v>
      </c>
      <c r="Y239" s="15" t="n">
        <v>107</v>
      </c>
      <c r="Z239" s="40" t="n">
        <v>45307</v>
      </c>
      <c r="AA239" s="41" t="n">
        <f aca="false">IF(ISNUMBER(Z239),(DATE(2026,10,13)-Z239)/365,"")</f>
        <v>2.74246575342466</v>
      </c>
      <c r="AB239" s="37" t="n">
        <v>8125</v>
      </c>
      <c r="AC239" s="15" t="s">
        <v>313</v>
      </c>
      <c r="AD239" s="15" t="n">
        <v>2</v>
      </c>
      <c r="AE239" s="15" t="s">
        <v>331</v>
      </c>
      <c r="AF239" s="42" t="n">
        <v>0</v>
      </c>
      <c r="AG239" s="42" t="n">
        <v>0</v>
      </c>
      <c r="AH239" s="15" t="n">
        <v>403</v>
      </c>
      <c r="AI239" s="37" t="n">
        <v>179643</v>
      </c>
      <c r="AJ239" s="37" t="n">
        <v>2252</v>
      </c>
      <c r="AK239" s="15" t="s">
        <v>326</v>
      </c>
      <c r="AL239" s="43" t="n">
        <v>153.3</v>
      </c>
      <c r="AM239" s="43" t="n">
        <v>171.5</v>
      </c>
      <c r="AN239" s="25" t="n">
        <f aca="false">IF(AND(ISNUMBER(AM239),ISNUMBER(AL239),AL239&gt;=5),AM239/AL239,"")</f>
        <v>1.11872146118721</v>
      </c>
      <c r="AO239" s="43" t="n">
        <v>58</v>
      </c>
      <c r="AP239" s="43" t="n">
        <v>91.2</v>
      </c>
      <c r="AQ239" s="25" t="n">
        <f aca="false">IF(AND(ISNUMBER(AP239),ISNUMBER(AO239),AO239&gt;=5),AP239/AO239,"")</f>
        <v>1.57241379310345</v>
      </c>
      <c r="AR239" s="43" t="n">
        <v>164.5</v>
      </c>
      <c r="AS239" s="43" t="n">
        <v>171.2</v>
      </c>
      <c r="AT239" s="22" t="n">
        <f aca="false">IF(AND(ISNUMBER(AS239),ISNUMBER(AR239),AR239&gt;0),AS239/AR239-1,"")</f>
        <v>0.0407294832826748</v>
      </c>
      <c r="AU239" s="44"/>
      <c r="AV239" s="44"/>
      <c r="AW239" s="44"/>
      <c r="AX239" s="44"/>
      <c r="AY239" s="44"/>
      <c r="AZ239" s="45"/>
      <c r="BA239" s="45"/>
      <c r="BB239" s="46"/>
      <c r="BC239" s="46"/>
      <c r="BD239" s="23" t="str">
        <f aca="false">IF(AND(ISNUMBER(BB239),ISNUMBER(BC239),BB239&gt;0),1-BC239/BB239,"")</f>
        <v/>
      </c>
      <c r="BE239" s="47"/>
      <c r="BF239" s="48"/>
      <c r="BG239" s="48"/>
      <c r="BH239" s="27" t="str">
        <f aca="false">IF(AND(ISNUMBER(BF239),ISNUMBER(BG239),BG239&gt;0),BF239/BG239,"")</f>
        <v/>
      </c>
      <c r="BI239" s="48"/>
      <c r="BJ239" s="44"/>
      <c r="BK239" s="46"/>
      <c r="BL239" s="46"/>
      <c r="BM239" s="36" t="str">
        <f aca="false">IF(ISNUMBER(Q239),IF(Q239&lt;0,"YES","no"),"")</f>
        <v>YES</v>
      </c>
      <c r="BN239" s="36" t="str">
        <f aca="false">IFERROR(IF(AND(ISNUMBER(K239),ISNUMBER(INDEX('Lift Inputs'!$H:$H,MATCH(C239,'Lift Inputs'!$C:$C,0)))),IF(K239&lt;INDEX('Lift Inputs'!$H:$H,MATCH(C239,'Lift Inputs'!$C:$C,0)),"YES","no"),""),"")</f>
        <v/>
      </c>
      <c r="BO239" s="44"/>
    </row>
    <row r="240" customFormat="false" ht="15" hidden="false" customHeight="false" outlineLevel="0" collapsed="false">
      <c r="A240" s="15" t="s">
        <v>71</v>
      </c>
      <c r="B240" s="15" t="s">
        <v>83</v>
      </c>
      <c r="C240" s="15" t="n">
        <v>39</v>
      </c>
      <c r="D240" s="15" t="s">
        <v>208</v>
      </c>
      <c r="E240" s="15" t="n">
        <v>1528</v>
      </c>
      <c r="F240" s="15" t="s">
        <v>570</v>
      </c>
      <c r="G240" s="15" t="s">
        <v>571</v>
      </c>
      <c r="H240" s="15" t="s">
        <v>572</v>
      </c>
      <c r="I240" s="15" t="s">
        <v>573</v>
      </c>
      <c r="J240" s="15" t="s">
        <v>177</v>
      </c>
      <c r="K240" s="35" t="n">
        <v>22.99</v>
      </c>
      <c r="L240" s="35"/>
      <c r="M240" s="23" t="str">
        <f aca="false">IF(AND(ISNUMBER(L240),ISNUMBER(K240),K240&gt;0),L240/K240-1,"")</f>
        <v/>
      </c>
      <c r="N240" s="36" t="str">
        <f aca="false">IF(M240="","No List Price",IF(M240&lt;=0,"At/below price",IF(M240&lt;=0.12,"&lt;=12% (STR zone)",IF(M240&lt;=0.25,"12-25%","&gt;25% (likely ignored)"))))</f>
        <v>No List Price</v>
      </c>
      <c r="O240" s="15" t="s">
        <v>311</v>
      </c>
      <c r="P240" s="35" t="n">
        <v>38.6576923076923</v>
      </c>
      <c r="Q240" s="22" t="n">
        <f aca="false">IF(AND(ISNUMBER(K240),ISNUMBER(P240),N(P240)&gt;0),K240/P240-1,"")</f>
        <v>-0.405293005671078</v>
      </c>
      <c r="R240" s="15" t="s">
        <v>312</v>
      </c>
      <c r="S240" s="37" t="n">
        <v>4671</v>
      </c>
      <c r="T240" s="37" t="n">
        <v>208</v>
      </c>
      <c r="U240" s="38" t="n">
        <f aca="false">IF(AND(ISNUMBER(K240),ISNUMBER(T240)),K240*T240*52/12,"")</f>
        <v>20721.6533333333</v>
      </c>
      <c r="V240" s="15" t="n">
        <v>4.3</v>
      </c>
      <c r="W240" s="37" t="n">
        <v>5837</v>
      </c>
      <c r="X240" s="39" t="n">
        <v>46307</v>
      </c>
      <c r="Y240" s="15" t="n">
        <v>154</v>
      </c>
      <c r="Z240" s="40" t="n">
        <v>43803</v>
      </c>
      <c r="AA240" s="41" t="n">
        <f aca="false">IF(ISNUMBER(Z240),(DATE(2026,10,13)-Z240)/365,"")</f>
        <v>6.86301369863014</v>
      </c>
      <c r="AB240" s="37" t="n">
        <v>9242</v>
      </c>
      <c r="AC240" s="15" t="s">
        <v>313</v>
      </c>
      <c r="AD240" s="15" t="n">
        <v>1</v>
      </c>
      <c r="AE240" s="15" t="s">
        <v>331</v>
      </c>
      <c r="AF240" s="42" t="n">
        <v>0</v>
      </c>
      <c r="AG240" s="42" t="n">
        <v>0</v>
      </c>
      <c r="AH240" s="15" t="n">
        <v>334</v>
      </c>
      <c r="AI240" s="37" t="n">
        <v>163454</v>
      </c>
      <c r="AJ240" s="37" t="n">
        <v>1240</v>
      </c>
      <c r="AK240" s="15" t="s">
        <v>326</v>
      </c>
      <c r="AL240" s="43" t="n">
        <v>43.5</v>
      </c>
      <c r="AM240" s="43" t="n">
        <v>18.2</v>
      </c>
      <c r="AN240" s="25" t="n">
        <f aca="false">IF(AND(ISNUMBER(AM240),ISNUMBER(AL240),AL240&gt;=5),AM240/AL240,"")</f>
        <v>0.418390804597701</v>
      </c>
      <c r="AO240" s="43" t="n">
        <v>91.2</v>
      </c>
      <c r="AP240" s="43" t="n">
        <v>70</v>
      </c>
      <c r="AQ240" s="25" t="n">
        <f aca="false">IF(AND(ISNUMBER(AP240),ISNUMBER(AO240),AO240&gt;=5),AP240/AO240,"")</f>
        <v>0.767543859649123</v>
      </c>
      <c r="AR240" s="43" t="n">
        <v>57.6</v>
      </c>
      <c r="AS240" s="43" t="n">
        <v>162.2</v>
      </c>
      <c r="AT240" s="22" t="n">
        <f aca="false">IF(AND(ISNUMBER(AS240),ISNUMBER(AR240),AR240&gt;0),AS240/AR240-1,"")</f>
        <v>1.81597222222222</v>
      </c>
      <c r="AU240" s="44"/>
      <c r="AV240" s="44"/>
      <c r="AW240" s="44"/>
      <c r="AX240" s="44"/>
      <c r="AY240" s="44"/>
      <c r="AZ240" s="45"/>
      <c r="BA240" s="45"/>
      <c r="BB240" s="46"/>
      <c r="BC240" s="46"/>
      <c r="BD240" s="23" t="str">
        <f aca="false">IF(AND(ISNUMBER(BB240),ISNUMBER(BC240),BB240&gt;0),1-BC240/BB240,"")</f>
        <v/>
      </c>
      <c r="BE240" s="47"/>
      <c r="BF240" s="48"/>
      <c r="BG240" s="48"/>
      <c r="BH240" s="27" t="str">
        <f aca="false">IF(AND(ISNUMBER(BF240),ISNUMBER(BG240),BG240&gt;0),BF240/BG240,"")</f>
        <v/>
      </c>
      <c r="BI240" s="48"/>
      <c r="BJ240" s="44"/>
      <c r="BK240" s="46"/>
      <c r="BL240" s="46"/>
      <c r="BM240" s="36" t="str">
        <f aca="false">IF(ISNUMBER(Q240),IF(Q240&lt;0,"YES","no"),"")</f>
        <v>YES</v>
      </c>
      <c r="BN240" s="36" t="str">
        <f aca="false">IFERROR(IF(AND(ISNUMBER(K240),ISNUMBER(INDEX('Lift Inputs'!$H:$H,MATCH(C240,'Lift Inputs'!$C:$C,0)))),IF(K240&lt;INDEX('Lift Inputs'!$H:$H,MATCH(C240,'Lift Inputs'!$C:$C,0)),"YES","no"),""),"")</f>
        <v/>
      </c>
      <c r="BO240" s="44"/>
    </row>
    <row r="241" customFormat="false" ht="15" hidden="false" customHeight="false" outlineLevel="0" collapsed="false">
      <c r="A241" s="15" t="s">
        <v>71</v>
      </c>
      <c r="B241" s="15" t="s">
        <v>83</v>
      </c>
      <c r="C241" s="15" t="n">
        <v>39</v>
      </c>
      <c r="D241" s="15" t="s">
        <v>208</v>
      </c>
      <c r="E241" s="15" t="n">
        <v>146</v>
      </c>
      <c r="F241" s="15" t="s">
        <v>307</v>
      </c>
      <c r="G241" s="15" t="s">
        <v>617</v>
      </c>
      <c r="H241" s="15" t="s">
        <v>618</v>
      </c>
      <c r="I241" s="15" t="s">
        <v>577</v>
      </c>
      <c r="J241" s="15" t="s">
        <v>177</v>
      </c>
      <c r="K241" s="35" t="n">
        <v>19.99</v>
      </c>
      <c r="L241" s="35"/>
      <c r="M241" s="23" t="str">
        <f aca="false">IF(AND(ISNUMBER(L241),ISNUMBER(K241),K241&gt;0),L241/K241-1,"")</f>
        <v/>
      </c>
      <c r="N241" s="36" t="str">
        <f aca="false">IF(M241="","No List Price",IF(M241&lt;=0,"At/below price",IF(M241&lt;=0.12,"&lt;=12% (STR zone)",IF(M241&lt;=0.25,"12-25%","&gt;25% (likely ignored)"))))</f>
        <v>No List Price</v>
      </c>
      <c r="O241" s="15"/>
      <c r="P241" s="35" t="n">
        <v>38.6576923076923</v>
      </c>
      <c r="Q241" s="22" t="n">
        <f aca="false">IF(AND(ISNUMBER(K241),ISNUMBER(P241),N(P241)&gt;0),K241/P241-1,"")</f>
        <v>-0.482897224156801</v>
      </c>
      <c r="R241" s="15" t="s">
        <v>353</v>
      </c>
      <c r="S241" s="37" t="n">
        <v>22342</v>
      </c>
      <c r="T241" s="37" t="n">
        <v>92</v>
      </c>
      <c r="U241" s="38" t="n">
        <f aca="false">IF(AND(ISNUMBER(K241),ISNUMBER(T241)),K241*T241*52/12,"")</f>
        <v>7969.34666666667</v>
      </c>
      <c r="V241" s="15" t="n">
        <v>4.3</v>
      </c>
      <c r="W241" s="37" t="n">
        <v>2745</v>
      </c>
      <c r="X241" s="39" t="n">
        <v>46307</v>
      </c>
      <c r="Y241" s="15"/>
      <c r="Z241" s="40"/>
      <c r="AA241" s="41" t="str">
        <f aca="false">IF(ISNUMBER(Z241),(DATE(2026,10,13)-Z241)/365,"")</f>
        <v/>
      </c>
      <c r="AB241" s="37"/>
      <c r="AC241" s="15"/>
      <c r="AD241" s="15"/>
      <c r="AE241" s="15"/>
      <c r="AF241" s="42"/>
      <c r="AG241" s="42"/>
      <c r="AH241" s="15"/>
      <c r="AI241" s="37" t="n">
        <v>89691</v>
      </c>
      <c r="AJ241" s="37" t="n">
        <v>1094</v>
      </c>
      <c r="AK241" s="15" t="s">
        <v>315</v>
      </c>
      <c r="AL241" s="43" t="n">
        <v>20.8</v>
      </c>
      <c r="AM241" s="43" t="n">
        <v>31.8</v>
      </c>
      <c r="AN241" s="25" t="n">
        <f aca="false">IF(AND(ISNUMBER(AM241),ISNUMBER(AL241),AL241&gt;=5),AM241/AL241,"")</f>
        <v>1.52884615384615</v>
      </c>
      <c r="AO241" s="43" t="n">
        <v>20.4</v>
      </c>
      <c r="AP241" s="43" t="n">
        <v>17.8</v>
      </c>
      <c r="AQ241" s="25" t="n">
        <f aca="false">IF(AND(ISNUMBER(AP241),ISNUMBER(AO241),AO241&gt;=5),AP241/AO241,"")</f>
        <v>0.872549019607843</v>
      </c>
      <c r="AR241" s="43" t="n">
        <v>24.4</v>
      </c>
      <c r="AS241" s="43" t="n">
        <v>28.2</v>
      </c>
      <c r="AT241" s="22" t="n">
        <f aca="false">IF(AND(ISNUMBER(AS241),ISNUMBER(AR241),AR241&gt;0),AS241/AR241-1,"")</f>
        <v>0.155737704918033</v>
      </c>
      <c r="AU241" s="44"/>
      <c r="AV241" s="44"/>
      <c r="AW241" s="44"/>
      <c r="AX241" s="44"/>
      <c r="AY241" s="44"/>
      <c r="AZ241" s="45"/>
      <c r="BA241" s="45"/>
      <c r="BB241" s="46"/>
      <c r="BC241" s="46"/>
      <c r="BD241" s="23" t="str">
        <f aca="false">IF(AND(ISNUMBER(BB241),ISNUMBER(BC241),BB241&gt;0),1-BC241/BB241,"")</f>
        <v/>
      </c>
      <c r="BE241" s="47"/>
      <c r="BF241" s="48"/>
      <c r="BG241" s="48"/>
      <c r="BH241" s="27" t="str">
        <f aca="false">IF(AND(ISNUMBER(BF241),ISNUMBER(BG241),BG241&gt;0),BF241/BG241,"")</f>
        <v/>
      </c>
      <c r="BI241" s="48"/>
      <c r="BJ241" s="44"/>
      <c r="BK241" s="46"/>
      <c r="BL241" s="46"/>
      <c r="BM241" s="36" t="str">
        <f aca="false">IF(ISNUMBER(Q241),IF(Q241&lt;0,"YES","no"),"")</f>
        <v>YES</v>
      </c>
      <c r="BN241" s="36" t="str">
        <f aca="false">IFERROR(IF(AND(ISNUMBER(K241),ISNUMBER(INDEX('Lift Inputs'!$H:$H,MATCH(C241,'Lift Inputs'!$C:$C,0)))),IF(K241&lt;INDEX('Lift Inputs'!$H:$H,MATCH(C241,'Lift Inputs'!$C:$C,0)),"YES","no"),""),"")</f>
        <v/>
      </c>
      <c r="BO241" s="44"/>
    </row>
    <row r="242" customFormat="false" ht="15" hidden="false" customHeight="false" outlineLevel="0" collapsed="false">
      <c r="A242" s="15" t="s">
        <v>71</v>
      </c>
      <c r="B242" s="15" t="s">
        <v>83</v>
      </c>
      <c r="C242" s="15" t="n">
        <v>39</v>
      </c>
      <c r="D242" s="15" t="s">
        <v>208</v>
      </c>
      <c r="E242" s="15" t="n">
        <v>148</v>
      </c>
      <c r="F242" s="15" t="s">
        <v>584</v>
      </c>
      <c r="G242" s="15" t="s">
        <v>585</v>
      </c>
      <c r="H242" s="15" t="s">
        <v>586</v>
      </c>
      <c r="I242" s="15" t="s">
        <v>587</v>
      </c>
      <c r="J242" s="15" t="s">
        <v>177</v>
      </c>
      <c r="K242" s="35" t="n">
        <v>22.99</v>
      </c>
      <c r="L242" s="35"/>
      <c r="M242" s="23" t="str">
        <f aca="false">IF(AND(ISNUMBER(L242),ISNUMBER(K242),K242&gt;0),L242/K242-1,"")</f>
        <v/>
      </c>
      <c r="N242" s="36" t="str">
        <f aca="false">IF(M242="","No List Price",IF(M242&lt;=0,"At/below price",IF(M242&lt;=0.12,"&lt;=12% (STR zone)",IF(M242&lt;=0.25,"12-25%","&gt;25% (likely ignored)"))))</f>
        <v>No List Price</v>
      </c>
      <c r="O242" s="15" t="s">
        <v>311</v>
      </c>
      <c r="P242" s="35" t="n">
        <v>38.6576923076923</v>
      </c>
      <c r="Q242" s="22" t="n">
        <f aca="false">IF(AND(ISNUMBER(K242),ISNUMBER(P242),N(P242)&gt;0),K242/P242-1,"")</f>
        <v>-0.405293005671078</v>
      </c>
      <c r="R242" s="15" t="s">
        <v>312</v>
      </c>
      <c r="S242" s="37" t="n">
        <v>23154</v>
      </c>
      <c r="T242" s="37" t="n">
        <v>92</v>
      </c>
      <c r="U242" s="38" t="n">
        <f aca="false">IF(AND(ISNUMBER(K242),ISNUMBER(T242)),K242*T242*52/12,"")</f>
        <v>9165.34666666667</v>
      </c>
      <c r="V242" s="15" t="n">
        <v>4.4</v>
      </c>
      <c r="W242" s="37" t="n">
        <v>6981</v>
      </c>
      <c r="X242" s="39" t="n">
        <v>46307</v>
      </c>
      <c r="Y242" s="15" t="n">
        <v>96</v>
      </c>
      <c r="Z242" s="40" t="n">
        <v>44096</v>
      </c>
      <c r="AA242" s="41" t="n">
        <f aca="false">IF(ISNUMBER(Z242),(DATE(2026,10,13)-Z242)/365,"")</f>
        <v>6.06027397260274</v>
      </c>
      <c r="AB242" s="37" t="n">
        <v>2778</v>
      </c>
      <c r="AC242" s="15" t="s">
        <v>313</v>
      </c>
      <c r="AD242" s="15" t="n">
        <v>1</v>
      </c>
      <c r="AE242" s="15" t="s">
        <v>331</v>
      </c>
      <c r="AF242" s="42" t="n">
        <v>0</v>
      </c>
      <c r="AG242" s="42" t="n">
        <v>0</v>
      </c>
      <c r="AH242" s="15" t="n">
        <v>350</v>
      </c>
      <c r="AI242" s="37" t="n">
        <v>47722</v>
      </c>
      <c r="AJ242" s="37" t="n">
        <v>1085</v>
      </c>
      <c r="AK242" s="15" t="s">
        <v>315</v>
      </c>
      <c r="AL242" s="43" t="n">
        <v>100.2</v>
      </c>
      <c r="AM242" s="43" t="n">
        <v>103.8</v>
      </c>
      <c r="AN242" s="25" t="n">
        <f aca="false">IF(AND(ISNUMBER(AM242),ISNUMBER(AL242),AL242&gt;=5),AM242/AL242,"")</f>
        <v>1.03592814371257</v>
      </c>
      <c r="AO242" s="43" t="n">
        <v>7.2</v>
      </c>
      <c r="AP242" s="43" t="n">
        <v>4.5</v>
      </c>
      <c r="AQ242" s="25" t="n">
        <f aca="false">IF(AND(ISNUMBER(AP242),ISNUMBER(AO242),AO242&gt;=5),AP242/AO242,"")</f>
        <v>0.625</v>
      </c>
      <c r="AR242" s="43" t="n">
        <v>103.7</v>
      </c>
      <c r="AS242" s="43" t="n">
        <v>97.6</v>
      </c>
      <c r="AT242" s="22" t="n">
        <f aca="false">IF(AND(ISNUMBER(AS242),ISNUMBER(AR242),AR242&gt;0),AS242/AR242-1,"")</f>
        <v>-0.0588235294117648</v>
      </c>
      <c r="AU242" s="44"/>
      <c r="AV242" s="44"/>
      <c r="AW242" s="44"/>
      <c r="AX242" s="44"/>
      <c r="AY242" s="44"/>
      <c r="AZ242" s="45"/>
      <c r="BA242" s="45"/>
      <c r="BB242" s="46"/>
      <c r="BC242" s="46"/>
      <c r="BD242" s="23" t="str">
        <f aca="false">IF(AND(ISNUMBER(BB242),ISNUMBER(BC242),BB242&gt;0),1-BC242/BB242,"")</f>
        <v/>
      </c>
      <c r="BE242" s="47"/>
      <c r="BF242" s="48"/>
      <c r="BG242" s="48"/>
      <c r="BH242" s="27" t="str">
        <f aca="false">IF(AND(ISNUMBER(BF242),ISNUMBER(BG242),BG242&gt;0),BF242/BG242,"")</f>
        <v/>
      </c>
      <c r="BI242" s="48"/>
      <c r="BJ242" s="44"/>
      <c r="BK242" s="46"/>
      <c r="BL242" s="46"/>
      <c r="BM242" s="36" t="str">
        <f aca="false">IF(ISNUMBER(Q242),IF(Q242&lt;0,"YES","no"),"")</f>
        <v>YES</v>
      </c>
      <c r="BN242" s="36" t="str">
        <f aca="false">IFERROR(IF(AND(ISNUMBER(K242),ISNUMBER(INDEX('Lift Inputs'!$H:$H,MATCH(C242,'Lift Inputs'!$C:$C,0)))),IF(K242&lt;INDEX('Lift Inputs'!$H:$H,MATCH(C242,'Lift Inputs'!$C:$C,0)),"YES","no"),""),"")</f>
        <v/>
      </c>
      <c r="BO242" s="44"/>
    </row>
    <row r="243" customFormat="false" ht="15" hidden="false" customHeight="false" outlineLevel="0" collapsed="false">
      <c r="A243" s="15" t="s">
        <v>71</v>
      </c>
      <c r="B243" s="15" t="s">
        <v>83</v>
      </c>
      <c r="C243" s="15" t="n">
        <v>39</v>
      </c>
      <c r="D243" s="15" t="s">
        <v>208</v>
      </c>
      <c r="E243" s="15" t="n">
        <v>151</v>
      </c>
      <c r="F243" s="15" t="s">
        <v>639</v>
      </c>
      <c r="G243" s="15" t="s">
        <v>640</v>
      </c>
      <c r="H243" s="15" t="s">
        <v>641</v>
      </c>
      <c r="I243" s="15" t="s">
        <v>642</v>
      </c>
      <c r="J243" s="15" t="s">
        <v>177</v>
      </c>
      <c r="K243" s="35" t="n">
        <v>15.99</v>
      </c>
      <c r="L243" s="35"/>
      <c r="M243" s="23" t="str">
        <f aca="false">IF(AND(ISNUMBER(L243),ISNUMBER(K243),K243&gt;0),L243/K243-1,"")</f>
        <v/>
      </c>
      <c r="N243" s="36" t="str">
        <f aca="false">IF(M243="","No List Price",IF(M243&lt;=0,"At/below price",IF(M243&lt;=0.12,"&lt;=12% (STR zone)",IF(M243&lt;=0.25,"12-25%","&gt;25% (likely ignored)"))))</f>
        <v>No List Price</v>
      </c>
      <c r="O243" s="15" t="s">
        <v>311</v>
      </c>
      <c r="P243" s="35" t="n">
        <v>38.6576923076923</v>
      </c>
      <c r="Q243" s="22" t="n">
        <f aca="false">IF(AND(ISNUMBER(K243),ISNUMBER(P243),N(P243)&gt;0),K243/P243-1,"")</f>
        <v>-0.586369515471098</v>
      </c>
      <c r="R243" s="15" t="s">
        <v>312</v>
      </c>
      <c r="S243" s="37" t="n">
        <v>58723</v>
      </c>
      <c r="T243" s="37" t="n">
        <v>35</v>
      </c>
      <c r="U243" s="38" t="n">
        <f aca="false">IF(AND(ISNUMBER(K243),ISNUMBER(T243)),K243*T243*52/12,"")</f>
        <v>2425.15</v>
      </c>
      <c r="V243" s="15" t="n">
        <v>4.5</v>
      </c>
      <c r="W243" s="37" t="n">
        <v>968</v>
      </c>
      <c r="X243" s="39" t="n">
        <v>46307</v>
      </c>
      <c r="Y243" s="15" t="n">
        <v>47</v>
      </c>
      <c r="Z243" s="40" t="n">
        <v>45742</v>
      </c>
      <c r="AA243" s="41" t="n">
        <f aca="false">IF(ISNUMBER(Z243),(DATE(2026,10,13)-Z243)/365,"")</f>
        <v>1.55068493150685</v>
      </c>
      <c r="AB243" s="37" t="n">
        <v>335</v>
      </c>
      <c r="AC243" s="15" t="s">
        <v>313</v>
      </c>
      <c r="AD243" s="15" t="n">
        <v>1</v>
      </c>
      <c r="AE243" s="15" t="s">
        <v>331</v>
      </c>
      <c r="AF243" s="42" t="n">
        <v>0</v>
      </c>
      <c r="AG243" s="42" t="n">
        <v>0</v>
      </c>
      <c r="AH243" s="15" t="n">
        <v>210</v>
      </c>
      <c r="AI243" s="37" t="n">
        <v>26952</v>
      </c>
      <c r="AJ243" s="37" t="n">
        <v>504</v>
      </c>
      <c r="AK243" s="15" t="s">
        <v>326</v>
      </c>
      <c r="AL243" s="43" t="n">
        <v>116.8</v>
      </c>
      <c r="AM243" s="43" t="n">
        <v>124.2</v>
      </c>
      <c r="AN243" s="25" t="n">
        <f aca="false">IF(AND(ISNUMBER(AM243),ISNUMBER(AL243),AL243&gt;=5),AM243/AL243,"")</f>
        <v>1.06335616438356</v>
      </c>
      <c r="AO243" s="43" t="n">
        <v>2.1</v>
      </c>
      <c r="AP243" s="43" t="n">
        <v>2.5</v>
      </c>
      <c r="AQ243" s="25" t="str">
        <f aca="false">IF(AND(ISNUMBER(AP243),ISNUMBER(AO243),AO243&gt;=5),AP243/AO243,"")</f>
        <v/>
      </c>
      <c r="AR243" s="43" t="n">
        <v>117.1</v>
      </c>
      <c r="AS243" s="43" t="n">
        <v>98</v>
      </c>
      <c r="AT243" s="22" t="n">
        <f aca="false">IF(AND(ISNUMBER(AS243),ISNUMBER(AR243),AR243&gt;0),AS243/AR243-1,"")</f>
        <v>-0.163108454312553</v>
      </c>
      <c r="AU243" s="44"/>
      <c r="AV243" s="44"/>
      <c r="AW243" s="44"/>
      <c r="AX243" s="44"/>
      <c r="AY243" s="44"/>
      <c r="AZ243" s="45"/>
      <c r="BA243" s="45"/>
      <c r="BB243" s="46"/>
      <c r="BC243" s="46"/>
      <c r="BD243" s="23" t="str">
        <f aca="false">IF(AND(ISNUMBER(BB243),ISNUMBER(BC243),BB243&gt;0),1-BC243/BB243,"")</f>
        <v/>
      </c>
      <c r="BE243" s="47"/>
      <c r="BF243" s="48"/>
      <c r="BG243" s="48"/>
      <c r="BH243" s="27" t="str">
        <f aca="false">IF(AND(ISNUMBER(BF243),ISNUMBER(BG243),BG243&gt;0),BF243/BG243,"")</f>
        <v/>
      </c>
      <c r="BI243" s="48"/>
      <c r="BJ243" s="44"/>
      <c r="BK243" s="46"/>
      <c r="BL243" s="46"/>
      <c r="BM243" s="36" t="str">
        <f aca="false">IF(ISNUMBER(Q243),IF(Q243&lt;0,"YES","no"),"")</f>
        <v>YES</v>
      </c>
      <c r="BN243" s="36" t="str">
        <f aca="false">IFERROR(IF(AND(ISNUMBER(K243),ISNUMBER(INDEX('Lift Inputs'!$H:$H,MATCH(C243,'Lift Inputs'!$C:$C,0)))),IF(K243&lt;INDEX('Lift Inputs'!$H:$H,MATCH(C243,'Lift Inputs'!$C:$C,0)),"YES","no"),""),"")</f>
        <v/>
      </c>
      <c r="BO243" s="44"/>
    </row>
    <row r="244" customFormat="false" ht="15" hidden="false" customHeight="false" outlineLevel="0" collapsed="false">
      <c r="A244" s="15" t="s">
        <v>71</v>
      </c>
      <c r="B244" s="15" t="s">
        <v>83</v>
      </c>
      <c r="C244" s="15" t="n">
        <v>39</v>
      </c>
      <c r="D244" s="15" t="s">
        <v>208</v>
      </c>
      <c r="E244" s="15" t="n">
        <v>163</v>
      </c>
      <c r="F244" s="15" t="s">
        <v>601</v>
      </c>
      <c r="G244" s="15" t="s">
        <v>602</v>
      </c>
      <c r="H244" s="15" t="s">
        <v>603</v>
      </c>
      <c r="I244" s="15" t="s">
        <v>604</v>
      </c>
      <c r="J244" s="15" t="s">
        <v>177</v>
      </c>
      <c r="K244" s="35" t="n">
        <v>23.99</v>
      </c>
      <c r="L244" s="35"/>
      <c r="M244" s="23" t="str">
        <f aca="false">IF(AND(ISNUMBER(L244),ISNUMBER(K244),K244&gt;0),L244/K244-1,"")</f>
        <v/>
      </c>
      <c r="N244" s="36" t="str">
        <f aca="false">IF(M244="","No List Price",IF(M244&lt;=0,"At/below price",IF(M244&lt;=0.12,"&lt;=12% (STR zone)",IF(M244&lt;=0.25,"12-25%","&gt;25% (likely ignored)"))))</f>
        <v>No List Price</v>
      </c>
      <c r="O244" s="15" t="s">
        <v>311</v>
      </c>
      <c r="P244" s="35" t="n">
        <v>38.6576923076923</v>
      </c>
      <c r="Q244" s="22" t="n">
        <f aca="false">IF(AND(ISNUMBER(K244),ISNUMBER(P244),N(P244)&gt;0),K244/P244-1,"")</f>
        <v>-0.379424932842504</v>
      </c>
      <c r="R244" s="15" t="s">
        <v>312</v>
      </c>
      <c r="S244" s="37" t="n">
        <v>96002</v>
      </c>
      <c r="T244" s="37" t="n">
        <v>18</v>
      </c>
      <c r="U244" s="38" t="n">
        <f aca="false">IF(AND(ISNUMBER(K244),ISNUMBER(T244)),K244*T244*52/12,"")</f>
        <v>1871.22</v>
      </c>
      <c r="V244" s="15" t="n">
        <v>4.2</v>
      </c>
      <c r="W244" s="37" t="n">
        <v>361</v>
      </c>
      <c r="X244" s="39" t="n">
        <v>46307</v>
      </c>
      <c r="Y244" s="15" t="n">
        <v>73</v>
      </c>
      <c r="Z244" s="40" t="n">
        <v>45510</v>
      </c>
      <c r="AA244" s="41" t="n">
        <f aca="false">IF(ISNUMBER(Z244),(DATE(2026,10,13)-Z244)/365,"")</f>
        <v>2.18630136986301</v>
      </c>
      <c r="AB244" s="37" t="n">
        <v>2708</v>
      </c>
      <c r="AC244" s="15" t="s">
        <v>313</v>
      </c>
      <c r="AD244" s="15" t="n">
        <v>1</v>
      </c>
      <c r="AE244" s="15" t="s">
        <v>331</v>
      </c>
      <c r="AF244" s="42" t="n">
        <v>0</v>
      </c>
      <c r="AG244" s="42" t="n">
        <v>0</v>
      </c>
      <c r="AH244" s="15" t="n">
        <v>124</v>
      </c>
      <c r="AI244" s="37" t="n">
        <v>23278</v>
      </c>
      <c r="AJ244" s="37" t="n">
        <v>634</v>
      </c>
      <c r="AK244" s="15" t="s">
        <v>315</v>
      </c>
      <c r="AL244" s="43" t="n">
        <v>35.2</v>
      </c>
      <c r="AM244" s="43" t="n">
        <v>19.5</v>
      </c>
      <c r="AN244" s="25" t="n">
        <f aca="false">IF(AND(ISNUMBER(AM244),ISNUMBER(AL244),AL244&gt;=5),AM244/AL244,"")</f>
        <v>0.553977272727273</v>
      </c>
      <c r="AO244" s="43" t="n">
        <v>3.7</v>
      </c>
      <c r="AP244" s="43" t="n">
        <v>2.5</v>
      </c>
      <c r="AQ244" s="25" t="str">
        <f aca="false">IF(AND(ISNUMBER(AP244),ISNUMBER(AO244),AO244&gt;=5),AP244/AO244,"")</f>
        <v/>
      </c>
      <c r="AR244" s="43" t="n">
        <v>59.9</v>
      </c>
      <c r="AS244" s="43" t="n">
        <v>33.4</v>
      </c>
      <c r="AT244" s="22" t="n">
        <f aca="false">IF(AND(ISNUMBER(AS244),ISNUMBER(AR244),AR244&gt;0),AS244/AR244-1,"")</f>
        <v>-0.442404006677796</v>
      </c>
      <c r="AU244" s="44"/>
      <c r="AV244" s="44"/>
      <c r="AW244" s="44"/>
      <c r="AX244" s="44"/>
      <c r="AY244" s="44"/>
      <c r="AZ244" s="45"/>
      <c r="BA244" s="45"/>
      <c r="BB244" s="46"/>
      <c r="BC244" s="46"/>
      <c r="BD244" s="23" t="str">
        <f aca="false">IF(AND(ISNUMBER(BB244),ISNUMBER(BC244),BB244&gt;0),1-BC244/BB244,"")</f>
        <v/>
      </c>
      <c r="BE244" s="47"/>
      <c r="BF244" s="48"/>
      <c r="BG244" s="48"/>
      <c r="BH244" s="27" t="str">
        <f aca="false">IF(AND(ISNUMBER(BF244),ISNUMBER(BG244),BG244&gt;0),BF244/BG244,"")</f>
        <v/>
      </c>
      <c r="BI244" s="48"/>
      <c r="BJ244" s="44"/>
      <c r="BK244" s="46"/>
      <c r="BL244" s="46"/>
      <c r="BM244" s="36" t="str">
        <f aca="false">IF(ISNUMBER(Q244),IF(Q244&lt;0,"YES","no"),"")</f>
        <v>YES</v>
      </c>
      <c r="BN244" s="36" t="str">
        <f aca="false">IFERROR(IF(AND(ISNUMBER(K244),ISNUMBER(INDEX('Lift Inputs'!$H:$H,MATCH(C244,'Lift Inputs'!$C:$C,0)))),IF(K244&lt;INDEX('Lift Inputs'!$H:$H,MATCH(C244,'Lift Inputs'!$C:$C,0)),"YES","no"),""),"")</f>
        <v/>
      </c>
      <c r="BO244" s="44"/>
    </row>
    <row r="245" customFormat="false" ht="15" hidden="false" customHeight="false" outlineLevel="0" collapsed="false">
      <c r="A245" s="15" t="s">
        <v>71</v>
      </c>
      <c r="B245" s="15" t="s">
        <v>83</v>
      </c>
      <c r="C245" s="15" t="n">
        <v>39</v>
      </c>
      <c r="D245" s="15" t="s">
        <v>208</v>
      </c>
      <c r="E245" s="15" t="n">
        <v>158</v>
      </c>
      <c r="F245" s="15" t="s">
        <v>630</v>
      </c>
      <c r="G245" s="15" t="s">
        <v>631</v>
      </c>
      <c r="H245" s="15" t="s">
        <v>632</v>
      </c>
      <c r="I245" s="15" t="s">
        <v>577</v>
      </c>
      <c r="J245" s="15" t="s">
        <v>177</v>
      </c>
      <c r="K245" s="35" t="n">
        <v>26.99</v>
      </c>
      <c r="L245" s="35"/>
      <c r="M245" s="23" t="str">
        <f aca="false">IF(AND(ISNUMBER(L245),ISNUMBER(K245),K245&gt;0),L245/K245-1,"")</f>
        <v/>
      </c>
      <c r="N245" s="36" t="str">
        <f aca="false">IF(M245="","No List Price",IF(M245&lt;=0,"At/below price",IF(M245&lt;=0.12,"&lt;=12% (STR zone)",IF(M245&lt;=0.25,"12-25%","&gt;25% (likely ignored)"))))</f>
        <v>No List Price</v>
      </c>
      <c r="O245" s="15"/>
      <c r="P245" s="35" t="n">
        <v>38.6576923076923</v>
      </c>
      <c r="Q245" s="22" t="n">
        <f aca="false">IF(AND(ISNUMBER(K245),ISNUMBER(P245),N(P245)&gt;0),K245/P245-1,"")</f>
        <v>-0.301820714356781</v>
      </c>
      <c r="R245" s="15" t="s">
        <v>353</v>
      </c>
      <c r="S245" s="37" t="n">
        <v>76753</v>
      </c>
      <c r="T245" s="37" t="n">
        <v>18</v>
      </c>
      <c r="U245" s="38" t="n">
        <f aca="false">IF(AND(ISNUMBER(K245),ISNUMBER(T245)),K245*T245*52/12,"")</f>
        <v>2105.22</v>
      </c>
      <c r="V245" s="15" t="n">
        <v>4.5</v>
      </c>
      <c r="W245" s="37" t="n">
        <v>127</v>
      </c>
      <c r="X245" s="39" t="n">
        <v>46307</v>
      </c>
      <c r="Y245" s="15"/>
      <c r="Z245" s="40"/>
      <c r="AA245" s="41" t="str">
        <f aca="false">IF(ISNUMBER(Z245),(DATE(2026,10,13)-Z245)/365,"")</f>
        <v/>
      </c>
      <c r="AB245" s="37"/>
      <c r="AC245" s="15"/>
      <c r="AD245" s="15"/>
      <c r="AE245" s="15"/>
      <c r="AF245" s="42"/>
      <c r="AG245" s="42"/>
      <c r="AH245" s="15"/>
      <c r="AI245" s="37" t="n">
        <v>35631</v>
      </c>
      <c r="AJ245" s="37" t="n">
        <v>592</v>
      </c>
      <c r="AK245" s="15" t="s">
        <v>315</v>
      </c>
      <c r="AL245" s="43" t="n">
        <v>14.2</v>
      </c>
      <c r="AM245" s="43" t="n">
        <v>9.8</v>
      </c>
      <c r="AN245" s="25" t="n">
        <f aca="false">IF(AND(ISNUMBER(AM245),ISNUMBER(AL245),AL245&gt;=5),AM245/AL245,"")</f>
        <v>0.690140845070423</v>
      </c>
      <c r="AO245" s="43" t="n">
        <v>1.9</v>
      </c>
      <c r="AP245" s="43" t="n">
        <v>1.5</v>
      </c>
      <c r="AQ245" s="25" t="str">
        <f aca="false">IF(AND(ISNUMBER(AP245),ISNUMBER(AO245),AO245&gt;=5),AP245/AO245,"")</f>
        <v/>
      </c>
      <c r="AR245" s="43" t="n">
        <v>21.1</v>
      </c>
      <c r="AS245" s="43" t="n">
        <v>25</v>
      </c>
      <c r="AT245" s="22" t="n">
        <f aca="false">IF(AND(ISNUMBER(AS245),ISNUMBER(AR245),AR245&gt;0),AS245/AR245-1,"")</f>
        <v>0.184834123222749</v>
      </c>
      <c r="AU245" s="44"/>
      <c r="AV245" s="44"/>
      <c r="AW245" s="44"/>
      <c r="AX245" s="44"/>
      <c r="AY245" s="44"/>
      <c r="AZ245" s="45"/>
      <c r="BA245" s="45"/>
      <c r="BB245" s="46"/>
      <c r="BC245" s="46"/>
      <c r="BD245" s="23" t="str">
        <f aca="false">IF(AND(ISNUMBER(BB245),ISNUMBER(BC245),BB245&gt;0),1-BC245/BB245,"")</f>
        <v/>
      </c>
      <c r="BE245" s="47"/>
      <c r="BF245" s="48"/>
      <c r="BG245" s="48"/>
      <c r="BH245" s="27" t="str">
        <f aca="false">IF(AND(ISNUMBER(BF245),ISNUMBER(BG245),BG245&gt;0),BF245/BG245,"")</f>
        <v/>
      </c>
      <c r="BI245" s="48"/>
      <c r="BJ245" s="44"/>
      <c r="BK245" s="46"/>
      <c r="BL245" s="46"/>
      <c r="BM245" s="36" t="str">
        <f aca="false">IF(ISNUMBER(Q245),IF(Q245&lt;0,"YES","no"),"")</f>
        <v>YES</v>
      </c>
      <c r="BN245" s="36" t="str">
        <f aca="false">IFERROR(IF(AND(ISNUMBER(K245),ISNUMBER(INDEX('Lift Inputs'!$H:$H,MATCH(C245,'Lift Inputs'!$C:$C,0)))),IF(K245&lt;INDEX('Lift Inputs'!$H:$H,MATCH(C245,'Lift Inputs'!$C:$C,0)),"YES","no"),""),"")</f>
        <v/>
      </c>
      <c r="BO245" s="44"/>
    </row>
    <row r="246" customFormat="false" ht="15" hidden="false" customHeight="false" outlineLevel="0" collapsed="false">
      <c r="A246" s="15" t="s">
        <v>71</v>
      </c>
      <c r="B246" s="15" t="s">
        <v>83</v>
      </c>
      <c r="C246" s="15" t="n">
        <v>39</v>
      </c>
      <c r="D246" s="15" t="s">
        <v>208</v>
      </c>
      <c r="E246" s="15" t="n">
        <v>149</v>
      </c>
      <c r="F246" s="15" t="s">
        <v>598</v>
      </c>
      <c r="G246" s="15" t="s">
        <v>605</v>
      </c>
      <c r="H246" s="15" t="s">
        <v>606</v>
      </c>
      <c r="I246" s="15" t="s">
        <v>577</v>
      </c>
      <c r="J246" s="15" t="s">
        <v>177</v>
      </c>
      <c r="K246" s="35" t="n">
        <v>21.99</v>
      </c>
      <c r="L246" s="35" t="n">
        <v>25.99</v>
      </c>
      <c r="M246" s="23" t="n">
        <f aca="false">IF(AND(ISNUMBER(L246),ISNUMBER(K246),K246&gt;0),L246/K246-1,"")</f>
        <v>0.181900864029104</v>
      </c>
      <c r="N246" s="36" t="str">
        <f aca="false">IF(M246="","No List Price",IF(M246&lt;=0,"At/below price",IF(M246&lt;=0.12,"&lt;=12% (STR zone)",IF(M246&lt;=0.25,"12-25%","&gt;25% (likely ignored)"))))</f>
        <v>12-25%</v>
      </c>
      <c r="O246" s="15"/>
      <c r="P246" s="35" t="n">
        <v>38.6576923076923</v>
      </c>
      <c r="Q246" s="22" t="n">
        <f aca="false">IF(AND(ISNUMBER(K246),ISNUMBER(P246),N(P246)&gt;0),K246/P246-1,"")</f>
        <v>-0.431161078499652</v>
      </c>
      <c r="R246" s="15" t="s">
        <v>353</v>
      </c>
      <c r="S246" s="37" t="n">
        <v>28165</v>
      </c>
      <c r="T246" s="37" t="n">
        <v>5</v>
      </c>
      <c r="U246" s="38" t="n">
        <f aca="false">IF(AND(ISNUMBER(K246),ISNUMBER(T246)),K246*T246*52/12,"")</f>
        <v>476.45</v>
      </c>
      <c r="V246" s="15" t="n">
        <v>4.4</v>
      </c>
      <c r="W246" s="37" t="n">
        <v>12125</v>
      </c>
      <c r="X246" s="39" t="n">
        <v>46307</v>
      </c>
      <c r="Y246" s="15"/>
      <c r="Z246" s="40"/>
      <c r="AA246" s="41" t="str">
        <f aca="false">IF(ISNUMBER(Z246),(DATE(2026,10,13)-Z246)/365,"")</f>
        <v/>
      </c>
      <c r="AB246" s="37"/>
      <c r="AC246" s="15"/>
      <c r="AD246" s="15"/>
      <c r="AE246" s="15"/>
      <c r="AF246" s="42"/>
      <c r="AG246" s="42"/>
      <c r="AH246" s="15"/>
      <c r="AI246" s="37" t="n">
        <v>20002</v>
      </c>
      <c r="AJ246" s="37" t="n">
        <v>618</v>
      </c>
      <c r="AK246" s="15"/>
      <c r="AL246" s="43"/>
      <c r="AM246" s="43"/>
      <c r="AN246" s="25" t="str">
        <f aca="false">IF(AND(ISNUMBER(AM246),ISNUMBER(AL246),AL246&gt;=5),AM246/AL246,"")</f>
        <v/>
      </c>
      <c r="AO246" s="43"/>
      <c r="AP246" s="43"/>
      <c r="AQ246" s="25" t="str">
        <f aca="false">IF(AND(ISNUMBER(AP246),ISNUMBER(AO246),AO246&gt;=5),AP246/AO246,"")</f>
        <v/>
      </c>
      <c r="AR246" s="43"/>
      <c r="AS246" s="43"/>
      <c r="AT246" s="22" t="str">
        <f aca="false">IF(AND(ISNUMBER(AS246),ISNUMBER(AR246),AR246&gt;0),AS246/AR246-1,"")</f>
        <v/>
      </c>
      <c r="AU246" s="44"/>
      <c r="AV246" s="44"/>
      <c r="AW246" s="44"/>
      <c r="AX246" s="44"/>
      <c r="AY246" s="44"/>
      <c r="AZ246" s="45"/>
      <c r="BA246" s="45"/>
      <c r="BB246" s="46"/>
      <c r="BC246" s="46"/>
      <c r="BD246" s="23" t="str">
        <f aca="false">IF(AND(ISNUMBER(BB246),ISNUMBER(BC246),BB246&gt;0),1-BC246/BB246,"")</f>
        <v/>
      </c>
      <c r="BE246" s="47"/>
      <c r="BF246" s="48"/>
      <c r="BG246" s="48"/>
      <c r="BH246" s="27" t="str">
        <f aca="false">IF(AND(ISNUMBER(BF246),ISNUMBER(BG246),BG246&gt;0),BF246/BG246,"")</f>
        <v/>
      </c>
      <c r="BI246" s="48"/>
      <c r="BJ246" s="44"/>
      <c r="BK246" s="46"/>
      <c r="BL246" s="46"/>
      <c r="BM246" s="36" t="str">
        <f aca="false">IF(ISNUMBER(Q246),IF(Q246&lt;0,"YES","no"),"")</f>
        <v>YES</v>
      </c>
      <c r="BN246" s="36" t="str">
        <f aca="false">IFERROR(IF(AND(ISNUMBER(K246),ISNUMBER(INDEX('Lift Inputs'!$H:$H,MATCH(C246,'Lift Inputs'!$C:$C,0)))),IF(K246&lt;INDEX('Lift Inputs'!$H:$H,MATCH(C246,'Lift Inputs'!$C:$C,0)),"YES","no"),""),"")</f>
        <v/>
      </c>
      <c r="BO246" s="44"/>
    </row>
    <row r="247" customFormat="false" ht="15" hidden="false" customHeight="false" outlineLevel="0" collapsed="false">
      <c r="A247" s="15" t="s">
        <v>71</v>
      </c>
      <c r="B247" s="15" t="s">
        <v>83</v>
      </c>
      <c r="C247" s="15" t="n">
        <v>39</v>
      </c>
      <c r="D247" s="15" t="s">
        <v>208</v>
      </c>
      <c r="E247" s="15" t="n">
        <v>160</v>
      </c>
      <c r="F247" s="15"/>
      <c r="G247" s="15" t="s">
        <v>636</v>
      </c>
      <c r="H247" s="15" t="s">
        <v>637</v>
      </c>
      <c r="I247" s="15" t="s">
        <v>638</v>
      </c>
      <c r="J247" s="15" t="s">
        <v>177</v>
      </c>
      <c r="K247" s="35" t="n">
        <v>5.93</v>
      </c>
      <c r="L247" s="35"/>
      <c r="M247" s="23" t="str">
        <f aca="false">IF(AND(ISNUMBER(L247),ISNUMBER(K247),K247&gt;0),L247/K247-1,"")</f>
        <v/>
      </c>
      <c r="N247" s="36" t="str">
        <f aca="false">IF(M247="","No List Price",IF(M247&lt;=0,"At/below price",IF(M247&lt;=0.12,"&lt;=12% (STR zone)",IF(M247&lt;=0.25,"12-25%","&gt;25% (likely ignored)"))))</f>
        <v>No List Price</v>
      </c>
      <c r="O247" s="15" t="s">
        <v>311</v>
      </c>
      <c r="P247" s="35" t="n">
        <v>38.6576923076923</v>
      </c>
      <c r="Q247" s="22" t="n">
        <f aca="false">IF(AND(ISNUMBER(K247),ISNUMBER(P247),N(P247)&gt;0),K247/P247-1,"")</f>
        <v>-0.846602328126555</v>
      </c>
      <c r="R247" s="15" t="s">
        <v>312</v>
      </c>
      <c r="S247" s="37" t="n">
        <v>80060</v>
      </c>
      <c r="T247" s="37" t="n">
        <v>5</v>
      </c>
      <c r="U247" s="38" t="n">
        <f aca="false">IF(AND(ISNUMBER(K247),ISNUMBER(T247)),K247*T247*52/12,"")</f>
        <v>128.483333333333</v>
      </c>
      <c r="V247" s="15" t="n">
        <v>4.6</v>
      </c>
      <c r="W247" s="37" t="n">
        <v>46</v>
      </c>
      <c r="X247" s="39" t="n">
        <v>46307</v>
      </c>
      <c r="Y247" s="15"/>
      <c r="Z247" s="40"/>
      <c r="AA247" s="41" t="str">
        <f aca="false">IF(ISNUMBER(Z247),(DATE(2026,10,13)-Z247)/365,"")</f>
        <v/>
      </c>
      <c r="AB247" s="37"/>
      <c r="AC247" s="15"/>
      <c r="AD247" s="15"/>
      <c r="AE247" s="15"/>
      <c r="AF247" s="42"/>
      <c r="AG247" s="42"/>
      <c r="AH247" s="15"/>
      <c r="AI247" s="37" t="n">
        <v>41904</v>
      </c>
      <c r="AJ247" s="37" t="n">
        <v>827</v>
      </c>
      <c r="AK247" s="15"/>
      <c r="AL247" s="43"/>
      <c r="AM247" s="43"/>
      <c r="AN247" s="25" t="str">
        <f aca="false">IF(AND(ISNUMBER(AM247),ISNUMBER(AL247),AL247&gt;=5),AM247/AL247,"")</f>
        <v/>
      </c>
      <c r="AO247" s="43"/>
      <c r="AP247" s="43"/>
      <c r="AQ247" s="25" t="str">
        <f aca="false">IF(AND(ISNUMBER(AP247),ISNUMBER(AO247),AO247&gt;=5),AP247/AO247,"")</f>
        <v/>
      </c>
      <c r="AR247" s="43"/>
      <c r="AS247" s="43"/>
      <c r="AT247" s="22" t="str">
        <f aca="false">IF(AND(ISNUMBER(AS247),ISNUMBER(AR247),AR247&gt;0),AS247/AR247-1,"")</f>
        <v/>
      </c>
      <c r="AU247" s="44"/>
      <c r="AV247" s="44"/>
      <c r="AW247" s="44"/>
      <c r="AX247" s="44"/>
      <c r="AY247" s="44"/>
      <c r="AZ247" s="45"/>
      <c r="BA247" s="45"/>
      <c r="BB247" s="46"/>
      <c r="BC247" s="46"/>
      <c r="BD247" s="23" t="str">
        <f aca="false">IF(AND(ISNUMBER(BB247),ISNUMBER(BC247),BB247&gt;0),1-BC247/BB247,"")</f>
        <v/>
      </c>
      <c r="BE247" s="47"/>
      <c r="BF247" s="48"/>
      <c r="BG247" s="48"/>
      <c r="BH247" s="27" t="str">
        <f aca="false">IF(AND(ISNUMBER(BF247),ISNUMBER(BG247),BG247&gt;0),BF247/BG247,"")</f>
        <v/>
      </c>
      <c r="BI247" s="48"/>
      <c r="BJ247" s="44"/>
      <c r="BK247" s="46"/>
      <c r="BL247" s="46"/>
      <c r="BM247" s="36" t="str">
        <f aca="false">IF(ISNUMBER(Q247),IF(Q247&lt;0,"YES","no"),"")</f>
        <v>YES</v>
      </c>
      <c r="BN247" s="36" t="str">
        <f aca="false">IFERROR(IF(AND(ISNUMBER(K247),ISNUMBER(INDEX('Lift Inputs'!$H:$H,MATCH(C247,'Lift Inputs'!$C:$C,0)))),IF(K247&lt;INDEX('Lift Inputs'!$H:$H,MATCH(C247,'Lift Inputs'!$C:$C,0)),"YES","no"),""),"")</f>
        <v/>
      </c>
      <c r="BO247" s="44"/>
    </row>
    <row r="248" customFormat="false" ht="15" hidden="false" customHeight="false" outlineLevel="0" collapsed="false">
      <c r="A248" s="15" t="s">
        <v>71</v>
      </c>
      <c r="B248" s="15" t="s">
        <v>83</v>
      </c>
      <c r="C248" s="15" t="n">
        <v>39</v>
      </c>
      <c r="D248" s="15" t="s">
        <v>208</v>
      </c>
      <c r="E248" s="15" t="n">
        <v>159</v>
      </c>
      <c r="F248" s="15" t="s">
        <v>574</v>
      </c>
      <c r="G248" s="15" t="s">
        <v>575</v>
      </c>
      <c r="H248" s="15" t="s">
        <v>576</v>
      </c>
      <c r="I248" s="15" t="s">
        <v>577</v>
      </c>
      <c r="J248" s="15" t="s">
        <v>178</v>
      </c>
      <c r="K248" s="35" t="n">
        <v>23.99</v>
      </c>
      <c r="L248" s="35"/>
      <c r="M248" s="23" t="str">
        <f aca="false">IF(AND(ISNUMBER(L248),ISNUMBER(K248),K248&gt;0),L248/K248-1,"")</f>
        <v/>
      </c>
      <c r="N248" s="36" t="str">
        <f aca="false">IF(M248="","No List Price",IF(M248&lt;=0,"At/below price",IF(M248&lt;=0.12,"&lt;=12% (STR zone)",IF(M248&lt;=0.25,"12-25%","&gt;25% (likely ignored)"))))</f>
        <v>No List Price</v>
      </c>
      <c r="O248" s="15"/>
      <c r="P248" s="35" t="n">
        <v>38.6576923076923</v>
      </c>
      <c r="Q248" s="22" t="n">
        <f aca="false">IF(AND(ISNUMBER(K248),ISNUMBER(P248),N(P248)&gt;0),K248/P248-1,"")</f>
        <v>-0.379424932842504</v>
      </c>
      <c r="R248" s="15" t="s">
        <v>353</v>
      </c>
      <c r="S248" s="37" t="n">
        <v>17918</v>
      </c>
      <c r="T248" s="37" t="n">
        <v>104</v>
      </c>
      <c r="U248" s="38" t="n">
        <f aca="false">IF(AND(ISNUMBER(K248),ISNUMBER(T248)),K248*T248*52/12,"")</f>
        <v>10811.4933333333</v>
      </c>
      <c r="V248" s="15" t="n">
        <v>4.4</v>
      </c>
      <c r="W248" s="37" t="n">
        <v>780</v>
      </c>
      <c r="X248" s="39" t="n">
        <v>46307</v>
      </c>
      <c r="Y248" s="15"/>
      <c r="Z248" s="40"/>
      <c r="AA248" s="41" t="str">
        <f aca="false">IF(ISNUMBER(Z248),(DATE(2026,10,13)-Z248)/365,"")</f>
        <v/>
      </c>
      <c r="AB248" s="37"/>
      <c r="AC248" s="15"/>
      <c r="AD248" s="15"/>
      <c r="AE248" s="15"/>
      <c r="AF248" s="42"/>
      <c r="AG248" s="42"/>
      <c r="AH248" s="15"/>
      <c r="AI248" s="37" t="n">
        <v>99046</v>
      </c>
      <c r="AJ248" s="37" t="n">
        <v>1117</v>
      </c>
      <c r="AK248" s="15" t="s">
        <v>315</v>
      </c>
      <c r="AL248" s="43" t="n">
        <v>1</v>
      </c>
      <c r="AM248" s="43" t="n">
        <v>1</v>
      </c>
      <c r="AN248" s="25" t="str">
        <f aca="false">IF(AND(ISNUMBER(AM248),ISNUMBER(AL248),AL248&gt;=5),AM248/AL248,"")</f>
        <v/>
      </c>
      <c r="AO248" s="43" t="n">
        <v>0</v>
      </c>
      <c r="AP248" s="43" t="n">
        <v>0</v>
      </c>
      <c r="AQ248" s="25" t="str">
        <f aca="false">IF(AND(ISNUMBER(AP248),ISNUMBER(AO248),AO248&gt;=5),AP248/AO248,"")</f>
        <v/>
      </c>
      <c r="AR248" s="43" t="n">
        <v>1.5</v>
      </c>
      <c r="AS248" s="43" t="n">
        <v>14</v>
      </c>
      <c r="AT248" s="22" t="n">
        <f aca="false">IF(AND(ISNUMBER(AS248),ISNUMBER(AR248),AR248&gt;0),AS248/AR248-1,"")</f>
        <v>8.33333333333333</v>
      </c>
      <c r="AU248" s="44"/>
      <c r="AV248" s="44"/>
      <c r="AW248" s="44"/>
      <c r="AX248" s="44"/>
      <c r="AY248" s="44"/>
      <c r="AZ248" s="45"/>
      <c r="BA248" s="45"/>
      <c r="BB248" s="46"/>
      <c r="BC248" s="46"/>
      <c r="BD248" s="23" t="str">
        <f aca="false">IF(AND(ISNUMBER(BB248),ISNUMBER(BC248),BB248&gt;0),1-BC248/BB248,"")</f>
        <v/>
      </c>
      <c r="BE248" s="47"/>
      <c r="BF248" s="48"/>
      <c r="BG248" s="48"/>
      <c r="BH248" s="27" t="str">
        <f aca="false">IF(AND(ISNUMBER(BF248),ISNUMBER(BG248),BG248&gt;0),BF248/BG248,"")</f>
        <v/>
      </c>
      <c r="BI248" s="48"/>
      <c r="BJ248" s="44"/>
      <c r="BK248" s="46"/>
      <c r="BL248" s="46"/>
      <c r="BM248" s="36" t="str">
        <f aca="false">IF(ISNUMBER(Q248),IF(Q248&lt;0,"YES","no"),"")</f>
        <v>YES</v>
      </c>
      <c r="BN248" s="36" t="str">
        <f aca="false">IFERROR(IF(AND(ISNUMBER(K248),ISNUMBER(INDEX('Lift Inputs'!$H:$H,MATCH(C248,'Lift Inputs'!$C:$C,0)))),IF(K248&lt;INDEX('Lift Inputs'!$H:$H,MATCH(C248,'Lift Inputs'!$C:$C,0)),"YES","no"),""),"")</f>
        <v/>
      </c>
      <c r="BO248" s="44"/>
    </row>
    <row r="249" customFormat="false" ht="15" hidden="false" customHeight="false" outlineLevel="0" collapsed="false">
      <c r="A249" s="15" t="s">
        <v>71</v>
      </c>
      <c r="B249" s="15" t="s">
        <v>83</v>
      </c>
      <c r="C249" s="15" t="n">
        <v>39</v>
      </c>
      <c r="D249" s="15" t="s">
        <v>208</v>
      </c>
      <c r="E249" s="15" t="n">
        <v>147</v>
      </c>
      <c r="F249" s="15" t="s">
        <v>613</v>
      </c>
      <c r="G249" s="15" t="s">
        <v>614</v>
      </c>
      <c r="H249" s="15" t="s">
        <v>615</v>
      </c>
      <c r="I249" s="15" t="s">
        <v>616</v>
      </c>
      <c r="J249" s="15" t="s">
        <v>178</v>
      </c>
      <c r="K249" s="35" t="n">
        <v>26.99</v>
      </c>
      <c r="L249" s="35"/>
      <c r="M249" s="23" t="str">
        <f aca="false">IF(AND(ISNUMBER(L249),ISNUMBER(K249),K249&gt;0),L249/K249-1,"")</f>
        <v/>
      </c>
      <c r="N249" s="36" t="str">
        <f aca="false">IF(M249="","No List Price",IF(M249&lt;=0,"At/below price",IF(M249&lt;=0.12,"&lt;=12% (STR zone)",IF(M249&lt;=0.25,"12-25%","&gt;25% (likely ignored)"))))</f>
        <v>No List Price</v>
      </c>
      <c r="O249" s="15" t="s">
        <v>311</v>
      </c>
      <c r="P249" s="35" t="n">
        <v>38.6576923076923</v>
      </c>
      <c r="Q249" s="22" t="n">
        <f aca="false">IF(AND(ISNUMBER(K249),ISNUMBER(P249),N(P249)&gt;0),K249/P249-1,"")</f>
        <v>-0.301820714356781</v>
      </c>
      <c r="R249" s="15" t="s">
        <v>312</v>
      </c>
      <c r="S249" s="37" t="n">
        <v>20031</v>
      </c>
      <c r="T249" s="37" t="n">
        <v>104</v>
      </c>
      <c r="U249" s="38" t="n">
        <f aca="false">IF(AND(ISNUMBER(K249),ISNUMBER(T249)),K249*T249*52/12,"")</f>
        <v>12163.4933333333</v>
      </c>
      <c r="V249" s="15" t="n">
        <v>4.4</v>
      </c>
      <c r="W249" s="37" t="n">
        <v>4031</v>
      </c>
      <c r="X249" s="39" t="n">
        <v>46307</v>
      </c>
      <c r="Y249" s="15" t="n">
        <v>47</v>
      </c>
      <c r="Z249" s="40" t="n">
        <v>44180</v>
      </c>
      <c r="AA249" s="41" t="n">
        <f aca="false">IF(ISNUMBER(Z249),(DATE(2026,10,13)-Z249)/365,"")</f>
        <v>5.83013698630137</v>
      </c>
      <c r="AB249" s="37" t="n">
        <v>3299</v>
      </c>
      <c r="AC249" s="15" t="s">
        <v>313</v>
      </c>
      <c r="AD249" s="15" t="n">
        <v>1</v>
      </c>
      <c r="AE249" s="15" t="s">
        <v>331</v>
      </c>
      <c r="AF249" s="42" t="n">
        <v>0</v>
      </c>
      <c r="AG249" s="42" t="n">
        <v>0</v>
      </c>
      <c r="AH249" s="15" t="n">
        <v>125</v>
      </c>
      <c r="AI249" s="37" t="n">
        <v>66544</v>
      </c>
      <c r="AJ249" s="37" t="n">
        <v>832</v>
      </c>
      <c r="AK249" s="15" t="s">
        <v>326</v>
      </c>
      <c r="AL249" s="43" t="n">
        <v>82.8</v>
      </c>
      <c r="AM249" s="43" t="n">
        <v>97</v>
      </c>
      <c r="AN249" s="25" t="n">
        <f aca="false">IF(AND(ISNUMBER(AM249),ISNUMBER(AL249),AL249&gt;=5),AM249/AL249,"")</f>
        <v>1.17149758454106</v>
      </c>
      <c r="AO249" s="43" t="n">
        <v>8.8</v>
      </c>
      <c r="AP249" s="43" t="n">
        <v>12.2</v>
      </c>
      <c r="AQ249" s="25" t="n">
        <f aca="false">IF(AND(ISNUMBER(AP249),ISNUMBER(AO249),AO249&gt;=5),AP249/AO249,"")</f>
        <v>1.38636363636364</v>
      </c>
      <c r="AR249" s="43" t="n">
        <v>82.4</v>
      </c>
      <c r="AS249" s="43" t="n">
        <v>132.5</v>
      </c>
      <c r="AT249" s="22" t="n">
        <f aca="false">IF(AND(ISNUMBER(AS249),ISNUMBER(AR249),AR249&gt;0),AS249/AR249-1,"")</f>
        <v>0.608009708737864</v>
      </c>
      <c r="AU249" s="44"/>
      <c r="AV249" s="44"/>
      <c r="AW249" s="44"/>
      <c r="AX249" s="44"/>
      <c r="AY249" s="44"/>
      <c r="AZ249" s="45"/>
      <c r="BA249" s="45"/>
      <c r="BB249" s="46"/>
      <c r="BC249" s="46"/>
      <c r="BD249" s="23" t="str">
        <f aca="false">IF(AND(ISNUMBER(BB249),ISNUMBER(BC249),BB249&gt;0),1-BC249/BB249,"")</f>
        <v/>
      </c>
      <c r="BE249" s="47"/>
      <c r="BF249" s="48"/>
      <c r="BG249" s="48"/>
      <c r="BH249" s="27" t="str">
        <f aca="false">IF(AND(ISNUMBER(BF249),ISNUMBER(BG249),BG249&gt;0),BF249/BG249,"")</f>
        <v/>
      </c>
      <c r="BI249" s="48"/>
      <c r="BJ249" s="44"/>
      <c r="BK249" s="46"/>
      <c r="BL249" s="46"/>
      <c r="BM249" s="36" t="str">
        <f aca="false">IF(ISNUMBER(Q249),IF(Q249&lt;0,"YES","no"),"")</f>
        <v>YES</v>
      </c>
      <c r="BN249" s="36" t="str">
        <f aca="false">IFERROR(IF(AND(ISNUMBER(K249),ISNUMBER(INDEX('Lift Inputs'!$H:$H,MATCH(C249,'Lift Inputs'!$C:$C,0)))),IF(K249&lt;INDEX('Lift Inputs'!$H:$H,MATCH(C249,'Lift Inputs'!$C:$C,0)),"YES","no"),""),"")</f>
        <v/>
      </c>
      <c r="BO249" s="44"/>
    </row>
    <row r="250" customFormat="false" ht="15" hidden="false" customHeight="false" outlineLevel="0" collapsed="false">
      <c r="A250" s="15" t="s">
        <v>71</v>
      </c>
      <c r="B250" s="15" t="s">
        <v>83</v>
      </c>
      <c r="C250" s="15" t="n">
        <v>39</v>
      </c>
      <c r="D250" s="15" t="s">
        <v>208</v>
      </c>
      <c r="E250" s="15" t="n">
        <v>1535</v>
      </c>
      <c r="F250" s="15" t="s">
        <v>578</v>
      </c>
      <c r="G250" s="15" t="s">
        <v>579</v>
      </c>
      <c r="H250" s="15" t="s">
        <v>580</v>
      </c>
      <c r="I250" s="15" t="s">
        <v>581</v>
      </c>
      <c r="J250" s="15" t="s">
        <v>178</v>
      </c>
      <c r="K250" s="35" t="n">
        <v>20.99</v>
      </c>
      <c r="L250" s="35"/>
      <c r="M250" s="23" t="str">
        <f aca="false">IF(AND(ISNUMBER(L250),ISNUMBER(K250),K250&gt;0),L250/K250-1,"")</f>
        <v/>
      </c>
      <c r="N250" s="36" t="str">
        <f aca="false">IF(M250="","No List Price",IF(M250&lt;=0,"At/below price",IF(M250&lt;=0.12,"&lt;=12% (STR zone)",IF(M250&lt;=0.25,"12-25%","&gt;25% (likely ignored)"))))</f>
        <v>No List Price</v>
      </c>
      <c r="O250" s="15" t="s">
        <v>311</v>
      </c>
      <c r="P250" s="35" t="n">
        <v>38.6576923076923</v>
      </c>
      <c r="Q250" s="22" t="n">
        <f aca="false">IF(AND(ISNUMBER(K250),ISNUMBER(P250),N(P250)&gt;0),K250/P250-1,"")</f>
        <v>-0.457029151328226</v>
      </c>
      <c r="R250" s="15" t="s">
        <v>312</v>
      </c>
      <c r="S250" s="37" t="n">
        <v>30991</v>
      </c>
      <c r="T250" s="37" t="n">
        <v>92</v>
      </c>
      <c r="U250" s="38" t="n">
        <f aca="false">IF(AND(ISNUMBER(K250),ISNUMBER(T250)),K250*T250*52/12,"")</f>
        <v>8368.01333333333</v>
      </c>
      <c r="V250" s="15" t="n">
        <v>4.4</v>
      </c>
      <c r="W250" s="37" t="n">
        <v>9828</v>
      </c>
      <c r="X250" s="39" t="n">
        <v>46307</v>
      </c>
      <c r="Y250" s="15" t="n">
        <v>146</v>
      </c>
      <c r="Z250" s="40" t="n">
        <v>43833</v>
      </c>
      <c r="AA250" s="41" t="n">
        <f aca="false">IF(ISNUMBER(Z250),(DATE(2026,10,13)-Z250)/365,"")</f>
        <v>6.78082191780822</v>
      </c>
      <c r="AB250" s="37" t="n">
        <v>10275</v>
      </c>
      <c r="AC250" s="15" t="s">
        <v>582</v>
      </c>
      <c r="AD250" s="15" t="n">
        <v>2</v>
      </c>
      <c r="AE250" s="15" t="s">
        <v>583</v>
      </c>
      <c r="AF250" s="42" t="n">
        <v>0</v>
      </c>
      <c r="AG250" s="42" t="n">
        <v>0</v>
      </c>
      <c r="AH250" s="15" t="n">
        <v>399</v>
      </c>
      <c r="AI250" s="37" t="n">
        <v>119531</v>
      </c>
      <c r="AJ250" s="37" t="n">
        <v>1524</v>
      </c>
      <c r="AK250" s="15" t="s">
        <v>326</v>
      </c>
      <c r="AL250" s="43" t="n">
        <v>190.1</v>
      </c>
      <c r="AM250" s="43" t="n">
        <v>144</v>
      </c>
      <c r="AN250" s="25" t="n">
        <f aca="false">IF(AND(ISNUMBER(AM250),ISNUMBER(AL250),AL250&gt;=5),AM250/AL250,"")</f>
        <v>0.757496054708048</v>
      </c>
      <c r="AO250" s="43" t="n">
        <v>12.7</v>
      </c>
      <c r="AP250" s="43" t="n">
        <v>28</v>
      </c>
      <c r="AQ250" s="25" t="n">
        <f aca="false">IF(AND(ISNUMBER(AP250),ISNUMBER(AO250),AO250&gt;=5),AP250/AO250,"")</f>
        <v>2.20472440944882</v>
      </c>
      <c r="AR250" s="43" t="n">
        <v>236.5</v>
      </c>
      <c r="AS250" s="43" t="n">
        <v>216.6</v>
      </c>
      <c r="AT250" s="22" t="n">
        <f aca="false">IF(AND(ISNUMBER(AS250),ISNUMBER(AR250),AR250&gt;0),AS250/AR250-1,"")</f>
        <v>-0.0841437632135307</v>
      </c>
      <c r="AU250" s="44"/>
      <c r="AV250" s="44"/>
      <c r="AW250" s="44"/>
      <c r="AX250" s="44"/>
      <c r="AY250" s="44"/>
      <c r="AZ250" s="45"/>
      <c r="BA250" s="45"/>
      <c r="BB250" s="46"/>
      <c r="BC250" s="46"/>
      <c r="BD250" s="23" t="str">
        <f aca="false">IF(AND(ISNUMBER(BB250),ISNUMBER(BC250),BB250&gt;0),1-BC250/BB250,"")</f>
        <v/>
      </c>
      <c r="BE250" s="47"/>
      <c r="BF250" s="48"/>
      <c r="BG250" s="48"/>
      <c r="BH250" s="27" t="str">
        <f aca="false">IF(AND(ISNUMBER(BF250),ISNUMBER(BG250),BG250&gt;0),BF250/BG250,"")</f>
        <v/>
      </c>
      <c r="BI250" s="48"/>
      <c r="BJ250" s="44"/>
      <c r="BK250" s="46"/>
      <c r="BL250" s="46"/>
      <c r="BM250" s="36" t="str">
        <f aca="false">IF(ISNUMBER(Q250),IF(Q250&lt;0,"YES","no"),"")</f>
        <v>YES</v>
      </c>
      <c r="BN250" s="36" t="str">
        <f aca="false">IFERROR(IF(AND(ISNUMBER(K250),ISNUMBER(INDEX('Lift Inputs'!$H:$H,MATCH(C250,'Lift Inputs'!$C:$C,0)))),IF(K250&lt;INDEX('Lift Inputs'!$H:$H,MATCH(C250,'Lift Inputs'!$C:$C,0)),"YES","no"),""),"")</f>
        <v/>
      </c>
      <c r="BO250" s="44"/>
    </row>
    <row r="251" customFormat="false" ht="15" hidden="false" customHeight="false" outlineLevel="0" collapsed="false">
      <c r="A251" s="15" t="s">
        <v>71</v>
      </c>
      <c r="B251" s="15" t="s">
        <v>83</v>
      </c>
      <c r="C251" s="15" t="n">
        <v>39</v>
      </c>
      <c r="D251" s="15" t="s">
        <v>208</v>
      </c>
      <c r="E251" s="15" t="n">
        <v>1550</v>
      </c>
      <c r="F251" s="15" t="s">
        <v>595</v>
      </c>
      <c r="G251" s="15" t="s">
        <v>649</v>
      </c>
      <c r="H251" s="15" t="s">
        <v>650</v>
      </c>
      <c r="I251" s="15" t="s">
        <v>651</v>
      </c>
      <c r="J251" s="15" t="s">
        <v>178</v>
      </c>
      <c r="K251" s="35" t="n">
        <v>18.99</v>
      </c>
      <c r="L251" s="35"/>
      <c r="M251" s="23" t="str">
        <f aca="false">IF(AND(ISNUMBER(L251),ISNUMBER(K251),K251&gt;0),L251/K251-1,"")</f>
        <v/>
      </c>
      <c r="N251" s="36" t="str">
        <f aca="false">IF(M251="","No List Price",IF(M251&lt;=0,"At/below price",IF(M251&lt;=0.12,"&lt;=12% (STR zone)",IF(M251&lt;=0.25,"12-25%","&gt;25% (likely ignored)"))))</f>
        <v>No List Price</v>
      </c>
      <c r="O251" s="15" t="s">
        <v>311</v>
      </c>
      <c r="P251" s="35" t="n">
        <v>38.6576923076923</v>
      </c>
      <c r="Q251" s="22" t="n">
        <f aca="false">IF(AND(ISNUMBER(K251),ISNUMBER(P251),N(P251)&gt;0),K251/P251-1,"")</f>
        <v>-0.508765296985375</v>
      </c>
      <c r="R251" s="15" t="s">
        <v>312</v>
      </c>
      <c r="S251" s="37" t="n">
        <v>49291</v>
      </c>
      <c r="T251" s="37" t="n">
        <v>92</v>
      </c>
      <c r="U251" s="38" t="n">
        <f aca="false">IF(AND(ISNUMBER(K251),ISNUMBER(T251)),K251*T251*52/12,"")</f>
        <v>7570.68</v>
      </c>
      <c r="V251" s="15" t="n">
        <v>4.2</v>
      </c>
      <c r="W251" s="37" t="n">
        <v>747</v>
      </c>
      <c r="X251" s="39" t="n">
        <v>46307</v>
      </c>
      <c r="Y251" s="15" t="n">
        <v>40</v>
      </c>
      <c r="Z251" s="40" t="n">
        <v>44979</v>
      </c>
      <c r="AA251" s="41" t="n">
        <f aca="false">IF(ISNUMBER(Z251),(DATE(2026,10,13)-Z251)/365,"")</f>
        <v>3.64109589041096</v>
      </c>
      <c r="AB251" s="37" t="n">
        <v>927</v>
      </c>
      <c r="AC251" s="15" t="s">
        <v>313</v>
      </c>
      <c r="AD251" s="15" t="n">
        <v>1</v>
      </c>
      <c r="AE251" s="15" t="s">
        <v>331</v>
      </c>
      <c r="AF251" s="42" t="n">
        <v>0</v>
      </c>
      <c r="AG251" s="42" t="n">
        <v>0</v>
      </c>
      <c r="AH251" s="15" t="n">
        <v>32</v>
      </c>
      <c r="AI251" s="37" t="n">
        <v>25451</v>
      </c>
      <c r="AJ251" s="37" t="n">
        <v>677</v>
      </c>
      <c r="AK251" s="15" t="s">
        <v>326</v>
      </c>
      <c r="AL251" s="43" t="n">
        <v>80.5</v>
      </c>
      <c r="AM251" s="43" t="n">
        <v>92.2</v>
      </c>
      <c r="AN251" s="25" t="n">
        <f aca="false">IF(AND(ISNUMBER(AM251),ISNUMBER(AL251),AL251&gt;=5),AM251/AL251,"")</f>
        <v>1.14534161490683</v>
      </c>
      <c r="AO251" s="43" t="n">
        <v>0.8</v>
      </c>
      <c r="AP251" s="43" t="n">
        <v>1</v>
      </c>
      <c r="AQ251" s="25" t="str">
        <f aca="false">IF(AND(ISNUMBER(AP251),ISNUMBER(AO251),AO251&gt;=5),AP251/AO251,"")</f>
        <v/>
      </c>
      <c r="AR251" s="43" t="n">
        <v>80</v>
      </c>
      <c r="AS251" s="43" t="n">
        <v>88.9</v>
      </c>
      <c r="AT251" s="22" t="n">
        <f aca="false">IF(AND(ISNUMBER(AS251),ISNUMBER(AR251),AR251&gt;0),AS251/AR251-1,"")</f>
        <v>0.11125</v>
      </c>
      <c r="AU251" s="44"/>
      <c r="AV251" s="44"/>
      <c r="AW251" s="44"/>
      <c r="AX251" s="44"/>
      <c r="AY251" s="44"/>
      <c r="AZ251" s="45"/>
      <c r="BA251" s="45"/>
      <c r="BB251" s="46"/>
      <c r="BC251" s="46"/>
      <c r="BD251" s="23" t="str">
        <f aca="false">IF(AND(ISNUMBER(BB251),ISNUMBER(BC251),BB251&gt;0),1-BC251/BB251,"")</f>
        <v/>
      </c>
      <c r="BE251" s="47"/>
      <c r="BF251" s="48"/>
      <c r="BG251" s="48"/>
      <c r="BH251" s="27" t="str">
        <f aca="false">IF(AND(ISNUMBER(BF251),ISNUMBER(BG251),BG251&gt;0),BF251/BG251,"")</f>
        <v/>
      </c>
      <c r="BI251" s="48"/>
      <c r="BJ251" s="44"/>
      <c r="BK251" s="46"/>
      <c r="BL251" s="46"/>
      <c r="BM251" s="36" t="str">
        <f aca="false">IF(ISNUMBER(Q251),IF(Q251&lt;0,"YES","no"),"")</f>
        <v>YES</v>
      </c>
      <c r="BN251" s="36" t="str">
        <f aca="false">IFERROR(IF(AND(ISNUMBER(K251),ISNUMBER(INDEX('Lift Inputs'!$H:$H,MATCH(C251,'Lift Inputs'!$C:$C,0)))),IF(K251&lt;INDEX('Lift Inputs'!$H:$H,MATCH(C251,'Lift Inputs'!$C:$C,0)),"YES","no"),""),"")</f>
        <v/>
      </c>
      <c r="BO251" s="44"/>
    </row>
    <row r="252" customFormat="false" ht="15" hidden="false" customHeight="false" outlineLevel="0" collapsed="false">
      <c r="A252" s="15" t="s">
        <v>71</v>
      </c>
      <c r="B252" s="15" t="s">
        <v>83</v>
      </c>
      <c r="C252" s="15" t="n">
        <v>39</v>
      </c>
      <c r="D252" s="15" t="s">
        <v>208</v>
      </c>
      <c r="E252" s="15" t="n">
        <v>625</v>
      </c>
      <c r="F252" s="15" t="s">
        <v>619</v>
      </c>
      <c r="G252" s="15" t="s">
        <v>620</v>
      </c>
      <c r="H252" s="15" t="s">
        <v>621</v>
      </c>
      <c r="I252" s="15" t="s">
        <v>622</v>
      </c>
      <c r="J252" s="15" t="s">
        <v>178</v>
      </c>
      <c r="K252" s="35" t="n">
        <v>21.99</v>
      </c>
      <c r="L252" s="35"/>
      <c r="M252" s="23" t="str">
        <f aca="false">IF(AND(ISNUMBER(L252),ISNUMBER(K252),K252&gt;0),L252/K252-1,"")</f>
        <v/>
      </c>
      <c r="N252" s="36" t="str">
        <f aca="false">IF(M252="","No List Price",IF(M252&lt;=0,"At/below price",IF(M252&lt;=0.12,"&lt;=12% (STR zone)",IF(M252&lt;=0.25,"12-25%","&gt;25% (likely ignored)"))))</f>
        <v>No List Price</v>
      </c>
      <c r="O252" s="15" t="s">
        <v>520</v>
      </c>
      <c r="P252" s="35" t="n">
        <v>35.6681818181818</v>
      </c>
      <c r="Q252" s="22" t="n">
        <f aca="false">IF(AND(ISNUMBER(K252),ISNUMBER(P252),N(P252)&gt;0),K252/P252-1,"")</f>
        <v>-0.383484134063974</v>
      </c>
      <c r="R252" s="15" t="s">
        <v>623</v>
      </c>
      <c r="S252" s="37" t="n">
        <v>132024</v>
      </c>
      <c r="T252" s="37" t="n">
        <v>81</v>
      </c>
      <c r="U252" s="38" t="n">
        <f aca="false">IF(AND(ISNUMBER(K252),ISNUMBER(T252)),K252*T252*52/12,"")</f>
        <v>7718.49</v>
      </c>
      <c r="V252" s="15" t="n">
        <v>4.4</v>
      </c>
      <c r="W252" s="37" t="n">
        <v>3943</v>
      </c>
      <c r="X252" s="39" t="n">
        <v>46307</v>
      </c>
      <c r="Y252" s="15" t="n">
        <v>94</v>
      </c>
      <c r="Z252" s="40" t="n">
        <v>44451</v>
      </c>
      <c r="AA252" s="41" t="n">
        <f aca="false">IF(ISNUMBER(Z252),(DATE(2026,10,13)-Z252)/365,"")</f>
        <v>5.08767123287671</v>
      </c>
      <c r="AB252" s="37" t="n">
        <v>2237</v>
      </c>
      <c r="AC252" s="15" t="s">
        <v>313</v>
      </c>
      <c r="AD252" s="15" t="n">
        <v>1</v>
      </c>
      <c r="AE252" s="15" t="s">
        <v>331</v>
      </c>
      <c r="AF252" s="42" t="n">
        <v>0</v>
      </c>
      <c r="AG252" s="42" t="n">
        <v>0</v>
      </c>
      <c r="AH252" s="15" t="n">
        <v>296</v>
      </c>
      <c r="AI252" s="37" t="n">
        <v>48561</v>
      </c>
      <c r="AJ252" s="37" t="n">
        <v>615</v>
      </c>
      <c r="AK252" s="15" t="s">
        <v>326</v>
      </c>
      <c r="AL252" s="43" t="n">
        <v>38.5</v>
      </c>
      <c r="AM252" s="43" t="n">
        <v>33.8</v>
      </c>
      <c r="AN252" s="25" t="n">
        <f aca="false">IF(AND(ISNUMBER(AM252),ISNUMBER(AL252),AL252&gt;=5),AM252/AL252,"")</f>
        <v>0.877922077922078</v>
      </c>
      <c r="AO252" s="43" t="n">
        <v>4.3</v>
      </c>
      <c r="AP252" s="43" t="n">
        <v>5</v>
      </c>
      <c r="AQ252" s="25" t="str">
        <f aca="false">IF(AND(ISNUMBER(AP252),ISNUMBER(AO252),AO252&gt;=5),AP252/AO252,"")</f>
        <v/>
      </c>
      <c r="AR252" s="43" t="n">
        <v>35.7</v>
      </c>
      <c r="AS252" s="43" t="n">
        <v>64.4</v>
      </c>
      <c r="AT252" s="22" t="n">
        <f aca="false">IF(AND(ISNUMBER(AS252),ISNUMBER(AR252),AR252&gt;0),AS252/AR252-1,"")</f>
        <v>0.803921568627451</v>
      </c>
      <c r="AU252" s="44"/>
      <c r="AV252" s="44"/>
      <c r="AW252" s="44"/>
      <c r="AX252" s="44"/>
      <c r="AY252" s="44"/>
      <c r="AZ252" s="45"/>
      <c r="BA252" s="45"/>
      <c r="BB252" s="46"/>
      <c r="BC252" s="46"/>
      <c r="BD252" s="23" t="str">
        <f aca="false">IF(AND(ISNUMBER(BB252),ISNUMBER(BC252),BB252&gt;0),1-BC252/BB252,"")</f>
        <v/>
      </c>
      <c r="BE252" s="47"/>
      <c r="BF252" s="48"/>
      <c r="BG252" s="48"/>
      <c r="BH252" s="27" t="str">
        <f aca="false">IF(AND(ISNUMBER(BF252),ISNUMBER(BG252),BG252&gt;0),BF252/BG252,"")</f>
        <v/>
      </c>
      <c r="BI252" s="48"/>
      <c r="BJ252" s="44"/>
      <c r="BK252" s="46"/>
      <c r="BL252" s="46"/>
      <c r="BM252" s="36" t="str">
        <f aca="false">IF(ISNUMBER(Q252),IF(Q252&lt;0,"YES","no"),"")</f>
        <v>YES</v>
      </c>
      <c r="BN252" s="36" t="str">
        <f aca="false">IFERROR(IF(AND(ISNUMBER(K252),ISNUMBER(INDEX('Lift Inputs'!$H:$H,MATCH(C252,'Lift Inputs'!$C:$C,0)))),IF(K252&lt;INDEX('Lift Inputs'!$H:$H,MATCH(C252,'Lift Inputs'!$C:$C,0)),"YES","no"),""),"")</f>
        <v/>
      </c>
      <c r="BO252" s="44"/>
    </row>
    <row r="253" customFormat="false" ht="15" hidden="false" customHeight="false" outlineLevel="0" collapsed="false">
      <c r="A253" s="15" t="s">
        <v>71</v>
      </c>
      <c r="B253" s="15" t="s">
        <v>83</v>
      </c>
      <c r="C253" s="15" t="n">
        <v>39</v>
      </c>
      <c r="D253" s="15" t="s">
        <v>208</v>
      </c>
      <c r="E253" s="15" t="n">
        <v>1536</v>
      </c>
      <c r="F253" s="15" t="s">
        <v>588</v>
      </c>
      <c r="G253" s="15" t="s">
        <v>589</v>
      </c>
      <c r="H253" s="15" t="s">
        <v>590</v>
      </c>
      <c r="I253" s="15" t="s">
        <v>577</v>
      </c>
      <c r="J253" s="15" t="s">
        <v>178</v>
      </c>
      <c r="K253" s="35" t="n">
        <v>27.99</v>
      </c>
      <c r="L253" s="35"/>
      <c r="M253" s="23" t="str">
        <f aca="false">IF(AND(ISNUMBER(L253),ISNUMBER(K253),K253&gt;0),L253/K253-1,"")</f>
        <v/>
      </c>
      <c r="N253" s="36" t="str">
        <f aca="false">IF(M253="","No List Price",IF(M253&lt;=0,"At/below price",IF(M253&lt;=0.12,"&lt;=12% (STR zone)",IF(M253&lt;=0.25,"12-25%","&gt;25% (likely ignored)"))))</f>
        <v>No List Price</v>
      </c>
      <c r="O253" s="15"/>
      <c r="P253" s="35" t="n">
        <v>38.6576923076923</v>
      </c>
      <c r="Q253" s="22" t="n">
        <f aca="false">IF(AND(ISNUMBER(K253),ISNUMBER(P253),N(P253)&gt;0),K253/P253-1,"")</f>
        <v>-0.275952641528206</v>
      </c>
      <c r="R253" s="15" t="s">
        <v>353</v>
      </c>
      <c r="S253" s="37" t="n">
        <v>68667</v>
      </c>
      <c r="T253" s="37" t="n">
        <v>35</v>
      </c>
      <c r="U253" s="38" t="n">
        <f aca="false">IF(AND(ISNUMBER(K253),ISNUMBER(T253)),K253*T253*52/12,"")</f>
        <v>4245.15</v>
      </c>
      <c r="V253" s="15" t="n">
        <v>4.4</v>
      </c>
      <c r="W253" s="37" t="n">
        <v>2838</v>
      </c>
      <c r="X253" s="39" t="n">
        <v>46307</v>
      </c>
      <c r="Y253" s="15"/>
      <c r="Z253" s="40"/>
      <c r="AA253" s="41" t="str">
        <f aca="false">IF(ISNUMBER(Z253),(DATE(2026,10,13)-Z253)/365,"")</f>
        <v/>
      </c>
      <c r="AB253" s="37"/>
      <c r="AC253" s="15"/>
      <c r="AD253" s="15"/>
      <c r="AE253" s="15"/>
      <c r="AF253" s="42"/>
      <c r="AG253" s="42"/>
      <c r="AH253" s="15"/>
      <c r="AI253" s="37" t="n">
        <v>21925</v>
      </c>
      <c r="AJ253" s="37" t="n">
        <v>461</v>
      </c>
      <c r="AK253" s="15" t="s">
        <v>315</v>
      </c>
      <c r="AL253" s="43" t="n">
        <v>31.9</v>
      </c>
      <c r="AM253" s="43" t="n">
        <v>28.5</v>
      </c>
      <c r="AN253" s="25" t="n">
        <f aca="false">IF(AND(ISNUMBER(AM253),ISNUMBER(AL253),AL253&gt;=5),AM253/AL253,"")</f>
        <v>0.893416927899687</v>
      </c>
      <c r="AO253" s="43" t="n">
        <v>2.8</v>
      </c>
      <c r="AP253" s="43" t="n">
        <v>3</v>
      </c>
      <c r="AQ253" s="25" t="str">
        <f aca="false">IF(AND(ISNUMBER(AP253),ISNUMBER(AO253),AO253&gt;=5),AP253/AO253,"")</f>
        <v/>
      </c>
      <c r="AR253" s="43" t="n">
        <v>38.5</v>
      </c>
      <c r="AS253" s="43" t="n">
        <v>22.1</v>
      </c>
      <c r="AT253" s="22" t="n">
        <f aca="false">IF(AND(ISNUMBER(AS253),ISNUMBER(AR253),AR253&gt;0),AS253/AR253-1,"")</f>
        <v>-0.425974025974026</v>
      </c>
      <c r="AU253" s="44"/>
      <c r="AV253" s="44"/>
      <c r="AW253" s="44"/>
      <c r="AX253" s="44"/>
      <c r="AY253" s="44"/>
      <c r="AZ253" s="45"/>
      <c r="BA253" s="45"/>
      <c r="BB253" s="46"/>
      <c r="BC253" s="46"/>
      <c r="BD253" s="23" t="str">
        <f aca="false">IF(AND(ISNUMBER(BB253),ISNUMBER(BC253),BB253&gt;0),1-BC253/BB253,"")</f>
        <v/>
      </c>
      <c r="BE253" s="47"/>
      <c r="BF253" s="48"/>
      <c r="BG253" s="48"/>
      <c r="BH253" s="27" t="str">
        <f aca="false">IF(AND(ISNUMBER(BF253),ISNUMBER(BG253),BG253&gt;0),BF253/BG253,"")</f>
        <v/>
      </c>
      <c r="BI253" s="48"/>
      <c r="BJ253" s="44"/>
      <c r="BK253" s="46"/>
      <c r="BL253" s="46"/>
      <c r="BM253" s="36" t="str">
        <f aca="false">IF(ISNUMBER(Q253),IF(Q253&lt;0,"YES","no"),"")</f>
        <v>YES</v>
      </c>
      <c r="BN253" s="36" t="str">
        <f aca="false">IFERROR(IF(AND(ISNUMBER(K253),ISNUMBER(INDEX('Lift Inputs'!$H:$H,MATCH(C253,'Lift Inputs'!$C:$C,0)))),IF(K253&lt;INDEX('Lift Inputs'!$H:$H,MATCH(C253,'Lift Inputs'!$C:$C,0)),"YES","no"),""),"")</f>
        <v/>
      </c>
      <c r="BO253" s="44"/>
    </row>
    <row r="254" customFormat="false" ht="15" hidden="false" customHeight="false" outlineLevel="0" collapsed="false">
      <c r="A254" s="15" t="s">
        <v>71</v>
      </c>
      <c r="B254" s="15" t="s">
        <v>83</v>
      </c>
      <c r="C254" s="15" t="n">
        <v>39</v>
      </c>
      <c r="D254" s="15" t="s">
        <v>208</v>
      </c>
      <c r="E254" s="15" t="n">
        <v>165</v>
      </c>
      <c r="F254" s="15" t="s">
        <v>591</v>
      </c>
      <c r="G254" s="15" t="s">
        <v>592</v>
      </c>
      <c r="H254" s="15" t="s">
        <v>593</v>
      </c>
      <c r="I254" s="15" t="s">
        <v>594</v>
      </c>
      <c r="J254" s="15" t="s">
        <v>178</v>
      </c>
      <c r="K254" s="35" t="n">
        <v>28.99</v>
      </c>
      <c r="L254" s="35"/>
      <c r="M254" s="23" t="str">
        <f aca="false">IF(AND(ISNUMBER(L254),ISNUMBER(K254),K254&gt;0),L254/K254-1,"")</f>
        <v/>
      </c>
      <c r="N254" s="36" t="str">
        <f aca="false">IF(M254="","No List Price",IF(M254&lt;=0,"At/below price",IF(M254&lt;=0.12,"&lt;=12% (STR zone)",IF(M254&lt;=0.25,"12-25%","&gt;25% (likely ignored)"))))</f>
        <v>No List Price</v>
      </c>
      <c r="O254" s="15" t="s">
        <v>311</v>
      </c>
      <c r="P254" s="35" t="n">
        <v>38.6576923076923</v>
      </c>
      <c r="Q254" s="22" t="n">
        <f aca="false">IF(AND(ISNUMBER(K254),ISNUMBER(P254),N(P254)&gt;0),K254/P254-1,"")</f>
        <v>-0.250084568699632</v>
      </c>
      <c r="R254" s="15" t="s">
        <v>312</v>
      </c>
      <c r="S254" s="37" t="n">
        <v>110638</v>
      </c>
      <c r="T254" s="37" t="n">
        <v>35</v>
      </c>
      <c r="U254" s="38" t="n">
        <f aca="false">IF(AND(ISNUMBER(K254),ISNUMBER(T254)),K254*T254*52/12,"")</f>
        <v>4396.81666666667</v>
      </c>
      <c r="V254" s="15" t="n">
        <v>4.4</v>
      </c>
      <c r="W254" s="37" t="n">
        <v>772</v>
      </c>
      <c r="X254" s="39" t="n">
        <v>46307</v>
      </c>
      <c r="Y254" s="15" t="n">
        <v>23</v>
      </c>
      <c r="Z254" s="40" t="n">
        <v>44733</v>
      </c>
      <c r="AA254" s="41" t="n">
        <f aca="false">IF(ISNUMBER(Z254),(DATE(2026,10,13)-Z254)/365,"")</f>
        <v>4.31506849315069</v>
      </c>
      <c r="AB254" s="37" t="n">
        <v>931</v>
      </c>
      <c r="AC254" s="15" t="s">
        <v>313</v>
      </c>
      <c r="AD254" s="15" t="n">
        <v>1</v>
      </c>
      <c r="AE254" s="15" t="s">
        <v>331</v>
      </c>
      <c r="AF254" s="42" t="n">
        <v>0</v>
      </c>
      <c r="AG254" s="42" t="n">
        <v>0</v>
      </c>
      <c r="AH254" s="15" t="n">
        <v>87</v>
      </c>
      <c r="AI254" s="37"/>
      <c r="AJ254" s="37"/>
      <c r="AK254" s="15"/>
      <c r="AL254" s="43"/>
      <c r="AM254" s="43"/>
      <c r="AN254" s="25" t="str">
        <f aca="false">IF(AND(ISNUMBER(AM254),ISNUMBER(AL254),AL254&gt;=5),AM254/AL254,"")</f>
        <v/>
      </c>
      <c r="AO254" s="43"/>
      <c r="AP254" s="43"/>
      <c r="AQ254" s="25" t="str">
        <f aca="false">IF(AND(ISNUMBER(AP254),ISNUMBER(AO254),AO254&gt;=5),AP254/AO254,"")</f>
        <v/>
      </c>
      <c r="AR254" s="43"/>
      <c r="AS254" s="43"/>
      <c r="AT254" s="22" t="str">
        <f aca="false">IF(AND(ISNUMBER(AS254),ISNUMBER(AR254),AR254&gt;0),AS254/AR254-1,"")</f>
        <v/>
      </c>
      <c r="AU254" s="44"/>
      <c r="AV254" s="44"/>
      <c r="AW254" s="44"/>
      <c r="AX254" s="44"/>
      <c r="AY254" s="44"/>
      <c r="AZ254" s="45"/>
      <c r="BA254" s="45"/>
      <c r="BB254" s="46"/>
      <c r="BC254" s="46"/>
      <c r="BD254" s="23" t="str">
        <f aca="false">IF(AND(ISNUMBER(BB254),ISNUMBER(BC254),BB254&gt;0),1-BC254/BB254,"")</f>
        <v/>
      </c>
      <c r="BE254" s="47"/>
      <c r="BF254" s="48"/>
      <c r="BG254" s="48"/>
      <c r="BH254" s="27" t="str">
        <f aca="false">IF(AND(ISNUMBER(BF254),ISNUMBER(BG254),BG254&gt;0),BF254/BG254,"")</f>
        <v/>
      </c>
      <c r="BI254" s="48"/>
      <c r="BJ254" s="44"/>
      <c r="BK254" s="46"/>
      <c r="BL254" s="46"/>
      <c r="BM254" s="36" t="str">
        <f aca="false">IF(ISNUMBER(Q254),IF(Q254&lt;0,"YES","no"),"")</f>
        <v>YES</v>
      </c>
      <c r="BN254" s="36" t="str">
        <f aca="false">IFERROR(IF(AND(ISNUMBER(K254),ISNUMBER(INDEX('Lift Inputs'!$H:$H,MATCH(C254,'Lift Inputs'!$C:$C,0)))),IF(K254&lt;INDEX('Lift Inputs'!$H:$H,MATCH(C254,'Lift Inputs'!$C:$C,0)),"YES","no"),""),"")</f>
        <v/>
      </c>
      <c r="BO254" s="44"/>
    </row>
    <row r="255" customFormat="false" ht="15" hidden="false" customHeight="false" outlineLevel="0" collapsed="false">
      <c r="A255" s="15" t="s">
        <v>71</v>
      </c>
      <c r="B255" s="15" t="s">
        <v>83</v>
      </c>
      <c r="C255" s="15" t="n">
        <v>39</v>
      </c>
      <c r="D255" s="15" t="s">
        <v>208</v>
      </c>
      <c r="E255" s="15" t="n">
        <v>640</v>
      </c>
      <c r="F255" s="15" t="s">
        <v>595</v>
      </c>
      <c r="G255" s="15" t="s">
        <v>596</v>
      </c>
      <c r="H255" s="15" t="s">
        <v>597</v>
      </c>
      <c r="I255" s="15" t="s">
        <v>577</v>
      </c>
      <c r="J255" s="15" t="s">
        <v>178</v>
      </c>
      <c r="K255" s="35" t="n">
        <v>21.99</v>
      </c>
      <c r="L255" s="35"/>
      <c r="M255" s="23" t="str">
        <f aca="false">IF(AND(ISNUMBER(L255),ISNUMBER(K255),K255&gt;0),L255/K255-1,"")</f>
        <v/>
      </c>
      <c r="N255" s="36" t="str">
        <f aca="false">IF(M255="","No List Price",IF(M255&lt;=0,"At/below price",IF(M255&lt;=0.12,"&lt;=12% (STR zone)",IF(M255&lt;=0.25,"12-25%","&gt;25% (likely ignored)"))))</f>
        <v>No List Price</v>
      </c>
      <c r="O255" s="15"/>
      <c r="P255" s="35" t="n">
        <v>38.6576923076923</v>
      </c>
      <c r="Q255" s="22" t="n">
        <f aca="false">IF(AND(ISNUMBER(K255),ISNUMBER(P255),N(P255)&gt;0),K255/P255-1,"")</f>
        <v>-0.431161078499652</v>
      </c>
      <c r="R255" s="15" t="s">
        <v>353</v>
      </c>
      <c r="S255" s="37" t="n">
        <v>57010</v>
      </c>
      <c r="T255" s="37" t="n">
        <v>35</v>
      </c>
      <c r="U255" s="38" t="n">
        <f aca="false">IF(AND(ISNUMBER(K255),ISNUMBER(T255)),K255*T255*52/12,"")</f>
        <v>3335.15</v>
      </c>
      <c r="V255" s="15" t="n">
        <v>4.5</v>
      </c>
      <c r="W255" s="37" t="n">
        <v>1017</v>
      </c>
      <c r="X255" s="39" t="n">
        <v>46307</v>
      </c>
      <c r="Y255" s="15"/>
      <c r="Z255" s="40"/>
      <c r="AA255" s="41" t="str">
        <f aca="false">IF(ISNUMBER(Z255),(DATE(2026,10,13)-Z255)/365,"")</f>
        <v/>
      </c>
      <c r="AB255" s="37"/>
      <c r="AC255" s="15"/>
      <c r="AD255" s="15"/>
      <c r="AE255" s="15"/>
      <c r="AF255" s="42"/>
      <c r="AG255" s="42"/>
      <c r="AH255" s="15"/>
      <c r="AI255" s="37" t="n">
        <v>23621</v>
      </c>
      <c r="AJ255" s="37" t="n">
        <v>569</v>
      </c>
      <c r="AK255" s="15" t="s">
        <v>315</v>
      </c>
      <c r="AL255" s="43" t="n">
        <v>10.2</v>
      </c>
      <c r="AM255" s="43" t="n">
        <v>10.2</v>
      </c>
      <c r="AN255" s="25" t="n">
        <f aca="false">IF(AND(ISNUMBER(AM255),ISNUMBER(AL255),AL255&gt;=5),AM255/AL255,"")</f>
        <v>1</v>
      </c>
      <c r="AO255" s="43" t="n">
        <v>0.5</v>
      </c>
      <c r="AP255" s="43" t="n">
        <v>0.8</v>
      </c>
      <c r="AQ255" s="25" t="str">
        <f aca="false">IF(AND(ISNUMBER(AP255),ISNUMBER(AO255),AO255&gt;=5),AP255/AO255,"")</f>
        <v/>
      </c>
      <c r="AR255" s="43" t="n">
        <v>9.8</v>
      </c>
      <c r="AS255" s="43" t="n">
        <v>12.2</v>
      </c>
      <c r="AT255" s="22" t="n">
        <f aca="false">IF(AND(ISNUMBER(AS255),ISNUMBER(AR255),AR255&gt;0),AS255/AR255-1,"")</f>
        <v>0.244897959183673</v>
      </c>
      <c r="AU255" s="44"/>
      <c r="AV255" s="44"/>
      <c r="AW255" s="44"/>
      <c r="AX255" s="44"/>
      <c r="AY255" s="44"/>
      <c r="AZ255" s="45"/>
      <c r="BA255" s="45"/>
      <c r="BB255" s="46"/>
      <c r="BC255" s="46"/>
      <c r="BD255" s="23" t="str">
        <f aca="false">IF(AND(ISNUMBER(BB255),ISNUMBER(BC255),BB255&gt;0),1-BC255/BB255,"")</f>
        <v/>
      </c>
      <c r="BE255" s="47"/>
      <c r="BF255" s="48"/>
      <c r="BG255" s="48"/>
      <c r="BH255" s="27" t="str">
        <f aca="false">IF(AND(ISNUMBER(BF255),ISNUMBER(BG255),BG255&gt;0),BF255/BG255,"")</f>
        <v/>
      </c>
      <c r="BI255" s="48"/>
      <c r="BJ255" s="44"/>
      <c r="BK255" s="46"/>
      <c r="BL255" s="46"/>
      <c r="BM255" s="36" t="str">
        <f aca="false">IF(ISNUMBER(Q255),IF(Q255&lt;0,"YES","no"),"")</f>
        <v>YES</v>
      </c>
      <c r="BN255" s="36" t="str">
        <f aca="false">IFERROR(IF(AND(ISNUMBER(K255),ISNUMBER(INDEX('Lift Inputs'!$H:$H,MATCH(C255,'Lift Inputs'!$C:$C,0)))),IF(K255&lt;INDEX('Lift Inputs'!$H:$H,MATCH(C255,'Lift Inputs'!$C:$C,0)),"YES","no"),""),"")</f>
        <v/>
      </c>
      <c r="BO255" s="44"/>
    </row>
    <row r="256" customFormat="false" ht="15" hidden="false" customHeight="false" outlineLevel="0" collapsed="false">
      <c r="A256" s="15" t="s">
        <v>71</v>
      </c>
      <c r="B256" s="15" t="s">
        <v>83</v>
      </c>
      <c r="C256" s="15" t="n">
        <v>39</v>
      </c>
      <c r="D256" s="15" t="s">
        <v>208</v>
      </c>
      <c r="E256" s="15" t="n">
        <v>142</v>
      </c>
      <c r="F256" s="15" t="s">
        <v>624</v>
      </c>
      <c r="G256" s="15" t="s">
        <v>625</v>
      </c>
      <c r="H256" s="15" t="s">
        <v>626</v>
      </c>
      <c r="I256" s="15" t="s">
        <v>577</v>
      </c>
      <c r="J256" s="15" t="s">
        <v>178</v>
      </c>
      <c r="K256" s="35" t="n">
        <v>30.99</v>
      </c>
      <c r="L256" s="35"/>
      <c r="M256" s="23" t="str">
        <f aca="false">IF(AND(ISNUMBER(L256),ISNUMBER(K256),K256&gt;0),L256/K256-1,"")</f>
        <v/>
      </c>
      <c r="N256" s="36" t="str">
        <f aca="false">IF(M256="","No List Price",IF(M256&lt;=0,"At/below price",IF(M256&lt;=0.12,"&lt;=12% (STR zone)",IF(M256&lt;=0.25,"12-25%","&gt;25% (likely ignored)"))))</f>
        <v>No List Price</v>
      </c>
      <c r="O256" s="15"/>
      <c r="P256" s="35" t="n">
        <v>38.6576923076923</v>
      </c>
      <c r="Q256" s="22" t="n">
        <f aca="false">IF(AND(ISNUMBER(K256),ISNUMBER(P256),N(P256)&gt;0),K256/P256-1,"")</f>
        <v>-0.198348423042484</v>
      </c>
      <c r="R256" s="15" t="s">
        <v>353</v>
      </c>
      <c r="S256" s="37" t="n">
        <v>83620</v>
      </c>
      <c r="T256" s="37" t="n">
        <v>35</v>
      </c>
      <c r="U256" s="38" t="n">
        <f aca="false">IF(AND(ISNUMBER(K256),ISNUMBER(T256)),K256*T256*52/12,"")</f>
        <v>4700.15</v>
      </c>
      <c r="V256" s="15" t="n">
        <v>4.2</v>
      </c>
      <c r="W256" s="37" t="n">
        <v>909</v>
      </c>
      <c r="X256" s="39" t="n">
        <v>46307</v>
      </c>
      <c r="Y256" s="15"/>
      <c r="Z256" s="40"/>
      <c r="AA256" s="41" t="str">
        <f aca="false">IF(ISNUMBER(Z256),(DATE(2026,10,13)-Z256)/365,"")</f>
        <v/>
      </c>
      <c r="AB256" s="37"/>
      <c r="AC256" s="15"/>
      <c r="AD256" s="15"/>
      <c r="AE256" s="15"/>
      <c r="AF256" s="42"/>
      <c r="AG256" s="42"/>
      <c r="AH256" s="15"/>
      <c r="AI256" s="37" t="n">
        <v>11441</v>
      </c>
      <c r="AJ256" s="37" t="n">
        <v>382</v>
      </c>
      <c r="AK256" s="15" t="s">
        <v>326</v>
      </c>
      <c r="AL256" s="43" t="n">
        <v>36</v>
      </c>
      <c r="AM256" s="43" t="n">
        <v>35.5</v>
      </c>
      <c r="AN256" s="25" t="n">
        <f aca="false">IF(AND(ISNUMBER(AM256),ISNUMBER(AL256),AL256&gt;=5),AM256/AL256,"")</f>
        <v>0.986111111111111</v>
      </c>
      <c r="AO256" s="43" t="n">
        <v>1.2</v>
      </c>
      <c r="AP256" s="43" t="n">
        <v>0.5</v>
      </c>
      <c r="AQ256" s="25" t="str">
        <f aca="false">IF(AND(ISNUMBER(AP256),ISNUMBER(AO256),AO256&gt;=5),AP256/AO256,"")</f>
        <v/>
      </c>
      <c r="AR256" s="43" t="n">
        <v>28.2</v>
      </c>
      <c r="AS256" s="43" t="n">
        <v>41.4</v>
      </c>
      <c r="AT256" s="22" t="n">
        <f aca="false">IF(AND(ISNUMBER(AS256),ISNUMBER(AR256),AR256&gt;0),AS256/AR256-1,"")</f>
        <v>0.468085106382979</v>
      </c>
      <c r="AU256" s="44"/>
      <c r="AV256" s="44"/>
      <c r="AW256" s="44"/>
      <c r="AX256" s="44"/>
      <c r="AY256" s="44"/>
      <c r="AZ256" s="45"/>
      <c r="BA256" s="45"/>
      <c r="BB256" s="46"/>
      <c r="BC256" s="46"/>
      <c r="BD256" s="23" t="str">
        <f aca="false">IF(AND(ISNUMBER(BB256),ISNUMBER(BC256),BB256&gt;0),1-BC256/BB256,"")</f>
        <v/>
      </c>
      <c r="BE256" s="47"/>
      <c r="BF256" s="48"/>
      <c r="BG256" s="48"/>
      <c r="BH256" s="27" t="str">
        <f aca="false">IF(AND(ISNUMBER(BF256),ISNUMBER(BG256),BG256&gt;0),BF256/BG256,"")</f>
        <v/>
      </c>
      <c r="BI256" s="48"/>
      <c r="BJ256" s="44"/>
      <c r="BK256" s="46"/>
      <c r="BL256" s="46"/>
      <c r="BM256" s="36" t="str">
        <f aca="false">IF(ISNUMBER(Q256),IF(Q256&lt;0,"YES","no"),"")</f>
        <v>YES</v>
      </c>
      <c r="BN256" s="36" t="str">
        <f aca="false">IFERROR(IF(AND(ISNUMBER(K256),ISNUMBER(INDEX('Lift Inputs'!$H:$H,MATCH(C256,'Lift Inputs'!$C:$C,0)))),IF(K256&lt;INDEX('Lift Inputs'!$H:$H,MATCH(C256,'Lift Inputs'!$C:$C,0)),"YES","no"),""),"")</f>
        <v/>
      </c>
      <c r="BO256" s="44"/>
    </row>
    <row r="257" customFormat="false" ht="15" hidden="false" customHeight="false" outlineLevel="0" collapsed="false">
      <c r="A257" s="15" t="s">
        <v>71</v>
      </c>
      <c r="B257" s="15" t="s">
        <v>83</v>
      </c>
      <c r="C257" s="15" t="n">
        <v>39</v>
      </c>
      <c r="D257" s="15" t="s">
        <v>208</v>
      </c>
      <c r="E257" s="15" t="n">
        <v>1540</v>
      </c>
      <c r="F257" s="15" t="s">
        <v>598</v>
      </c>
      <c r="G257" s="15" t="s">
        <v>599</v>
      </c>
      <c r="H257" s="15" t="s">
        <v>600</v>
      </c>
      <c r="I257" s="15" t="s">
        <v>577</v>
      </c>
      <c r="J257" s="15" t="s">
        <v>178</v>
      </c>
      <c r="K257" s="35" t="n">
        <v>27.99</v>
      </c>
      <c r="L257" s="35"/>
      <c r="M257" s="23" t="str">
        <f aca="false">IF(AND(ISNUMBER(L257),ISNUMBER(K257),K257&gt;0),L257/K257-1,"")</f>
        <v/>
      </c>
      <c r="N257" s="36" t="str">
        <f aca="false">IF(M257="","No List Price",IF(M257&lt;=0,"At/below price",IF(M257&lt;=0.12,"&lt;=12% (STR zone)",IF(M257&lt;=0.25,"12-25%","&gt;25% (likely ignored)"))))</f>
        <v>No List Price</v>
      </c>
      <c r="O257" s="15"/>
      <c r="P257" s="35" t="n">
        <v>38.6576923076923</v>
      </c>
      <c r="Q257" s="22" t="n">
        <f aca="false">IF(AND(ISNUMBER(K257),ISNUMBER(P257),N(P257)&gt;0),K257/P257-1,"")</f>
        <v>-0.275952641528206</v>
      </c>
      <c r="R257" s="15" t="s">
        <v>353</v>
      </c>
      <c r="S257" s="37" t="n">
        <v>89437</v>
      </c>
      <c r="T257" s="37" t="n">
        <v>18</v>
      </c>
      <c r="U257" s="38" t="n">
        <f aca="false">IF(AND(ISNUMBER(K257),ISNUMBER(T257)),K257*T257*52/12,"")</f>
        <v>2183.22</v>
      </c>
      <c r="V257" s="15" t="n">
        <v>4.5</v>
      </c>
      <c r="W257" s="37" t="n">
        <v>205</v>
      </c>
      <c r="X257" s="39" t="n">
        <v>46307</v>
      </c>
      <c r="Y257" s="15"/>
      <c r="Z257" s="40"/>
      <c r="AA257" s="41" t="str">
        <f aca="false">IF(ISNUMBER(Z257),(DATE(2026,10,13)-Z257)/365,"")</f>
        <v/>
      </c>
      <c r="AB257" s="37"/>
      <c r="AC257" s="15"/>
      <c r="AD257" s="15"/>
      <c r="AE257" s="15"/>
      <c r="AF257" s="42"/>
      <c r="AG257" s="42"/>
      <c r="AH257" s="15"/>
      <c r="AI257" s="37"/>
      <c r="AJ257" s="37"/>
      <c r="AK257" s="15"/>
      <c r="AL257" s="43"/>
      <c r="AM257" s="43"/>
      <c r="AN257" s="25" t="str">
        <f aca="false">IF(AND(ISNUMBER(AM257),ISNUMBER(AL257),AL257&gt;=5),AM257/AL257,"")</f>
        <v/>
      </c>
      <c r="AO257" s="43"/>
      <c r="AP257" s="43"/>
      <c r="AQ257" s="25" t="str">
        <f aca="false">IF(AND(ISNUMBER(AP257),ISNUMBER(AO257),AO257&gt;=5),AP257/AO257,"")</f>
        <v/>
      </c>
      <c r="AR257" s="43"/>
      <c r="AS257" s="43"/>
      <c r="AT257" s="22" t="str">
        <f aca="false">IF(AND(ISNUMBER(AS257),ISNUMBER(AR257),AR257&gt;0),AS257/AR257-1,"")</f>
        <v/>
      </c>
      <c r="AU257" s="44"/>
      <c r="AV257" s="44"/>
      <c r="AW257" s="44"/>
      <c r="AX257" s="44"/>
      <c r="AY257" s="44"/>
      <c r="AZ257" s="45"/>
      <c r="BA257" s="45"/>
      <c r="BB257" s="46"/>
      <c r="BC257" s="46"/>
      <c r="BD257" s="23" t="str">
        <f aca="false">IF(AND(ISNUMBER(BB257),ISNUMBER(BC257),BB257&gt;0),1-BC257/BB257,"")</f>
        <v/>
      </c>
      <c r="BE257" s="47"/>
      <c r="BF257" s="48"/>
      <c r="BG257" s="48"/>
      <c r="BH257" s="27" t="str">
        <f aca="false">IF(AND(ISNUMBER(BF257),ISNUMBER(BG257),BG257&gt;0),BF257/BG257,"")</f>
        <v/>
      </c>
      <c r="BI257" s="48"/>
      <c r="BJ257" s="44"/>
      <c r="BK257" s="46"/>
      <c r="BL257" s="46"/>
      <c r="BM257" s="36" t="str">
        <f aca="false">IF(ISNUMBER(Q257),IF(Q257&lt;0,"YES","no"),"")</f>
        <v>YES</v>
      </c>
      <c r="BN257" s="36" t="str">
        <f aca="false">IFERROR(IF(AND(ISNUMBER(K257),ISNUMBER(INDEX('Lift Inputs'!$H:$H,MATCH(C257,'Lift Inputs'!$C:$C,0)))),IF(K257&lt;INDEX('Lift Inputs'!$H:$H,MATCH(C257,'Lift Inputs'!$C:$C,0)),"YES","no"),""),"")</f>
        <v/>
      </c>
      <c r="BO257" s="44"/>
    </row>
    <row r="258" customFormat="false" ht="15" hidden="false" customHeight="false" outlineLevel="0" collapsed="false">
      <c r="A258" s="15" t="s">
        <v>71</v>
      </c>
      <c r="B258" s="15" t="s">
        <v>83</v>
      </c>
      <c r="C258" s="15" t="n">
        <v>39</v>
      </c>
      <c r="D258" s="15" t="s">
        <v>208</v>
      </c>
      <c r="E258" s="15" t="n">
        <v>1542</v>
      </c>
      <c r="F258" s="15" t="s">
        <v>627</v>
      </c>
      <c r="G258" s="15" t="s">
        <v>628</v>
      </c>
      <c r="H258" s="15" t="s">
        <v>629</v>
      </c>
      <c r="I258" s="15" t="s">
        <v>577</v>
      </c>
      <c r="J258" s="15" t="s">
        <v>178</v>
      </c>
      <c r="K258" s="35" t="n">
        <v>24.99</v>
      </c>
      <c r="L258" s="35"/>
      <c r="M258" s="23" t="str">
        <f aca="false">IF(AND(ISNUMBER(L258),ISNUMBER(K258),K258&gt;0),L258/K258-1,"")</f>
        <v/>
      </c>
      <c r="N258" s="36" t="str">
        <f aca="false">IF(M258="","No List Price",IF(M258&lt;=0,"At/below price",IF(M258&lt;=0.12,"&lt;=12% (STR zone)",IF(M258&lt;=0.25,"12-25%","&gt;25% (likely ignored)"))))</f>
        <v>No List Price</v>
      </c>
      <c r="O258" s="15"/>
      <c r="P258" s="35" t="n">
        <v>38.6576923076923</v>
      </c>
      <c r="Q258" s="22" t="n">
        <f aca="false">IF(AND(ISNUMBER(K258),ISNUMBER(P258),N(P258)&gt;0),K258/P258-1,"")</f>
        <v>-0.353556860013929</v>
      </c>
      <c r="R258" s="15" t="s">
        <v>353</v>
      </c>
      <c r="S258" s="37" t="n">
        <v>180867</v>
      </c>
      <c r="T258" s="37" t="n">
        <v>18</v>
      </c>
      <c r="U258" s="38" t="n">
        <f aca="false">IF(AND(ISNUMBER(K258),ISNUMBER(T258)),K258*T258*52/12,"")</f>
        <v>1949.22</v>
      </c>
      <c r="V258" s="15" t="n">
        <v>4.3</v>
      </c>
      <c r="W258" s="37" t="n">
        <v>1032</v>
      </c>
      <c r="X258" s="39" t="n">
        <v>46307</v>
      </c>
      <c r="Y258" s="15"/>
      <c r="Z258" s="40"/>
      <c r="AA258" s="41" t="str">
        <f aca="false">IF(ISNUMBER(Z258),(DATE(2026,10,13)-Z258)/365,"")</f>
        <v/>
      </c>
      <c r="AB258" s="37"/>
      <c r="AC258" s="15"/>
      <c r="AD258" s="15"/>
      <c r="AE258" s="15"/>
      <c r="AF258" s="42"/>
      <c r="AG258" s="42"/>
      <c r="AH258" s="15"/>
      <c r="AI258" s="37" t="n">
        <v>16567</v>
      </c>
      <c r="AJ258" s="37" t="n">
        <v>357</v>
      </c>
      <c r="AK258" s="15" t="s">
        <v>326</v>
      </c>
      <c r="AL258" s="43" t="n">
        <v>28</v>
      </c>
      <c r="AM258" s="43" t="n">
        <v>28.5</v>
      </c>
      <c r="AN258" s="25" t="n">
        <f aca="false">IF(AND(ISNUMBER(AM258),ISNUMBER(AL258),AL258&gt;=5),AM258/AL258,"")</f>
        <v>1.01785714285714</v>
      </c>
      <c r="AO258" s="43" t="n">
        <v>4.8</v>
      </c>
      <c r="AP258" s="43" t="n">
        <v>7</v>
      </c>
      <c r="AQ258" s="25" t="str">
        <f aca="false">IF(AND(ISNUMBER(AP258),ISNUMBER(AO258),AO258&gt;=5),AP258/AO258,"")</f>
        <v/>
      </c>
      <c r="AR258" s="43" t="n">
        <v>27.1</v>
      </c>
      <c r="AS258" s="43" t="n">
        <v>39.9</v>
      </c>
      <c r="AT258" s="22" t="n">
        <f aca="false">IF(AND(ISNUMBER(AS258),ISNUMBER(AR258),AR258&gt;0),AS258/AR258-1,"")</f>
        <v>0.472324723247232</v>
      </c>
      <c r="AU258" s="44"/>
      <c r="AV258" s="44"/>
      <c r="AW258" s="44"/>
      <c r="AX258" s="44"/>
      <c r="AY258" s="44"/>
      <c r="AZ258" s="45"/>
      <c r="BA258" s="45"/>
      <c r="BB258" s="46"/>
      <c r="BC258" s="46"/>
      <c r="BD258" s="23" t="str">
        <f aca="false">IF(AND(ISNUMBER(BB258),ISNUMBER(BC258),BB258&gt;0),1-BC258/BB258,"")</f>
        <v/>
      </c>
      <c r="BE258" s="47"/>
      <c r="BF258" s="48"/>
      <c r="BG258" s="48"/>
      <c r="BH258" s="27" t="str">
        <f aca="false">IF(AND(ISNUMBER(BF258),ISNUMBER(BG258),BG258&gt;0),BF258/BG258,"")</f>
        <v/>
      </c>
      <c r="BI258" s="48"/>
      <c r="BJ258" s="44"/>
      <c r="BK258" s="46"/>
      <c r="BL258" s="46"/>
      <c r="BM258" s="36" t="str">
        <f aca="false">IF(ISNUMBER(Q258),IF(Q258&lt;0,"YES","no"),"")</f>
        <v>YES</v>
      </c>
      <c r="BN258" s="36" t="str">
        <f aca="false">IFERROR(IF(AND(ISNUMBER(K258),ISNUMBER(INDEX('Lift Inputs'!$H:$H,MATCH(C258,'Lift Inputs'!$C:$C,0)))),IF(K258&lt;INDEX('Lift Inputs'!$H:$H,MATCH(C258,'Lift Inputs'!$C:$C,0)),"YES","no"),""),"")</f>
        <v/>
      </c>
      <c r="BO258" s="44"/>
    </row>
    <row r="259" customFormat="false" ht="15" hidden="false" customHeight="false" outlineLevel="0" collapsed="false">
      <c r="A259" s="15" t="s">
        <v>71</v>
      </c>
      <c r="B259" s="15" t="s">
        <v>83</v>
      </c>
      <c r="C259" s="15" t="n">
        <v>39</v>
      </c>
      <c r="D259" s="15" t="s">
        <v>208</v>
      </c>
      <c r="E259" s="15" t="n">
        <v>1534</v>
      </c>
      <c r="F259" s="15" t="s">
        <v>633</v>
      </c>
      <c r="G259" s="15" t="s">
        <v>634</v>
      </c>
      <c r="H259" s="15" t="s">
        <v>635</v>
      </c>
      <c r="I259" s="15" t="s">
        <v>577</v>
      </c>
      <c r="J259" s="15" t="s">
        <v>178</v>
      </c>
      <c r="K259" s="35" t="n">
        <v>18.99</v>
      </c>
      <c r="L259" s="35"/>
      <c r="M259" s="23" t="str">
        <f aca="false">IF(AND(ISNUMBER(L259),ISNUMBER(K259),K259&gt;0),L259/K259-1,"")</f>
        <v/>
      </c>
      <c r="N259" s="36" t="str">
        <f aca="false">IF(M259="","No List Price",IF(M259&lt;=0,"At/below price",IF(M259&lt;=0.12,"&lt;=12% (STR zone)",IF(M259&lt;=0.25,"12-25%","&gt;25% (likely ignored)"))))</f>
        <v>No List Price</v>
      </c>
      <c r="O259" s="15"/>
      <c r="P259" s="35" t="n">
        <v>38.6576923076923</v>
      </c>
      <c r="Q259" s="22" t="n">
        <f aca="false">IF(AND(ISNUMBER(K259),ISNUMBER(P259),N(P259)&gt;0),K259/P259-1,"")</f>
        <v>-0.508765296985375</v>
      </c>
      <c r="R259" s="15" t="s">
        <v>353</v>
      </c>
      <c r="S259" s="37" t="n">
        <v>59039</v>
      </c>
      <c r="T259" s="37" t="n">
        <v>18</v>
      </c>
      <c r="U259" s="38" t="n">
        <f aca="false">IF(AND(ISNUMBER(K259),ISNUMBER(T259)),K259*T259*52/12,"")</f>
        <v>1481.22</v>
      </c>
      <c r="V259" s="15" t="n">
        <v>4.3</v>
      </c>
      <c r="W259" s="37" t="n">
        <v>10761</v>
      </c>
      <c r="X259" s="39" t="n">
        <v>46307</v>
      </c>
      <c r="Y259" s="15"/>
      <c r="Z259" s="40"/>
      <c r="AA259" s="41" t="str">
        <f aca="false">IF(ISNUMBER(Z259),(DATE(2026,10,13)-Z259)/365,"")</f>
        <v/>
      </c>
      <c r="AB259" s="37"/>
      <c r="AC259" s="15"/>
      <c r="AD259" s="15"/>
      <c r="AE259" s="15"/>
      <c r="AF259" s="42"/>
      <c r="AG259" s="42"/>
      <c r="AH259" s="15"/>
      <c r="AI259" s="37"/>
      <c r="AJ259" s="37"/>
      <c r="AK259" s="15"/>
      <c r="AL259" s="43"/>
      <c r="AM259" s="43"/>
      <c r="AN259" s="25" t="str">
        <f aca="false">IF(AND(ISNUMBER(AM259),ISNUMBER(AL259),AL259&gt;=5),AM259/AL259,"")</f>
        <v/>
      </c>
      <c r="AO259" s="43"/>
      <c r="AP259" s="43"/>
      <c r="AQ259" s="25" t="str">
        <f aca="false">IF(AND(ISNUMBER(AP259),ISNUMBER(AO259),AO259&gt;=5),AP259/AO259,"")</f>
        <v/>
      </c>
      <c r="AR259" s="43"/>
      <c r="AS259" s="43"/>
      <c r="AT259" s="22" t="str">
        <f aca="false">IF(AND(ISNUMBER(AS259),ISNUMBER(AR259),AR259&gt;0),AS259/AR259-1,"")</f>
        <v/>
      </c>
      <c r="AU259" s="44"/>
      <c r="AV259" s="44"/>
      <c r="AW259" s="44"/>
      <c r="AX259" s="44"/>
      <c r="AY259" s="44"/>
      <c r="AZ259" s="45"/>
      <c r="BA259" s="45"/>
      <c r="BB259" s="46"/>
      <c r="BC259" s="46"/>
      <c r="BD259" s="23" t="str">
        <f aca="false">IF(AND(ISNUMBER(BB259),ISNUMBER(BC259),BB259&gt;0),1-BC259/BB259,"")</f>
        <v/>
      </c>
      <c r="BE259" s="47"/>
      <c r="BF259" s="48"/>
      <c r="BG259" s="48"/>
      <c r="BH259" s="27" t="str">
        <f aca="false">IF(AND(ISNUMBER(BF259),ISNUMBER(BG259),BG259&gt;0),BF259/BG259,"")</f>
        <v/>
      </c>
      <c r="BI259" s="48"/>
      <c r="BJ259" s="44"/>
      <c r="BK259" s="46"/>
      <c r="BL259" s="46"/>
      <c r="BM259" s="36" t="str">
        <f aca="false">IF(ISNUMBER(Q259),IF(Q259&lt;0,"YES","no"),"")</f>
        <v>YES</v>
      </c>
      <c r="BN259" s="36" t="str">
        <f aca="false">IFERROR(IF(AND(ISNUMBER(K259),ISNUMBER(INDEX('Lift Inputs'!$H:$H,MATCH(C259,'Lift Inputs'!$C:$C,0)))),IF(K259&lt;INDEX('Lift Inputs'!$H:$H,MATCH(C259,'Lift Inputs'!$C:$C,0)),"YES","no"),""),"")</f>
        <v/>
      </c>
      <c r="BO259" s="44"/>
    </row>
    <row r="260" customFormat="false" ht="15" hidden="false" customHeight="false" outlineLevel="0" collapsed="false">
      <c r="A260" s="15" t="s">
        <v>71</v>
      </c>
      <c r="B260" s="15" t="s">
        <v>83</v>
      </c>
      <c r="C260" s="15" t="n">
        <v>39</v>
      </c>
      <c r="D260" s="15" t="s">
        <v>208</v>
      </c>
      <c r="E260" s="15" t="n">
        <v>1543</v>
      </c>
      <c r="F260" s="15" t="s">
        <v>595</v>
      </c>
      <c r="G260" s="15" t="s">
        <v>652</v>
      </c>
      <c r="H260" s="15" t="s">
        <v>653</v>
      </c>
      <c r="I260" s="15" t="s">
        <v>577</v>
      </c>
      <c r="J260" s="15" t="s">
        <v>178</v>
      </c>
      <c r="K260" s="35" t="n">
        <v>17.99</v>
      </c>
      <c r="L260" s="35"/>
      <c r="M260" s="23" t="str">
        <f aca="false">IF(AND(ISNUMBER(L260),ISNUMBER(K260),K260&gt;0),L260/K260-1,"")</f>
        <v/>
      </c>
      <c r="N260" s="36" t="str">
        <f aca="false">IF(M260="","No List Price",IF(M260&lt;=0,"At/below price",IF(M260&lt;=0.12,"&lt;=12% (STR zone)",IF(M260&lt;=0.25,"12-25%","&gt;25% (likely ignored)"))))</f>
        <v>No List Price</v>
      </c>
      <c r="O260" s="15"/>
      <c r="P260" s="35" t="n">
        <v>38.6576923076923</v>
      </c>
      <c r="Q260" s="22" t="n">
        <f aca="false">IF(AND(ISNUMBER(K260),ISNUMBER(P260),N(P260)&gt;0),K260/P260-1,"")</f>
        <v>-0.534633369813949</v>
      </c>
      <c r="R260" s="15" t="s">
        <v>353</v>
      </c>
      <c r="S260" s="37" t="n">
        <v>79028</v>
      </c>
      <c r="T260" s="37" t="n">
        <v>18</v>
      </c>
      <c r="U260" s="38" t="n">
        <f aca="false">IF(AND(ISNUMBER(K260),ISNUMBER(T260)),K260*T260*52/12,"")</f>
        <v>1403.22</v>
      </c>
      <c r="V260" s="15" t="n">
        <v>4.4</v>
      </c>
      <c r="W260" s="37" t="n">
        <v>209</v>
      </c>
      <c r="X260" s="39" t="n">
        <v>46307</v>
      </c>
      <c r="Y260" s="15"/>
      <c r="Z260" s="40"/>
      <c r="AA260" s="41" t="str">
        <f aca="false">IF(ISNUMBER(Z260),(DATE(2026,10,13)-Z260)/365,"")</f>
        <v/>
      </c>
      <c r="AB260" s="37"/>
      <c r="AC260" s="15"/>
      <c r="AD260" s="15"/>
      <c r="AE260" s="15"/>
      <c r="AF260" s="42"/>
      <c r="AG260" s="42"/>
      <c r="AH260" s="15"/>
      <c r="AI260" s="37" t="n">
        <v>21912</v>
      </c>
      <c r="AJ260" s="37" t="n">
        <v>632</v>
      </c>
      <c r="AK260" s="15" t="s">
        <v>326</v>
      </c>
      <c r="AL260" s="43" t="n">
        <v>24.3</v>
      </c>
      <c r="AM260" s="43" t="n">
        <v>41.5</v>
      </c>
      <c r="AN260" s="25" t="n">
        <f aca="false">IF(AND(ISNUMBER(AM260),ISNUMBER(AL260),AL260&gt;=5),AM260/AL260,"")</f>
        <v>1.70781893004115</v>
      </c>
      <c r="AO260" s="43" t="n">
        <v>0.1</v>
      </c>
      <c r="AP260" s="43" t="n">
        <v>0</v>
      </c>
      <c r="AQ260" s="25" t="str">
        <f aca="false">IF(AND(ISNUMBER(AP260),ISNUMBER(AO260),AO260&gt;=5),AP260/AO260,"")</f>
        <v/>
      </c>
      <c r="AR260" s="43" t="n">
        <v>24.3</v>
      </c>
      <c r="AS260" s="43" t="n">
        <v>70.8</v>
      </c>
      <c r="AT260" s="22" t="n">
        <f aca="false">IF(AND(ISNUMBER(AS260),ISNUMBER(AR260),AR260&gt;0),AS260/AR260-1,"")</f>
        <v>1.91358024691358</v>
      </c>
      <c r="AU260" s="44"/>
      <c r="AV260" s="44"/>
      <c r="AW260" s="44"/>
      <c r="AX260" s="44"/>
      <c r="AY260" s="44"/>
      <c r="AZ260" s="45"/>
      <c r="BA260" s="45"/>
      <c r="BB260" s="46"/>
      <c r="BC260" s="46"/>
      <c r="BD260" s="23" t="str">
        <f aca="false">IF(AND(ISNUMBER(BB260),ISNUMBER(BC260),BB260&gt;0),1-BC260/BB260,"")</f>
        <v/>
      </c>
      <c r="BE260" s="47"/>
      <c r="BF260" s="48"/>
      <c r="BG260" s="48"/>
      <c r="BH260" s="27" t="str">
        <f aca="false">IF(AND(ISNUMBER(BF260),ISNUMBER(BG260),BG260&gt;0),BF260/BG260,"")</f>
        <v/>
      </c>
      <c r="BI260" s="48"/>
      <c r="BJ260" s="44"/>
      <c r="BK260" s="46"/>
      <c r="BL260" s="46"/>
      <c r="BM260" s="36" t="str">
        <f aca="false">IF(ISNUMBER(Q260),IF(Q260&lt;0,"YES","no"),"")</f>
        <v>YES</v>
      </c>
      <c r="BN260" s="36" t="str">
        <f aca="false">IFERROR(IF(AND(ISNUMBER(K260),ISNUMBER(INDEX('Lift Inputs'!$H:$H,MATCH(C260,'Lift Inputs'!$C:$C,0)))),IF(K260&lt;INDEX('Lift Inputs'!$H:$H,MATCH(C260,'Lift Inputs'!$C:$C,0)),"YES","no"),""),"")</f>
        <v/>
      </c>
      <c r="BO260" s="44"/>
    </row>
    <row r="261" customFormat="false" ht="15" hidden="false" customHeight="false" outlineLevel="0" collapsed="false">
      <c r="A261" s="15" t="s">
        <v>71</v>
      </c>
      <c r="B261" s="15" t="s">
        <v>83</v>
      </c>
      <c r="C261" s="15" t="n">
        <v>39</v>
      </c>
      <c r="D261" s="15" t="s">
        <v>208</v>
      </c>
      <c r="E261" s="15" t="n">
        <v>1548</v>
      </c>
      <c r="F261" s="15" t="s">
        <v>643</v>
      </c>
      <c r="G261" s="15" t="s">
        <v>644</v>
      </c>
      <c r="H261" s="15" t="s">
        <v>645</v>
      </c>
      <c r="I261" s="15" t="s">
        <v>577</v>
      </c>
      <c r="J261" s="15" t="s">
        <v>178</v>
      </c>
      <c r="K261" s="35" t="n">
        <v>15.99</v>
      </c>
      <c r="L261" s="35"/>
      <c r="M261" s="23" t="str">
        <f aca="false">IF(AND(ISNUMBER(L261),ISNUMBER(K261),K261&gt;0),L261/K261-1,"")</f>
        <v/>
      </c>
      <c r="N261" s="36" t="str">
        <f aca="false">IF(M261="","No List Price",IF(M261&lt;=0,"At/below price",IF(M261&lt;=0.12,"&lt;=12% (STR zone)",IF(M261&lt;=0.25,"12-25%","&gt;25% (likely ignored)"))))</f>
        <v>No List Price</v>
      </c>
      <c r="O261" s="15"/>
      <c r="P261" s="35" t="n">
        <v>38.6576923076923</v>
      </c>
      <c r="Q261" s="22" t="n">
        <f aca="false">IF(AND(ISNUMBER(K261),ISNUMBER(P261),N(P261)&gt;0),K261/P261-1,"")</f>
        <v>-0.586369515471098</v>
      </c>
      <c r="R261" s="15" t="s">
        <v>353</v>
      </c>
      <c r="S261" s="37" t="n">
        <v>420044</v>
      </c>
      <c r="T261" s="37" t="n">
        <v>5</v>
      </c>
      <c r="U261" s="38" t="n">
        <f aca="false">IF(AND(ISNUMBER(K261),ISNUMBER(T261)),K261*T261*52/12,"")</f>
        <v>346.45</v>
      </c>
      <c r="V261" s="15" t="n">
        <v>4.3</v>
      </c>
      <c r="W261" s="37" t="n">
        <v>5277</v>
      </c>
      <c r="X261" s="39" t="n">
        <v>46279</v>
      </c>
      <c r="Y261" s="15"/>
      <c r="Z261" s="40"/>
      <c r="AA261" s="41" t="str">
        <f aca="false">IF(ISNUMBER(Z261),(DATE(2026,10,13)-Z261)/365,"")</f>
        <v/>
      </c>
      <c r="AB261" s="37"/>
      <c r="AC261" s="15"/>
      <c r="AD261" s="15"/>
      <c r="AE261" s="15"/>
      <c r="AF261" s="42"/>
      <c r="AG261" s="42"/>
      <c r="AH261" s="15"/>
      <c r="AI261" s="37"/>
      <c r="AJ261" s="37"/>
      <c r="AK261" s="15" t="s">
        <v>326</v>
      </c>
      <c r="AL261" s="43" t="n">
        <v>0</v>
      </c>
      <c r="AM261" s="43" t="n">
        <v>0</v>
      </c>
      <c r="AN261" s="25" t="str">
        <f aca="false">IF(AND(ISNUMBER(AM261),ISNUMBER(AL261),AL261&gt;=5),AM261/AL261,"")</f>
        <v/>
      </c>
      <c r="AO261" s="43" t="n">
        <v>0</v>
      </c>
      <c r="AP261" s="43" t="n">
        <v>0</v>
      </c>
      <c r="AQ261" s="25" t="str">
        <f aca="false">IF(AND(ISNUMBER(AP261),ISNUMBER(AO261),AO261&gt;=5),AP261/AO261,"")</f>
        <v/>
      </c>
      <c r="AR261" s="43" t="n">
        <v>0</v>
      </c>
      <c r="AS261" s="43" t="n">
        <v>0.2</v>
      </c>
      <c r="AT261" s="22" t="str">
        <f aca="false">IF(AND(ISNUMBER(AS261),ISNUMBER(AR261),AR261&gt;0),AS261/AR261-1,"")</f>
        <v/>
      </c>
      <c r="AU261" s="44"/>
      <c r="AV261" s="44"/>
      <c r="AW261" s="44"/>
      <c r="AX261" s="44"/>
      <c r="AY261" s="44"/>
      <c r="AZ261" s="45"/>
      <c r="BA261" s="45"/>
      <c r="BB261" s="46"/>
      <c r="BC261" s="46"/>
      <c r="BD261" s="23" t="str">
        <f aca="false">IF(AND(ISNUMBER(BB261),ISNUMBER(BC261),BB261&gt;0),1-BC261/BB261,"")</f>
        <v/>
      </c>
      <c r="BE261" s="47"/>
      <c r="BF261" s="48"/>
      <c r="BG261" s="48"/>
      <c r="BH261" s="27" t="str">
        <f aca="false">IF(AND(ISNUMBER(BF261),ISNUMBER(BG261),BG261&gt;0),BF261/BG261,"")</f>
        <v/>
      </c>
      <c r="BI261" s="48"/>
      <c r="BJ261" s="44"/>
      <c r="BK261" s="46"/>
      <c r="BL261" s="46"/>
      <c r="BM261" s="36" t="str">
        <f aca="false">IF(ISNUMBER(Q261),IF(Q261&lt;0,"YES","no"),"")</f>
        <v>YES</v>
      </c>
      <c r="BN261" s="36" t="str">
        <f aca="false">IFERROR(IF(AND(ISNUMBER(K261),ISNUMBER(INDEX('Lift Inputs'!$H:$H,MATCH(C261,'Lift Inputs'!$C:$C,0)))),IF(K261&lt;INDEX('Lift Inputs'!$H:$H,MATCH(C261,'Lift Inputs'!$C:$C,0)),"YES","no"),""),"")</f>
        <v/>
      </c>
      <c r="BO261" s="44"/>
    </row>
    <row r="262" customFormat="false" ht="15" hidden="false" customHeight="false" outlineLevel="0" collapsed="false">
      <c r="A262" s="15" t="s">
        <v>71</v>
      </c>
      <c r="B262" s="15" t="s">
        <v>83</v>
      </c>
      <c r="C262" s="15" t="n">
        <v>39</v>
      </c>
      <c r="D262" s="15" t="s">
        <v>208</v>
      </c>
      <c r="E262" s="15" t="n">
        <v>1547</v>
      </c>
      <c r="F262" s="15" t="s">
        <v>607</v>
      </c>
      <c r="G262" s="15" t="s">
        <v>608</v>
      </c>
      <c r="H262" s="15" t="s">
        <v>609</v>
      </c>
      <c r="I262" s="15" t="s">
        <v>577</v>
      </c>
      <c r="J262" s="15" t="s">
        <v>178</v>
      </c>
      <c r="K262" s="35" t="n">
        <v>28.99</v>
      </c>
      <c r="L262" s="35"/>
      <c r="M262" s="23" t="str">
        <f aca="false">IF(AND(ISNUMBER(L262),ISNUMBER(K262),K262&gt;0),L262/K262-1,"")</f>
        <v/>
      </c>
      <c r="N262" s="36" t="str">
        <f aca="false">IF(M262="","No List Price",IF(M262&lt;=0,"At/below price",IF(M262&lt;=0.12,"&lt;=12% (STR zone)",IF(M262&lt;=0.25,"12-25%","&gt;25% (likely ignored)"))))</f>
        <v>No List Price</v>
      </c>
      <c r="O262" s="15"/>
      <c r="P262" s="35" t="n">
        <v>38.6576923076923</v>
      </c>
      <c r="Q262" s="22" t="n">
        <f aca="false">IF(AND(ISNUMBER(K262),ISNUMBER(P262),N(P262)&gt;0),K262/P262-1,"")</f>
        <v>-0.250084568699632</v>
      </c>
      <c r="R262" s="15" t="s">
        <v>353</v>
      </c>
      <c r="S262" s="37" t="n">
        <v>300374</v>
      </c>
      <c r="T262" s="37" t="n">
        <v>5</v>
      </c>
      <c r="U262" s="38" t="n">
        <f aca="false">IF(AND(ISNUMBER(K262),ISNUMBER(T262)),K262*T262*52/12,"")</f>
        <v>628.116666666667</v>
      </c>
      <c r="V262" s="15" t="n">
        <v>4.3</v>
      </c>
      <c r="W262" s="37" t="n">
        <v>907</v>
      </c>
      <c r="X262" s="39" t="n">
        <v>46307</v>
      </c>
      <c r="Y262" s="15"/>
      <c r="Z262" s="40"/>
      <c r="AA262" s="41" t="str">
        <f aca="false">IF(ISNUMBER(Z262),(DATE(2026,10,13)-Z262)/365,"")</f>
        <v/>
      </c>
      <c r="AB262" s="37"/>
      <c r="AC262" s="15"/>
      <c r="AD262" s="15"/>
      <c r="AE262" s="15"/>
      <c r="AF262" s="42"/>
      <c r="AG262" s="42"/>
      <c r="AH262" s="15"/>
      <c r="AI262" s="37"/>
      <c r="AJ262" s="37"/>
      <c r="AK262" s="15"/>
      <c r="AL262" s="43"/>
      <c r="AM262" s="43"/>
      <c r="AN262" s="25" t="str">
        <f aca="false">IF(AND(ISNUMBER(AM262),ISNUMBER(AL262),AL262&gt;=5),AM262/AL262,"")</f>
        <v/>
      </c>
      <c r="AO262" s="43"/>
      <c r="AP262" s="43"/>
      <c r="AQ262" s="25" t="str">
        <f aca="false">IF(AND(ISNUMBER(AP262),ISNUMBER(AO262),AO262&gt;=5),AP262/AO262,"")</f>
        <v/>
      </c>
      <c r="AR262" s="43"/>
      <c r="AS262" s="43"/>
      <c r="AT262" s="22" t="str">
        <f aca="false">IF(AND(ISNUMBER(AS262),ISNUMBER(AR262),AR262&gt;0),AS262/AR262-1,"")</f>
        <v/>
      </c>
      <c r="AU262" s="44"/>
      <c r="AV262" s="44"/>
      <c r="AW262" s="44"/>
      <c r="AX262" s="44"/>
      <c r="AY262" s="44"/>
      <c r="AZ262" s="45"/>
      <c r="BA262" s="45"/>
      <c r="BB262" s="46"/>
      <c r="BC262" s="46"/>
      <c r="BD262" s="23" t="str">
        <f aca="false">IF(AND(ISNUMBER(BB262),ISNUMBER(BC262),BB262&gt;0),1-BC262/BB262,"")</f>
        <v/>
      </c>
      <c r="BE262" s="47"/>
      <c r="BF262" s="48"/>
      <c r="BG262" s="48"/>
      <c r="BH262" s="27" t="str">
        <f aca="false">IF(AND(ISNUMBER(BF262),ISNUMBER(BG262),BG262&gt;0),BF262/BG262,"")</f>
        <v/>
      </c>
      <c r="BI262" s="48"/>
      <c r="BJ262" s="44"/>
      <c r="BK262" s="46"/>
      <c r="BL262" s="46"/>
      <c r="BM262" s="36" t="str">
        <f aca="false">IF(ISNUMBER(Q262),IF(Q262&lt;0,"YES","no"),"")</f>
        <v>YES</v>
      </c>
      <c r="BN262" s="36" t="str">
        <f aca="false">IFERROR(IF(AND(ISNUMBER(K262),ISNUMBER(INDEX('Lift Inputs'!$H:$H,MATCH(C262,'Lift Inputs'!$C:$C,0)))),IF(K262&lt;INDEX('Lift Inputs'!$H:$H,MATCH(C262,'Lift Inputs'!$C:$C,0)),"YES","no"),""),"")</f>
        <v/>
      </c>
      <c r="BO262" s="44"/>
    </row>
    <row r="263" customFormat="false" ht="15" hidden="false" customHeight="false" outlineLevel="0" collapsed="false">
      <c r="A263" s="15" t="s">
        <v>71</v>
      </c>
      <c r="B263" s="15" t="s">
        <v>83</v>
      </c>
      <c r="C263" s="15" t="n">
        <v>39</v>
      </c>
      <c r="D263" s="15" t="s">
        <v>208</v>
      </c>
      <c r="E263" s="15" t="n">
        <v>1546</v>
      </c>
      <c r="F263" s="15" t="s">
        <v>610</v>
      </c>
      <c r="G263" s="15" t="s">
        <v>611</v>
      </c>
      <c r="H263" s="15" t="s">
        <v>612</v>
      </c>
      <c r="I263" s="15" t="s">
        <v>577</v>
      </c>
      <c r="J263" s="15" t="s">
        <v>178</v>
      </c>
      <c r="K263" s="35" t="n">
        <v>25.99</v>
      </c>
      <c r="L263" s="35"/>
      <c r="M263" s="23" t="str">
        <f aca="false">IF(AND(ISNUMBER(L263),ISNUMBER(K263),K263&gt;0),L263/K263-1,"")</f>
        <v/>
      </c>
      <c r="N263" s="36" t="str">
        <f aca="false">IF(M263="","No List Price",IF(M263&lt;=0,"At/below price",IF(M263&lt;=0.12,"&lt;=12% (STR zone)",IF(M263&lt;=0.25,"12-25%","&gt;25% (likely ignored)"))))</f>
        <v>No List Price</v>
      </c>
      <c r="O263" s="15"/>
      <c r="P263" s="35" t="n">
        <v>38.6576923076923</v>
      </c>
      <c r="Q263" s="22" t="n">
        <f aca="false">IF(AND(ISNUMBER(K263),ISNUMBER(P263),N(P263)&gt;0),K263/P263-1,"")</f>
        <v>-0.327688787185355</v>
      </c>
      <c r="R263" s="15" t="s">
        <v>353</v>
      </c>
      <c r="S263" s="37" t="n">
        <v>52458</v>
      </c>
      <c r="T263" s="37" t="n">
        <v>5</v>
      </c>
      <c r="U263" s="38" t="n">
        <f aca="false">IF(AND(ISNUMBER(K263),ISNUMBER(T263)),K263*T263*52/12,"")</f>
        <v>563.116666666667</v>
      </c>
      <c r="V263" s="15" t="n">
        <v>4.3</v>
      </c>
      <c r="W263" s="37" t="n">
        <v>2260</v>
      </c>
      <c r="X263" s="39" t="n">
        <v>46307</v>
      </c>
      <c r="Y263" s="15"/>
      <c r="Z263" s="40"/>
      <c r="AA263" s="41" t="str">
        <f aca="false">IF(ISNUMBER(Z263),(DATE(2026,10,13)-Z263)/365,"")</f>
        <v/>
      </c>
      <c r="AB263" s="37"/>
      <c r="AC263" s="15"/>
      <c r="AD263" s="15"/>
      <c r="AE263" s="15"/>
      <c r="AF263" s="42"/>
      <c r="AG263" s="42"/>
      <c r="AH263" s="15"/>
      <c r="AI263" s="37"/>
      <c r="AJ263" s="37"/>
      <c r="AK263" s="15"/>
      <c r="AL263" s="43"/>
      <c r="AM263" s="43"/>
      <c r="AN263" s="25" t="str">
        <f aca="false">IF(AND(ISNUMBER(AM263),ISNUMBER(AL263),AL263&gt;=5),AM263/AL263,"")</f>
        <v/>
      </c>
      <c r="AO263" s="43"/>
      <c r="AP263" s="43"/>
      <c r="AQ263" s="25" t="str">
        <f aca="false">IF(AND(ISNUMBER(AP263),ISNUMBER(AO263),AO263&gt;=5),AP263/AO263,"")</f>
        <v/>
      </c>
      <c r="AR263" s="43"/>
      <c r="AS263" s="43"/>
      <c r="AT263" s="22" t="str">
        <f aca="false">IF(AND(ISNUMBER(AS263),ISNUMBER(AR263),AR263&gt;0),AS263/AR263-1,"")</f>
        <v/>
      </c>
      <c r="AU263" s="44"/>
      <c r="AV263" s="44"/>
      <c r="AW263" s="44"/>
      <c r="AX263" s="44"/>
      <c r="AY263" s="44"/>
      <c r="AZ263" s="45"/>
      <c r="BA263" s="45"/>
      <c r="BB263" s="46"/>
      <c r="BC263" s="46"/>
      <c r="BD263" s="23" t="str">
        <f aca="false">IF(AND(ISNUMBER(BB263),ISNUMBER(BC263),BB263&gt;0),1-BC263/BB263,"")</f>
        <v/>
      </c>
      <c r="BE263" s="47"/>
      <c r="BF263" s="48"/>
      <c r="BG263" s="48"/>
      <c r="BH263" s="27" t="str">
        <f aca="false">IF(AND(ISNUMBER(BF263),ISNUMBER(BG263),BG263&gt;0),BF263/BG263,"")</f>
        <v/>
      </c>
      <c r="BI263" s="48"/>
      <c r="BJ263" s="44"/>
      <c r="BK263" s="46"/>
      <c r="BL263" s="46"/>
      <c r="BM263" s="36" t="str">
        <f aca="false">IF(ISNUMBER(Q263),IF(Q263&lt;0,"YES","no"),"")</f>
        <v>YES</v>
      </c>
      <c r="BN263" s="36" t="str">
        <f aca="false">IFERROR(IF(AND(ISNUMBER(K263),ISNUMBER(INDEX('Lift Inputs'!$H:$H,MATCH(C263,'Lift Inputs'!$C:$C,0)))),IF(K263&lt;INDEX('Lift Inputs'!$H:$H,MATCH(C263,'Lift Inputs'!$C:$C,0)),"YES","no"),""),"")</f>
        <v/>
      </c>
      <c r="BO263" s="44"/>
    </row>
    <row r="264" customFormat="false" ht="15" hidden="false" customHeight="false" outlineLevel="0" collapsed="false">
      <c r="A264" s="15" t="s">
        <v>71</v>
      </c>
      <c r="B264" s="15" t="s">
        <v>89</v>
      </c>
      <c r="C264" s="15" t="n">
        <v>74</v>
      </c>
      <c r="D264" s="15" t="s">
        <v>208</v>
      </c>
      <c r="E264" s="15" t="n">
        <v>144</v>
      </c>
      <c r="F264" s="15" t="s">
        <v>362</v>
      </c>
      <c r="G264" s="15" t="s">
        <v>558</v>
      </c>
      <c r="H264" s="15" t="s">
        <v>559</v>
      </c>
      <c r="I264" s="15" t="s">
        <v>560</v>
      </c>
      <c r="J264" s="15"/>
      <c r="K264" s="35" t="n">
        <v>17.99</v>
      </c>
      <c r="L264" s="35"/>
      <c r="M264" s="23" t="str">
        <f aca="false">IF(AND(ISNUMBER(L264),ISNUMBER(K264),K264&gt;0),L264/K264-1,"")</f>
        <v/>
      </c>
      <c r="N264" s="36" t="str">
        <f aca="false">IF(M264="","No List Price",IF(M264&lt;=0,"At/below price",IF(M264&lt;=0.12,"&lt;=12% (STR zone)",IF(M264&lt;=0.25,"12-25%","&gt;25% (likely ignored)"))))</f>
        <v>No List Price</v>
      </c>
      <c r="O264" s="15" t="s">
        <v>311</v>
      </c>
      <c r="P264" s="35"/>
      <c r="Q264" s="22" t="str">
        <f aca="false">IF(AND(ISNUMBER(K264),ISNUMBER(P264),N(P264)&gt;0),K264/P264-1,"")</f>
        <v/>
      </c>
      <c r="R264" s="15"/>
      <c r="S264" s="37" t="n">
        <v>497</v>
      </c>
      <c r="T264" s="37" t="n">
        <v>1963</v>
      </c>
      <c r="U264" s="38" t="n">
        <f aca="false">IF(AND(ISNUMBER(K264),ISNUMBER(T264)),K264*T264*52/12,"")</f>
        <v>153028.936666667</v>
      </c>
      <c r="V264" s="15" t="n">
        <v>4.3</v>
      </c>
      <c r="W264" s="37" t="n">
        <v>6297</v>
      </c>
      <c r="X264" s="39" t="n">
        <v>46307</v>
      </c>
      <c r="Y264" s="15" t="n">
        <v>141</v>
      </c>
      <c r="Z264" s="40" t="n">
        <v>45307</v>
      </c>
      <c r="AA264" s="41" t="n">
        <f aca="false">IF(ISNUMBER(Z264),(DATE(2026,10,13)-Z264)/365,"")</f>
        <v>2.74246575342466</v>
      </c>
      <c r="AB264" s="37" t="n">
        <v>24056</v>
      </c>
      <c r="AC264" s="15" t="s">
        <v>313</v>
      </c>
      <c r="AD264" s="15" t="n">
        <v>1</v>
      </c>
      <c r="AE264" s="15" t="s">
        <v>331</v>
      </c>
      <c r="AF264" s="42" t="n">
        <v>0</v>
      </c>
      <c r="AG264" s="42" t="n">
        <v>0</v>
      </c>
      <c r="AH264" s="15" t="n">
        <v>274</v>
      </c>
      <c r="AI264" s="37" t="n">
        <v>997443</v>
      </c>
      <c r="AJ264" s="37" t="n">
        <v>3432</v>
      </c>
      <c r="AK264" s="15" t="s">
        <v>326</v>
      </c>
      <c r="AL264" s="43" t="n">
        <v>1354.7</v>
      </c>
      <c r="AM264" s="43" t="n">
        <v>1510.2</v>
      </c>
      <c r="AN264" s="25" t="n">
        <f aca="false">IF(AND(ISNUMBER(AM264),ISNUMBER(AL264),AL264&gt;=5),AM264/AL264,"")</f>
        <v>1.1147855613789</v>
      </c>
      <c r="AO264" s="43" t="n">
        <v>152.8</v>
      </c>
      <c r="AP264" s="43" t="n">
        <v>191</v>
      </c>
      <c r="AQ264" s="25" t="n">
        <f aca="false">IF(AND(ISNUMBER(AP264),ISNUMBER(AO264),AO264&gt;=5),AP264/AO264,"")</f>
        <v>1.25</v>
      </c>
      <c r="AR264" s="43" t="n">
        <v>1293.4</v>
      </c>
      <c r="AS264" s="43" t="n">
        <v>1696.6</v>
      </c>
      <c r="AT264" s="22" t="n">
        <f aca="false">IF(AND(ISNUMBER(AS264),ISNUMBER(AR264),AR264&gt;0),AS264/AR264-1,"")</f>
        <v>0.3117365084274</v>
      </c>
      <c r="AU264" s="44"/>
      <c r="AV264" s="44"/>
      <c r="AW264" s="44"/>
      <c r="AX264" s="44"/>
      <c r="AY264" s="44"/>
      <c r="AZ264" s="45"/>
      <c r="BA264" s="45"/>
      <c r="BB264" s="46"/>
      <c r="BC264" s="46"/>
      <c r="BD264" s="23" t="str">
        <f aca="false">IF(AND(ISNUMBER(BB264),ISNUMBER(BC264),BB264&gt;0),1-BC264/BB264,"")</f>
        <v/>
      </c>
      <c r="BE264" s="47"/>
      <c r="BF264" s="48"/>
      <c r="BG264" s="48"/>
      <c r="BH264" s="27" t="str">
        <f aca="false">IF(AND(ISNUMBER(BF264),ISNUMBER(BG264),BG264&gt;0),BF264/BG264,"")</f>
        <v/>
      </c>
      <c r="BI264" s="48"/>
      <c r="BJ264" s="44"/>
      <c r="BK264" s="46"/>
      <c r="BL264" s="46"/>
      <c r="BM264" s="36" t="str">
        <f aca="false">IF(ISNUMBER(Q264),IF(Q264&lt;0,"YES","no"),"")</f>
        <v/>
      </c>
      <c r="BN264" s="36" t="str">
        <f aca="false">IFERROR(IF(AND(ISNUMBER(K264),ISNUMBER(INDEX('Lift Inputs'!$H:$H,MATCH(C264,'Lift Inputs'!$C:$C,0)))),IF(K264&lt;INDEX('Lift Inputs'!$H:$H,MATCH(C264,'Lift Inputs'!$C:$C,0)),"YES","no"),""),"")</f>
        <v/>
      </c>
      <c r="BO264" s="44"/>
    </row>
    <row r="265" customFormat="false" ht="15" hidden="false" customHeight="false" outlineLevel="0" collapsed="false">
      <c r="A265" s="15" t="s">
        <v>71</v>
      </c>
      <c r="B265" s="15" t="s">
        <v>89</v>
      </c>
      <c r="C265" s="15" t="n">
        <v>74</v>
      </c>
      <c r="D265" s="15" t="s">
        <v>208</v>
      </c>
      <c r="E265" s="15" t="n">
        <v>8</v>
      </c>
      <c r="F265" s="15" t="s">
        <v>327</v>
      </c>
      <c r="G265" s="15" t="s">
        <v>561</v>
      </c>
      <c r="H265" s="15" t="s">
        <v>562</v>
      </c>
      <c r="I265" s="15" t="s">
        <v>563</v>
      </c>
      <c r="J265" s="15"/>
      <c r="K265" s="35" t="n">
        <v>16.13</v>
      </c>
      <c r="L265" s="35" t="n">
        <v>19.99</v>
      </c>
      <c r="M265" s="23" t="n">
        <f aca="false">IF(AND(ISNUMBER(L265),ISNUMBER(K265),K265&gt;0),L265/K265-1,"")</f>
        <v>0.2393056416615</v>
      </c>
      <c r="N265" s="36" t="str">
        <f aca="false">IF(M265="","No List Price",IF(M265&lt;=0,"At/below price",IF(M265&lt;=0.12,"&lt;=12% (STR zone)",IF(M265&lt;=0.25,"12-25%","&gt;25% (likely ignored)"))))</f>
        <v>12-25%</v>
      </c>
      <c r="O265" s="15" t="s">
        <v>311</v>
      </c>
      <c r="P265" s="35"/>
      <c r="Q265" s="22" t="str">
        <f aca="false">IF(AND(ISNUMBER(K265),ISNUMBER(P265),N(P265)&gt;0),K265/P265-1,"")</f>
        <v/>
      </c>
      <c r="R265" s="15"/>
      <c r="S265" s="37" t="n">
        <v>949</v>
      </c>
      <c r="T265" s="37" t="n">
        <v>809</v>
      </c>
      <c r="U265" s="38" t="n">
        <f aca="false">IF(AND(ISNUMBER(K265),ISNUMBER(T265)),K265*T265*52/12,"")</f>
        <v>56546.4033333333</v>
      </c>
      <c r="V265" s="15" t="n">
        <v>4.5</v>
      </c>
      <c r="W265" s="37" t="n">
        <v>5747</v>
      </c>
      <c r="X265" s="39" t="n">
        <v>46307</v>
      </c>
      <c r="Y265" s="15" t="n">
        <v>128</v>
      </c>
      <c r="Z265" s="40" t="n">
        <v>44895</v>
      </c>
      <c r="AA265" s="41" t="n">
        <f aca="false">IF(ISNUMBER(Z265),(DATE(2026,10,13)-Z265)/365,"")</f>
        <v>3.87123287671233</v>
      </c>
      <c r="AB265" s="37" t="n">
        <v>15843</v>
      </c>
      <c r="AC265" s="15" t="s">
        <v>313</v>
      </c>
      <c r="AD265" s="15" t="n">
        <v>4</v>
      </c>
      <c r="AE265" s="15" t="s">
        <v>331</v>
      </c>
      <c r="AF265" s="42" t="n">
        <v>0.002</v>
      </c>
      <c r="AG265" s="42" t="n">
        <v>0</v>
      </c>
      <c r="AH265" s="15" t="n">
        <v>423</v>
      </c>
      <c r="AI265" s="37" t="n">
        <v>385363</v>
      </c>
      <c r="AJ265" s="37" t="n">
        <v>3599</v>
      </c>
      <c r="AK265" s="15" t="s">
        <v>326</v>
      </c>
      <c r="AL265" s="43" t="n">
        <v>651.1</v>
      </c>
      <c r="AM265" s="43" t="n">
        <v>674.8</v>
      </c>
      <c r="AN265" s="25" t="n">
        <f aca="false">IF(AND(ISNUMBER(AM265),ISNUMBER(AL265),AL265&gt;=5),AM265/AL265,"")</f>
        <v>1.0363999385655</v>
      </c>
      <c r="AO265" s="43" t="n">
        <v>53</v>
      </c>
      <c r="AP265" s="43" t="n">
        <v>38.8</v>
      </c>
      <c r="AQ265" s="25" t="n">
        <f aca="false">IF(AND(ISNUMBER(AP265),ISNUMBER(AO265),AO265&gt;=5),AP265/AO265,"")</f>
        <v>0.732075471698113</v>
      </c>
      <c r="AR265" s="43" t="n">
        <v>767.9</v>
      </c>
      <c r="AS265" s="43" t="n">
        <v>665.3</v>
      </c>
      <c r="AT265" s="22" t="n">
        <f aca="false">IF(AND(ISNUMBER(AS265),ISNUMBER(AR265),AR265&gt;0),AS265/AR265-1,"")</f>
        <v>-0.133611147284803</v>
      </c>
      <c r="AU265" s="44"/>
      <c r="AV265" s="44"/>
      <c r="AW265" s="44"/>
      <c r="AX265" s="44"/>
      <c r="AY265" s="44"/>
      <c r="AZ265" s="45"/>
      <c r="BA265" s="45"/>
      <c r="BB265" s="46"/>
      <c r="BC265" s="46"/>
      <c r="BD265" s="23" t="str">
        <f aca="false">IF(AND(ISNUMBER(BB265),ISNUMBER(BC265),BB265&gt;0),1-BC265/BB265,"")</f>
        <v/>
      </c>
      <c r="BE265" s="47"/>
      <c r="BF265" s="48"/>
      <c r="BG265" s="48"/>
      <c r="BH265" s="27" t="str">
        <f aca="false">IF(AND(ISNUMBER(BF265),ISNUMBER(BG265),BG265&gt;0),BF265/BG265,"")</f>
        <v/>
      </c>
      <c r="BI265" s="48"/>
      <c r="BJ265" s="44"/>
      <c r="BK265" s="46"/>
      <c r="BL265" s="46"/>
      <c r="BM265" s="36" t="str">
        <f aca="false">IF(ISNUMBER(Q265),IF(Q265&lt;0,"YES","no"),"")</f>
        <v/>
      </c>
      <c r="BN265" s="36" t="str">
        <f aca="false">IFERROR(IF(AND(ISNUMBER(K265),ISNUMBER(INDEX('Lift Inputs'!$H:$H,MATCH(C265,'Lift Inputs'!$C:$C,0)))),IF(K265&lt;INDEX('Lift Inputs'!$H:$H,MATCH(C265,'Lift Inputs'!$C:$C,0)),"YES","no"),""),"")</f>
        <v/>
      </c>
      <c r="BO265" s="44"/>
    </row>
    <row r="266" customFormat="false" ht="15" hidden="false" customHeight="false" outlineLevel="0" collapsed="false">
      <c r="A266" s="15" t="s">
        <v>71</v>
      </c>
      <c r="B266" s="15" t="s">
        <v>89</v>
      </c>
      <c r="C266" s="15" t="n">
        <v>74</v>
      </c>
      <c r="D266" s="15" t="s">
        <v>208</v>
      </c>
      <c r="E266" s="15" t="n">
        <v>72</v>
      </c>
      <c r="F266" s="15" t="s">
        <v>494</v>
      </c>
      <c r="G266" s="15" t="s">
        <v>564</v>
      </c>
      <c r="H266" s="15" t="s">
        <v>565</v>
      </c>
      <c r="I266" s="15" t="s">
        <v>566</v>
      </c>
      <c r="J266" s="15"/>
      <c r="K266" s="35" t="n">
        <v>19.99</v>
      </c>
      <c r="L266" s="35"/>
      <c r="M266" s="23" t="str">
        <f aca="false">IF(AND(ISNUMBER(L266),ISNUMBER(K266),K266&gt;0),L266/K266-1,"")</f>
        <v/>
      </c>
      <c r="N266" s="36" t="str">
        <f aca="false">IF(M266="","No List Price",IF(M266&lt;=0,"At/below price",IF(M266&lt;=0.12,"&lt;=12% (STR zone)",IF(M266&lt;=0.25,"12-25%","&gt;25% (likely ignored)"))))</f>
        <v>No List Price</v>
      </c>
      <c r="O266" s="15" t="s">
        <v>311</v>
      </c>
      <c r="P266" s="35"/>
      <c r="Q266" s="22" t="str">
        <f aca="false">IF(AND(ISNUMBER(K266),ISNUMBER(P266),N(P266)&gt;0),K266/P266-1,"")</f>
        <v/>
      </c>
      <c r="R266" s="15"/>
      <c r="S266" s="37" t="n">
        <v>2025</v>
      </c>
      <c r="T266" s="37" t="n">
        <v>809</v>
      </c>
      <c r="U266" s="38" t="n">
        <f aca="false">IF(AND(ISNUMBER(K266),ISNUMBER(T266)),K266*T266*52/12,"")</f>
        <v>70078.2766666667</v>
      </c>
      <c r="V266" s="15" t="n">
        <v>4.4</v>
      </c>
      <c r="W266" s="37" t="n">
        <v>17886</v>
      </c>
      <c r="X266" s="39" t="n">
        <v>46307</v>
      </c>
      <c r="Y266" s="15" t="n">
        <v>183</v>
      </c>
      <c r="Z266" s="40" t="n">
        <v>44081</v>
      </c>
      <c r="AA266" s="41" t="n">
        <f aca="false">IF(ISNUMBER(Z266),(DATE(2026,10,13)-Z266)/365,"")</f>
        <v>6.1013698630137</v>
      </c>
      <c r="AB266" s="37" t="n">
        <v>25725</v>
      </c>
      <c r="AC266" s="15" t="s">
        <v>313</v>
      </c>
      <c r="AD266" s="15" t="n">
        <v>1</v>
      </c>
      <c r="AE266" s="15" t="s">
        <v>336</v>
      </c>
      <c r="AF266" s="42" t="n">
        <v>0.394</v>
      </c>
      <c r="AG266" s="42" t="n">
        <v>0.340323178776637</v>
      </c>
      <c r="AH266" s="15" t="n">
        <v>452</v>
      </c>
      <c r="AI266" s="37" t="n">
        <v>356457</v>
      </c>
      <c r="AJ266" s="37" t="n">
        <v>3352</v>
      </c>
      <c r="AK266" s="15" t="s">
        <v>326</v>
      </c>
      <c r="AL266" s="43" t="n">
        <v>442.7</v>
      </c>
      <c r="AM266" s="43" t="n">
        <v>435.8</v>
      </c>
      <c r="AN266" s="25" t="n">
        <f aca="false">IF(AND(ISNUMBER(AM266),ISNUMBER(AL266),AL266&gt;=5),AM266/AL266,"")</f>
        <v>0.984413824260221</v>
      </c>
      <c r="AO266" s="43" t="n">
        <v>35.5</v>
      </c>
      <c r="AP266" s="43" t="n">
        <v>76</v>
      </c>
      <c r="AQ266" s="25" t="n">
        <f aca="false">IF(AND(ISNUMBER(AP266),ISNUMBER(AO266),AO266&gt;=5),AP266/AO266,"")</f>
        <v>2.14084507042254</v>
      </c>
      <c r="AR266" s="43" t="n">
        <v>433.4</v>
      </c>
      <c r="AS266" s="43" t="n">
        <v>502.5</v>
      </c>
      <c r="AT266" s="22" t="n">
        <f aca="false">IF(AND(ISNUMBER(AS266),ISNUMBER(AR266),AR266&gt;0),AS266/AR266-1,"")</f>
        <v>0.159437009690817</v>
      </c>
      <c r="AU266" s="44"/>
      <c r="AV266" s="44"/>
      <c r="AW266" s="44"/>
      <c r="AX266" s="44"/>
      <c r="AY266" s="44"/>
      <c r="AZ266" s="45"/>
      <c r="BA266" s="45"/>
      <c r="BB266" s="46"/>
      <c r="BC266" s="46"/>
      <c r="BD266" s="23" t="str">
        <f aca="false">IF(AND(ISNUMBER(BB266),ISNUMBER(BC266),BB266&gt;0),1-BC266/BB266,"")</f>
        <v/>
      </c>
      <c r="BE266" s="47"/>
      <c r="BF266" s="48"/>
      <c r="BG266" s="48"/>
      <c r="BH266" s="27" t="str">
        <f aca="false">IF(AND(ISNUMBER(BF266),ISNUMBER(BG266),BG266&gt;0),BF266/BG266,"")</f>
        <v/>
      </c>
      <c r="BI266" s="48"/>
      <c r="BJ266" s="44"/>
      <c r="BK266" s="46"/>
      <c r="BL266" s="46"/>
      <c r="BM266" s="36" t="str">
        <f aca="false">IF(ISNUMBER(Q266),IF(Q266&lt;0,"YES","no"),"")</f>
        <v/>
      </c>
      <c r="BN266" s="36" t="str">
        <f aca="false">IFERROR(IF(AND(ISNUMBER(K266),ISNUMBER(INDEX('Lift Inputs'!$H:$H,MATCH(C266,'Lift Inputs'!$C:$C,0)))),IF(K266&lt;INDEX('Lift Inputs'!$H:$H,MATCH(C266,'Lift Inputs'!$C:$C,0)),"YES","no"),""),"")</f>
        <v/>
      </c>
      <c r="BO266" s="44"/>
    </row>
    <row r="267" customFormat="false" ht="15" hidden="false" customHeight="false" outlineLevel="0" collapsed="false">
      <c r="A267" s="15" t="s">
        <v>71</v>
      </c>
      <c r="B267" s="15" t="s">
        <v>89</v>
      </c>
      <c r="C267" s="15" t="n">
        <v>74</v>
      </c>
      <c r="D267" s="15" t="s">
        <v>208</v>
      </c>
      <c r="E267" s="15" t="n">
        <v>1526</v>
      </c>
      <c r="F267" s="15" t="s">
        <v>475</v>
      </c>
      <c r="G267" s="15" t="s">
        <v>567</v>
      </c>
      <c r="H267" s="15" t="s">
        <v>568</v>
      </c>
      <c r="I267" s="15" t="s">
        <v>569</v>
      </c>
      <c r="J267" s="15"/>
      <c r="K267" s="35" t="n">
        <v>13.99</v>
      </c>
      <c r="L267" s="35" t="n">
        <v>18.99</v>
      </c>
      <c r="M267" s="23" t="n">
        <f aca="false">IF(AND(ISNUMBER(L267),ISNUMBER(K267),K267&gt;0),L267/K267-1,"")</f>
        <v>0.357398141529664</v>
      </c>
      <c r="N267" s="36" t="str">
        <f aca="false">IF(M267="","No List Price",IF(M267&lt;=0,"At/below price",IF(M267&lt;=0.12,"&lt;=12% (STR zone)",IF(M267&lt;=0.25,"12-25%","&gt;25% (likely ignored)"))))</f>
        <v>&gt;25% (likely ignored)</v>
      </c>
      <c r="O267" s="15" t="s">
        <v>311</v>
      </c>
      <c r="P267" s="35"/>
      <c r="Q267" s="22" t="str">
        <f aca="false">IF(AND(ISNUMBER(K267),ISNUMBER(P267),N(P267)&gt;0),K267/P267-1,"")</f>
        <v/>
      </c>
      <c r="R267" s="15"/>
      <c r="S267" s="37" t="n">
        <v>3102</v>
      </c>
      <c r="T267" s="37" t="n">
        <v>347</v>
      </c>
      <c r="U267" s="38" t="n">
        <f aca="false">IF(AND(ISNUMBER(K267),ISNUMBER(T267)),K267*T267*52/12,"")</f>
        <v>21036.2966666667</v>
      </c>
      <c r="V267" s="15" t="n">
        <v>4.3</v>
      </c>
      <c r="W267" s="37" t="n">
        <v>7075</v>
      </c>
      <c r="X267" s="39" t="n">
        <v>46307</v>
      </c>
      <c r="Y267" s="15" t="n">
        <v>115</v>
      </c>
      <c r="Z267" s="40" t="n">
        <v>44158</v>
      </c>
      <c r="AA267" s="41" t="n">
        <f aca="false">IF(ISNUMBER(Z267),(DATE(2026,10,13)-Z267)/365,"")</f>
        <v>5.89041095890411</v>
      </c>
      <c r="AB267" s="37" t="n">
        <v>13814</v>
      </c>
      <c r="AC267" s="15" t="s">
        <v>313</v>
      </c>
      <c r="AD267" s="15" t="n">
        <v>2</v>
      </c>
      <c r="AE267" s="15" t="s">
        <v>331</v>
      </c>
      <c r="AF267" s="42" t="n">
        <v>0</v>
      </c>
      <c r="AG267" s="42" t="n">
        <v>0</v>
      </c>
      <c r="AH267" s="15" t="n">
        <v>453</v>
      </c>
      <c r="AI267" s="37" t="n">
        <v>164434</v>
      </c>
      <c r="AJ267" s="37" t="n">
        <v>2031</v>
      </c>
      <c r="AK267" s="15" t="s">
        <v>326</v>
      </c>
      <c r="AL267" s="43" t="n">
        <v>864</v>
      </c>
      <c r="AM267" s="43" t="n">
        <v>705.8</v>
      </c>
      <c r="AN267" s="25" t="n">
        <f aca="false">IF(AND(ISNUMBER(AM267),ISNUMBER(AL267),AL267&gt;=5),AM267/AL267,"")</f>
        <v>0.816898148148148</v>
      </c>
      <c r="AO267" s="43" t="n">
        <v>82.8</v>
      </c>
      <c r="AP267" s="43" t="n">
        <v>78</v>
      </c>
      <c r="AQ267" s="25" t="n">
        <f aca="false">IF(AND(ISNUMBER(AP267),ISNUMBER(AO267),AO267&gt;=5),AP267/AO267,"")</f>
        <v>0.942028985507247</v>
      </c>
      <c r="AR267" s="43" t="n">
        <v>572.8</v>
      </c>
      <c r="AS267" s="43" t="n">
        <v>489.9</v>
      </c>
      <c r="AT267" s="22" t="n">
        <f aca="false">IF(AND(ISNUMBER(AS267),ISNUMBER(AR267),AR267&gt;0),AS267/AR267-1,"")</f>
        <v>-0.144727653631285</v>
      </c>
      <c r="AU267" s="44"/>
      <c r="AV267" s="44"/>
      <c r="AW267" s="44"/>
      <c r="AX267" s="44"/>
      <c r="AY267" s="44"/>
      <c r="AZ267" s="45"/>
      <c r="BA267" s="45"/>
      <c r="BB267" s="46"/>
      <c r="BC267" s="46"/>
      <c r="BD267" s="23" t="str">
        <f aca="false">IF(AND(ISNUMBER(BB267),ISNUMBER(BC267),BB267&gt;0),1-BC267/BB267,"")</f>
        <v/>
      </c>
      <c r="BE267" s="47"/>
      <c r="BF267" s="48"/>
      <c r="BG267" s="48"/>
      <c r="BH267" s="27" t="str">
        <f aca="false">IF(AND(ISNUMBER(BF267),ISNUMBER(BG267),BG267&gt;0),BF267/BG267,"")</f>
        <v/>
      </c>
      <c r="BI267" s="48"/>
      <c r="BJ267" s="44"/>
      <c r="BK267" s="46"/>
      <c r="BL267" s="46"/>
      <c r="BM267" s="36" t="str">
        <f aca="false">IF(ISNUMBER(Q267),IF(Q267&lt;0,"YES","no"),"")</f>
        <v/>
      </c>
      <c r="BN267" s="36" t="str">
        <f aca="false">IFERROR(IF(AND(ISNUMBER(K267),ISNUMBER(INDEX('Lift Inputs'!$H:$H,MATCH(C267,'Lift Inputs'!$C:$C,0)))),IF(K267&lt;INDEX('Lift Inputs'!$H:$H,MATCH(C267,'Lift Inputs'!$C:$C,0)),"YES","no"),""),"")</f>
        <v/>
      </c>
      <c r="BO267" s="44"/>
    </row>
    <row r="268" customFormat="false" ht="15" hidden="false" customHeight="false" outlineLevel="0" collapsed="false">
      <c r="A268" s="15" t="s">
        <v>71</v>
      </c>
      <c r="B268" s="15" t="s">
        <v>89</v>
      </c>
      <c r="C268" s="15" t="n">
        <v>74</v>
      </c>
      <c r="D268" s="15" t="s">
        <v>208</v>
      </c>
      <c r="E268" s="15" t="n">
        <v>1527</v>
      </c>
      <c r="F268" s="15" t="s">
        <v>362</v>
      </c>
      <c r="G268" s="15" t="s">
        <v>646</v>
      </c>
      <c r="H268" s="15" t="s">
        <v>647</v>
      </c>
      <c r="I268" s="15" t="s">
        <v>648</v>
      </c>
      <c r="J268" s="15"/>
      <c r="K268" s="35" t="n">
        <v>15.98</v>
      </c>
      <c r="L268" s="35" t="n">
        <v>19.99</v>
      </c>
      <c r="M268" s="23" t="n">
        <f aca="false">IF(AND(ISNUMBER(L268),ISNUMBER(K268),K268&gt;0),L268/K268-1,"")</f>
        <v>0.250938673341677</v>
      </c>
      <c r="N268" s="36" t="str">
        <f aca="false">IF(M268="","No List Price",IF(M268&lt;=0,"At/below price",IF(M268&lt;=0.12,"&lt;=12% (STR zone)",IF(M268&lt;=0.25,"12-25%","&gt;25% (likely ignored)"))))</f>
        <v>&gt;25% (likely ignored)</v>
      </c>
      <c r="O268" s="15" t="s">
        <v>311</v>
      </c>
      <c r="P268" s="35"/>
      <c r="Q268" s="22" t="str">
        <f aca="false">IF(AND(ISNUMBER(K268),ISNUMBER(P268),N(P268)&gt;0),K268/P268-1,"")</f>
        <v/>
      </c>
      <c r="R268" s="15"/>
      <c r="S268" s="37" t="n">
        <v>4306</v>
      </c>
      <c r="T268" s="37" t="n">
        <v>208</v>
      </c>
      <c r="U268" s="38" t="n">
        <f aca="false">IF(AND(ISNUMBER(K268),ISNUMBER(T268)),K268*T268*52/12,"")</f>
        <v>14403.3066666667</v>
      </c>
      <c r="V268" s="15" t="n">
        <v>4.4</v>
      </c>
      <c r="W268" s="37" t="n">
        <v>1858</v>
      </c>
      <c r="X268" s="39" t="n">
        <v>46307</v>
      </c>
      <c r="Y268" s="15" t="n">
        <v>107</v>
      </c>
      <c r="Z268" s="40" t="n">
        <v>45307</v>
      </c>
      <c r="AA268" s="41" t="n">
        <f aca="false">IF(ISNUMBER(Z268),(DATE(2026,10,13)-Z268)/365,"")</f>
        <v>2.74246575342466</v>
      </c>
      <c r="AB268" s="37" t="n">
        <v>8125</v>
      </c>
      <c r="AC268" s="15" t="s">
        <v>313</v>
      </c>
      <c r="AD268" s="15" t="n">
        <v>2</v>
      </c>
      <c r="AE268" s="15" t="s">
        <v>331</v>
      </c>
      <c r="AF268" s="42" t="n">
        <v>0</v>
      </c>
      <c r="AG268" s="42" t="n">
        <v>0</v>
      </c>
      <c r="AH268" s="15" t="n">
        <v>403</v>
      </c>
      <c r="AI268" s="37" t="n">
        <v>179643</v>
      </c>
      <c r="AJ268" s="37" t="n">
        <v>2252</v>
      </c>
      <c r="AK268" s="15" t="s">
        <v>326</v>
      </c>
      <c r="AL268" s="43" t="n">
        <v>153.3</v>
      </c>
      <c r="AM268" s="43" t="n">
        <v>171.5</v>
      </c>
      <c r="AN268" s="25" t="n">
        <f aca="false">IF(AND(ISNUMBER(AM268),ISNUMBER(AL268),AL268&gt;=5),AM268/AL268,"")</f>
        <v>1.11872146118721</v>
      </c>
      <c r="AO268" s="43" t="n">
        <v>58</v>
      </c>
      <c r="AP268" s="43" t="n">
        <v>91.2</v>
      </c>
      <c r="AQ268" s="25" t="n">
        <f aca="false">IF(AND(ISNUMBER(AP268),ISNUMBER(AO268),AO268&gt;=5),AP268/AO268,"")</f>
        <v>1.57241379310345</v>
      </c>
      <c r="AR268" s="43" t="n">
        <v>164.5</v>
      </c>
      <c r="AS268" s="43" t="n">
        <v>171.2</v>
      </c>
      <c r="AT268" s="22" t="n">
        <f aca="false">IF(AND(ISNUMBER(AS268),ISNUMBER(AR268),AR268&gt;0),AS268/AR268-1,"")</f>
        <v>0.0407294832826748</v>
      </c>
      <c r="AU268" s="44"/>
      <c r="AV268" s="44"/>
      <c r="AW268" s="44"/>
      <c r="AX268" s="44"/>
      <c r="AY268" s="44"/>
      <c r="AZ268" s="45"/>
      <c r="BA268" s="45"/>
      <c r="BB268" s="46"/>
      <c r="BC268" s="46"/>
      <c r="BD268" s="23" t="str">
        <f aca="false">IF(AND(ISNUMBER(BB268),ISNUMBER(BC268),BB268&gt;0),1-BC268/BB268,"")</f>
        <v/>
      </c>
      <c r="BE268" s="47"/>
      <c r="BF268" s="48"/>
      <c r="BG268" s="48"/>
      <c r="BH268" s="27" t="str">
        <f aca="false">IF(AND(ISNUMBER(BF268),ISNUMBER(BG268),BG268&gt;0),BF268/BG268,"")</f>
        <v/>
      </c>
      <c r="BI268" s="48"/>
      <c r="BJ268" s="44"/>
      <c r="BK268" s="46"/>
      <c r="BL268" s="46"/>
      <c r="BM268" s="36" t="str">
        <f aca="false">IF(ISNUMBER(Q268),IF(Q268&lt;0,"YES","no"),"")</f>
        <v/>
      </c>
      <c r="BN268" s="36" t="str">
        <f aca="false">IFERROR(IF(AND(ISNUMBER(K268),ISNUMBER(INDEX('Lift Inputs'!$H:$H,MATCH(C268,'Lift Inputs'!$C:$C,0)))),IF(K268&lt;INDEX('Lift Inputs'!$H:$H,MATCH(C268,'Lift Inputs'!$C:$C,0)),"YES","no"),""),"")</f>
        <v/>
      </c>
      <c r="BO268" s="44"/>
    </row>
    <row r="269" customFormat="false" ht="15" hidden="false" customHeight="false" outlineLevel="0" collapsed="false">
      <c r="A269" s="15" t="s">
        <v>71</v>
      </c>
      <c r="B269" s="15" t="s">
        <v>89</v>
      </c>
      <c r="C269" s="15" t="n">
        <v>74</v>
      </c>
      <c r="D269" s="15" t="s">
        <v>208</v>
      </c>
      <c r="E269" s="15" t="n">
        <v>1528</v>
      </c>
      <c r="F269" s="15" t="s">
        <v>570</v>
      </c>
      <c r="G269" s="15" t="s">
        <v>571</v>
      </c>
      <c r="H269" s="15" t="s">
        <v>572</v>
      </c>
      <c r="I269" s="15" t="s">
        <v>573</v>
      </c>
      <c r="J269" s="15"/>
      <c r="K269" s="35" t="n">
        <v>22.99</v>
      </c>
      <c r="L269" s="35"/>
      <c r="M269" s="23" t="str">
        <f aca="false">IF(AND(ISNUMBER(L269),ISNUMBER(K269),K269&gt;0),L269/K269-1,"")</f>
        <v/>
      </c>
      <c r="N269" s="36" t="str">
        <f aca="false">IF(M269="","No List Price",IF(M269&lt;=0,"At/below price",IF(M269&lt;=0.12,"&lt;=12% (STR zone)",IF(M269&lt;=0.25,"12-25%","&gt;25% (likely ignored)"))))</f>
        <v>No List Price</v>
      </c>
      <c r="O269" s="15" t="s">
        <v>311</v>
      </c>
      <c r="P269" s="35"/>
      <c r="Q269" s="22" t="str">
        <f aca="false">IF(AND(ISNUMBER(K269),ISNUMBER(P269),N(P269)&gt;0),K269/P269-1,"")</f>
        <v/>
      </c>
      <c r="R269" s="15"/>
      <c r="S269" s="37" t="n">
        <v>4671</v>
      </c>
      <c r="T269" s="37" t="n">
        <v>208</v>
      </c>
      <c r="U269" s="38" t="n">
        <f aca="false">IF(AND(ISNUMBER(K269),ISNUMBER(T269)),K269*T269*52/12,"")</f>
        <v>20721.6533333333</v>
      </c>
      <c r="V269" s="15" t="n">
        <v>4.3</v>
      </c>
      <c r="W269" s="37" t="n">
        <v>5837</v>
      </c>
      <c r="X269" s="39" t="n">
        <v>46307</v>
      </c>
      <c r="Y269" s="15" t="n">
        <v>154</v>
      </c>
      <c r="Z269" s="40" t="n">
        <v>43803</v>
      </c>
      <c r="AA269" s="41" t="n">
        <f aca="false">IF(ISNUMBER(Z269),(DATE(2026,10,13)-Z269)/365,"")</f>
        <v>6.86301369863014</v>
      </c>
      <c r="AB269" s="37" t="n">
        <v>9242</v>
      </c>
      <c r="AC269" s="15" t="s">
        <v>313</v>
      </c>
      <c r="AD269" s="15" t="n">
        <v>1</v>
      </c>
      <c r="AE269" s="15" t="s">
        <v>331</v>
      </c>
      <c r="AF269" s="42" t="n">
        <v>0</v>
      </c>
      <c r="AG269" s="42" t="n">
        <v>0</v>
      </c>
      <c r="AH269" s="15" t="n">
        <v>334</v>
      </c>
      <c r="AI269" s="37" t="n">
        <v>163454</v>
      </c>
      <c r="AJ269" s="37" t="n">
        <v>1240</v>
      </c>
      <c r="AK269" s="15" t="s">
        <v>326</v>
      </c>
      <c r="AL269" s="43" t="n">
        <v>43.5</v>
      </c>
      <c r="AM269" s="43" t="n">
        <v>18.2</v>
      </c>
      <c r="AN269" s="25" t="n">
        <f aca="false">IF(AND(ISNUMBER(AM269),ISNUMBER(AL269),AL269&gt;=5),AM269/AL269,"")</f>
        <v>0.418390804597701</v>
      </c>
      <c r="AO269" s="43" t="n">
        <v>91.2</v>
      </c>
      <c r="AP269" s="43" t="n">
        <v>70</v>
      </c>
      <c r="AQ269" s="25" t="n">
        <f aca="false">IF(AND(ISNUMBER(AP269),ISNUMBER(AO269),AO269&gt;=5),AP269/AO269,"")</f>
        <v>0.767543859649123</v>
      </c>
      <c r="AR269" s="43" t="n">
        <v>57.6</v>
      </c>
      <c r="AS269" s="43" t="n">
        <v>162.2</v>
      </c>
      <c r="AT269" s="22" t="n">
        <f aca="false">IF(AND(ISNUMBER(AS269),ISNUMBER(AR269),AR269&gt;0),AS269/AR269-1,"")</f>
        <v>1.81597222222222</v>
      </c>
      <c r="AU269" s="44"/>
      <c r="AV269" s="44"/>
      <c r="AW269" s="44"/>
      <c r="AX269" s="44"/>
      <c r="AY269" s="44"/>
      <c r="AZ269" s="45"/>
      <c r="BA269" s="45"/>
      <c r="BB269" s="46"/>
      <c r="BC269" s="46"/>
      <c r="BD269" s="23" t="str">
        <f aca="false">IF(AND(ISNUMBER(BB269),ISNUMBER(BC269),BB269&gt;0),1-BC269/BB269,"")</f>
        <v/>
      </c>
      <c r="BE269" s="47"/>
      <c r="BF269" s="48"/>
      <c r="BG269" s="48"/>
      <c r="BH269" s="27" t="str">
        <f aca="false">IF(AND(ISNUMBER(BF269),ISNUMBER(BG269),BG269&gt;0),BF269/BG269,"")</f>
        <v/>
      </c>
      <c r="BI269" s="48"/>
      <c r="BJ269" s="44"/>
      <c r="BK269" s="46"/>
      <c r="BL269" s="46"/>
      <c r="BM269" s="36" t="str">
        <f aca="false">IF(ISNUMBER(Q269),IF(Q269&lt;0,"YES","no"),"")</f>
        <v/>
      </c>
      <c r="BN269" s="36" t="str">
        <f aca="false">IFERROR(IF(AND(ISNUMBER(K269),ISNUMBER(INDEX('Lift Inputs'!$H:$H,MATCH(C269,'Lift Inputs'!$C:$C,0)))),IF(K269&lt;INDEX('Lift Inputs'!$H:$H,MATCH(C269,'Lift Inputs'!$C:$C,0)),"YES","no"),""),"")</f>
        <v/>
      </c>
      <c r="BO269" s="44"/>
    </row>
    <row r="270" customFormat="false" ht="15" hidden="false" customHeight="false" outlineLevel="0" collapsed="false">
      <c r="A270" s="15" t="s">
        <v>71</v>
      </c>
      <c r="B270" s="15" t="s">
        <v>89</v>
      </c>
      <c r="C270" s="15" t="n">
        <v>74</v>
      </c>
      <c r="D270" s="15" t="s">
        <v>208</v>
      </c>
      <c r="E270" s="15" t="n">
        <v>159</v>
      </c>
      <c r="F270" s="15" t="s">
        <v>574</v>
      </c>
      <c r="G270" s="15" t="s">
        <v>575</v>
      </c>
      <c r="H270" s="15" t="s">
        <v>576</v>
      </c>
      <c r="I270" s="15" t="s">
        <v>577</v>
      </c>
      <c r="J270" s="15"/>
      <c r="K270" s="35" t="n">
        <v>23.99</v>
      </c>
      <c r="L270" s="35"/>
      <c r="M270" s="23" t="str">
        <f aca="false">IF(AND(ISNUMBER(L270),ISNUMBER(K270),K270&gt;0),L270/K270-1,"")</f>
        <v/>
      </c>
      <c r="N270" s="36" t="str">
        <f aca="false">IF(M270="","No List Price",IF(M270&lt;=0,"At/below price",IF(M270&lt;=0.12,"&lt;=12% (STR zone)",IF(M270&lt;=0.25,"12-25%","&gt;25% (likely ignored)"))))</f>
        <v>No List Price</v>
      </c>
      <c r="O270" s="15"/>
      <c r="P270" s="35"/>
      <c r="Q270" s="22" t="str">
        <f aca="false">IF(AND(ISNUMBER(K270),ISNUMBER(P270),N(P270)&gt;0),K270/P270-1,"")</f>
        <v/>
      </c>
      <c r="R270" s="15"/>
      <c r="S270" s="37" t="n">
        <v>17918</v>
      </c>
      <c r="T270" s="37" t="n">
        <v>104</v>
      </c>
      <c r="U270" s="38" t="n">
        <f aca="false">IF(AND(ISNUMBER(K270),ISNUMBER(T270)),K270*T270*52/12,"")</f>
        <v>10811.4933333333</v>
      </c>
      <c r="V270" s="15" t="n">
        <v>4.4</v>
      </c>
      <c r="W270" s="37" t="n">
        <v>780</v>
      </c>
      <c r="X270" s="39" t="n">
        <v>46307</v>
      </c>
      <c r="Y270" s="15"/>
      <c r="Z270" s="40"/>
      <c r="AA270" s="41" t="str">
        <f aca="false">IF(ISNUMBER(Z270),(DATE(2026,10,13)-Z270)/365,"")</f>
        <v/>
      </c>
      <c r="AB270" s="37"/>
      <c r="AC270" s="15"/>
      <c r="AD270" s="15"/>
      <c r="AE270" s="15"/>
      <c r="AF270" s="42"/>
      <c r="AG270" s="42"/>
      <c r="AH270" s="15"/>
      <c r="AI270" s="37" t="n">
        <v>99046</v>
      </c>
      <c r="AJ270" s="37" t="n">
        <v>1117</v>
      </c>
      <c r="AK270" s="15" t="s">
        <v>315</v>
      </c>
      <c r="AL270" s="43" t="n">
        <v>1</v>
      </c>
      <c r="AM270" s="43" t="n">
        <v>1</v>
      </c>
      <c r="AN270" s="25" t="str">
        <f aca="false">IF(AND(ISNUMBER(AM270),ISNUMBER(AL270),AL270&gt;=5),AM270/AL270,"")</f>
        <v/>
      </c>
      <c r="AO270" s="43" t="n">
        <v>0</v>
      </c>
      <c r="AP270" s="43" t="n">
        <v>0</v>
      </c>
      <c r="AQ270" s="25" t="str">
        <f aca="false">IF(AND(ISNUMBER(AP270),ISNUMBER(AO270),AO270&gt;=5),AP270/AO270,"")</f>
        <v/>
      </c>
      <c r="AR270" s="43" t="n">
        <v>1.5</v>
      </c>
      <c r="AS270" s="43" t="n">
        <v>14</v>
      </c>
      <c r="AT270" s="22" t="n">
        <f aca="false">IF(AND(ISNUMBER(AS270),ISNUMBER(AR270),AR270&gt;0),AS270/AR270-1,"")</f>
        <v>8.33333333333333</v>
      </c>
      <c r="AU270" s="44"/>
      <c r="AV270" s="44"/>
      <c r="AW270" s="44"/>
      <c r="AX270" s="44"/>
      <c r="AY270" s="44"/>
      <c r="AZ270" s="45"/>
      <c r="BA270" s="45"/>
      <c r="BB270" s="46"/>
      <c r="BC270" s="46"/>
      <c r="BD270" s="23" t="str">
        <f aca="false">IF(AND(ISNUMBER(BB270),ISNUMBER(BC270),BB270&gt;0),1-BC270/BB270,"")</f>
        <v/>
      </c>
      <c r="BE270" s="47"/>
      <c r="BF270" s="48"/>
      <c r="BG270" s="48"/>
      <c r="BH270" s="27" t="str">
        <f aca="false">IF(AND(ISNUMBER(BF270),ISNUMBER(BG270),BG270&gt;0),BF270/BG270,"")</f>
        <v/>
      </c>
      <c r="BI270" s="48"/>
      <c r="BJ270" s="44"/>
      <c r="BK270" s="46"/>
      <c r="BL270" s="46"/>
      <c r="BM270" s="36" t="str">
        <f aca="false">IF(ISNUMBER(Q270),IF(Q270&lt;0,"YES","no"),"")</f>
        <v/>
      </c>
      <c r="BN270" s="36" t="str">
        <f aca="false">IFERROR(IF(AND(ISNUMBER(K270),ISNUMBER(INDEX('Lift Inputs'!$H:$H,MATCH(C270,'Lift Inputs'!$C:$C,0)))),IF(K270&lt;INDEX('Lift Inputs'!$H:$H,MATCH(C270,'Lift Inputs'!$C:$C,0)),"YES","no"),""),"")</f>
        <v/>
      </c>
      <c r="BO270" s="44"/>
    </row>
    <row r="271" customFormat="false" ht="15" hidden="false" customHeight="false" outlineLevel="0" collapsed="false">
      <c r="A271" s="15" t="s">
        <v>71</v>
      </c>
      <c r="B271" s="15" t="s">
        <v>89</v>
      </c>
      <c r="C271" s="15" t="n">
        <v>74</v>
      </c>
      <c r="D271" s="15" t="s">
        <v>208</v>
      </c>
      <c r="E271" s="15" t="n">
        <v>147</v>
      </c>
      <c r="F271" s="15" t="s">
        <v>613</v>
      </c>
      <c r="G271" s="15" t="s">
        <v>614</v>
      </c>
      <c r="H271" s="15" t="s">
        <v>615</v>
      </c>
      <c r="I271" s="15" t="s">
        <v>616</v>
      </c>
      <c r="J271" s="15"/>
      <c r="K271" s="35" t="n">
        <v>26.99</v>
      </c>
      <c r="L271" s="35"/>
      <c r="M271" s="23" t="str">
        <f aca="false">IF(AND(ISNUMBER(L271),ISNUMBER(K271),K271&gt;0),L271/K271-1,"")</f>
        <v/>
      </c>
      <c r="N271" s="36" t="str">
        <f aca="false">IF(M271="","No List Price",IF(M271&lt;=0,"At/below price",IF(M271&lt;=0.12,"&lt;=12% (STR zone)",IF(M271&lt;=0.25,"12-25%","&gt;25% (likely ignored)"))))</f>
        <v>No List Price</v>
      </c>
      <c r="O271" s="15" t="s">
        <v>311</v>
      </c>
      <c r="P271" s="35"/>
      <c r="Q271" s="22" t="str">
        <f aca="false">IF(AND(ISNUMBER(K271),ISNUMBER(P271),N(P271)&gt;0),K271/P271-1,"")</f>
        <v/>
      </c>
      <c r="R271" s="15"/>
      <c r="S271" s="37" t="n">
        <v>20031</v>
      </c>
      <c r="T271" s="37" t="n">
        <v>104</v>
      </c>
      <c r="U271" s="38" t="n">
        <f aca="false">IF(AND(ISNUMBER(K271),ISNUMBER(T271)),K271*T271*52/12,"")</f>
        <v>12163.4933333333</v>
      </c>
      <c r="V271" s="15" t="n">
        <v>4.4</v>
      </c>
      <c r="W271" s="37" t="n">
        <v>4031</v>
      </c>
      <c r="X271" s="39" t="n">
        <v>46307</v>
      </c>
      <c r="Y271" s="15" t="n">
        <v>47</v>
      </c>
      <c r="Z271" s="40" t="n">
        <v>44180</v>
      </c>
      <c r="AA271" s="41" t="n">
        <f aca="false">IF(ISNUMBER(Z271),(DATE(2026,10,13)-Z271)/365,"")</f>
        <v>5.83013698630137</v>
      </c>
      <c r="AB271" s="37" t="n">
        <v>3299</v>
      </c>
      <c r="AC271" s="15" t="s">
        <v>313</v>
      </c>
      <c r="AD271" s="15" t="n">
        <v>1</v>
      </c>
      <c r="AE271" s="15" t="s">
        <v>331</v>
      </c>
      <c r="AF271" s="42" t="n">
        <v>0</v>
      </c>
      <c r="AG271" s="42" t="n">
        <v>0</v>
      </c>
      <c r="AH271" s="15" t="n">
        <v>125</v>
      </c>
      <c r="AI271" s="37" t="n">
        <v>66544</v>
      </c>
      <c r="AJ271" s="37" t="n">
        <v>832</v>
      </c>
      <c r="AK271" s="15" t="s">
        <v>326</v>
      </c>
      <c r="AL271" s="43" t="n">
        <v>82.8</v>
      </c>
      <c r="AM271" s="43" t="n">
        <v>97</v>
      </c>
      <c r="AN271" s="25" t="n">
        <f aca="false">IF(AND(ISNUMBER(AM271),ISNUMBER(AL271),AL271&gt;=5),AM271/AL271,"")</f>
        <v>1.17149758454106</v>
      </c>
      <c r="AO271" s="43" t="n">
        <v>8.8</v>
      </c>
      <c r="AP271" s="43" t="n">
        <v>12.2</v>
      </c>
      <c r="AQ271" s="25" t="n">
        <f aca="false">IF(AND(ISNUMBER(AP271),ISNUMBER(AO271),AO271&gt;=5),AP271/AO271,"")</f>
        <v>1.38636363636364</v>
      </c>
      <c r="AR271" s="43" t="n">
        <v>82.4</v>
      </c>
      <c r="AS271" s="43" t="n">
        <v>132.5</v>
      </c>
      <c r="AT271" s="22" t="n">
        <f aca="false">IF(AND(ISNUMBER(AS271),ISNUMBER(AR271),AR271&gt;0),AS271/AR271-1,"")</f>
        <v>0.608009708737864</v>
      </c>
      <c r="AU271" s="44"/>
      <c r="AV271" s="44"/>
      <c r="AW271" s="44"/>
      <c r="AX271" s="44"/>
      <c r="AY271" s="44"/>
      <c r="AZ271" s="45"/>
      <c r="BA271" s="45"/>
      <c r="BB271" s="46"/>
      <c r="BC271" s="46"/>
      <c r="BD271" s="23" t="str">
        <f aca="false">IF(AND(ISNUMBER(BB271),ISNUMBER(BC271),BB271&gt;0),1-BC271/BB271,"")</f>
        <v/>
      </c>
      <c r="BE271" s="47"/>
      <c r="BF271" s="48"/>
      <c r="BG271" s="48"/>
      <c r="BH271" s="27" t="str">
        <f aca="false">IF(AND(ISNUMBER(BF271),ISNUMBER(BG271),BG271&gt;0),BF271/BG271,"")</f>
        <v/>
      </c>
      <c r="BI271" s="48"/>
      <c r="BJ271" s="44"/>
      <c r="BK271" s="46"/>
      <c r="BL271" s="46"/>
      <c r="BM271" s="36" t="str">
        <f aca="false">IF(ISNUMBER(Q271),IF(Q271&lt;0,"YES","no"),"")</f>
        <v/>
      </c>
      <c r="BN271" s="36" t="str">
        <f aca="false">IFERROR(IF(AND(ISNUMBER(K271),ISNUMBER(INDEX('Lift Inputs'!$H:$H,MATCH(C271,'Lift Inputs'!$C:$C,0)))),IF(K271&lt;INDEX('Lift Inputs'!$H:$H,MATCH(C271,'Lift Inputs'!$C:$C,0)),"YES","no"),""),"")</f>
        <v/>
      </c>
      <c r="BO271" s="44"/>
    </row>
    <row r="272" customFormat="false" ht="15" hidden="false" customHeight="false" outlineLevel="0" collapsed="false">
      <c r="A272" s="15" t="s">
        <v>71</v>
      </c>
      <c r="B272" s="15" t="s">
        <v>89</v>
      </c>
      <c r="C272" s="15" t="n">
        <v>74</v>
      </c>
      <c r="D272" s="15" t="s">
        <v>208</v>
      </c>
      <c r="E272" s="15" t="n">
        <v>146</v>
      </c>
      <c r="F272" s="15" t="s">
        <v>307</v>
      </c>
      <c r="G272" s="15" t="s">
        <v>617</v>
      </c>
      <c r="H272" s="15" t="s">
        <v>618</v>
      </c>
      <c r="I272" s="15" t="s">
        <v>577</v>
      </c>
      <c r="J272" s="15"/>
      <c r="K272" s="35" t="n">
        <v>19.99</v>
      </c>
      <c r="L272" s="35"/>
      <c r="M272" s="23" t="str">
        <f aca="false">IF(AND(ISNUMBER(L272),ISNUMBER(K272),K272&gt;0),L272/K272-1,"")</f>
        <v/>
      </c>
      <c r="N272" s="36" t="str">
        <f aca="false">IF(M272="","No List Price",IF(M272&lt;=0,"At/below price",IF(M272&lt;=0.12,"&lt;=12% (STR zone)",IF(M272&lt;=0.25,"12-25%","&gt;25% (likely ignored)"))))</f>
        <v>No List Price</v>
      </c>
      <c r="O272" s="15"/>
      <c r="P272" s="35"/>
      <c r="Q272" s="22" t="str">
        <f aca="false">IF(AND(ISNUMBER(K272),ISNUMBER(P272),N(P272)&gt;0),K272/P272-1,"")</f>
        <v/>
      </c>
      <c r="R272" s="15"/>
      <c r="S272" s="37" t="n">
        <v>22342</v>
      </c>
      <c r="T272" s="37" t="n">
        <v>92</v>
      </c>
      <c r="U272" s="38" t="n">
        <f aca="false">IF(AND(ISNUMBER(K272),ISNUMBER(T272)),K272*T272*52/12,"")</f>
        <v>7969.34666666667</v>
      </c>
      <c r="V272" s="15" t="n">
        <v>4.3</v>
      </c>
      <c r="W272" s="37" t="n">
        <v>2745</v>
      </c>
      <c r="X272" s="39" t="n">
        <v>46307</v>
      </c>
      <c r="Y272" s="15"/>
      <c r="Z272" s="40"/>
      <c r="AA272" s="41" t="str">
        <f aca="false">IF(ISNUMBER(Z272),(DATE(2026,10,13)-Z272)/365,"")</f>
        <v/>
      </c>
      <c r="AB272" s="37"/>
      <c r="AC272" s="15"/>
      <c r="AD272" s="15"/>
      <c r="AE272" s="15"/>
      <c r="AF272" s="42"/>
      <c r="AG272" s="42"/>
      <c r="AH272" s="15"/>
      <c r="AI272" s="37" t="n">
        <v>89691</v>
      </c>
      <c r="AJ272" s="37" t="n">
        <v>1094</v>
      </c>
      <c r="AK272" s="15" t="s">
        <v>315</v>
      </c>
      <c r="AL272" s="43" t="n">
        <v>20.8</v>
      </c>
      <c r="AM272" s="43" t="n">
        <v>31.8</v>
      </c>
      <c r="AN272" s="25" t="n">
        <f aca="false">IF(AND(ISNUMBER(AM272),ISNUMBER(AL272),AL272&gt;=5),AM272/AL272,"")</f>
        <v>1.52884615384615</v>
      </c>
      <c r="AO272" s="43" t="n">
        <v>20.4</v>
      </c>
      <c r="AP272" s="43" t="n">
        <v>17.8</v>
      </c>
      <c r="AQ272" s="25" t="n">
        <f aca="false">IF(AND(ISNUMBER(AP272),ISNUMBER(AO272),AO272&gt;=5),AP272/AO272,"")</f>
        <v>0.872549019607843</v>
      </c>
      <c r="AR272" s="43" t="n">
        <v>24.4</v>
      </c>
      <c r="AS272" s="43" t="n">
        <v>28.2</v>
      </c>
      <c r="AT272" s="22" t="n">
        <f aca="false">IF(AND(ISNUMBER(AS272),ISNUMBER(AR272),AR272&gt;0),AS272/AR272-1,"")</f>
        <v>0.155737704918033</v>
      </c>
      <c r="AU272" s="44"/>
      <c r="AV272" s="44"/>
      <c r="AW272" s="44"/>
      <c r="AX272" s="44"/>
      <c r="AY272" s="44"/>
      <c r="AZ272" s="45"/>
      <c r="BA272" s="45"/>
      <c r="BB272" s="46"/>
      <c r="BC272" s="46"/>
      <c r="BD272" s="23" t="str">
        <f aca="false">IF(AND(ISNUMBER(BB272),ISNUMBER(BC272),BB272&gt;0),1-BC272/BB272,"")</f>
        <v/>
      </c>
      <c r="BE272" s="47"/>
      <c r="BF272" s="48"/>
      <c r="BG272" s="48"/>
      <c r="BH272" s="27" t="str">
        <f aca="false">IF(AND(ISNUMBER(BF272),ISNUMBER(BG272),BG272&gt;0),BF272/BG272,"")</f>
        <v/>
      </c>
      <c r="BI272" s="48"/>
      <c r="BJ272" s="44"/>
      <c r="BK272" s="46"/>
      <c r="BL272" s="46"/>
      <c r="BM272" s="36" t="str">
        <f aca="false">IF(ISNUMBER(Q272),IF(Q272&lt;0,"YES","no"),"")</f>
        <v/>
      </c>
      <c r="BN272" s="36" t="str">
        <f aca="false">IFERROR(IF(AND(ISNUMBER(K272),ISNUMBER(INDEX('Lift Inputs'!$H:$H,MATCH(C272,'Lift Inputs'!$C:$C,0)))),IF(K272&lt;INDEX('Lift Inputs'!$H:$H,MATCH(C272,'Lift Inputs'!$C:$C,0)),"YES","no"),""),"")</f>
        <v/>
      </c>
      <c r="BO272" s="44"/>
    </row>
    <row r="273" customFormat="false" ht="15" hidden="false" customHeight="false" outlineLevel="0" collapsed="false">
      <c r="A273" s="15" t="s">
        <v>71</v>
      </c>
      <c r="B273" s="15" t="s">
        <v>89</v>
      </c>
      <c r="C273" s="15" t="n">
        <v>74</v>
      </c>
      <c r="D273" s="15" t="s">
        <v>208</v>
      </c>
      <c r="E273" s="15" t="n">
        <v>1535</v>
      </c>
      <c r="F273" s="15" t="s">
        <v>578</v>
      </c>
      <c r="G273" s="15" t="s">
        <v>579</v>
      </c>
      <c r="H273" s="15" t="s">
        <v>580</v>
      </c>
      <c r="I273" s="15" t="s">
        <v>581</v>
      </c>
      <c r="J273" s="15"/>
      <c r="K273" s="35" t="n">
        <v>20.99</v>
      </c>
      <c r="L273" s="35"/>
      <c r="M273" s="23" t="str">
        <f aca="false">IF(AND(ISNUMBER(L273),ISNUMBER(K273),K273&gt;0),L273/K273-1,"")</f>
        <v/>
      </c>
      <c r="N273" s="36" t="str">
        <f aca="false">IF(M273="","No List Price",IF(M273&lt;=0,"At/below price",IF(M273&lt;=0.12,"&lt;=12% (STR zone)",IF(M273&lt;=0.25,"12-25%","&gt;25% (likely ignored)"))))</f>
        <v>No List Price</v>
      </c>
      <c r="O273" s="15" t="s">
        <v>311</v>
      </c>
      <c r="P273" s="35"/>
      <c r="Q273" s="22" t="str">
        <f aca="false">IF(AND(ISNUMBER(K273),ISNUMBER(P273),N(P273)&gt;0),K273/P273-1,"")</f>
        <v/>
      </c>
      <c r="R273" s="15"/>
      <c r="S273" s="37" t="n">
        <v>30991</v>
      </c>
      <c r="T273" s="37" t="n">
        <v>92</v>
      </c>
      <c r="U273" s="38" t="n">
        <f aca="false">IF(AND(ISNUMBER(K273),ISNUMBER(T273)),K273*T273*52/12,"")</f>
        <v>8368.01333333333</v>
      </c>
      <c r="V273" s="15" t="n">
        <v>4.4</v>
      </c>
      <c r="W273" s="37" t="n">
        <v>9828</v>
      </c>
      <c r="X273" s="39" t="n">
        <v>46307</v>
      </c>
      <c r="Y273" s="15" t="n">
        <v>146</v>
      </c>
      <c r="Z273" s="40" t="n">
        <v>43833</v>
      </c>
      <c r="AA273" s="41" t="n">
        <f aca="false">IF(ISNUMBER(Z273),(DATE(2026,10,13)-Z273)/365,"")</f>
        <v>6.78082191780822</v>
      </c>
      <c r="AB273" s="37" t="n">
        <v>10275</v>
      </c>
      <c r="AC273" s="15" t="s">
        <v>582</v>
      </c>
      <c r="AD273" s="15" t="n">
        <v>2</v>
      </c>
      <c r="AE273" s="15" t="s">
        <v>583</v>
      </c>
      <c r="AF273" s="42" t="n">
        <v>0</v>
      </c>
      <c r="AG273" s="42" t="n">
        <v>0</v>
      </c>
      <c r="AH273" s="15" t="n">
        <v>399</v>
      </c>
      <c r="AI273" s="37" t="n">
        <v>119531</v>
      </c>
      <c r="AJ273" s="37" t="n">
        <v>1524</v>
      </c>
      <c r="AK273" s="15" t="s">
        <v>326</v>
      </c>
      <c r="AL273" s="43" t="n">
        <v>190.1</v>
      </c>
      <c r="AM273" s="43" t="n">
        <v>144</v>
      </c>
      <c r="AN273" s="25" t="n">
        <f aca="false">IF(AND(ISNUMBER(AM273),ISNUMBER(AL273),AL273&gt;=5),AM273/AL273,"")</f>
        <v>0.757496054708048</v>
      </c>
      <c r="AO273" s="43" t="n">
        <v>12.7</v>
      </c>
      <c r="AP273" s="43" t="n">
        <v>28</v>
      </c>
      <c r="AQ273" s="25" t="n">
        <f aca="false">IF(AND(ISNUMBER(AP273),ISNUMBER(AO273),AO273&gt;=5),AP273/AO273,"")</f>
        <v>2.20472440944882</v>
      </c>
      <c r="AR273" s="43" t="n">
        <v>236.5</v>
      </c>
      <c r="AS273" s="43" t="n">
        <v>216.6</v>
      </c>
      <c r="AT273" s="22" t="n">
        <f aca="false">IF(AND(ISNUMBER(AS273),ISNUMBER(AR273),AR273&gt;0),AS273/AR273-1,"")</f>
        <v>-0.0841437632135307</v>
      </c>
      <c r="AU273" s="44"/>
      <c r="AV273" s="44"/>
      <c r="AW273" s="44"/>
      <c r="AX273" s="44"/>
      <c r="AY273" s="44"/>
      <c r="AZ273" s="45"/>
      <c r="BA273" s="45"/>
      <c r="BB273" s="46"/>
      <c r="BC273" s="46"/>
      <c r="BD273" s="23" t="str">
        <f aca="false">IF(AND(ISNUMBER(BB273),ISNUMBER(BC273),BB273&gt;0),1-BC273/BB273,"")</f>
        <v/>
      </c>
      <c r="BE273" s="47"/>
      <c r="BF273" s="48"/>
      <c r="BG273" s="48"/>
      <c r="BH273" s="27" t="str">
        <f aca="false">IF(AND(ISNUMBER(BF273),ISNUMBER(BG273),BG273&gt;0),BF273/BG273,"")</f>
        <v/>
      </c>
      <c r="BI273" s="48"/>
      <c r="BJ273" s="44"/>
      <c r="BK273" s="46"/>
      <c r="BL273" s="46"/>
      <c r="BM273" s="36" t="str">
        <f aca="false">IF(ISNUMBER(Q273),IF(Q273&lt;0,"YES","no"),"")</f>
        <v/>
      </c>
      <c r="BN273" s="36" t="str">
        <f aca="false">IFERROR(IF(AND(ISNUMBER(K273),ISNUMBER(INDEX('Lift Inputs'!$H:$H,MATCH(C273,'Lift Inputs'!$C:$C,0)))),IF(K273&lt;INDEX('Lift Inputs'!$H:$H,MATCH(C273,'Lift Inputs'!$C:$C,0)),"YES","no"),""),"")</f>
        <v/>
      </c>
      <c r="BO273" s="44"/>
    </row>
    <row r="274" customFormat="false" ht="15" hidden="false" customHeight="false" outlineLevel="0" collapsed="false">
      <c r="A274" s="15" t="s">
        <v>71</v>
      </c>
      <c r="B274" s="15" t="s">
        <v>89</v>
      </c>
      <c r="C274" s="15" t="n">
        <v>74</v>
      </c>
      <c r="D274" s="15" t="s">
        <v>208</v>
      </c>
      <c r="E274" s="15" t="n">
        <v>148</v>
      </c>
      <c r="F274" s="15" t="s">
        <v>584</v>
      </c>
      <c r="G274" s="15" t="s">
        <v>585</v>
      </c>
      <c r="H274" s="15" t="s">
        <v>586</v>
      </c>
      <c r="I274" s="15" t="s">
        <v>587</v>
      </c>
      <c r="J274" s="15"/>
      <c r="K274" s="35" t="n">
        <v>22.99</v>
      </c>
      <c r="L274" s="35"/>
      <c r="M274" s="23" t="str">
        <f aca="false">IF(AND(ISNUMBER(L274),ISNUMBER(K274),K274&gt;0),L274/K274-1,"")</f>
        <v/>
      </c>
      <c r="N274" s="36" t="str">
        <f aca="false">IF(M274="","No List Price",IF(M274&lt;=0,"At/below price",IF(M274&lt;=0.12,"&lt;=12% (STR zone)",IF(M274&lt;=0.25,"12-25%","&gt;25% (likely ignored)"))))</f>
        <v>No List Price</v>
      </c>
      <c r="O274" s="15" t="s">
        <v>311</v>
      </c>
      <c r="P274" s="35"/>
      <c r="Q274" s="22" t="str">
        <f aca="false">IF(AND(ISNUMBER(K274),ISNUMBER(P274),N(P274)&gt;0),K274/P274-1,"")</f>
        <v/>
      </c>
      <c r="R274" s="15"/>
      <c r="S274" s="37" t="n">
        <v>23154</v>
      </c>
      <c r="T274" s="37" t="n">
        <v>92</v>
      </c>
      <c r="U274" s="38" t="n">
        <f aca="false">IF(AND(ISNUMBER(K274),ISNUMBER(T274)),K274*T274*52/12,"")</f>
        <v>9165.34666666667</v>
      </c>
      <c r="V274" s="15" t="n">
        <v>4.4</v>
      </c>
      <c r="W274" s="37" t="n">
        <v>6981</v>
      </c>
      <c r="X274" s="39" t="n">
        <v>46307</v>
      </c>
      <c r="Y274" s="15" t="n">
        <v>96</v>
      </c>
      <c r="Z274" s="40" t="n">
        <v>44096</v>
      </c>
      <c r="AA274" s="41" t="n">
        <f aca="false">IF(ISNUMBER(Z274),(DATE(2026,10,13)-Z274)/365,"")</f>
        <v>6.06027397260274</v>
      </c>
      <c r="AB274" s="37" t="n">
        <v>2778</v>
      </c>
      <c r="AC274" s="15" t="s">
        <v>313</v>
      </c>
      <c r="AD274" s="15" t="n">
        <v>1</v>
      </c>
      <c r="AE274" s="15" t="s">
        <v>331</v>
      </c>
      <c r="AF274" s="42" t="n">
        <v>0</v>
      </c>
      <c r="AG274" s="42" t="n">
        <v>0</v>
      </c>
      <c r="AH274" s="15" t="n">
        <v>350</v>
      </c>
      <c r="AI274" s="37" t="n">
        <v>47722</v>
      </c>
      <c r="AJ274" s="37" t="n">
        <v>1085</v>
      </c>
      <c r="AK274" s="15" t="s">
        <v>315</v>
      </c>
      <c r="AL274" s="43" t="n">
        <v>100.2</v>
      </c>
      <c r="AM274" s="43" t="n">
        <v>103.8</v>
      </c>
      <c r="AN274" s="25" t="n">
        <f aca="false">IF(AND(ISNUMBER(AM274),ISNUMBER(AL274),AL274&gt;=5),AM274/AL274,"")</f>
        <v>1.03592814371257</v>
      </c>
      <c r="AO274" s="43" t="n">
        <v>7.2</v>
      </c>
      <c r="AP274" s="43" t="n">
        <v>4.5</v>
      </c>
      <c r="AQ274" s="25" t="n">
        <f aca="false">IF(AND(ISNUMBER(AP274),ISNUMBER(AO274),AO274&gt;=5),AP274/AO274,"")</f>
        <v>0.625</v>
      </c>
      <c r="AR274" s="43" t="n">
        <v>103.7</v>
      </c>
      <c r="AS274" s="43" t="n">
        <v>97.6</v>
      </c>
      <c r="AT274" s="22" t="n">
        <f aca="false">IF(AND(ISNUMBER(AS274),ISNUMBER(AR274),AR274&gt;0),AS274/AR274-1,"")</f>
        <v>-0.0588235294117648</v>
      </c>
      <c r="AU274" s="44"/>
      <c r="AV274" s="44"/>
      <c r="AW274" s="44"/>
      <c r="AX274" s="44"/>
      <c r="AY274" s="44"/>
      <c r="AZ274" s="45"/>
      <c r="BA274" s="45"/>
      <c r="BB274" s="46"/>
      <c r="BC274" s="46"/>
      <c r="BD274" s="23" t="str">
        <f aca="false">IF(AND(ISNUMBER(BB274),ISNUMBER(BC274),BB274&gt;0),1-BC274/BB274,"")</f>
        <v/>
      </c>
      <c r="BE274" s="47"/>
      <c r="BF274" s="48"/>
      <c r="BG274" s="48"/>
      <c r="BH274" s="27" t="str">
        <f aca="false">IF(AND(ISNUMBER(BF274),ISNUMBER(BG274),BG274&gt;0),BF274/BG274,"")</f>
        <v/>
      </c>
      <c r="BI274" s="48"/>
      <c r="BJ274" s="44"/>
      <c r="BK274" s="46"/>
      <c r="BL274" s="46"/>
      <c r="BM274" s="36" t="str">
        <f aca="false">IF(ISNUMBER(Q274),IF(Q274&lt;0,"YES","no"),"")</f>
        <v/>
      </c>
      <c r="BN274" s="36" t="str">
        <f aca="false">IFERROR(IF(AND(ISNUMBER(K274),ISNUMBER(INDEX('Lift Inputs'!$H:$H,MATCH(C274,'Lift Inputs'!$C:$C,0)))),IF(K274&lt;INDEX('Lift Inputs'!$H:$H,MATCH(C274,'Lift Inputs'!$C:$C,0)),"YES","no"),""),"")</f>
        <v/>
      </c>
      <c r="BO274" s="44"/>
    </row>
    <row r="275" customFormat="false" ht="15" hidden="false" customHeight="false" outlineLevel="0" collapsed="false">
      <c r="A275" s="15" t="s">
        <v>71</v>
      </c>
      <c r="B275" s="15" t="s">
        <v>89</v>
      </c>
      <c r="C275" s="15" t="n">
        <v>74</v>
      </c>
      <c r="D275" s="15" t="s">
        <v>208</v>
      </c>
      <c r="E275" s="15" t="n">
        <v>1550</v>
      </c>
      <c r="F275" s="15" t="s">
        <v>595</v>
      </c>
      <c r="G275" s="15" t="s">
        <v>649</v>
      </c>
      <c r="H275" s="15" t="s">
        <v>650</v>
      </c>
      <c r="I275" s="15" t="s">
        <v>651</v>
      </c>
      <c r="J275" s="15"/>
      <c r="K275" s="35" t="n">
        <v>18.99</v>
      </c>
      <c r="L275" s="35"/>
      <c r="M275" s="23" t="str">
        <f aca="false">IF(AND(ISNUMBER(L275),ISNUMBER(K275),K275&gt;0),L275/K275-1,"")</f>
        <v/>
      </c>
      <c r="N275" s="36" t="str">
        <f aca="false">IF(M275="","No List Price",IF(M275&lt;=0,"At/below price",IF(M275&lt;=0.12,"&lt;=12% (STR zone)",IF(M275&lt;=0.25,"12-25%","&gt;25% (likely ignored)"))))</f>
        <v>No List Price</v>
      </c>
      <c r="O275" s="15" t="s">
        <v>311</v>
      </c>
      <c r="P275" s="35"/>
      <c r="Q275" s="22" t="str">
        <f aca="false">IF(AND(ISNUMBER(K275),ISNUMBER(P275),N(P275)&gt;0),K275/P275-1,"")</f>
        <v/>
      </c>
      <c r="R275" s="15"/>
      <c r="S275" s="37" t="n">
        <v>49291</v>
      </c>
      <c r="T275" s="37" t="n">
        <v>92</v>
      </c>
      <c r="U275" s="38" t="n">
        <f aca="false">IF(AND(ISNUMBER(K275),ISNUMBER(T275)),K275*T275*52/12,"")</f>
        <v>7570.68</v>
      </c>
      <c r="V275" s="15" t="n">
        <v>4.2</v>
      </c>
      <c r="W275" s="37" t="n">
        <v>747</v>
      </c>
      <c r="X275" s="39" t="n">
        <v>46307</v>
      </c>
      <c r="Y275" s="15" t="n">
        <v>40</v>
      </c>
      <c r="Z275" s="40" t="n">
        <v>44979</v>
      </c>
      <c r="AA275" s="41" t="n">
        <f aca="false">IF(ISNUMBER(Z275),(DATE(2026,10,13)-Z275)/365,"")</f>
        <v>3.64109589041096</v>
      </c>
      <c r="AB275" s="37" t="n">
        <v>927</v>
      </c>
      <c r="AC275" s="15" t="s">
        <v>313</v>
      </c>
      <c r="AD275" s="15" t="n">
        <v>1</v>
      </c>
      <c r="AE275" s="15" t="s">
        <v>331</v>
      </c>
      <c r="AF275" s="42" t="n">
        <v>0</v>
      </c>
      <c r="AG275" s="42" t="n">
        <v>0</v>
      </c>
      <c r="AH275" s="15" t="n">
        <v>32</v>
      </c>
      <c r="AI275" s="37" t="n">
        <v>25451</v>
      </c>
      <c r="AJ275" s="37" t="n">
        <v>677</v>
      </c>
      <c r="AK275" s="15" t="s">
        <v>326</v>
      </c>
      <c r="AL275" s="43" t="n">
        <v>80.5</v>
      </c>
      <c r="AM275" s="43" t="n">
        <v>92.2</v>
      </c>
      <c r="AN275" s="25" t="n">
        <f aca="false">IF(AND(ISNUMBER(AM275),ISNUMBER(AL275),AL275&gt;=5),AM275/AL275,"")</f>
        <v>1.14534161490683</v>
      </c>
      <c r="AO275" s="43" t="n">
        <v>0.8</v>
      </c>
      <c r="AP275" s="43" t="n">
        <v>1</v>
      </c>
      <c r="AQ275" s="25" t="str">
        <f aca="false">IF(AND(ISNUMBER(AP275),ISNUMBER(AO275),AO275&gt;=5),AP275/AO275,"")</f>
        <v/>
      </c>
      <c r="AR275" s="43" t="n">
        <v>80</v>
      </c>
      <c r="AS275" s="43" t="n">
        <v>88.9</v>
      </c>
      <c r="AT275" s="22" t="n">
        <f aca="false">IF(AND(ISNUMBER(AS275),ISNUMBER(AR275),AR275&gt;0),AS275/AR275-1,"")</f>
        <v>0.11125</v>
      </c>
      <c r="AU275" s="44"/>
      <c r="AV275" s="44"/>
      <c r="AW275" s="44"/>
      <c r="AX275" s="44"/>
      <c r="AY275" s="44"/>
      <c r="AZ275" s="45"/>
      <c r="BA275" s="45"/>
      <c r="BB275" s="46"/>
      <c r="BC275" s="46"/>
      <c r="BD275" s="23" t="str">
        <f aca="false">IF(AND(ISNUMBER(BB275),ISNUMBER(BC275),BB275&gt;0),1-BC275/BB275,"")</f>
        <v/>
      </c>
      <c r="BE275" s="47"/>
      <c r="BF275" s="48"/>
      <c r="BG275" s="48"/>
      <c r="BH275" s="27" t="str">
        <f aca="false">IF(AND(ISNUMBER(BF275),ISNUMBER(BG275),BG275&gt;0),BF275/BG275,"")</f>
        <v/>
      </c>
      <c r="BI275" s="48"/>
      <c r="BJ275" s="44"/>
      <c r="BK275" s="46"/>
      <c r="BL275" s="46"/>
      <c r="BM275" s="36" t="str">
        <f aca="false">IF(ISNUMBER(Q275),IF(Q275&lt;0,"YES","no"),"")</f>
        <v/>
      </c>
      <c r="BN275" s="36" t="str">
        <f aca="false">IFERROR(IF(AND(ISNUMBER(K275),ISNUMBER(INDEX('Lift Inputs'!$H:$H,MATCH(C275,'Lift Inputs'!$C:$C,0)))),IF(K275&lt;INDEX('Lift Inputs'!$H:$H,MATCH(C275,'Lift Inputs'!$C:$C,0)),"YES","no"),""),"")</f>
        <v/>
      </c>
      <c r="BO275" s="44"/>
    </row>
    <row r="276" customFormat="false" ht="15" hidden="false" customHeight="false" outlineLevel="0" collapsed="false">
      <c r="A276" s="15" t="s">
        <v>71</v>
      </c>
      <c r="B276" s="15" t="s">
        <v>89</v>
      </c>
      <c r="C276" s="15" t="n">
        <v>74</v>
      </c>
      <c r="D276" s="15" t="s">
        <v>208</v>
      </c>
      <c r="E276" s="15" t="n">
        <v>625</v>
      </c>
      <c r="F276" s="15" t="s">
        <v>619</v>
      </c>
      <c r="G276" s="15" t="s">
        <v>620</v>
      </c>
      <c r="H276" s="15" t="s">
        <v>621</v>
      </c>
      <c r="I276" s="15" t="s">
        <v>622</v>
      </c>
      <c r="J276" s="15"/>
      <c r="K276" s="35" t="n">
        <v>21.99</v>
      </c>
      <c r="L276" s="35"/>
      <c r="M276" s="23" t="str">
        <f aca="false">IF(AND(ISNUMBER(L276),ISNUMBER(K276),K276&gt;0),L276/K276-1,"")</f>
        <v/>
      </c>
      <c r="N276" s="36" t="str">
        <f aca="false">IF(M276="","No List Price",IF(M276&lt;=0,"At/below price",IF(M276&lt;=0.12,"&lt;=12% (STR zone)",IF(M276&lt;=0.25,"12-25%","&gt;25% (likely ignored)"))))</f>
        <v>No List Price</v>
      </c>
      <c r="O276" s="15" t="s">
        <v>520</v>
      </c>
      <c r="P276" s="35"/>
      <c r="Q276" s="22" t="str">
        <f aca="false">IF(AND(ISNUMBER(K276),ISNUMBER(P276),N(P276)&gt;0),K276/P276-1,"")</f>
        <v/>
      </c>
      <c r="R276" s="15"/>
      <c r="S276" s="37" t="n">
        <v>132024</v>
      </c>
      <c r="T276" s="37" t="n">
        <v>81</v>
      </c>
      <c r="U276" s="38" t="n">
        <f aca="false">IF(AND(ISNUMBER(K276),ISNUMBER(T276)),K276*T276*52/12,"")</f>
        <v>7718.49</v>
      </c>
      <c r="V276" s="15" t="n">
        <v>4.4</v>
      </c>
      <c r="W276" s="37" t="n">
        <v>3943</v>
      </c>
      <c r="X276" s="39" t="n">
        <v>46307</v>
      </c>
      <c r="Y276" s="15" t="n">
        <v>94</v>
      </c>
      <c r="Z276" s="40" t="n">
        <v>44451</v>
      </c>
      <c r="AA276" s="41" t="n">
        <f aca="false">IF(ISNUMBER(Z276),(DATE(2026,10,13)-Z276)/365,"")</f>
        <v>5.08767123287671</v>
      </c>
      <c r="AB276" s="37" t="n">
        <v>2237</v>
      </c>
      <c r="AC276" s="15" t="s">
        <v>313</v>
      </c>
      <c r="AD276" s="15" t="n">
        <v>1</v>
      </c>
      <c r="AE276" s="15" t="s">
        <v>331</v>
      </c>
      <c r="AF276" s="42" t="n">
        <v>0</v>
      </c>
      <c r="AG276" s="42" t="n">
        <v>0</v>
      </c>
      <c r="AH276" s="15" t="n">
        <v>296</v>
      </c>
      <c r="AI276" s="37" t="n">
        <v>48561</v>
      </c>
      <c r="AJ276" s="37" t="n">
        <v>615</v>
      </c>
      <c r="AK276" s="15" t="s">
        <v>326</v>
      </c>
      <c r="AL276" s="43" t="n">
        <v>38.5</v>
      </c>
      <c r="AM276" s="43" t="n">
        <v>33.8</v>
      </c>
      <c r="AN276" s="25" t="n">
        <f aca="false">IF(AND(ISNUMBER(AM276),ISNUMBER(AL276),AL276&gt;=5),AM276/AL276,"")</f>
        <v>0.877922077922078</v>
      </c>
      <c r="AO276" s="43" t="n">
        <v>4.3</v>
      </c>
      <c r="AP276" s="43" t="n">
        <v>5</v>
      </c>
      <c r="AQ276" s="25" t="str">
        <f aca="false">IF(AND(ISNUMBER(AP276),ISNUMBER(AO276),AO276&gt;=5),AP276/AO276,"")</f>
        <v/>
      </c>
      <c r="AR276" s="43" t="n">
        <v>35.7</v>
      </c>
      <c r="AS276" s="43" t="n">
        <v>64.4</v>
      </c>
      <c r="AT276" s="22" t="n">
        <f aca="false">IF(AND(ISNUMBER(AS276),ISNUMBER(AR276),AR276&gt;0),AS276/AR276-1,"")</f>
        <v>0.803921568627451</v>
      </c>
      <c r="AU276" s="44"/>
      <c r="AV276" s="44"/>
      <c r="AW276" s="44"/>
      <c r="AX276" s="44"/>
      <c r="AY276" s="44"/>
      <c r="AZ276" s="45"/>
      <c r="BA276" s="45"/>
      <c r="BB276" s="46"/>
      <c r="BC276" s="46"/>
      <c r="BD276" s="23" t="str">
        <f aca="false">IF(AND(ISNUMBER(BB276),ISNUMBER(BC276),BB276&gt;0),1-BC276/BB276,"")</f>
        <v/>
      </c>
      <c r="BE276" s="47"/>
      <c r="BF276" s="48"/>
      <c r="BG276" s="48"/>
      <c r="BH276" s="27" t="str">
        <f aca="false">IF(AND(ISNUMBER(BF276),ISNUMBER(BG276),BG276&gt;0),BF276/BG276,"")</f>
        <v/>
      </c>
      <c r="BI276" s="48"/>
      <c r="BJ276" s="44"/>
      <c r="BK276" s="46"/>
      <c r="BL276" s="46"/>
      <c r="BM276" s="36" t="str">
        <f aca="false">IF(ISNUMBER(Q276),IF(Q276&lt;0,"YES","no"),"")</f>
        <v/>
      </c>
      <c r="BN276" s="36" t="str">
        <f aca="false">IFERROR(IF(AND(ISNUMBER(K276),ISNUMBER(INDEX('Lift Inputs'!$H:$H,MATCH(C276,'Lift Inputs'!$C:$C,0)))),IF(K276&lt;INDEX('Lift Inputs'!$H:$H,MATCH(C276,'Lift Inputs'!$C:$C,0)),"YES","no"),""),"")</f>
        <v/>
      </c>
      <c r="BO276" s="44"/>
    </row>
    <row r="277" customFormat="false" ht="15" hidden="false" customHeight="false" outlineLevel="0" collapsed="false">
      <c r="A277" s="15" t="s">
        <v>71</v>
      </c>
      <c r="B277" s="15" t="s">
        <v>89</v>
      </c>
      <c r="C277" s="15" t="n">
        <v>74</v>
      </c>
      <c r="D277" s="15" t="s">
        <v>208</v>
      </c>
      <c r="E277" s="15" t="n">
        <v>1536</v>
      </c>
      <c r="F277" s="15" t="s">
        <v>588</v>
      </c>
      <c r="G277" s="15" t="s">
        <v>589</v>
      </c>
      <c r="H277" s="15" t="s">
        <v>590</v>
      </c>
      <c r="I277" s="15" t="s">
        <v>577</v>
      </c>
      <c r="J277" s="15"/>
      <c r="K277" s="35" t="n">
        <v>27.99</v>
      </c>
      <c r="L277" s="35"/>
      <c r="M277" s="23" t="str">
        <f aca="false">IF(AND(ISNUMBER(L277),ISNUMBER(K277),K277&gt;0),L277/K277-1,"")</f>
        <v/>
      </c>
      <c r="N277" s="36" t="str">
        <f aca="false">IF(M277="","No List Price",IF(M277&lt;=0,"At/below price",IF(M277&lt;=0.12,"&lt;=12% (STR zone)",IF(M277&lt;=0.25,"12-25%","&gt;25% (likely ignored)"))))</f>
        <v>No List Price</v>
      </c>
      <c r="O277" s="15"/>
      <c r="P277" s="35"/>
      <c r="Q277" s="22" t="str">
        <f aca="false">IF(AND(ISNUMBER(K277),ISNUMBER(P277),N(P277)&gt;0),K277/P277-1,"")</f>
        <v/>
      </c>
      <c r="R277" s="15"/>
      <c r="S277" s="37" t="n">
        <v>68667</v>
      </c>
      <c r="T277" s="37" t="n">
        <v>35</v>
      </c>
      <c r="U277" s="38" t="n">
        <f aca="false">IF(AND(ISNUMBER(K277),ISNUMBER(T277)),K277*T277*52/12,"")</f>
        <v>4245.15</v>
      </c>
      <c r="V277" s="15" t="n">
        <v>4.4</v>
      </c>
      <c r="W277" s="37" t="n">
        <v>2838</v>
      </c>
      <c r="X277" s="39" t="n">
        <v>46307</v>
      </c>
      <c r="Y277" s="15"/>
      <c r="Z277" s="40"/>
      <c r="AA277" s="41" t="str">
        <f aca="false">IF(ISNUMBER(Z277),(DATE(2026,10,13)-Z277)/365,"")</f>
        <v/>
      </c>
      <c r="AB277" s="37"/>
      <c r="AC277" s="15"/>
      <c r="AD277" s="15"/>
      <c r="AE277" s="15"/>
      <c r="AF277" s="42"/>
      <c r="AG277" s="42"/>
      <c r="AH277" s="15"/>
      <c r="AI277" s="37" t="n">
        <v>21925</v>
      </c>
      <c r="AJ277" s="37" t="n">
        <v>461</v>
      </c>
      <c r="AK277" s="15" t="s">
        <v>315</v>
      </c>
      <c r="AL277" s="43" t="n">
        <v>31.9</v>
      </c>
      <c r="AM277" s="43" t="n">
        <v>28.5</v>
      </c>
      <c r="AN277" s="25" t="n">
        <f aca="false">IF(AND(ISNUMBER(AM277),ISNUMBER(AL277),AL277&gt;=5),AM277/AL277,"")</f>
        <v>0.893416927899687</v>
      </c>
      <c r="AO277" s="43" t="n">
        <v>2.8</v>
      </c>
      <c r="AP277" s="43" t="n">
        <v>3</v>
      </c>
      <c r="AQ277" s="25" t="str">
        <f aca="false">IF(AND(ISNUMBER(AP277),ISNUMBER(AO277),AO277&gt;=5),AP277/AO277,"")</f>
        <v/>
      </c>
      <c r="AR277" s="43" t="n">
        <v>38.5</v>
      </c>
      <c r="AS277" s="43" t="n">
        <v>22.1</v>
      </c>
      <c r="AT277" s="22" t="n">
        <f aca="false">IF(AND(ISNUMBER(AS277),ISNUMBER(AR277),AR277&gt;0),AS277/AR277-1,"")</f>
        <v>-0.425974025974026</v>
      </c>
      <c r="AU277" s="44"/>
      <c r="AV277" s="44"/>
      <c r="AW277" s="44"/>
      <c r="AX277" s="44"/>
      <c r="AY277" s="44"/>
      <c r="AZ277" s="45"/>
      <c r="BA277" s="45"/>
      <c r="BB277" s="46"/>
      <c r="BC277" s="46"/>
      <c r="BD277" s="23" t="str">
        <f aca="false">IF(AND(ISNUMBER(BB277),ISNUMBER(BC277),BB277&gt;0),1-BC277/BB277,"")</f>
        <v/>
      </c>
      <c r="BE277" s="47"/>
      <c r="BF277" s="48"/>
      <c r="BG277" s="48"/>
      <c r="BH277" s="27" t="str">
        <f aca="false">IF(AND(ISNUMBER(BF277),ISNUMBER(BG277),BG277&gt;0),BF277/BG277,"")</f>
        <v/>
      </c>
      <c r="BI277" s="48"/>
      <c r="BJ277" s="44"/>
      <c r="BK277" s="46"/>
      <c r="BL277" s="46"/>
      <c r="BM277" s="36" t="str">
        <f aca="false">IF(ISNUMBER(Q277),IF(Q277&lt;0,"YES","no"),"")</f>
        <v/>
      </c>
      <c r="BN277" s="36" t="str">
        <f aca="false">IFERROR(IF(AND(ISNUMBER(K277),ISNUMBER(INDEX('Lift Inputs'!$H:$H,MATCH(C277,'Lift Inputs'!$C:$C,0)))),IF(K277&lt;INDEX('Lift Inputs'!$H:$H,MATCH(C277,'Lift Inputs'!$C:$C,0)),"YES","no"),""),"")</f>
        <v/>
      </c>
      <c r="BO277" s="44"/>
    </row>
    <row r="278" customFormat="false" ht="15" hidden="false" customHeight="false" outlineLevel="0" collapsed="false">
      <c r="A278" s="15" t="s">
        <v>71</v>
      </c>
      <c r="B278" s="15" t="s">
        <v>89</v>
      </c>
      <c r="C278" s="15" t="n">
        <v>74</v>
      </c>
      <c r="D278" s="15" t="s">
        <v>208</v>
      </c>
      <c r="E278" s="15" t="n">
        <v>165</v>
      </c>
      <c r="F278" s="15" t="s">
        <v>591</v>
      </c>
      <c r="G278" s="15" t="s">
        <v>592</v>
      </c>
      <c r="H278" s="15" t="s">
        <v>593</v>
      </c>
      <c r="I278" s="15" t="s">
        <v>594</v>
      </c>
      <c r="J278" s="15"/>
      <c r="K278" s="35" t="n">
        <v>28.99</v>
      </c>
      <c r="L278" s="35"/>
      <c r="M278" s="23" t="str">
        <f aca="false">IF(AND(ISNUMBER(L278),ISNUMBER(K278),K278&gt;0),L278/K278-1,"")</f>
        <v/>
      </c>
      <c r="N278" s="36" t="str">
        <f aca="false">IF(M278="","No List Price",IF(M278&lt;=0,"At/below price",IF(M278&lt;=0.12,"&lt;=12% (STR zone)",IF(M278&lt;=0.25,"12-25%","&gt;25% (likely ignored)"))))</f>
        <v>No List Price</v>
      </c>
      <c r="O278" s="15" t="s">
        <v>311</v>
      </c>
      <c r="P278" s="35"/>
      <c r="Q278" s="22" t="str">
        <f aca="false">IF(AND(ISNUMBER(K278),ISNUMBER(P278),N(P278)&gt;0),K278/P278-1,"")</f>
        <v/>
      </c>
      <c r="R278" s="15"/>
      <c r="S278" s="37" t="n">
        <v>110638</v>
      </c>
      <c r="T278" s="37" t="n">
        <v>35</v>
      </c>
      <c r="U278" s="38" t="n">
        <f aca="false">IF(AND(ISNUMBER(K278),ISNUMBER(T278)),K278*T278*52/12,"")</f>
        <v>4396.81666666667</v>
      </c>
      <c r="V278" s="15" t="n">
        <v>4.4</v>
      </c>
      <c r="W278" s="37" t="n">
        <v>772</v>
      </c>
      <c r="X278" s="39" t="n">
        <v>46307</v>
      </c>
      <c r="Y278" s="15" t="n">
        <v>23</v>
      </c>
      <c r="Z278" s="40" t="n">
        <v>44733</v>
      </c>
      <c r="AA278" s="41" t="n">
        <f aca="false">IF(ISNUMBER(Z278),(DATE(2026,10,13)-Z278)/365,"")</f>
        <v>4.31506849315069</v>
      </c>
      <c r="AB278" s="37" t="n">
        <v>931</v>
      </c>
      <c r="AC278" s="15" t="s">
        <v>313</v>
      </c>
      <c r="AD278" s="15" t="n">
        <v>1</v>
      </c>
      <c r="AE278" s="15" t="s">
        <v>331</v>
      </c>
      <c r="AF278" s="42" t="n">
        <v>0</v>
      </c>
      <c r="AG278" s="42" t="n">
        <v>0</v>
      </c>
      <c r="AH278" s="15" t="n">
        <v>87</v>
      </c>
      <c r="AI278" s="37"/>
      <c r="AJ278" s="37"/>
      <c r="AK278" s="15"/>
      <c r="AL278" s="43"/>
      <c r="AM278" s="43"/>
      <c r="AN278" s="25" t="str">
        <f aca="false">IF(AND(ISNUMBER(AM278),ISNUMBER(AL278),AL278&gt;=5),AM278/AL278,"")</f>
        <v/>
      </c>
      <c r="AO278" s="43"/>
      <c r="AP278" s="43"/>
      <c r="AQ278" s="25" t="str">
        <f aca="false">IF(AND(ISNUMBER(AP278),ISNUMBER(AO278),AO278&gt;=5),AP278/AO278,"")</f>
        <v/>
      </c>
      <c r="AR278" s="43"/>
      <c r="AS278" s="43"/>
      <c r="AT278" s="22" t="str">
        <f aca="false">IF(AND(ISNUMBER(AS278),ISNUMBER(AR278),AR278&gt;0),AS278/AR278-1,"")</f>
        <v/>
      </c>
      <c r="AU278" s="44"/>
      <c r="AV278" s="44"/>
      <c r="AW278" s="44"/>
      <c r="AX278" s="44"/>
      <c r="AY278" s="44"/>
      <c r="AZ278" s="45"/>
      <c r="BA278" s="45"/>
      <c r="BB278" s="46"/>
      <c r="BC278" s="46"/>
      <c r="BD278" s="23" t="str">
        <f aca="false">IF(AND(ISNUMBER(BB278),ISNUMBER(BC278),BB278&gt;0),1-BC278/BB278,"")</f>
        <v/>
      </c>
      <c r="BE278" s="47"/>
      <c r="BF278" s="48"/>
      <c r="BG278" s="48"/>
      <c r="BH278" s="27" t="str">
        <f aca="false">IF(AND(ISNUMBER(BF278),ISNUMBER(BG278),BG278&gt;0),BF278/BG278,"")</f>
        <v/>
      </c>
      <c r="BI278" s="48"/>
      <c r="BJ278" s="44"/>
      <c r="BK278" s="46"/>
      <c r="BL278" s="46"/>
      <c r="BM278" s="36" t="str">
        <f aca="false">IF(ISNUMBER(Q278),IF(Q278&lt;0,"YES","no"),"")</f>
        <v/>
      </c>
      <c r="BN278" s="36" t="str">
        <f aca="false">IFERROR(IF(AND(ISNUMBER(K278),ISNUMBER(INDEX('Lift Inputs'!$H:$H,MATCH(C278,'Lift Inputs'!$C:$C,0)))),IF(K278&lt;INDEX('Lift Inputs'!$H:$H,MATCH(C278,'Lift Inputs'!$C:$C,0)),"YES","no"),""),"")</f>
        <v/>
      </c>
      <c r="BO278" s="44"/>
    </row>
    <row r="279" customFormat="false" ht="15" hidden="false" customHeight="false" outlineLevel="0" collapsed="false">
      <c r="A279" s="15" t="s">
        <v>71</v>
      </c>
      <c r="B279" s="15" t="s">
        <v>89</v>
      </c>
      <c r="C279" s="15" t="n">
        <v>74</v>
      </c>
      <c r="D279" s="15" t="s">
        <v>208</v>
      </c>
      <c r="E279" s="15" t="n">
        <v>151</v>
      </c>
      <c r="F279" s="15" t="s">
        <v>639</v>
      </c>
      <c r="G279" s="15" t="s">
        <v>640</v>
      </c>
      <c r="H279" s="15" t="s">
        <v>641</v>
      </c>
      <c r="I279" s="15" t="s">
        <v>642</v>
      </c>
      <c r="J279" s="15"/>
      <c r="K279" s="35" t="n">
        <v>15.99</v>
      </c>
      <c r="L279" s="35"/>
      <c r="M279" s="23" t="str">
        <f aca="false">IF(AND(ISNUMBER(L279),ISNUMBER(K279),K279&gt;0),L279/K279-1,"")</f>
        <v/>
      </c>
      <c r="N279" s="36" t="str">
        <f aca="false">IF(M279="","No List Price",IF(M279&lt;=0,"At/below price",IF(M279&lt;=0.12,"&lt;=12% (STR zone)",IF(M279&lt;=0.25,"12-25%","&gt;25% (likely ignored)"))))</f>
        <v>No List Price</v>
      </c>
      <c r="O279" s="15" t="s">
        <v>311</v>
      </c>
      <c r="P279" s="35"/>
      <c r="Q279" s="22" t="str">
        <f aca="false">IF(AND(ISNUMBER(K279),ISNUMBER(P279),N(P279)&gt;0),K279/P279-1,"")</f>
        <v/>
      </c>
      <c r="R279" s="15"/>
      <c r="S279" s="37" t="n">
        <v>58723</v>
      </c>
      <c r="T279" s="37" t="n">
        <v>35</v>
      </c>
      <c r="U279" s="38" t="n">
        <f aca="false">IF(AND(ISNUMBER(K279),ISNUMBER(T279)),K279*T279*52/12,"")</f>
        <v>2425.15</v>
      </c>
      <c r="V279" s="15" t="n">
        <v>4.5</v>
      </c>
      <c r="W279" s="37" t="n">
        <v>968</v>
      </c>
      <c r="X279" s="39" t="n">
        <v>46307</v>
      </c>
      <c r="Y279" s="15" t="n">
        <v>47</v>
      </c>
      <c r="Z279" s="40" t="n">
        <v>45742</v>
      </c>
      <c r="AA279" s="41" t="n">
        <f aca="false">IF(ISNUMBER(Z279),(DATE(2026,10,13)-Z279)/365,"")</f>
        <v>1.55068493150685</v>
      </c>
      <c r="AB279" s="37" t="n">
        <v>335</v>
      </c>
      <c r="AC279" s="15" t="s">
        <v>313</v>
      </c>
      <c r="AD279" s="15" t="n">
        <v>1</v>
      </c>
      <c r="AE279" s="15" t="s">
        <v>331</v>
      </c>
      <c r="AF279" s="42" t="n">
        <v>0</v>
      </c>
      <c r="AG279" s="42" t="n">
        <v>0</v>
      </c>
      <c r="AH279" s="15" t="n">
        <v>210</v>
      </c>
      <c r="AI279" s="37" t="n">
        <v>26952</v>
      </c>
      <c r="AJ279" s="37" t="n">
        <v>504</v>
      </c>
      <c r="AK279" s="15" t="s">
        <v>326</v>
      </c>
      <c r="AL279" s="43" t="n">
        <v>116.8</v>
      </c>
      <c r="AM279" s="43" t="n">
        <v>124.2</v>
      </c>
      <c r="AN279" s="25" t="n">
        <f aca="false">IF(AND(ISNUMBER(AM279),ISNUMBER(AL279),AL279&gt;=5),AM279/AL279,"")</f>
        <v>1.06335616438356</v>
      </c>
      <c r="AO279" s="43" t="n">
        <v>2.1</v>
      </c>
      <c r="AP279" s="43" t="n">
        <v>2.5</v>
      </c>
      <c r="AQ279" s="25" t="str">
        <f aca="false">IF(AND(ISNUMBER(AP279),ISNUMBER(AO279),AO279&gt;=5),AP279/AO279,"")</f>
        <v/>
      </c>
      <c r="AR279" s="43" t="n">
        <v>117.1</v>
      </c>
      <c r="AS279" s="43" t="n">
        <v>98</v>
      </c>
      <c r="AT279" s="22" t="n">
        <f aca="false">IF(AND(ISNUMBER(AS279),ISNUMBER(AR279),AR279&gt;0),AS279/AR279-1,"")</f>
        <v>-0.163108454312553</v>
      </c>
      <c r="AU279" s="44"/>
      <c r="AV279" s="44"/>
      <c r="AW279" s="44"/>
      <c r="AX279" s="44"/>
      <c r="AY279" s="44"/>
      <c r="AZ279" s="45"/>
      <c r="BA279" s="45"/>
      <c r="BB279" s="46"/>
      <c r="BC279" s="46"/>
      <c r="BD279" s="23" t="str">
        <f aca="false">IF(AND(ISNUMBER(BB279),ISNUMBER(BC279),BB279&gt;0),1-BC279/BB279,"")</f>
        <v/>
      </c>
      <c r="BE279" s="47"/>
      <c r="BF279" s="48"/>
      <c r="BG279" s="48"/>
      <c r="BH279" s="27" t="str">
        <f aca="false">IF(AND(ISNUMBER(BF279),ISNUMBER(BG279),BG279&gt;0),BF279/BG279,"")</f>
        <v/>
      </c>
      <c r="BI279" s="48"/>
      <c r="BJ279" s="44"/>
      <c r="BK279" s="46"/>
      <c r="BL279" s="46"/>
      <c r="BM279" s="36" t="str">
        <f aca="false">IF(ISNUMBER(Q279),IF(Q279&lt;0,"YES","no"),"")</f>
        <v/>
      </c>
      <c r="BN279" s="36" t="str">
        <f aca="false">IFERROR(IF(AND(ISNUMBER(K279),ISNUMBER(INDEX('Lift Inputs'!$H:$H,MATCH(C279,'Lift Inputs'!$C:$C,0)))),IF(K279&lt;INDEX('Lift Inputs'!$H:$H,MATCH(C279,'Lift Inputs'!$C:$C,0)),"YES","no"),""),"")</f>
        <v/>
      </c>
      <c r="BO279" s="44"/>
    </row>
    <row r="280" customFormat="false" ht="15" hidden="false" customHeight="false" outlineLevel="0" collapsed="false">
      <c r="A280" s="15" t="s">
        <v>71</v>
      </c>
      <c r="B280" s="15" t="s">
        <v>89</v>
      </c>
      <c r="C280" s="15" t="n">
        <v>74</v>
      </c>
      <c r="D280" s="15" t="s">
        <v>208</v>
      </c>
      <c r="E280" s="15" t="n">
        <v>640</v>
      </c>
      <c r="F280" s="15" t="s">
        <v>595</v>
      </c>
      <c r="G280" s="15" t="s">
        <v>596</v>
      </c>
      <c r="H280" s="15" t="s">
        <v>597</v>
      </c>
      <c r="I280" s="15" t="s">
        <v>577</v>
      </c>
      <c r="J280" s="15"/>
      <c r="K280" s="35" t="n">
        <v>21.99</v>
      </c>
      <c r="L280" s="35"/>
      <c r="M280" s="23" t="str">
        <f aca="false">IF(AND(ISNUMBER(L280),ISNUMBER(K280),K280&gt;0),L280/K280-1,"")</f>
        <v/>
      </c>
      <c r="N280" s="36" t="str">
        <f aca="false">IF(M280="","No List Price",IF(M280&lt;=0,"At/below price",IF(M280&lt;=0.12,"&lt;=12% (STR zone)",IF(M280&lt;=0.25,"12-25%","&gt;25% (likely ignored)"))))</f>
        <v>No List Price</v>
      </c>
      <c r="O280" s="15"/>
      <c r="P280" s="35"/>
      <c r="Q280" s="22" t="str">
        <f aca="false">IF(AND(ISNUMBER(K280),ISNUMBER(P280),N(P280)&gt;0),K280/P280-1,"")</f>
        <v/>
      </c>
      <c r="R280" s="15"/>
      <c r="S280" s="37" t="n">
        <v>57010</v>
      </c>
      <c r="T280" s="37" t="n">
        <v>35</v>
      </c>
      <c r="U280" s="38" t="n">
        <f aca="false">IF(AND(ISNUMBER(K280),ISNUMBER(T280)),K280*T280*52/12,"")</f>
        <v>3335.15</v>
      </c>
      <c r="V280" s="15" t="n">
        <v>4.5</v>
      </c>
      <c r="W280" s="37" t="n">
        <v>1017</v>
      </c>
      <c r="X280" s="39" t="n">
        <v>46307</v>
      </c>
      <c r="Y280" s="15"/>
      <c r="Z280" s="40"/>
      <c r="AA280" s="41" t="str">
        <f aca="false">IF(ISNUMBER(Z280),(DATE(2026,10,13)-Z280)/365,"")</f>
        <v/>
      </c>
      <c r="AB280" s="37"/>
      <c r="AC280" s="15"/>
      <c r="AD280" s="15"/>
      <c r="AE280" s="15"/>
      <c r="AF280" s="42"/>
      <c r="AG280" s="42"/>
      <c r="AH280" s="15"/>
      <c r="AI280" s="37" t="n">
        <v>23621</v>
      </c>
      <c r="AJ280" s="37" t="n">
        <v>569</v>
      </c>
      <c r="AK280" s="15" t="s">
        <v>315</v>
      </c>
      <c r="AL280" s="43" t="n">
        <v>10.2</v>
      </c>
      <c r="AM280" s="43" t="n">
        <v>10.2</v>
      </c>
      <c r="AN280" s="25" t="n">
        <f aca="false">IF(AND(ISNUMBER(AM280),ISNUMBER(AL280),AL280&gt;=5),AM280/AL280,"")</f>
        <v>1</v>
      </c>
      <c r="AO280" s="43" t="n">
        <v>0.5</v>
      </c>
      <c r="AP280" s="43" t="n">
        <v>0.8</v>
      </c>
      <c r="AQ280" s="25" t="str">
        <f aca="false">IF(AND(ISNUMBER(AP280),ISNUMBER(AO280),AO280&gt;=5),AP280/AO280,"")</f>
        <v/>
      </c>
      <c r="AR280" s="43" t="n">
        <v>9.8</v>
      </c>
      <c r="AS280" s="43" t="n">
        <v>12.2</v>
      </c>
      <c r="AT280" s="22" t="n">
        <f aca="false">IF(AND(ISNUMBER(AS280),ISNUMBER(AR280),AR280&gt;0),AS280/AR280-1,"")</f>
        <v>0.244897959183673</v>
      </c>
      <c r="AU280" s="44"/>
      <c r="AV280" s="44"/>
      <c r="AW280" s="44"/>
      <c r="AX280" s="44"/>
      <c r="AY280" s="44"/>
      <c r="AZ280" s="45"/>
      <c r="BA280" s="45"/>
      <c r="BB280" s="46"/>
      <c r="BC280" s="46"/>
      <c r="BD280" s="23" t="str">
        <f aca="false">IF(AND(ISNUMBER(BB280),ISNUMBER(BC280),BB280&gt;0),1-BC280/BB280,"")</f>
        <v/>
      </c>
      <c r="BE280" s="47"/>
      <c r="BF280" s="48"/>
      <c r="BG280" s="48"/>
      <c r="BH280" s="27" t="str">
        <f aca="false">IF(AND(ISNUMBER(BF280),ISNUMBER(BG280),BG280&gt;0),BF280/BG280,"")</f>
        <v/>
      </c>
      <c r="BI280" s="48"/>
      <c r="BJ280" s="44"/>
      <c r="BK280" s="46"/>
      <c r="BL280" s="46"/>
      <c r="BM280" s="36" t="str">
        <f aca="false">IF(ISNUMBER(Q280),IF(Q280&lt;0,"YES","no"),"")</f>
        <v/>
      </c>
      <c r="BN280" s="36" t="str">
        <f aca="false">IFERROR(IF(AND(ISNUMBER(K280),ISNUMBER(INDEX('Lift Inputs'!$H:$H,MATCH(C280,'Lift Inputs'!$C:$C,0)))),IF(K280&lt;INDEX('Lift Inputs'!$H:$H,MATCH(C280,'Lift Inputs'!$C:$C,0)),"YES","no"),""),"")</f>
        <v/>
      </c>
      <c r="BO280" s="44"/>
    </row>
    <row r="281" customFormat="false" ht="15" hidden="false" customHeight="false" outlineLevel="0" collapsed="false">
      <c r="A281" s="15" t="s">
        <v>71</v>
      </c>
      <c r="B281" s="15" t="s">
        <v>89</v>
      </c>
      <c r="C281" s="15" t="n">
        <v>74</v>
      </c>
      <c r="D281" s="15" t="s">
        <v>208</v>
      </c>
      <c r="E281" s="15" t="n">
        <v>142</v>
      </c>
      <c r="F281" s="15" t="s">
        <v>624</v>
      </c>
      <c r="G281" s="15" t="s">
        <v>625</v>
      </c>
      <c r="H281" s="15" t="s">
        <v>626</v>
      </c>
      <c r="I281" s="15" t="s">
        <v>577</v>
      </c>
      <c r="J281" s="15"/>
      <c r="K281" s="35" t="n">
        <v>30.99</v>
      </c>
      <c r="L281" s="35"/>
      <c r="M281" s="23" t="str">
        <f aca="false">IF(AND(ISNUMBER(L281),ISNUMBER(K281),K281&gt;0),L281/K281-1,"")</f>
        <v/>
      </c>
      <c r="N281" s="36" t="str">
        <f aca="false">IF(M281="","No List Price",IF(M281&lt;=0,"At/below price",IF(M281&lt;=0.12,"&lt;=12% (STR zone)",IF(M281&lt;=0.25,"12-25%","&gt;25% (likely ignored)"))))</f>
        <v>No List Price</v>
      </c>
      <c r="O281" s="15"/>
      <c r="P281" s="35"/>
      <c r="Q281" s="22" t="str">
        <f aca="false">IF(AND(ISNUMBER(K281),ISNUMBER(P281),N(P281)&gt;0),K281/P281-1,"")</f>
        <v/>
      </c>
      <c r="R281" s="15"/>
      <c r="S281" s="37" t="n">
        <v>83620</v>
      </c>
      <c r="T281" s="37" t="n">
        <v>35</v>
      </c>
      <c r="U281" s="38" t="n">
        <f aca="false">IF(AND(ISNUMBER(K281),ISNUMBER(T281)),K281*T281*52/12,"")</f>
        <v>4700.15</v>
      </c>
      <c r="V281" s="15" t="n">
        <v>4.2</v>
      </c>
      <c r="W281" s="37" t="n">
        <v>909</v>
      </c>
      <c r="X281" s="39" t="n">
        <v>46307</v>
      </c>
      <c r="Y281" s="15"/>
      <c r="Z281" s="40"/>
      <c r="AA281" s="41" t="str">
        <f aca="false">IF(ISNUMBER(Z281),(DATE(2026,10,13)-Z281)/365,"")</f>
        <v/>
      </c>
      <c r="AB281" s="37"/>
      <c r="AC281" s="15"/>
      <c r="AD281" s="15"/>
      <c r="AE281" s="15"/>
      <c r="AF281" s="42"/>
      <c r="AG281" s="42"/>
      <c r="AH281" s="15"/>
      <c r="AI281" s="37" t="n">
        <v>11441</v>
      </c>
      <c r="AJ281" s="37" t="n">
        <v>382</v>
      </c>
      <c r="AK281" s="15" t="s">
        <v>326</v>
      </c>
      <c r="AL281" s="43" t="n">
        <v>36</v>
      </c>
      <c r="AM281" s="43" t="n">
        <v>35.5</v>
      </c>
      <c r="AN281" s="25" t="n">
        <f aca="false">IF(AND(ISNUMBER(AM281),ISNUMBER(AL281),AL281&gt;=5),AM281/AL281,"")</f>
        <v>0.986111111111111</v>
      </c>
      <c r="AO281" s="43" t="n">
        <v>1.2</v>
      </c>
      <c r="AP281" s="43" t="n">
        <v>0.5</v>
      </c>
      <c r="AQ281" s="25" t="str">
        <f aca="false">IF(AND(ISNUMBER(AP281),ISNUMBER(AO281),AO281&gt;=5),AP281/AO281,"")</f>
        <v/>
      </c>
      <c r="AR281" s="43" t="n">
        <v>28.2</v>
      </c>
      <c r="AS281" s="43" t="n">
        <v>41.4</v>
      </c>
      <c r="AT281" s="22" t="n">
        <f aca="false">IF(AND(ISNUMBER(AS281),ISNUMBER(AR281),AR281&gt;0),AS281/AR281-1,"")</f>
        <v>0.468085106382979</v>
      </c>
      <c r="AU281" s="44"/>
      <c r="AV281" s="44"/>
      <c r="AW281" s="44"/>
      <c r="AX281" s="44"/>
      <c r="AY281" s="44"/>
      <c r="AZ281" s="45"/>
      <c r="BA281" s="45"/>
      <c r="BB281" s="46"/>
      <c r="BC281" s="46"/>
      <c r="BD281" s="23" t="str">
        <f aca="false">IF(AND(ISNUMBER(BB281),ISNUMBER(BC281),BB281&gt;0),1-BC281/BB281,"")</f>
        <v/>
      </c>
      <c r="BE281" s="47"/>
      <c r="BF281" s="48"/>
      <c r="BG281" s="48"/>
      <c r="BH281" s="27" t="str">
        <f aca="false">IF(AND(ISNUMBER(BF281),ISNUMBER(BG281),BG281&gt;0),BF281/BG281,"")</f>
        <v/>
      </c>
      <c r="BI281" s="48"/>
      <c r="BJ281" s="44"/>
      <c r="BK281" s="46"/>
      <c r="BL281" s="46"/>
      <c r="BM281" s="36" t="str">
        <f aca="false">IF(ISNUMBER(Q281),IF(Q281&lt;0,"YES","no"),"")</f>
        <v/>
      </c>
      <c r="BN281" s="36" t="str">
        <f aca="false">IFERROR(IF(AND(ISNUMBER(K281),ISNUMBER(INDEX('Lift Inputs'!$H:$H,MATCH(C281,'Lift Inputs'!$C:$C,0)))),IF(K281&lt;INDEX('Lift Inputs'!$H:$H,MATCH(C281,'Lift Inputs'!$C:$C,0)),"YES","no"),""),"")</f>
        <v/>
      </c>
      <c r="BO281" s="44"/>
    </row>
    <row r="282" customFormat="false" ht="15" hidden="false" customHeight="false" outlineLevel="0" collapsed="false">
      <c r="A282" s="15" t="s">
        <v>71</v>
      </c>
      <c r="B282" s="15" t="s">
        <v>89</v>
      </c>
      <c r="C282" s="15" t="n">
        <v>74</v>
      </c>
      <c r="D282" s="15" t="s">
        <v>208</v>
      </c>
      <c r="E282" s="15" t="n">
        <v>1540</v>
      </c>
      <c r="F282" s="15" t="s">
        <v>598</v>
      </c>
      <c r="G282" s="15" t="s">
        <v>599</v>
      </c>
      <c r="H282" s="15" t="s">
        <v>600</v>
      </c>
      <c r="I282" s="15" t="s">
        <v>577</v>
      </c>
      <c r="J282" s="15"/>
      <c r="K282" s="35" t="n">
        <v>27.99</v>
      </c>
      <c r="L282" s="35"/>
      <c r="M282" s="23" t="str">
        <f aca="false">IF(AND(ISNUMBER(L282),ISNUMBER(K282),K282&gt;0),L282/K282-1,"")</f>
        <v/>
      </c>
      <c r="N282" s="36" t="str">
        <f aca="false">IF(M282="","No List Price",IF(M282&lt;=0,"At/below price",IF(M282&lt;=0.12,"&lt;=12% (STR zone)",IF(M282&lt;=0.25,"12-25%","&gt;25% (likely ignored)"))))</f>
        <v>No List Price</v>
      </c>
      <c r="O282" s="15"/>
      <c r="P282" s="35"/>
      <c r="Q282" s="22" t="str">
        <f aca="false">IF(AND(ISNUMBER(K282),ISNUMBER(P282),N(P282)&gt;0),K282/P282-1,"")</f>
        <v/>
      </c>
      <c r="R282" s="15"/>
      <c r="S282" s="37" t="n">
        <v>89437</v>
      </c>
      <c r="T282" s="37" t="n">
        <v>18</v>
      </c>
      <c r="U282" s="38" t="n">
        <f aca="false">IF(AND(ISNUMBER(K282),ISNUMBER(T282)),K282*T282*52/12,"")</f>
        <v>2183.22</v>
      </c>
      <c r="V282" s="15" t="n">
        <v>4.5</v>
      </c>
      <c r="W282" s="37" t="n">
        <v>205</v>
      </c>
      <c r="X282" s="39" t="n">
        <v>46307</v>
      </c>
      <c r="Y282" s="15"/>
      <c r="Z282" s="40"/>
      <c r="AA282" s="41" t="str">
        <f aca="false">IF(ISNUMBER(Z282),(DATE(2026,10,13)-Z282)/365,"")</f>
        <v/>
      </c>
      <c r="AB282" s="37"/>
      <c r="AC282" s="15"/>
      <c r="AD282" s="15"/>
      <c r="AE282" s="15"/>
      <c r="AF282" s="42"/>
      <c r="AG282" s="42"/>
      <c r="AH282" s="15"/>
      <c r="AI282" s="37"/>
      <c r="AJ282" s="37"/>
      <c r="AK282" s="15"/>
      <c r="AL282" s="43"/>
      <c r="AM282" s="43"/>
      <c r="AN282" s="25" t="str">
        <f aca="false">IF(AND(ISNUMBER(AM282),ISNUMBER(AL282),AL282&gt;=5),AM282/AL282,"")</f>
        <v/>
      </c>
      <c r="AO282" s="43"/>
      <c r="AP282" s="43"/>
      <c r="AQ282" s="25" t="str">
        <f aca="false">IF(AND(ISNUMBER(AP282),ISNUMBER(AO282),AO282&gt;=5),AP282/AO282,"")</f>
        <v/>
      </c>
      <c r="AR282" s="43"/>
      <c r="AS282" s="43"/>
      <c r="AT282" s="22" t="str">
        <f aca="false">IF(AND(ISNUMBER(AS282),ISNUMBER(AR282),AR282&gt;0),AS282/AR282-1,"")</f>
        <v/>
      </c>
      <c r="AU282" s="44"/>
      <c r="AV282" s="44"/>
      <c r="AW282" s="44"/>
      <c r="AX282" s="44"/>
      <c r="AY282" s="44"/>
      <c r="AZ282" s="45"/>
      <c r="BA282" s="45"/>
      <c r="BB282" s="46"/>
      <c r="BC282" s="46"/>
      <c r="BD282" s="23" t="str">
        <f aca="false">IF(AND(ISNUMBER(BB282),ISNUMBER(BC282),BB282&gt;0),1-BC282/BB282,"")</f>
        <v/>
      </c>
      <c r="BE282" s="47"/>
      <c r="BF282" s="48"/>
      <c r="BG282" s="48"/>
      <c r="BH282" s="27" t="str">
        <f aca="false">IF(AND(ISNUMBER(BF282),ISNUMBER(BG282),BG282&gt;0),BF282/BG282,"")</f>
        <v/>
      </c>
      <c r="BI282" s="48"/>
      <c r="BJ282" s="44"/>
      <c r="BK282" s="46"/>
      <c r="BL282" s="46"/>
      <c r="BM282" s="36" t="str">
        <f aca="false">IF(ISNUMBER(Q282),IF(Q282&lt;0,"YES","no"),"")</f>
        <v/>
      </c>
      <c r="BN282" s="36" t="str">
        <f aca="false">IFERROR(IF(AND(ISNUMBER(K282),ISNUMBER(INDEX('Lift Inputs'!$H:$H,MATCH(C282,'Lift Inputs'!$C:$C,0)))),IF(K282&lt;INDEX('Lift Inputs'!$H:$H,MATCH(C282,'Lift Inputs'!$C:$C,0)),"YES","no"),""),"")</f>
        <v/>
      </c>
      <c r="BO282" s="44"/>
    </row>
    <row r="283" customFormat="false" ht="15" hidden="false" customHeight="false" outlineLevel="0" collapsed="false">
      <c r="A283" s="15" t="s">
        <v>71</v>
      </c>
      <c r="B283" s="15" t="s">
        <v>89</v>
      </c>
      <c r="C283" s="15" t="n">
        <v>74</v>
      </c>
      <c r="D283" s="15" t="s">
        <v>208</v>
      </c>
      <c r="E283" s="15" t="n">
        <v>1542</v>
      </c>
      <c r="F283" s="15" t="s">
        <v>627</v>
      </c>
      <c r="G283" s="15" t="s">
        <v>628</v>
      </c>
      <c r="H283" s="15" t="s">
        <v>629</v>
      </c>
      <c r="I283" s="15" t="s">
        <v>577</v>
      </c>
      <c r="J283" s="15"/>
      <c r="K283" s="35" t="n">
        <v>24.99</v>
      </c>
      <c r="L283" s="35"/>
      <c r="M283" s="23" t="str">
        <f aca="false">IF(AND(ISNUMBER(L283),ISNUMBER(K283),K283&gt;0),L283/K283-1,"")</f>
        <v/>
      </c>
      <c r="N283" s="36" t="str">
        <f aca="false">IF(M283="","No List Price",IF(M283&lt;=0,"At/below price",IF(M283&lt;=0.12,"&lt;=12% (STR zone)",IF(M283&lt;=0.25,"12-25%","&gt;25% (likely ignored)"))))</f>
        <v>No List Price</v>
      </c>
      <c r="O283" s="15"/>
      <c r="P283" s="35"/>
      <c r="Q283" s="22" t="str">
        <f aca="false">IF(AND(ISNUMBER(K283),ISNUMBER(P283),N(P283)&gt;0),K283/P283-1,"")</f>
        <v/>
      </c>
      <c r="R283" s="15"/>
      <c r="S283" s="37" t="n">
        <v>180867</v>
      </c>
      <c r="T283" s="37" t="n">
        <v>18</v>
      </c>
      <c r="U283" s="38" t="n">
        <f aca="false">IF(AND(ISNUMBER(K283),ISNUMBER(T283)),K283*T283*52/12,"")</f>
        <v>1949.22</v>
      </c>
      <c r="V283" s="15" t="n">
        <v>4.3</v>
      </c>
      <c r="W283" s="37" t="n">
        <v>1032</v>
      </c>
      <c r="X283" s="39" t="n">
        <v>46307</v>
      </c>
      <c r="Y283" s="15"/>
      <c r="Z283" s="40"/>
      <c r="AA283" s="41" t="str">
        <f aca="false">IF(ISNUMBER(Z283),(DATE(2026,10,13)-Z283)/365,"")</f>
        <v/>
      </c>
      <c r="AB283" s="37"/>
      <c r="AC283" s="15"/>
      <c r="AD283" s="15"/>
      <c r="AE283" s="15"/>
      <c r="AF283" s="42"/>
      <c r="AG283" s="42"/>
      <c r="AH283" s="15"/>
      <c r="AI283" s="37" t="n">
        <v>16567</v>
      </c>
      <c r="AJ283" s="37" t="n">
        <v>357</v>
      </c>
      <c r="AK283" s="15" t="s">
        <v>326</v>
      </c>
      <c r="AL283" s="43" t="n">
        <v>28</v>
      </c>
      <c r="AM283" s="43" t="n">
        <v>28.5</v>
      </c>
      <c r="AN283" s="25" t="n">
        <f aca="false">IF(AND(ISNUMBER(AM283),ISNUMBER(AL283),AL283&gt;=5),AM283/AL283,"")</f>
        <v>1.01785714285714</v>
      </c>
      <c r="AO283" s="43" t="n">
        <v>4.8</v>
      </c>
      <c r="AP283" s="43" t="n">
        <v>7</v>
      </c>
      <c r="AQ283" s="25" t="str">
        <f aca="false">IF(AND(ISNUMBER(AP283),ISNUMBER(AO283),AO283&gt;=5),AP283/AO283,"")</f>
        <v/>
      </c>
      <c r="AR283" s="43" t="n">
        <v>27.1</v>
      </c>
      <c r="AS283" s="43" t="n">
        <v>39.9</v>
      </c>
      <c r="AT283" s="22" t="n">
        <f aca="false">IF(AND(ISNUMBER(AS283),ISNUMBER(AR283),AR283&gt;0),AS283/AR283-1,"")</f>
        <v>0.472324723247232</v>
      </c>
      <c r="AU283" s="44"/>
      <c r="AV283" s="44"/>
      <c r="AW283" s="44"/>
      <c r="AX283" s="44"/>
      <c r="AY283" s="44"/>
      <c r="AZ283" s="45"/>
      <c r="BA283" s="45"/>
      <c r="BB283" s="46"/>
      <c r="BC283" s="46"/>
      <c r="BD283" s="23" t="str">
        <f aca="false">IF(AND(ISNUMBER(BB283),ISNUMBER(BC283),BB283&gt;0),1-BC283/BB283,"")</f>
        <v/>
      </c>
      <c r="BE283" s="47"/>
      <c r="BF283" s="48"/>
      <c r="BG283" s="48"/>
      <c r="BH283" s="27" t="str">
        <f aca="false">IF(AND(ISNUMBER(BF283),ISNUMBER(BG283),BG283&gt;0),BF283/BG283,"")</f>
        <v/>
      </c>
      <c r="BI283" s="48"/>
      <c r="BJ283" s="44"/>
      <c r="BK283" s="46"/>
      <c r="BL283" s="46"/>
      <c r="BM283" s="36" t="str">
        <f aca="false">IF(ISNUMBER(Q283),IF(Q283&lt;0,"YES","no"),"")</f>
        <v/>
      </c>
      <c r="BN283" s="36" t="str">
        <f aca="false">IFERROR(IF(AND(ISNUMBER(K283),ISNUMBER(INDEX('Lift Inputs'!$H:$H,MATCH(C283,'Lift Inputs'!$C:$C,0)))),IF(K283&lt;INDEX('Lift Inputs'!$H:$H,MATCH(C283,'Lift Inputs'!$C:$C,0)),"YES","no"),""),"")</f>
        <v/>
      </c>
      <c r="BO283" s="44"/>
    </row>
    <row r="284" customFormat="false" ht="15" hidden="false" customHeight="false" outlineLevel="0" collapsed="false">
      <c r="A284" s="15" t="s">
        <v>71</v>
      </c>
      <c r="B284" s="15" t="s">
        <v>89</v>
      </c>
      <c r="C284" s="15" t="n">
        <v>74</v>
      </c>
      <c r="D284" s="15" t="s">
        <v>208</v>
      </c>
      <c r="E284" s="15" t="n">
        <v>158</v>
      </c>
      <c r="F284" s="15" t="s">
        <v>630</v>
      </c>
      <c r="G284" s="15" t="s">
        <v>631</v>
      </c>
      <c r="H284" s="15" t="s">
        <v>632</v>
      </c>
      <c r="I284" s="15" t="s">
        <v>577</v>
      </c>
      <c r="J284" s="15"/>
      <c r="K284" s="35" t="n">
        <v>26.99</v>
      </c>
      <c r="L284" s="35"/>
      <c r="M284" s="23" t="str">
        <f aca="false">IF(AND(ISNUMBER(L284),ISNUMBER(K284),K284&gt;0),L284/K284-1,"")</f>
        <v/>
      </c>
      <c r="N284" s="36" t="str">
        <f aca="false">IF(M284="","No List Price",IF(M284&lt;=0,"At/below price",IF(M284&lt;=0.12,"&lt;=12% (STR zone)",IF(M284&lt;=0.25,"12-25%","&gt;25% (likely ignored)"))))</f>
        <v>No List Price</v>
      </c>
      <c r="O284" s="15"/>
      <c r="P284" s="35"/>
      <c r="Q284" s="22" t="str">
        <f aca="false">IF(AND(ISNUMBER(K284),ISNUMBER(P284),N(P284)&gt;0),K284/P284-1,"")</f>
        <v/>
      </c>
      <c r="R284" s="15"/>
      <c r="S284" s="37" t="n">
        <v>76753</v>
      </c>
      <c r="T284" s="37" t="n">
        <v>18</v>
      </c>
      <c r="U284" s="38" t="n">
        <f aca="false">IF(AND(ISNUMBER(K284),ISNUMBER(T284)),K284*T284*52/12,"")</f>
        <v>2105.22</v>
      </c>
      <c r="V284" s="15" t="n">
        <v>4.5</v>
      </c>
      <c r="W284" s="37" t="n">
        <v>127</v>
      </c>
      <c r="X284" s="39" t="n">
        <v>46307</v>
      </c>
      <c r="Y284" s="15"/>
      <c r="Z284" s="40"/>
      <c r="AA284" s="41" t="str">
        <f aca="false">IF(ISNUMBER(Z284),(DATE(2026,10,13)-Z284)/365,"")</f>
        <v/>
      </c>
      <c r="AB284" s="37"/>
      <c r="AC284" s="15"/>
      <c r="AD284" s="15"/>
      <c r="AE284" s="15"/>
      <c r="AF284" s="42"/>
      <c r="AG284" s="42"/>
      <c r="AH284" s="15"/>
      <c r="AI284" s="37" t="n">
        <v>35631</v>
      </c>
      <c r="AJ284" s="37" t="n">
        <v>592</v>
      </c>
      <c r="AK284" s="15" t="s">
        <v>315</v>
      </c>
      <c r="AL284" s="43" t="n">
        <v>14.2</v>
      </c>
      <c r="AM284" s="43" t="n">
        <v>9.8</v>
      </c>
      <c r="AN284" s="25" t="n">
        <f aca="false">IF(AND(ISNUMBER(AM284),ISNUMBER(AL284),AL284&gt;=5),AM284/AL284,"")</f>
        <v>0.690140845070423</v>
      </c>
      <c r="AO284" s="43" t="n">
        <v>1.9</v>
      </c>
      <c r="AP284" s="43" t="n">
        <v>1.5</v>
      </c>
      <c r="AQ284" s="25" t="str">
        <f aca="false">IF(AND(ISNUMBER(AP284),ISNUMBER(AO284),AO284&gt;=5),AP284/AO284,"")</f>
        <v/>
      </c>
      <c r="AR284" s="43" t="n">
        <v>21.1</v>
      </c>
      <c r="AS284" s="43" t="n">
        <v>25</v>
      </c>
      <c r="AT284" s="22" t="n">
        <f aca="false">IF(AND(ISNUMBER(AS284),ISNUMBER(AR284),AR284&gt;0),AS284/AR284-1,"")</f>
        <v>0.184834123222749</v>
      </c>
      <c r="AU284" s="44"/>
      <c r="AV284" s="44"/>
      <c r="AW284" s="44"/>
      <c r="AX284" s="44"/>
      <c r="AY284" s="44"/>
      <c r="AZ284" s="45"/>
      <c r="BA284" s="45"/>
      <c r="BB284" s="46"/>
      <c r="BC284" s="46"/>
      <c r="BD284" s="23" t="str">
        <f aca="false">IF(AND(ISNUMBER(BB284),ISNUMBER(BC284),BB284&gt;0),1-BC284/BB284,"")</f>
        <v/>
      </c>
      <c r="BE284" s="47"/>
      <c r="BF284" s="48"/>
      <c r="BG284" s="48"/>
      <c r="BH284" s="27" t="str">
        <f aca="false">IF(AND(ISNUMBER(BF284),ISNUMBER(BG284),BG284&gt;0),BF284/BG284,"")</f>
        <v/>
      </c>
      <c r="BI284" s="48"/>
      <c r="BJ284" s="44"/>
      <c r="BK284" s="46"/>
      <c r="BL284" s="46"/>
      <c r="BM284" s="36" t="str">
        <f aca="false">IF(ISNUMBER(Q284),IF(Q284&lt;0,"YES","no"),"")</f>
        <v/>
      </c>
      <c r="BN284" s="36" t="str">
        <f aca="false">IFERROR(IF(AND(ISNUMBER(K284),ISNUMBER(INDEX('Lift Inputs'!$H:$H,MATCH(C284,'Lift Inputs'!$C:$C,0)))),IF(K284&lt;INDEX('Lift Inputs'!$H:$H,MATCH(C284,'Lift Inputs'!$C:$C,0)),"YES","no"),""),"")</f>
        <v/>
      </c>
      <c r="BO284" s="44"/>
    </row>
    <row r="285" customFormat="false" ht="15" hidden="false" customHeight="false" outlineLevel="0" collapsed="false">
      <c r="A285" s="15" t="s">
        <v>71</v>
      </c>
      <c r="B285" s="15" t="s">
        <v>89</v>
      </c>
      <c r="C285" s="15" t="n">
        <v>74</v>
      </c>
      <c r="D285" s="15" t="s">
        <v>208</v>
      </c>
      <c r="E285" s="15" t="n">
        <v>1534</v>
      </c>
      <c r="F285" s="15" t="s">
        <v>633</v>
      </c>
      <c r="G285" s="15" t="s">
        <v>634</v>
      </c>
      <c r="H285" s="15" t="s">
        <v>635</v>
      </c>
      <c r="I285" s="15" t="s">
        <v>577</v>
      </c>
      <c r="J285" s="15"/>
      <c r="K285" s="35" t="n">
        <v>18.99</v>
      </c>
      <c r="L285" s="35"/>
      <c r="M285" s="23" t="str">
        <f aca="false">IF(AND(ISNUMBER(L285),ISNUMBER(K285),K285&gt;0),L285/K285-1,"")</f>
        <v/>
      </c>
      <c r="N285" s="36" t="str">
        <f aca="false">IF(M285="","No List Price",IF(M285&lt;=0,"At/below price",IF(M285&lt;=0.12,"&lt;=12% (STR zone)",IF(M285&lt;=0.25,"12-25%","&gt;25% (likely ignored)"))))</f>
        <v>No List Price</v>
      </c>
      <c r="O285" s="15"/>
      <c r="P285" s="35"/>
      <c r="Q285" s="22" t="str">
        <f aca="false">IF(AND(ISNUMBER(K285),ISNUMBER(P285),N(P285)&gt;0),K285/P285-1,"")</f>
        <v/>
      </c>
      <c r="R285" s="15"/>
      <c r="S285" s="37" t="n">
        <v>59039</v>
      </c>
      <c r="T285" s="37" t="n">
        <v>18</v>
      </c>
      <c r="U285" s="38" t="n">
        <f aca="false">IF(AND(ISNUMBER(K285),ISNUMBER(T285)),K285*T285*52/12,"")</f>
        <v>1481.22</v>
      </c>
      <c r="V285" s="15" t="n">
        <v>4.3</v>
      </c>
      <c r="W285" s="37" t="n">
        <v>10761</v>
      </c>
      <c r="X285" s="39" t="n">
        <v>46307</v>
      </c>
      <c r="Y285" s="15"/>
      <c r="Z285" s="40"/>
      <c r="AA285" s="41" t="str">
        <f aca="false">IF(ISNUMBER(Z285),(DATE(2026,10,13)-Z285)/365,"")</f>
        <v/>
      </c>
      <c r="AB285" s="37"/>
      <c r="AC285" s="15"/>
      <c r="AD285" s="15"/>
      <c r="AE285" s="15"/>
      <c r="AF285" s="42"/>
      <c r="AG285" s="42"/>
      <c r="AH285" s="15"/>
      <c r="AI285" s="37"/>
      <c r="AJ285" s="37"/>
      <c r="AK285" s="15"/>
      <c r="AL285" s="43"/>
      <c r="AM285" s="43"/>
      <c r="AN285" s="25" t="str">
        <f aca="false">IF(AND(ISNUMBER(AM285),ISNUMBER(AL285),AL285&gt;=5),AM285/AL285,"")</f>
        <v/>
      </c>
      <c r="AO285" s="43"/>
      <c r="AP285" s="43"/>
      <c r="AQ285" s="25" t="str">
        <f aca="false">IF(AND(ISNUMBER(AP285),ISNUMBER(AO285),AO285&gt;=5),AP285/AO285,"")</f>
        <v/>
      </c>
      <c r="AR285" s="43"/>
      <c r="AS285" s="43"/>
      <c r="AT285" s="22" t="str">
        <f aca="false">IF(AND(ISNUMBER(AS285),ISNUMBER(AR285),AR285&gt;0),AS285/AR285-1,"")</f>
        <v/>
      </c>
      <c r="AU285" s="44"/>
      <c r="AV285" s="44"/>
      <c r="AW285" s="44"/>
      <c r="AX285" s="44"/>
      <c r="AY285" s="44"/>
      <c r="AZ285" s="45"/>
      <c r="BA285" s="45"/>
      <c r="BB285" s="46"/>
      <c r="BC285" s="46"/>
      <c r="BD285" s="23" t="str">
        <f aca="false">IF(AND(ISNUMBER(BB285),ISNUMBER(BC285),BB285&gt;0),1-BC285/BB285,"")</f>
        <v/>
      </c>
      <c r="BE285" s="47"/>
      <c r="BF285" s="48"/>
      <c r="BG285" s="48"/>
      <c r="BH285" s="27" t="str">
        <f aca="false">IF(AND(ISNUMBER(BF285),ISNUMBER(BG285),BG285&gt;0),BF285/BG285,"")</f>
        <v/>
      </c>
      <c r="BI285" s="48"/>
      <c r="BJ285" s="44"/>
      <c r="BK285" s="46"/>
      <c r="BL285" s="46"/>
      <c r="BM285" s="36" t="str">
        <f aca="false">IF(ISNUMBER(Q285),IF(Q285&lt;0,"YES","no"),"")</f>
        <v/>
      </c>
      <c r="BN285" s="36" t="str">
        <f aca="false">IFERROR(IF(AND(ISNUMBER(K285),ISNUMBER(INDEX('Lift Inputs'!$H:$H,MATCH(C285,'Lift Inputs'!$C:$C,0)))),IF(K285&lt;INDEX('Lift Inputs'!$H:$H,MATCH(C285,'Lift Inputs'!$C:$C,0)),"YES","no"),""),"")</f>
        <v/>
      </c>
      <c r="BO285" s="44"/>
    </row>
    <row r="286" customFormat="false" ht="15" hidden="false" customHeight="false" outlineLevel="0" collapsed="false">
      <c r="A286" s="15" t="s">
        <v>71</v>
      </c>
      <c r="B286" s="15" t="s">
        <v>89</v>
      </c>
      <c r="C286" s="15" t="n">
        <v>74</v>
      </c>
      <c r="D286" s="15" t="s">
        <v>208</v>
      </c>
      <c r="E286" s="15" t="n">
        <v>1543</v>
      </c>
      <c r="F286" s="15" t="s">
        <v>595</v>
      </c>
      <c r="G286" s="15" t="s">
        <v>652</v>
      </c>
      <c r="H286" s="15" t="s">
        <v>653</v>
      </c>
      <c r="I286" s="15" t="s">
        <v>577</v>
      </c>
      <c r="J286" s="15"/>
      <c r="K286" s="35" t="n">
        <v>17.99</v>
      </c>
      <c r="L286" s="35"/>
      <c r="M286" s="23" t="str">
        <f aca="false">IF(AND(ISNUMBER(L286),ISNUMBER(K286),K286&gt;0),L286/K286-1,"")</f>
        <v/>
      </c>
      <c r="N286" s="36" t="str">
        <f aca="false">IF(M286="","No List Price",IF(M286&lt;=0,"At/below price",IF(M286&lt;=0.12,"&lt;=12% (STR zone)",IF(M286&lt;=0.25,"12-25%","&gt;25% (likely ignored)"))))</f>
        <v>No List Price</v>
      </c>
      <c r="O286" s="15"/>
      <c r="P286" s="35"/>
      <c r="Q286" s="22" t="str">
        <f aca="false">IF(AND(ISNUMBER(K286),ISNUMBER(P286),N(P286)&gt;0),K286/P286-1,"")</f>
        <v/>
      </c>
      <c r="R286" s="15"/>
      <c r="S286" s="37" t="n">
        <v>79028</v>
      </c>
      <c r="T286" s="37" t="n">
        <v>18</v>
      </c>
      <c r="U286" s="38" t="n">
        <f aca="false">IF(AND(ISNUMBER(K286),ISNUMBER(T286)),K286*T286*52/12,"")</f>
        <v>1403.22</v>
      </c>
      <c r="V286" s="15" t="n">
        <v>4.4</v>
      </c>
      <c r="W286" s="37" t="n">
        <v>209</v>
      </c>
      <c r="X286" s="39" t="n">
        <v>46307</v>
      </c>
      <c r="Y286" s="15"/>
      <c r="Z286" s="40"/>
      <c r="AA286" s="41" t="str">
        <f aca="false">IF(ISNUMBER(Z286),(DATE(2026,10,13)-Z286)/365,"")</f>
        <v/>
      </c>
      <c r="AB286" s="37"/>
      <c r="AC286" s="15"/>
      <c r="AD286" s="15"/>
      <c r="AE286" s="15"/>
      <c r="AF286" s="42"/>
      <c r="AG286" s="42"/>
      <c r="AH286" s="15"/>
      <c r="AI286" s="37" t="n">
        <v>21912</v>
      </c>
      <c r="AJ286" s="37" t="n">
        <v>632</v>
      </c>
      <c r="AK286" s="15" t="s">
        <v>326</v>
      </c>
      <c r="AL286" s="43" t="n">
        <v>24.3</v>
      </c>
      <c r="AM286" s="43" t="n">
        <v>41.5</v>
      </c>
      <c r="AN286" s="25" t="n">
        <f aca="false">IF(AND(ISNUMBER(AM286),ISNUMBER(AL286),AL286&gt;=5),AM286/AL286,"")</f>
        <v>1.70781893004115</v>
      </c>
      <c r="AO286" s="43" t="n">
        <v>0.1</v>
      </c>
      <c r="AP286" s="43" t="n">
        <v>0</v>
      </c>
      <c r="AQ286" s="25" t="str">
        <f aca="false">IF(AND(ISNUMBER(AP286),ISNUMBER(AO286),AO286&gt;=5),AP286/AO286,"")</f>
        <v/>
      </c>
      <c r="AR286" s="43" t="n">
        <v>24.3</v>
      </c>
      <c r="AS286" s="43" t="n">
        <v>70.8</v>
      </c>
      <c r="AT286" s="22" t="n">
        <f aca="false">IF(AND(ISNUMBER(AS286),ISNUMBER(AR286),AR286&gt;0),AS286/AR286-1,"")</f>
        <v>1.91358024691358</v>
      </c>
      <c r="AU286" s="44"/>
      <c r="AV286" s="44"/>
      <c r="AW286" s="44"/>
      <c r="AX286" s="44"/>
      <c r="AY286" s="44"/>
      <c r="AZ286" s="45"/>
      <c r="BA286" s="45"/>
      <c r="BB286" s="46"/>
      <c r="BC286" s="46"/>
      <c r="BD286" s="23" t="str">
        <f aca="false">IF(AND(ISNUMBER(BB286),ISNUMBER(BC286),BB286&gt;0),1-BC286/BB286,"")</f>
        <v/>
      </c>
      <c r="BE286" s="47"/>
      <c r="BF286" s="48"/>
      <c r="BG286" s="48"/>
      <c r="BH286" s="27" t="str">
        <f aca="false">IF(AND(ISNUMBER(BF286),ISNUMBER(BG286),BG286&gt;0),BF286/BG286,"")</f>
        <v/>
      </c>
      <c r="BI286" s="48"/>
      <c r="BJ286" s="44"/>
      <c r="BK286" s="46"/>
      <c r="BL286" s="46"/>
      <c r="BM286" s="36" t="str">
        <f aca="false">IF(ISNUMBER(Q286),IF(Q286&lt;0,"YES","no"),"")</f>
        <v/>
      </c>
      <c r="BN286" s="36" t="str">
        <f aca="false">IFERROR(IF(AND(ISNUMBER(K286),ISNUMBER(INDEX('Lift Inputs'!$H:$H,MATCH(C286,'Lift Inputs'!$C:$C,0)))),IF(K286&lt;INDEX('Lift Inputs'!$H:$H,MATCH(C286,'Lift Inputs'!$C:$C,0)),"YES","no"),""),"")</f>
        <v/>
      </c>
      <c r="BO286" s="44"/>
    </row>
    <row r="287" customFormat="false" ht="15" hidden="false" customHeight="false" outlineLevel="0" collapsed="false">
      <c r="A287" s="15" t="s">
        <v>71</v>
      </c>
      <c r="B287" s="15" t="s">
        <v>89</v>
      </c>
      <c r="C287" s="15" t="n">
        <v>74</v>
      </c>
      <c r="D287" s="15" t="s">
        <v>208</v>
      </c>
      <c r="E287" s="15" t="n">
        <v>1548</v>
      </c>
      <c r="F287" s="15" t="s">
        <v>643</v>
      </c>
      <c r="G287" s="15" t="s">
        <v>644</v>
      </c>
      <c r="H287" s="15" t="s">
        <v>645</v>
      </c>
      <c r="I287" s="15" t="s">
        <v>577</v>
      </c>
      <c r="J287" s="15"/>
      <c r="K287" s="35" t="n">
        <v>15.99</v>
      </c>
      <c r="L287" s="35"/>
      <c r="M287" s="23" t="str">
        <f aca="false">IF(AND(ISNUMBER(L287),ISNUMBER(K287),K287&gt;0),L287/K287-1,"")</f>
        <v/>
      </c>
      <c r="N287" s="36" t="str">
        <f aca="false">IF(M287="","No List Price",IF(M287&lt;=0,"At/below price",IF(M287&lt;=0.12,"&lt;=12% (STR zone)",IF(M287&lt;=0.25,"12-25%","&gt;25% (likely ignored)"))))</f>
        <v>No List Price</v>
      </c>
      <c r="O287" s="15"/>
      <c r="P287" s="35"/>
      <c r="Q287" s="22" t="str">
        <f aca="false">IF(AND(ISNUMBER(K287),ISNUMBER(P287),N(P287)&gt;0),K287/P287-1,"")</f>
        <v/>
      </c>
      <c r="R287" s="15"/>
      <c r="S287" s="37" t="n">
        <v>420044</v>
      </c>
      <c r="T287" s="37" t="n">
        <v>5</v>
      </c>
      <c r="U287" s="38" t="n">
        <f aca="false">IF(AND(ISNUMBER(K287),ISNUMBER(T287)),K287*T287*52/12,"")</f>
        <v>346.45</v>
      </c>
      <c r="V287" s="15" t="n">
        <v>4.3</v>
      </c>
      <c r="W287" s="37" t="n">
        <v>5277</v>
      </c>
      <c r="X287" s="39" t="n">
        <v>46279</v>
      </c>
      <c r="Y287" s="15"/>
      <c r="Z287" s="40"/>
      <c r="AA287" s="41" t="str">
        <f aca="false">IF(ISNUMBER(Z287),(DATE(2026,10,13)-Z287)/365,"")</f>
        <v/>
      </c>
      <c r="AB287" s="37"/>
      <c r="AC287" s="15"/>
      <c r="AD287" s="15"/>
      <c r="AE287" s="15"/>
      <c r="AF287" s="42"/>
      <c r="AG287" s="42"/>
      <c r="AH287" s="15"/>
      <c r="AI287" s="37"/>
      <c r="AJ287" s="37"/>
      <c r="AK287" s="15" t="s">
        <v>326</v>
      </c>
      <c r="AL287" s="43" t="n">
        <v>0</v>
      </c>
      <c r="AM287" s="43" t="n">
        <v>0</v>
      </c>
      <c r="AN287" s="25" t="str">
        <f aca="false">IF(AND(ISNUMBER(AM287),ISNUMBER(AL287),AL287&gt;=5),AM287/AL287,"")</f>
        <v/>
      </c>
      <c r="AO287" s="43" t="n">
        <v>0</v>
      </c>
      <c r="AP287" s="43" t="n">
        <v>0</v>
      </c>
      <c r="AQ287" s="25" t="str">
        <f aca="false">IF(AND(ISNUMBER(AP287),ISNUMBER(AO287),AO287&gt;=5),AP287/AO287,"")</f>
        <v/>
      </c>
      <c r="AR287" s="43" t="n">
        <v>0</v>
      </c>
      <c r="AS287" s="43" t="n">
        <v>0.2</v>
      </c>
      <c r="AT287" s="22" t="str">
        <f aca="false">IF(AND(ISNUMBER(AS287),ISNUMBER(AR287),AR287&gt;0),AS287/AR287-1,"")</f>
        <v/>
      </c>
      <c r="AU287" s="44"/>
      <c r="AV287" s="44"/>
      <c r="AW287" s="44"/>
      <c r="AX287" s="44"/>
      <c r="AY287" s="44"/>
      <c r="AZ287" s="45"/>
      <c r="BA287" s="45"/>
      <c r="BB287" s="46"/>
      <c r="BC287" s="46"/>
      <c r="BD287" s="23" t="str">
        <f aca="false">IF(AND(ISNUMBER(BB287),ISNUMBER(BC287),BB287&gt;0),1-BC287/BB287,"")</f>
        <v/>
      </c>
      <c r="BE287" s="47"/>
      <c r="BF287" s="48"/>
      <c r="BG287" s="48"/>
      <c r="BH287" s="27" t="str">
        <f aca="false">IF(AND(ISNUMBER(BF287),ISNUMBER(BG287),BG287&gt;0),BF287/BG287,"")</f>
        <v/>
      </c>
      <c r="BI287" s="48"/>
      <c r="BJ287" s="44"/>
      <c r="BK287" s="46"/>
      <c r="BL287" s="46"/>
      <c r="BM287" s="36" t="str">
        <f aca="false">IF(ISNUMBER(Q287),IF(Q287&lt;0,"YES","no"),"")</f>
        <v/>
      </c>
      <c r="BN287" s="36" t="str">
        <f aca="false">IFERROR(IF(AND(ISNUMBER(K287),ISNUMBER(INDEX('Lift Inputs'!$H:$H,MATCH(C287,'Lift Inputs'!$C:$C,0)))),IF(K287&lt;INDEX('Lift Inputs'!$H:$H,MATCH(C287,'Lift Inputs'!$C:$C,0)),"YES","no"),""),"")</f>
        <v/>
      </c>
      <c r="BO287" s="44"/>
    </row>
    <row r="288" customFormat="false" ht="15" hidden="false" customHeight="false" outlineLevel="0" collapsed="false">
      <c r="A288" s="15" t="s">
        <v>71</v>
      </c>
      <c r="B288" s="15" t="s">
        <v>89</v>
      </c>
      <c r="C288" s="15" t="n">
        <v>74</v>
      </c>
      <c r="D288" s="15" t="s">
        <v>208</v>
      </c>
      <c r="E288" s="15" t="n">
        <v>149</v>
      </c>
      <c r="F288" s="15" t="s">
        <v>598</v>
      </c>
      <c r="G288" s="15" t="s">
        <v>605</v>
      </c>
      <c r="H288" s="15" t="s">
        <v>606</v>
      </c>
      <c r="I288" s="15" t="s">
        <v>577</v>
      </c>
      <c r="J288" s="15"/>
      <c r="K288" s="35" t="n">
        <v>21.99</v>
      </c>
      <c r="L288" s="35" t="n">
        <v>25.99</v>
      </c>
      <c r="M288" s="23" t="n">
        <f aca="false">IF(AND(ISNUMBER(L288),ISNUMBER(K288),K288&gt;0),L288/K288-1,"")</f>
        <v>0.181900864029104</v>
      </c>
      <c r="N288" s="36" t="str">
        <f aca="false">IF(M288="","No List Price",IF(M288&lt;=0,"At/below price",IF(M288&lt;=0.12,"&lt;=12% (STR zone)",IF(M288&lt;=0.25,"12-25%","&gt;25% (likely ignored)"))))</f>
        <v>12-25%</v>
      </c>
      <c r="O288" s="15"/>
      <c r="P288" s="35"/>
      <c r="Q288" s="22" t="str">
        <f aca="false">IF(AND(ISNUMBER(K288),ISNUMBER(P288),N(P288)&gt;0),K288/P288-1,"")</f>
        <v/>
      </c>
      <c r="R288" s="15"/>
      <c r="S288" s="37" t="n">
        <v>28165</v>
      </c>
      <c r="T288" s="37" t="n">
        <v>5</v>
      </c>
      <c r="U288" s="38" t="n">
        <f aca="false">IF(AND(ISNUMBER(K288),ISNUMBER(T288)),K288*T288*52/12,"")</f>
        <v>476.45</v>
      </c>
      <c r="V288" s="15" t="n">
        <v>4.4</v>
      </c>
      <c r="W288" s="37" t="n">
        <v>12125</v>
      </c>
      <c r="X288" s="39" t="n">
        <v>46307</v>
      </c>
      <c r="Y288" s="15"/>
      <c r="Z288" s="40"/>
      <c r="AA288" s="41" t="str">
        <f aca="false">IF(ISNUMBER(Z288),(DATE(2026,10,13)-Z288)/365,"")</f>
        <v/>
      </c>
      <c r="AB288" s="37"/>
      <c r="AC288" s="15"/>
      <c r="AD288" s="15"/>
      <c r="AE288" s="15"/>
      <c r="AF288" s="42"/>
      <c r="AG288" s="42"/>
      <c r="AH288" s="15"/>
      <c r="AI288" s="37" t="n">
        <v>20002</v>
      </c>
      <c r="AJ288" s="37" t="n">
        <v>618</v>
      </c>
      <c r="AK288" s="15"/>
      <c r="AL288" s="43"/>
      <c r="AM288" s="43"/>
      <c r="AN288" s="25" t="str">
        <f aca="false">IF(AND(ISNUMBER(AM288),ISNUMBER(AL288),AL288&gt;=5),AM288/AL288,"")</f>
        <v/>
      </c>
      <c r="AO288" s="43"/>
      <c r="AP288" s="43"/>
      <c r="AQ288" s="25" t="str">
        <f aca="false">IF(AND(ISNUMBER(AP288),ISNUMBER(AO288),AO288&gt;=5),AP288/AO288,"")</f>
        <v/>
      </c>
      <c r="AR288" s="43"/>
      <c r="AS288" s="43"/>
      <c r="AT288" s="22" t="str">
        <f aca="false">IF(AND(ISNUMBER(AS288),ISNUMBER(AR288),AR288&gt;0),AS288/AR288-1,"")</f>
        <v/>
      </c>
      <c r="AU288" s="44"/>
      <c r="AV288" s="44"/>
      <c r="AW288" s="44"/>
      <c r="AX288" s="44"/>
      <c r="AY288" s="44"/>
      <c r="AZ288" s="45"/>
      <c r="BA288" s="45"/>
      <c r="BB288" s="46"/>
      <c r="BC288" s="46"/>
      <c r="BD288" s="23" t="str">
        <f aca="false">IF(AND(ISNUMBER(BB288),ISNUMBER(BC288),BB288&gt;0),1-BC288/BB288,"")</f>
        <v/>
      </c>
      <c r="BE288" s="47"/>
      <c r="BF288" s="48"/>
      <c r="BG288" s="48"/>
      <c r="BH288" s="27" t="str">
        <f aca="false">IF(AND(ISNUMBER(BF288),ISNUMBER(BG288),BG288&gt;0),BF288/BG288,"")</f>
        <v/>
      </c>
      <c r="BI288" s="48"/>
      <c r="BJ288" s="44"/>
      <c r="BK288" s="46"/>
      <c r="BL288" s="46"/>
      <c r="BM288" s="36" t="str">
        <f aca="false">IF(ISNUMBER(Q288),IF(Q288&lt;0,"YES","no"),"")</f>
        <v/>
      </c>
      <c r="BN288" s="36" t="str">
        <f aca="false">IFERROR(IF(AND(ISNUMBER(K288),ISNUMBER(INDEX('Lift Inputs'!$H:$H,MATCH(C288,'Lift Inputs'!$C:$C,0)))),IF(K288&lt;INDEX('Lift Inputs'!$H:$H,MATCH(C288,'Lift Inputs'!$C:$C,0)),"YES","no"),""),"")</f>
        <v/>
      </c>
      <c r="BO288" s="44"/>
    </row>
    <row r="289" customFormat="false" ht="15" hidden="false" customHeight="false" outlineLevel="0" collapsed="false">
      <c r="A289" s="15" t="s">
        <v>71</v>
      </c>
      <c r="B289" s="15" t="s">
        <v>89</v>
      </c>
      <c r="C289" s="15" t="n">
        <v>74</v>
      </c>
      <c r="D289" s="15" t="s">
        <v>208</v>
      </c>
      <c r="E289" s="15" t="n">
        <v>1547</v>
      </c>
      <c r="F289" s="15" t="s">
        <v>607</v>
      </c>
      <c r="G289" s="15" t="s">
        <v>608</v>
      </c>
      <c r="H289" s="15" t="s">
        <v>609</v>
      </c>
      <c r="I289" s="15" t="s">
        <v>577</v>
      </c>
      <c r="J289" s="15"/>
      <c r="K289" s="35" t="n">
        <v>28.99</v>
      </c>
      <c r="L289" s="35"/>
      <c r="M289" s="23" t="str">
        <f aca="false">IF(AND(ISNUMBER(L289),ISNUMBER(K289),K289&gt;0),L289/K289-1,"")</f>
        <v/>
      </c>
      <c r="N289" s="36" t="str">
        <f aca="false">IF(M289="","No List Price",IF(M289&lt;=0,"At/below price",IF(M289&lt;=0.12,"&lt;=12% (STR zone)",IF(M289&lt;=0.25,"12-25%","&gt;25% (likely ignored)"))))</f>
        <v>No List Price</v>
      </c>
      <c r="O289" s="15"/>
      <c r="P289" s="35"/>
      <c r="Q289" s="22" t="str">
        <f aca="false">IF(AND(ISNUMBER(K289),ISNUMBER(P289),N(P289)&gt;0),K289/P289-1,"")</f>
        <v/>
      </c>
      <c r="R289" s="15"/>
      <c r="S289" s="37" t="n">
        <v>300374</v>
      </c>
      <c r="T289" s="37" t="n">
        <v>5</v>
      </c>
      <c r="U289" s="38" t="n">
        <f aca="false">IF(AND(ISNUMBER(K289),ISNUMBER(T289)),K289*T289*52/12,"")</f>
        <v>628.116666666667</v>
      </c>
      <c r="V289" s="15" t="n">
        <v>4.3</v>
      </c>
      <c r="W289" s="37" t="n">
        <v>907</v>
      </c>
      <c r="X289" s="39" t="n">
        <v>46307</v>
      </c>
      <c r="Y289" s="15"/>
      <c r="Z289" s="40"/>
      <c r="AA289" s="41" t="str">
        <f aca="false">IF(ISNUMBER(Z289),(DATE(2026,10,13)-Z289)/365,"")</f>
        <v/>
      </c>
      <c r="AB289" s="37"/>
      <c r="AC289" s="15"/>
      <c r="AD289" s="15"/>
      <c r="AE289" s="15"/>
      <c r="AF289" s="42"/>
      <c r="AG289" s="42"/>
      <c r="AH289" s="15"/>
      <c r="AI289" s="37"/>
      <c r="AJ289" s="37"/>
      <c r="AK289" s="15"/>
      <c r="AL289" s="43"/>
      <c r="AM289" s="43"/>
      <c r="AN289" s="25" t="str">
        <f aca="false">IF(AND(ISNUMBER(AM289),ISNUMBER(AL289),AL289&gt;=5),AM289/AL289,"")</f>
        <v/>
      </c>
      <c r="AO289" s="43"/>
      <c r="AP289" s="43"/>
      <c r="AQ289" s="25" t="str">
        <f aca="false">IF(AND(ISNUMBER(AP289),ISNUMBER(AO289),AO289&gt;=5),AP289/AO289,"")</f>
        <v/>
      </c>
      <c r="AR289" s="43"/>
      <c r="AS289" s="43"/>
      <c r="AT289" s="22" t="str">
        <f aca="false">IF(AND(ISNUMBER(AS289),ISNUMBER(AR289),AR289&gt;0),AS289/AR289-1,"")</f>
        <v/>
      </c>
      <c r="AU289" s="44"/>
      <c r="AV289" s="44"/>
      <c r="AW289" s="44"/>
      <c r="AX289" s="44"/>
      <c r="AY289" s="44"/>
      <c r="AZ289" s="45"/>
      <c r="BA289" s="45"/>
      <c r="BB289" s="46"/>
      <c r="BC289" s="46"/>
      <c r="BD289" s="23" t="str">
        <f aca="false">IF(AND(ISNUMBER(BB289),ISNUMBER(BC289),BB289&gt;0),1-BC289/BB289,"")</f>
        <v/>
      </c>
      <c r="BE289" s="47"/>
      <c r="BF289" s="48"/>
      <c r="BG289" s="48"/>
      <c r="BH289" s="27" t="str">
        <f aca="false">IF(AND(ISNUMBER(BF289),ISNUMBER(BG289),BG289&gt;0),BF289/BG289,"")</f>
        <v/>
      </c>
      <c r="BI289" s="48"/>
      <c r="BJ289" s="44"/>
      <c r="BK289" s="46"/>
      <c r="BL289" s="46"/>
      <c r="BM289" s="36" t="str">
        <f aca="false">IF(ISNUMBER(Q289),IF(Q289&lt;0,"YES","no"),"")</f>
        <v/>
      </c>
      <c r="BN289" s="36" t="str">
        <f aca="false">IFERROR(IF(AND(ISNUMBER(K289),ISNUMBER(INDEX('Lift Inputs'!$H:$H,MATCH(C289,'Lift Inputs'!$C:$C,0)))),IF(K289&lt;INDEX('Lift Inputs'!$H:$H,MATCH(C289,'Lift Inputs'!$C:$C,0)),"YES","no"),""),"")</f>
        <v/>
      </c>
      <c r="BO289" s="44"/>
    </row>
    <row r="290" customFormat="false" ht="15" hidden="false" customHeight="false" outlineLevel="0" collapsed="false">
      <c r="A290" s="15" t="s">
        <v>71</v>
      </c>
      <c r="B290" s="15" t="s">
        <v>89</v>
      </c>
      <c r="C290" s="15" t="n">
        <v>74</v>
      </c>
      <c r="D290" s="15" t="s">
        <v>208</v>
      </c>
      <c r="E290" s="15" t="n">
        <v>1546</v>
      </c>
      <c r="F290" s="15" t="s">
        <v>610</v>
      </c>
      <c r="G290" s="15" t="s">
        <v>611</v>
      </c>
      <c r="H290" s="15" t="s">
        <v>612</v>
      </c>
      <c r="I290" s="15" t="s">
        <v>577</v>
      </c>
      <c r="J290" s="15"/>
      <c r="K290" s="35" t="n">
        <v>25.99</v>
      </c>
      <c r="L290" s="35"/>
      <c r="M290" s="23" t="str">
        <f aca="false">IF(AND(ISNUMBER(L290),ISNUMBER(K290),K290&gt;0),L290/K290-1,"")</f>
        <v/>
      </c>
      <c r="N290" s="36" t="str">
        <f aca="false">IF(M290="","No List Price",IF(M290&lt;=0,"At/below price",IF(M290&lt;=0.12,"&lt;=12% (STR zone)",IF(M290&lt;=0.25,"12-25%","&gt;25% (likely ignored)"))))</f>
        <v>No List Price</v>
      </c>
      <c r="O290" s="15"/>
      <c r="P290" s="35"/>
      <c r="Q290" s="22" t="str">
        <f aca="false">IF(AND(ISNUMBER(K290),ISNUMBER(P290),N(P290)&gt;0),K290/P290-1,"")</f>
        <v/>
      </c>
      <c r="R290" s="15"/>
      <c r="S290" s="37" t="n">
        <v>52458</v>
      </c>
      <c r="T290" s="37" t="n">
        <v>5</v>
      </c>
      <c r="U290" s="38" t="n">
        <f aca="false">IF(AND(ISNUMBER(K290),ISNUMBER(T290)),K290*T290*52/12,"")</f>
        <v>563.116666666667</v>
      </c>
      <c r="V290" s="15" t="n">
        <v>4.3</v>
      </c>
      <c r="W290" s="37" t="n">
        <v>2260</v>
      </c>
      <c r="X290" s="39" t="n">
        <v>46307</v>
      </c>
      <c r="Y290" s="15"/>
      <c r="Z290" s="40"/>
      <c r="AA290" s="41" t="str">
        <f aca="false">IF(ISNUMBER(Z290),(DATE(2026,10,13)-Z290)/365,"")</f>
        <v/>
      </c>
      <c r="AB290" s="37"/>
      <c r="AC290" s="15"/>
      <c r="AD290" s="15"/>
      <c r="AE290" s="15"/>
      <c r="AF290" s="42"/>
      <c r="AG290" s="42"/>
      <c r="AH290" s="15"/>
      <c r="AI290" s="37"/>
      <c r="AJ290" s="37"/>
      <c r="AK290" s="15"/>
      <c r="AL290" s="43"/>
      <c r="AM290" s="43"/>
      <c r="AN290" s="25" t="str">
        <f aca="false">IF(AND(ISNUMBER(AM290),ISNUMBER(AL290),AL290&gt;=5),AM290/AL290,"")</f>
        <v/>
      </c>
      <c r="AO290" s="43"/>
      <c r="AP290" s="43"/>
      <c r="AQ290" s="25" t="str">
        <f aca="false">IF(AND(ISNUMBER(AP290),ISNUMBER(AO290),AO290&gt;=5),AP290/AO290,"")</f>
        <v/>
      </c>
      <c r="AR290" s="43"/>
      <c r="AS290" s="43"/>
      <c r="AT290" s="22" t="str">
        <f aca="false">IF(AND(ISNUMBER(AS290),ISNUMBER(AR290),AR290&gt;0),AS290/AR290-1,"")</f>
        <v/>
      </c>
      <c r="AU290" s="44"/>
      <c r="AV290" s="44"/>
      <c r="AW290" s="44"/>
      <c r="AX290" s="44"/>
      <c r="AY290" s="44"/>
      <c r="AZ290" s="45"/>
      <c r="BA290" s="45"/>
      <c r="BB290" s="46"/>
      <c r="BC290" s="46"/>
      <c r="BD290" s="23" t="str">
        <f aca="false">IF(AND(ISNUMBER(BB290),ISNUMBER(BC290),BB290&gt;0),1-BC290/BB290,"")</f>
        <v/>
      </c>
      <c r="BE290" s="47"/>
      <c r="BF290" s="48"/>
      <c r="BG290" s="48"/>
      <c r="BH290" s="27" t="str">
        <f aca="false">IF(AND(ISNUMBER(BF290),ISNUMBER(BG290),BG290&gt;0),BF290/BG290,"")</f>
        <v/>
      </c>
      <c r="BI290" s="48"/>
      <c r="BJ290" s="44"/>
      <c r="BK290" s="46"/>
      <c r="BL290" s="46"/>
      <c r="BM290" s="36" t="str">
        <f aca="false">IF(ISNUMBER(Q290),IF(Q290&lt;0,"YES","no"),"")</f>
        <v/>
      </c>
      <c r="BN290" s="36" t="str">
        <f aca="false">IFERROR(IF(AND(ISNUMBER(K290),ISNUMBER(INDEX('Lift Inputs'!$H:$H,MATCH(C290,'Lift Inputs'!$C:$C,0)))),IF(K290&lt;INDEX('Lift Inputs'!$H:$H,MATCH(C290,'Lift Inputs'!$C:$C,0)),"YES","no"),""),"")</f>
        <v/>
      </c>
      <c r="BO290" s="44"/>
    </row>
    <row r="291" customFormat="false" ht="15" hidden="false" customHeight="false" outlineLevel="0" collapsed="false">
      <c r="A291" s="15" t="s">
        <v>71</v>
      </c>
      <c r="B291" s="15" t="s">
        <v>92</v>
      </c>
      <c r="C291" s="15" t="n">
        <v>38</v>
      </c>
      <c r="D291" s="15" t="s">
        <v>214</v>
      </c>
      <c r="E291" s="15" t="n">
        <v>67</v>
      </c>
      <c r="F291" s="15" t="s">
        <v>362</v>
      </c>
      <c r="G291" s="15" t="s">
        <v>654</v>
      </c>
      <c r="H291" s="15" t="s">
        <v>655</v>
      </c>
      <c r="I291" s="15" t="s">
        <v>656</v>
      </c>
      <c r="J291" s="15" t="s">
        <v>177</v>
      </c>
      <c r="K291" s="35" t="n">
        <v>13.99</v>
      </c>
      <c r="L291" s="35"/>
      <c r="M291" s="23" t="str">
        <f aca="false">IF(AND(ISNUMBER(L291),ISNUMBER(K291),K291&gt;0),L291/K291-1,"")</f>
        <v/>
      </c>
      <c r="N291" s="36" t="str">
        <f aca="false">IF(M291="","No List Price",IF(M291&lt;=0,"At/below price",IF(M291&lt;=0.12,"&lt;=12% (STR zone)",IF(M291&lt;=0.25,"12-25%","&gt;25% (likely ignored)"))))</f>
        <v>No List Price</v>
      </c>
      <c r="O291" s="15"/>
      <c r="P291" s="35" t="n">
        <v>19.2069060773481</v>
      </c>
      <c r="Q291" s="22" t="n">
        <f aca="false">IF(AND(ISNUMBER(K291),ISNUMBER(P291),N(P291)&gt;0),K291/P291-1,"")</f>
        <v>-0.271616160163385</v>
      </c>
      <c r="R291" s="15" t="s">
        <v>353</v>
      </c>
      <c r="S291" s="37" t="n">
        <v>11489</v>
      </c>
      <c r="T291" s="37" t="n">
        <v>208</v>
      </c>
      <c r="U291" s="38" t="n">
        <f aca="false">IF(AND(ISNUMBER(K291),ISNUMBER(T291)),K291*T291*52/12,"")</f>
        <v>12609.6533333333</v>
      </c>
      <c r="V291" s="15" t="n">
        <v>4.4</v>
      </c>
      <c r="W291" s="37" t="n">
        <v>528</v>
      </c>
      <c r="X291" s="39" t="n">
        <v>46307</v>
      </c>
      <c r="Y291" s="15"/>
      <c r="Z291" s="40"/>
      <c r="AA291" s="41" t="str">
        <f aca="false">IF(ISNUMBER(Z291),(DATE(2026,10,13)-Z291)/365,"")</f>
        <v/>
      </c>
      <c r="AB291" s="37"/>
      <c r="AC291" s="15"/>
      <c r="AD291" s="15"/>
      <c r="AE291" s="15"/>
      <c r="AF291" s="42"/>
      <c r="AG291" s="42"/>
      <c r="AH291" s="15"/>
      <c r="AI291" s="37" t="n">
        <v>91747</v>
      </c>
      <c r="AJ291" s="37" t="n">
        <v>1002</v>
      </c>
      <c r="AK291" s="15" t="s">
        <v>326</v>
      </c>
      <c r="AL291" s="43" t="n">
        <v>128.1</v>
      </c>
      <c r="AM291" s="43" t="n">
        <v>157.2</v>
      </c>
      <c r="AN291" s="25" t="n">
        <f aca="false">IF(AND(ISNUMBER(AM291),ISNUMBER(AL291),AL291&gt;=5),AM291/AL291,"")</f>
        <v>1.2271662763466</v>
      </c>
      <c r="AO291" s="43" t="n">
        <v>39.4</v>
      </c>
      <c r="AP291" s="43" t="n">
        <v>51</v>
      </c>
      <c r="AQ291" s="25" t="n">
        <f aca="false">IF(AND(ISNUMBER(AP291),ISNUMBER(AO291),AO291&gt;=5),AP291/AO291,"")</f>
        <v>1.29441624365482</v>
      </c>
      <c r="AR291" s="43" t="n">
        <v>116.1</v>
      </c>
      <c r="AS291" s="43" t="n">
        <v>148.6</v>
      </c>
      <c r="AT291" s="22" t="n">
        <f aca="false">IF(AND(ISNUMBER(AS291),ISNUMBER(AR291),AR291&gt;0),AS291/AR291-1,"")</f>
        <v>0.279931093884582</v>
      </c>
      <c r="AU291" s="44"/>
      <c r="AV291" s="44"/>
      <c r="AW291" s="44"/>
      <c r="AX291" s="44"/>
      <c r="AY291" s="44"/>
      <c r="AZ291" s="45"/>
      <c r="BA291" s="45"/>
      <c r="BB291" s="46"/>
      <c r="BC291" s="46"/>
      <c r="BD291" s="23" t="str">
        <f aca="false">IF(AND(ISNUMBER(BB291),ISNUMBER(BC291),BB291&gt;0),1-BC291/BB291,"")</f>
        <v/>
      </c>
      <c r="BE291" s="47"/>
      <c r="BF291" s="48"/>
      <c r="BG291" s="48"/>
      <c r="BH291" s="27" t="str">
        <f aca="false">IF(AND(ISNUMBER(BF291),ISNUMBER(BG291),BG291&gt;0),BF291/BG291,"")</f>
        <v/>
      </c>
      <c r="BI291" s="48"/>
      <c r="BJ291" s="44"/>
      <c r="BK291" s="46"/>
      <c r="BL291" s="46"/>
      <c r="BM291" s="36" t="str">
        <f aca="false">IF(ISNUMBER(Q291),IF(Q291&lt;0,"YES","no"),"")</f>
        <v>YES</v>
      </c>
      <c r="BN291" s="36" t="str">
        <f aca="false">IFERROR(IF(AND(ISNUMBER(K291),ISNUMBER(INDEX('Lift Inputs'!$H:$H,MATCH(C291,'Lift Inputs'!$C:$C,0)))),IF(K291&lt;INDEX('Lift Inputs'!$H:$H,MATCH(C291,'Lift Inputs'!$C:$C,0)),"YES","no"),""),"")</f>
        <v/>
      </c>
      <c r="BO291" s="44"/>
    </row>
    <row r="292" customFormat="false" ht="15" hidden="false" customHeight="false" outlineLevel="0" collapsed="false">
      <c r="A292" s="15" t="s">
        <v>71</v>
      </c>
      <c r="B292" s="15" t="s">
        <v>92</v>
      </c>
      <c r="C292" s="15" t="n">
        <v>38</v>
      </c>
      <c r="D292" s="15" t="s">
        <v>214</v>
      </c>
      <c r="E292" s="15" t="n">
        <v>1527</v>
      </c>
      <c r="F292" s="15" t="s">
        <v>362</v>
      </c>
      <c r="G292" s="15" t="s">
        <v>646</v>
      </c>
      <c r="H292" s="15" t="s">
        <v>647</v>
      </c>
      <c r="I292" s="15" t="s">
        <v>648</v>
      </c>
      <c r="J292" s="15" t="s">
        <v>177</v>
      </c>
      <c r="K292" s="35" t="n">
        <v>15.98</v>
      </c>
      <c r="L292" s="35" t="n">
        <v>19.99</v>
      </c>
      <c r="M292" s="23" t="n">
        <f aca="false">IF(AND(ISNUMBER(L292),ISNUMBER(K292),K292&gt;0),L292/K292-1,"")</f>
        <v>0.250938673341677</v>
      </c>
      <c r="N292" s="36" t="str">
        <f aca="false">IF(M292="","No List Price",IF(M292&lt;=0,"At/below price",IF(M292&lt;=0.12,"&lt;=12% (STR zone)",IF(M292&lt;=0.25,"12-25%","&gt;25% (likely ignored)"))))</f>
        <v>&gt;25% (likely ignored)</v>
      </c>
      <c r="O292" s="15" t="s">
        <v>311</v>
      </c>
      <c r="P292" s="35" t="n">
        <v>19.2069060773481</v>
      </c>
      <c r="Q292" s="22" t="n">
        <f aca="false">IF(AND(ISNUMBER(K292),ISNUMBER(P292),N(P292)&gt;0),K292/P292-1,"")</f>
        <v>-0.168007593953602</v>
      </c>
      <c r="R292" s="15" t="s">
        <v>312</v>
      </c>
      <c r="S292" s="37" t="n">
        <v>4306</v>
      </c>
      <c r="T292" s="37" t="n">
        <v>208</v>
      </c>
      <c r="U292" s="38" t="n">
        <f aca="false">IF(AND(ISNUMBER(K292),ISNUMBER(T292)),K292*T292*52/12,"")</f>
        <v>14403.3066666667</v>
      </c>
      <c r="V292" s="15" t="n">
        <v>4.4</v>
      </c>
      <c r="W292" s="37" t="n">
        <v>1858</v>
      </c>
      <c r="X292" s="39" t="n">
        <v>46307</v>
      </c>
      <c r="Y292" s="15" t="n">
        <v>107</v>
      </c>
      <c r="Z292" s="40" t="n">
        <v>45307</v>
      </c>
      <c r="AA292" s="41" t="n">
        <f aca="false">IF(ISNUMBER(Z292),(DATE(2026,10,13)-Z292)/365,"")</f>
        <v>2.74246575342466</v>
      </c>
      <c r="AB292" s="37" t="n">
        <v>8125</v>
      </c>
      <c r="AC292" s="15" t="s">
        <v>313</v>
      </c>
      <c r="AD292" s="15" t="n">
        <v>2</v>
      </c>
      <c r="AE292" s="15" t="s">
        <v>331</v>
      </c>
      <c r="AF292" s="42" t="n">
        <v>0</v>
      </c>
      <c r="AG292" s="42" t="n">
        <v>0</v>
      </c>
      <c r="AH292" s="15" t="n">
        <v>403</v>
      </c>
      <c r="AI292" s="37" t="n">
        <v>179643</v>
      </c>
      <c r="AJ292" s="37" t="n">
        <v>2252</v>
      </c>
      <c r="AK292" s="15" t="s">
        <v>326</v>
      </c>
      <c r="AL292" s="43" t="n">
        <v>153.3</v>
      </c>
      <c r="AM292" s="43" t="n">
        <v>171.5</v>
      </c>
      <c r="AN292" s="25" t="n">
        <f aca="false">IF(AND(ISNUMBER(AM292),ISNUMBER(AL292),AL292&gt;=5),AM292/AL292,"")</f>
        <v>1.11872146118721</v>
      </c>
      <c r="AO292" s="43" t="n">
        <v>58</v>
      </c>
      <c r="AP292" s="43" t="n">
        <v>91.2</v>
      </c>
      <c r="AQ292" s="25" t="n">
        <f aca="false">IF(AND(ISNUMBER(AP292),ISNUMBER(AO292),AO292&gt;=5),AP292/AO292,"")</f>
        <v>1.57241379310345</v>
      </c>
      <c r="AR292" s="43" t="n">
        <v>164.5</v>
      </c>
      <c r="AS292" s="43" t="n">
        <v>171.2</v>
      </c>
      <c r="AT292" s="22" t="n">
        <f aca="false">IF(AND(ISNUMBER(AS292),ISNUMBER(AR292),AR292&gt;0),AS292/AR292-1,"")</f>
        <v>0.0407294832826748</v>
      </c>
      <c r="AU292" s="44"/>
      <c r="AV292" s="44"/>
      <c r="AW292" s="44"/>
      <c r="AX292" s="44"/>
      <c r="AY292" s="44"/>
      <c r="AZ292" s="45"/>
      <c r="BA292" s="45"/>
      <c r="BB292" s="46"/>
      <c r="BC292" s="46"/>
      <c r="BD292" s="23" t="str">
        <f aca="false">IF(AND(ISNUMBER(BB292),ISNUMBER(BC292),BB292&gt;0),1-BC292/BB292,"")</f>
        <v/>
      </c>
      <c r="BE292" s="47"/>
      <c r="BF292" s="48"/>
      <c r="BG292" s="48"/>
      <c r="BH292" s="27" t="str">
        <f aca="false">IF(AND(ISNUMBER(BF292),ISNUMBER(BG292),BG292&gt;0),BF292/BG292,"")</f>
        <v/>
      </c>
      <c r="BI292" s="48"/>
      <c r="BJ292" s="44"/>
      <c r="BK292" s="46"/>
      <c r="BL292" s="46"/>
      <c r="BM292" s="36" t="str">
        <f aca="false">IF(ISNUMBER(Q292),IF(Q292&lt;0,"YES","no"),"")</f>
        <v>YES</v>
      </c>
      <c r="BN292" s="36" t="str">
        <f aca="false">IFERROR(IF(AND(ISNUMBER(K292),ISNUMBER(INDEX('Lift Inputs'!$H:$H,MATCH(C292,'Lift Inputs'!$C:$C,0)))),IF(K292&lt;INDEX('Lift Inputs'!$H:$H,MATCH(C292,'Lift Inputs'!$C:$C,0)),"YES","no"),""),"")</f>
        <v/>
      </c>
      <c r="BO292" s="44"/>
    </row>
    <row r="293" customFormat="false" ht="15" hidden="false" customHeight="false" outlineLevel="0" collapsed="false">
      <c r="A293" s="15" t="s">
        <v>71</v>
      </c>
      <c r="B293" s="15" t="s">
        <v>92</v>
      </c>
      <c r="C293" s="15" t="n">
        <v>38</v>
      </c>
      <c r="D293" s="15" t="s">
        <v>214</v>
      </c>
      <c r="E293" s="15" t="n">
        <v>1550</v>
      </c>
      <c r="F293" s="15" t="s">
        <v>595</v>
      </c>
      <c r="G293" s="15" t="s">
        <v>649</v>
      </c>
      <c r="H293" s="15" t="s">
        <v>650</v>
      </c>
      <c r="I293" s="15" t="s">
        <v>651</v>
      </c>
      <c r="J293" s="15" t="s">
        <v>177</v>
      </c>
      <c r="K293" s="35" t="n">
        <v>18.99</v>
      </c>
      <c r="L293" s="35"/>
      <c r="M293" s="23" t="str">
        <f aca="false">IF(AND(ISNUMBER(L293),ISNUMBER(K293),K293&gt;0),L293/K293-1,"")</f>
        <v/>
      </c>
      <c r="N293" s="36" t="str">
        <f aca="false">IF(M293="","No List Price",IF(M293&lt;=0,"At/below price",IF(M293&lt;=0.12,"&lt;=12% (STR zone)",IF(M293&lt;=0.25,"12-25%","&gt;25% (likely ignored)"))))</f>
        <v>No List Price</v>
      </c>
      <c r="O293" s="15" t="s">
        <v>311</v>
      </c>
      <c r="P293" s="35" t="n">
        <v>19.2069060773481</v>
      </c>
      <c r="Q293" s="22" t="n">
        <f aca="false">IF(AND(ISNUMBER(K293),ISNUMBER(P293),N(P293)&gt;0),K293/P293-1,"")</f>
        <v>-0.0112931294855386</v>
      </c>
      <c r="R293" s="15" t="s">
        <v>312</v>
      </c>
      <c r="S293" s="37" t="n">
        <v>49291</v>
      </c>
      <c r="T293" s="37" t="n">
        <v>92</v>
      </c>
      <c r="U293" s="38" t="n">
        <f aca="false">IF(AND(ISNUMBER(K293),ISNUMBER(T293)),K293*T293*52/12,"")</f>
        <v>7570.68</v>
      </c>
      <c r="V293" s="15" t="n">
        <v>4.2</v>
      </c>
      <c r="W293" s="37" t="n">
        <v>747</v>
      </c>
      <c r="X293" s="39" t="n">
        <v>46307</v>
      </c>
      <c r="Y293" s="15" t="n">
        <v>40</v>
      </c>
      <c r="Z293" s="40" t="n">
        <v>44979</v>
      </c>
      <c r="AA293" s="41" t="n">
        <f aca="false">IF(ISNUMBER(Z293),(DATE(2026,10,13)-Z293)/365,"")</f>
        <v>3.64109589041096</v>
      </c>
      <c r="AB293" s="37" t="n">
        <v>927</v>
      </c>
      <c r="AC293" s="15" t="s">
        <v>313</v>
      </c>
      <c r="AD293" s="15" t="n">
        <v>1</v>
      </c>
      <c r="AE293" s="15" t="s">
        <v>331</v>
      </c>
      <c r="AF293" s="42" t="n">
        <v>0</v>
      </c>
      <c r="AG293" s="42" t="n">
        <v>0</v>
      </c>
      <c r="AH293" s="15" t="n">
        <v>32</v>
      </c>
      <c r="AI293" s="37" t="n">
        <v>25451</v>
      </c>
      <c r="AJ293" s="37" t="n">
        <v>677</v>
      </c>
      <c r="AK293" s="15" t="s">
        <v>326</v>
      </c>
      <c r="AL293" s="43" t="n">
        <v>80.5</v>
      </c>
      <c r="AM293" s="43" t="n">
        <v>92.2</v>
      </c>
      <c r="AN293" s="25" t="n">
        <f aca="false">IF(AND(ISNUMBER(AM293),ISNUMBER(AL293),AL293&gt;=5),AM293/AL293,"")</f>
        <v>1.14534161490683</v>
      </c>
      <c r="AO293" s="43" t="n">
        <v>0.8</v>
      </c>
      <c r="AP293" s="43" t="n">
        <v>1</v>
      </c>
      <c r="AQ293" s="25" t="str">
        <f aca="false">IF(AND(ISNUMBER(AP293),ISNUMBER(AO293),AO293&gt;=5),AP293/AO293,"")</f>
        <v/>
      </c>
      <c r="AR293" s="43" t="n">
        <v>80</v>
      </c>
      <c r="AS293" s="43" t="n">
        <v>88.9</v>
      </c>
      <c r="AT293" s="22" t="n">
        <f aca="false">IF(AND(ISNUMBER(AS293),ISNUMBER(AR293),AR293&gt;0),AS293/AR293-1,"")</f>
        <v>0.11125</v>
      </c>
      <c r="AU293" s="44"/>
      <c r="AV293" s="44"/>
      <c r="AW293" s="44"/>
      <c r="AX293" s="44"/>
      <c r="AY293" s="44"/>
      <c r="AZ293" s="45"/>
      <c r="BA293" s="45"/>
      <c r="BB293" s="46"/>
      <c r="BC293" s="46"/>
      <c r="BD293" s="23" t="str">
        <f aca="false">IF(AND(ISNUMBER(BB293),ISNUMBER(BC293),BB293&gt;0),1-BC293/BB293,"")</f>
        <v/>
      </c>
      <c r="BE293" s="47"/>
      <c r="BF293" s="48"/>
      <c r="BG293" s="48"/>
      <c r="BH293" s="27" t="str">
        <f aca="false">IF(AND(ISNUMBER(BF293),ISNUMBER(BG293),BG293&gt;0),BF293/BG293,"")</f>
        <v/>
      </c>
      <c r="BI293" s="48"/>
      <c r="BJ293" s="44"/>
      <c r="BK293" s="46"/>
      <c r="BL293" s="46"/>
      <c r="BM293" s="36" t="str">
        <f aca="false">IF(ISNUMBER(Q293),IF(Q293&lt;0,"YES","no"),"")</f>
        <v>YES</v>
      </c>
      <c r="BN293" s="36" t="str">
        <f aca="false">IFERROR(IF(AND(ISNUMBER(K293),ISNUMBER(INDEX('Lift Inputs'!$H:$H,MATCH(C293,'Lift Inputs'!$C:$C,0)))),IF(K293&lt;INDEX('Lift Inputs'!$H:$H,MATCH(C293,'Lift Inputs'!$C:$C,0)),"YES","no"),""),"")</f>
        <v/>
      </c>
      <c r="BO293" s="44"/>
    </row>
    <row r="294" customFormat="false" ht="15" hidden="false" customHeight="false" outlineLevel="0" collapsed="false">
      <c r="A294" s="15" t="s">
        <v>71</v>
      </c>
      <c r="B294" s="15" t="s">
        <v>92</v>
      </c>
      <c r="C294" s="15" t="n">
        <v>38</v>
      </c>
      <c r="D294" s="15" t="s">
        <v>214</v>
      </c>
      <c r="E294" s="15" t="n">
        <v>68</v>
      </c>
      <c r="F294" s="15" t="s">
        <v>598</v>
      </c>
      <c r="G294" s="15" t="s">
        <v>657</v>
      </c>
      <c r="H294" s="15" t="s">
        <v>658</v>
      </c>
      <c r="I294" s="15" t="s">
        <v>656</v>
      </c>
      <c r="J294" s="15" t="s">
        <v>177</v>
      </c>
      <c r="K294" s="35" t="n">
        <v>12.99</v>
      </c>
      <c r="L294" s="35"/>
      <c r="M294" s="23" t="str">
        <f aca="false">IF(AND(ISNUMBER(L294),ISNUMBER(K294),K294&gt;0),L294/K294-1,"")</f>
        <v/>
      </c>
      <c r="N294" s="36" t="str">
        <f aca="false">IF(M294="","No List Price",IF(M294&lt;=0,"At/below price",IF(M294&lt;=0.12,"&lt;=12% (STR zone)",IF(M294&lt;=0.25,"12-25%","&gt;25% (likely ignored)"))))</f>
        <v>No List Price</v>
      </c>
      <c r="O294" s="15"/>
      <c r="P294" s="35" t="n">
        <v>19.2069060773481</v>
      </c>
      <c r="Q294" s="22" t="n">
        <f aca="false">IF(AND(ISNUMBER(K294),ISNUMBER(P294),N(P294)&gt;0),K294/P294-1,"")</f>
        <v>-0.323680766298955</v>
      </c>
      <c r="R294" s="15" t="s">
        <v>353</v>
      </c>
      <c r="S294" s="37" t="n">
        <v>18176</v>
      </c>
      <c r="T294" s="37" t="n">
        <v>35</v>
      </c>
      <c r="U294" s="38" t="n">
        <f aca="false">IF(AND(ISNUMBER(K294),ISNUMBER(T294)),K294*T294*52/12,"")</f>
        <v>1970.15</v>
      </c>
      <c r="V294" s="15" t="n">
        <v>4.7</v>
      </c>
      <c r="W294" s="37" t="n">
        <v>357</v>
      </c>
      <c r="X294" s="39" t="n">
        <v>46307</v>
      </c>
      <c r="Y294" s="15"/>
      <c r="Z294" s="40"/>
      <c r="AA294" s="41" t="str">
        <f aca="false">IF(ISNUMBER(Z294),(DATE(2026,10,13)-Z294)/365,"")</f>
        <v/>
      </c>
      <c r="AB294" s="37"/>
      <c r="AC294" s="15"/>
      <c r="AD294" s="15"/>
      <c r="AE294" s="15"/>
      <c r="AF294" s="42"/>
      <c r="AG294" s="42"/>
      <c r="AH294" s="15"/>
      <c r="AI294" s="37" t="n">
        <v>41522</v>
      </c>
      <c r="AJ294" s="37" t="n">
        <v>853</v>
      </c>
      <c r="AK294" s="15" t="s">
        <v>326</v>
      </c>
      <c r="AL294" s="43" t="n">
        <v>20.3</v>
      </c>
      <c r="AM294" s="43" t="n">
        <v>19.5</v>
      </c>
      <c r="AN294" s="25" t="n">
        <f aca="false">IF(AND(ISNUMBER(AM294),ISNUMBER(AL294),AL294&gt;=5),AM294/AL294,"")</f>
        <v>0.960591133004926</v>
      </c>
      <c r="AO294" s="43" t="n">
        <v>0.7</v>
      </c>
      <c r="AP294" s="43" t="n">
        <v>2.5</v>
      </c>
      <c r="AQ294" s="25" t="str">
        <f aca="false">IF(AND(ISNUMBER(AP294),ISNUMBER(AO294),AO294&gt;=5),AP294/AO294,"")</f>
        <v/>
      </c>
      <c r="AR294" s="43" t="n">
        <v>20.2</v>
      </c>
      <c r="AS294" s="43" t="n">
        <v>17</v>
      </c>
      <c r="AT294" s="22" t="n">
        <f aca="false">IF(AND(ISNUMBER(AS294),ISNUMBER(AR294),AR294&gt;0),AS294/AR294-1,"")</f>
        <v>-0.158415841584158</v>
      </c>
      <c r="AU294" s="44"/>
      <c r="AV294" s="44"/>
      <c r="AW294" s="44"/>
      <c r="AX294" s="44"/>
      <c r="AY294" s="44"/>
      <c r="AZ294" s="45"/>
      <c r="BA294" s="45"/>
      <c r="BB294" s="46"/>
      <c r="BC294" s="46"/>
      <c r="BD294" s="23" t="str">
        <f aca="false">IF(AND(ISNUMBER(BB294),ISNUMBER(BC294),BB294&gt;0),1-BC294/BB294,"")</f>
        <v/>
      </c>
      <c r="BE294" s="47"/>
      <c r="BF294" s="48"/>
      <c r="BG294" s="48"/>
      <c r="BH294" s="27" t="str">
        <f aca="false">IF(AND(ISNUMBER(BF294),ISNUMBER(BG294),BG294&gt;0),BF294/BG294,"")</f>
        <v/>
      </c>
      <c r="BI294" s="48"/>
      <c r="BJ294" s="44"/>
      <c r="BK294" s="46"/>
      <c r="BL294" s="46"/>
      <c r="BM294" s="36" t="str">
        <f aca="false">IF(ISNUMBER(Q294),IF(Q294&lt;0,"YES","no"),"")</f>
        <v>YES</v>
      </c>
      <c r="BN294" s="36" t="str">
        <f aca="false">IFERROR(IF(AND(ISNUMBER(K294),ISNUMBER(INDEX('Lift Inputs'!$H:$H,MATCH(C294,'Lift Inputs'!$C:$C,0)))),IF(K294&lt;INDEX('Lift Inputs'!$H:$H,MATCH(C294,'Lift Inputs'!$C:$C,0)),"YES","no"),""),"")</f>
        <v/>
      </c>
      <c r="BO294" s="44"/>
    </row>
    <row r="295" customFormat="false" ht="15" hidden="false" customHeight="false" outlineLevel="0" collapsed="false">
      <c r="A295" s="15" t="s">
        <v>71</v>
      </c>
      <c r="B295" s="15" t="s">
        <v>92</v>
      </c>
      <c r="C295" s="15" t="n">
        <v>38</v>
      </c>
      <c r="D295" s="15" t="s">
        <v>214</v>
      </c>
      <c r="E295" s="15" t="n">
        <v>1543</v>
      </c>
      <c r="F295" s="15" t="s">
        <v>595</v>
      </c>
      <c r="G295" s="15" t="s">
        <v>652</v>
      </c>
      <c r="H295" s="15" t="s">
        <v>653</v>
      </c>
      <c r="I295" s="15" t="s">
        <v>577</v>
      </c>
      <c r="J295" s="15" t="s">
        <v>177</v>
      </c>
      <c r="K295" s="35" t="n">
        <v>17.99</v>
      </c>
      <c r="L295" s="35"/>
      <c r="M295" s="23" t="str">
        <f aca="false">IF(AND(ISNUMBER(L295),ISNUMBER(K295),K295&gt;0),L295/K295-1,"")</f>
        <v/>
      </c>
      <c r="N295" s="36" t="str">
        <f aca="false">IF(M295="","No List Price",IF(M295&lt;=0,"At/below price",IF(M295&lt;=0.12,"&lt;=12% (STR zone)",IF(M295&lt;=0.25,"12-25%","&gt;25% (likely ignored)"))))</f>
        <v>No List Price</v>
      </c>
      <c r="O295" s="15"/>
      <c r="P295" s="35" t="n">
        <v>19.2069060773481</v>
      </c>
      <c r="Q295" s="22" t="n">
        <f aca="false">IF(AND(ISNUMBER(K295),ISNUMBER(P295),N(P295)&gt;0),K295/P295-1,"")</f>
        <v>-0.0633577356211079</v>
      </c>
      <c r="R295" s="15" t="s">
        <v>353</v>
      </c>
      <c r="S295" s="37" t="n">
        <v>79028</v>
      </c>
      <c r="T295" s="37" t="n">
        <v>18</v>
      </c>
      <c r="U295" s="38" t="n">
        <f aca="false">IF(AND(ISNUMBER(K295),ISNUMBER(T295)),K295*T295*52/12,"")</f>
        <v>1403.22</v>
      </c>
      <c r="V295" s="15" t="n">
        <v>4.4</v>
      </c>
      <c r="W295" s="37" t="n">
        <v>209</v>
      </c>
      <c r="X295" s="39" t="n">
        <v>46307</v>
      </c>
      <c r="Y295" s="15"/>
      <c r="Z295" s="40"/>
      <c r="AA295" s="41" t="str">
        <f aca="false">IF(ISNUMBER(Z295),(DATE(2026,10,13)-Z295)/365,"")</f>
        <v/>
      </c>
      <c r="AB295" s="37"/>
      <c r="AC295" s="15"/>
      <c r="AD295" s="15"/>
      <c r="AE295" s="15"/>
      <c r="AF295" s="42"/>
      <c r="AG295" s="42"/>
      <c r="AH295" s="15"/>
      <c r="AI295" s="37" t="n">
        <v>21912</v>
      </c>
      <c r="AJ295" s="37" t="n">
        <v>632</v>
      </c>
      <c r="AK295" s="15" t="s">
        <v>326</v>
      </c>
      <c r="AL295" s="43" t="n">
        <v>24.3</v>
      </c>
      <c r="AM295" s="43" t="n">
        <v>41.5</v>
      </c>
      <c r="AN295" s="25" t="n">
        <f aca="false">IF(AND(ISNUMBER(AM295),ISNUMBER(AL295),AL295&gt;=5),AM295/AL295,"")</f>
        <v>1.70781893004115</v>
      </c>
      <c r="AO295" s="43" t="n">
        <v>0.1</v>
      </c>
      <c r="AP295" s="43" t="n">
        <v>0</v>
      </c>
      <c r="AQ295" s="25" t="str">
        <f aca="false">IF(AND(ISNUMBER(AP295),ISNUMBER(AO295),AO295&gt;=5),AP295/AO295,"")</f>
        <v/>
      </c>
      <c r="AR295" s="43" t="n">
        <v>24.3</v>
      </c>
      <c r="AS295" s="43" t="n">
        <v>70.8</v>
      </c>
      <c r="AT295" s="22" t="n">
        <f aca="false">IF(AND(ISNUMBER(AS295),ISNUMBER(AR295),AR295&gt;0),AS295/AR295-1,"")</f>
        <v>1.91358024691358</v>
      </c>
      <c r="AU295" s="44"/>
      <c r="AV295" s="44"/>
      <c r="AW295" s="44"/>
      <c r="AX295" s="44"/>
      <c r="AY295" s="44"/>
      <c r="AZ295" s="45"/>
      <c r="BA295" s="45"/>
      <c r="BB295" s="46"/>
      <c r="BC295" s="46"/>
      <c r="BD295" s="23" t="str">
        <f aca="false">IF(AND(ISNUMBER(BB295),ISNUMBER(BC295),BB295&gt;0),1-BC295/BB295,"")</f>
        <v/>
      </c>
      <c r="BE295" s="47"/>
      <c r="BF295" s="48"/>
      <c r="BG295" s="48"/>
      <c r="BH295" s="27" t="str">
        <f aca="false">IF(AND(ISNUMBER(BF295),ISNUMBER(BG295),BG295&gt;0),BF295/BG295,"")</f>
        <v/>
      </c>
      <c r="BI295" s="48"/>
      <c r="BJ295" s="44"/>
      <c r="BK295" s="46"/>
      <c r="BL295" s="46"/>
      <c r="BM295" s="36" t="str">
        <f aca="false">IF(ISNUMBER(Q295),IF(Q295&lt;0,"YES","no"),"")</f>
        <v>YES</v>
      </c>
      <c r="BN295" s="36" t="str">
        <f aca="false">IFERROR(IF(AND(ISNUMBER(K295),ISNUMBER(INDEX('Lift Inputs'!$H:$H,MATCH(C295,'Lift Inputs'!$C:$C,0)))),IF(K295&lt;INDEX('Lift Inputs'!$H:$H,MATCH(C295,'Lift Inputs'!$C:$C,0)),"YES","no"),""),"")</f>
        <v/>
      </c>
      <c r="BO295" s="44"/>
    </row>
    <row r="296" customFormat="false" ht="15" hidden="false" customHeight="false" outlineLevel="0" collapsed="false">
      <c r="A296" s="15" t="s">
        <v>71</v>
      </c>
      <c r="B296" s="15" t="s">
        <v>92</v>
      </c>
      <c r="C296" s="15" t="n">
        <v>38</v>
      </c>
      <c r="D296" s="15" t="s">
        <v>214</v>
      </c>
      <c r="E296" s="15" t="n">
        <v>65</v>
      </c>
      <c r="F296" s="15" t="s">
        <v>659</v>
      </c>
      <c r="G296" s="15" t="s">
        <v>660</v>
      </c>
      <c r="H296" s="15" t="s">
        <v>661</v>
      </c>
      <c r="I296" s="15" t="s">
        <v>656</v>
      </c>
      <c r="J296" s="15" t="s">
        <v>178</v>
      </c>
      <c r="K296" s="35" t="n">
        <v>13.49</v>
      </c>
      <c r="L296" s="35"/>
      <c r="M296" s="23" t="str">
        <f aca="false">IF(AND(ISNUMBER(L296),ISNUMBER(K296),K296&gt;0),L296/K296-1,"")</f>
        <v/>
      </c>
      <c r="N296" s="36" t="str">
        <f aca="false">IF(M296="","No List Price",IF(M296&lt;=0,"At/below price",IF(M296&lt;=0.12,"&lt;=12% (STR zone)",IF(M296&lt;=0.25,"12-25%","&gt;25% (likely ignored)"))))</f>
        <v>No List Price</v>
      </c>
      <c r="O296" s="15"/>
      <c r="P296" s="35" t="n">
        <v>19.2069060773481</v>
      </c>
      <c r="Q296" s="22" t="n">
        <f aca="false">IF(AND(ISNUMBER(K296),ISNUMBER(P296),N(P296)&gt;0),K296/P296-1,"")</f>
        <v>-0.29764846323117</v>
      </c>
      <c r="R296" s="15" t="s">
        <v>353</v>
      </c>
      <c r="S296" s="37" t="n">
        <v>49470</v>
      </c>
      <c r="T296" s="37" t="n">
        <v>81</v>
      </c>
      <c r="U296" s="38" t="n">
        <f aca="false">IF(AND(ISNUMBER(K296),ISNUMBER(T296)),K296*T296*52/12,"")</f>
        <v>4734.99</v>
      </c>
      <c r="V296" s="15" t="n">
        <v>4.4</v>
      </c>
      <c r="W296" s="37" t="n">
        <v>601</v>
      </c>
      <c r="X296" s="39" t="n">
        <v>46307</v>
      </c>
      <c r="Y296" s="15"/>
      <c r="Z296" s="40"/>
      <c r="AA296" s="41" t="str">
        <f aca="false">IF(ISNUMBER(Z296),(DATE(2026,10,13)-Z296)/365,"")</f>
        <v/>
      </c>
      <c r="AB296" s="37"/>
      <c r="AC296" s="15"/>
      <c r="AD296" s="15"/>
      <c r="AE296" s="15"/>
      <c r="AF296" s="42"/>
      <c r="AG296" s="42"/>
      <c r="AH296" s="15"/>
      <c r="AI296" s="37"/>
      <c r="AJ296" s="37"/>
      <c r="AK296" s="15"/>
      <c r="AL296" s="43"/>
      <c r="AM296" s="43"/>
      <c r="AN296" s="25" t="str">
        <f aca="false">IF(AND(ISNUMBER(AM296),ISNUMBER(AL296),AL296&gt;=5),AM296/AL296,"")</f>
        <v/>
      </c>
      <c r="AO296" s="43"/>
      <c r="AP296" s="43"/>
      <c r="AQ296" s="25" t="str">
        <f aca="false">IF(AND(ISNUMBER(AP296),ISNUMBER(AO296),AO296&gt;=5),AP296/AO296,"")</f>
        <v/>
      </c>
      <c r="AR296" s="43"/>
      <c r="AS296" s="43"/>
      <c r="AT296" s="22" t="str">
        <f aca="false">IF(AND(ISNUMBER(AS296),ISNUMBER(AR296),AR296&gt;0),AS296/AR296-1,"")</f>
        <v/>
      </c>
      <c r="AU296" s="44"/>
      <c r="AV296" s="44"/>
      <c r="AW296" s="44"/>
      <c r="AX296" s="44"/>
      <c r="AY296" s="44"/>
      <c r="AZ296" s="45"/>
      <c r="BA296" s="45"/>
      <c r="BB296" s="46"/>
      <c r="BC296" s="46"/>
      <c r="BD296" s="23" t="str">
        <f aca="false">IF(AND(ISNUMBER(BB296),ISNUMBER(BC296),BB296&gt;0),1-BC296/BB296,"")</f>
        <v/>
      </c>
      <c r="BE296" s="47"/>
      <c r="BF296" s="48"/>
      <c r="BG296" s="48"/>
      <c r="BH296" s="27" t="str">
        <f aca="false">IF(AND(ISNUMBER(BF296),ISNUMBER(BG296),BG296&gt;0),BF296/BG296,"")</f>
        <v/>
      </c>
      <c r="BI296" s="48"/>
      <c r="BJ296" s="44"/>
      <c r="BK296" s="46"/>
      <c r="BL296" s="46"/>
      <c r="BM296" s="36" t="str">
        <f aca="false">IF(ISNUMBER(Q296),IF(Q296&lt;0,"YES","no"),"")</f>
        <v>YES</v>
      </c>
      <c r="BN296" s="36" t="str">
        <f aca="false">IFERROR(IF(AND(ISNUMBER(K296),ISNUMBER(INDEX('Lift Inputs'!$H:$H,MATCH(C296,'Lift Inputs'!$C:$C,0)))),IF(K296&lt;INDEX('Lift Inputs'!$H:$H,MATCH(C296,'Lift Inputs'!$C:$C,0)),"YES","no"),""),"")</f>
        <v/>
      </c>
      <c r="BO296" s="44"/>
    </row>
    <row r="297" customFormat="false" ht="15" hidden="false" customHeight="false" outlineLevel="0" collapsed="false">
      <c r="A297" s="15" t="s">
        <v>71</v>
      </c>
      <c r="B297" s="15" t="s">
        <v>92</v>
      </c>
      <c r="C297" s="15" t="n">
        <v>38</v>
      </c>
      <c r="D297" s="15" t="s">
        <v>214</v>
      </c>
      <c r="E297" s="15" t="n">
        <v>74</v>
      </c>
      <c r="F297" s="15" t="s">
        <v>307</v>
      </c>
      <c r="G297" s="15" t="s">
        <v>662</v>
      </c>
      <c r="H297" s="15" t="s">
        <v>663</v>
      </c>
      <c r="I297" s="15" t="s">
        <v>656</v>
      </c>
      <c r="J297" s="15" t="s">
        <v>178</v>
      </c>
      <c r="K297" s="35" t="n">
        <v>21.95</v>
      </c>
      <c r="L297" s="35"/>
      <c r="M297" s="23" t="str">
        <f aca="false">IF(AND(ISNUMBER(L297),ISNUMBER(K297),K297&gt;0),L297/K297-1,"")</f>
        <v/>
      </c>
      <c r="N297" s="36" t="str">
        <f aca="false">IF(M297="","No List Price",IF(M297&lt;=0,"At/below price",IF(M297&lt;=0.12,"&lt;=12% (STR zone)",IF(M297&lt;=0.25,"12-25%","&gt;25% (likely ignored)"))))</f>
        <v>No List Price</v>
      </c>
      <c r="O297" s="15"/>
      <c r="P297" s="35" t="n">
        <v>19.2069060773481</v>
      </c>
      <c r="Q297" s="22" t="n">
        <f aca="false">IF(AND(ISNUMBER(K297),ISNUMBER(P297),N(P297)&gt;0),K297/P297-1,"")</f>
        <v>0.142818104675747</v>
      </c>
      <c r="R297" s="15" t="s">
        <v>353</v>
      </c>
      <c r="S297" s="37" t="n">
        <v>732930</v>
      </c>
      <c r="T297" s="37" t="n">
        <v>5</v>
      </c>
      <c r="U297" s="38" t="n">
        <f aca="false">IF(AND(ISNUMBER(K297),ISNUMBER(T297)),K297*T297*52/12,"")</f>
        <v>475.583333333333</v>
      </c>
      <c r="V297" s="15" t="n">
        <v>4.5</v>
      </c>
      <c r="W297" s="37" t="n">
        <v>223</v>
      </c>
      <c r="X297" s="39" t="n">
        <v>46279</v>
      </c>
      <c r="Y297" s="15"/>
      <c r="Z297" s="40"/>
      <c r="AA297" s="41" t="str">
        <f aca="false">IF(ISNUMBER(Z297),(DATE(2026,10,13)-Z297)/365,"")</f>
        <v/>
      </c>
      <c r="AB297" s="37"/>
      <c r="AC297" s="15"/>
      <c r="AD297" s="15"/>
      <c r="AE297" s="15"/>
      <c r="AF297" s="42"/>
      <c r="AG297" s="42"/>
      <c r="AH297" s="15"/>
      <c r="AI297" s="37"/>
      <c r="AJ297" s="37"/>
      <c r="AK297" s="15" t="s">
        <v>326</v>
      </c>
      <c r="AL297" s="43" t="n">
        <v>0</v>
      </c>
      <c r="AM297" s="43" t="n">
        <v>0</v>
      </c>
      <c r="AN297" s="25" t="str">
        <f aca="false">IF(AND(ISNUMBER(AM297),ISNUMBER(AL297),AL297&gt;=5),AM297/AL297,"")</f>
        <v/>
      </c>
      <c r="AO297" s="43" t="n">
        <v>0</v>
      </c>
      <c r="AP297" s="43" t="n">
        <v>0</v>
      </c>
      <c r="AQ297" s="25" t="str">
        <f aca="false">IF(AND(ISNUMBER(AP297),ISNUMBER(AO297),AO297&gt;=5),AP297/AO297,"")</f>
        <v/>
      </c>
      <c r="AR297" s="43" t="n">
        <v>1.8</v>
      </c>
      <c r="AS297" s="43" t="n">
        <v>0</v>
      </c>
      <c r="AT297" s="22" t="n">
        <f aca="false">IF(AND(ISNUMBER(AS297),ISNUMBER(AR297),AR297&gt;0),AS297/AR297-1,"")</f>
        <v>-1</v>
      </c>
      <c r="AU297" s="44"/>
      <c r="AV297" s="44"/>
      <c r="AW297" s="44"/>
      <c r="AX297" s="44"/>
      <c r="AY297" s="44"/>
      <c r="AZ297" s="45"/>
      <c r="BA297" s="45"/>
      <c r="BB297" s="46"/>
      <c r="BC297" s="46"/>
      <c r="BD297" s="23" t="str">
        <f aca="false">IF(AND(ISNUMBER(BB297),ISNUMBER(BC297),BB297&gt;0),1-BC297/BB297,"")</f>
        <v/>
      </c>
      <c r="BE297" s="47"/>
      <c r="BF297" s="48"/>
      <c r="BG297" s="48"/>
      <c r="BH297" s="27" t="str">
        <f aca="false">IF(AND(ISNUMBER(BF297),ISNUMBER(BG297),BG297&gt;0),BF297/BG297,"")</f>
        <v/>
      </c>
      <c r="BI297" s="48"/>
      <c r="BJ297" s="44"/>
      <c r="BK297" s="46"/>
      <c r="BL297" s="46"/>
      <c r="BM297" s="36" t="str">
        <f aca="false">IF(ISNUMBER(Q297),IF(Q297&lt;0,"YES","no"),"")</f>
        <v>no</v>
      </c>
      <c r="BN297" s="36" t="str">
        <f aca="false">IFERROR(IF(AND(ISNUMBER(K297),ISNUMBER(INDEX('Lift Inputs'!$H:$H,MATCH(C297,'Lift Inputs'!$C:$C,0)))),IF(K297&lt;INDEX('Lift Inputs'!$H:$H,MATCH(C297,'Lift Inputs'!$C:$C,0)),"YES","no"),""),"")</f>
        <v/>
      </c>
      <c r="BO297" s="44"/>
    </row>
    <row r="298" customFormat="false" ht="15" hidden="false" customHeight="false" outlineLevel="0" collapsed="false">
      <c r="A298" s="15" t="s">
        <v>71</v>
      </c>
      <c r="B298" s="15" t="s">
        <v>92</v>
      </c>
      <c r="C298" s="15" t="n">
        <v>38</v>
      </c>
      <c r="D298" s="15" t="s">
        <v>214</v>
      </c>
      <c r="E298" s="15" t="n">
        <v>69</v>
      </c>
      <c r="F298" s="15" t="s">
        <v>664</v>
      </c>
      <c r="G298" s="15" t="s">
        <v>665</v>
      </c>
      <c r="H298" s="15" t="s">
        <v>666</v>
      </c>
      <c r="I298" s="15" t="s">
        <v>656</v>
      </c>
      <c r="J298" s="15" t="s">
        <v>178</v>
      </c>
      <c r="K298" s="35" t="n">
        <v>12.99</v>
      </c>
      <c r="L298" s="35"/>
      <c r="M298" s="23" t="str">
        <f aca="false">IF(AND(ISNUMBER(L298),ISNUMBER(K298),K298&gt;0),L298/K298-1,"")</f>
        <v/>
      </c>
      <c r="N298" s="36" t="str">
        <f aca="false">IF(M298="","No List Price",IF(M298&lt;=0,"At/below price",IF(M298&lt;=0.12,"&lt;=12% (STR zone)",IF(M298&lt;=0.25,"12-25%","&gt;25% (likely ignored)"))))</f>
        <v>No List Price</v>
      </c>
      <c r="O298" s="15"/>
      <c r="P298" s="35" t="n">
        <v>19.2069060773481</v>
      </c>
      <c r="Q298" s="22" t="n">
        <f aca="false">IF(AND(ISNUMBER(K298),ISNUMBER(P298),N(P298)&gt;0),K298/P298-1,"")</f>
        <v>-0.323680766298955</v>
      </c>
      <c r="R298" s="15" t="s">
        <v>353</v>
      </c>
      <c r="S298" s="37" t="n">
        <v>308243</v>
      </c>
      <c r="T298" s="37" t="n">
        <v>5</v>
      </c>
      <c r="U298" s="38" t="n">
        <f aca="false">IF(AND(ISNUMBER(K298),ISNUMBER(T298)),K298*T298*52/12,"")</f>
        <v>281.45</v>
      </c>
      <c r="V298" s="15" t="n">
        <v>4.5</v>
      </c>
      <c r="W298" s="37" t="n">
        <v>733</v>
      </c>
      <c r="X298" s="39" t="n">
        <v>46307</v>
      </c>
      <c r="Y298" s="15"/>
      <c r="Z298" s="40"/>
      <c r="AA298" s="41" t="str">
        <f aca="false">IF(ISNUMBER(Z298),(DATE(2026,10,13)-Z298)/365,"")</f>
        <v/>
      </c>
      <c r="AB298" s="37"/>
      <c r="AC298" s="15"/>
      <c r="AD298" s="15"/>
      <c r="AE298" s="15"/>
      <c r="AF298" s="42"/>
      <c r="AG298" s="42"/>
      <c r="AH298" s="15"/>
      <c r="AI298" s="37"/>
      <c r="AJ298" s="37"/>
      <c r="AK298" s="15"/>
      <c r="AL298" s="43"/>
      <c r="AM298" s="43"/>
      <c r="AN298" s="25" t="str">
        <f aca="false">IF(AND(ISNUMBER(AM298),ISNUMBER(AL298),AL298&gt;=5),AM298/AL298,"")</f>
        <v/>
      </c>
      <c r="AO298" s="43"/>
      <c r="AP298" s="43"/>
      <c r="AQ298" s="25" t="str">
        <f aca="false">IF(AND(ISNUMBER(AP298),ISNUMBER(AO298),AO298&gt;=5),AP298/AO298,"")</f>
        <v/>
      </c>
      <c r="AR298" s="43"/>
      <c r="AS298" s="43"/>
      <c r="AT298" s="22" t="str">
        <f aca="false">IF(AND(ISNUMBER(AS298),ISNUMBER(AR298),AR298&gt;0),AS298/AR298-1,"")</f>
        <v/>
      </c>
      <c r="AU298" s="44"/>
      <c r="AV298" s="44"/>
      <c r="AW298" s="44"/>
      <c r="AX298" s="44"/>
      <c r="AY298" s="44"/>
      <c r="AZ298" s="45"/>
      <c r="BA298" s="45"/>
      <c r="BB298" s="46"/>
      <c r="BC298" s="46"/>
      <c r="BD298" s="23" t="str">
        <f aca="false">IF(AND(ISNUMBER(BB298),ISNUMBER(BC298),BB298&gt;0),1-BC298/BB298,"")</f>
        <v/>
      </c>
      <c r="BE298" s="47"/>
      <c r="BF298" s="48"/>
      <c r="BG298" s="48"/>
      <c r="BH298" s="27" t="str">
        <f aca="false">IF(AND(ISNUMBER(BF298),ISNUMBER(BG298),BG298&gt;0),BF298/BG298,"")</f>
        <v/>
      </c>
      <c r="BI298" s="48"/>
      <c r="BJ298" s="44"/>
      <c r="BK298" s="46"/>
      <c r="BL298" s="46"/>
      <c r="BM298" s="36" t="str">
        <f aca="false">IF(ISNUMBER(Q298),IF(Q298&lt;0,"YES","no"),"")</f>
        <v>YES</v>
      </c>
      <c r="BN298" s="36" t="str">
        <f aca="false">IFERROR(IF(AND(ISNUMBER(K298),ISNUMBER(INDEX('Lift Inputs'!$H:$H,MATCH(C298,'Lift Inputs'!$C:$C,0)))),IF(K298&lt;INDEX('Lift Inputs'!$H:$H,MATCH(C298,'Lift Inputs'!$C:$C,0)),"YES","no"),""),"")</f>
        <v/>
      </c>
      <c r="BO298" s="44"/>
    </row>
    <row r="299" customFormat="false" ht="15" hidden="false" customHeight="false" outlineLevel="0" collapsed="false">
      <c r="A299" s="15" t="s">
        <v>71</v>
      </c>
      <c r="B299" s="15" t="s">
        <v>92</v>
      </c>
      <c r="C299" s="15" t="n">
        <v>38</v>
      </c>
      <c r="D299" s="15" t="s">
        <v>214</v>
      </c>
      <c r="E299" s="15" t="n">
        <v>73</v>
      </c>
      <c r="F299" s="15" t="s">
        <v>327</v>
      </c>
      <c r="G299" s="15" t="s">
        <v>667</v>
      </c>
      <c r="H299" s="15" t="s">
        <v>668</v>
      </c>
      <c r="I299" s="15" t="s">
        <v>656</v>
      </c>
      <c r="J299" s="15" t="s">
        <v>178</v>
      </c>
      <c r="K299" s="35" t="n">
        <v>18.38</v>
      </c>
      <c r="L299" s="35"/>
      <c r="M299" s="23" t="str">
        <f aca="false">IF(AND(ISNUMBER(L299),ISNUMBER(K299),K299&gt;0),L299/K299-1,"")</f>
        <v/>
      </c>
      <c r="N299" s="36" t="str">
        <f aca="false">IF(M299="","No List Price",IF(M299&lt;=0,"At/below price",IF(M299&lt;=0.12,"&lt;=12% (STR zone)",IF(M299&lt;=0.25,"12-25%","&gt;25% (likely ignored)"))))</f>
        <v>No List Price</v>
      </c>
      <c r="O299" s="15"/>
      <c r="P299" s="35" t="n">
        <v>19.2069060773481</v>
      </c>
      <c r="Q299" s="22" t="n">
        <f aca="false">IF(AND(ISNUMBER(K299),ISNUMBER(P299),N(P299)&gt;0),K299/P299-1,"")</f>
        <v>-0.0430525392282359</v>
      </c>
      <c r="R299" s="15" t="s">
        <v>353</v>
      </c>
      <c r="S299" s="37" t="n">
        <v>1112453</v>
      </c>
      <c r="T299" s="37" t="n">
        <v>5</v>
      </c>
      <c r="U299" s="38" t="n">
        <f aca="false">IF(AND(ISNUMBER(K299),ISNUMBER(T299)),K299*T299*52/12,"")</f>
        <v>398.233333333333</v>
      </c>
      <c r="V299" s="15" t="n">
        <v>4.3</v>
      </c>
      <c r="W299" s="37" t="n">
        <v>81</v>
      </c>
      <c r="X299" s="39" t="n">
        <v>46307</v>
      </c>
      <c r="Y299" s="15"/>
      <c r="Z299" s="40"/>
      <c r="AA299" s="41" t="str">
        <f aca="false">IF(ISNUMBER(Z299),(DATE(2026,10,13)-Z299)/365,"")</f>
        <v/>
      </c>
      <c r="AB299" s="37"/>
      <c r="AC299" s="15"/>
      <c r="AD299" s="15"/>
      <c r="AE299" s="15"/>
      <c r="AF299" s="42"/>
      <c r="AG299" s="42"/>
      <c r="AH299" s="15"/>
      <c r="AI299" s="37"/>
      <c r="AJ299" s="37"/>
      <c r="AK299" s="15"/>
      <c r="AL299" s="43"/>
      <c r="AM299" s="43"/>
      <c r="AN299" s="25" t="str">
        <f aca="false">IF(AND(ISNUMBER(AM299),ISNUMBER(AL299),AL299&gt;=5),AM299/AL299,"")</f>
        <v/>
      </c>
      <c r="AO299" s="43"/>
      <c r="AP299" s="43"/>
      <c r="AQ299" s="25" t="str">
        <f aca="false">IF(AND(ISNUMBER(AP299),ISNUMBER(AO299),AO299&gt;=5),AP299/AO299,"")</f>
        <v/>
      </c>
      <c r="AR299" s="43"/>
      <c r="AS299" s="43"/>
      <c r="AT299" s="22" t="str">
        <f aca="false">IF(AND(ISNUMBER(AS299),ISNUMBER(AR299),AR299&gt;0),AS299/AR299-1,"")</f>
        <v/>
      </c>
      <c r="AU299" s="44"/>
      <c r="AV299" s="44"/>
      <c r="AW299" s="44"/>
      <c r="AX299" s="44"/>
      <c r="AY299" s="44"/>
      <c r="AZ299" s="45"/>
      <c r="BA299" s="45"/>
      <c r="BB299" s="46"/>
      <c r="BC299" s="46"/>
      <c r="BD299" s="23" t="str">
        <f aca="false">IF(AND(ISNUMBER(BB299),ISNUMBER(BC299),BB299&gt;0),1-BC299/BB299,"")</f>
        <v/>
      </c>
      <c r="BE299" s="47"/>
      <c r="BF299" s="48"/>
      <c r="BG299" s="48"/>
      <c r="BH299" s="27" t="str">
        <f aca="false">IF(AND(ISNUMBER(BF299),ISNUMBER(BG299),BG299&gt;0),BF299/BG299,"")</f>
        <v/>
      </c>
      <c r="BI299" s="48"/>
      <c r="BJ299" s="44"/>
      <c r="BK299" s="46"/>
      <c r="BL299" s="46"/>
      <c r="BM299" s="36" t="str">
        <f aca="false">IF(ISNUMBER(Q299),IF(Q299&lt;0,"YES","no"),"")</f>
        <v>YES</v>
      </c>
      <c r="BN299" s="36" t="str">
        <f aca="false">IFERROR(IF(AND(ISNUMBER(K299),ISNUMBER(INDEX('Lift Inputs'!$H:$H,MATCH(C299,'Lift Inputs'!$C:$C,0)))),IF(K299&lt;INDEX('Lift Inputs'!$H:$H,MATCH(C299,'Lift Inputs'!$C:$C,0)),"YES","no"),""),"")</f>
        <v/>
      </c>
      <c r="BO299" s="44"/>
    </row>
    <row r="300" customFormat="false" ht="15" hidden="false" customHeight="false" outlineLevel="0" collapsed="false">
      <c r="A300" s="15" t="s">
        <v>71</v>
      </c>
      <c r="B300" s="15" t="s">
        <v>92</v>
      </c>
      <c r="C300" s="15" t="n">
        <v>38</v>
      </c>
      <c r="D300" s="15" t="s">
        <v>214</v>
      </c>
      <c r="E300" s="15" t="n">
        <v>70</v>
      </c>
      <c r="F300" s="15" t="s">
        <v>613</v>
      </c>
      <c r="G300" s="15" t="s">
        <v>669</v>
      </c>
      <c r="H300" s="15" t="s">
        <v>670</v>
      </c>
      <c r="I300" s="15" t="s">
        <v>656</v>
      </c>
      <c r="J300" s="15" t="s">
        <v>178</v>
      </c>
      <c r="K300" s="35" t="n">
        <v>12.99</v>
      </c>
      <c r="L300" s="35"/>
      <c r="M300" s="23" t="str">
        <f aca="false">IF(AND(ISNUMBER(L300),ISNUMBER(K300),K300&gt;0),L300/K300-1,"")</f>
        <v/>
      </c>
      <c r="N300" s="36" t="str">
        <f aca="false">IF(M300="","No List Price",IF(M300&lt;=0,"At/below price",IF(M300&lt;=0.12,"&lt;=12% (STR zone)",IF(M300&lt;=0.25,"12-25%","&gt;25% (likely ignored)"))))</f>
        <v>No List Price</v>
      </c>
      <c r="O300" s="15"/>
      <c r="P300" s="35" t="n">
        <v>19.2069060773481</v>
      </c>
      <c r="Q300" s="22" t="n">
        <f aca="false">IF(AND(ISNUMBER(K300),ISNUMBER(P300),N(P300)&gt;0),K300/P300-1,"")</f>
        <v>-0.323680766298955</v>
      </c>
      <c r="R300" s="15" t="s">
        <v>353</v>
      </c>
      <c r="S300" s="37"/>
      <c r="T300" s="37" t="n">
        <v>5</v>
      </c>
      <c r="U300" s="38" t="n">
        <f aca="false">IF(AND(ISNUMBER(K300),ISNUMBER(T300)),K300*T300*52/12,"")</f>
        <v>281.45</v>
      </c>
      <c r="V300" s="15" t="n">
        <v>4.4</v>
      </c>
      <c r="W300" s="37" t="n">
        <v>8</v>
      </c>
      <c r="X300" s="39" t="n">
        <v>46307</v>
      </c>
      <c r="Y300" s="15"/>
      <c r="Z300" s="40"/>
      <c r="AA300" s="41" t="str">
        <f aca="false">IF(ISNUMBER(Z300),(DATE(2026,10,13)-Z300)/365,"")</f>
        <v/>
      </c>
      <c r="AB300" s="37"/>
      <c r="AC300" s="15"/>
      <c r="AD300" s="15"/>
      <c r="AE300" s="15"/>
      <c r="AF300" s="42"/>
      <c r="AG300" s="42"/>
      <c r="AH300" s="15"/>
      <c r="AI300" s="37"/>
      <c r="AJ300" s="37"/>
      <c r="AK300" s="15"/>
      <c r="AL300" s="43"/>
      <c r="AM300" s="43"/>
      <c r="AN300" s="25" t="str">
        <f aca="false">IF(AND(ISNUMBER(AM300),ISNUMBER(AL300),AL300&gt;=5),AM300/AL300,"")</f>
        <v/>
      </c>
      <c r="AO300" s="43"/>
      <c r="AP300" s="43"/>
      <c r="AQ300" s="25" t="str">
        <f aca="false">IF(AND(ISNUMBER(AP300),ISNUMBER(AO300),AO300&gt;=5),AP300/AO300,"")</f>
        <v/>
      </c>
      <c r="AR300" s="43"/>
      <c r="AS300" s="43"/>
      <c r="AT300" s="22" t="str">
        <f aca="false">IF(AND(ISNUMBER(AS300),ISNUMBER(AR300),AR300&gt;0),AS300/AR300-1,"")</f>
        <v/>
      </c>
      <c r="AU300" s="44"/>
      <c r="AV300" s="44"/>
      <c r="AW300" s="44"/>
      <c r="AX300" s="44"/>
      <c r="AY300" s="44"/>
      <c r="AZ300" s="45"/>
      <c r="BA300" s="45"/>
      <c r="BB300" s="46"/>
      <c r="BC300" s="46"/>
      <c r="BD300" s="23" t="str">
        <f aca="false">IF(AND(ISNUMBER(BB300),ISNUMBER(BC300),BB300&gt;0),1-BC300/BB300,"")</f>
        <v/>
      </c>
      <c r="BE300" s="47"/>
      <c r="BF300" s="48"/>
      <c r="BG300" s="48"/>
      <c r="BH300" s="27" t="str">
        <f aca="false">IF(AND(ISNUMBER(BF300),ISNUMBER(BG300),BG300&gt;0),BF300/BG300,"")</f>
        <v/>
      </c>
      <c r="BI300" s="48"/>
      <c r="BJ300" s="44"/>
      <c r="BK300" s="46"/>
      <c r="BL300" s="46"/>
      <c r="BM300" s="36" t="str">
        <f aca="false">IF(ISNUMBER(Q300),IF(Q300&lt;0,"YES","no"),"")</f>
        <v>YES</v>
      </c>
      <c r="BN300" s="36" t="str">
        <f aca="false">IFERROR(IF(AND(ISNUMBER(K300),ISNUMBER(INDEX('Lift Inputs'!$H:$H,MATCH(C300,'Lift Inputs'!$C:$C,0)))),IF(K300&lt;INDEX('Lift Inputs'!$H:$H,MATCH(C300,'Lift Inputs'!$C:$C,0)),"YES","no"),""),"")</f>
        <v/>
      </c>
      <c r="BO300" s="44"/>
    </row>
    <row r="301" customFormat="false" ht="15" hidden="false" customHeight="false" outlineLevel="0" collapsed="false">
      <c r="A301" s="15" t="s">
        <v>71</v>
      </c>
      <c r="B301" s="15" t="s">
        <v>92</v>
      </c>
      <c r="C301" s="15" t="n">
        <v>38</v>
      </c>
      <c r="D301" s="15" t="s">
        <v>214</v>
      </c>
      <c r="E301" s="15" t="n">
        <v>144</v>
      </c>
      <c r="F301" s="15" t="s">
        <v>362</v>
      </c>
      <c r="G301" s="15" t="s">
        <v>558</v>
      </c>
      <c r="H301" s="15" t="s">
        <v>559</v>
      </c>
      <c r="I301" s="15" t="s">
        <v>560</v>
      </c>
      <c r="J301" s="15"/>
      <c r="K301" s="35" t="n">
        <v>17.99</v>
      </c>
      <c r="L301" s="35"/>
      <c r="M301" s="23" t="str">
        <f aca="false">IF(AND(ISNUMBER(L301),ISNUMBER(K301),K301&gt;0),L301/K301-1,"")</f>
        <v/>
      </c>
      <c r="N301" s="36" t="str">
        <f aca="false">IF(M301="","No List Price",IF(M301&lt;=0,"At/below price",IF(M301&lt;=0.12,"&lt;=12% (STR zone)",IF(M301&lt;=0.25,"12-25%","&gt;25% (likely ignored)"))))</f>
        <v>No List Price</v>
      </c>
      <c r="O301" s="15" t="s">
        <v>311</v>
      </c>
      <c r="P301" s="35" t="n">
        <v>19.2069060773481</v>
      </c>
      <c r="Q301" s="22" t="n">
        <f aca="false">IF(AND(ISNUMBER(K301),ISNUMBER(P301),N(P301)&gt;0),K301/P301-1,"")</f>
        <v>-0.0633577356211079</v>
      </c>
      <c r="R301" s="15" t="s">
        <v>312</v>
      </c>
      <c r="S301" s="37" t="n">
        <v>497</v>
      </c>
      <c r="T301" s="37" t="n">
        <v>1963</v>
      </c>
      <c r="U301" s="38" t="n">
        <f aca="false">IF(AND(ISNUMBER(K301),ISNUMBER(T301)),K301*T301*52/12,"")</f>
        <v>153028.936666667</v>
      </c>
      <c r="V301" s="15" t="n">
        <v>4.3</v>
      </c>
      <c r="W301" s="37" t="n">
        <v>6297</v>
      </c>
      <c r="X301" s="39" t="n">
        <v>46307</v>
      </c>
      <c r="Y301" s="15" t="n">
        <v>141</v>
      </c>
      <c r="Z301" s="40" t="n">
        <v>45307</v>
      </c>
      <c r="AA301" s="41" t="n">
        <f aca="false">IF(ISNUMBER(Z301),(DATE(2026,10,13)-Z301)/365,"")</f>
        <v>2.74246575342466</v>
      </c>
      <c r="AB301" s="37" t="n">
        <v>24056</v>
      </c>
      <c r="AC301" s="15" t="s">
        <v>313</v>
      </c>
      <c r="AD301" s="15" t="n">
        <v>1</v>
      </c>
      <c r="AE301" s="15" t="s">
        <v>331</v>
      </c>
      <c r="AF301" s="42" t="n">
        <v>0</v>
      </c>
      <c r="AG301" s="42" t="n">
        <v>0</v>
      </c>
      <c r="AH301" s="15" t="n">
        <v>274</v>
      </c>
      <c r="AI301" s="37" t="n">
        <v>997443</v>
      </c>
      <c r="AJ301" s="37" t="n">
        <v>3432</v>
      </c>
      <c r="AK301" s="15" t="s">
        <v>326</v>
      </c>
      <c r="AL301" s="43" t="n">
        <v>1354.7</v>
      </c>
      <c r="AM301" s="43" t="n">
        <v>1510.2</v>
      </c>
      <c r="AN301" s="25" t="n">
        <f aca="false">IF(AND(ISNUMBER(AM301),ISNUMBER(AL301),AL301&gt;=5),AM301/AL301,"")</f>
        <v>1.1147855613789</v>
      </c>
      <c r="AO301" s="43" t="n">
        <v>152.8</v>
      </c>
      <c r="AP301" s="43" t="n">
        <v>191</v>
      </c>
      <c r="AQ301" s="25" t="n">
        <f aca="false">IF(AND(ISNUMBER(AP301),ISNUMBER(AO301),AO301&gt;=5),AP301/AO301,"")</f>
        <v>1.25</v>
      </c>
      <c r="AR301" s="43" t="n">
        <v>1293.4</v>
      </c>
      <c r="AS301" s="43" t="n">
        <v>1696.6</v>
      </c>
      <c r="AT301" s="22" t="n">
        <f aca="false">IF(AND(ISNUMBER(AS301),ISNUMBER(AR301),AR301&gt;0),AS301/AR301-1,"")</f>
        <v>0.3117365084274</v>
      </c>
      <c r="AU301" s="44"/>
      <c r="AV301" s="44"/>
      <c r="AW301" s="44"/>
      <c r="AX301" s="44"/>
      <c r="AY301" s="44"/>
      <c r="AZ301" s="45"/>
      <c r="BA301" s="45"/>
      <c r="BB301" s="46"/>
      <c r="BC301" s="46"/>
      <c r="BD301" s="23" t="str">
        <f aca="false">IF(AND(ISNUMBER(BB301),ISNUMBER(BC301),BB301&gt;0),1-BC301/BB301,"")</f>
        <v/>
      </c>
      <c r="BE301" s="47"/>
      <c r="BF301" s="48"/>
      <c r="BG301" s="48"/>
      <c r="BH301" s="27" t="str">
        <f aca="false">IF(AND(ISNUMBER(BF301),ISNUMBER(BG301),BG301&gt;0),BF301/BG301,"")</f>
        <v/>
      </c>
      <c r="BI301" s="48"/>
      <c r="BJ301" s="44"/>
      <c r="BK301" s="46"/>
      <c r="BL301" s="46"/>
      <c r="BM301" s="36" t="str">
        <f aca="false">IF(ISNUMBER(Q301),IF(Q301&lt;0,"YES","no"),"")</f>
        <v>YES</v>
      </c>
      <c r="BN301" s="36" t="str">
        <f aca="false">IFERROR(IF(AND(ISNUMBER(K301),ISNUMBER(INDEX('Lift Inputs'!$H:$H,MATCH(C301,'Lift Inputs'!$C:$C,0)))),IF(K301&lt;INDEX('Lift Inputs'!$H:$H,MATCH(C301,'Lift Inputs'!$C:$C,0)),"YES","no"),""),"")</f>
        <v/>
      </c>
      <c r="BO301" s="44"/>
    </row>
    <row r="302" customFormat="false" ht="15" hidden="false" customHeight="false" outlineLevel="0" collapsed="false">
      <c r="A302" s="15" t="s">
        <v>71</v>
      </c>
      <c r="B302" s="15" t="s">
        <v>92</v>
      </c>
      <c r="C302" s="15" t="n">
        <v>38</v>
      </c>
      <c r="D302" s="15" t="s">
        <v>214</v>
      </c>
      <c r="E302" s="15" t="n">
        <v>8</v>
      </c>
      <c r="F302" s="15" t="s">
        <v>327</v>
      </c>
      <c r="G302" s="15" t="s">
        <v>561</v>
      </c>
      <c r="H302" s="15" t="s">
        <v>562</v>
      </c>
      <c r="I302" s="15" t="s">
        <v>563</v>
      </c>
      <c r="J302" s="15"/>
      <c r="K302" s="35" t="n">
        <v>16.13</v>
      </c>
      <c r="L302" s="35" t="n">
        <v>19.99</v>
      </c>
      <c r="M302" s="23" t="n">
        <f aca="false">IF(AND(ISNUMBER(L302),ISNUMBER(K302),K302&gt;0),L302/K302-1,"")</f>
        <v>0.2393056416615</v>
      </c>
      <c r="N302" s="36" t="str">
        <f aca="false">IF(M302="","No List Price",IF(M302&lt;=0,"At/below price",IF(M302&lt;=0.12,"&lt;=12% (STR zone)",IF(M302&lt;=0.25,"12-25%","&gt;25% (likely ignored)"))))</f>
        <v>12-25%</v>
      </c>
      <c r="O302" s="15" t="s">
        <v>311</v>
      </c>
      <c r="P302" s="35" t="n">
        <v>19.2069060773481</v>
      </c>
      <c r="Q302" s="22" t="n">
        <f aca="false">IF(AND(ISNUMBER(K302),ISNUMBER(P302),N(P302)&gt;0),K302/P302-1,"")</f>
        <v>-0.160197903033267</v>
      </c>
      <c r="R302" s="15" t="s">
        <v>312</v>
      </c>
      <c r="S302" s="37" t="n">
        <v>949</v>
      </c>
      <c r="T302" s="37" t="n">
        <v>809</v>
      </c>
      <c r="U302" s="38" t="n">
        <f aca="false">IF(AND(ISNUMBER(K302),ISNUMBER(T302)),K302*T302*52/12,"")</f>
        <v>56546.4033333333</v>
      </c>
      <c r="V302" s="15" t="n">
        <v>4.5</v>
      </c>
      <c r="W302" s="37" t="n">
        <v>5747</v>
      </c>
      <c r="X302" s="39" t="n">
        <v>46307</v>
      </c>
      <c r="Y302" s="15" t="n">
        <v>128</v>
      </c>
      <c r="Z302" s="40" t="n">
        <v>44895</v>
      </c>
      <c r="AA302" s="41" t="n">
        <f aca="false">IF(ISNUMBER(Z302),(DATE(2026,10,13)-Z302)/365,"")</f>
        <v>3.87123287671233</v>
      </c>
      <c r="AB302" s="37" t="n">
        <v>15843</v>
      </c>
      <c r="AC302" s="15" t="s">
        <v>313</v>
      </c>
      <c r="AD302" s="15" t="n">
        <v>4</v>
      </c>
      <c r="AE302" s="15" t="s">
        <v>331</v>
      </c>
      <c r="AF302" s="42" t="n">
        <v>0.002</v>
      </c>
      <c r="AG302" s="42" t="n">
        <v>0</v>
      </c>
      <c r="AH302" s="15" t="n">
        <v>423</v>
      </c>
      <c r="AI302" s="37" t="n">
        <v>385363</v>
      </c>
      <c r="AJ302" s="37" t="n">
        <v>3599</v>
      </c>
      <c r="AK302" s="15" t="s">
        <v>326</v>
      </c>
      <c r="AL302" s="43" t="n">
        <v>651.1</v>
      </c>
      <c r="AM302" s="43" t="n">
        <v>674.8</v>
      </c>
      <c r="AN302" s="25" t="n">
        <f aca="false">IF(AND(ISNUMBER(AM302),ISNUMBER(AL302),AL302&gt;=5),AM302/AL302,"")</f>
        <v>1.0363999385655</v>
      </c>
      <c r="AO302" s="43" t="n">
        <v>53</v>
      </c>
      <c r="AP302" s="43" t="n">
        <v>38.8</v>
      </c>
      <c r="AQ302" s="25" t="n">
        <f aca="false">IF(AND(ISNUMBER(AP302),ISNUMBER(AO302),AO302&gt;=5),AP302/AO302,"")</f>
        <v>0.732075471698113</v>
      </c>
      <c r="AR302" s="43" t="n">
        <v>767.9</v>
      </c>
      <c r="AS302" s="43" t="n">
        <v>665.3</v>
      </c>
      <c r="AT302" s="22" t="n">
        <f aca="false">IF(AND(ISNUMBER(AS302),ISNUMBER(AR302),AR302&gt;0),AS302/AR302-1,"")</f>
        <v>-0.133611147284803</v>
      </c>
      <c r="AU302" s="44"/>
      <c r="AV302" s="44"/>
      <c r="AW302" s="44"/>
      <c r="AX302" s="44"/>
      <c r="AY302" s="44"/>
      <c r="AZ302" s="45"/>
      <c r="BA302" s="45"/>
      <c r="BB302" s="46"/>
      <c r="BC302" s="46"/>
      <c r="BD302" s="23" t="str">
        <f aca="false">IF(AND(ISNUMBER(BB302),ISNUMBER(BC302),BB302&gt;0),1-BC302/BB302,"")</f>
        <v/>
      </c>
      <c r="BE302" s="47"/>
      <c r="BF302" s="48"/>
      <c r="BG302" s="48"/>
      <c r="BH302" s="27" t="str">
        <f aca="false">IF(AND(ISNUMBER(BF302),ISNUMBER(BG302),BG302&gt;0),BF302/BG302,"")</f>
        <v/>
      </c>
      <c r="BI302" s="48"/>
      <c r="BJ302" s="44"/>
      <c r="BK302" s="46"/>
      <c r="BL302" s="46"/>
      <c r="BM302" s="36" t="str">
        <f aca="false">IF(ISNUMBER(Q302),IF(Q302&lt;0,"YES","no"),"")</f>
        <v>YES</v>
      </c>
      <c r="BN302" s="36" t="str">
        <f aca="false">IFERROR(IF(AND(ISNUMBER(K302),ISNUMBER(INDEX('Lift Inputs'!$H:$H,MATCH(C302,'Lift Inputs'!$C:$C,0)))),IF(K302&lt;INDEX('Lift Inputs'!$H:$H,MATCH(C302,'Lift Inputs'!$C:$C,0)),"YES","no"),""),"")</f>
        <v/>
      </c>
      <c r="BO302" s="44"/>
    </row>
    <row r="303" customFormat="false" ht="15" hidden="false" customHeight="false" outlineLevel="0" collapsed="false">
      <c r="A303" s="15" t="s">
        <v>71</v>
      </c>
      <c r="B303" s="15" t="s">
        <v>92</v>
      </c>
      <c r="C303" s="15" t="n">
        <v>38</v>
      </c>
      <c r="D303" s="15" t="s">
        <v>214</v>
      </c>
      <c r="E303" s="15" t="n">
        <v>72</v>
      </c>
      <c r="F303" s="15" t="s">
        <v>494</v>
      </c>
      <c r="G303" s="15" t="s">
        <v>564</v>
      </c>
      <c r="H303" s="15" t="s">
        <v>565</v>
      </c>
      <c r="I303" s="15" t="s">
        <v>566</v>
      </c>
      <c r="J303" s="15"/>
      <c r="K303" s="35" t="n">
        <v>19.99</v>
      </c>
      <c r="L303" s="35"/>
      <c r="M303" s="23" t="str">
        <f aca="false">IF(AND(ISNUMBER(L303),ISNUMBER(K303),K303&gt;0),L303/K303-1,"")</f>
        <v/>
      </c>
      <c r="N303" s="36" t="str">
        <f aca="false">IF(M303="","No List Price",IF(M303&lt;=0,"At/below price",IF(M303&lt;=0.12,"&lt;=12% (STR zone)",IF(M303&lt;=0.25,"12-25%","&gt;25% (likely ignored)"))))</f>
        <v>No List Price</v>
      </c>
      <c r="O303" s="15" t="s">
        <v>311</v>
      </c>
      <c r="P303" s="35" t="n">
        <v>19.2069060773481</v>
      </c>
      <c r="Q303" s="22" t="n">
        <f aca="false">IF(AND(ISNUMBER(K303),ISNUMBER(P303),N(P303)&gt;0),K303/P303-1,"")</f>
        <v>0.0407714766500307</v>
      </c>
      <c r="R303" s="15" t="s">
        <v>312</v>
      </c>
      <c r="S303" s="37" t="n">
        <v>2025</v>
      </c>
      <c r="T303" s="37" t="n">
        <v>809</v>
      </c>
      <c r="U303" s="38" t="n">
        <f aca="false">IF(AND(ISNUMBER(K303),ISNUMBER(T303)),K303*T303*52/12,"")</f>
        <v>70078.2766666667</v>
      </c>
      <c r="V303" s="15" t="n">
        <v>4.4</v>
      </c>
      <c r="W303" s="37" t="n">
        <v>17886</v>
      </c>
      <c r="X303" s="39" t="n">
        <v>46307</v>
      </c>
      <c r="Y303" s="15" t="n">
        <v>183</v>
      </c>
      <c r="Z303" s="40" t="n">
        <v>44081</v>
      </c>
      <c r="AA303" s="41" t="n">
        <f aca="false">IF(ISNUMBER(Z303),(DATE(2026,10,13)-Z303)/365,"")</f>
        <v>6.1013698630137</v>
      </c>
      <c r="AB303" s="37" t="n">
        <v>25725</v>
      </c>
      <c r="AC303" s="15" t="s">
        <v>313</v>
      </c>
      <c r="AD303" s="15" t="n">
        <v>1</v>
      </c>
      <c r="AE303" s="15" t="s">
        <v>336</v>
      </c>
      <c r="AF303" s="42" t="n">
        <v>0.394</v>
      </c>
      <c r="AG303" s="42" t="n">
        <v>0.340323178776637</v>
      </c>
      <c r="AH303" s="15" t="n">
        <v>452</v>
      </c>
      <c r="AI303" s="37" t="n">
        <v>356457</v>
      </c>
      <c r="AJ303" s="37" t="n">
        <v>3352</v>
      </c>
      <c r="AK303" s="15" t="s">
        <v>326</v>
      </c>
      <c r="AL303" s="43" t="n">
        <v>442.7</v>
      </c>
      <c r="AM303" s="43" t="n">
        <v>435.8</v>
      </c>
      <c r="AN303" s="25" t="n">
        <f aca="false">IF(AND(ISNUMBER(AM303),ISNUMBER(AL303),AL303&gt;=5),AM303/AL303,"")</f>
        <v>0.984413824260221</v>
      </c>
      <c r="AO303" s="43" t="n">
        <v>35.5</v>
      </c>
      <c r="AP303" s="43" t="n">
        <v>76</v>
      </c>
      <c r="AQ303" s="25" t="n">
        <f aca="false">IF(AND(ISNUMBER(AP303),ISNUMBER(AO303),AO303&gt;=5),AP303/AO303,"")</f>
        <v>2.14084507042254</v>
      </c>
      <c r="AR303" s="43" t="n">
        <v>433.4</v>
      </c>
      <c r="AS303" s="43" t="n">
        <v>502.5</v>
      </c>
      <c r="AT303" s="22" t="n">
        <f aca="false">IF(AND(ISNUMBER(AS303),ISNUMBER(AR303),AR303&gt;0),AS303/AR303-1,"")</f>
        <v>0.159437009690817</v>
      </c>
      <c r="AU303" s="44"/>
      <c r="AV303" s="44"/>
      <c r="AW303" s="44"/>
      <c r="AX303" s="44"/>
      <c r="AY303" s="44"/>
      <c r="AZ303" s="45"/>
      <c r="BA303" s="45"/>
      <c r="BB303" s="46"/>
      <c r="BC303" s="46"/>
      <c r="BD303" s="23" t="str">
        <f aca="false">IF(AND(ISNUMBER(BB303),ISNUMBER(BC303),BB303&gt;0),1-BC303/BB303,"")</f>
        <v/>
      </c>
      <c r="BE303" s="47"/>
      <c r="BF303" s="48"/>
      <c r="BG303" s="48"/>
      <c r="BH303" s="27" t="str">
        <f aca="false">IF(AND(ISNUMBER(BF303),ISNUMBER(BG303),BG303&gt;0),BF303/BG303,"")</f>
        <v/>
      </c>
      <c r="BI303" s="48"/>
      <c r="BJ303" s="44"/>
      <c r="BK303" s="46"/>
      <c r="BL303" s="46"/>
      <c r="BM303" s="36" t="str">
        <f aca="false">IF(ISNUMBER(Q303),IF(Q303&lt;0,"YES","no"),"")</f>
        <v>no</v>
      </c>
      <c r="BN303" s="36" t="str">
        <f aca="false">IFERROR(IF(AND(ISNUMBER(K303),ISNUMBER(INDEX('Lift Inputs'!$H:$H,MATCH(C303,'Lift Inputs'!$C:$C,0)))),IF(K303&lt;INDEX('Lift Inputs'!$H:$H,MATCH(C303,'Lift Inputs'!$C:$C,0)),"YES","no"),""),"")</f>
        <v/>
      </c>
      <c r="BO303" s="44"/>
    </row>
    <row r="304" customFormat="false" ht="15" hidden="false" customHeight="false" outlineLevel="0" collapsed="false">
      <c r="A304" s="15" t="s">
        <v>71</v>
      </c>
      <c r="B304" s="15" t="s">
        <v>92</v>
      </c>
      <c r="C304" s="15" t="n">
        <v>38</v>
      </c>
      <c r="D304" s="15" t="s">
        <v>214</v>
      </c>
      <c r="E304" s="15" t="n">
        <v>66</v>
      </c>
      <c r="F304" s="15" t="s">
        <v>671</v>
      </c>
      <c r="G304" s="15" t="s">
        <v>672</v>
      </c>
      <c r="H304" s="15" t="s">
        <v>673</v>
      </c>
      <c r="I304" s="15" t="s">
        <v>656</v>
      </c>
      <c r="J304" s="15"/>
      <c r="K304" s="35" t="n">
        <v>9.99</v>
      </c>
      <c r="L304" s="35"/>
      <c r="M304" s="23" t="str">
        <f aca="false">IF(AND(ISNUMBER(L304),ISNUMBER(K304),K304&gt;0),L304/K304-1,"")</f>
        <v/>
      </c>
      <c r="N304" s="36" t="str">
        <f aca="false">IF(M304="","No List Price",IF(M304&lt;=0,"At/below price",IF(M304&lt;=0.12,"&lt;=12% (STR zone)",IF(M304&lt;=0.25,"12-25%","&gt;25% (likely ignored)"))))</f>
        <v>No List Price</v>
      </c>
      <c r="O304" s="15"/>
      <c r="P304" s="35" t="n">
        <v>19.2069060773481</v>
      </c>
      <c r="Q304" s="22" t="n">
        <f aca="false">IF(AND(ISNUMBER(K304),ISNUMBER(P304),N(P304)&gt;0),K304/P304-1,"")</f>
        <v>-0.479874584705662</v>
      </c>
      <c r="R304" s="15" t="s">
        <v>353</v>
      </c>
      <c r="S304" s="37" t="n">
        <v>251642</v>
      </c>
      <c r="T304" s="37" t="n">
        <v>5</v>
      </c>
      <c r="U304" s="38" t="n">
        <f aca="false">IF(AND(ISNUMBER(K304),ISNUMBER(T304)),K304*T304*52/12,"")</f>
        <v>216.45</v>
      </c>
      <c r="V304" s="15" t="n">
        <v>4.4</v>
      </c>
      <c r="W304" s="37" t="n">
        <v>256</v>
      </c>
      <c r="X304" s="39" t="n">
        <v>46307</v>
      </c>
      <c r="Y304" s="15"/>
      <c r="Z304" s="40"/>
      <c r="AA304" s="41" t="str">
        <f aca="false">IF(ISNUMBER(Z304),(DATE(2026,10,13)-Z304)/365,"")</f>
        <v/>
      </c>
      <c r="AB304" s="37"/>
      <c r="AC304" s="15"/>
      <c r="AD304" s="15"/>
      <c r="AE304" s="15"/>
      <c r="AF304" s="42"/>
      <c r="AG304" s="42"/>
      <c r="AH304" s="15"/>
      <c r="AI304" s="37" t="n">
        <v>2799</v>
      </c>
      <c r="AJ304" s="37" t="n">
        <v>183</v>
      </c>
      <c r="AK304" s="15" t="s">
        <v>326</v>
      </c>
      <c r="AL304" s="43" t="n">
        <v>0</v>
      </c>
      <c r="AM304" s="43" t="n">
        <v>0.8</v>
      </c>
      <c r="AN304" s="25" t="str">
        <f aca="false">IF(AND(ISNUMBER(AM304),ISNUMBER(AL304),AL304&gt;=5),AM304/AL304,"")</f>
        <v/>
      </c>
      <c r="AO304" s="43" t="n">
        <v>0</v>
      </c>
      <c r="AP304" s="43" t="n">
        <v>0</v>
      </c>
      <c r="AQ304" s="25" t="str">
        <f aca="false">IF(AND(ISNUMBER(AP304),ISNUMBER(AO304),AO304&gt;=5),AP304/AO304,"")</f>
        <v/>
      </c>
      <c r="AR304" s="43" t="n">
        <v>0</v>
      </c>
      <c r="AS304" s="43" t="n">
        <v>0.1</v>
      </c>
      <c r="AT304" s="22" t="str">
        <f aca="false">IF(AND(ISNUMBER(AS304),ISNUMBER(AR304),AR304&gt;0),AS304/AR304-1,"")</f>
        <v/>
      </c>
      <c r="AU304" s="44"/>
      <c r="AV304" s="44"/>
      <c r="AW304" s="44"/>
      <c r="AX304" s="44"/>
      <c r="AY304" s="44"/>
      <c r="AZ304" s="45"/>
      <c r="BA304" s="45"/>
      <c r="BB304" s="46"/>
      <c r="BC304" s="46"/>
      <c r="BD304" s="23" t="str">
        <f aca="false">IF(AND(ISNUMBER(BB304),ISNUMBER(BC304),BB304&gt;0),1-BC304/BB304,"")</f>
        <v/>
      </c>
      <c r="BE304" s="47"/>
      <c r="BF304" s="48"/>
      <c r="BG304" s="48"/>
      <c r="BH304" s="27" t="str">
        <f aca="false">IF(AND(ISNUMBER(BF304),ISNUMBER(BG304),BG304&gt;0),BF304/BG304,"")</f>
        <v/>
      </c>
      <c r="BI304" s="48"/>
      <c r="BJ304" s="44"/>
      <c r="BK304" s="46"/>
      <c r="BL304" s="46"/>
      <c r="BM304" s="36" t="str">
        <f aca="false">IF(ISNUMBER(Q304),IF(Q304&lt;0,"YES","no"),"")</f>
        <v>YES</v>
      </c>
      <c r="BN304" s="36" t="str">
        <f aca="false">IFERROR(IF(AND(ISNUMBER(K304),ISNUMBER(INDEX('Lift Inputs'!$H:$H,MATCH(C304,'Lift Inputs'!$C:$C,0)))),IF(K304&lt;INDEX('Lift Inputs'!$H:$H,MATCH(C304,'Lift Inputs'!$C:$C,0)),"YES","no"),""),"")</f>
        <v/>
      </c>
      <c r="BO304" s="44"/>
    </row>
    <row r="305" customFormat="false" ht="15" hidden="false" customHeight="false" outlineLevel="0" collapsed="false">
      <c r="A305" s="15" t="s">
        <v>98</v>
      </c>
      <c r="B305" s="15" t="s">
        <v>99</v>
      </c>
      <c r="C305" s="15" t="n">
        <v>55</v>
      </c>
      <c r="D305" s="15" t="s">
        <v>216</v>
      </c>
      <c r="E305" s="15" t="n">
        <v>551</v>
      </c>
      <c r="F305" s="15" t="s">
        <v>674</v>
      </c>
      <c r="G305" s="15" t="s">
        <v>675</v>
      </c>
      <c r="H305" s="15" t="s">
        <v>676</v>
      </c>
      <c r="I305" s="15" t="s">
        <v>677</v>
      </c>
      <c r="J305" s="15" t="s">
        <v>176</v>
      </c>
      <c r="K305" s="35" t="n">
        <v>57.98</v>
      </c>
      <c r="L305" s="35"/>
      <c r="M305" s="23" t="str">
        <f aca="false">IF(AND(ISNUMBER(L305),ISNUMBER(K305),K305&gt;0),L305/K305-1,"")</f>
        <v/>
      </c>
      <c r="N305" s="36" t="str">
        <f aca="false">IF(M305="","No List Price",IF(M305&lt;=0,"At/below price",IF(M305&lt;=0.12,"&lt;=12% (STR zone)",IF(M305&lt;=0.25,"12-25%","&gt;25% (likely ignored)"))))</f>
        <v>No List Price</v>
      </c>
      <c r="O305" s="15"/>
      <c r="P305" s="35" t="n">
        <v>49.9645454545455</v>
      </c>
      <c r="Q305" s="22" t="n">
        <f aca="false">IF(AND(ISNUMBER(K305),ISNUMBER(P305),N(P305)&gt;0),K305/P305-1,"")</f>
        <v>0.160422845290297</v>
      </c>
      <c r="R305" s="15" t="s">
        <v>353</v>
      </c>
      <c r="S305" s="37" t="n">
        <v>346</v>
      </c>
      <c r="T305" s="37" t="n">
        <v>1732</v>
      </c>
      <c r="U305" s="38" t="n">
        <f aca="false">IF(AND(ISNUMBER(K305),ISNUMBER(T305)),K305*T305*52/12,"")</f>
        <v>435159.226666667</v>
      </c>
      <c r="V305" s="15" t="n">
        <v>4.5</v>
      </c>
      <c r="W305" s="37" t="n">
        <v>10441</v>
      </c>
      <c r="X305" s="39" t="n">
        <v>46307</v>
      </c>
      <c r="Y305" s="15" t="n">
        <v>67</v>
      </c>
      <c r="Z305" s="40" t="n">
        <v>44824</v>
      </c>
      <c r="AA305" s="41" t="n">
        <f aca="false">IF(ISNUMBER(Z305),(DATE(2026,10,13)-Z305)/365,"")</f>
        <v>4.06575342465753</v>
      </c>
      <c r="AB305" s="37" t="n">
        <v>26764</v>
      </c>
      <c r="AC305" s="15" t="s">
        <v>313</v>
      </c>
      <c r="AD305" s="15" t="n">
        <v>2</v>
      </c>
      <c r="AE305" s="15" t="s">
        <v>314</v>
      </c>
      <c r="AF305" s="42" t="n">
        <v>0</v>
      </c>
      <c r="AG305" s="42" t="n">
        <v>0</v>
      </c>
      <c r="AH305" s="15" t="n">
        <v>485</v>
      </c>
      <c r="AI305" s="37" t="n">
        <v>772937</v>
      </c>
      <c r="AJ305" s="37" t="n">
        <v>1631</v>
      </c>
      <c r="AK305" s="15" t="s">
        <v>315</v>
      </c>
      <c r="AL305" s="43" t="n">
        <v>707.8</v>
      </c>
      <c r="AM305" s="43" t="n">
        <v>1024.2</v>
      </c>
      <c r="AN305" s="25" t="n">
        <f aca="false">IF(AND(ISNUMBER(AM305),ISNUMBER(AL305),AL305&gt;=5),AM305/AL305,"")</f>
        <v>1.44701893190167</v>
      </c>
      <c r="AO305" s="43" t="n">
        <v>189.2</v>
      </c>
      <c r="AP305" s="43" t="n">
        <v>295.8</v>
      </c>
      <c r="AQ305" s="25" t="n">
        <f aca="false">IF(AND(ISNUMBER(AP305),ISNUMBER(AO305),AO305&gt;=5),AP305/AO305,"")</f>
        <v>1.56342494714588</v>
      </c>
      <c r="AR305" s="43" t="n">
        <v>769.5</v>
      </c>
      <c r="AS305" s="43" t="n">
        <v>800.8</v>
      </c>
      <c r="AT305" s="22" t="n">
        <f aca="false">IF(AND(ISNUMBER(AS305),ISNUMBER(AR305),AR305&gt;0),AS305/AR305-1,"")</f>
        <v>0.040675763482781</v>
      </c>
      <c r="AU305" s="44"/>
      <c r="AV305" s="44"/>
      <c r="AW305" s="44"/>
      <c r="AX305" s="44"/>
      <c r="AY305" s="44"/>
      <c r="AZ305" s="45"/>
      <c r="BA305" s="45"/>
      <c r="BB305" s="46"/>
      <c r="BC305" s="46"/>
      <c r="BD305" s="23" t="str">
        <f aca="false">IF(AND(ISNUMBER(BB305),ISNUMBER(BC305),BB305&gt;0),1-BC305/BB305,"")</f>
        <v/>
      </c>
      <c r="BE305" s="47"/>
      <c r="BF305" s="48"/>
      <c r="BG305" s="48"/>
      <c r="BH305" s="27" t="str">
        <f aca="false">IF(AND(ISNUMBER(BF305),ISNUMBER(BG305),BG305&gt;0),BF305/BG305,"")</f>
        <v/>
      </c>
      <c r="BI305" s="48"/>
      <c r="BJ305" s="44"/>
      <c r="BK305" s="46"/>
      <c r="BL305" s="46"/>
      <c r="BM305" s="36" t="str">
        <f aca="false">IF(ISNUMBER(Q305),IF(Q305&lt;0,"YES","no"),"")</f>
        <v>no</v>
      </c>
      <c r="BN305" s="36" t="str">
        <f aca="false">IFERROR(IF(AND(ISNUMBER(K305),ISNUMBER(INDEX('Lift Inputs'!$H:$H,MATCH(C305,'Lift Inputs'!$C:$C,0)))),IF(K305&lt;INDEX('Lift Inputs'!$H:$H,MATCH(C305,'Lift Inputs'!$C:$C,0)),"YES","no"),""),"")</f>
        <v/>
      </c>
      <c r="BO305" s="44"/>
    </row>
    <row r="306" customFormat="false" ht="15" hidden="false" customHeight="false" outlineLevel="0" collapsed="false">
      <c r="A306" s="15" t="s">
        <v>98</v>
      </c>
      <c r="B306" s="15" t="s">
        <v>99</v>
      </c>
      <c r="C306" s="15" t="n">
        <v>55</v>
      </c>
      <c r="D306" s="15" t="s">
        <v>216</v>
      </c>
      <c r="E306" s="15" t="n">
        <v>553</v>
      </c>
      <c r="F306" s="15" t="s">
        <v>678</v>
      </c>
      <c r="G306" s="15" t="s">
        <v>679</v>
      </c>
      <c r="H306" s="15" t="s">
        <v>680</v>
      </c>
      <c r="I306" s="15" t="s">
        <v>681</v>
      </c>
      <c r="J306" s="15" t="s">
        <v>176</v>
      </c>
      <c r="K306" s="35" t="n">
        <v>23.91</v>
      </c>
      <c r="L306" s="35" t="n">
        <v>25.99</v>
      </c>
      <c r="M306" s="23" t="n">
        <f aca="false">IF(AND(ISNUMBER(L306),ISNUMBER(K306),K306&gt;0),L306/K306-1,"")</f>
        <v>0.0869928900041823</v>
      </c>
      <c r="N306" s="36" t="str">
        <f aca="false">IF(M306="","No List Price",IF(M306&lt;=0,"At/below price",IF(M306&lt;=0.12,"&lt;=12% (STR zone)",IF(M306&lt;=0.25,"12-25%","&gt;25% (likely ignored)"))))</f>
        <v>&lt;=12% (STR zone)</v>
      </c>
      <c r="O306" s="15"/>
      <c r="P306" s="35" t="n">
        <v>49.9645454545455</v>
      </c>
      <c r="Q306" s="22" t="n">
        <f aca="false">IF(AND(ISNUMBER(K306),ISNUMBER(P306),N(P306)&gt;0),K306/P306-1,"")</f>
        <v>-0.521460672112953</v>
      </c>
      <c r="R306" s="15" t="s">
        <v>353</v>
      </c>
      <c r="S306" s="37" t="n">
        <v>532</v>
      </c>
      <c r="T306" s="37" t="n">
        <v>809</v>
      </c>
      <c r="U306" s="38" t="n">
        <f aca="false">IF(AND(ISNUMBER(K306),ISNUMBER(T306)),K306*T306*52/12,"")</f>
        <v>83820.49</v>
      </c>
      <c r="V306" s="15" t="n">
        <v>4.6</v>
      </c>
      <c r="W306" s="37" t="n">
        <v>52198</v>
      </c>
      <c r="X306" s="39" t="n">
        <v>46307</v>
      </c>
      <c r="Y306" s="15" t="n">
        <v>115</v>
      </c>
      <c r="Z306" s="40" t="n">
        <v>42623</v>
      </c>
      <c r="AA306" s="41" t="n">
        <f aca="false">IF(ISNUMBER(Z306),(DATE(2026,10,13)-Z306)/365,"")</f>
        <v>10.0958904109589</v>
      </c>
      <c r="AB306" s="37" t="n">
        <v>29781</v>
      </c>
      <c r="AC306" s="15" t="s">
        <v>313</v>
      </c>
      <c r="AD306" s="15" t="n">
        <v>1</v>
      </c>
      <c r="AE306" s="15" t="s">
        <v>331</v>
      </c>
      <c r="AF306" s="42" t="n">
        <v>0.012</v>
      </c>
      <c r="AG306" s="42" t="n">
        <v>0</v>
      </c>
      <c r="AH306" s="15" t="n">
        <v>470</v>
      </c>
      <c r="AI306" s="37" t="n">
        <v>576174</v>
      </c>
      <c r="AJ306" s="37" t="n">
        <v>1490</v>
      </c>
      <c r="AK306" s="15" t="s">
        <v>315</v>
      </c>
      <c r="AL306" s="43" t="n">
        <v>772.5</v>
      </c>
      <c r="AM306" s="43" t="n">
        <v>763.5</v>
      </c>
      <c r="AN306" s="25" t="n">
        <f aca="false">IF(AND(ISNUMBER(AM306),ISNUMBER(AL306),AL306&gt;=5),AM306/AL306,"")</f>
        <v>0.988349514563107</v>
      </c>
      <c r="AO306" s="43" t="n">
        <v>397.3</v>
      </c>
      <c r="AP306" s="43" t="n">
        <v>316</v>
      </c>
      <c r="AQ306" s="25" t="n">
        <f aca="false">IF(AND(ISNUMBER(AP306),ISNUMBER(AO306),AO306&gt;=5),AP306/AO306,"")</f>
        <v>0.79536873898817</v>
      </c>
      <c r="AR306" s="43" t="n">
        <v>742.3</v>
      </c>
      <c r="AS306" s="43" t="n">
        <v>727.2</v>
      </c>
      <c r="AT306" s="22" t="n">
        <f aca="false">IF(AND(ISNUMBER(AS306),ISNUMBER(AR306),AR306&gt;0),AS306/AR306-1,"")</f>
        <v>-0.0203421797117067</v>
      </c>
      <c r="AU306" s="44"/>
      <c r="AV306" s="44"/>
      <c r="AW306" s="44"/>
      <c r="AX306" s="44"/>
      <c r="AY306" s="44"/>
      <c r="AZ306" s="45"/>
      <c r="BA306" s="45"/>
      <c r="BB306" s="46"/>
      <c r="BC306" s="46"/>
      <c r="BD306" s="23" t="str">
        <f aca="false">IF(AND(ISNUMBER(BB306),ISNUMBER(BC306),BB306&gt;0),1-BC306/BB306,"")</f>
        <v/>
      </c>
      <c r="BE306" s="47"/>
      <c r="BF306" s="48"/>
      <c r="BG306" s="48"/>
      <c r="BH306" s="27" t="str">
        <f aca="false">IF(AND(ISNUMBER(BF306),ISNUMBER(BG306),BG306&gt;0),BF306/BG306,"")</f>
        <v/>
      </c>
      <c r="BI306" s="48"/>
      <c r="BJ306" s="44"/>
      <c r="BK306" s="46"/>
      <c r="BL306" s="46"/>
      <c r="BM306" s="36" t="str">
        <f aca="false">IF(ISNUMBER(Q306),IF(Q306&lt;0,"YES","no"),"")</f>
        <v>YES</v>
      </c>
      <c r="BN306" s="36" t="str">
        <f aca="false">IFERROR(IF(AND(ISNUMBER(K306),ISNUMBER(INDEX('Lift Inputs'!$H:$H,MATCH(C306,'Lift Inputs'!$C:$C,0)))),IF(K306&lt;INDEX('Lift Inputs'!$H:$H,MATCH(C306,'Lift Inputs'!$C:$C,0)),"YES","no"),""),"")</f>
        <v/>
      </c>
      <c r="BO306" s="44"/>
    </row>
    <row r="307" customFormat="false" ht="15" hidden="false" customHeight="false" outlineLevel="0" collapsed="false">
      <c r="A307" s="15" t="s">
        <v>98</v>
      </c>
      <c r="B307" s="15" t="s">
        <v>99</v>
      </c>
      <c r="C307" s="15" t="n">
        <v>55</v>
      </c>
      <c r="D307" s="15" t="s">
        <v>216</v>
      </c>
      <c r="E307" s="15" t="n">
        <v>1740</v>
      </c>
      <c r="F307" s="15" t="s">
        <v>682</v>
      </c>
      <c r="G307" s="15" t="s">
        <v>683</v>
      </c>
      <c r="H307" s="15" t="s">
        <v>684</v>
      </c>
      <c r="I307" s="15" t="s">
        <v>685</v>
      </c>
      <c r="J307" s="15" t="s">
        <v>176</v>
      </c>
      <c r="K307" s="35" t="n">
        <v>24</v>
      </c>
      <c r="L307" s="35"/>
      <c r="M307" s="23" t="str">
        <f aca="false">IF(AND(ISNUMBER(L307),ISNUMBER(K307),K307&gt;0),L307/K307-1,"")</f>
        <v/>
      </c>
      <c r="N307" s="36" t="str">
        <f aca="false">IF(M307="","No List Price",IF(M307&lt;=0,"At/below price",IF(M307&lt;=0.12,"&lt;=12% (STR zone)",IF(M307&lt;=0.25,"12-25%","&gt;25% (likely ignored)"))))</f>
        <v>No List Price</v>
      </c>
      <c r="O307" s="15"/>
      <c r="P307" s="35" t="n">
        <v>49.9645454545455</v>
      </c>
      <c r="Q307" s="22" t="n">
        <f aca="false">IF(AND(ISNUMBER(K307),ISNUMBER(P307),N(P307)&gt;0),K307/P307-1,"")</f>
        <v>-0.519659394843616</v>
      </c>
      <c r="R307" s="15" t="s">
        <v>353</v>
      </c>
      <c r="S307" s="37" t="n">
        <v>9074</v>
      </c>
      <c r="T307" s="37" t="n">
        <v>173</v>
      </c>
      <c r="U307" s="38" t="n">
        <f aca="false">IF(AND(ISNUMBER(K307),ISNUMBER(T307)),K307*T307*52/12,"")</f>
        <v>17992</v>
      </c>
      <c r="V307" s="15" t="n">
        <v>4.5</v>
      </c>
      <c r="W307" s="37" t="n">
        <v>1973</v>
      </c>
      <c r="X307" s="39" t="n">
        <v>46307</v>
      </c>
      <c r="Y307" s="15"/>
      <c r="Z307" s="40"/>
      <c r="AA307" s="41" t="str">
        <f aca="false">IF(ISNUMBER(Z307),(DATE(2026,10,13)-Z307)/365,"")</f>
        <v/>
      </c>
      <c r="AB307" s="37"/>
      <c r="AC307" s="15"/>
      <c r="AD307" s="15"/>
      <c r="AE307" s="15"/>
      <c r="AF307" s="42"/>
      <c r="AG307" s="42"/>
      <c r="AH307" s="15"/>
      <c r="AI307" s="37" t="n">
        <v>122186</v>
      </c>
      <c r="AJ307" s="37" t="n">
        <v>570</v>
      </c>
      <c r="AK307" s="15" t="s">
        <v>315</v>
      </c>
      <c r="AL307" s="43" t="n">
        <v>263.1</v>
      </c>
      <c r="AM307" s="43" t="n">
        <v>309.5</v>
      </c>
      <c r="AN307" s="25" t="n">
        <f aca="false">IF(AND(ISNUMBER(AM307),ISNUMBER(AL307),AL307&gt;=5),AM307/AL307,"")</f>
        <v>1.17635879893577</v>
      </c>
      <c r="AO307" s="43" t="n">
        <v>66.4</v>
      </c>
      <c r="AP307" s="43" t="n">
        <v>211</v>
      </c>
      <c r="AQ307" s="25" t="n">
        <f aca="false">IF(AND(ISNUMBER(AP307),ISNUMBER(AO307),AO307&gt;=5),AP307/AO307,"")</f>
        <v>3.17771084337349</v>
      </c>
      <c r="AR307" s="43" t="n">
        <v>269.4</v>
      </c>
      <c r="AS307" s="43" t="n">
        <v>226.5</v>
      </c>
      <c r="AT307" s="22" t="n">
        <f aca="false">IF(AND(ISNUMBER(AS307),ISNUMBER(AR307),AR307&gt;0),AS307/AR307-1,"")</f>
        <v>-0.15924276169265</v>
      </c>
      <c r="AU307" s="44"/>
      <c r="AV307" s="44"/>
      <c r="AW307" s="44"/>
      <c r="AX307" s="44"/>
      <c r="AY307" s="44"/>
      <c r="AZ307" s="45"/>
      <c r="BA307" s="45"/>
      <c r="BB307" s="46"/>
      <c r="BC307" s="46"/>
      <c r="BD307" s="23" t="str">
        <f aca="false">IF(AND(ISNUMBER(BB307),ISNUMBER(BC307),BB307&gt;0),1-BC307/BB307,"")</f>
        <v/>
      </c>
      <c r="BE307" s="47"/>
      <c r="BF307" s="48"/>
      <c r="BG307" s="48"/>
      <c r="BH307" s="27" t="str">
        <f aca="false">IF(AND(ISNUMBER(BF307),ISNUMBER(BG307),BG307&gt;0),BF307/BG307,"")</f>
        <v/>
      </c>
      <c r="BI307" s="48"/>
      <c r="BJ307" s="44"/>
      <c r="BK307" s="46"/>
      <c r="BL307" s="46"/>
      <c r="BM307" s="36" t="str">
        <f aca="false">IF(ISNUMBER(Q307),IF(Q307&lt;0,"YES","no"),"")</f>
        <v>YES</v>
      </c>
      <c r="BN307" s="36" t="str">
        <f aca="false">IFERROR(IF(AND(ISNUMBER(K307),ISNUMBER(INDEX('Lift Inputs'!$H:$H,MATCH(C307,'Lift Inputs'!$C:$C,0)))),IF(K307&lt;INDEX('Lift Inputs'!$H:$H,MATCH(C307,'Lift Inputs'!$C:$C,0)),"YES","no"),""),"")</f>
        <v/>
      </c>
      <c r="BO307" s="44"/>
    </row>
    <row r="308" customFormat="false" ht="15" hidden="false" customHeight="false" outlineLevel="0" collapsed="false">
      <c r="A308" s="15" t="s">
        <v>98</v>
      </c>
      <c r="B308" s="15" t="s">
        <v>99</v>
      </c>
      <c r="C308" s="15" t="n">
        <v>55</v>
      </c>
      <c r="D308" s="15" t="s">
        <v>216</v>
      </c>
      <c r="E308" s="15" t="n">
        <v>1743</v>
      </c>
      <c r="F308" s="15" t="s">
        <v>686</v>
      </c>
      <c r="G308" s="15" t="s">
        <v>687</v>
      </c>
      <c r="H308" s="15" t="s">
        <v>688</v>
      </c>
      <c r="I308" s="15" t="s">
        <v>685</v>
      </c>
      <c r="J308" s="15" t="s">
        <v>176</v>
      </c>
      <c r="K308" s="35" t="n">
        <v>25.99</v>
      </c>
      <c r="L308" s="35"/>
      <c r="M308" s="23" t="str">
        <f aca="false">IF(AND(ISNUMBER(L308),ISNUMBER(K308),K308&gt;0),L308/K308-1,"")</f>
        <v/>
      </c>
      <c r="N308" s="36" t="str">
        <f aca="false">IF(M308="","No List Price",IF(M308&lt;=0,"At/below price",IF(M308&lt;=0.12,"&lt;=12% (STR zone)",IF(M308&lt;=0.25,"12-25%","&gt;25% (likely ignored)"))))</f>
        <v>No List Price</v>
      </c>
      <c r="O308" s="15"/>
      <c r="P308" s="35" t="n">
        <v>49.9645454545455</v>
      </c>
      <c r="Q308" s="22" t="n">
        <f aca="false">IF(AND(ISNUMBER(K308),ISNUMBER(P308),N(P308)&gt;0),K308/P308-1,"")</f>
        <v>-0.4798311529994</v>
      </c>
      <c r="R308" s="15" t="s">
        <v>353</v>
      </c>
      <c r="S308" s="37" t="n">
        <v>22910</v>
      </c>
      <c r="T308" s="37" t="n">
        <v>92</v>
      </c>
      <c r="U308" s="38" t="n">
        <f aca="false">IF(AND(ISNUMBER(K308),ISNUMBER(T308)),K308*T308*52/12,"")</f>
        <v>10361.3466666667</v>
      </c>
      <c r="V308" s="15" t="n">
        <v>4.5</v>
      </c>
      <c r="W308" s="37" t="n">
        <v>25340</v>
      </c>
      <c r="X308" s="39" t="n">
        <v>46307</v>
      </c>
      <c r="Y308" s="15"/>
      <c r="Z308" s="40"/>
      <c r="AA308" s="41" t="str">
        <f aca="false">IF(ISNUMBER(Z308),(DATE(2026,10,13)-Z308)/365,"")</f>
        <v/>
      </c>
      <c r="AB308" s="37"/>
      <c r="AC308" s="15"/>
      <c r="AD308" s="15"/>
      <c r="AE308" s="15"/>
      <c r="AF308" s="42"/>
      <c r="AG308" s="42"/>
      <c r="AH308" s="15"/>
      <c r="AI308" s="37" t="n">
        <v>209497</v>
      </c>
      <c r="AJ308" s="37" t="n">
        <v>1071</v>
      </c>
      <c r="AK308" s="15" t="s">
        <v>315</v>
      </c>
      <c r="AL308" s="43" t="n">
        <v>258.6</v>
      </c>
      <c r="AM308" s="43" t="n">
        <v>94.2</v>
      </c>
      <c r="AN308" s="25" t="n">
        <f aca="false">IF(AND(ISNUMBER(AM308),ISNUMBER(AL308),AL308&gt;=5),AM308/AL308,"")</f>
        <v>0.364269141531323</v>
      </c>
      <c r="AO308" s="43" t="n">
        <v>113.3</v>
      </c>
      <c r="AP308" s="43" t="n">
        <v>79.8</v>
      </c>
      <c r="AQ308" s="25" t="n">
        <f aca="false">IF(AND(ISNUMBER(AP308),ISNUMBER(AO308),AO308&gt;=5),AP308/AO308,"")</f>
        <v>0.70432480141218</v>
      </c>
      <c r="AR308" s="43" t="n">
        <v>174.3</v>
      </c>
      <c r="AS308" s="43" t="n">
        <v>249</v>
      </c>
      <c r="AT308" s="22" t="n">
        <f aca="false">IF(AND(ISNUMBER(AS308),ISNUMBER(AR308),AR308&gt;0),AS308/AR308-1,"")</f>
        <v>0.428571428571428</v>
      </c>
      <c r="AU308" s="44"/>
      <c r="AV308" s="44"/>
      <c r="AW308" s="44"/>
      <c r="AX308" s="44"/>
      <c r="AY308" s="44"/>
      <c r="AZ308" s="45"/>
      <c r="BA308" s="45"/>
      <c r="BB308" s="46"/>
      <c r="BC308" s="46"/>
      <c r="BD308" s="23" t="str">
        <f aca="false">IF(AND(ISNUMBER(BB308),ISNUMBER(BC308),BB308&gt;0),1-BC308/BB308,"")</f>
        <v/>
      </c>
      <c r="BE308" s="47"/>
      <c r="BF308" s="48"/>
      <c r="BG308" s="48"/>
      <c r="BH308" s="27" t="str">
        <f aca="false">IF(AND(ISNUMBER(BF308),ISNUMBER(BG308),BG308&gt;0),BF308/BG308,"")</f>
        <v/>
      </c>
      <c r="BI308" s="48"/>
      <c r="BJ308" s="44"/>
      <c r="BK308" s="46"/>
      <c r="BL308" s="46"/>
      <c r="BM308" s="36" t="str">
        <f aca="false">IF(ISNUMBER(Q308),IF(Q308&lt;0,"YES","no"),"")</f>
        <v>YES</v>
      </c>
      <c r="BN308" s="36" t="str">
        <f aca="false">IFERROR(IF(AND(ISNUMBER(K308),ISNUMBER(INDEX('Lift Inputs'!$H:$H,MATCH(C308,'Lift Inputs'!$C:$C,0)))),IF(K308&lt;INDEX('Lift Inputs'!$H:$H,MATCH(C308,'Lift Inputs'!$C:$C,0)),"YES","no"),""),"")</f>
        <v/>
      </c>
      <c r="BO308" s="44"/>
    </row>
    <row r="309" customFormat="false" ht="15" hidden="false" customHeight="false" outlineLevel="0" collapsed="false">
      <c r="A309" s="15" t="s">
        <v>98</v>
      </c>
      <c r="B309" s="15" t="s">
        <v>99</v>
      </c>
      <c r="C309" s="15" t="n">
        <v>55</v>
      </c>
      <c r="D309" s="15" t="s">
        <v>216</v>
      </c>
      <c r="E309" s="15" t="n">
        <v>1742</v>
      </c>
      <c r="F309" s="15" t="s">
        <v>689</v>
      </c>
      <c r="G309" s="15" t="s">
        <v>690</v>
      </c>
      <c r="H309" s="15" t="s">
        <v>691</v>
      </c>
      <c r="I309" s="15" t="s">
        <v>685</v>
      </c>
      <c r="J309" s="15" t="s">
        <v>176</v>
      </c>
      <c r="K309" s="35" t="n">
        <v>59.99</v>
      </c>
      <c r="L309" s="35"/>
      <c r="M309" s="23" t="str">
        <f aca="false">IF(AND(ISNUMBER(L309),ISNUMBER(K309),K309&gt;0),L309/K309-1,"")</f>
        <v/>
      </c>
      <c r="N309" s="36" t="str">
        <f aca="false">IF(M309="","No List Price",IF(M309&lt;=0,"At/below price",IF(M309&lt;=0.12,"&lt;=12% (STR zone)",IF(M309&lt;=0.25,"12-25%","&gt;25% (likely ignored)"))))</f>
        <v>No List Price</v>
      </c>
      <c r="O309" s="15"/>
      <c r="P309" s="35" t="n">
        <v>49.9645454545455</v>
      </c>
      <c r="Q309" s="22" t="n">
        <f aca="false">IF(AND(ISNUMBER(K309),ISNUMBER(P309),N(P309)&gt;0),K309/P309-1,"")</f>
        <v>0.200651370972144</v>
      </c>
      <c r="R309" s="15" t="s">
        <v>353</v>
      </c>
      <c r="S309" s="37" t="n">
        <v>11579</v>
      </c>
      <c r="T309" s="37" t="n">
        <v>92</v>
      </c>
      <c r="U309" s="38" t="n">
        <f aca="false">IF(AND(ISNUMBER(K309),ISNUMBER(T309)),K309*T309*52/12,"")</f>
        <v>23916.0133333333</v>
      </c>
      <c r="V309" s="15" t="n">
        <v>4.6</v>
      </c>
      <c r="W309" s="37" t="n">
        <v>9036</v>
      </c>
      <c r="X309" s="39" t="n">
        <v>46307</v>
      </c>
      <c r="Y309" s="15"/>
      <c r="Z309" s="40"/>
      <c r="AA309" s="41" t="str">
        <f aca="false">IF(ISNUMBER(Z309),(DATE(2026,10,13)-Z309)/365,"")</f>
        <v/>
      </c>
      <c r="AB309" s="37"/>
      <c r="AC309" s="15"/>
      <c r="AD309" s="15"/>
      <c r="AE309" s="15"/>
      <c r="AF309" s="42"/>
      <c r="AG309" s="42"/>
      <c r="AH309" s="15"/>
      <c r="AI309" s="37" t="n">
        <v>220584</v>
      </c>
      <c r="AJ309" s="37" t="n">
        <v>1295</v>
      </c>
      <c r="AK309" s="15" t="s">
        <v>315</v>
      </c>
      <c r="AL309" s="43" t="n">
        <v>104.8</v>
      </c>
      <c r="AM309" s="43" t="n">
        <v>128.5</v>
      </c>
      <c r="AN309" s="25" t="n">
        <f aca="false">IF(AND(ISNUMBER(AM309),ISNUMBER(AL309),AL309&gt;=5),AM309/AL309,"")</f>
        <v>1.22614503816794</v>
      </c>
      <c r="AO309" s="43" t="n">
        <v>10.8</v>
      </c>
      <c r="AP309" s="43" t="n">
        <v>19.8</v>
      </c>
      <c r="AQ309" s="25" t="n">
        <f aca="false">IF(AND(ISNUMBER(AP309),ISNUMBER(AO309),AO309&gt;=5),AP309/AO309,"")</f>
        <v>1.83333333333333</v>
      </c>
      <c r="AR309" s="43" t="n">
        <v>103</v>
      </c>
      <c r="AS309" s="43" t="n">
        <v>146</v>
      </c>
      <c r="AT309" s="22" t="n">
        <f aca="false">IF(AND(ISNUMBER(AS309),ISNUMBER(AR309),AR309&gt;0),AS309/AR309-1,"")</f>
        <v>0.41747572815534</v>
      </c>
      <c r="AU309" s="44"/>
      <c r="AV309" s="44"/>
      <c r="AW309" s="44"/>
      <c r="AX309" s="44"/>
      <c r="AY309" s="44"/>
      <c r="AZ309" s="45"/>
      <c r="BA309" s="45"/>
      <c r="BB309" s="46"/>
      <c r="BC309" s="46"/>
      <c r="BD309" s="23" t="str">
        <f aca="false">IF(AND(ISNUMBER(BB309),ISNUMBER(BC309),BB309&gt;0),1-BC309/BB309,"")</f>
        <v/>
      </c>
      <c r="BE309" s="47"/>
      <c r="BF309" s="48"/>
      <c r="BG309" s="48"/>
      <c r="BH309" s="27" t="str">
        <f aca="false">IF(AND(ISNUMBER(BF309),ISNUMBER(BG309),BG309&gt;0),BF309/BG309,"")</f>
        <v/>
      </c>
      <c r="BI309" s="48"/>
      <c r="BJ309" s="44"/>
      <c r="BK309" s="46"/>
      <c r="BL309" s="46"/>
      <c r="BM309" s="36" t="str">
        <f aca="false">IF(ISNUMBER(Q309),IF(Q309&lt;0,"YES","no"),"")</f>
        <v>no</v>
      </c>
      <c r="BN309" s="36" t="str">
        <f aca="false">IFERROR(IF(AND(ISNUMBER(K309),ISNUMBER(INDEX('Lift Inputs'!$H:$H,MATCH(C309,'Lift Inputs'!$C:$C,0)))),IF(K309&lt;INDEX('Lift Inputs'!$H:$H,MATCH(C309,'Lift Inputs'!$C:$C,0)),"YES","no"),""),"")</f>
        <v/>
      </c>
      <c r="BO309" s="44"/>
    </row>
    <row r="310" customFormat="false" ht="15" hidden="false" customHeight="false" outlineLevel="0" collapsed="false">
      <c r="A310" s="15" t="s">
        <v>98</v>
      </c>
      <c r="B310" s="15" t="s">
        <v>99</v>
      </c>
      <c r="C310" s="15" t="n">
        <v>55</v>
      </c>
      <c r="D310" s="15" t="s">
        <v>216</v>
      </c>
      <c r="E310" s="15" t="n">
        <v>1744</v>
      </c>
      <c r="F310" s="15" t="s">
        <v>678</v>
      </c>
      <c r="G310" s="15" t="s">
        <v>692</v>
      </c>
      <c r="H310" s="15" t="s">
        <v>693</v>
      </c>
      <c r="I310" s="15" t="s">
        <v>685</v>
      </c>
      <c r="J310" s="15" t="s">
        <v>177</v>
      </c>
      <c r="K310" s="35" t="n">
        <v>37.99</v>
      </c>
      <c r="L310" s="35"/>
      <c r="M310" s="23" t="str">
        <f aca="false">IF(AND(ISNUMBER(L310),ISNUMBER(K310),K310&gt;0),L310/K310-1,"")</f>
        <v/>
      </c>
      <c r="N310" s="36" t="str">
        <f aca="false">IF(M310="","No List Price",IF(M310&lt;=0,"At/below price",IF(M310&lt;=0.12,"&lt;=12% (STR zone)",IF(M310&lt;=0.25,"12-25%","&gt;25% (likely ignored)"))))</f>
        <v>No List Price</v>
      </c>
      <c r="O310" s="15"/>
      <c r="P310" s="35" t="n">
        <v>49.9645454545455</v>
      </c>
      <c r="Q310" s="22" t="n">
        <f aca="false">IF(AND(ISNUMBER(K310),ISNUMBER(P310),N(P310)&gt;0),K310/P310-1,"")</f>
        <v>-0.239660850421208</v>
      </c>
      <c r="R310" s="15" t="s">
        <v>353</v>
      </c>
      <c r="S310" s="37" t="n">
        <v>44854</v>
      </c>
      <c r="T310" s="37" t="n">
        <v>81</v>
      </c>
      <c r="U310" s="38" t="n">
        <f aca="false">IF(AND(ISNUMBER(K310),ISNUMBER(T310)),K310*T310*52/12,"")</f>
        <v>13334.49</v>
      </c>
      <c r="V310" s="15" t="n">
        <v>4.5</v>
      </c>
      <c r="W310" s="37" t="n">
        <v>672</v>
      </c>
      <c r="X310" s="39" t="n">
        <v>46307</v>
      </c>
      <c r="Y310" s="15"/>
      <c r="Z310" s="40"/>
      <c r="AA310" s="41" t="str">
        <f aca="false">IF(ISNUMBER(Z310),(DATE(2026,10,13)-Z310)/365,"")</f>
        <v/>
      </c>
      <c r="AB310" s="37"/>
      <c r="AC310" s="15"/>
      <c r="AD310" s="15"/>
      <c r="AE310" s="15"/>
      <c r="AF310" s="42"/>
      <c r="AG310" s="42"/>
      <c r="AH310" s="15"/>
      <c r="AI310" s="37" t="n">
        <v>108891</v>
      </c>
      <c r="AJ310" s="37" t="n">
        <v>574</v>
      </c>
      <c r="AK310" s="15" t="s">
        <v>315</v>
      </c>
      <c r="AL310" s="43" t="n">
        <v>155.7</v>
      </c>
      <c r="AM310" s="43" t="n">
        <v>192.2</v>
      </c>
      <c r="AN310" s="25" t="n">
        <f aca="false">IF(AND(ISNUMBER(AM310),ISNUMBER(AL310),AL310&gt;=5),AM310/AL310,"")</f>
        <v>1.23442517662171</v>
      </c>
      <c r="AO310" s="43" t="n">
        <v>119</v>
      </c>
      <c r="AP310" s="43" t="n">
        <v>131</v>
      </c>
      <c r="AQ310" s="25" t="n">
        <f aca="false">IF(AND(ISNUMBER(AP310),ISNUMBER(AO310),AO310&gt;=5),AP310/AO310,"")</f>
        <v>1.10084033613445</v>
      </c>
      <c r="AR310" s="43" t="n">
        <v>133.8</v>
      </c>
      <c r="AS310" s="43" t="n">
        <v>169.5</v>
      </c>
      <c r="AT310" s="22" t="n">
        <f aca="false">IF(AND(ISNUMBER(AS310),ISNUMBER(AR310),AR310&gt;0),AS310/AR310-1,"")</f>
        <v>0.266816143497758</v>
      </c>
      <c r="AU310" s="44"/>
      <c r="AV310" s="44"/>
      <c r="AW310" s="44"/>
      <c r="AX310" s="44"/>
      <c r="AY310" s="44"/>
      <c r="AZ310" s="45"/>
      <c r="BA310" s="45"/>
      <c r="BB310" s="46"/>
      <c r="BC310" s="46"/>
      <c r="BD310" s="23" t="str">
        <f aca="false">IF(AND(ISNUMBER(BB310),ISNUMBER(BC310),BB310&gt;0),1-BC310/BB310,"")</f>
        <v/>
      </c>
      <c r="BE310" s="47"/>
      <c r="BF310" s="48"/>
      <c r="BG310" s="48"/>
      <c r="BH310" s="27" t="str">
        <f aca="false">IF(AND(ISNUMBER(BF310),ISNUMBER(BG310),BG310&gt;0),BF310/BG310,"")</f>
        <v/>
      </c>
      <c r="BI310" s="48"/>
      <c r="BJ310" s="44"/>
      <c r="BK310" s="46"/>
      <c r="BL310" s="46"/>
      <c r="BM310" s="36" t="str">
        <f aca="false">IF(ISNUMBER(Q310),IF(Q310&lt;0,"YES","no"),"")</f>
        <v>YES</v>
      </c>
      <c r="BN310" s="36" t="str">
        <f aca="false">IFERROR(IF(AND(ISNUMBER(K310),ISNUMBER(INDEX('Lift Inputs'!$H:$H,MATCH(C310,'Lift Inputs'!$C:$C,0)))),IF(K310&lt;INDEX('Lift Inputs'!$H:$H,MATCH(C310,'Lift Inputs'!$C:$C,0)),"YES","no"),""),"")</f>
        <v/>
      </c>
      <c r="BO310" s="44"/>
    </row>
    <row r="311" customFormat="false" ht="15" hidden="false" customHeight="false" outlineLevel="0" collapsed="false">
      <c r="A311" s="15" t="s">
        <v>98</v>
      </c>
      <c r="B311" s="15" t="s">
        <v>99</v>
      </c>
      <c r="C311" s="15" t="n">
        <v>55</v>
      </c>
      <c r="D311" s="15" t="s">
        <v>216</v>
      </c>
      <c r="E311" s="15" t="n">
        <v>1755</v>
      </c>
      <c r="F311" s="15" t="s">
        <v>678</v>
      </c>
      <c r="G311" s="15" t="s">
        <v>694</v>
      </c>
      <c r="H311" s="15" t="s">
        <v>695</v>
      </c>
      <c r="I311" s="15" t="s">
        <v>685</v>
      </c>
      <c r="J311" s="15" t="s">
        <v>177</v>
      </c>
      <c r="K311" s="35" t="n">
        <v>23.39</v>
      </c>
      <c r="L311" s="35" t="n">
        <v>24.69</v>
      </c>
      <c r="M311" s="23" t="n">
        <f aca="false">IF(AND(ISNUMBER(L311),ISNUMBER(K311),K311&gt;0),L311/K311-1,"")</f>
        <v>0.0555793073963233</v>
      </c>
      <c r="N311" s="36" t="str">
        <f aca="false">IF(M311="","No List Price",IF(M311&lt;=0,"At/below price",IF(M311&lt;=0.12,"&lt;=12% (STR zone)",IF(M311&lt;=0.25,"12-25%","&gt;25% (likely ignored)"))))</f>
        <v>&lt;=12% (STR zone)</v>
      </c>
      <c r="O311" s="15"/>
      <c r="P311" s="35" t="n">
        <v>49.9645454545455</v>
      </c>
      <c r="Q311" s="22" t="n">
        <f aca="false">IF(AND(ISNUMBER(K311),ISNUMBER(P311),N(P311)&gt;0),K311/P311-1,"")</f>
        <v>-0.531868051891341</v>
      </c>
      <c r="R311" s="15" t="s">
        <v>353</v>
      </c>
      <c r="S311" s="37" t="n">
        <v>62692</v>
      </c>
      <c r="T311" s="37" t="n">
        <v>81</v>
      </c>
      <c r="U311" s="38" t="n">
        <f aca="false">IF(AND(ISNUMBER(K311),ISNUMBER(T311)),K311*T311*52/12,"")</f>
        <v>8209.89</v>
      </c>
      <c r="V311" s="15" t="n">
        <v>4.5</v>
      </c>
      <c r="W311" s="37" t="n">
        <v>1208</v>
      </c>
      <c r="X311" s="39" t="n">
        <v>46307</v>
      </c>
      <c r="Y311" s="15"/>
      <c r="Z311" s="40"/>
      <c r="AA311" s="41" t="str">
        <f aca="false">IF(ISNUMBER(Z311),(DATE(2026,10,13)-Z311)/365,"")</f>
        <v/>
      </c>
      <c r="AB311" s="37"/>
      <c r="AC311" s="15"/>
      <c r="AD311" s="15"/>
      <c r="AE311" s="15"/>
      <c r="AF311" s="42"/>
      <c r="AG311" s="42"/>
      <c r="AH311" s="15"/>
      <c r="AI311" s="37" t="n">
        <v>66424</v>
      </c>
      <c r="AJ311" s="37" t="n">
        <v>577</v>
      </c>
      <c r="AK311" s="15" t="s">
        <v>315</v>
      </c>
      <c r="AL311" s="43" t="n">
        <v>222.8</v>
      </c>
      <c r="AM311" s="43" t="n">
        <v>203.8</v>
      </c>
      <c r="AN311" s="25" t="n">
        <f aca="false">IF(AND(ISNUMBER(AM311),ISNUMBER(AL311),AL311&gt;=5),AM311/AL311,"")</f>
        <v>0.914721723518851</v>
      </c>
      <c r="AO311" s="43" t="n">
        <v>24.4</v>
      </c>
      <c r="AP311" s="43" t="n">
        <v>47.5</v>
      </c>
      <c r="AQ311" s="25" t="n">
        <f aca="false">IF(AND(ISNUMBER(AP311),ISNUMBER(AO311),AO311&gt;=5),AP311/AO311,"")</f>
        <v>1.94672131147541</v>
      </c>
      <c r="AR311" s="43" t="n">
        <v>181.9</v>
      </c>
      <c r="AS311" s="43" t="n">
        <v>131.4</v>
      </c>
      <c r="AT311" s="22" t="n">
        <f aca="false">IF(AND(ISNUMBER(AS311),ISNUMBER(AR311),AR311&gt;0),AS311/AR311-1,"")</f>
        <v>-0.277625068719076</v>
      </c>
      <c r="AU311" s="44"/>
      <c r="AV311" s="44"/>
      <c r="AW311" s="44"/>
      <c r="AX311" s="44"/>
      <c r="AY311" s="44"/>
      <c r="AZ311" s="45"/>
      <c r="BA311" s="45"/>
      <c r="BB311" s="46"/>
      <c r="BC311" s="46"/>
      <c r="BD311" s="23" t="str">
        <f aca="false">IF(AND(ISNUMBER(BB311),ISNUMBER(BC311),BB311&gt;0),1-BC311/BB311,"")</f>
        <v/>
      </c>
      <c r="BE311" s="47"/>
      <c r="BF311" s="48"/>
      <c r="BG311" s="48"/>
      <c r="BH311" s="27" t="str">
        <f aca="false">IF(AND(ISNUMBER(BF311),ISNUMBER(BG311),BG311&gt;0),BF311/BG311,"")</f>
        <v/>
      </c>
      <c r="BI311" s="48"/>
      <c r="BJ311" s="44"/>
      <c r="BK311" s="46"/>
      <c r="BL311" s="46"/>
      <c r="BM311" s="36" t="str">
        <f aca="false">IF(ISNUMBER(Q311),IF(Q311&lt;0,"YES","no"),"")</f>
        <v>YES</v>
      </c>
      <c r="BN311" s="36" t="str">
        <f aca="false">IFERROR(IF(AND(ISNUMBER(K311),ISNUMBER(INDEX('Lift Inputs'!$H:$H,MATCH(C311,'Lift Inputs'!$C:$C,0)))),IF(K311&lt;INDEX('Lift Inputs'!$H:$H,MATCH(C311,'Lift Inputs'!$C:$C,0)),"YES","no"),""),"")</f>
        <v/>
      </c>
      <c r="BO311" s="44"/>
    </row>
    <row r="312" customFormat="false" ht="15" hidden="false" customHeight="false" outlineLevel="0" collapsed="false">
      <c r="A312" s="15" t="s">
        <v>98</v>
      </c>
      <c r="B312" s="15" t="s">
        <v>99</v>
      </c>
      <c r="C312" s="15" t="n">
        <v>55</v>
      </c>
      <c r="D312" s="15" t="s">
        <v>216</v>
      </c>
      <c r="E312" s="15" t="n">
        <v>1759</v>
      </c>
      <c r="F312" s="15" t="s">
        <v>696</v>
      </c>
      <c r="G312" s="15" t="s">
        <v>697</v>
      </c>
      <c r="H312" s="15" t="s">
        <v>698</v>
      </c>
      <c r="I312" s="15" t="s">
        <v>685</v>
      </c>
      <c r="J312" s="15" t="s">
        <v>177</v>
      </c>
      <c r="K312" s="35" t="n">
        <v>45.99</v>
      </c>
      <c r="L312" s="35"/>
      <c r="M312" s="23" t="str">
        <f aca="false">IF(AND(ISNUMBER(L312),ISNUMBER(K312),K312&gt;0),L312/K312-1,"")</f>
        <v/>
      </c>
      <c r="N312" s="36" t="str">
        <f aca="false">IF(M312="","No List Price",IF(M312&lt;=0,"At/below price",IF(M312&lt;=0.12,"&lt;=12% (STR zone)",IF(M312&lt;=0.25,"12-25%","&gt;25% (likely ignored)"))))</f>
        <v>No List Price</v>
      </c>
      <c r="O312" s="15"/>
      <c r="P312" s="35" t="n">
        <v>49.9645454545455</v>
      </c>
      <c r="Q312" s="22" t="n">
        <f aca="false">IF(AND(ISNUMBER(K312),ISNUMBER(P312),N(P312)&gt;0),K312/P312-1,"")</f>
        <v>-0.0795473153690799</v>
      </c>
      <c r="R312" s="15" t="s">
        <v>353</v>
      </c>
      <c r="S312" s="37" t="n">
        <v>55124</v>
      </c>
      <c r="T312" s="37" t="n">
        <v>18</v>
      </c>
      <c r="U312" s="38" t="n">
        <f aca="false">IF(AND(ISNUMBER(K312),ISNUMBER(T312)),K312*T312*52/12,"")</f>
        <v>3587.22</v>
      </c>
      <c r="V312" s="15" t="n">
        <v>4.6</v>
      </c>
      <c r="W312" s="37" t="n">
        <v>1971</v>
      </c>
      <c r="X312" s="39" t="n">
        <v>46307</v>
      </c>
      <c r="Y312" s="15"/>
      <c r="Z312" s="40"/>
      <c r="AA312" s="41" t="str">
        <f aca="false">IF(ISNUMBER(Z312),(DATE(2026,10,13)-Z312)/365,"")</f>
        <v/>
      </c>
      <c r="AB312" s="37"/>
      <c r="AC312" s="15"/>
      <c r="AD312" s="15"/>
      <c r="AE312" s="15"/>
      <c r="AF312" s="42"/>
      <c r="AG312" s="42"/>
      <c r="AH312" s="15"/>
      <c r="AI312" s="37" t="n">
        <v>119892</v>
      </c>
      <c r="AJ312" s="37" t="n">
        <v>435</v>
      </c>
      <c r="AK312" s="15" t="s">
        <v>315</v>
      </c>
      <c r="AL312" s="43" t="n">
        <v>0.8</v>
      </c>
      <c r="AM312" s="43" t="n">
        <v>14.8</v>
      </c>
      <c r="AN312" s="25" t="str">
        <f aca="false">IF(AND(ISNUMBER(AM312),ISNUMBER(AL312),AL312&gt;=5),AM312/AL312,"")</f>
        <v/>
      </c>
      <c r="AO312" s="43" t="n">
        <v>0</v>
      </c>
      <c r="AP312" s="43" t="n">
        <v>0</v>
      </c>
      <c r="AQ312" s="25" t="str">
        <f aca="false">IF(AND(ISNUMBER(AP312),ISNUMBER(AO312),AO312&gt;=5),AP312/AO312,"")</f>
        <v/>
      </c>
      <c r="AR312" s="43" t="n">
        <v>2.2</v>
      </c>
      <c r="AS312" s="43" t="n">
        <v>86.1</v>
      </c>
      <c r="AT312" s="22" t="n">
        <f aca="false">IF(AND(ISNUMBER(AS312),ISNUMBER(AR312),AR312&gt;0),AS312/AR312-1,"")</f>
        <v>38.1363636363636</v>
      </c>
      <c r="AU312" s="44"/>
      <c r="AV312" s="44"/>
      <c r="AW312" s="44"/>
      <c r="AX312" s="44"/>
      <c r="AY312" s="44"/>
      <c r="AZ312" s="45"/>
      <c r="BA312" s="45"/>
      <c r="BB312" s="46"/>
      <c r="BC312" s="46"/>
      <c r="BD312" s="23" t="str">
        <f aca="false">IF(AND(ISNUMBER(BB312),ISNUMBER(BC312),BB312&gt;0),1-BC312/BB312,"")</f>
        <v/>
      </c>
      <c r="BE312" s="47"/>
      <c r="BF312" s="48"/>
      <c r="BG312" s="48"/>
      <c r="BH312" s="27" t="str">
        <f aca="false">IF(AND(ISNUMBER(BF312),ISNUMBER(BG312),BG312&gt;0),BF312/BG312,"")</f>
        <v/>
      </c>
      <c r="BI312" s="48"/>
      <c r="BJ312" s="44"/>
      <c r="BK312" s="46"/>
      <c r="BL312" s="46"/>
      <c r="BM312" s="36" t="str">
        <f aca="false">IF(ISNUMBER(Q312),IF(Q312&lt;0,"YES","no"),"")</f>
        <v>YES</v>
      </c>
      <c r="BN312" s="36" t="str">
        <f aca="false">IFERROR(IF(AND(ISNUMBER(K312),ISNUMBER(INDEX('Lift Inputs'!$H:$H,MATCH(C312,'Lift Inputs'!$C:$C,0)))),IF(K312&lt;INDEX('Lift Inputs'!$H:$H,MATCH(C312,'Lift Inputs'!$C:$C,0)),"YES","no"),""),"")</f>
        <v/>
      </c>
      <c r="BO312" s="44"/>
    </row>
    <row r="313" customFormat="false" ht="15" hidden="false" customHeight="false" outlineLevel="0" collapsed="false">
      <c r="A313" s="15" t="s">
        <v>98</v>
      </c>
      <c r="B313" s="15" t="s">
        <v>99</v>
      </c>
      <c r="C313" s="15" t="n">
        <v>55</v>
      </c>
      <c r="D313" s="15" t="s">
        <v>216</v>
      </c>
      <c r="E313" s="15" t="n">
        <v>1758</v>
      </c>
      <c r="F313" s="15" t="s">
        <v>689</v>
      </c>
      <c r="G313" s="15" t="s">
        <v>699</v>
      </c>
      <c r="H313" s="15" t="s">
        <v>700</v>
      </c>
      <c r="I313" s="15" t="s">
        <v>685</v>
      </c>
      <c r="J313" s="15" t="s">
        <v>177</v>
      </c>
      <c r="K313" s="35" t="n">
        <v>81.99</v>
      </c>
      <c r="L313" s="35"/>
      <c r="M313" s="23" t="str">
        <f aca="false">IF(AND(ISNUMBER(L313),ISNUMBER(K313),K313&gt;0),L313/K313-1,"")</f>
        <v/>
      </c>
      <c r="N313" s="36" t="str">
        <f aca="false">IF(M313="","No List Price",IF(M313&lt;=0,"At/below price",IF(M313&lt;=0.12,"&lt;=12% (STR zone)",IF(M313&lt;=0.25,"12-25%","&gt;25% (likely ignored)"))))</f>
        <v>No List Price</v>
      </c>
      <c r="O313" s="15"/>
      <c r="P313" s="35" t="n">
        <v>49.9645454545455</v>
      </c>
      <c r="Q313" s="22" t="n">
        <f aca="false">IF(AND(ISNUMBER(K313),ISNUMBER(P313),N(P313)&gt;0),K313/P313-1,"")</f>
        <v>0.640963592365495</v>
      </c>
      <c r="R313" s="15" t="s">
        <v>353</v>
      </c>
      <c r="S313" s="37" t="n">
        <v>55705</v>
      </c>
      <c r="T313" s="37" t="n">
        <v>18</v>
      </c>
      <c r="U313" s="38" t="n">
        <f aca="false">IF(AND(ISNUMBER(K313),ISNUMBER(T313)),K313*T313*52/12,"")</f>
        <v>6395.22</v>
      </c>
      <c r="V313" s="15" t="n">
        <v>4.6</v>
      </c>
      <c r="W313" s="37" t="n">
        <v>2700</v>
      </c>
      <c r="X313" s="39" t="n">
        <v>46307</v>
      </c>
      <c r="Y313" s="15"/>
      <c r="Z313" s="40"/>
      <c r="AA313" s="41" t="str">
        <f aca="false">IF(ISNUMBER(Z313),(DATE(2026,10,13)-Z313)/365,"")</f>
        <v/>
      </c>
      <c r="AB313" s="37"/>
      <c r="AC313" s="15"/>
      <c r="AD313" s="15"/>
      <c r="AE313" s="15"/>
      <c r="AF313" s="42"/>
      <c r="AG313" s="42"/>
      <c r="AH313" s="15"/>
      <c r="AI313" s="37" t="n">
        <v>102684</v>
      </c>
      <c r="AJ313" s="37" t="n">
        <v>787</v>
      </c>
      <c r="AK313" s="15"/>
      <c r="AL313" s="43"/>
      <c r="AM313" s="43"/>
      <c r="AN313" s="25" t="str">
        <f aca="false">IF(AND(ISNUMBER(AM313),ISNUMBER(AL313),AL313&gt;=5),AM313/AL313,"")</f>
        <v/>
      </c>
      <c r="AO313" s="43"/>
      <c r="AP313" s="43"/>
      <c r="AQ313" s="25" t="str">
        <f aca="false">IF(AND(ISNUMBER(AP313),ISNUMBER(AO313),AO313&gt;=5),AP313/AO313,"")</f>
        <v/>
      </c>
      <c r="AR313" s="43"/>
      <c r="AS313" s="43"/>
      <c r="AT313" s="22" t="str">
        <f aca="false">IF(AND(ISNUMBER(AS313),ISNUMBER(AR313),AR313&gt;0),AS313/AR313-1,"")</f>
        <v/>
      </c>
      <c r="AU313" s="44"/>
      <c r="AV313" s="44"/>
      <c r="AW313" s="44"/>
      <c r="AX313" s="44"/>
      <c r="AY313" s="44"/>
      <c r="AZ313" s="45"/>
      <c r="BA313" s="45"/>
      <c r="BB313" s="46"/>
      <c r="BC313" s="46"/>
      <c r="BD313" s="23" t="str">
        <f aca="false">IF(AND(ISNUMBER(BB313),ISNUMBER(BC313),BB313&gt;0),1-BC313/BB313,"")</f>
        <v/>
      </c>
      <c r="BE313" s="47"/>
      <c r="BF313" s="48"/>
      <c r="BG313" s="48"/>
      <c r="BH313" s="27" t="str">
        <f aca="false">IF(AND(ISNUMBER(BF313),ISNUMBER(BG313),BG313&gt;0),BF313/BG313,"")</f>
        <v/>
      </c>
      <c r="BI313" s="48"/>
      <c r="BJ313" s="44"/>
      <c r="BK313" s="46"/>
      <c r="BL313" s="46"/>
      <c r="BM313" s="36" t="str">
        <f aca="false">IF(ISNUMBER(Q313),IF(Q313&lt;0,"YES","no"),"")</f>
        <v>no</v>
      </c>
      <c r="BN313" s="36" t="str">
        <f aca="false">IFERROR(IF(AND(ISNUMBER(K313),ISNUMBER(INDEX('Lift Inputs'!$H:$H,MATCH(C313,'Lift Inputs'!$C:$C,0)))),IF(K313&lt;INDEX('Lift Inputs'!$H:$H,MATCH(C313,'Lift Inputs'!$C:$C,0)),"YES","no"),""),"")</f>
        <v/>
      </c>
      <c r="BO313" s="44"/>
    </row>
    <row r="314" customFormat="false" ht="15" hidden="false" customHeight="false" outlineLevel="0" collapsed="false">
      <c r="A314" s="15" t="s">
        <v>98</v>
      </c>
      <c r="B314" s="15" t="s">
        <v>99</v>
      </c>
      <c r="C314" s="15" t="n">
        <v>55</v>
      </c>
      <c r="D314" s="15" t="s">
        <v>216</v>
      </c>
      <c r="E314" s="15" t="n">
        <v>1748</v>
      </c>
      <c r="F314" s="15" t="s">
        <v>701</v>
      </c>
      <c r="G314" s="15" t="s">
        <v>702</v>
      </c>
      <c r="H314" s="15" t="s">
        <v>703</v>
      </c>
      <c r="I314" s="15" t="s">
        <v>685</v>
      </c>
      <c r="J314" s="15" t="s">
        <v>177</v>
      </c>
      <c r="K314" s="35" t="n">
        <v>39.99</v>
      </c>
      <c r="L314" s="35"/>
      <c r="M314" s="23" t="str">
        <f aca="false">IF(AND(ISNUMBER(L314),ISNUMBER(K314),K314&gt;0),L314/K314-1,"")</f>
        <v/>
      </c>
      <c r="N314" s="36" t="str">
        <f aca="false">IF(M314="","No List Price",IF(M314&lt;=0,"At/below price",IF(M314&lt;=0.12,"&lt;=12% (STR zone)",IF(M314&lt;=0.25,"12-25%","&gt;25% (likely ignored)"))))</f>
        <v>No List Price</v>
      </c>
      <c r="O314" s="15"/>
      <c r="P314" s="35" t="n">
        <v>49.9645454545455</v>
      </c>
      <c r="Q314" s="22" t="n">
        <f aca="false">IF(AND(ISNUMBER(K314),ISNUMBER(P314),N(P314)&gt;0),K314/P314-1,"")</f>
        <v>-0.199632466658176</v>
      </c>
      <c r="R314" s="15" t="s">
        <v>353</v>
      </c>
      <c r="S314" s="37" t="n">
        <v>28579</v>
      </c>
      <c r="T314" s="37" t="n">
        <v>18</v>
      </c>
      <c r="U314" s="38" t="n">
        <f aca="false">IF(AND(ISNUMBER(K314),ISNUMBER(T314)),K314*T314*52/12,"")</f>
        <v>3119.22</v>
      </c>
      <c r="V314" s="15" t="n">
        <v>4.4</v>
      </c>
      <c r="W314" s="37" t="n">
        <v>1035</v>
      </c>
      <c r="X314" s="39" t="n">
        <v>46307</v>
      </c>
      <c r="Y314" s="15"/>
      <c r="Z314" s="40"/>
      <c r="AA314" s="41" t="str">
        <f aca="false">IF(ISNUMBER(Z314),(DATE(2026,10,13)-Z314)/365,"")</f>
        <v/>
      </c>
      <c r="AB314" s="37"/>
      <c r="AC314" s="15"/>
      <c r="AD314" s="15"/>
      <c r="AE314" s="15"/>
      <c r="AF314" s="42"/>
      <c r="AG314" s="42"/>
      <c r="AH314" s="15"/>
      <c r="AI314" s="37" t="n">
        <v>58241</v>
      </c>
      <c r="AJ314" s="37" t="n">
        <v>388</v>
      </c>
      <c r="AK314" s="15" t="s">
        <v>315</v>
      </c>
      <c r="AL314" s="43" t="n">
        <v>91.7</v>
      </c>
      <c r="AM314" s="43" t="n">
        <v>105.8</v>
      </c>
      <c r="AN314" s="25" t="n">
        <f aca="false">IF(AND(ISNUMBER(AM314),ISNUMBER(AL314),AL314&gt;=5),AM314/AL314,"")</f>
        <v>1.15376226826609</v>
      </c>
      <c r="AO314" s="43" t="n">
        <v>6.5</v>
      </c>
      <c r="AP314" s="43" t="n">
        <v>19.8</v>
      </c>
      <c r="AQ314" s="25" t="n">
        <f aca="false">IF(AND(ISNUMBER(AP314),ISNUMBER(AO314),AO314&gt;=5),AP314/AO314,"")</f>
        <v>3.04615384615385</v>
      </c>
      <c r="AR314" s="43" t="n">
        <v>92</v>
      </c>
      <c r="AS314" s="43" t="n">
        <v>102</v>
      </c>
      <c r="AT314" s="22" t="n">
        <f aca="false">IF(AND(ISNUMBER(AS314),ISNUMBER(AR314),AR314&gt;0),AS314/AR314-1,"")</f>
        <v>0.108695652173913</v>
      </c>
      <c r="AU314" s="44"/>
      <c r="AV314" s="44"/>
      <c r="AW314" s="44"/>
      <c r="AX314" s="44"/>
      <c r="AY314" s="44"/>
      <c r="AZ314" s="45"/>
      <c r="BA314" s="45"/>
      <c r="BB314" s="46"/>
      <c r="BC314" s="46"/>
      <c r="BD314" s="23" t="str">
        <f aca="false">IF(AND(ISNUMBER(BB314),ISNUMBER(BC314),BB314&gt;0),1-BC314/BB314,"")</f>
        <v/>
      </c>
      <c r="BE314" s="47"/>
      <c r="BF314" s="48"/>
      <c r="BG314" s="48"/>
      <c r="BH314" s="27" t="str">
        <f aca="false">IF(AND(ISNUMBER(BF314),ISNUMBER(BG314),BG314&gt;0),BF314/BG314,"")</f>
        <v/>
      </c>
      <c r="BI314" s="48"/>
      <c r="BJ314" s="44"/>
      <c r="BK314" s="46"/>
      <c r="BL314" s="46"/>
      <c r="BM314" s="36" t="str">
        <f aca="false">IF(ISNUMBER(Q314),IF(Q314&lt;0,"YES","no"),"")</f>
        <v>YES</v>
      </c>
      <c r="BN314" s="36" t="str">
        <f aca="false">IFERROR(IF(AND(ISNUMBER(K314),ISNUMBER(INDEX('Lift Inputs'!$H:$H,MATCH(C314,'Lift Inputs'!$C:$C,0)))),IF(K314&lt;INDEX('Lift Inputs'!$H:$H,MATCH(C314,'Lift Inputs'!$C:$C,0)),"YES","no"),""),"")</f>
        <v/>
      </c>
      <c r="BO314" s="44"/>
    </row>
    <row r="315" customFormat="false" ht="15" hidden="false" customHeight="false" outlineLevel="0" collapsed="false">
      <c r="A315" s="15" t="s">
        <v>98</v>
      </c>
      <c r="B315" s="15" t="s">
        <v>99</v>
      </c>
      <c r="C315" s="15" t="n">
        <v>55</v>
      </c>
      <c r="D315" s="15" t="s">
        <v>216</v>
      </c>
      <c r="E315" s="15" t="n">
        <v>1747</v>
      </c>
      <c r="F315" s="15" t="s">
        <v>704</v>
      </c>
      <c r="G315" s="15" t="s">
        <v>705</v>
      </c>
      <c r="H315" s="15" t="s">
        <v>705</v>
      </c>
      <c r="I315" s="15" t="s">
        <v>685</v>
      </c>
      <c r="J315" s="15" t="s">
        <v>177</v>
      </c>
      <c r="K315" s="35" t="n">
        <v>49.9</v>
      </c>
      <c r="L315" s="35"/>
      <c r="M315" s="23" t="str">
        <f aca="false">IF(AND(ISNUMBER(L315),ISNUMBER(K315),K315&gt;0),L315/K315-1,"")</f>
        <v/>
      </c>
      <c r="N315" s="36" t="str">
        <f aca="false">IF(M315="","No List Price",IF(M315&lt;=0,"At/below price",IF(M315&lt;=0.12,"&lt;=12% (STR zone)",IF(M315&lt;=0.25,"12-25%","&gt;25% (likely ignored)"))))</f>
        <v>No List Price</v>
      </c>
      <c r="O315" s="15"/>
      <c r="P315" s="35" t="n">
        <v>49.9645454545455</v>
      </c>
      <c r="Q315" s="22" t="n">
        <f aca="false">IF(AND(ISNUMBER(K315),ISNUMBER(P315),N(P315)&gt;0),K315/P315-1,"")</f>
        <v>-0.00129182511235248</v>
      </c>
      <c r="R315" s="15" t="s">
        <v>353</v>
      </c>
      <c r="S315" s="37" t="n">
        <v>61645</v>
      </c>
      <c r="T315" s="37"/>
      <c r="U315" s="38" t="str">
        <f aca="false">IF(AND(ISNUMBER(K315),ISNUMBER(T315)),K315*T315*52/12,"")</f>
        <v/>
      </c>
      <c r="V315" s="15" t="n">
        <v>4.6</v>
      </c>
      <c r="W315" s="37" t="n">
        <v>2510</v>
      </c>
      <c r="X315" s="39" t="n">
        <v>46307</v>
      </c>
      <c r="Y315" s="15"/>
      <c r="Z315" s="40"/>
      <c r="AA315" s="41" t="str">
        <f aca="false">IF(ISNUMBER(Z315),(DATE(2026,10,13)-Z315)/365,"")</f>
        <v/>
      </c>
      <c r="AB315" s="37"/>
      <c r="AC315" s="15"/>
      <c r="AD315" s="15"/>
      <c r="AE315" s="15"/>
      <c r="AF315" s="42"/>
      <c r="AG315" s="42"/>
      <c r="AH315" s="15"/>
      <c r="AI315" s="37" t="n">
        <v>0</v>
      </c>
      <c r="AJ315" s="37" t="n">
        <v>83</v>
      </c>
      <c r="AK315" s="15"/>
      <c r="AL315" s="43"/>
      <c r="AM315" s="43"/>
      <c r="AN315" s="25" t="str">
        <f aca="false">IF(AND(ISNUMBER(AM315),ISNUMBER(AL315),AL315&gt;=5),AM315/AL315,"")</f>
        <v/>
      </c>
      <c r="AO315" s="43"/>
      <c r="AP315" s="43"/>
      <c r="AQ315" s="25" t="str">
        <f aca="false">IF(AND(ISNUMBER(AP315),ISNUMBER(AO315),AO315&gt;=5),AP315/AO315,"")</f>
        <v/>
      </c>
      <c r="AR315" s="43"/>
      <c r="AS315" s="43"/>
      <c r="AT315" s="22" t="str">
        <f aca="false">IF(AND(ISNUMBER(AS315),ISNUMBER(AR315),AR315&gt;0),AS315/AR315-1,"")</f>
        <v/>
      </c>
      <c r="AU315" s="44"/>
      <c r="AV315" s="44"/>
      <c r="AW315" s="44"/>
      <c r="AX315" s="44"/>
      <c r="AY315" s="44"/>
      <c r="AZ315" s="45"/>
      <c r="BA315" s="45"/>
      <c r="BB315" s="46"/>
      <c r="BC315" s="46"/>
      <c r="BD315" s="23" t="str">
        <f aca="false">IF(AND(ISNUMBER(BB315),ISNUMBER(BC315),BB315&gt;0),1-BC315/BB315,"")</f>
        <v/>
      </c>
      <c r="BE315" s="47"/>
      <c r="BF315" s="48"/>
      <c r="BG315" s="48"/>
      <c r="BH315" s="27" t="str">
        <f aca="false">IF(AND(ISNUMBER(BF315),ISNUMBER(BG315),BG315&gt;0),BF315/BG315,"")</f>
        <v/>
      </c>
      <c r="BI315" s="48"/>
      <c r="BJ315" s="44"/>
      <c r="BK315" s="46"/>
      <c r="BL315" s="46"/>
      <c r="BM315" s="36" t="str">
        <f aca="false">IF(ISNUMBER(Q315),IF(Q315&lt;0,"YES","no"),"")</f>
        <v>YES</v>
      </c>
      <c r="BN315" s="36" t="str">
        <f aca="false">IFERROR(IF(AND(ISNUMBER(K315),ISNUMBER(INDEX('Lift Inputs'!$H:$H,MATCH(C315,'Lift Inputs'!$C:$C,0)))),IF(K315&lt;INDEX('Lift Inputs'!$H:$H,MATCH(C315,'Lift Inputs'!$C:$C,0)),"YES","no"),""),"")</f>
        <v/>
      </c>
      <c r="BO315" s="44"/>
    </row>
    <row r="316" customFormat="false" ht="15" hidden="false" customHeight="false" outlineLevel="0" collapsed="false">
      <c r="A316" s="15" t="s">
        <v>98</v>
      </c>
      <c r="B316" s="15" t="s">
        <v>99</v>
      </c>
      <c r="C316" s="15" t="n">
        <v>55</v>
      </c>
      <c r="D316" s="15" t="s">
        <v>216</v>
      </c>
      <c r="E316" s="15" t="n">
        <v>1752</v>
      </c>
      <c r="F316" s="15" t="s">
        <v>706</v>
      </c>
      <c r="G316" s="15" t="s">
        <v>707</v>
      </c>
      <c r="H316" s="15" t="s">
        <v>708</v>
      </c>
      <c r="I316" s="15" t="s">
        <v>685</v>
      </c>
      <c r="J316" s="15" t="s">
        <v>178</v>
      </c>
      <c r="K316" s="35" t="n">
        <v>74</v>
      </c>
      <c r="L316" s="35"/>
      <c r="M316" s="23" t="str">
        <f aca="false">IF(AND(ISNUMBER(L316),ISNUMBER(K316),K316&gt;0),L316/K316-1,"")</f>
        <v/>
      </c>
      <c r="N316" s="36" t="str">
        <f aca="false">IF(M316="","No List Price",IF(M316&lt;=0,"At/below price",IF(M316&lt;=0.12,"&lt;=12% (STR zone)",IF(M316&lt;=0.25,"12-25%","&gt;25% (likely ignored)"))))</f>
        <v>No List Price</v>
      </c>
      <c r="O316" s="15"/>
      <c r="P316" s="35" t="n">
        <v>49.9645454545455</v>
      </c>
      <c r="Q316" s="22" t="n">
        <f aca="false">IF(AND(ISNUMBER(K316),ISNUMBER(P316),N(P316)&gt;0),K316/P316-1,"")</f>
        <v>0.481050199232183</v>
      </c>
      <c r="R316" s="15" t="s">
        <v>353</v>
      </c>
      <c r="S316" s="37" t="n">
        <v>350123</v>
      </c>
      <c r="T316" s="37" t="n">
        <v>5</v>
      </c>
      <c r="U316" s="38" t="n">
        <f aca="false">IF(AND(ISNUMBER(K316),ISNUMBER(T316)),K316*T316*52/12,"")</f>
        <v>1603.33333333333</v>
      </c>
      <c r="V316" s="15" t="n">
        <v>4.4</v>
      </c>
      <c r="W316" s="37" t="n">
        <v>147</v>
      </c>
      <c r="X316" s="39" t="n">
        <v>46307</v>
      </c>
      <c r="Y316" s="15"/>
      <c r="Z316" s="40"/>
      <c r="AA316" s="41" t="str">
        <f aca="false">IF(ISNUMBER(Z316),(DATE(2026,10,13)-Z316)/365,"")</f>
        <v/>
      </c>
      <c r="AB316" s="37"/>
      <c r="AC316" s="15"/>
      <c r="AD316" s="15"/>
      <c r="AE316" s="15"/>
      <c r="AF316" s="42"/>
      <c r="AG316" s="42"/>
      <c r="AH316" s="15"/>
      <c r="AI316" s="37"/>
      <c r="AJ316" s="37"/>
      <c r="AK316" s="15"/>
      <c r="AL316" s="43"/>
      <c r="AM316" s="43"/>
      <c r="AN316" s="25" t="str">
        <f aca="false">IF(AND(ISNUMBER(AM316),ISNUMBER(AL316),AL316&gt;=5),AM316/AL316,"")</f>
        <v/>
      </c>
      <c r="AO316" s="43"/>
      <c r="AP316" s="43"/>
      <c r="AQ316" s="25" t="str">
        <f aca="false">IF(AND(ISNUMBER(AP316),ISNUMBER(AO316),AO316&gt;=5),AP316/AO316,"")</f>
        <v/>
      </c>
      <c r="AR316" s="43"/>
      <c r="AS316" s="43"/>
      <c r="AT316" s="22" t="str">
        <f aca="false">IF(AND(ISNUMBER(AS316),ISNUMBER(AR316),AR316&gt;0),AS316/AR316-1,"")</f>
        <v/>
      </c>
      <c r="AU316" s="44"/>
      <c r="AV316" s="44"/>
      <c r="AW316" s="44"/>
      <c r="AX316" s="44"/>
      <c r="AY316" s="44"/>
      <c r="AZ316" s="45"/>
      <c r="BA316" s="45"/>
      <c r="BB316" s="46"/>
      <c r="BC316" s="46"/>
      <c r="BD316" s="23" t="str">
        <f aca="false">IF(AND(ISNUMBER(BB316),ISNUMBER(BC316),BB316&gt;0),1-BC316/BB316,"")</f>
        <v/>
      </c>
      <c r="BE316" s="47"/>
      <c r="BF316" s="48"/>
      <c r="BG316" s="48"/>
      <c r="BH316" s="27" t="str">
        <f aca="false">IF(AND(ISNUMBER(BF316),ISNUMBER(BG316),BG316&gt;0),BF316/BG316,"")</f>
        <v/>
      </c>
      <c r="BI316" s="48"/>
      <c r="BJ316" s="44"/>
      <c r="BK316" s="46"/>
      <c r="BL316" s="46"/>
      <c r="BM316" s="36" t="str">
        <f aca="false">IF(ISNUMBER(Q316),IF(Q316&lt;0,"YES","no"),"")</f>
        <v>no</v>
      </c>
      <c r="BN316" s="36" t="str">
        <f aca="false">IFERROR(IF(AND(ISNUMBER(K316),ISNUMBER(INDEX('Lift Inputs'!$H:$H,MATCH(C316,'Lift Inputs'!$C:$C,0)))),IF(K316&lt;INDEX('Lift Inputs'!$H:$H,MATCH(C316,'Lift Inputs'!$C:$C,0)),"YES","no"),""),"")</f>
        <v/>
      </c>
      <c r="BO316" s="44"/>
    </row>
    <row r="317" customFormat="false" ht="15" hidden="false" customHeight="false" outlineLevel="0" collapsed="false">
      <c r="A317" s="15" t="s">
        <v>98</v>
      </c>
      <c r="B317" s="15" t="s">
        <v>99</v>
      </c>
      <c r="C317" s="15" t="n">
        <v>55</v>
      </c>
      <c r="D317" s="15" t="s">
        <v>216</v>
      </c>
      <c r="E317" s="15" t="n">
        <v>1735</v>
      </c>
      <c r="F317" s="15" t="s">
        <v>709</v>
      </c>
      <c r="G317" s="15" t="s">
        <v>710</v>
      </c>
      <c r="H317" s="15" t="s">
        <v>711</v>
      </c>
      <c r="I317" s="15" t="s">
        <v>712</v>
      </c>
      <c r="J317" s="15"/>
      <c r="K317" s="35" t="n">
        <v>19.99</v>
      </c>
      <c r="L317" s="35"/>
      <c r="M317" s="23" t="str">
        <f aca="false">IF(AND(ISNUMBER(L317),ISNUMBER(K317),K317&gt;0),L317/K317-1,"")</f>
        <v/>
      </c>
      <c r="N317" s="36" t="str">
        <f aca="false">IF(M317="","No List Price",IF(M317&lt;=0,"At/below price",IF(M317&lt;=0.12,"&lt;=12% (STR zone)",IF(M317&lt;=0.25,"12-25%","&gt;25% (likely ignored)"))))</f>
        <v>No List Price</v>
      </c>
      <c r="O317" s="15"/>
      <c r="P317" s="35" t="n">
        <v>49.9645454545455</v>
      </c>
      <c r="Q317" s="22" t="n">
        <f aca="false">IF(AND(ISNUMBER(K317),ISNUMBER(P317),N(P317)&gt;0),K317/P317-1,"")</f>
        <v>-0.599916304288496</v>
      </c>
      <c r="R317" s="15" t="s">
        <v>353</v>
      </c>
      <c r="S317" s="37" t="n">
        <v>357</v>
      </c>
      <c r="T317" s="37" t="n">
        <v>1732</v>
      </c>
      <c r="U317" s="38" t="n">
        <f aca="false">IF(AND(ISNUMBER(K317),ISNUMBER(T317)),K317*T317*52/12,"")</f>
        <v>150031.613333333</v>
      </c>
      <c r="V317" s="15" t="n">
        <v>4.6</v>
      </c>
      <c r="W317" s="37" t="n">
        <v>3189</v>
      </c>
      <c r="X317" s="39" t="n">
        <v>46307</v>
      </c>
      <c r="Y317" s="15"/>
      <c r="Z317" s="40"/>
      <c r="AA317" s="41" t="str">
        <f aca="false">IF(ISNUMBER(Z317),(DATE(2026,10,13)-Z317)/365,"")</f>
        <v/>
      </c>
      <c r="AB317" s="37"/>
      <c r="AC317" s="15"/>
      <c r="AD317" s="15"/>
      <c r="AE317" s="15"/>
      <c r="AF317" s="42"/>
      <c r="AG317" s="42"/>
      <c r="AH317" s="15"/>
      <c r="AI317" s="37"/>
      <c r="AJ317" s="37"/>
      <c r="AK317" s="15"/>
      <c r="AL317" s="43"/>
      <c r="AM317" s="43"/>
      <c r="AN317" s="25" t="str">
        <f aca="false">IF(AND(ISNUMBER(AM317),ISNUMBER(AL317),AL317&gt;=5),AM317/AL317,"")</f>
        <v/>
      </c>
      <c r="AO317" s="43"/>
      <c r="AP317" s="43"/>
      <c r="AQ317" s="25" t="str">
        <f aca="false">IF(AND(ISNUMBER(AP317),ISNUMBER(AO317),AO317&gt;=5),AP317/AO317,"")</f>
        <v/>
      </c>
      <c r="AR317" s="43"/>
      <c r="AS317" s="43"/>
      <c r="AT317" s="22" t="str">
        <f aca="false">IF(AND(ISNUMBER(AS317),ISNUMBER(AR317),AR317&gt;0),AS317/AR317-1,"")</f>
        <v/>
      </c>
      <c r="AU317" s="44"/>
      <c r="AV317" s="44"/>
      <c r="AW317" s="44"/>
      <c r="AX317" s="44"/>
      <c r="AY317" s="44"/>
      <c r="AZ317" s="45"/>
      <c r="BA317" s="45"/>
      <c r="BB317" s="46"/>
      <c r="BC317" s="46"/>
      <c r="BD317" s="23" t="str">
        <f aca="false">IF(AND(ISNUMBER(BB317),ISNUMBER(BC317),BB317&gt;0),1-BC317/BB317,"")</f>
        <v/>
      </c>
      <c r="BE317" s="47"/>
      <c r="BF317" s="48"/>
      <c r="BG317" s="48"/>
      <c r="BH317" s="27" t="str">
        <f aca="false">IF(AND(ISNUMBER(BF317),ISNUMBER(BG317),BG317&gt;0),BF317/BG317,"")</f>
        <v/>
      </c>
      <c r="BI317" s="48"/>
      <c r="BJ317" s="44"/>
      <c r="BK317" s="46"/>
      <c r="BL317" s="46"/>
      <c r="BM317" s="36" t="str">
        <f aca="false">IF(ISNUMBER(Q317),IF(Q317&lt;0,"YES","no"),"")</f>
        <v>YES</v>
      </c>
      <c r="BN317" s="36" t="str">
        <f aca="false">IFERROR(IF(AND(ISNUMBER(K317),ISNUMBER(INDEX('Lift Inputs'!$H:$H,MATCH(C317,'Lift Inputs'!$C:$C,0)))),IF(K317&lt;INDEX('Lift Inputs'!$H:$H,MATCH(C317,'Lift Inputs'!$C:$C,0)),"YES","no"),""),"")</f>
        <v/>
      </c>
      <c r="BO317" s="44"/>
    </row>
    <row r="318" customFormat="false" ht="15" hidden="false" customHeight="false" outlineLevel="0" collapsed="false">
      <c r="A318" s="15" t="s">
        <v>98</v>
      </c>
      <c r="B318" s="15" t="s">
        <v>99</v>
      </c>
      <c r="C318" s="15" t="n">
        <v>55</v>
      </c>
      <c r="D318" s="15" t="s">
        <v>216</v>
      </c>
      <c r="E318" s="15" t="n">
        <v>555</v>
      </c>
      <c r="F318" s="15" t="s">
        <v>674</v>
      </c>
      <c r="G318" s="15" t="s">
        <v>713</v>
      </c>
      <c r="H318" s="15" t="s">
        <v>714</v>
      </c>
      <c r="I318" s="15" t="s">
        <v>715</v>
      </c>
      <c r="J318" s="15"/>
      <c r="K318" s="35" t="n">
        <v>7.99</v>
      </c>
      <c r="L318" s="35"/>
      <c r="M318" s="23" t="str">
        <f aca="false">IF(AND(ISNUMBER(L318),ISNUMBER(K318),K318&gt;0),L318/K318-1,"")</f>
        <v/>
      </c>
      <c r="N318" s="36" t="str">
        <f aca="false">IF(M318="","No List Price",IF(M318&lt;=0,"At/below price",IF(M318&lt;=0.12,"&lt;=12% (STR zone)",IF(M318&lt;=0.25,"12-25%","&gt;25% (likely ignored)"))))</f>
        <v>No List Price</v>
      </c>
      <c r="O318" s="15" t="s">
        <v>716</v>
      </c>
      <c r="P318" s="35" t="n">
        <v>45.8962857142857</v>
      </c>
      <c r="Q318" s="22" t="n">
        <f aca="false">IF(AND(ISNUMBER(K318),ISNUMBER(P318),N(P318)&gt;0),K318/P318-1,"")</f>
        <v>-0.825911838493</v>
      </c>
      <c r="R318" s="15" t="s">
        <v>717</v>
      </c>
      <c r="S318" s="37" t="n">
        <v>429</v>
      </c>
      <c r="T318" s="37" t="n">
        <v>1732</v>
      </c>
      <c r="U318" s="38" t="n">
        <f aca="false">IF(AND(ISNUMBER(K318),ISNUMBER(T318)),K318*T318*52/12,"")</f>
        <v>59967.6133333333</v>
      </c>
      <c r="V318" s="15" t="n">
        <v>4.5</v>
      </c>
      <c r="W318" s="37" t="n">
        <v>6271</v>
      </c>
      <c r="X318" s="39" t="n">
        <v>46307</v>
      </c>
      <c r="Y318" s="15" t="n">
        <v>187</v>
      </c>
      <c r="Z318" s="40" t="n">
        <v>45163</v>
      </c>
      <c r="AA318" s="41" t="n">
        <f aca="false">IF(ISNUMBER(Z318),(DATE(2026,10,13)-Z318)/365,"")</f>
        <v>3.13698630136986</v>
      </c>
      <c r="AB318" s="37" t="n">
        <v>15451</v>
      </c>
      <c r="AC318" s="15" t="s">
        <v>313</v>
      </c>
      <c r="AD318" s="15" t="n">
        <v>1</v>
      </c>
      <c r="AE318" s="15" t="s">
        <v>331</v>
      </c>
      <c r="AF318" s="42" t="n">
        <v>0.002</v>
      </c>
      <c r="AG318" s="42" t="n">
        <v>0</v>
      </c>
      <c r="AH318" s="15" t="n">
        <v>389</v>
      </c>
      <c r="AI318" s="37"/>
      <c r="AJ318" s="37"/>
      <c r="AK318" s="15"/>
      <c r="AL318" s="43"/>
      <c r="AM318" s="43"/>
      <c r="AN318" s="25" t="str">
        <f aca="false">IF(AND(ISNUMBER(AM318),ISNUMBER(AL318),AL318&gt;=5),AM318/AL318,"")</f>
        <v/>
      </c>
      <c r="AO318" s="43"/>
      <c r="AP318" s="43"/>
      <c r="AQ318" s="25" t="str">
        <f aca="false">IF(AND(ISNUMBER(AP318),ISNUMBER(AO318),AO318&gt;=5),AP318/AO318,"")</f>
        <v/>
      </c>
      <c r="AR318" s="43"/>
      <c r="AS318" s="43"/>
      <c r="AT318" s="22" t="str">
        <f aca="false">IF(AND(ISNUMBER(AS318),ISNUMBER(AR318),AR318&gt;0),AS318/AR318-1,"")</f>
        <v/>
      </c>
      <c r="AU318" s="44"/>
      <c r="AV318" s="44"/>
      <c r="AW318" s="44"/>
      <c r="AX318" s="44"/>
      <c r="AY318" s="44"/>
      <c r="AZ318" s="45"/>
      <c r="BA318" s="45"/>
      <c r="BB318" s="46"/>
      <c r="BC318" s="46"/>
      <c r="BD318" s="23" t="str">
        <f aca="false">IF(AND(ISNUMBER(BB318),ISNUMBER(BC318),BB318&gt;0),1-BC318/BB318,"")</f>
        <v/>
      </c>
      <c r="BE318" s="47"/>
      <c r="BF318" s="48"/>
      <c r="BG318" s="48"/>
      <c r="BH318" s="27" t="str">
        <f aca="false">IF(AND(ISNUMBER(BF318),ISNUMBER(BG318),BG318&gt;0),BF318/BG318,"")</f>
        <v/>
      </c>
      <c r="BI318" s="48"/>
      <c r="BJ318" s="44"/>
      <c r="BK318" s="46"/>
      <c r="BL318" s="46"/>
      <c r="BM318" s="36" t="str">
        <f aca="false">IF(ISNUMBER(Q318),IF(Q318&lt;0,"YES","no"),"")</f>
        <v>YES</v>
      </c>
      <c r="BN318" s="36" t="str">
        <f aca="false">IFERROR(IF(AND(ISNUMBER(K318),ISNUMBER(INDEX('Lift Inputs'!$H:$H,MATCH(C318,'Lift Inputs'!$C:$C,0)))),IF(K318&lt;INDEX('Lift Inputs'!$H:$H,MATCH(C318,'Lift Inputs'!$C:$C,0)),"YES","no"),""),"")</f>
        <v/>
      </c>
      <c r="BO318" s="44"/>
    </row>
    <row r="319" customFormat="false" ht="15" hidden="false" customHeight="false" outlineLevel="0" collapsed="false">
      <c r="A319" s="15" t="s">
        <v>98</v>
      </c>
      <c r="B319" s="15" t="s">
        <v>99</v>
      </c>
      <c r="C319" s="15" t="n">
        <v>55</v>
      </c>
      <c r="D319" s="15" t="s">
        <v>216</v>
      </c>
      <c r="E319" s="15" t="n">
        <v>486</v>
      </c>
      <c r="F319" s="15" t="s">
        <v>718</v>
      </c>
      <c r="G319" s="15" t="s">
        <v>719</v>
      </c>
      <c r="H319" s="15" t="s">
        <v>720</v>
      </c>
      <c r="I319" s="15" t="s">
        <v>685</v>
      </c>
      <c r="J319" s="15"/>
      <c r="K319" s="35" t="n">
        <v>11.95</v>
      </c>
      <c r="L319" s="35"/>
      <c r="M319" s="23" t="str">
        <f aca="false">IF(AND(ISNUMBER(L319),ISNUMBER(K319),K319&gt;0),L319/K319-1,"")</f>
        <v/>
      </c>
      <c r="N319" s="36" t="str">
        <f aca="false">IF(M319="","No List Price",IF(M319&lt;=0,"At/below price",IF(M319&lt;=0.12,"&lt;=12% (STR zone)",IF(M319&lt;=0.25,"12-25%","&gt;25% (likely ignored)"))))</f>
        <v>No List Price</v>
      </c>
      <c r="O319" s="15"/>
      <c r="P319" s="35" t="n">
        <v>49.9645454545455</v>
      </c>
      <c r="Q319" s="22" t="n">
        <f aca="false">IF(AND(ISNUMBER(K319),ISNUMBER(P319),N(P319)&gt;0),K319/P319-1,"")</f>
        <v>-0.760830407015884</v>
      </c>
      <c r="R319" s="15" t="s">
        <v>353</v>
      </c>
      <c r="S319" s="37" t="n">
        <v>198</v>
      </c>
      <c r="T319" s="37" t="n">
        <v>1040</v>
      </c>
      <c r="U319" s="38" t="n">
        <f aca="false">IF(AND(ISNUMBER(K319),ISNUMBER(T319)),K319*T319*52/12,"")</f>
        <v>53854.6666666667</v>
      </c>
      <c r="V319" s="15" t="n">
        <v>4.5</v>
      </c>
      <c r="W319" s="37" t="n">
        <v>21803</v>
      </c>
      <c r="X319" s="39" t="n">
        <v>46307</v>
      </c>
      <c r="Y319" s="15"/>
      <c r="Z319" s="40"/>
      <c r="AA319" s="41" t="str">
        <f aca="false">IF(ISNUMBER(Z319),(DATE(2026,10,13)-Z319)/365,"")</f>
        <v/>
      </c>
      <c r="AB319" s="37"/>
      <c r="AC319" s="15"/>
      <c r="AD319" s="15"/>
      <c r="AE319" s="15"/>
      <c r="AF319" s="42"/>
      <c r="AG319" s="42"/>
      <c r="AH319" s="15"/>
      <c r="AI319" s="37"/>
      <c r="AJ319" s="37"/>
      <c r="AK319" s="15"/>
      <c r="AL319" s="43"/>
      <c r="AM319" s="43"/>
      <c r="AN319" s="25" t="str">
        <f aca="false">IF(AND(ISNUMBER(AM319),ISNUMBER(AL319),AL319&gt;=5),AM319/AL319,"")</f>
        <v/>
      </c>
      <c r="AO319" s="43"/>
      <c r="AP319" s="43"/>
      <c r="AQ319" s="25" t="str">
        <f aca="false">IF(AND(ISNUMBER(AP319),ISNUMBER(AO319),AO319&gt;=5),AP319/AO319,"")</f>
        <v/>
      </c>
      <c r="AR319" s="43"/>
      <c r="AS319" s="43"/>
      <c r="AT319" s="22" t="str">
        <f aca="false">IF(AND(ISNUMBER(AS319),ISNUMBER(AR319),AR319&gt;0),AS319/AR319-1,"")</f>
        <v/>
      </c>
      <c r="AU319" s="44"/>
      <c r="AV319" s="44"/>
      <c r="AW319" s="44"/>
      <c r="AX319" s="44"/>
      <c r="AY319" s="44"/>
      <c r="AZ319" s="45"/>
      <c r="BA319" s="45"/>
      <c r="BB319" s="46"/>
      <c r="BC319" s="46"/>
      <c r="BD319" s="23" t="str">
        <f aca="false">IF(AND(ISNUMBER(BB319),ISNUMBER(BC319),BB319&gt;0),1-BC319/BB319,"")</f>
        <v/>
      </c>
      <c r="BE319" s="47"/>
      <c r="BF319" s="48"/>
      <c r="BG319" s="48"/>
      <c r="BH319" s="27" t="str">
        <f aca="false">IF(AND(ISNUMBER(BF319),ISNUMBER(BG319),BG319&gt;0),BF319/BG319,"")</f>
        <v/>
      </c>
      <c r="BI319" s="48"/>
      <c r="BJ319" s="44"/>
      <c r="BK319" s="46"/>
      <c r="BL319" s="46"/>
      <c r="BM319" s="36" t="str">
        <f aca="false">IF(ISNUMBER(Q319),IF(Q319&lt;0,"YES","no"),"")</f>
        <v>YES</v>
      </c>
      <c r="BN319" s="36" t="str">
        <f aca="false">IFERROR(IF(AND(ISNUMBER(K319),ISNUMBER(INDEX('Lift Inputs'!$H:$H,MATCH(C319,'Lift Inputs'!$C:$C,0)))),IF(K319&lt;INDEX('Lift Inputs'!$H:$H,MATCH(C319,'Lift Inputs'!$C:$C,0)),"YES","no"),""),"")</f>
        <v/>
      </c>
      <c r="BO319" s="44"/>
    </row>
    <row r="320" customFormat="false" ht="15" hidden="false" customHeight="false" outlineLevel="0" collapsed="false">
      <c r="A320" s="15" t="s">
        <v>98</v>
      </c>
      <c r="B320" s="15" t="s">
        <v>99</v>
      </c>
      <c r="C320" s="15" t="n">
        <v>55</v>
      </c>
      <c r="D320" s="15" t="s">
        <v>216</v>
      </c>
      <c r="E320" s="15" t="n">
        <v>552</v>
      </c>
      <c r="F320" s="15" t="s">
        <v>721</v>
      </c>
      <c r="G320" s="15" t="s">
        <v>722</v>
      </c>
      <c r="H320" s="15" t="s">
        <v>723</v>
      </c>
      <c r="I320" s="15" t="s">
        <v>724</v>
      </c>
      <c r="J320" s="15"/>
      <c r="K320" s="35" t="n">
        <v>11.99</v>
      </c>
      <c r="L320" s="35"/>
      <c r="M320" s="23" t="str">
        <f aca="false">IF(AND(ISNUMBER(L320),ISNUMBER(K320),K320&gt;0),L320/K320-1,"")</f>
        <v/>
      </c>
      <c r="N320" s="36" t="str">
        <f aca="false">IF(M320="","No List Price",IF(M320&lt;=0,"At/below price",IF(M320&lt;=0.12,"&lt;=12% (STR zone)",IF(M320&lt;=0.25,"12-25%","&gt;25% (likely ignored)"))))</f>
        <v>No List Price</v>
      </c>
      <c r="O320" s="15" t="s">
        <v>716</v>
      </c>
      <c r="P320" s="35" t="n">
        <v>45.8962857142857</v>
      </c>
      <c r="Q320" s="22" t="n">
        <f aca="false">IF(AND(ISNUMBER(K320),ISNUMBER(P320),N(P320)&gt;0),K320/P320-1,"")</f>
        <v>-0.738758816461961</v>
      </c>
      <c r="R320" s="15" t="s">
        <v>717</v>
      </c>
      <c r="S320" s="37" t="n">
        <v>499</v>
      </c>
      <c r="T320" s="37" t="n">
        <v>924</v>
      </c>
      <c r="U320" s="38" t="n">
        <f aca="false">IF(AND(ISNUMBER(K320),ISNUMBER(T320)),K320*T320*52/12,"")</f>
        <v>48007.96</v>
      </c>
      <c r="V320" s="15" t="n">
        <v>4.5</v>
      </c>
      <c r="W320" s="37" t="n">
        <v>41661</v>
      </c>
      <c r="X320" s="39" t="n">
        <v>46307</v>
      </c>
      <c r="Y320" s="15" t="n">
        <v>143</v>
      </c>
      <c r="Z320" s="40" t="n">
        <v>44409</v>
      </c>
      <c r="AA320" s="41" t="n">
        <f aca="false">IF(ISNUMBER(Z320),(DATE(2026,10,13)-Z320)/365,"")</f>
        <v>5.2027397260274</v>
      </c>
      <c r="AB320" s="37" t="n">
        <v>26537</v>
      </c>
      <c r="AC320" s="15" t="s">
        <v>313</v>
      </c>
      <c r="AD320" s="15" t="n">
        <v>1</v>
      </c>
      <c r="AE320" s="15" t="s">
        <v>331</v>
      </c>
      <c r="AF320" s="42" t="n">
        <v>0</v>
      </c>
      <c r="AG320" s="42" t="n">
        <v>0</v>
      </c>
      <c r="AH320" s="15" t="n">
        <v>500</v>
      </c>
      <c r="AI320" s="37"/>
      <c r="AJ320" s="37"/>
      <c r="AK320" s="15"/>
      <c r="AL320" s="43"/>
      <c r="AM320" s="43"/>
      <c r="AN320" s="25" t="str">
        <f aca="false">IF(AND(ISNUMBER(AM320),ISNUMBER(AL320),AL320&gt;=5),AM320/AL320,"")</f>
        <v/>
      </c>
      <c r="AO320" s="43"/>
      <c r="AP320" s="43"/>
      <c r="AQ320" s="25" t="str">
        <f aca="false">IF(AND(ISNUMBER(AP320),ISNUMBER(AO320),AO320&gt;=5),AP320/AO320,"")</f>
        <v/>
      </c>
      <c r="AR320" s="43"/>
      <c r="AS320" s="43"/>
      <c r="AT320" s="22" t="str">
        <f aca="false">IF(AND(ISNUMBER(AS320),ISNUMBER(AR320),AR320&gt;0),AS320/AR320-1,"")</f>
        <v/>
      </c>
      <c r="AU320" s="44"/>
      <c r="AV320" s="44"/>
      <c r="AW320" s="44"/>
      <c r="AX320" s="44"/>
      <c r="AY320" s="44"/>
      <c r="AZ320" s="45"/>
      <c r="BA320" s="45"/>
      <c r="BB320" s="46"/>
      <c r="BC320" s="46"/>
      <c r="BD320" s="23" t="str">
        <f aca="false">IF(AND(ISNUMBER(BB320),ISNUMBER(BC320),BB320&gt;0),1-BC320/BB320,"")</f>
        <v/>
      </c>
      <c r="BE320" s="47"/>
      <c r="BF320" s="48"/>
      <c r="BG320" s="48"/>
      <c r="BH320" s="27" t="str">
        <f aca="false">IF(AND(ISNUMBER(BF320),ISNUMBER(BG320),BG320&gt;0),BF320/BG320,"")</f>
        <v/>
      </c>
      <c r="BI320" s="48"/>
      <c r="BJ320" s="44"/>
      <c r="BK320" s="46"/>
      <c r="BL320" s="46"/>
      <c r="BM320" s="36" t="str">
        <f aca="false">IF(ISNUMBER(Q320),IF(Q320&lt;0,"YES","no"),"")</f>
        <v>YES</v>
      </c>
      <c r="BN320" s="36" t="str">
        <f aca="false">IFERROR(IF(AND(ISNUMBER(K320),ISNUMBER(INDEX('Lift Inputs'!$H:$H,MATCH(C320,'Lift Inputs'!$C:$C,0)))),IF(K320&lt;INDEX('Lift Inputs'!$H:$H,MATCH(C320,'Lift Inputs'!$C:$C,0)),"YES","no"),""),"")</f>
        <v/>
      </c>
      <c r="BO320" s="44"/>
    </row>
    <row r="321" customFormat="false" ht="15" hidden="false" customHeight="false" outlineLevel="0" collapsed="false">
      <c r="A321" s="15" t="s">
        <v>98</v>
      </c>
      <c r="B321" s="15" t="s">
        <v>99</v>
      </c>
      <c r="C321" s="15" t="n">
        <v>55</v>
      </c>
      <c r="D321" s="15" t="s">
        <v>216</v>
      </c>
      <c r="E321" s="15" t="n">
        <v>1236</v>
      </c>
      <c r="F321" s="15" t="s">
        <v>725</v>
      </c>
      <c r="G321" s="15" t="s">
        <v>726</v>
      </c>
      <c r="H321" s="15" t="s">
        <v>727</v>
      </c>
      <c r="I321" s="15" t="s">
        <v>685</v>
      </c>
      <c r="J321" s="15"/>
      <c r="K321" s="35" t="n">
        <v>12.99</v>
      </c>
      <c r="L321" s="35"/>
      <c r="M321" s="23" t="str">
        <f aca="false">IF(AND(ISNUMBER(L321),ISNUMBER(K321),K321&gt;0),L321/K321-1,"")</f>
        <v/>
      </c>
      <c r="N321" s="36" t="str">
        <f aca="false">IF(M321="","No List Price",IF(M321&lt;=0,"At/below price",IF(M321&lt;=0.12,"&lt;=12% (STR zone)",IF(M321&lt;=0.25,"12-25%","&gt;25% (likely ignored)"))))</f>
        <v>No List Price</v>
      </c>
      <c r="O321" s="15"/>
      <c r="P321" s="35" t="n">
        <v>49.9645454545455</v>
      </c>
      <c r="Q321" s="22" t="n">
        <f aca="false">IF(AND(ISNUMBER(K321),ISNUMBER(P321),N(P321)&gt;0),K321/P321-1,"")</f>
        <v>-0.740015647459107</v>
      </c>
      <c r="R321" s="15" t="s">
        <v>353</v>
      </c>
      <c r="S321" s="37" t="n">
        <v>2452</v>
      </c>
      <c r="T321" s="37" t="n">
        <v>220</v>
      </c>
      <c r="U321" s="38" t="n">
        <f aca="false">IF(AND(ISNUMBER(K321),ISNUMBER(T321)),K321*T321*52/12,"")</f>
        <v>12383.8</v>
      </c>
      <c r="V321" s="15" t="n">
        <v>4.6</v>
      </c>
      <c r="W321" s="37" t="n">
        <v>55029</v>
      </c>
      <c r="X321" s="39" t="n">
        <v>46307</v>
      </c>
      <c r="Y321" s="15"/>
      <c r="Z321" s="40"/>
      <c r="AA321" s="41" t="str">
        <f aca="false">IF(ISNUMBER(Z321),(DATE(2026,10,13)-Z321)/365,"")</f>
        <v/>
      </c>
      <c r="AB321" s="37"/>
      <c r="AC321" s="15"/>
      <c r="AD321" s="15"/>
      <c r="AE321" s="15"/>
      <c r="AF321" s="42"/>
      <c r="AG321" s="42"/>
      <c r="AH321" s="15"/>
      <c r="AI321" s="37"/>
      <c r="AJ321" s="37"/>
      <c r="AK321" s="15"/>
      <c r="AL321" s="43"/>
      <c r="AM321" s="43"/>
      <c r="AN321" s="25" t="str">
        <f aca="false">IF(AND(ISNUMBER(AM321),ISNUMBER(AL321),AL321&gt;=5),AM321/AL321,"")</f>
        <v/>
      </c>
      <c r="AO321" s="43"/>
      <c r="AP321" s="43"/>
      <c r="AQ321" s="25" t="str">
        <f aca="false">IF(AND(ISNUMBER(AP321),ISNUMBER(AO321),AO321&gt;=5),AP321/AO321,"")</f>
        <v/>
      </c>
      <c r="AR321" s="43"/>
      <c r="AS321" s="43"/>
      <c r="AT321" s="22" t="str">
        <f aca="false">IF(AND(ISNUMBER(AS321),ISNUMBER(AR321),AR321&gt;0),AS321/AR321-1,"")</f>
        <v/>
      </c>
      <c r="AU321" s="44"/>
      <c r="AV321" s="44"/>
      <c r="AW321" s="44"/>
      <c r="AX321" s="44"/>
      <c r="AY321" s="44"/>
      <c r="AZ321" s="45"/>
      <c r="BA321" s="45"/>
      <c r="BB321" s="46"/>
      <c r="BC321" s="46"/>
      <c r="BD321" s="23" t="str">
        <f aca="false">IF(AND(ISNUMBER(BB321),ISNUMBER(BC321),BB321&gt;0),1-BC321/BB321,"")</f>
        <v/>
      </c>
      <c r="BE321" s="47"/>
      <c r="BF321" s="48"/>
      <c r="BG321" s="48"/>
      <c r="BH321" s="27" t="str">
        <f aca="false">IF(AND(ISNUMBER(BF321),ISNUMBER(BG321),BG321&gt;0),BF321/BG321,"")</f>
        <v/>
      </c>
      <c r="BI321" s="48"/>
      <c r="BJ321" s="44"/>
      <c r="BK321" s="46"/>
      <c r="BL321" s="46"/>
      <c r="BM321" s="36" t="str">
        <f aca="false">IF(ISNUMBER(Q321),IF(Q321&lt;0,"YES","no"),"")</f>
        <v>YES</v>
      </c>
      <c r="BN321" s="36" t="str">
        <f aca="false">IFERROR(IF(AND(ISNUMBER(K321),ISNUMBER(INDEX('Lift Inputs'!$H:$H,MATCH(C321,'Lift Inputs'!$C:$C,0)))),IF(K321&lt;INDEX('Lift Inputs'!$H:$H,MATCH(C321,'Lift Inputs'!$C:$C,0)),"YES","no"),""),"")</f>
        <v/>
      </c>
      <c r="BO321" s="44"/>
    </row>
    <row r="322" customFormat="false" ht="15" hidden="false" customHeight="false" outlineLevel="0" collapsed="false">
      <c r="A322" s="15" t="s">
        <v>98</v>
      </c>
      <c r="B322" s="15" t="s">
        <v>99</v>
      </c>
      <c r="C322" s="15" t="n">
        <v>55</v>
      </c>
      <c r="D322" s="15" t="s">
        <v>216</v>
      </c>
      <c r="E322" s="15" t="n">
        <v>1753</v>
      </c>
      <c r="F322" s="15" t="s">
        <v>728</v>
      </c>
      <c r="G322" s="15" t="s">
        <v>729</v>
      </c>
      <c r="H322" s="15" t="s">
        <v>730</v>
      </c>
      <c r="I322" s="15" t="s">
        <v>685</v>
      </c>
      <c r="J322" s="15"/>
      <c r="K322" s="35" t="n">
        <v>9.99</v>
      </c>
      <c r="L322" s="35"/>
      <c r="M322" s="23" t="str">
        <f aca="false">IF(AND(ISNUMBER(L322),ISNUMBER(K322),K322&gt;0),L322/K322-1,"")</f>
        <v/>
      </c>
      <c r="N322" s="36" t="str">
        <f aca="false">IF(M322="","No List Price",IF(M322&lt;=0,"At/below price",IF(M322&lt;=0.12,"&lt;=12% (STR zone)",IF(M322&lt;=0.25,"12-25%","&gt;25% (likely ignored)"))))</f>
        <v>No List Price</v>
      </c>
      <c r="O322" s="15"/>
      <c r="P322" s="35" t="n">
        <v>49.9645454545455</v>
      </c>
      <c r="Q322" s="22" t="n">
        <f aca="false">IF(AND(ISNUMBER(K322),ISNUMBER(P322),N(P322)&gt;0),K322/P322-1,"")</f>
        <v>-0.800058223103655</v>
      </c>
      <c r="R322" s="15" t="s">
        <v>353</v>
      </c>
      <c r="S322" s="37" t="n">
        <v>9597</v>
      </c>
      <c r="T322" s="37" t="n">
        <v>197</v>
      </c>
      <c r="U322" s="38" t="n">
        <f aca="false">IF(AND(ISNUMBER(K322),ISNUMBER(T322)),K322*T322*52/12,"")</f>
        <v>8528.13</v>
      </c>
      <c r="V322" s="15" t="n">
        <v>4.5</v>
      </c>
      <c r="W322" s="37" t="n">
        <v>3879</v>
      </c>
      <c r="X322" s="39" t="n">
        <v>46307</v>
      </c>
      <c r="Y322" s="15"/>
      <c r="Z322" s="40"/>
      <c r="AA322" s="41" t="str">
        <f aca="false">IF(ISNUMBER(Z322),(DATE(2026,10,13)-Z322)/365,"")</f>
        <v/>
      </c>
      <c r="AB322" s="37"/>
      <c r="AC322" s="15"/>
      <c r="AD322" s="15"/>
      <c r="AE322" s="15"/>
      <c r="AF322" s="42"/>
      <c r="AG322" s="42"/>
      <c r="AH322" s="15"/>
      <c r="AI322" s="37"/>
      <c r="AJ322" s="37"/>
      <c r="AK322" s="15"/>
      <c r="AL322" s="43"/>
      <c r="AM322" s="43"/>
      <c r="AN322" s="25" t="str">
        <f aca="false">IF(AND(ISNUMBER(AM322),ISNUMBER(AL322),AL322&gt;=5),AM322/AL322,"")</f>
        <v/>
      </c>
      <c r="AO322" s="43"/>
      <c r="AP322" s="43"/>
      <c r="AQ322" s="25" t="str">
        <f aca="false">IF(AND(ISNUMBER(AP322),ISNUMBER(AO322),AO322&gt;=5),AP322/AO322,"")</f>
        <v/>
      </c>
      <c r="AR322" s="43"/>
      <c r="AS322" s="43"/>
      <c r="AT322" s="22" t="str">
        <f aca="false">IF(AND(ISNUMBER(AS322),ISNUMBER(AR322),AR322&gt;0),AS322/AR322-1,"")</f>
        <v/>
      </c>
      <c r="AU322" s="44"/>
      <c r="AV322" s="44"/>
      <c r="AW322" s="44"/>
      <c r="AX322" s="44"/>
      <c r="AY322" s="44"/>
      <c r="AZ322" s="45"/>
      <c r="BA322" s="45"/>
      <c r="BB322" s="46"/>
      <c r="BC322" s="46"/>
      <c r="BD322" s="23" t="str">
        <f aca="false">IF(AND(ISNUMBER(BB322),ISNUMBER(BC322),BB322&gt;0),1-BC322/BB322,"")</f>
        <v/>
      </c>
      <c r="BE322" s="47"/>
      <c r="BF322" s="48"/>
      <c r="BG322" s="48"/>
      <c r="BH322" s="27" t="str">
        <f aca="false">IF(AND(ISNUMBER(BF322),ISNUMBER(BG322),BG322&gt;0),BF322/BG322,"")</f>
        <v/>
      </c>
      <c r="BI322" s="48"/>
      <c r="BJ322" s="44"/>
      <c r="BK322" s="46"/>
      <c r="BL322" s="46"/>
      <c r="BM322" s="36" t="str">
        <f aca="false">IF(ISNUMBER(Q322),IF(Q322&lt;0,"YES","no"),"")</f>
        <v>YES</v>
      </c>
      <c r="BN322" s="36" t="str">
        <f aca="false">IFERROR(IF(AND(ISNUMBER(K322),ISNUMBER(INDEX('Lift Inputs'!$H:$H,MATCH(C322,'Lift Inputs'!$C:$C,0)))),IF(K322&lt;INDEX('Lift Inputs'!$H:$H,MATCH(C322,'Lift Inputs'!$C:$C,0)),"YES","no"),""),"")</f>
        <v/>
      </c>
      <c r="BO322" s="44"/>
    </row>
    <row r="323" customFormat="false" ht="15" hidden="false" customHeight="false" outlineLevel="0" collapsed="false">
      <c r="A323" s="15" t="s">
        <v>98</v>
      </c>
      <c r="B323" s="15" t="s">
        <v>99</v>
      </c>
      <c r="C323" s="15" t="n">
        <v>55</v>
      </c>
      <c r="D323" s="15" t="s">
        <v>216</v>
      </c>
      <c r="E323" s="15" t="n">
        <v>1739</v>
      </c>
      <c r="F323" s="15" t="s">
        <v>731</v>
      </c>
      <c r="G323" s="15" t="s">
        <v>732</v>
      </c>
      <c r="H323" s="15" t="s">
        <v>733</v>
      </c>
      <c r="I323" s="15" t="s">
        <v>734</v>
      </c>
      <c r="J323" s="15"/>
      <c r="K323" s="35" t="n">
        <v>19.99</v>
      </c>
      <c r="L323" s="35"/>
      <c r="M323" s="23" t="str">
        <f aca="false">IF(AND(ISNUMBER(L323),ISNUMBER(K323),K323&gt;0),L323/K323-1,"")</f>
        <v/>
      </c>
      <c r="N323" s="36" t="str">
        <f aca="false">IF(M323="","No List Price",IF(M323&lt;=0,"At/below price",IF(M323&lt;=0.12,"&lt;=12% (STR zone)",IF(M323&lt;=0.25,"12-25%","&gt;25% (likely ignored)"))))</f>
        <v>No List Price</v>
      </c>
      <c r="O323" s="15"/>
      <c r="P323" s="35" t="n">
        <v>49.9645454545455</v>
      </c>
      <c r="Q323" s="22" t="n">
        <f aca="false">IF(AND(ISNUMBER(K323),ISNUMBER(P323),N(P323)&gt;0),K323/P323-1,"")</f>
        <v>-0.599916304288496</v>
      </c>
      <c r="R323" s="15" t="s">
        <v>353</v>
      </c>
      <c r="S323" s="37" t="n">
        <v>11494</v>
      </c>
      <c r="T323" s="37" t="n">
        <v>185</v>
      </c>
      <c r="U323" s="38" t="n">
        <f aca="false">IF(AND(ISNUMBER(K323),ISNUMBER(T323)),K323*T323*52/12,"")</f>
        <v>16025.3166666667</v>
      </c>
      <c r="V323" s="15" t="n">
        <v>4.4</v>
      </c>
      <c r="W323" s="37" t="n">
        <v>18955</v>
      </c>
      <c r="X323" s="39" t="n">
        <v>46307</v>
      </c>
      <c r="Y323" s="15" t="n">
        <v>65</v>
      </c>
      <c r="Z323" s="40" t="n">
        <v>43670</v>
      </c>
      <c r="AA323" s="41" t="n">
        <f aca="false">IF(ISNUMBER(Z323),(DATE(2026,10,13)-Z323)/365,"")</f>
        <v>7.22739726027397</v>
      </c>
      <c r="AB323" s="37" t="n">
        <v>3958</v>
      </c>
      <c r="AC323" s="15" t="s">
        <v>313</v>
      </c>
      <c r="AD323" s="15" t="n">
        <v>4</v>
      </c>
      <c r="AE323" s="15" t="s">
        <v>331</v>
      </c>
      <c r="AF323" s="42" t="n">
        <v>0</v>
      </c>
      <c r="AG323" s="42" t="n">
        <v>0</v>
      </c>
      <c r="AH323" s="15" t="n">
        <v>371</v>
      </c>
      <c r="AI323" s="37"/>
      <c r="AJ323" s="37"/>
      <c r="AK323" s="15"/>
      <c r="AL323" s="43"/>
      <c r="AM323" s="43"/>
      <c r="AN323" s="25" t="str">
        <f aca="false">IF(AND(ISNUMBER(AM323),ISNUMBER(AL323),AL323&gt;=5),AM323/AL323,"")</f>
        <v/>
      </c>
      <c r="AO323" s="43"/>
      <c r="AP323" s="43"/>
      <c r="AQ323" s="25" t="str">
        <f aca="false">IF(AND(ISNUMBER(AP323),ISNUMBER(AO323),AO323&gt;=5),AP323/AO323,"")</f>
        <v/>
      </c>
      <c r="AR323" s="43"/>
      <c r="AS323" s="43"/>
      <c r="AT323" s="22" t="str">
        <f aca="false">IF(AND(ISNUMBER(AS323),ISNUMBER(AR323),AR323&gt;0),AS323/AR323-1,"")</f>
        <v/>
      </c>
      <c r="AU323" s="44"/>
      <c r="AV323" s="44"/>
      <c r="AW323" s="44"/>
      <c r="AX323" s="44"/>
      <c r="AY323" s="44"/>
      <c r="AZ323" s="45"/>
      <c r="BA323" s="45"/>
      <c r="BB323" s="46"/>
      <c r="BC323" s="46"/>
      <c r="BD323" s="23" t="str">
        <f aca="false">IF(AND(ISNUMBER(BB323),ISNUMBER(BC323),BB323&gt;0),1-BC323/BB323,"")</f>
        <v/>
      </c>
      <c r="BE323" s="47"/>
      <c r="BF323" s="48"/>
      <c r="BG323" s="48"/>
      <c r="BH323" s="27" t="str">
        <f aca="false">IF(AND(ISNUMBER(BF323),ISNUMBER(BG323),BG323&gt;0),BF323/BG323,"")</f>
        <v/>
      </c>
      <c r="BI323" s="48"/>
      <c r="BJ323" s="44"/>
      <c r="BK323" s="46"/>
      <c r="BL323" s="46"/>
      <c r="BM323" s="36" t="str">
        <f aca="false">IF(ISNUMBER(Q323),IF(Q323&lt;0,"YES","no"),"")</f>
        <v>YES</v>
      </c>
      <c r="BN323" s="36" t="str">
        <f aca="false">IFERROR(IF(AND(ISNUMBER(K323),ISNUMBER(INDEX('Lift Inputs'!$H:$H,MATCH(C323,'Lift Inputs'!$C:$C,0)))),IF(K323&lt;INDEX('Lift Inputs'!$H:$H,MATCH(C323,'Lift Inputs'!$C:$C,0)),"YES","no"),""),"")</f>
        <v/>
      </c>
      <c r="BO323" s="44"/>
    </row>
    <row r="324" customFormat="false" ht="15" hidden="false" customHeight="false" outlineLevel="0" collapsed="false">
      <c r="A324" s="15" t="s">
        <v>98</v>
      </c>
      <c r="B324" s="15" t="s">
        <v>99</v>
      </c>
      <c r="C324" s="15" t="n">
        <v>55</v>
      </c>
      <c r="D324" s="15" t="s">
        <v>216</v>
      </c>
      <c r="E324" s="15" t="n">
        <v>1737</v>
      </c>
      <c r="F324" s="15" t="s">
        <v>735</v>
      </c>
      <c r="G324" s="15" t="s">
        <v>736</v>
      </c>
      <c r="H324" s="15" t="s">
        <v>737</v>
      </c>
      <c r="I324" s="15" t="s">
        <v>738</v>
      </c>
      <c r="J324" s="15"/>
      <c r="K324" s="35" t="n">
        <v>25.99</v>
      </c>
      <c r="L324" s="35"/>
      <c r="M324" s="23" t="str">
        <f aca="false">IF(AND(ISNUMBER(L324),ISNUMBER(K324),K324&gt;0),L324/K324-1,"")</f>
        <v/>
      </c>
      <c r="N324" s="36" t="str">
        <f aca="false">IF(M324="","No List Price",IF(M324&lt;=0,"At/below price",IF(M324&lt;=0.12,"&lt;=12% (STR zone)",IF(M324&lt;=0.25,"12-25%","&gt;25% (likely ignored)"))))</f>
        <v>No List Price</v>
      </c>
      <c r="O324" s="15"/>
      <c r="P324" s="35" t="n">
        <v>49.9645454545455</v>
      </c>
      <c r="Q324" s="22" t="n">
        <f aca="false">IF(AND(ISNUMBER(K324),ISNUMBER(P324),N(P324)&gt;0),K324/P324-1,"")</f>
        <v>-0.4798311529994</v>
      </c>
      <c r="R324" s="15" t="s">
        <v>353</v>
      </c>
      <c r="S324" s="37" t="n">
        <v>5604</v>
      </c>
      <c r="T324" s="37" t="n">
        <v>173</v>
      </c>
      <c r="U324" s="38" t="n">
        <f aca="false">IF(AND(ISNUMBER(K324),ISNUMBER(T324)),K324*T324*52/12,"")</f>
        <v>19483.8366666667</v>
      </c>
      <c r="V324" s="15" t="n">
        <v>4.5</v>
      </c>
      <c r="W324" s="37" t="n">
        <v>31715</v>
      </c>
      <c r="X324" s="39" t="n">
        <v>46307</v>
      </c>
      <c r="Y324" s="15" t="n">
        <v>43</v>
      </c>
      <c r="Z324" s="40" t="n">
        <v>43589</v>
      </c>
      <c r="AA324" s="41" t="n">
        <f aca="false">IF(ISNUMBER(Z324),(DATE(2026,10,13)-Z324)/365,"")</f>
        <v>7.44931506849315</v>
      </c>
      <c r="AB324" s="37" t="n">
        <v>10319</v>
      </c>
      <c r="AC324" s="15" t="s">
        <v>313</v>
      </c>
      <c r="AD324" s="15" t="n">
        <v>1</v>
      </c>
      <c r="AE324" s="15" t="s">
        <v>331</v>
      </c>
      <c r="AF324" s="42" t="n">
        <v>0</v>
      </c>
      <c r="AG324" s="42" t="n">
        <v>0</v>
      </c>
      <c r="AH324" s="15" t="n">
        <v>477</v>
      </c>
      <c r="AI324" s="37"/>
      <c r="AJ324" s="37"/>
      <c r="AK324" s="15"/>
      <c r="AL324" s="43"/>
      <c r="AM324" s="43"/>
      <c r="AN324" s="25" t="str">
        <f aca="false">IF(AND(ISNUMBER(AM324),ISNUMBER(AL324),AL324&gt;=5),AM324/AL324,"")</f>
        <v/>
      </c>
      <c r="AO324" s="43"/>
      <c r="AP324" s="43"/>
      <c r="AQ324" s="25" t="str">
        <f aca="false">IF(AND(ISNUMBER(AP324),ISNUMBER(AO324),AO324&gt;=5),AP324/AO324,"")</f>
        <v/>
      </c>
      <c r="AR324" s="43"/>
      <c r="AS324" s="43"/>
      <c r="AT324" s="22" t="str">
        <f aca="false">IF(AND(ISNUMBER(AS324),ISNUMBER(AR324),AR324&gt;0),AS324/AR324-1,"")</f>
        <v/>
      </c>
      <c r="AU324" s="44"/>
      <c r="AV324" s="44"/>
      <c r="AW324" s="44"/>
      <c r="AX324" s="44"/>
      <c r="AY324" s="44"/>
      <c r="AZ324" s="45"/>
      <c r="BA324" s="45"/>
      <c r="BB324" s="46"/>
      <c r="BC324" s="46"/>
      <c r="BD324" s="23" t="str">
        <f aca="false">IF(AND(ISNUMBER(BB324),ISNUMBER(BC324),BB324&gt;0),1-BC324/BB324,"")</f>
        <v/>
      </c>
      <c r="BE324" s="47"/>
      <c r="BF324" s="48"/>
      <c r="BG324" s="48"/>
      <c r="BH324" s="27" t="str">
        <f aca="false">IF(AND(ISNUMBER(BF324),ISNUMBER(BG324),BG324&gt;0),BF324/BG324,"")</f>
        <v/>
      </c>
      <c r="BI324" s="48"/>
      <c r="BJ324" s="44"/>
      <c r="BK324" s="46"/>
      <c r="BL324" s="46"/>
      <c r="BM324" s="36" t="str">
        <f aca="false">IF(ISNUMBER(Q324),IF(Q324&lt;0,"YES","no"),"")</f>
        <v>YES</v>
      </c>
      <c r="BN324" s="36" t="str">
        <f aca="false">IFERROR(IF(AND(ISNUMBER(K324),ISNUMBER(INDEX('Lift Inputs'!$H:$H,MATCH(C324,'Lift Inputs'!$C:$C,0)))),IF(K324&lt;INDEX('Lift Inputs'!$H:$H,MATCH(C324,'Lift Inputs'!$C:$C,0)),"YES","no"),""),"")</f>
        <v/>
      </c>
      <c r="BO324" s="44"/>
    </row>
    <row r="325" customFormat="false" ht="15" hidden="false" customHeight="false" outlineLevel="0" collapsed="false">
      <c r="A325" s="15" t="s">
        <v>98</v>
      </c>
      <c r="B325" s="15" t="s">
        <v>99</v>
      </c>
      <c r="C325" s="15" t="n">
        <v>55</v>
      </c>
      <c r="D325" s="15" t="s">
        <v>216</v>
      </c>
      <c r="E325" s="15" t="n">
        <v>1757</v>
      </c>
      <c r="F325" s="15" t="s">
        <v>739</v>
      </c>
      <c r="G325" s="15" t="s">
        <v>740</v>
      </c>
      <c r="H325" s="15" t="s">
        <v>741</v>
      </c>
      <c r="I325" s="15" t="s">
        <v>742</v>
      </c>
      <c r="J325" s="15"/>
      <c r="K325" s="35" t="n">
        <v>19.99</v>
      </c>
      <c r="L325" s="35"/>
      <c r="M325" s="23" t="str">
        <f aca="false">IF(AND(ISNUMBER(L325),ISNUMBER(K325),K325&gt;0),L325/K325-1,"")</f>
        <v/>
      </c>
      <c r="N325" s="36" t="str">
        <f aca="false">IF(M325="","No List Price",IF(M325&lt;=0,"At/below price",IF(M325&lt;=0.12,"&lt;=12% (STR zone)",IF(M325&lt;=0.25,"12-25%","&gt;25% (likely ignored)"))))</f>
        <v>No List Price</v>
      </c>
      <c r="O325" s="15"/>
      <c r="P325" s="35" t="n">
        <v>49.9645454545455</v>
      </c>
      <c r="Q325" s="22" t="n">
        <f aca="false">IF(AND(ISNUMBER(K325),ISNUMBER(P325),N(P325)&gt;0),K325/P325-1,"")</f>
        <v>-0.599916304288496</v>
      </c>
      <c r="R325" s="15" t="s">
        <v>353</v>
      </c>
      <c r="S325" s="37" t="n">
        <v>17242</v>
      </c>
      <c r="T325" s="37" t="n">
        <v>104</v>
      </c>
      <c r="U325" s="38" t="n">
        <f aca="false">IF(AND(ISNUMBER(K325),ISNUMBER(T325)),K325*T325*52/12,"")</f>
        <v>9008.82666666667</v>
      </c>
      <c r="V325" s="15" t="n">
        <v>4.5</v>
      </c>
      <c r="W325" s="37" t="n">
        <v>33594</v>
      </c>
      <c r="X325" s="39" t="n">
        <v>46307</v>
      </c>
      <c r="Y325" s="15" t="n">
        <v>65</v>
      </c>
      <c r="Z325" s="40" t="n">
        <v>43429</v>
      </c>
      <c r="AA325" s="41" t="n">
        <f aca="false">IF(ISNUMBER(Z325),(DATE(2026,10,13)-Z325)/365,"")</f>
        <v>7.88767123287671</v>
      </c>
      <c r="AB325" s="37" t="n">
        <v>1739</v>
      </c>
      <c r="AC325" s="15" t="s">
        <v>313</v>
      </c>
      <c r="AD325" s="15" t="n">
        <v>2</v>
      </c>
      <c r="AE325" s="15" t="s">
        <v>331</v>
      </c>
      <c r="AF325" s="42" t="n">
        <v>0</v>
      </c>
      <c r="AG325" s="42" t="n">
        <v>0</v>
      </c>
      <c r="AH325" s="15" t="n">
        <v>325</v>
      </c>
      <c r="AI325" s="37"/>
      <c r="AJ325" s="37"/>
      <c r="AK325" s="15"/>
      <c r="AL325" s="43"/>
      <c r="AM325" s="43"/>
      <c r="AN325" s="25" t="str">
        <f aca="false">IF(AND(ISNUMBER(AM325),ISNUMBER(AL325),AL325&gt;=5),AM325/AL325,"")</f>
        <v/>
      </c>
      <c r="AO325" s="43"/>
      <c r="AP325" s="43"/>
      <c r="AQ325" s="25" t="str">
        <f aca="false">IF(AND(ISNUMBER(AP325),ISNUMBER(AO325),AO325&gt;=5),AP325/AO325,"")</f>
        <v/>
      </c>
      <c r="AR325" s="43"/>
      <c r="AS325" s="43"/>
      <c r="AT325" s="22" t="str">
        <f aca="false">IF(AND(ISNUMBER(AS325),ISNUMBER(AR325),AR325&gt;0),AS325/AR325-1,"")</f>
        <v/>
      </c>
      <c r="AU325" s="44"/>
      <c r="AV325" s="44"/>
      <c r="AW325" s="44"/>
      <c r="AX325" s="44"/>
      <c r="AY325" s="44"/>
      <c r="AZ325" s="45"/>
      <c r="BA325" s="45"/>
      <c r="BB325" s="46"/>
      <c r="BC325" s="46"/>
      <c r="BD325" s="23" t="str">
        <f aca="false">IF(AND(ISNUMBER(BB325),ISNUMBER(BC325),BB325&gt;0),1-BC325/BB325,"")</f>
        <v/>
      </c>
      <c r="BE325" s="47"/>
      <c r="BF325" s="48"/>
      <c r="BG325" s="48"/>
      <c r="BH325" s="27" t="str">
        <f aca="false">IF(AND(ISNUMBER(BF325),ISNUMBER(BG325),BG325&gt;0),BF325/BG325,"")</f>
        <v/>
      </c>
      <c r="BI325" s="48"/>
      <c r="BJ325" s="44"/>
      <c r="BK325" s="46"/>
      <c r="BL325" s="46"/>
      <c r="BM325" s="36" t="str">
        <f aca="false">IF(ISNUMBER(Q325),IF(Q325&lt;0,"YES","no"),"")</f>
        <v>YES</v>
      </c>
      <c r="BN325" s="36" t="str">
        <f aca="false">IFERROR(IF(AND(ISNUMBER(K325),ISNUMBER(INDEX('Lift Inputs'!$H:$H,MATCH(C325,'Lift Inputs'!$C:$C,0)))),IF(K325&lt;INDEX('Lift Inputs'!$H:$H,MATCH(C325,'Lift Inputs'!$C:$C,0)),"YES","no"),""),"")</f>
        <v/>
      </c>
      <c r="BO325" s="44"/>
    </row>
    <row r="326" customFormat="false" ht="15" hidden="false" customHeight="false" outlineLevel="0" collapsed="false">
      <c r="A326" s="15" t="s">
        <v>98</v>
      </c>
      <c r="B326" s="15" t="s">
        <v>99</v>
      </c>
      <c r="C326" s="15" t="n">
        <v>55</v>
      </c>
      <c r="D326" s="15" t="s">
        <v>216</v>
      </c>
      <c r="E326" s="15" t="n">
        <v>1746</v>
      </c>
      <c r="F326" s="15" t="s">
        <v>743</v>
      </c>
      <c r="G326" s="15" t="s">
        <v>744</v>
      </c>
      <c r="H326" s="15" t="s">
        <v>745</v>
      </c>
      <c r="I326" s="15" t="s">
        <v>685</v>
      </c>
      <c r="J326" s="15"/>
      <c r="K326" s="35" t="n">
        <v>13.99</v>
      </c>
      <c r="L326" s="35"/>
      <c r="M326" s="23" t="str">
        <f aca="false">IF(AND(ISNUMBER(L326),ISNUMBER(K326),K326&gt;0),L326/K326-1,"")</f>
        <v/>
      </c>
      <c r="N326" s="36" t="str">
        <f aca="false">IF(M326="","No List Price",IF(M326&lt;=0,"At/below price",IF(M326&lt;=0.12,"&lt;=12% (STR zone)",IF(M326&lt;=0.25,"12-25%","&gt;25% (likely ignored)"))))</f>
        <v>No List Price</v>
      </c>
      <c r="O326" s="15"/>
      <c r="P326" s="35" t="n">
        <v>49.9645454545455</v>
      </c>
      <c r="Q326" s="22" t="n">
        <f aca="false">IF(AND(ISNUMBER(K326),ISNUMBER(P326),N(P326)&gt;0),K326/P326-1,"")</f>
        <v>-0.720001455577591</v>
      </c>
      <c r="R326" s="15" t="s">
        <v>353</v>
      </c>
      <c r="S326" s="37" t="n">
        <v>14446</v>
      </c>
      <c r="T326" s="37" t="n">
        <v>92</v>
      </c>
      <c r="U326" s="38" t="n">
        <f aca="false">IF(AND(ISNUMBER(K326),ISNUMBER(T326)),K326*T326*52/12,"")</f>
        <v>5577.34666666667</v>
      </c>
      <c r="V326" s="15" t="n">
        <v>4.5</v>
      </c>
      <c r="W326" s="37" t="n">
        <v>11647</v>
      </c>
      <c r="X326" s="39" t="n">
        <v>46307</v>
      </c>
      <c r="Y326" s="15"/>
      <c r="Z326" s="40"/>
      <c r="AA326" s="41" t="str">
        <f aca="false">IF(ISNUMBER(Z326),(DATE(2026,10,13)-Z326)/365,"")</f>
        <v/>
      </c>
      <c r="AB326" s="37"/>
      <c r="AC326" s="15"/>
      <c r="AD326" s="15"/>
      <c r="AE326" s="15"/>
      <c r="AF326" s="42"/>
      <c r="AG326" s="42"/>
      <c r="AH326" s="15"/>
      <c r="AI326" s="37"/>
      <c r="AJ326" s="37"/>
      <c r="AK326" s="15"/>
      <c r="AL326" s="43"/>
      <c r="AM326" s="43"/>
      <c r="AN326" s="25" t="str">
        <f aca="false">IF(AND(ISNUMBER(AM326),ISNUMBER(AL326),AL326&gt;=5),AM326/AL326,"")</f>
        <v/>
      </c>
      <c r="AO326" s="43"/>
      <c r="AP326" s="43"/>
      <c r="AQ326" s="25" t="str">
        <f aca="false">IF(AND(ISNUMBER(AP326),ISNUMBER(AO326),AO326&gt;=5),AP326/AO326,"")</f>
        <v/>
      </c>
      <c r="AR326" s="43"/>
      <c r="AS326" s="43"/>
      <c r="AT326" s="22" t="str">
        <f aca="false">IF(AND(ISNUMBER(AS326),ISNUMBER(AR326),AR326&gt;0),AS326/AR326-1,"")</f>
        <v/>
      </c>
      <c r="AU326" s="44"/>
      <c r="AV326" s="44"/>
      <c r="AW326" s="44"/>
      <c r="AX326" s="44"/>
      <c r="AY326" s="44"/>
      <c r="AZ326" s="45"/>
      <c r="BA326" s="45"/>
      <c r="BB326" s="46"/>
      <c r="BC326" s="46"/>
      <c r="BD326" s="23" t="str">
        <f aca="false">IF(AND(ISNUMBER(BB326),ISNUMBER(BC326),BB326&gt;0),1-BC326/BB326,"")</f>
        <v/>
      </c>
      <c r="BE326" s="47"/>
      <c r="BF326" s="48"/>
      <c r="BG326" s="48"/>
      <c r="BH326" s="27" t="str">
        <f aca="false">IF(AND(ISNUMBER(BF326),ISNUMBER(BG326),BG326&gt;0),BF326/BG326,"")</f>
        <v/>
      </c>
      <c r="BI326" s="48"/>
      <c r="BJ326" s="44"/>
      <c r="BK326" s="46"/>
      <c r="BL326" s="46"/>
      <c r="BM326" s="36" t="str">
        <f aca="false">IF(ISNUMBER(Q326),IF(Q326&lt;0,"YES","no"),"")</f>
        <v>YES</v>
      </c>
      <c r="BN326" s="36" t="str">
        <f aca="false">IFERROR(IF(AND(ISNUMBER(K326),ISNUMBER(INDEX('Lift Inputs'!$H:$H,MATCH(C326,'Lift Inputs'!$C:$C,0)))),IF(K326&lt;INDEX('Lift Inputs'!$H:$H,MATCH(C326,'Lift Inputs'!$C:$C,0)),"YES","no"),""),"")</f>
        <v/>
      </c>
      <c r="BO326" s="44"/>
    </row>
    <row r="327" customFormat="false" ht="15" hidden="false" customHeight="false" outlineLevel="0" collapsed="false">
      <c r="A327" s="15" t="s">
        <v>98</v>
      </c>
      <c r="B327" s="15" t="s">
        <v>99</v>
      </c>
      <c r="C327" s="15" t="n">
        <v>55</v>
      </c>
      <c r="D327" s="15" t="s">
        <v>216</v>
      </c>
      <c r="E327" s="15" t="n">
        <v>1745</v>
      </c>
      <c r="F327" s="15" t="s">
        <v>746</v>
      </c>
      <c r="G327" s="15" t="s">
        <v>747</v>
      </c>
      <c r="H327" s="15" t="s">
        <v>748</v>
      </c>
      <c r="I327" s="15" t="s">
        <v>685</v>
      </c>
      <c r="J327" s="15"/>
      <c r="K327" s="35" t="n">
        <v>13.99</v>
      </c>
      <c r="L327" s="35"/>
      <c r="M327" s="23" t="str">
        <f aca="false">IF(AND(ISNUMBER(L327),ISNUMBER(K327),K327&gt;0),L327/K327-1,"")</f>
        <v/>
      </c>
      <c r="N327" s="36" t="str">
        <f aca="false">IF(M327="","No List Price",IF(M327&lt;=0,"At/below price",IF(M327&lt;=0.12,"&lt;=12% (STR zone)",IF(M327&lt;=0.25,"12-25%","&gt;25% (likely ignored)"))))</f>
        <v>No List Price</v>
      </c>
      <c r="O327" s="15"/>
      <c r="P327" s="35" t="n">
        <v>49.9645454545455</v>
      </c>
      <c r="Q327" s="22" t="n">
        <f aca="false">IF(AND(ISNUMBER(K327),ISNUMBER(P327),N(P327)&gt;0),K327/P327-1,"")</f>
        <v>-0.720001455577591</v>
      </c>
      <c r="R327" s="15" t="s">
        <v>353</v>
      </c>
      <c r="S327" s="37" t="n">
        <v>3332</v>
      </c>
      <c r="T327" s="37" t="n">
        <v>81</v>
      </c>
      <c r="U327" s="38" t="n">
        <f aca="false">IF(AND(ISNUMBER(K327),ISNUMBER(T327)),K327*T327*52/12,"")</f>
        <v>4910.49</v>
      </c>
      <c r="V327" s="15" t="n">
        <v>4.5</v>
      </c>
      <c r="W327" s="37" t="n">
        <v>9825</v>
      </c>
      <c r="X327" s="39" t="n">
        <v>46307</v>
      </c>
      <c r="Y327" s="15"/>
      <c r="Z327" s="40"/>
      <c r="AA327" s="41" t="str">
        <f aca="false">IF(ISNUMBER(Z327),(DATE(2026,10,13)-Z327)/365,"")</f>
        <v/>
      </c>
      <c r="AB327" s="37"/>
      <c r="AC327" s="15"/>
      <c r="AD327" s="15"/>
      <c r="AE327" s="15"/>
      <c r="AF327" s="42"/>
      <c r="AG327" s="42"/>
      <c r="AH327" s="15"/>
      <c r="AI327" s="37"/>
      <c r="AJ327" s="37"/>
      <c r="AK327" s="15"/>
      <c r="AL327" s="43"/>
      <c r="AM327" s="43"/>
      <c r="AN327" s="25" t="str">
        <f aca="false">IF(AND(ISNUMBER(AM327),ISNUMBER(AL327),AL327&gt;=5),AM327/AL327,"")</f>
        <v/>
      </c>
      <c r="AO327" s="43"/>
      <c r="AP327" s="43"/>
      <c r="AQ327" s="25" t="str">
        <f aca="false">IF(AND(ISNUMBER(AP327),ISNUMBER(AO327),AO327&gt;=5),AP327/AO327,"")</f>
        <v/>
      </c>
      <c r="AR327" s="43"/>
      <c r="AS327" s="43"/>
      <c r="AT327" s="22" t="str">
        <f aca="false">IF(AND(ISNUMBER(AS327),ISNUMBER(AR327),AR327&gt;0),AS327/AR327-1,"")</f>
        <v/>
      </c>
      <c r="AU327" s="44"/>
      <c r="AV327" s="44"/>
      <c r="AW327" s="44"/>
      <c r="AX327" s="44"/>
      <c r="AY327" s="44"/>
      <c r="AZ327" s="45"/>
      <c r="BA327" s="45"/>
      <c r="BB327" s="46"/>
      <c r="BC327" s="46"/>
      <c r="BD327" s="23" t="str">
        <f aca="false">IF(AND(ISNUMBER(BB327),ISNUMBER(BC327),BB327&gt;0),1-BC327/BB327,"")</f>
        <v/>
      </c>
      <c r="BE327" s="47"/>
      <c r="BF327" s="48"/>
      <c r="BG327" s="48"/>
      <c r="BH327" s="27" t="str">
        <f aca="false">IF(AND(ISNUMBER(BF327),ISNUMBER(BG327),BG327&gt;0),BF327/BG327,"")</f>
        <v/>
      </c>
      <c r="BI327" s="48"/>
      <c r="BJ327" s="44"/>
      <c r="BK327" s="46"/>
      <c r="BL327" s="46"/>
      <c r="BM327" s="36" t="str">
        <f aca="false">IF(ISNUMBER(Q327),IF(Q327&lt;0,"YES","no"),"")</f>
        <v>YES</v>
      </c>
      <c r="BN327" s="36" t="str">
        <f aca="false">IFERROR(IF(AND(ISNUMBER(K327),ISNUMBER(INDEX('Lift Inputs'!$H:$H,MATCH(C327,'Lift Inputs'!$C:$C,0)))),IF(K327&lt;INDEX('Lift Inputs'!$H:$H,MATCH(C327,'Lift Inputs'!$C:$C,0)),"YES","no"),""),"")</f>
        <v/>
      </c>
      <c r="BO327" s="44"/>
    </row>
    <row r="328" customFormat="false" ht="15" hidden="false" customHeight="false" outlineLevel="0" collapsed="false">
      <c r="A328" s="15" t="s">
        <v>98</v>
      </c>
      <c r="B328" s="15" t="s">
        <v>99</v>
      </c>
      <c r="C328" s="15" t="n">
        <v>55</v>
      </c>
      <c r="D328" s="15" t="s">
        <v>216</v>
      </c>
      <c r="E328" s="15" t="n">
        <v>1738</v>
      </c>
      <c r="F328" s="15" t="s">
        <v>749</v>
      </c>
      <c r="G328" s="15" t="s">
        <v>750</v>
      </c>
      <c r="H328" s="15" t="s">
        <v>751</v>
      </c>
      <c r="I328" s="15" t="s">
        <v>752</v>
      </c>
      <c r="J328" s="15"/>
      <c r="K328" s="35" t="n">
        <v>19.99</v>
      </c>
      <c r="L328" s="35"/>
      <c r="M328" s="23" t="str">
        <f aca="false">IF(AND(ISNUMBER(L328),ISNUMBER(K328),K328&gt;0),L328/K328-1,"")</f>
        <v/>
      </c>
      <c r="N328" s="36" t="str">
        <f aca="false">IF(M328="","No List Price",IF(M328&lt;=0,"At/below price",IF(M328&lt;=0.12,"&lt;=12% (STR zone)",IF(M328&lt;=0.25,"12-25%","&gt;25% (likely ignored)"))))</f>
        <v>No List Price</v>
      </c>
      <c r="O328" s="15"/>
      <c r="P328" s="35" t="n">
        <v>49.9645454545455</v>
      </c>
      <c r="Q328" s="22" t="n">
        <f aca="false">IF(AND(ISNUMBER(K328),ISNUMBER(P328),N(P328)&gt;0),K328/P328-1,"")</f>
        <v>-0.599916304288496</v>
      </c>
      <c r="R328" s="15" t="s">
        <v>353</v>
      </c>
      <c r="S328" s="37" t="n">
        <v>19251</v>
      </c>
      <c r="T328" s="37" t="n">
        <v>81</v>
      </c>
      <c r="U328" s="38" t="n">
        <f aca="false">IF(AND(ISNUMBER(K328),ISNUMBER(T328)),K328*T328*52/12,"")</f>
        <v>7016.49</v>
      </c>
      <c r="V328" s="15" t="n">
        <v>4.2</v>
      </c>
      <c r="W328" s="37" t="n">
        <v>1464</v>
      </c>
      <c r="X328" s="39" t="n">
        <v>46307</v>
      </c>
      <c r="Y328" s="15"/>
      <c r="Z328" s="40"/>
      <c r="AA328" s="41" t="str">
        <f aca="false">IF(ISNUMBER(Z328),(DATE(2026,10,13)-Z328)/365,"")</f>
        <v/>
      </c>
      <c r="AB328" s="37"/>
      <c r="AC328" s="15"/>
      <c r="AD328" s="15"/>
      <c r="AE328" s="15"/>
      <c r="AF328" s="42"/>
      <c r="AG328" s="42"/>
      <c r="AH328" s="15"/>
      <c r="AI328" s="37"/>
      <c r="AJ328" s="37"/>
      <c r="AK328" s="15"/>
      <c r="AL328" s="43"/>
      <c r="AM328" s="43"/>
      <c r="AN328" s="25" t="str">
        <f aca="false">IF(AND(ISNUMBER(AM328),ISNUMBER(AL328),AL328&gt;=5),AM328/AL328,"")</f>
        <v/>
      </c>
      <c r="AO328" s="43"/>
      <c r="AP328" s="43"/>
      <c r="AQ328" s="25" t="str">
        <f aca="false">IF(AND(ISNUMBER(AP328),ISNUMBER(AO328),AO328&gt;=5),AP328/AO328,"")</f>
        <v/>
      </c>
      <c r="AR328" s="43"/>
      <c r="AS328" s="43"/>
      <c r="AT328" s="22" t="str">
        <f aca="false">IF(AND(ISNUMBER(AS328),ISNUMBER(AR328),AR328&gt;0),AS328/AR328-1,"")</f>
        <v/>
      </c>
      <c r="AU328" s="44"/>
      <c r="AV328" s="44"/>
      <c r="AW328" s="44"/>
      <c r="AX328" s="44"/>
      <c r="AY328" s="44"/>
      <c r="AZ328" s="45"/>
      <c r="BA328" s="45"/>
      <c r="BB328" s="46"/>
      <c r="BC328" s="46"/>
      <c r="BD328" s="23" t="str">
        <f aca="false">IF(AND(ISNUMBER(BB328),ISNUMBER(BC328),BB328&gt;0),1-BC328/BB328,"")</f>
        <v/>
      </c>
      <c r="BE328" s="47"/>
      <c r="BF328" s="48"/>
      <c r="BG328" s="48"/>
      <c r="BH328" s="27" t="str">
        <f aca="false">IF(AND(ISNUMBER(BF328),ISNUMBER(BG328),BG328&gt;0),BF328/BG328,"")</f>
        <v/>
      </c>
      <c r="BI328" s="48"/>
      <c r="BJ328" s="44"/>
      <c r="BK328" s="46"/>
      <c r="BL328" s="46"/>
      <c r="BM328" s="36" t="str">
        <f aca="false">IF(ISNUMBER(Q328),IF(Q328&lt;0,"YES","no"),"")</f>
        <v>YES</v>
      </c>
      <c r="BN328" s="36" t="str">
        <f aca="false">IFERROR(IF(AND(ISNUMBER(K328),ISNUMBER(INDEX('Lift Inputs'!$H:$H,MATCH(C328,'Lift Inputs'!$C:$C,0)))),IF(K328&lt;INDEX('Lift Inputs'!$H:$H,MATCH(C328,'Lift Inputs'!$C:$C,0)),"YES","no"),""),"")</f>
        <v/>
      </c>
      <c r="BO328" s="44"/>
    </row>
    <row r="329" customFormat="false" ht="15" hidden="false" customHeight="false" outlineLevel="0" collapsed="false">
      <c r="A329" s="15" t="s">
        <v>98</v>
      </c>
      <c r="B329" s="15" t="s">
        <v>99</v>
      </c>
      <c r="C329" s="15" t="n">
        <v>55</v>
      </c>
      <c r="D329" s="15" t="s">
        <v>216</v>
      </c>
      <c r="E329" s="15" t="n">
        <v>1751</v>
      </c>
      <c r="F329" s="15" t="s">
        <v>753</v>
      </c>
      <c r="G329" s="15" t="s">
        <v>754</v>
      </c>
      <c r="H329" s="15" t="s">
        <v>755</v>
      </c>
      <c r="I329" s="15" t="s">
        <v>685</v>
      </c>
      <c r="J329" s="15"/>
      <c r="K329" s="35" t="n">
        <v>20.99</v>
      </c>
      <c r="L329" s="35"/>
      <c r="M329" s="23" t="str">
        <f aca="false">IF(AND(ISNUMBER(L329),ISNUMBER(K329),K329&gt;0),L329/K329-1,"")</f>
        <v/>
      </c>
      <c r="N329" s="36" t="str">
        <f aca="false">IF(M329="","No List Price",IF(M329&lt;=0,"At/below price",IF(M329&lt;=0.12,"&lt;=12% (STR zone)",IF(M329&lt;=0.25,"12-25%","&gt;25% (likely ignored)"))))</f>
        <v>No List Price</v>
      </c>
      <c r="O329" s="15"/>
      <c r="P329" s="35" t="n">
        <v>49.9645454545455</v>
      </c>
      <c r="Q329" s="22" t="n">
        <f aca="false">IF(AND(ISNUMBER(K329),ISNUMBER(P329),N(P329)&gt;0),K329/P329-1,"")</f>
        <v>-0.57990211240698</v>
      </c>
      <c r="R329" s="15" t="s">
        <v>353</v>
      </c>
      <c r="S329" s="37" t="n">
        <v>90616</v>
      </c>
      <c r="T329" s="37" t="n">
        <v>18</v>
      </c>
      <c r="U329" s="38" t="n">
        <f aca="false">IF(AND(ISNUMBER(K329),ISNUMBER(T329)),K329*T329*52/12,"")</f>
        <v>1637.22</v>
      </c>
      <c r="V329" s="15" t="n">
        <v>4.5</v>
      </c>
      <c r="W329" s="37" t="n">
        <v>1457</v>
      </c>
      <c r="X329" s="39" t="n">
        <v>46307</v>
      </c>
      <c r="Y329" s="15"/>
      <c r="Z329" s="40"/>
      <c r="AA329" s="41" t="str">
        <f aca="false">IF(ISNUMBER(Z329),(DATE(2026,10,13)-Z329)/365,"")</f>
        <v/>
      </c>
      <c r="AB329" s="37"/>
      <c r="AC329" s="15"/>
      <c r="AD329" s="15"/>
      <c r="AE329" s="15"/>
      <c r="AF329" s="42"/>
      <c r="AG329" s="42"/>
      <c r="AH329" s="15"/>
      <c r="AI329" s="37"/>
      <c r="AJ329" s="37"/>
      <c r="AK329" s="15"/>
      <c r="AL329" s="43"/>
      <c r="AM329" s="43"/>
      <c r="AN329" s="25" t="str">
        <f aca="false">IF(AND(ISNUMBER(AM329),ISNUMBER(AL329),AL329&gt;=5),AM329/AL329,"")</f>
        <v/>
      </c>
      <c r="AO329" s="43"/>
      <c r="AP329" s="43"/>
      <c r="AQ329" s="25" t="str">
        <f aca="false">IF(AND(ISNUMBER(AP329),ISNUMBER(AO329),AO329&gt;=5),AP329/AO329,"")</f>
        <v/>
      </c>
      <c r="AR329" s="43"/>
      <c r="AS329" s="43"/>
      <c r="AT329" s="22" t="str">
        <f aca="false">IF(AND(ISNUMBER(AS329),ISNUMBER(AR329),AR329&gt;0),AS329/AR329-1,"")</f>
        <v/>
      </c>
      <c r="AU329" s="44"/>
      <c r="AV329" s="44"/>
      <c r="AW329" s="44"/>
      <c r="AX329" s="44"/>
      <c r="AY329" s="44"/>
      <c r="AZ329" s="45"/>
      <c r="BA329" s="45"/>
      <c r="BB329" s="46"/>
      <c r="BC329" s="46"/>
      <c r="BD329" s="23" t="str">
        <f aca="false">IF(AND(ISNUMBER(BB329),ISNUMBER(BC329),BB329&gt;0),1-BC329/BB329,"")</f>
        <v/>
      </c>
      <c r="BE329" s="47"/>
      <c r="BF329" s="48"/>
      <c r="BG329" s="48"/>
      <c r="BH329" s="27" t="str">
        <f aca="false">IF(AND(ISNUMBER(BF329),ISNUMBER(BG329),BG329&gt;0),BF329/BG329,"")</f>
        <v/>
      </c>
      <c r="BI329" s="48"/>
      <c r="BJ329" s="44"/>
      <c r="BK329" s="46"/>
      <c r="BL329" s="46"/>
      <c r="BM329" s="36" t="str">
        <f aca="false">IF(ISNUMBER(Q329),IF(Q329&lt;0,"YES","no"),"")</f>
        <v>YES</v>
      </c>
      <c r="BN329" s="36" t="str">
        <f aca="false">IFERROR(IF(AND(ISNUMBER(K329),ISNUMBER(INDEX('Lift Inputs'!$H:$H,MATCH(C329,'Lift Inputs'!$C:$C,0)))),IF(K329&lt;INDEX('Lift Inputs'!$H:$H,MATCH(C329,'Lift Inputs'!$C:$C,0)),"YES","no"),""),"")</f>
        <v/>
      </c>
      <c r="BO329" s="44"/>
    </row>
    <row r="330" customFormat="false" ht="15" hidden="false" customHeight="false" outlineLevel="0" collapsed="false">
      <c r="A330" s="15" t="s">
        <v>98</v>
      </c>
      <c r="B330" s="15" t="s">
        <v>99</v>
      </c>
      <c r="C330" s="15" t="n">
        <v>55</v>
      </c>
      <c r="D330" s="15" t="s">
        <v>216</v>
      </c>
      <c r="E330" s="15" t="n">
        <v>1756</v>
      </c>
      <c r="F330" s="15" t="s">
        <v>756</v>
      </c>
      <c r="G330" s="15" t="s">
        <v>757</v>
      </c>
      <c r="H330" s="15" t="s">
        <v>758</v>
      </c>
      <c r="I330" s="15" t="s">
        <v>685</v>
      </c>
      <c r="J330" s="15"/>
      <c r="K330" s="35" t="n">
        <v>21.99</v>
      </c>
      <c r="L330" s="35"/>
      <c r="M330" s="23" t="str">
        <f aca="false">IF(AND(ISNUMBER(L330),ISNUMBER(K330),K330&gt;0),L330/K330-1,"")</f>
        <v/>
      </c>
      <c r="N330" s="36" t="str">
        <f aca="false">IF(M330="","No List Price",IF(M330&lt;=0,"At/below price",IF(M330&lt;=0.12,"&lt;=12% (STR zone)",IF(M330&lt;=0.25,"12-25%","&gt;25% (likely ignored)"))))</f>
        <v>No List Price</v>
      </c>
      <c r="O330" s="15"/>
      <c r="P330" s="35" t="n">
        <v>49.9645454545455</v>
      </c>
      <c r="Q330" s="22" t="n">
        <f aca="false">IF(AND(ISNUMBER(K330),ISNUMBER(P330),N(P330)&gt;0),K330/P330-1,"")</f>
        <v>-0.559887920525464</v>
      </c>
      <c r="R330" s="15" t="s">
        <v>353</v>
      </c>
      <c r="S330" s="37" t="n">
        <v>83599</v>
      </c>
      <c r="T330" s="37" t="n">
        <v>5</v>
      </c>
      <c r="U330" s="38" t="n">
        <f aca="false">IF(AND(ISNUMBER(K330),ISNUMBER(T330)),K330*T330*52/12,"")</f>
        <v>476.45</v>
      </c>
      <c r="V330" s="15" t="n">
        <v>4.4</v>
      </c>
      <c r="W330" s="37" t="n">
        <v>14841</v>
      </c>
      <c r="X330" s="39" t="n">
        <v>46307</v>
      </c>
      <c r="Y330" s="15"/>
      <c r="Z330" s="40"/>
      <c r="AA330" s="41" t="str">
        <f aca="false">IF(ISNUMBER(Z330),(DATE(2026,10,13)-Z330)/365,"")</f>
        <v/>
      </c>
      <c r="AB330" s="37"/>
      <c r="AC330" s="15"/>
      <c r="AD330" s="15"/>
      <c r="AE330" s="15"/>
      <c r="AF330" s="42"/>
      <c r="AG330" s="42"/>
      <c r="AH330" s="15"/>
      <c r="AI330" s="37"/>
      <c r="AJ330" s="37"/>
      <c r="AK330" s="15"/>
      <c r="AL330" s="43"/>
      <c r="AM330" s="43"/>
      <c r="AN330" s="25" t="str">
        <f aca="false">IF(AND(ISNUMBER(AM330),ISNUMBER(AL330),AL330&gt;=5),AM330/AL330,"")</f>
        <v/>
      </c>
      <c r="AO330" s="43"/>
      <c r="AP330" s="43"/>
      <c r="AQ330" s="25" t="str">
        <f aca="false">IF(AND(ISNUMBER(AP330),ISNUMBER(AO330),AO330&gt;=5),AP330/AO330,"")</f>
        <v/>
      </c>
      <c r="AR330" s="43"/>
      <c r="AS330" s="43"/>
      <c r="AT330" s="22" t="str">
        <f aca="false">IF(AND(ISNUMBER(AS330),ISNUMBER(AR330),AR330&gt;0),AS330/AR330-1,"")</f>
        <v/>
      </c>
      <c r="AU330" s="44"/>
      <c r="AV330" s="44"/>
      <c r="AW330" s="44"/>
      <c r="AX330" s="44"/>
      <c r="AY330" s="44"/>
      <c r="AZ330" s="45"/>
      <c r="BA330" s="45"/>
      <c r="BB330" s="46"/>
      <c r="BC330" s="46"/>
      <c r="BD330" s="23" t="str">
        <f aca="false">IF(AND(ISNUMBER(BB330),ISNUMBER(BC330),BB330&gt;0),1-BC330/BB330,"")</f>
        <v/>
      </c>
      <c r="BE330" s="47"/>
      <c r="BF330" s="48"/>
      <c r="BG330" s="48"/>
      <c r="BH330" s="27" t="str">
        <f aca="false">IF(AND(ISNUMBER(BF330),ISNUMBER(BG330),BG330&gt;0),BF330/BG330,"")</f>
        <v/>
      </c>
      <c r="BI330" s="48"/>
      <c r="BJ330" s="44"/>
      <c r="BK330" s="46"/>
      <c r="BL330" s="46"/>
      <c r="BM330" s="36" t="str">
        <f aca="false">IF(ISNUMBER(Q330),IF(Q330&lt;0,"YES","no"),"")</f>
        <v>YES</v>
      </c>
      <c r="BN330" s="36" t="str">
        <f aca="false">IFERROR(IF(AND(ISNUMBER(K330),ISNUMBER(INDEX('Lift Inputs'!$H:$H,MATCH(C330,'Lift Inputs'!$C:$C,0)))),IF(K330&lt;INDEX('Lift Inputs'!$H:$H,MATCH(C330,'Lift Inputs'!$C:$C,0)),"YES","no"),""),"")</f>
        <v/>
      </c>
      <c r="BO330" s="44"/>
    </row>
    <row r="331" customFormat="false" ht="15" hidden="false" customHeight="false" outlineLevel="0" collapsed="false">
      <c r="A331" s="15" t="s">
        <v>98</v>
      </c>
      <c r="B331" s="15" t="s">
        <v>99</v>
      </c>
      <c r="C331" s="15" t="n">
        <v>55</v>
      </c>
      <c r="D331" s="15" t="s">
        <v>216</v>
      </c>
      <c r="E331" s="15" t="n">
        <v>1750</v>
      </c>
      <c r="F331" s="15" t="s">
        <v>759</v>
      </c>
      <c r="G331" s="15" t="s">
        <v>760</v>
      </c>
      <c r="H331" s="15" t="s">
        <v>761</v>
      </c>
      <c r="I331" s="15" t="s">
        <v>685</v>
      </c>
      <c r="J331" s="15"/>
      <c r="K331" s="35" t="n">
        <v>20.99</v>
      </c>
      <c r="L331" s="35"/>
      <c r="M331" s="23" t="str">
        <f aca="false">IF(AND(ISNUMBER(L331),ISNUMBER(K331),K331&gt;0),L331/K331-1,"")</f>
        <v/>
      </c>
      <c r="N331" s="36" t="str">
        <f aca="false">IF(M331="","No List Price",IF(M331&lt;=0,"At/below price",IF(M331&lt;=0.12,"&lt;=12% (STR zone)",IF(M331&lt;=0.25,"12-25%","&gt;25% (likely ignored)"))))</f>
        <v>No List Price</v>
      </c>
      <c r="O331" s="15"/>
      <c r="P331" s="35" t="n">
        <v>49.9645454545455</v>
      </c>
      <c r="Q331" s="22" t="n">
        <f aca="false">IF(AND(ISNUMBER(K331),ISNUMBER(P331),N(P331)&gt;0),K331/P331-1,"")</f>
        <v>-0.57990211240698</v>
      </c>
      <c r="R331" s="15" t="s">
        <v>353</v>
      </c>
      <c r="S331" s="37" t="n">
        <v>135984</v>
      </c>
      <c r="T331" s="37" t="n">
        <v>5</v>
      </c>
      <c r="U331" s="38" t="n">
        <f aca="false">IF(AND(ISNUMBER(K331),ISNUMBER(T331)),K331*T331*52/12,"")</f>
        <v>454.783333333333</v>
      </c>
      <c r="V331" s="15" t="n">
        <v>4.4</v>
      </c>
      <c r="W331" s="37" t="n">
        <v>8036</v>
      </c>
      <c r="X331" s="39" t="n">
        <v>46307</v>
      </c>
      <c r="Y331" s="15"/>
      <c r="Z331" s="40"/>
      <c r="AA331" s="41" t="str">
        <f aca="false">IF(ISNUMBER(Z331),(DATE(2026,10,13)-Z331)/365,"")</f>
        <v/>
      </c>
      <c r="AB331" s="37"/>
      <c r="AC331" s="15"/>
      <c r="AD331" s="15"/>
      <c r="AE331" s="15"/>
      <c r="AF331" s="42"/>
      <c r="AG331" s="42"/>
      <c r="AH331" s="15"/>
      <c r="AI331" s="37"/>
      <c r="AJ331" s="37"/>
      <c r="AK331" s="15"/>
      <c r="AL331" s="43"/>
      <c r="AM331" s="43"/>
      <c r="AN331" s="25" t="str">
        <f aca="false">IF(AND(ISNUMBER(AM331),ISNUMBER(AL331),AL331&gt;=5),AM331/AL331,"")</f>
        <v/>
      </c>
      <c r="AO331" s="43"/>
      <c r="AP331" s="43"/>
      <c r="AQ331" s="25" t="str">
        <f aca="false">IF(AND(ISNUMBER(AP331),ISNUMBER(AO331),AO331&gt;=5),AP331/AO331,"")</f>
        <v/>
      </c>
      <c r="AR331" s="43"/>
      <c r="AS331" s="43"/>
      <c r="AT331" s="22" t="str">
        <f aca="false">IF(AND(ISNUMBER(AS331),ISNUMBER(AR331),AR331&gt;0),AS331/AR331-1,"")</f>
        <v/>
      </c>
      <c r="AU331" s="44"/>
      <c r="AV331" s="44"/>
      <c r="AW331" s="44"/>
      <c r="AX331" s="44"/>
      <c r="AY331" s="44"/>
      <c r="AZ331" s="45"/>
      <c r="BA331" s="45"/>
      <c r="BB331" s="46"/>
      <c r="BC331" s="46"/>
      <c r="BD331" s="23" t="str">
        <f aca="false">IF(AND(ISNUMBER(BB331),ISNUMBER(BC331),BB331&gt;0),1-BC331/BB331,"")</f>
        <v/>
      </c>
      <c r="BE331" s="47"/>
      <c r="BF331" s="48"/>
      <c r="BG331" s="48"/>
      <c r="BH331" s="27" t="str">
        <f aca="false">IF(AND(ISNUMBER(BF331),ISNUMBER(BG331),BG331&gt;0),BF331/BG331,"")</f>
        <v/>
      </c>
      <c r="BI331" s="48"/>
      <c r="BJ331" s="44"/>
      <c r="BK331" s="46"/>
      <c r="BL331" s="46"/>
      <c r="BM331" s="36" t="str">
        <f aca="false">IF(ISNUMBER(Q331),IF(Q331&lt;0,"YES","no"),"")</f>
        <v>YES</v>
      </c>
      <c r="BN331" s="36" t="str">
        <f aca="false">IFERROR(IF(AND(ISNUMBER(K331),ISNUMBER(INDEX('Lift Inputs'!$H:$H,MATCH(C331,'Lift Inputs'!$C:$C,0)))),IF(K331&lt;INDEX('Lift Inputs'!$H:$H,MATCH(C331,'Lift Inputs'!$C:$C,0)),"YES","no"),""),"")</f>
        <v/>
      </c>
      <c r="BO331" s="44"/>
    </row>
    <row r="332" customFormat="false" ht="15" hidden="false" customHeight="false" outlineLevel="0" collapsed="false">
      <c r="A332" s="15" t="s">
        <v>98</v>
      </c>
      <c r="B332" s="15" t="s">
        <v>99</v>
      </c>
      <c r="C332" s="15" t="n">
        <v>55</v>
      </c>
      <c r="D332" s="15" t="s">
        <v>216</v>
      </c>
      <c r="E332" s="15" t="n">
        <v>1749</v>
      </c>
      <c r="F332" s="15" t="s">
        <v>762</v>
      </c>
      <c r="G332" s="15" t="s">
        <v>763</v>
      </c>
      <c r="H332" s="15" t="s">
        <v>764</v>
      </c>
      <c r="I332" s="15" t="s">
        <v>685</v>
      </c>
      <c r="J332" s="15"/>
      <c r="K332" s="35" t="n">
        <v>20.99</v>
      </c>
      <c r="L332" s="35"/>
      <c r="M332" s="23" t="str">
        <f aca="false">IF(AND(ISNUMBER(L332),ISNUMBER(K332),K332&gt;0),L332/K332-1,"")</f>
        <v/>
      </c>
      <c r="N332" s="36" t="str">
        <f aca="false">IF(M332="","No List Price",IF(M332&lt;=0,"At/below price",IF(M332&lt;=0.12,"&lt;=12% (STR zone)",IF(M332&lt;=0.25,"12-25%","&gt;25% (likely ignored)"))))</f>
        <v>No List Price</v>
      </c>
      <c r="O332" s="15"/>
      <c r="P332" s="35" t="n">
        <v>49.9645454545455</v>
      </c>
      <c r="Q332" s="22" t="n">
        <f aca="false">IF(AND(ISNUMBER(K332),ISNUMBER(P332),N(P332)&gt;0),K332/P332-1,"")</f>
        <v>-0.57990211240698</v>
      </c>
      <c r="R332" s="15" t="s">
        <v>353</v>
      </c>
      <c r="S332" s="37" t="n">
        <v>726721</v>
      </c>
      <c r="T332" s="37" t="n">
        <v>5</v>
      </c>
      <c r="U332" s="38" t="n">
        <f aca="false">IF(AND(ISNUMBER(K332),ISNUMBER(T332)),K332*T332*52/12,"")</f>
        <v>454.783333333333</v>
      </c>
      <c r="V332" s="15" t="n">
        <v>4.5</v>
      </c>
      <c r="W332" s="37" t="n">
        <v>673</v>
      </c>
      <c r="X332" s="39" t="n">
        <v>46307</v>
      </c>
      <c r="Y332" s="15"/>
      <c r="Z332" s="40"/>
      <c r="AA332" s="41" t="str">
        <f aca="false">IF(ISNUMBER(Z332),(DATE(2026,10,13)-Z332)/365,"")</f>
        <v/>
      </c>
      <c r="AB332" s="37"/>
      <c r="AC332" s="15"/>
      <c r="AD332" s="15"/>
      <c r="AE332" s="15"/>
      <c r="AF332" s="42"/>
      <c r="AG332" s="42"/>
      <c r="AH332" s="15"/>
      <c r="AI332" s="37"/>
      <c r="AJ332" s="37"/>
      <c r="AK332" s="15"/>
      <c r="AL332" s="43"/>
      <c r="AM332" s="43"/>
      <c r="AN332" s="25" t="str">
        <f aca="false">IF(AND(ISNUMBER(AM332),ISNUMBER(AL332),AL332&gt;=5),AM332/AL332,"")</f>
        <v/>
      </c>
      <c r="AO332" s="43"/>
      <c r="AP332" s="43"/>
      <c r="AQ332" s="25" t="str">
        <f aca="false">IF(AND(ISNUMBER(AP332),ISNUMBER(AO332),AO332&gt;=5),AP332/AO332,"")</f>
        <v/>
      </c>
      <c r="AR332" s="43"/>
      <c r="AS332" s="43"/>
      <c r="AT332" s="22" t="str">
        <f aca="false">IF(AND(ISNUMBER(AS332),ISNUMBER(AR332),AR332&gt;0),AS332/AR332-1,"")</f>
        <v/>
      </c>
      <c r="AU332" s="44"/>
      <c r="AV332" s="44"/>
      <c r="AW332" s="44"/>
      <c r="AX332" s="44"/>
      <c r="AY332" s="44"/>
      <c r="AZ332" s="45"/>
      <c r="BA332" s="45"/>
      <c r="BB332" s="46"/>
      <c r="BC332" s="46"/>
      <c r="BD332" s="23" t="str">
        <f aca="false">IF(AND(ISNUMBER(BB332),ISNUMBER(BC332),BB332&gt;0),1-BC332/BB332,"")</f>
        <v/>
      </c>
      <c r="BE332" s="47"/>
      <c r="BF332" s="48"/>
      <c r="BG332" s="48"/>
      <c r="BH332" s="27" t="str">
        <f aca="false">IF(AND(ISNUMBER(BF332),ISNUMBER(BG332),BG332&gt;0),BF332/BG332,"")</f>
        <v/>
      </c>
      <c r="BI332" s="48"/>
      <c r="BJ332" s="44"/>
      <c r="BK332" s="46"/>
      <c r="BL332" s="46"/>
      <c r="BM332" s="36" t="str">
        <f aca="false">IF(ISNUMBER(Q332),IF(Q332&lt;0,"YES","no"),"")</f>
        <v>YES</v>
      </c>
      <c r="BN332" s="36" t="str">
        <f aca="false">IFERROR(IF(AND(ISNUMBER(K332),ISNUMBER(INDEX('Lift Inputs'!$H:$H,MATCH(C332,'Lift Inputs'!$C:$C,0)))),IF(K332&lt;INDEX('Lift Inputs'!$H:$H,MATCH(C332,'Lift Inputs'!$C:$C,0)),"YES","no"),""),"")</f>
        <v/>
      </c>
      <c r="BO332" s="44"/>
    </row>
    <row r="333" customFormat="false" ht="15" hidden="false" customHeight="false" outlineLevel="0" collapsed="false">
      <c r="A333" s="15" t="s">
        <v>98</v>
      </c>
      <c r="B333" s="15" t="s">
        <v>99</v>
      </c>
      <c r="C333" s="15" t="n">
        <v>55</v>
      </c>
      <c r="D333" s="15" t="s">
        <v>216</v>
      </c>
      <c r="E333" s="15" t="n">
        <v>1754</v>
      </c>
      <c r="F333" s="15" t="s">
        <v>765</v>
      </c>
      <c r="G333" s="15" t="s">
        <v>766</v>
      </c>
      <c r="H333" s="15" t="s">
        <v>767</v>
      </c>
      <c r="I333" s="15" t="s">
        <v>685</v>
      </c>
      <c r="J333" s="15"/>
      <c r="K333" s="35" t="n">
        <v>22.99</v>
      </c>
      <c r="L333" s="35"/>
      <c r="M333" s="23" t="str">
        <f aca="false">IF(AND(ISNUMBER(L333),ISNUMBER(K333),K333&gt;0),L333/K333-1,"")</f>
        <v/>
      </c>
      <c r="N333" s="36" t="str">
        <f aca="false">IF(M333="","No List Price",IF(M333&lt;=0,"At/below price",IF(M333&lt;=0.12,"&lt;=12% (STR zone)",IF(M333&lt;=0.25,"12-25%","&gt;25% (likely ignored)"))))</f>
        <v>No List Price</v>
      </c>
      <c r="O333" s="15"/>
      <c r="P333" s="35" t="n">
        <v>49.9645454545455</v>
      </c>
      <c r="Q333" s="22" t="n">
        <f aca="false">IF(AND(ISNUMBER(K333),ISNUMBER(P333),N(P333)&gt;0),K333/P333-1,"")</f>
        <v>-0.539873728643948</v>
      </c>
      <c r="R333" s="15" t="s">
        <v>353</v>
      </c>
      <c r="S333" s="37" t="n">
        <v>48946</v>
      </c>
      <c r="T333" s="37" t="n">
        <v>5</v>
      </c>
      <c r="U333" s="38" t="n">
        <f aca="false">IF(AND(ISNUMBER(K333),ISNUMBER(T333)),K333*T333*52/12,"")</f>
        <v>498.116666666667</v>
      </c>
      <c r="V333" s="15" t="n">
        <v>4.7</v>
      </c>
      <c r="W333" s="37" t="n">
        <v>21427</v>
      </c>
      <c r="X333" s="39" t="n">
        <v>46307</v>
      </c>
      <c r="Y333" s="15"/>
      <c r="Z333" s="40"/>
      <c r="AA333" s="41" t="str">
        <f aca="false">IF(ISNUMBER(Z333),(DATE(2026,10,13)-Z333)/365,"")</f>
        <v/>
      </c>
      <c r="AB333" s="37"/>
      <c r="AC333" s="15"/>
      <c r="AD333" s="15"/>
      <c r="AE333" s="15"/>
      <c r="AF333" s="42"/>
      <c r="AG333" s="42"/>
      <c r="AH333" s="15"/>
      <c r="AI333" s="37"/>
      <c r="AJ333" s="37"/>
      <c r="AK333" s="15"/>
      <c r="AL333" s="43"/>
      <c r="AM333" s="43"/>
      <c r="AN333" s="25" t="str">
        <f aca="false">IF(AND(ISNUMBER(AM333),ISNUMBER(AL333),AL333&gt;=5),AM333/AL333,"")</f>
        <v/>
      </c>
      <c r="AO333" s="43"/>
      <c r="AP333" s="43"/>
      <c r="AQ333" s="25" t="str">
        <f aca="false">IF(AND(ISNUMBER(AP333),ISNUMBER(AO333),AO333&gt;=5),AP333/AO333,"")</f>
        <v/>
      </c>
      <c r="AR333" s="43"/>
      <c r="AS333" s="43"/>
      <c r="AT333" s="22" t="str">
        <f aca="false">IF(AND(ISNUMBER(AS333),ISNUMBER(AR333),AR333&gt;0),AS333/AR333-1,"")</f>
        <v/>
      </c>
      <c r="AU333" s="44"/>
      <c r="AV333" s="44"/>
      <c r="AW333" s="44"/>
      <c r="AX333" s="44"/>
      <c r="AY333" s="44"/>
      <c r="AZ333" s="45"/>
      <c r="BA333" s="45"/>
      <c r="BB333" s="46"/>
      <c r="BC333" s="46"/>
      <c r="BD333" s="23" t="str">
        <f aca="false">IF(AND(ISNUMBER(BB333),ISNUMBER(BC333),BB333&gt;0),1-BC333/BB333,"")</f>
        <v/>
      </c>
      <c r="BE333" s="47"/>
      <c r="BF333" s="48"/>
      <c r="BG333" s="48"/>
      <c r="BH333" s="27" t="str">
        <f aca="false">IF(AND(ISNUMBER(BF333),ISNUMBER(BG333),BG333&gt;0),BF333/BG333,"")</f>
        <v/>
      </c>
      <c r="BI333" s="48"/>
      <c r="BJ333" s="44"/>
      <c r="BK333" s="46"/>
      <c r="BL333" s="46"/>
      <c r="BM333" s="36" t="str">
        <f aca="false">IF(ISNUMBER(Q333),IF(Q333&lt;0,"YES","no"),"")</f>
        <v>YES</v>
      </c>
      <c r="BN333" s="36" t="str">
        <f aca="false">IFERROR(IF(AND(ISNUMBER(K333),ISNUMBER(INDEX('Lift Inputs'!$H:$H,MATCH(C333,'Lift Inputs'!$C:$C,0)))),IF(K333&lt;INDEX('Lift Inputs'!$H:$H,MATCH(C333,'Lift Inputs'!$C:$C,0)),"YES","no"),""),"")</f>
        <v/>
      </c>
      <c r="BO333" s="44"/>
    </row>
    <row r="334" customFormat="false" ht="15" hidden="false" customHeight="false" outlineLevel="0" collapsed="false">
      <c r="A334" s="15" t="s">
        <v>98</v>
      </c>
      <c r="B334" s="15" t="s">
        <v>104</v>
      </c>
      <c r="C334" s="15" t="n">
        <v>56</v>
      </c>
      <c r="D334" s="15" t="s">
        <v>216</v>
      </c>
      <c r="E334" s="15" t="n">
        <v>434</v>
      </c>
      <c r="F334" s="15" t="s">
        <v>768</v>
      </c>
      <c r="G334" s="15" t="s">
        <v>769</v>
      </c>
      <c r="H334" s="15" t="s">
        <v>770</v>
      </c>
      <c r="I334" s="15" t="s">
        <v>771</v>
      </c>
      <c r="J334" s="15" t="s">
        <v>176</v>
      </c>
      <c r="K334" s="35" t="n">
        <v>13.99</v>
      </c>
      <c r="L334" s="35" t="n">
        <v>17.99</v>
      </c>
      <c r="M334" s="23" t="n">
        <f aca="false">IF(AND(ISNUMBER(L334),ISNUMBER(K334),K334&gt;0),L334/K334-1,"")</f>
        <v>0.285918513223731</v>
      </c>
      <c r="N334" s="36" t="str">
        <f aca="false">IF(M334="","No List Price",IF(M334&lt;=0,"At/below price",IF(M334&lt;=0.12,"&lt;=12% (STR zone)",IF(M334&lt;=0.25,"12-25%","&gt;25% (likely ignored)"))))</f>
        <v>&gt;25% (likely ignored)</v>
      </c>
      <c r="O334" s="15"/>
      <c r="P334" s="35" t="n">
        <v>25.95</v>
      </c>
      <c r="Q334" s="22" t="n">
        <f aca="false">IF(AND(ISNUMBER(K334),ISNUMBER(P334),N(P334)&gt;0),K334/P334-1,"")</f>
        <v>-0.460886319845857</v>
      </c>
      <c r="R334" s="15" t="s">
        <v>512</v>
      </c>
      <c r="S334" s="37" t="n">
        <v>263</v>
      </c>
      <c r="T334" s="37" t="n">
        <v>13857</v>
      </c>
      <c r="U334" s="38" t="n">
        <f aca="false">IF(AND(ISNUMBER(K334),ISNUMBER(T334)),K334*T334*52/12,"")</f>
        <v>840057.53</v>
      </c>
      <c r="V334" s="15" t="n">
        <v>4.6</v>
      </c>
      <c r="W334" s="37" t="n">
        <v>101412</v>
      </c>
      <c r="X334" s="39" t="n">
        <v>46307</v>
      </c>
      <c r="Y334" s="15"/>
      <c r="Z334" s="40"/>
      <c r="AA334" s="41" t="str">
        <f aca="false">IF(ISNUMBER(Z334),(DATE(2026,10,13)-Z334)/365,"")</f>
        <v/>
      </c>
      <c r="AB334" s="37"/>
      <c r="AC334" s="15"/>
      <c r="AD334" s="15"/>
      <c r="AE334" s="15"/>
      <c r="AF334" s="42"/>
      <c r="AG334" s="42"/>
      <c r="AH334" s="15"/>
      <c r="AI334" s="37"/>
      <c r="AJ334" s="37"/>
      <c r="AK334" s="15" t="s">
        <v>326</v>
      </c>
      <c r="AL334" s="43" t="n">
        <v>2738.1</v>
      </c>
      <c r="AM334" s="43" t="n">
        <v>2904.8</v>
      </c>
      <c r="AN334" s="25" t="n">
        <f aca="false">IF(AND(ISNUMBER(AM334),ISNUMBER(AL334),AL334&gt;=5),AM334/AL334,"")</f>
        <v>1.06088163324933</v>
      </c>
      <c r="AO334" s="43" t="n">
        <v>872.9</v>
      </c>
      <c r="AP334" s="43" t="n">
        <v>1619</v>
      </c>
      <c r="AQ334" s="25" t="n">
        <f aca="false">IF(AND(ISNUMBER(AP334),ISNUMBER(AO334),AO334&gt;=5),AP334/AO334,"")</f>
        <v>1.8547370832856</v>
      </c>
      <c r="AR334" s="43" t="n">
        <v>2414.9</v>
      </c>
      <c r="AS334" s="43" t="n">
        <v>3236.6</v>
      </c>
      <c r="AT334" s="22" t="n">
        <f aca="false">IF(AND(ISNUMBER(AS334),ISNUMBER(AR334),AR334&gt;0),AS334/AR334-1,"")</f>
        <v>0.340262536751004</v>
      </c>
      <c r="AU334" s="44"/>
      <c r="AV334" s="44"/>
      <c r="AW334" s="44"/>
      <c r="AX334" s="44"/>
      <c r="AY334" s="44"/>
      <c r="AZ334" s="45"/>
      <c r="BA334" s="45"/>
      <c r="BB334" s="46"/>
      <c r="BC334" s="46"/>
      <c r="BD334" s="23" t="str">
        <f aca="false">IF(AND(ISNUMBER(BB334),ISNUMBER(BC334),BB334&gt;0),1-BC334/BB334,"")</f>
        <v/>
      </c>
      <c r="BE334" s="47"/>
      <c r="BF334" s="48"/>
      <c r="BG334" s="48"/>
      <c r="BH334" s="27" t="str">
        <f aca="false">IF(AND(ISNUMBER(BF334),ISNUMBER(BG334),BG334&gt;0),BF334/BG334,"")</f>
        <v/>
      </c>
      <c r="BI334" s="48"/>
      <c r="BJ334" s="44"/>
      <c r="BK334" s="46"/>
      <c r="BL334" s="46"/>
      <c r="BM334" s="36" t="str">
        <f aca="false">IF(ISNUMBER(Q334),IF(Q334&lt;0,"YES","no"),"")</f>
        <v>YES</v>
      </c>
      <c r="BN334" s="36" t="str">
        <f aca="false">IFERROR(IF(AND(ISNUMBER(K334),ISNUMBER(INDEX('Lift Inputs'!$H:$H,MATCH(C334,'Lift Inputs'!$C:$C,0)))),IF(K334&lt;INDEX('Lift Inputs'!$H:$H,MATCH(C334,'Lift Inputs'!$C:$C,0)),"YES","no"),""),"")</f>
        <v/>
      </c>
      <c r="BO334" s="44"/>
    </row>
    <row r="335" customFormat="false" ht="15" hidden="false" customHeight="false" outlineLevel="0" collapsed="false">
      <c r="A335" s="15" t="s">
        <v>98</v>
      </c>
      <c r="B335" s="15" t="s">
        <v>104</v>
      </c>
      <c r="C335" s="15" t="n">
        <v>56</v>
      </c>
      <c r="D335" s="15" t="s">
        <v>216</v>
      </c>
      <c r="E335" s="15" t="n">
        <v>1611</v>
      </c>
      <c r="F335" s="15" t="s">
        <v>772</v>
      </c>
      <c r="G335" s="15" t="s">
        <v>773</v>
      </c>
      <c r="H335" s="15" t="s">
        <v>774</v>
      </c>
      <c r="I335" s="15" t="s">
        <v>775</v>
      </c>
      <c r="J335" s="15" t="s">
        <v>176</v>
      </c>
      <c r="K335" s="35" t="n">
        <v>12.95</v>
      </c>
      <c r="L335" s="35" t="n">
        <v>14.39</v>
      </c>
      <c r="M335" s="23" t="n">
        <f aca="false">IF(AND(ISNUMBER(L335),ISNUMBER(K335),K335&gt;0),L335/K335-1,"")</f>
        <v>0.111196911196911</v>
      </c>
      <c r="N335" s="36" t="str">
        <f aca="false">IF(M335="","No List Price",IF(M335&lt;=0,"At/below price",IF(M335&lt;=0.12,"&lt;=12% (STR zone)",IF(M335&lt;=0.25,"12-25%","&gt;25% (likely ignored)"))))</f>
        <v>&lt;=12% (STR zone)</v>
      </c>
      <c r="O335" s="15"/>
      <c r="P335" s="35" t="n">
        <v>25.95</v>
      </c>
      <c r="Q335" s="22" t="n">
        <f aca="false">IF(AND(ISNUMBER(K335),ISNUMBER(P335),N(P335)&gt;0),K335/P335-1,"")</f>
        <v>-0.500963391136802</v>
      </c>
      <c r="R335" s="15" t="s">
        <v>512</v>
      </c>
      <c r="S335" s="37" t="n">
        <v>1574</v>
      </c>
      <c r="T335" s="37" t="n">
        <v>3464</v>
      </c>
      <c r="U335" s="38" t="n">
        <f aca="false">IF(AND(ISNUMBER(K335),ISNUMBER(T335)),K335*T335*52/12,"")</f>
        <v>194388.133333333</v>
      </c>
      <c r="V335" s="15" t="n">
        <v>4.7</v>
      </c>
      <c r="W335" s="37" t="n">
        <v>17354</v>
      </c>
      <c r="X335" s="39" t="n">
        <v>46307</v>
      </c>
      <c r="Y335" s="15"/>
      <c r="Z335" s="40"/>
      <c r="AA335" s="41" t="str">
        <f aca="false">IF(ISNUMBER(Z335),(DATE(2026,10,13)-Z335)/365,"")</f>
        <v/>
      </c>
      <c r="AB335" s="37"/>
      <c r="AC335" s="15"/>
      <c r="AD335" s="15"/>
      <c r="AE335" s="15"/>
      <c r="AF335" s="42"/>
      <c r="AG335" s="42"/>
      <c r="AH335" s="15"/>
      <c r="AI335" s="37"/>
      <c r="AJ335" s="37"/>
      <c r="AK335" s="15" t="s">
        <v>326</v>
      </c>
      <c r="AL335" s="43" t="n">
        <v>1550.6</v>
      </c>
      <c r="AM335" s="43" t="n">
        <v>1539.8</v>
      </c>
      <c r="AN335" s="25" t="n">
        <f aca="false">IF(AND(ISNUMBER(AM335),ISNUMBER(AL335),AL335&gt;=5),AM335/AL335,"")</f>
        <v>0.993034954211273</v>
      </c>
      <c r="AO335" s="43" t="n">
        <v>733.4</v>
      </c>
      <c r="AP335" s="43" t="n">
        <v>808.5</v>
      </c>
      <c r="AQ335" s="25" t="n">
        <f aca="false">IF(AND(ISNUMBER(AP335),ISNUMBER(AO335),AO335&gt;=5),AP335/AO335,"")</f>
        <v>1.10239978183801</v>
      </c>
      <c r="AR335" s="43" t="n">
        <v>1422.4</v>
      </c>
      <c r="AS335" s="43" t="n">
        <v>1740.6</v>
      </c>
      <c r="AT335" s="22" t="n">
        <f aca="false">IF(AND(ISNUMBER(AS335),ISNUMBER(AR335),AR335&gt;0),AS335/AR335-1,"")</f>
        <v>0.223706411698537</v>
      </c>
      <c r="AU335" s="44"/>
      <c r="AV335" s="44"/>
      <c r="AW335" s="44"/>
      <c r="AX335" s="44"/>
      <c r="AY335" s="44"/>
      <c r="AZ335" s="45"/>
      <c r="BA335" s="45"/>
      <c r="BB335" s="46"/>
      <c r="BC335" s="46"/>
      <c r="BD335" s="23" t="str">
        <f aca="false">IF(AND(ISNUMBER(BB335),ISNUMBER(BC335),BB335&gt;0),1-BC335/BB335,"")</f>
        <v/>
      </c>
      <c r="BE335" s="47"/>
      <c r="BF335" s="48"/>
      <c r="BG335" s="48"/>
      <c r="BH335" s="27" t="str">
        <f aca="false">IF(AND(ISNUMBER(BF335),ISNUMBER(BG335),BG335&gt;0),BF335/BG335,"")</f>
        <v/>
      </c>
      <c r="BI335" s="48"/>
      <c r="BJ335" s="44"/>
      <c r="BK335" s="46"/>
      <c r="BL335" s="46"/>
      <c r="BM335" s="36" t="str">
        <f aca="false">IF(ISNUMBER(Q335),IF(Q335&lt;0,"YES","no"),"")</f>
        <v>YES</v>
      </c>
      <c r="BN335" s="36" t="str">
        <f aca="false">IFERROR(IF(AND(ISNUMBER(K335),ISNUMBER(INDEX('Lift Inputs'!$H:$H,MATCH(C335,'Lift Inputs'!$C:$C,0)))),IF(K335&lt;INDEX('Lift Inputs'!$H:$H,MATCH(C335,'Lift Inputs'!$C:$C,0)),"YES","no"),""),"")</f>
        <v/>
      </c>
      <c r="BO335" s="44"/>
    </row>
    <row r="336" customFormat="false" ht="15" hidden="false" customHeight="false" outlineLevel="0" collapsed="false">
      <c r="A336" s="15" t="s">
        <v>98</v>
      </c>
      <c r="B336" s="15" t="s">
        <v>104</v>
      </c>
      <c r="C336" s="15" t="n">
        <v>56</v>
      </c>
      <c r="D336" s="15" t="s">
        <v>216</v>
      </c>
      <c r="E336" s="15" t="n">
        <v>1612</v>
      </c>
      <c r="F336" s="15" t="s">
        <v>776</v>
      </c>
      <c r="G336" s="15" t="s">
        <v>777</v>
      </c>
      <c r="H336" s="15" t="s">
        <v>778</v>
      </c>
      <c r="I336" s="15" t="s">
        <v>775</v>
      </c>
      <c r="J336" s="15" t="s">
        <v>176</v>
      </c>
      <c r="K336" s="35" t="n">
        <v>17.99</v>
      </c>
      <c r="L336" s="35" t="n">
        <v>17.99</v>
      </c>
      <c r="M336" s="23" t="n">
        <f aca="false">IF(AND(ISNUMBER(L336),ISNUMBER(K336),K336&gt;0),L336/K336-1,"")</f>
        <v>0</v>
      </c>
      <c r="N336" s="36" t="str">
        <f aca="false">IF(M336="","No List Price",IF(M336&lt;=0,"At/below price",IF(M336&lt;=0.12,"&lt;=12% (STR zone)",IF(M336&lt;=0.25,"12-25%","&gt;25% (likely ignored)"))))</f>
        <v>At/below price</v>
      </c>
      <c r="O336" s="15"/>
      <c r="P336" s="35" t="n">
        <v>25.95</v>
      </c>
      <c r="Q336" s="22" t="n">
        <f aca="false">IF(AND(ISNUMBER(K336),ISNUMBER(P336),N(P336)&gt;0),K336/P336-1,"")</f>
        <v>-0.306743737957611</v>
      </c>
      <c r="R336" s="15" t="s">
        <v>512</v>
      </c>
      <c r="S336" s="37" t="n">
        <v>1837</v>
      </c>
      <c r="T336" s="37" t="n">
        <v>1848</v>
      </c>
      <c r="U336" s="38" t="n">
        <f aca="false">IF(AND(ISNUMBER(K336),ISNUMBER(T336)),K336*T336*52/12,"")</f>
        <v>144063.92</v>
      </c>
      <c r="V336" s="15" t="n">
        <v>4.3</v>
      </c>
      <c r="W336" s="37" t="n">
        <v>1648</v>
      </c>
      <c r="X336" s="39" t="n">
        <v>46307</v>
      </c>
      <c r="Y336" s="15"/>
      <c r="Z336" s="40"/>
      <c r="AA336" s="41" t="str">
        <f aca="false">IF(ISNUMBER(Z336),(DATE(2026,10,13)-Z336)/365,"")</f>
        <v/>
      </c>
      <c r="AB336" s="37"/>
      <c r="AC336" s="15"/>
      <c r="AD336" s="15"/>
      <c r="AE336" s="15"/>
      <c r="AF336" s="42"/>
      <c r="AG336" s="42"/>
      <c r="AH336" s="15"/>
      <c r="AI336" s="37"/>
      <c r="AJ336" s="37"/>
      <c r="AK336" s="15"/>
      <c r="AL336" s="43"/>
      <c r="AM336" s="43"/>
      <c r="AN336" s="25" t="str">
        <f aca="false">IF(AND(ISNUMBER(AM336),ISNUMBER(AL336),AL336&gt;=5),AM336/AL336,"")</f>
        <v/>
      </c>
      <c r="AO336" s="43"/>
      <c r="AP336" s="43"/>
      <c r="AQ336" s="25" t="str">
        <f aca="false">IF(AND(ISNUMBER(AP336),ISNUMBER(AO336),AO336&gt;=5),AP336/AO336,"")</f>
        <v/>
      </c>
      <c r="AR336" s="43"/>
      <c r="AS336" s="43"/>
      <c r="AT336" s="22" t="str">
        <f aca="false">IF(AND(ISNUMBER(AS336),ISNUMBER(AR336),AR336&gt;0),AS336/AR336-1,"")</f>
        <v/>
      </c>
      <c r="AU336" s="44"/>
      <c r="AV336" s="44"/>
      <c r="AW336" s="44"/>
      <c r="AX336" s="44"/>
      <c r="AY336" s="44"/>
      <c r="AZ336" s="45"/>
      <c r="BA336" s="45"/>
      <c r="BB336" s="46"/>
      <c r="BC336" s="46"/>
      <c r="BD336" s="23" t="str">
        <f aca="false">IF(AND(ISNUMBER(BB336),ISNUMBER(BC336),BB336&gt;0),1-BC336/BB336,"")</f>
        <v/>
      </c>
      <c r="BE336" s="47"/>
      <c r="BF336" s="48"/>
      <c r="BG336" s="48"/>
      <c r="BH336" s="27" t="str">
        <f aca="false">IF(AND(ISNUMBER(BF336),ISNUMBER(BG336),BG336&gt;0),BF336/BG336,"")</f>
        <v/>
      </c>
      <c r="BI336" s="48"/>
      <c r="BJ336" s="44"/>
      <c r="BK336" s="46"/>
      <c r="BL336" s="46"/>
      <c r="BM336" s="36" t="str">
        <f aca="false">IF(ISNUMBER(Q336),IF(Q336&lt;0,"YES","no"),"")</f>
        <v>YES</v>
      </c>
      <c r="BN336" s="36" t="str">
        <f aca="false">IFERROR(IF(AND(ISNUMBER(K336),ISNUMBER(INDEX('Lift Inputs'!$H:$H,MATCH(C336,'Lift Inputs'!$C:$C,0)))),IF(K336&lt;INDEX('Lift Inputs'!$H:$H,MATCH(C336,'Lift Inputs'!$C:$C,0)),"YES","no"),""),"")</f>
        <v/>
      </c>
      <c r="BO336" s="44"/>
    </row>
    <row r="337" customFormat="false" ht="15" hidden="false" customHeight="false" outlineLevel="0" collapsed="false">
      <c r="A337" s="15" t="s">
        <v>98</v>
      </c>
      <c r="B337" s="15" t="s">
        <v>104</v>
      </c>
      <c r="C337" s="15" t="n">
        <v>56</v>
      </c>
      <c r="D337" s="15" t="s">
        <v>216</v>
      </c>
      <c r="E337" s="15" t="n">
        <v>1631</v>
      </c>
      <c r="F337" s="15" t="s">
        <v>779</v>
      </c>
      <c r="G337" s="15" t="s">
        <v>780</v>
      </c>
      <c r="H337" s="15" t="s">
        <v>781</v>
      </c>
      <c r="I337" s="15" t="s">
        <v>771</v>
      </c>
      <c r="J337" s="15" t="s">
        <v>176</v>
      </c>
      <c r="K337" s="35" t="n">
        <v>16.99</v>
      </c>
      <c r="L337" s="35"/>
      <c r="M337" s="23" t="str">
        <f aca="false">IF(AND(ISNUMBER(L337),ISNUMBER(K337),K337&gt;0),L337/K337-1,"")</f>
        <v/>
      </c>
      <c r="N337" s="36" t="str">
        <f aca="false">IF(M337="","No List Price",IF(M337&lt;=0,"At/below price",IF(M337&lt;=0.12,"&lt;=12% (STR zone)",IF(M337&lt;=0.25,"12-25%","&gt;25% (likely ignored)"))))</f>
        <v>No List Price</v>
      </c>
      <c r="O337" s="15"/>
      <c r="P337" s="35" t="n">
        <v>25.95</v>
      </c>
      <c r="Q337" s="22" t="n">
        <f aca="false">IF(AND(ISNUMBER(K337),ISNUMBER(P337),N(P337)&gt;0),K337/P337-1,"")</f>
        <v>-0.345279383429672</v>
      </c>
      <c r="R337" s="15" t="s">
        <v>512</v>
      </c>
      <c r="S337" s="37" t="n">
        <v>5419</v>
      </c>
      <c r="T337" s="37" t="n">
        <v>1848</v>
      </c>
      <c r="U337" s="38" t="n">
        <f aca="false">IF(AND(ISNUMBER(K337),ISNUMBER(T337)),K337*T337*52/12,"")</f>
        <v>136055.92</v>
      </c>
      <c r="V337" s="15" t="n">
        <v>4.6</v>
      </c>
      <c r="W337" s="37" t="n">
        <v>8046</v>
      </c>
      <c r="X337" s="39" t="n">
        <v>46307</v>
      </c>
      <c r="Y337" s="15"/>
      <c r="Z337" s="40"/>
      <c r="AA337" s="41" t="str">
        <f aca="false">IF(ISNUMBER(Z337),(DATE(2026,10,13)-Z337)/365,"")</f>
        <v/>
      </c>
      <c r="AB337" s="37"/>
      <c r="AC337" s="15"/>
      <c r="AD337" s="15"/>
      <c r="AE337" s="15"/>
      <c r="AF337" s="42"/>
      <c r="AG337" s="42"/>
      <c r="AH337" s="15"/>
      <c r="AI337" s="37"/>
      <c r="AJ337" s="37"/>
      <c r="AK337" s="15" t="s">
        <v>326</v>
      </c>
      <c r="AL337" s="43" t="n">
        <v>735</v>
      </c>
      <c r="AM337" s="43" t="n">
        <v>782</v>
      </c>
      <c r="AN337" s="25" t="n">
        <f aca="false">IF(AND(ISNUMBER(AM337),ISNUMBER(AL337),AL337&gt;=5),AM337/AL337,"")</f>
        <v>1.06394557823129</v>
      </c>
      <c r="AO337" s="43" t="n">
        <v>200.9</v>
      </c>
      <c r="AP337" s="43" t="n">
        <v>466</v>
      </c>
      <c r="AQ337" s="25" t="n">
        <f aca="false">IF(AND(ISNUMBER(AP337),ISNUMBER(AO337),AO337&gt;=5),AP337/AO337,"")</f>
        <v>2.31956197112992</v>
      </c>
      <c r="AR337" s="43" t="n">
        <v>699.2</v>
      </c>
      <c r="AS337" s="43" t="n">
        <v>1015</v>
      </c>
      <c r="AT337" s="22" t="n">
        <f aca="false">IF(AND(ISNUMBER(AS337),ISNUMBER(AR337),AR337&gt;0),AS337/AR337-1,"")</f>
        <v>0.451659038901602</v>
      </c>
      <c r="AU337" s="44"/>
      <c r="AV337" s="44"/>
      <c r="AW337" s="44"/>
      <c r="AX337" s="44"/>
      <c r="AY337" s="44"/>
      <c r="AZ337" s="45"/>
      <c r="BA337" s="45"/>
      <c r="BB337" s="46"/>
      <c r="BC337" s="46"/>
      <c r="BD337" s="23" t="str">
        <f aca="false">IF(AND(ISNUMBER(BB337),ISNUMBER(BC337),BB337&gt;0),1-BC337/BB337,"")</f>
        <v/>
      </c>
      <c r="BE337" s="47"/>
      <c r="BF337" s="48"/>
      <c r="BG337" s="48"/>
      <c r="BH337" s="27" t="str">
        <f aca="false">IF(AND(ISNUMBER(BF337),ISNUMBER(BG337),BG337&gt;0),BF337/BG337,"")</f>
        <v/>
      </c>
      <c r="BI337" s="48"/>
      <c r="BJ337" s="44"/>
      <c r="BK337" s="46"/>
      <c r="BL337" s="46"/>
      <c r="BM337" s="36" t="str">
        <f aca="false">IF(ISNUMBER(Q337),IF(Q337&lt;0,"YES","no"),"")</f>
        <v>YES</v>
      </c>
      <c r="BN337" s="36" t="str">
        <f aca="false">IFERROR(IF(AND(ISNUMBER(K337),ISNUMBER(INDEX('Lift Inputs'!$H:$H,MATCH(C337,'Lift Inputs'!$C:$C,0)))),IF(K337&lt;INDEX('Lift Inputs'!$H:$H,MATCH(C337,'Lift Inputs'!$C:$C,0)),"YES","no"),""),"")</f>
        <v/>
      </c>
      <c r="BO337" s="44"/>
    </row>
    <row r="338" customFormat="false" ht="15" hidden="false" customHeight="false" outlineLevel="0" collapsed="false">
      <c r="A338" s="15" t="s">
        <v>98</v>
      </c>
      <c r="B338" s="15" t="s">
        <v>104</v>
      </c>
      <c r="C338" s="15" t="n">
        <v>56</v>
      </c>
      <c r="D338" s="15" t="s">
        <v>216</v>
      </c>
      <c r="E338" s="15" t="n">
        <v>1627</v>
      </c>
      <c r="F338" s="15" t="s">
        <v>782</v>
      </c>
      <c r="G338" s="15" t="s">
        <v>783</v>
      </c>
      <c r="H338" s="15" t="s">
        <v>784</v>
      </c>
      <c r="I338" s="15" t="s">
        <v>771</v>
      </c>
      <c r="J338" s="15" t="s">
        <v>176</v>
      </c>
      <c r="K338" s="35" t="n">
        <v>9.98</v>
      </c>
      <c r="L338" s="35"/>
      <c r="M338" s="23" t="str">
        <f aca="false">IF(AND(ISNUMBER(L338),ISNUMBER(K338),K338&gt;0),L338/K338-1,"")</f>
        <v/>
      </c>
      <c r="N338" s="36" t="str">
        <f aca="false">IF(M338="","No List Price",IF(M338&lt;=0,"At/below price",IF(M338&lt;=0.12,"&lt;=12% (STR zone)",IF(M338&lt;=0.25,"12-25%","&gt;25% (likely ignored)"))))</f>
        <v>No List Price</v>
      </c>
      <c r="O338" s="15"/>
      <c r="P338" s="35" t="n">
        <v>25.95</v>
      </c>
      <c r="Q338" s="22" t="n">
        <f aca="false">IF(AND(ISNUMBER(K338),ISNUMBER(P338),N(P338)&gt;0),K338/P338-1,"")</f>
        <v>-0.615414258188825</v>
      </c>
      <c r="R338" s="15" t="s">
        <v>512</v>
      </c>
      <c r="S338" s="37" t="n">
        <v>4808</v>
      </c>
      <c r="T338" s="37" t="n">
        <v>1732</v>
      </c>
      <c r="U338" s="38" t="n">
        <f aca="false">IF(AND(ISNUMBER(K338),ISNUMBER(T338)),K338*T338*52/12,"")</f>
        <v>74903.2266666667</v>
      </c>
      <c r="V338" s="15" t="n">
        <v>4.6</v>
      </c>
      <c r="W338" s="37" t="n">
        <v>3765</v>
      </c>
      <c r="X338" s="39" t="n">
        <v>46307</v>
      </c>
      <c r="Y338" s="15"/>
      <c r="Z338" s="40"/>
      <c r="AA338" s="41" t="str">
        <f aca="false">IF(ISNUMBER(Z338),(DATE(2026,10,13)-Z338)/365,"")</f>
        <v/>
      </c>
      <c r="AB338" s="37"/>
      <c r="AC338" s="15"/>
      <c r="AD338" s="15"/>
      <c r="AE338" s="15"/>
      <c r="AF338" s="42"/>
      <c r="AG338" s="42"/>
      <c r="AH338" s="15"/>
      <c r="AI338" s="37"/>
      <c r="AJ338" s="37"/>
      <c r="AK338" s="15" t="s">
        <v>326</v>
      </c>
      <c r="AL338" s="43" t="n">
        <v>727.6</v>
      </c>
      <c r="AM338" s="43" t="n">
        <v>734</v>
      </c>
      <c r="AN338" s="25" t="n">
        <f aca="false">IF(AND(ISNUMBER(AM338),ISNUMBER(AL338),AL338&gt;=5),AM338/AL338,"")</f>
        <v>1.0087960417812</v>
      </c>
      <c r="AO338" s="43" t="n">
        <v>82.5</v>
      </c>
      <c r="AP338" s="43" t="n">
        <v>95.5</v>
      </c>
      <c r="AQ338" s="25" t="n">
        <f aca="false">IF(AND(ISNUMBER(AP338),ISNUMBER(AO338),AO338&gt;=5),AP338/AO338,"")</f>
        <v>1.15757575757576</v>
      </c>
      <c r="AR338" s="43" t="n">
        <v>719</v>
      </c>
      <c r="AS338" s="43" t="n">
        <v>518.7</v>
      </c>
      <c r="AT338" s="22" t="n">
        <f aca="false">IF(AND(ISNUMBER(AS338),ISNUMBER(AR338),AR338&gt;0),AS338/AR338-1,"")</f>
        <v>-0.278581363004172</v>
      </c>
      <c r="AU338" s="44"/>
      <c r="AV338" s="44"/>
      <c r="AW338" s="44"/>
      <c r="AX338" s="44"/>
      <c r="AY338" s="44"/>
      <c r="AZ338" s="45"/>
      <c r="BA338" s="45"/>
      <c r="BB338" s="46"/>
      <c r="BC338" s="46"/>
      <c r="BD338" s="23" t="str">
        <f aca="false">IF(AND(ISNUMBER(BB338),ISNUMBER(BC338),BB338&gt;0),1-BC338/BB338,"")</f>
        <v/>
      </c>
      <c r="BE338" s="47"/>
      <c r="BF338" s="48"/>
      <c r="BG338" s="48"/>
      <c r="BH338" s="27" t="str">
        <f aca="false">IF(AND(ISNUMBER(BF338),ISNUMBER(BG338),BG338&gt;0),BF338/BG338,"")</f>
        <v/>
      </c>
      <c r="BI338" s="48"/>
      <c r="BJ338" s="44"/>
      <c r="BK338" s="46"/>
      <c r="BL338" s="46"/>
      <c r="BM338" s="36" t="str">
        <f aca="false">IF(ISNUMBER(Q338),IF(Q338&lt;0,"YES","no"),"")</f>
        <v>YES</v>
      </c>
      <c r="BN338" s="36" t="str">
        <f aca="false">IFERROR(IF(AND(ISNUMBER(K338),ISNUMBER(INDEX('Lift Inputs'!$H:$H,MATCH(C338,'Lift Inputs'!$C:$C,0)))),IF(K338&lt;INDEX('Lift Inputs'!$H:$H,MATCH(C338,'Lift Inputs'!$C:$C,0)),"YES","no"),""),"")</f>
        <v/>
      </c>
      <c r="BO338" s="44"/>
    </row>
    <row r="339" customFormat="false" ht="15" hidden="false" customHeight="false" outlineLevel="0" collapsed="false">
      <c r="A339" s="15" t="s">
        <v>98</v>
      </c>
      <c r="B339" s="15" t="s">
        <v>104</v>
      </c>
      <c r="C339" s="15" t="n">
        <v>56</v>
      </c>
      <c r="D339" s="15" t="s">
        <v>216</v>
      </c>
      <c r="E339" s="15" t="n">
        <v>1614</v>
      </c>
      <c r="F339" s="15" t="s">
        <v>785</v>
      </c>
      <c r="G339" s="15" t="s">
        <v>786</v>
      </c>
      <c r="H339" s="15" t="s">
        <v>787</v>
      </c>
      <c r="I339" s="15" t="s">
        <v>775</v>
      </c>
      <c r="J339" s="15" t="s">
        <v>176</v>
      </c>
      <c r="K339" s="35" t="n">
        <v>9.99</v>
      </c>
      <c r="L339" s="35"/>
      <c r="M339" s="23" t="str">
        <f aca="false">IF(AND(ISNUMBER(L339),ISNUMBER(K339),K339&gt;0),L339/K339-1,"")</f>
        <v/>
      </c>
      <c r="N339" s="36" t="str">
        <f aca="false">IF(M339="","No List Price",IF(M339&lt;=0,"At/below price",IF(M339&lt;=0.12,"&lt;=12% (STR zone)",IF(M339&lt;=0.25,"12-25%","&gt;25% (likely ignored)"))))</f>
        <v>No List Price</v>
      </c>
      <c r="O339" s="15"/>
      <c r="P339" s="35" t="n">
        <v>25.95</v>
      </c>
      <c r="Q339" s="22" t="n">
        <f aca="false">IF(AND(ISNUMBER(K339),ISNUMBER(P339),N(P339)&gt;0),K339/P339-1,"")</f>
        <v>-0.615028901734104</v>
      </c>
      <c r="R339" s="15" t="s">
        <v>512</v>
      </c>
      <c r="S339" s="37" t="n">
        <v>8556</v>
      </c>
      <c r="T339" s="37" t="n">
        <v>809</v>
      </c>
      <c r="U339" s="38" t="n">
        <f aca="false">IF(AND(ISNUMBER(K339),ISNUMBER(T339)),K339*T339*52/12,"")</f>
        <v>35021.61</v>
      </c>
      <c r="V339" s="15" t="n">
        <v>4.4</v>
      </c>
      <c r="W339" s="37" t="n">
        <v>12325</v>
      </c>
      <c r="X339" s="39" t="n">
        <v>46307</v>
      </c>
      <c r="Y339" s="15"/>
      <c r="Z339" s="40"/>
      <c r="AA339" s="41" t="str">
        <f aca="false">IF(ISNUMBER(Z339),(DATE(2026,10,13)-Z339)/365,"")</f>
        <v/>
      </c>
      <c r="AB339" s="37"/>
      <c r="AC339" s="15"/>
      <c r="AD339" s="15"/>
      <c r="AE339" s="15"/>
      <c r="AF339" s="42"/>
      <c r="AG339" s="42"/>
      <c r="AH339" s="15"/>
      <c r="AI339" s="37" t="n">
        <v>106430</v>
      </c>
      <c r="AJ339" s="37" t="n">
        <v>644</v>
      </c>
      <c r="AK339" s="15" t="s">
        <v>326</v>
      </c>
      <c r="AL339" s="43" t="n">
        <v>222.8</v>
      </c>
      <c r="AM339" s="43" t="n">
        <v>348.2</v>
      </c>
      <c r="AN339" s="25" t="n">
        <f aca="false">IF(AND(ISNUMBER(AM339),ISNUMBER(AL339),AL339&gt;=5),AM339/AL339,"")</f>
        <v>1.56283662477558</v>
      </c>
      <c r="AO339" s="43" t="n">
        <v>9.4</v>
      </c>
      <c r="AP339" s="43" t="n">
        <v>8.2</v>
      </c>
      <c r="AQ339" s="25" t="n">
        <f aca="false">IF(AND(ISNUMBER(AP339),ISNUMBER(AO339),AO339&gt;=5),AP339/AO339,"")</f>
        <v>0.872340425531915</v>
      </c>
      <c r="AR339" s="43" t="n">
        <v>355.9</v>
      </c>
      <c r="AS339" s="43" t="n">
        <v>491.4</v>
      </c>
      <c r="AT339" s="22" t="n">
        <f aca="false">IF(AND(ISNUMBER(AS339),ISNUMBER(AR339),AR339&gt;0),AS339/AR339-1,"")</f>
        <v>0.380724922731104</v>
      </c>
      <c r="AU339" s="44"/>
      <c r="AV339" s="44"/>
      <c r="AW339" s="44"/>
      <c r="AX339" s="44"/>
      <c r="AY339" s="44"/>
      <c r="AZ339" s="45"/>
      <c r="BA339" s="45"/>
      <c r="BB339" s="46"/>
      <c r="BC339" s="46"/>
      <c r="BD339" s="23" t="str">
        <f aca="false">IF(AND(ISNUMBER(BB339),ISNUMBER(BC339),BB339&gt;0),1-BC339/BB339,"")</f>
        <v/>
      </c>
      <c r="BE339" s="47"/>
      <c r="BF339" s="48"/>
      <c r="BG339" s="48"/>
      <c r="BH339" s="27" t="str">
        <f aca="false">IF(AND(ISNUMBER(BF339),ISNUMBER(BG339),BG339&gt;0),BF339/BG339,"")</f>
        <v/>
      </c>
      <c r="BI339" s="48"/>
      <c r="BJ339" s="44"/>
      <c r="BK339" s="46"/>
      <c r="BL339" s="46"/>
      <c r="BM339" s="36" t="str">
        <f aca="false">IF(ISNUMBER(Q339),IF(Q339&lt;0,"YES","no"),"")</f>
        <v>YES</v>
      </c>
      <c r="BN339" s="36" t="str">
        <f aca="false">IFERROR(IF(AND(ISNUMBER(K339),ISNUMBER(INDEX('Lift Inputs'!$H:$H,MATCH(C339,'Lift Inputs'!$C:$C,0)))),IF(K339&lt;INDEX('Lift Inputs'!$H:$H,MATCH(C339,'Lift Inputs'!$C:$C,0)),"YES","no"),""),"")</f>
        <v/>
      </c>
      <c r="BO339" s="44"/>
    </row>
    <row r="340" customFormat="false" ht="15" hidden="false" customHeight="false" outlineLevel="0" collapsed="false">
      <c r="A340" s="15" t="s">
        <v>98</v>
      </c>
      <c r="B340" s="15" t="s">
        <v>104</v>
      </c>
      <c r="C340" s="15" t="n">
        <v>56</v>
      </c>
      <c r="D340" s="15" t="s">
        <v>216</v>
      </c>
      <c r="E340" s="15" t="n">
        <v>1629</v>
      </c>
      <c r="F340" s="15" t="s">
        <v>788</v>
      </c>
      <c r="G340" s="15" t="s">
        <v>789</v>
      </c>
      <c r="H340" s="15" t="s">
        <v>790</v>
      </c>
      <c r="I340" s="15" t="s">
        <v>771</v>
      </c>
      <c r="J340" s="15" t="s">
        <v>176</v>
      </c>
      <c r="K340" s="35" t="n">
        <v>9.99</v>
      </c>
      <c r="L340" s="35"/>
      <c r="M340" s="23" t="str">
        <f aca="false">IF(AND(ISNUMBER(L340),ISNUMBER(K340),K340&gt;0),L340/K340-1,"")</f>
        <v/>
      </c>
      <c r="N340" s="36" t="str">
        <f aca="false">IF(M340="","No List Price",IF(M340&lt;=0,"At/below price",IF(M340&lt;=0.12,"&lt;=12% (STR zone)",IF(M340&lt;=0.25,"12-25%","&gt;25% (likely ignored)"))))</f>
        <v>No List Price</v>
      </c>
      <c r="O340" s="15"/>
      <c r="P340" s="35" t="n">
        <v>25.95</v>
      </c>
      <c r="Q340" s="22" t="n">
        <f aca="false">IF(AND(ISNUMBER(K340),ISNUMBER(P340),N(P340)&gt;0),K340/P340-1,"")</f>
        <v>-0.615028901734104</v>
      </c>
      <c r="R340" s="15" t="s">
        <v>512</v>
      </c>
      <c r="S340" s="37" t="n">
        <v>11877</v>
      </c>
      <c r="T340" s="37" t="n">
        <v>347</v>
      </c>
      <c r="U340" s="38" t="n">
        <f aca="false">IF(AND(ISNUMBER(K340),ISNUMBER(T340)),K340*T340*52/12,"")</f>
        <v>15021.63</v>
      </c>
      <c r="V340" s="15" t="n">
        <v>4.5</v>
      </c>
      <c r="W340" s="37" t="n">
        <v>1593</v>
      </c>
      <c r="X340" s="39" t="n">
        <v>46307</v>
      </c>
      <c r="Y340" s="15"/>
      <c r="Z340" s="40"/>
      <c r="AA340" s="41" t="str">
        <f aca="false">IF(ISNUMBER(Z340),(DATE(2026,10,13)-Z340)/365,"")</f>
        <v/>
      </c>
      <c r="AB340" s="37"/>
      <c r="AC340" s="15"/>
      <c r="AD340" s="15"/>
      <c r="AE340" s="15"/>
      <c r="AF340" s="42"/>
      <c r="AG340" s="42"/>
      <c r="AH340" s="15"/>
      <c r="AI340" s="37"/>
      <c r="AJ340" s="37"/>
      <c r="AK340" s="15" t="s">
        <v>326</v>
      </c>
      <c r="AL340" s="43" t="n">
        <v>137.3</v>
      </c>
      <c r="AM340" s="43" t="n">
        <v>180.2</v>
      </c>
      <c r="AN340" s="25" t="n">
        <f aca="false">IF(AND(ISNUMBER(AM340),ISNUMBER(AL340),AL340&gt;=5),AM340/AL340,"")</f>
        <v>1.31245447924253</v>
      </c>
      <c r="AO340" s="43" t="n">
        <v>68.2</v>
      </c>
      <c r="AP340" s="43" t="n">
        <v>86.2</v>
      </c>
      <c r="AQ340" s="25" t="n">
        <f aca="false">IF(AND(ISNUMBER(AP340),ISNUMBER(AO340),AO340&gt;=5),AP340/AO340,"")</f>
        <v>1.26392961876833</v>
      </c>
      <c r="AR340" s="43" t="n">
        <v>156</v>
      </c>
      <c r="AS340" s="43" t="n">
        <v>129.1</v>
      </c>
      <c r="AT340" s="22" t="n">
        <f aca="false">IF(AND(ISNUMBER(AS340),ISNUMBER(AR340),AR340&gt;0),AS340/AR340-1,"")</f>
        <v>-0.172435897435898</v>
      </c>
      <c r="AU340" s="44"/>
      <c r="AV340" s="44"/>
      <c r="AW340" s="44"/>
      <c r="AX340" s="44"/>
      <c r="AY340" s="44"/>
      <c r="AZ340" s="45"/>
      <c r="BA340" s="45"/>
      <c r="BB340" s="46"/>
      <c r="BC340" s="46"/>
      <c r="BD340" s="23" t="str">
        <f aca="false">IF(AND(ISNUMBER(BB340),ISNUMBER(BC340),BB340&gt;0),1-BC340/BB340,"")</f>
        <v/>
      </c>
      <c r="BE340" s="47"/>
      <c r="BF340" s="48"/>
      <c r="BG340" s="48"/>
      <c r="BH340" s="27" t="str">
        <f aca="false">IF(AND(ISNUMBER(BF340),ISNUMBER(BG340),BG340&gt;0),BF340/BG340,"")</f>
        <v/>
      </c>
      <c r="BI340" s="48"/>
      <c r="BJ340" s="44"/>
      <c r="BK340" s="46"/>
      <c r="BL340" s="46"/>
      <c r="BM340" s="36" t="str">
        <f aca="false">IF(ISNUMBER(Q340),IF(Q340&lt;0,"YES","no"),"")</f>
        <v>YES</v>
      </c>
      <c r="BN340" s="36" t="str">
        <f aca="false">IFERROR(IF(AND(ISNUMBER(K340),ISNUMBER(INDEX('Lift Inputs'!$H:$H,MATCH(C340,'Lift Inputs'!$C:$C,0)))),IF(K340&lt;INDEX('Lift Inputs'!$H:$H,MATCH(C340,'Lift Inputs'!$C:$C,0)),"YES","no"),""),"")</f>
        <v/>
      </c>
      <c r="BO340" s="44"/>
    </row>
    <row r="341" customFormat="false" ht="15" hidden="false" customHeight="false" outlineLevel="0" collapsed="false">
      <c r="A341" s="15" t="s">
        <v>98</v>
      </c>
      <c r="B341" s="15" t="s">
        <v>104</v>
      </c>
      <c r="C341" s="15" t="n">
        <v>56</v>
      </c>
      <c r="D341" s="15" t="s">
        <v>216</v>
      </c>
      <c r="E341" s="15" t="n">
        <v>299</v>
      </c>
      <c r="F341" s="15" t="s">
        <v>791</v>
      </c>
      <c r="G341" s="15" t="s">
        <v>792</v>
      </c>
      <c r="H341" s="15" t="s">
        <v>793</v>
      </c>
      <c r="I341" s="15" t="s">
        <v>794</v>
      </c>
      <c r="J341" s="15" t="s">
        <v>176</v>
      </c>
      <c r="K341" s="35" t="n">
        <v>19.99</v>
      </c>
      <c r="L341" s="35"/>
      <c r="M341" s="23" t="str">
        <f aca="false">IF(AND(ISNUMBER(L341),ISNUMBER(K341),K341&gt;0),L341/K341-1,"")</f>
        <v/>
      </c>
      <c r="N341" s="36" t="str">
        <f aca="false">IF(M341="","No List Price",IF(M341&lt;=0,"At/below price",IF(M341&lt;=0.12,"&lt;=12% (STR zone)",IF(M341&lt;=0.25,"12-25%","&gt;25% (likely ignored)"))))</f>
        <v>No List Price</v>
      </c>
      <c r="O341" s="15"/>
      <c r="P341" s="35" t="n">
        <v>25.95</v>
      </c>
      <c r="Q341" s="22" t="n">
        <f aca="false">IF(AND(ISNUMBER(K341),ISNUMBER(P341),N(P341)&gt;0),K341/P341-1,"")</f>
        <v>-0.229672447013488</v>
      </c>
      <c r="R341" s="15" t="s">
        <v>512</v>
      </c>
      <c r="S341" s="37" t="n">
        <v>11617</v>
      </c>
      <c r="T341" s="37" t="n">
        <v>347</v>
      </c>
      <c r="U341" s="38" t="n">
        <f aca="false">IF(AND(ISNUMBER(K341),ISNUMBER(T341)),K341*T341*52/12,"")</f>
        <v>30058.2966666667</v>
      </c>
      <c r="V341" s="15" t="n">
        <v>4.5</v>
      </c>
      <c r="W341" s="37" t="n">
        <v>1571</v>
      </c>
      <c r="X341" s="39" t="n">
        <v>46307</v>
      </c>
      <c r="Y341" s="15" t="n">
        <v>6</v>
      </c>
      <c r="Z341" s="40" t="n">
        <v>43655</v>
      </c>
      <c r="AA341" s="41" t="n">
        <f aca="false">IF(ISNUMBER(Z341),(DATE(2026,10,13)-Z341)/365,"")</f>
        <v>7.26849315068493</v>
      </c>
      <c r="AB341" s="37" t="n">
        <v>3019</v>
      </c>
      <c r="AC341" s="15" t="s">
        <v>313</v>
      </c>
      <c r="AD341" s="15" t="n">
        <v>1</v>
      </c>
      <c r="AE341" s="15" t="s">
        <v>331</v>
      </c>
      <c r="AF341" s="42" t="n">
        <v>0.014</v>
      </c>
      <c r="AG341" s="42" t="n">
        <v>0.0182460403748764</v>
      </c>
      <c r="AH341" s="15" t="n">
        <v>219</v>
      </c>
      <c r="AI341" s="37" t="n">
        <v>151964</v>
      </c>
      <c r="AJ341" s="37" t="n">
        <v>580</v>
      </c>
      <c r="AK341" s="15"/>
      <c r="AL341" s="43"/>
      <c r="AM341" s="43"/>
      <c r="AN341" s="25" t="str">
        <f aca="false">IF(AND(ISNUMBER(AM341),ISNUMBER(AL341),AL341&gt;=5),AM341/AL341,"")</f>
        <v/>
      </c>
      <c r="AO341" s="43"/>
      <c r="AP341" s="43"/>
      <c r="AQ341" s="25" t="str">
        <f aca="false">IF(AND(ISNUMBER(AP341),ISNUMBER(AO341),AO341&gt;=5),AP341/AO341,"")</f>
        <v/>
      </c>
      <c r="AR341" s="43"/>
      <c r="AS341" s="43"/>
      <c r="AT341" s="22" t="str">
        <f aca="false">IF(AND(ISNUMBER(AS341),ISNUMBER(AR341),AR341&gt;0),AS341/AR341-1,"")</f>
        <v/>
      </c>
      <c r="AU341" s="44"/>
      <c r="AV341" s="44"/>
      <c r="AW341" s="44"/>
      <c r="AX341" s="44"/>
      <c r="AY341" s="44"/>
      <c r="AZ341" s="45"/>
      <c r="BA341" s="45"/>
      <c r="BB341" s="46"/>
      <c r="BC341" s="46"/>
      <c r="BD341" s="23" t="str">
        <f aca="false">IF(AND(ISNUMBER(BB341),ISNUMBER(BC341),BB341&gt;0),1-BC341/BB341,"")</f>
        <v/>
      </c>
      <c r="BE341" s="47"/>
      <c r="BF341" s="48"/>
      <c r="BG341" s="48"/>
      <c r="BH341" s="27" t="str">
        <f aca="false">IF(AND(ISNUMBER(BF341),ISNUMBER(BG341),BG341&gt;0),BF341/BG341,"")</f>
        <v/>
      </c>
      <c r="BI341" s="48"/>
      <c r="BJ341" s="44"/>
      <c r="BK341" s="46"/>
      <c r="BL341" s="46"/>
      <c r="BM341" s="36" t="str">
        <f aca="false">IF(ISNUMBER(Q341),IF(Q341&lt;0,"YES","no"),"")</f>
        <v>YES</v>
      </c>
      <c r="BN341" s="36" t="str">
        <f aca="false">IFERROR(IF(AND(ISNUMBER(K341),ISNUMBER(INDEX('Lift Inputs'!$H:$H,MATCH(C341,'Lift Inputs'!$C:$C,0)))),IF(K341&lt;INDEX('Lift Inputs'!$H:$H,MATCH(C341,'Lift Inputs'!$C:$C,0)),"YES","no"),""),"")</f>
        <v/>
      </c>
      <c r="BO341" s="44"/>
    </row>
    <row r="342" customFormat="false" ht="15" hidden="false" customHeight="false" outlineLevel="0" collapsed="false">
      <c r="A342" s="15" t="s">
        <v>98</v>
      </c>
      <c r="B342" s="15" t="s">
        <v>104</v>
      </c>
      <c r="C342" s="15" t="n">
        <v>56</v>
      </c>
      <c r="D342" s="15" t="s">
        <v>216</v>
      </c>
      <c r="E342" s="15" t="n">
        <v>1620</v>
      </c>
      <c r="F342" s="15" t="s">
        <v>795</v>
      </c>
      <c r="G342" s="15" t="s">
        <v>796</v>
      </c>
      <c r="H342" s="15" t="s">
        <v>797</v>
      </c>
      <c r="I342" s="15" t="s">
        <v>775</v>
      </c>
      <c r="J342" s="15" t="s">
        <v>176</v>
      </c>
      <c r="K342" s="35" t="n">
        <v>8.89</v>
      </c>
      <c r="L342" s="35"/>
      <c r="M342" s="23" t="str">
        <f aca="false">IF(AND(ISNUMBER(L342),ISNUMBER(K342),K342&gt;0),L342/K342-1,"")</f>
        <v/>
      </c>
      <c r="N342" s="36" t="str">
        <f aca="false">IF(M342="","No List Price",IF(M342&lt;=0,"At/below price",IF(M342&lt;=0.12,"&lt;=12% (STR zone)",IF(M342&lt;=0.25,"12-25%","&gt;25% (likely ignored)"))))</f>
        <v>No List Price</v>
      </c>
      <c r="O342" s="15"/>
      <c r="P342" s="35" t="n">
        <v>25.95</v>
      </c>
      <c r="Q342" s="22" t="n">
        <f aca="false">IF(AND(ISNUMBER(K342),ISNUMBER(P342),N(P342)&gt;0),K342/P342-1,"")</f>
        <v>-0.657418111753372</v>
      </c>
      <c r="R342" s="15" t="s">
        <v>512</v>
      </c>
      <c r="S342" s="37" t="n">
        <v>25636</v>
      </c>
      <c r="T342" s="37" t="n">
        <v>220</v>
      </c>
      <c r="U342" s="38" t="n">
        <f aca="false">IF(AND(ISNUMBER(K342),ISNUMBER(T342)),K342*T342*52/12,"")</f>
        <v>8475.13333333333</v>
      </c>
      <c r="V342" s="15" t="n">
        <v>4.5</v>
      </c>
      <c r="W342" s="37" t="n">
        <v>28100</v>
      </c>
      <c r="X342" s="39" t="n">
        <v>46307</v>
      </c>
      <c r="Y342" s="15"/>
      <c r="Z342" s="40"/>
      <c r="AA342" s="41" t="str">
        <f aca="false">IF(ISNUMBER(Z342),(DATE(2026,10,13)-Z342)/365,"")</f>
        <v/>
      </c>
      <c r="AB342" s="37"/>
      <c r="AC342" s="15"/>
      <c r="AD342" s="15"/>
      <c r="AE342" s="15"/>
      <c r="AF342" s="42"/>
      <c r="AG342" s="42"/>
      <c r="AH342" s="15"/>
      <c r="AI342" s="37"/>
      <c r="AJ342" s="37"/>
      <c r="AK342" s="15" t="s">
        <v>326</v>
      </c>
      <c r="AL342" s="43" t="n">
        <v>362.6</v>
      </c>
      <c r="AM342" s="43" t="n">
        <v>266</v>
      </c>
      <c r="AN342" s="25" t="n">
        <f aca="false">IF(AND(ISNUMBER(AM342),ISNUMBER(AL342),AL342&gt;=5),AM342/AL342,"")</f>
        <v>0.733590733590734</v>
      </c>
      <c r="AO342" s="43" t="n">
        <v>29.1</v>
      </c>
      <c r="AP342" s="43" t="n">
        <v>42.2</v>
      </c>
      <c r="AQ342" s="25" t="n">
        <f aca="false">IF(AND(ISNUMBER(AP342),ISNUMBER(AO342),AO342&gt;=5),AP342/AO342,"")</f>
        <v>1.45017182130584</v>
      </c>
      <c r="AR342" s="43" t="n">
        <v>359.2</v>
      </c>
      <c r="AS342" s="43" t="n">
        <v>220.8</v>
      </c>
      <c r="AT342" s="22" t="n">
        <f aca="false">IF(AND(ISNUMBER(AS342),ISNUMBER(AR342),AR342&gt;0),AS342/AR342-1,"")</f>
        <v>-0.385300668151448</v>
      </c>
      <c r="AU342" s="44"/>
      <c r="AV342" s="44"/>
      <c r="AW342" s="44"/>
      <c r="AX342" s="44"/>
      <c r="AY342" s="44"/>
      <c r="AZ342" s="45"/>
      <c r="BA342" s="45"/>
      <c r="BB342" s="46"/>
      <c r="BC342" s="46"/>
      <c r="BD342" s="23" t="str">
        <f aca="false">IF(AND(ISNUMBER(BB342),ISNUMBER(BC342),BB342&gt;0),1-BC342/BB342,"")</f>
        <v/>
      </c>
      <c r="BE342" s="47"/>
      <c r="BF342" s="48"/>
      <c r="BG342" s="48"/>
      <c r="BH342" s="27" t="str">
        <f aca="false">IF(AND(ISNUMBER(BF342),ISNUMBER(BG342),BG342&gt;0),BF342/BG342,"")</f>
        <v/>
      </c>
      <c r="BI342" s="48"/>
      <c r="BJ342" s="44"/>
      <c r="BK342" s="46"/>
      <c r="BL342" s="46"/>
      <c r="BM342" s="36" t="str">
        <f aca="false">IF(ISNUMBER(Q342),IF(Q342&lt;0,"YES","no"),"")</f>
        <v>YES</v>
      </c>
      <c r="BN342" s="36" t="str">
        <f aca="false">IFERROR(IF(AND(ISNUMBER(K342),ISNUMBER(INDEX('Lift Inputs'!$H:$H,MATCH(C342,'Lift Inputs'!$C:$C,0)))),IF(K342&lt;INDEX('Lift Inputs'!$H:$H,MATCH(C342,'Lift Inputs'!$C:$C,0)),"YES","no"),""),"")</f>
        <v/>
      </c>
      <c r="BO342" s="44"/>
    </row>
    <row r="343" customFormat="false" ht="15" hidden="false" customHeight="false" outlineLevel="0" collapsed="false">
      <c r="A343" s="15" t="s">
        <v>98</v>
      </c>
      <c r="B343" s="15" t="s">
        <v>104</v>
      </c>
      <c r="C343" s="15" t="n">
        <v>56</v>
      </c>
      <c r="D343" s="15" t="s">
        <v>216</v>
      </c>
      <c r="E343" s="15" t="n">
        <v>1617</v>
      </c>
      <c r="F343" s="15" t="s">
        <v>798</v>
      </c>
      <c r="G343" s="15" t="s">
        <v>799</v>
      </c>
      <c r="H343" s="15" t="s">
        <v>800</v>
      </c>
      <c r="I343" s="15" t="s">
        <v>775</v>
      </c>
      <c r="J343" s="15" t="s">
        <v>176</v>
      </c>
      <c r="K343" s="35" t="n">
        <v>17.99</v>
      </c>
      <c r="L343" s="35" t="n">
        <v>18.99</v>
      </c>
      <c r="M343" s="23" t="n">
        <f aca="false">IF(AND(ISNUMBER(L343),ISNUMBER(K343),K343&gt;0),L343/K343-1,"")</f>
        <v>0.0555864369093941</v>
      </c>
      <c r="N343" s="36" t="str">
        <f aca="false">IF(M343="","No List Price",IF(M343&lt;=0,"At/below price",IF(M343&lt;=0.12,"&lt;=12% (STR zone)",IF(M343&lt;=0.25,"12-25%","&gt;25% (likely ignored)"))))</f>
        <v>&lt;=12% (STR zone)</v>
      </c>
      <c r="O343" s="15"/>
      <c r="P343" s="35" t="n">
        <v>25.95</v>
      </c>
      <c r="Q343" s="22" t="n">
        <f aca="false">IF(AND(ISNUMBER(K343),ISNUMBER(P343),N(P343)&gt;0),K343/P343-1,"")</f>
        <v>-0.306743737957611</v>
      </c>
      <c r="R343" s="15" t="s">
        <v>512</v>
      </c>
      <c r="S343" s="37" t="n">
        <v>31138</v>
      </c>
      <c r="T343" s="37" t="n">
        <v>173</v>
      </c>
      <c r="U343" s="38" t="n">
        <f aca="false">IF(AND(ISNUMBER(K343),ISNUMBER(T343)),K343*T343*52/12,"")</f>
        <v>13486.5033333333</v>
      </c>
      <c r="V343" s="15" t="n">
        <v>4.5</v>
      </c>
      <c r="W343" s="37" t="n">
        <v>402</v>
      </c>
      <c r="X343" s="39" t="n">
        <v>46307</v>
      </c>
      <c r="Y343" s="15"/>
      <c r="Z343" s="40"/>
      <c r="AA343" s="41" t="str">
        <f aca="false">IF(ISNUMBER(Z343),(DATE(2026,10,13)-Z343)/365,"")</f>
        <v/>
      </c>
      <c r="AB343" s="37"/>
      <c r="AC343" s="15"/>
      <c r="AD343" s="15"/>
      <c r="AE343" s="15"/>
      <c r="AF343" s="42"/>
      <c r="AG343" s="42"/>
      <c r="AH343" s="15"/>
      <c r="AI343" s="37" t="n">
        <v>66655</v>
      </c>
      <c r="AJ343" s="37" t="n">
        <v>578</v>
      </c>
      <c r="AK343" s="15" t="s">
        <v>326</v>
      </c>
      <c r="AL343" s="43" t="n">
        <v>192.3</v>
      </c>
      <c r="AM343" s="43" t="n">
        <v>186.8</v>
      </c>
      <c r="AN343" s="25" t="n">
        <f aca="false">IF(AND(ISNUMBER(AM343),ISNUMBER(AL343),AL343&gt;=5),AM343/AL343,"")</f>
        <v>0.971398855954238</v>
      </c>
      <c r="AO343" s="43" t="n">
        <v>66.2</v>
      </c>
      <c r="AP343" s="43" t="n">
        <v>67.2</v>
      </c>
      <c r="AQ343" s="25" t="n">
        <f aca="false">IF(AND(ISNUMBER(AP343),ISNUMBER(AO343),AO343&gt;=5),AP343/AO343,"")</f>
        <v>1.01510574018127</v>
      </c>
      <c r="AR343" s="43" t="n">
        <v>174.2</v>
      </c>
      <c r="AS343" s="43" t="n">
        <v>146.9</v>
      </c>
      <c r="AT343" s="22" t="n">
        <f aca="false">IF(AND(ISNUMBER(AS343),ISNUMBER(AR343),AR343&gt;0),AS343/AR343-1,"")</f>
        <v>-0.156716417910448</v>
      </c>
      <c r="AU343" s="44"/>
      <c r="AV343" s="44"/>
      <c r="AW343" s="44"/>
      <c r="AX343" s="44"/>
      <c r="AY343" s="44"/>
      <c r="AZ343" s="45"/>
      <c r="BA343" s="45"/>
      <c r="BB343" s="46"/>
      <c r="BC343" s="46"/>
      <c r="BD343" s="23" t="str">
        <f aca="false">IF(AND(ISNUMBER(BB343),ISNUMBER(BC343),BB343&gt;0),1-BC343/BB343,"")</f>
        <v/>
      </c>
      <c r="BE343" s="47"/>
      <c r="BF343" s="48"/>
      <c r="BG343" s="48"/>
      <c r="BH343" s="27" t="str">
        <f aca="false">IF(AND(ISNUMBER(BF343),ISNUMBER(BG343),BG343&gt;0),BF343/BG343,"")</f>
        <v/>
      </c>
      <c r="BI343" s="48"/>
      <c r="BJ343" s="44"/>
      <c r="BK343" s="46"/>
      <c r="BL343" s="46"/>
      <c r="BM343" s="36" t="str">
        <f aca="false">IF(ISNUMBER(Q343),IF(Q343&lt;0,"YES","no"),"")</f>
        <v>YES</v>
      </c>
      <c r="BN343" s="36" t="str">
        <f aca="false">IFERROR(IF(AND(ISNUMBER(K343),ISNUMBER(INDEX('Lift Inputs'!$H:$H,MATCH(C343,'Lift Inputs'!$C:$C,0)))),IF(K343&lt;INDEX('Lift Inputs'!$H:$H,MATCH(C343,'Lift Inputs'!$C:$C,0)),"YES","no"),""),"")</f>
        <v/>
      </c>
      <c r="BO343" s="44"/>
    </row>
    <row r="344" customFormat="false" ht="15" hidden="false" customHeight="false" outlineLevel="0" collapsed="false">
      <c r="A344" s="15" t="s">
        <v>98</v>
      </c>
      <c r="B344" s="15" t="s">
        <v>104</v>
      </c>
      <c r="C344" s="15" t="n">
        <v>56</v>
      </c>
      <c r="D344" s="15" t="s">
        <v>216</v>
      </c>
      <c r="E344" s="15" t="n">
        <v>1613</v>
      </c>
      <c r="F344" s="15" t="s">
        <v>772</v>
      </c>
      <c r="G344" s="15" t="s">
        <v>801</v>
      </c>
      <c r="H344" s="15" t="s">
        <v>802</v>
      </c>
      <c r="I344" s="15" t="s">
        <v>775</v>
      </c>
      <c r="J344" s="15" t="s">
        <v>177</v>
      </c>
      <c r="K344" s="35" t="n">
        <v>29.99</v>
      </c>
      <c r="L344" s="35"/>
      <c r="M344" s="23" t="str">
        <f aca="false">IF(AND(ISNUMBER(L344),ISNUMBER(K344),K344&gt;0),L344/K344-1,"")</f>
        <v/>
      </c>
      <c r="N344" s="36" t="str">
        <f aca="false">IF(M344="","No List Price",IF(M344&lt;=0,"At/below price",IF(M344&lt;=0.12,"&lt;=12% (STR zone)",IF(M344&lt;=0.25,"12-25%","&gt;25% (likely ignored)"))))</f>
        <v>No List Price</v>
      </c>
      <c r="O344" s="15"/>
      <c r="P344" s="35" t="n">
        <v>25.95</v>
      </c>
      <c r="Q344" s="22" t="n">
        <f aca="false">IF(AND(ISNUMBER(K344),ISNUMBER(P344),N(P344)&gt;0),K344/P344-1,"")</f>
        <v>0.155684007707129</v>
      </c>
      <c r="R344" s="15" t="s">
        <v>512</v>
      </c>
      <c r="S344" s="37" t="n">
        <v>9413</v>
      </c>
      <c r="T344" s="37" t="n">
        <v>809</v>
      </c>
      <c r="U344" s="38" t="n">
        <f aca="false">IF(AND(ISNUMBER(K344),ISNUMBER(T344)),K344*T344*52/12,"")</f>
        <v>105134.943333333</v>
      </c>
      <c r="V344" s="15" t="n">
        <v>4.4</v>
      </c>
      <c r="W344" s="37" t="n">
        <v>2143</v>
      </c>
      <c r="X344" s="39" t="n">
        <v>46307</v>
      </c>
      <c r="Y344" s="15"/>
      <c r="Z344" s="40"/>
      <c r="AA344" s="41" t="str">
        <f aca="false">IF(ISNUMBER(Z344),(DATE(2026,10,13)-Z344)/365,"")</f>
        <v/>
      </c>
      <c r="AB344" s="37"/>
      <c r="AC344" s="15"/>
      <c r="AD344" s="15"/>
      <c r="AE344" s="15"/>
      <c r="AF344" s="42"/>
      <c r="AG344" s="42"/>
      <c r="AH344" s="15"/>
      <c r="AI344" s="37" t="n">
        <v>401761</v>
      </c>
      <c r="AJ344" s="37" t="n">
        <v>1367</v>
      </c>
      <c r="AK344" s="15" t="s">
        <v>326</v>
      </c>
      <c r="AL344" s="43" t="n">
        <v>735.9</v>
      </c>
      <c r="AM344" s="43" t="n">
        <v>643.2</v>
      </c>
      <c r="AN344" s="25" t="n">
        <f aca="false">IF(AND(ISNUMBER(AM344),ISNUMBER(AL344),AL344&gt;=5),AM344/AL344,"")</f>
        <v>0.874031797798614</v>
      </c>
      <c r="AO344" s="43" t="n">
        <v>113.5</v>
      </c>
      <c r="AP344" s="43" t="n">
        <v>242.2</v>
      </c>
      <c r="AQ344" s="25" t="n">
        <f aca="false">IF(AND(ISNUMBER(AP344),ISNUMBER(AO344),AO344&gt;=5),AP344/AO344,"")</f>
        <v>2.13392070484582</v>
      </c>
      <c r="AR344" s="43" t="n">
        <v>645.6</v>
      </c>
      <c r="AS344" s="43" t="n">
        <v>750.6</v>
      </c>
      <c r="AT344" s="22" t="n">
        <f aca="false">IF(AND(ISNUMBER(AS344),ISNUMBER(AR344),AR344&gt;0),AS344/AR344-1,"")</f>
        <v>0.162639405204461</v>
      </c>
      <c r="AU344" s="44"/>
      <c r="AV344" s="44"/>
      <c r="AW344" s="44"/>
      <c r="AX344" s="44"/>
      <c r="AY344" s="44"/>
      <c r="AZ344" s="45"/>
      <c r="BA344" s="45"/>
      <c r="BB344" s="46"/>
      <c r="BC344" s="46"/>
      <c r="BD344" s="23" t="str">
        <f aca="false">IF(AND(ISNUMBER(BB344),ISNUMBER(BC344),BB344&gt;0),1-BC344/BB344,"")</f>
        <v/>
      </c>
      <c r="BE344" s="47"/>
      <c r="BF344" s="48"/>
      <c r="BG344" s="48"/>
      <c r="BH344" s="27" t="str">
        <f aca="false">IF(AND(ISNUMBER(BF344),ISNUMBER(BG344),BG344&gt;0),BF344/BG344,"")</f>
        <v/>
      </c>
      <c r="BI344" s="48"/>
      <c r="BJ344" s="44"/>
      <c r="BK344" s="46"/>
      <c r="BL344" s="46"/>
      <c r="BM344" s="36" t="str">
        <f aca="false">IF(ISNUMBER(Q344),IF(Q344&lt;0,"YES","no"),"")</f>
        <v>no</v>
      </c>
      <c r="BN344" s="36" t="str">
        <f aca="false">IFERROR(IF(AND(ISNUMBER(K344),ISNUMBER(INDEX('Lift Inputs'!$H:$H,MATCH(C344,'Lift Inputs'!$C:$C,0)))),IF(K344&lt;INDEX('Lift Inputs'!$H:$H,MATCH(C344,'Lift Inputs'!$C:$C,0)),"YES","no"),""),"")</f>
        <v/>
      </c>
      <c r="BO344" s="44"/>
    </row>
    <row r="345" customFormat="false" ht="15" hidden="false" customHeight="false" outlineLevel="0" collapsed="false">
      <c r="A345" s="15" t="s">
        <v>98</v>
      </c>
      <c r="B345" s="15" t="s">
        <v>104</v>
      </c>
      <c r="C345" s="15" t="n">
        <v>56</v>
      </c>
      <c r="D345" s="15" t="s">
        <v>216</v>
      </c>
      <c r="E345" s="15" t="n">
        <v>1618</v>
      </c>
      <c r="F345" s="15" t="s">
        <v>803</v>
      </c>
      <c r="G345" s="15" t="s">
        <v>804</v>
      </c>
      <c r="H345" s="15" t="s">
        <v>805</v>
      </c>
      <c r="I345" s="15" t="s">
        <v>775</v>
      </c>
      <c r="J345" s="15" t="s">
        <v>177</v>
      </c>
      <c r="K345" s="35" t="n">
        <v>27.87</v>
      </c>
      <c r="L345" s="35" t="n">
        <v>49.95</v>
      </c>
      <c r="M345" s="23" t="n">
        <f aca="false">IF(AND(ISNUMBER(L345),ISNUMBER(K345),K345&gt;0),L345/K345-1,"")</f>
        <v>0.792249730893434</v>
      </c>
      <c r="N345" s="36" t="str">
        <f aca="false">IF(M345="","No List Price",IF(M345&lt;=0,"At/below price",IF(M345&lt;=0.12,"&lt;=12% (STR zone)",IF(M345&lt;=0.25,"12-25%","&gt;25% (likely ignored)"))))</f>
        <v>&gt;25% (likely ignored)</v>
      </c>
      <c r="O345" s="15"/>
      <c r="P345" s="35" t="n">
        <v>25.95</v>
      </c>
      <c r="Q345" s="22" t="n">
        <f aca="false">IF(AND(ISNUMBER(K345),ISNUMBER(P345),N(P345)&gt;0),K345/P345-1,"")</f>
        <v>0.0739884393063583</v>
      </c>
      <c r="R345" s="15" t="s">
        <v>512</v>
      </c>
      <c r="S345" s="37" t="n">
        <v>9693</v>
      </c>
      <c r="T345" s="37" t="n">
        <v>347</v>
      </c>
      <c r="U345" s="38" t="n">
        <f aca="false">IF(AND(ISNUMBER(K345),ISNUMBER(T345)),K345*T345*52/12,"")</f>
        <v>41907.19</v>
      </c>
      <c r="V345" s="15" t="n">
        <v>4.4</v>
      </c>
      <c r="W345" s="37" t="n">
        <v>1225</v>
      </c>
      <c r="X345" s="39" t="n">
        <v>46307</v>
      </c>
      <c r="Y345" s="15"/>
      <c r="Z345" s="40"/>
      <c r="AA345" s="41" t="str">
        <f aca="false">IF(ISNUMBER(Z345),(DATE(2026,10,13)-Z345)/365,"")</f>
        <v/>
      </c>
      <c r="AB345" s="37"/>
      <c r="AC345" s="15"/>
      <c r="AD345" s="15"/>
      <c r="AE345" s="15"/>
      <c r="AF345" s="42"/>
      <c r="AG345" s="42"/>
      <c r="AH345" s="15"/>
      <c r="AI345" s="37" t="n">
        <v>150410</v>
      </c>
      <c r="AJ345" s="37" t="n">
        <v>638</v>
      </c>
      <c r="AK345" s="15" t="s">
        <v>326</v>
      </c>
      <c r="AL345" s="43" t="n">
        <v>561.1</v>
      </c>
      <c r="AM345" s="43" t="n">
        <v>496.2</v>
      </c>
      <c r="AN345" s="25" t="n">
        <f aca="false">IF(AND(ISNUMBER(AM345),ISNUMBER(AL345),AL345&gt;=5),AM345/AL345,"")</f>
        <v>0.884334343254322</v>
      </c>
      <c r="AO345" s="43" t="n">
        <v>7.3</v>
      </c>
      <c r="AP345" s="43" t="n">
        <v>4.5</v>
      </c>
      <c r="AQ345" s="25" t="n">
        <f aca="false">IF(AND(ISNUMBER(AP345),ISNUMBER(AO345),AO345&gt;=5),AP345/AO345,"")</f>
        <v>0.616438356164384</v>
      </c>
      <c r="AR345" s="43" t="n">
        <v>458.6</v>
      </c>
      <c r="AS345" s="43" t="n">
        <v>275.2</v>
      </c>
      <c r="AT345" s="22" t="n">
        <f aca="false">IF(AND(ISNUMBER(AS345),ISNUMBER(AR345),AR345&gt;0),AS345/AR345-1,"")</f>
        <v>-0.399912778020061</v>
      </c>
      <c r="AU345" s="44"/>
      <c r="AV345" s="44"/>
      <c r="AW345" s="44"/>
      <c r="AX345" s="44"/>
      <c r="AY345" s="44"/>
      <c r="AZ345" s="45"/>
      <c r="BA345" s="45"/>
      <c r="BB345" s="46"/>
      <c r="BC345" s="46"/>
      <c r="BD345" s="23" t="str">
        <f aca="false">IF(AND(ISNUMBER(BB345),ISNUMBER(BC345),BB345&gt;0),1-BC345/BB345,"")</f>
        <v/>
      </c>
      <c r="BE345" s="47"/>
      <c r="BF345" s="48"/>
      <c r="BG345" s="48"/>
      <c r="BH345" s="27" t="str">
        <f aca="false">IF(AND(ISNUMBER(BF345),ISNUMBER(BG345),BG345&gt;0),BF345/BG345,"")</f>
        <v/>
      </c>
      <c r="BI345" s="48"/>
      <c r="BJ345" s="44"/>
      <c r="BK345" s="46"/>
      <c r="BL345" s="46"/>
      <c r="BM345" s="36" t="str">
        <f aca="false">IF(ISNUMBER(Q345),IF(Q345&lt;0,"YES","no"),"")</f>
        <v>no</v>
      </c>
      <c r="BN345" s="36" t="str">
        <f aca="false">IFERROR(IF(AND(ISNUMBER(K345),ISNUMBER(INDEX('Lift Inputs'!$H:$H,MATCH(C345,'Lift Inputs'!$C:$C,0)))),IF(K345&lt;INDEX('Lift Inputs'!$H:$H,MATCH(C345,'Lift Inputs'!$C:$C,0)),"YES","no"),""),"")</f>
        <v/>
      </c>
      <c r="BO345" s="44"/>
    </row>
    <row r="346" customFormat="false" ht="15" hidden="false" customHeight="false" outlineLevel="0" collapsed="false">
      <c r="A346" s="15" t="s">
        <v>98</v>
      </c>
      <c r="B346" s="15" t="s">
        <v>104</v>
      </c>
      <c r="C346" s="15" t="n">
        <v>56</v>
      </c>
      <c r="D346" s="15" t="s">
        <v>216</v>
      </c>
      <c r="E346" s="15" t="n">
        <v>303</v>
      </c>
      <c r="F346" s="15" t="s">
        <v>806</v>
      </c>
      <c r="G346" s="15" t="s">
        <v>807</v>
      </c>
      <c r="H346" s="15" t="s">
        <v>808</v>
      </c>
      <c r="I346" s="15" t="s">
        <v>775</v>
      </c>
      <c r="J346" s="15" t="s">
        <v>177</v>
      </c>
      <c r="K346" s="35" t="n">
        <v>19.99</v>
      </c>
      <c r="L346" s="35"/>
      <c r="M346" s="23" t="str">
        <f aca="false">IF(AND(ISNUMBER(L346),ISNUMBER(K346),K346&gt;0),L346/K346-1,"")</f>
        <v/>
      </c>
      <c r="N346" s="36" t="str">
        <f aca="false">IF(M346="","No List Price",IF(M346&lt;=0,"At/below price",IF(M346&lt;=0.12,"&lt;=12% (STR zone)",IF(M346&lt;=0.25,"12-25%","&gt;25% (likely ignored)"))))</f>
        <v>No List Price</v>
      </c>
      <c r="O346" s="15"/>
      <c r="P346" s="35" t="n">
        <v>25.95</v>
      </c>
      <c r="Q346" s="22" t="n">
        <f aca="false">IF(AND(ISNUMBER(K346),ISNUMBER(P346),N(P346)&gt;0),K346/P346-1,"")</f>
        <v>-0.229672447013488</v>
      </c>
      <c r="R346" s="15" t="s">
        <v>512</v>
      </c>
      <c r="S346" s="37" t="n">
        <v>12259</v>
      </c>
      <c r="T346" s="37" t="n">
        <v>347</v>
      </c>
      <c r="U346" s="38" t="n">
        <f aca="false">IF(AND(ISNUMBER(K346),ISNUMBER(T346)),K346*T346*52/12,"")</f>
        <v>30058.2966666667</v>
      </c>
      <c r="V346" s="15" t="n">
        <v>4.5</v>
      </c>
      <c r="W346" s="37" t="n">
        <v>2063</v>
      </c>
      <c r="X346" s="39" t="n">
        <v>46307</v>
      </c>
      <c r="Y346" s="15"/>
      <c r="Z346" s="40"/>
      <c r="AA346" s="41" t="str">
        <f aca="false">IF(ISNUMBER(Z346),(DATE(2026,10,13)-Z346)/365,"")</f>
        <v/>
      </c>
      <c r="AB346" s="37"/>
      <c r="AC346" s="15"/>
      <c r="AD346" s="15"/>
      <c r="AE346" s="15"/>
      <c r="AF346" s="42"/>
      <c r="AG346" s="42"/>
      <c r="AH346" s="15"/>
      <c r="AI346" s="37" t="n">
        <v>303791</v>
      </c>
      <c r="AJ346" s="37" t="n">
        <v>774</v>
      </c>
      <c r="AK346" s="15" t="s">
        <v>326</v>
      </c>
      <c r="AL346" s="43" t="n">
        <v>215.1</v>
      </c>
      <c r="AM346" s="43" t="n">
        <v>63</v>
      </c>
      <c r="AN346" s="25" t="n">
        <f aca="false">IF(AND(ISNUMBER(AM346),ISNUMBER(AL346),AL346&gt;=5),AM346/AL346,"")</f>
        <v>0.292887029288703</v>
      </c>
      <c r="AO346" s="43" t="n">
        <v>87.3</v>
      </c>
      <c r="AP346" s="43" t="n">
        <v>76</v>
      </c>
      <c r="AQ346" s="25" t="n">
        <f aca="false">IF(AND(ISNUMBER(AP346),ISNUMBER(AO346),AO346&gt;=5),AP346/AO346,"")</f>
        <v>0.870561282932417</v>
      </c>
      <c r="AR346" s="43" t="n">
        <v>207.3</v>
      </c>
      <c r="AS346" s="43" t="n">
        <v>186.9</v>
      </c>
      <c r="AT346" s="22" t="n">
        <f aca="false">IF(AND(ISNUMBER(AS346),ISNUMBER(AR346),AR346&gt;0),AS346/AR346-1,"")</f>
        <v>-0.0984081041968162</v>
      </c>
      <c r="AU346" s="44"/>
      <c r="AV346" s="44"/>
      <c r="AW346" s="44"/>
      <c r="AX346" s="44"/>
      <c r="AY346" s="44"/>
      <c r="AZ346" s="45"/>
      <c r="BA346" s="45"/>
      <c r="BB346" s="46"/>
      <c r="BC346" s="46"/>
      <c r="BD346" s="23" t="str">
        <f aca="false">IF(AND(ISNUMBER(BB346),ISNUMBER(BC346),BB346&gt;0),1-BC346/BB346,"")</f>
        <v/>
      </c>
      <c r="BE346" s="47"/>
      <c r="BF346" s="48"/>
      <c r="BG346" s="48"/>
      <c r="BH346" s="27" t="str">
        <f aca="false">IF(AND(ISNUMBER(BF346),ISNUMBER(BG346),BG346&gt;0),BF346/BG346,"")</f>
        <v/>
      </c>
      <c r="BI346" s="48"/>
      <c r="BJ346" s="44"/>
      <c r="BK346" s="46"/>
      <c r="BL346" s="46"/>
      <c r="BM346" s="36" t="str">
        <f aca="false">IF(ISNUMBER(Q346),IF(Q346&lt;0,"YES","no"),"")</f>
        <v>YES</v>
      </c>
      <c r="BN346" s="36" t="str">
        <f aca="false">IFERROR(IF(AND(ISNUMBER(K346),ISNUMBER(INDEX('Lift Inputs'!$H:$H,MATCH(C346,'Lift Inputs'!$C:$C,0)))),IF(K346&lt;INDEX('Lift Inputs'!$H:$H,MATCH(C346,'Lift Inputs'!$C:$C,0)),"YES","no"),""),"")</f>
        <v/>
      </c>
      <c r="BO346" s="44"/>
    </row>
    <row r="347" customFormat="false" ht="15" hidden="false" customHeight="false" outlineLevel="0" collapsed="false">
      <c r="A347" s="15" t="s">
        <v>98</v>
      </c>
      <c r="B347" s="15" t="s">
        <v>104</v>
      </c>
      <c r="C347" s="15" t="n">
        <v>56</v>
      </c>
      <c r="D347" s="15" t="s">
        <v>216</v>
      </c>
      <c r="E347" s="15" t="n">
        <v>297</v>
      </c>
      <c r="F347" s="15" t="s">
        <v>809</v>
      </c>
      <c r="G347" s="15" t="s">
        <v>810</v>
      </c>
      <c r="H347" s="15" t="s">
        <v>811</v>
      </c>
      <c r="I347" s="15" t="s">
        <v>812</v>
      </c>
      <c r="J347" s="15" t="s">
        <v>177</v>
      </c>
      <c r="K347" s="35" t="n">
        <v>22.99</v>
      </c>
      <c r="L347" s="35"/>
      <c r="M347" s="23" t="str">
        <f aca="false">IF(AND(ISNUMBER(L347),ISNUMBER(K347),K347&gt;0),L347/K347-1,"")</f>
        <v/>
      </c>
      <c r="N347" s="36" t="str">
        <f aca="false">IF(M347="","No List Price",IF(M347&lt;=0,"At/below price",IF(M347&lt;=0.12,"&lt;=12% (STR zone)",IF(M347&lt;=0.25,"12-25%","&gt;25% (likely ignored)"))))</f>
        <v>No List Price</v>
      </c>
      <c r="O347" s="15"/>
      <c r="P347" s="35" t="n">
        <v>25.95</v>
      </c>
      <c r="Q347" s="22" t="n">
        <f aca="false">IF(AND(ISNUMBER(K347),ISNUMBER(P347),N(P347)&gt;0),K347/P347-1,"")</f>
        <v>-0.114065510597303</v>
      </c>
      <c r="R347" s="15" t="s">
        <v>512</v>
      </c>
      <c r="S347" s="37" t="n">
        <v>18076</v>
      </c>
      <c r="T347" s="37" t="n">
        <v>220</v>
      </c>
      <c r="U347" s="38" t="n">
        <f aca="false">IF(AND(ISNUMBER(K347),ISNUMBER(T347)),K347*T347*52/12,"")</f>
        <v>21917.1333333333</v>
      </c>
      <c r="V347" s="15" t="n">
        <v>4.5</v>
      </c>
      <c r="W347" s="37" t="n">
        <v>867</v>
      </c>
      <c r="X347" s="39" t="n">
        <v>46307</v>
      </c>
      <c r="Y347" s="15" t="n">
        <v>5</v>
      </c>
      <c r="Z347" s="40" t="n">
        <v>45169</v>
      </c>
      <c r="AA347" s="41" t="n">
        <f aca="false">IF(ISNUMBER(Z347),(DATE(2026,10,13)-Z347)/365,"")</f>
        <v>3.12054794520548</v>
      </c>
      <c r="AB347" s="37" t="n">
        <v>1812</v>
      </c>
      <c r="AC347" s="15" t="s">
        <v>313</v>
      </c>
      <c r="AD347" s="15" t="n">
        <v>1</v>
      </c>
      <c r="AE347" s="15" t="s">
        <v>331</v>
      </c>
      <c r="AF347" s="42" t="n">
        <v>0.136</v>
      </c>
      <c r="AG347" s="42" t="n">
        <v>0.0298905534565532</v>
      </c>
      <c r="AH347" s="15" t="n">
        <v>227</v>
      </c>
      <c r="AI347" s="37" t="n">
        <v>190502</v>
      </c>
      <c r="AJ347" s="37" t="n">
        <v>1005</v>
      </c>
      <c r="AK347" s="15" t="s">
        <v>326</v>
      </c>
      <c r="AL347" s="43" t="n">
        <v>220.9</v>
      </c>
      <c r="AM347" s="43" t="n">
        <v>205</v>
      </c>
      <c r="AN347" s="25" t="n">
        <f aca="false">IF(AND(ISNUMBER(AM347),ISNUMBER(AL347),AL347&gt;=5),AM347/AL347,"")</f>
        <v>0.928021729289271</v>
      </c>
      <c r="AO347" s="43" t="n">
        <v>168.8</v>
      </c>
      <c r="AP347" s="43" t="n">
        <v>218.8</v>
      </c>
      <c r="AQ347" s="25" t="n">
        <f aca="false">IF(AND(ISNUMBER(AP347),ISNUMBER(AO347),AO347&gt;=5),AP347/AO347,"")</f>
        <v>1.29620853080569</v>
      </c>
      <c r="AR347" s="43" t="n">
        <v>198.3</v>
      </c>
      <c r="AS347" s="43" t="n">
        <v>248.8</v>
      </c>
      <c r="AT347" s="22" t="n">
        <f aca="false">IF(AND(ISNUMBER(AS347),ISNUMBER(AR347),AR347&gt;0),AS347/AR347-1,"")</f>
        <v>0.254664649520928</v>
      </c>
      <c r="AU347" s="44"/>
      <c r="AV347" s="44"/>
      <c r="AW347" s="44"/>
      <c r="AX347" s="44"/>
      <c r="AY347" s="44"/>
      <c r="AZ347" s="45"/>
      <c r="BA347" s="45"/>
      <c r="BB347" s="46"/>
      <c r="BC347" s="46"/>
      <c r="BD347" s="23" t="str">
        <f aca="false">IF(AND(ISNUMBER(BB347),ISNUMBER(BC347),BB347&gt;0),1-BC347/BB347,"")</f>
        <v/>
      </c>
      <c r="BE347" s="47"/>
      <c r="BF347" s="48"/>
      <c r="BG347" s="48"/>
      <c r="BH347" s="27" t="str">
        <f aca="false">IF(AND(ISNUMBER(BF347),ISNUMBER(BG347),BG347&gt;0),BF347/BG347,"")</f>
        <v/>
      </c>
      <c r="BI347" s="48"/>
      <c r="BJ347" s="44"/>
      <c r="BK347" s="46"/>
      <c r="BL347" s="46"/>
      <c r="BM347" s="36" t="str">
        <f aca="false">IF(ISNUMBER(Q347),IF(Q347&lt;0,"YES","no"),"")</f>
        <v>YES</v>
      </c>
      <c r="BN347" s="36" t="str">
        <f aca="false">IFERROR(IF(AND(ISNUMBER(K347),ISNUMBER(INDEX('Lift Inputs'!$H:$H,MATCH(C347,'Lift Inputs'!$C:$C,0)))),IF(K347&lt;INDEX('Lift Inputs'!$H:$H,MATCH(C347,'Lift Inputs'!$C:$C,0)),"YES","no"),""),"")</f>
        <v/>
      </c>
      <c r="BO347" s="44"/>
    </row>
    <row r="348" customFormat="false" ht="15" hidden="false" customHeight="false" outlineLevel="0" collapsed="false">
      <c r="A348" s="15" t="s">
        <v>98</v>
      </c>
      <c r="B348" s="15" t="s">
        <v>104</v>
      </c>
      <c r="C348" s="15" t="n">
        <v>56</v>
      </c>
      <c r="D348" s="15" t="s">
        <v>216</v>
      </c>
      <c r="E348" s="15" t="n">
        <v>304</v>
      </c>
      <c r="F348" s="15" t="s">
        <v>813</v>
      </c>
      <c r="G348" s="15" t="s">
        <v>814</v>
      </c>
      <c r="H348" s="15" t="s">
        <v>815</v>
      </c>
      <c r="I348" s="15" t="s">
        <v>775</v>
      </c>
      <c r="J348" s="15" t="s">
        <v>177</v>
      </c>
      <c r="K348" s="35" t="n">
        <v>79</v>
      </c>
      <c r="L348" s="35"/>
      <c r="M348" s="23" t="str">
        <f aca="false">IF(AND(ISNUMBER(L348),ISNUMBER(K348),K348&gt;0),L348/K348-1,"")</f>
        <v/>
      </c>
      <c r="N348" s="36" t="str">
        <f aca="false">IF(M348="","No List Price",IF(M348&lt;=0,"At/below price",IF(M348&lt;=0.12,"&lt;=12% (STR zone)",IF(M348&lt;=0.25,"12-25%","&gt;25% (likely ignored)"))))</f>
        <v>No List Price</v>
      </c>
      <c r="O348" s="15"/>
      <c r="P348" s="35" t="n">
        <v>25.95</v>
      </c>
      <c r="Q348" s="22" t="n">
        <f aca="false">IF(AND(ISNUMBER(K348),ISNUMBER(P348),N(P348)&gt;0),K348/P348-1,"")</f>
        <v>2.04431599229287</v>
      </c>
      <c r="R348" s="15" t="s">
        <v>512</v>
      </c>
      <c r="S348" s="37" t="n">
        <v>7182</v>
      </c>
      <c r="T348" s="37" t="n">
        <v>208</v>
      </c>
      <c r="U348" s="38" t="n">
        <f aca="false">IF(AND(ISNUMBER(K348),ISNUMBER(T348)),K348*T348*52/12,"")</f>
        <v>71205.3333333333</v>
      </c>
      <c r="V348" s="15" t="n">
        <v>4.3</v>
      </c>
      <c r="W348" s="37" t="n">
        <v>1740</v>
      </c>
      <c r="X348" s="39" t="n">
        <v>46307</v>
      </c>
      <c r="Y348" s="15"/>
      <c r="Z348" s="40"/>
      <c r="AA348" s="41" t="str">
        <f aca="false">IF(ISNUMBER(Z348),(DATE(2026,10,13)-Z348)/365,"")</f>
        <v/>
      </c>
      <c r="AB348" s="37"/>
      <c r="AC348" s="15"/>
      <c r="AD348" s="15"/>
      <c r="AE348" s="15"/>
      <c r="AF348" s="42"/>
      <c r="AG348" s="42"/>
      <c r="AH348" s="15"/>
      <c r="AI348" s="37" t="n">
        <v>143864</v>
      </c>
      <c r="AJ348" s="37" t="n">
        <v>655</v>
      </c>
      <c r="AK348" s="15"/>
      <c r="AL348" s="43"/>
      <c r="AM348" s="43"/>
      <c r="AN348" s="25" t="str">
        <f aca="false">IF(AND(ISNUMBER(AM348),ISNUMBER(AL348),AL348&gt;=5),AM348/AL348,"")</f>
        <v/>
      </c>
      <c r="AO348" s="43"/>
      <c r="AP348" s="43"/>
      <c r="AQ348" s="25" t="str">
        <f aca="false">IF(AND(ISNUMBER(AP348),ISNUMBER(AO348),AO348&gt;=5),AP348/AO348,"")</f>
        <v/>
      </c>
      <c r="AR348" s="43"/>
      <c r="AS348" s="43"/>
      <c r="AT348" s="22" t="str">
        <f aca="false">IF(AND(ISNUMBER(AS348),ISNUMBER(AR348),AR348&gt;0),AS348/AR348-1,"")</f>
        <v/>
      </c>
      <c r="AU348" s="44"/>
      <c r="AV348" s="44"/>
      <c r="AW348" s="44"/>
      <c r="AX348" s="44"/>
      <c r="AY348" s="44"/>
      <c r="AZ348" s="45"/>
      <c r="BA348" s="45"/>
      <c r="BB348" s="46"/>
      <c r="BC348" s="46"/>
      <c r="BD348" s="23" t="str">
        <f aca="false">IF(AND(ISNUMBER(BB348),ISNUMBER(BC348),BB348&gt;0),1-BC348/BB348,"")</f>
        <v/>
      </c>
      <c r="BE348" s="47"/>
      <c r="BF348" s="48"/>
      <c r="BG348" s="48"/>
      <c r="BH348" s="27" t="str">
        <f aca="false">IF(AND(ISNUMBER(BF348),ISNUMBER(BG348),BG348&gt;0),BF348/BG348,"")</f>
        <v/>
      </c>
      <c r="BI348" s="48"/>
      <c r="BJ348" s="44"/>
      <c r="BK348" s="46"/>
      <c r="BL348" s="46"/>
      <c r="BM348" s="36" t="str">
        <f aca="false">IF(ISNUMBER(Q348),IF(Q348&lt;0,"YES","no"),"")</f>
        <v>no</v>
      </c>
      <c r="BN348" s="36" t="str">
        <f aca="false">IFERROR(IF(AND(ISNUMBER(K348),ISNUMBER(INDEX('Lift Inputs'!$H:$H,MATCH(C348,'Lift Inputs'!$C:$C,0)))),IF(K348&lt;INDEX('Lift Inputs'!$H:$H,MATCH(C348,'Lift Inputs'!$C:$C,0)),"YES","no"),""),"")</f>
        <v/>
      </c>
      <c r="BO348" s="44"/>
    </row>
    <row r="349" customFormat="false" ht="15" hidden="false" customHeight="false" outlineLevel="0" collapsed="false">
      <c r="A349" s="15" t="s">
        <v>98</v>
      </c>
      <c r="B349" s="15" t="s">
        <v>104</v>
      </c>
      <c r="C349" s="15" t="n">
        <v>56</v>
      </c>
      <c r="D349" s="15" t="s">
        <v>216</v>
      </c>
      <c r="E349" s="15" t="n">
        <v>1633</v>
      </c>
      <c r="F349" s="15" t="s">
        <v>816</v>
      </c>
      <c r="G349" s="15" t="s">
        <v>817</v>
      </c>
      <c r="H349" s="15" t="s">
        <v>818</v>
      </c>
      <c r="I349" s="15" t="s">
        <v>771</v>
      </c>
      <c r="J349" s="15" t="s">
        <v>177</v>
      </c>
      <c r="K349" s="35" t="n">
        <v>75</v>
      </c>
      <c r="L349" s="35"/>
      <c r="M349" s="23" t="str">
        <f aca="false">IF(AND(ISNUMBER(L349),ISNUMBER(K349),K349&gt;0),L349/K349-1,"")</f>
        <v/>
      </c>
      <c r="N349" s="36" t="str">
        <f aca="false">IF(M349="","No List Price",IF(M349&lt;=0,"At/below price",IF(M349&lt;=0.12,"&lt;=12% (STR zone)",IF(M349&lt;=0.25,"12-25%","&gt;25% (likely ignored)"))))</f>
        <v>No List Price</v>
      </c>
      <c r="O349" s="15"/>
      <c r="P349" s="35" t="n">
        <v>25.95</v>
      </c>
      <c r="Q349" s="22" t="n">
        <f aca="false">IF(AND(ISNUMBER(K349),ISNUMBER(P349),N(P349)&gt;0),K349/P349-1,"")</f>
        <v>1.89017341040462</v>
      </c>
      <c r="R349" s="15" t="s">
        <v>512</v>
      </c>
      <c r="S349" s="37" t="n">
        <v>26849</v>
      </c>
      <c r="T349" s="37" t="n">
        <v>197</v>
      </c>
      <c r="U349" s="38" t="n">
        <f aca="false">IF(AND(ISNUMBER(K349),ISNUMBER(T349)),K349*T349*52/12,"")</f>
        <v>64025</v>
      </c>
      <c r="V349" s="15" t="n">
        <v>4</v>
      </c>
      <c r="W349" s="37" t="n">
        <v>587</v>
      </c>
      <c r="X349" s="39" t="n">
        <v>46307</v>
      </c>
      <c r="Y349" s="15"/>
      <c r="Z349" s="40"/>
      <c r="AA349" s="41" t="str">
        <f aca="false">IF(ISNUMBER(Z349),(DATE(2026,10,13)-Z349)/365,"")</f>
        <v/>
      </c>
      <c r="AB349" s="37"/>
      <c r="AC349" s="15"/>
      <c r="AD349" s="15"/>
      <c r="AE349" s="15"/>
      <c r="AF349" s="42"/>
      <c r="AG349" s="42"/>
      <c r="AH349" s="15"/>
      <c r="AI349" s="37"/>
      <c r="AJ349" s="37"/>
      <c r="AK349" s="15" t="s">
        <v>326</v>
      </c>
      <c r="AL349" s="43" t="n">
        <v>369.1</v>
      </c>
      <c r="AM349" s="43" t="n">
        <v>427.5</v>
      </c>
      <c r="AN349" s="25" t="n">
        <f aca="false">IF(AND(ISNUMBER(AM349),ISNUMBER(AL349),AL349&gt;=5),AM349/AL349,"")</f>
        <v>1.15822270387429</v>
      </c>
      <c r="AO349" s="43" t="n">
        <v>16.6</v>
      </c>
      <c r="AP349" s="43" t="n">
        <v>45.2</v>
      </c>
      <c r="AQ349" s="25" t="n">
        <f aca="false">IF(AND(ISNUMBER(AP349),ISNUMBER(AO349),AO349&gt;=5),AP349/AO349,"")</f>
        <v>2.72289156626506</v>
      </c>
      <c r="AR349" s="43" t="n">
        <v>244.1</v>
      </c>
      <c r="AS349" s="43" t="n">
        <v>225.8</v>
      </c>
      <c r="AT349" s="22" t="n">
        <f aca="false">IF(AND(ISNUMBER(AS349),ISNUMBER(AR349),AR349&gt;0),AS349/AR349-1,"")</f>
        <v>-0.0749692748873412</v>
      </c>
      <c r="AU349" s="44"/>
      <c r="AV349" s="44"/>
      <c r="AW349" s="44"/>
      <c r="AX349" s="44"/>
      <c r="AY349" s="44"/>
      <c r="AZ349" s="45"/>
      <c r="BA349" s="45"/>
      <c r="BB349" s="46"/>
      <c r="BC349" s="46"/>
      <c r="BD349" s="23" t="str">
        <f aca="false">IF(AND(ISNUMBER(BB349),ISNUMBER(BC349),BB349&gt;0),1-BC349/BB349,"")</f>
        <v/>
      </c>
      <c r="BE349" s="47"/>
      <c r="BF349" s="48"/>
      <c r="BG349" s="48"/>
      <c r="BH349" s="27" t="str">
        <f aca="false">IF(AND(ISNUMBER(BF349),ISNUMBER(BG349),BG349&gt;0),BF349/BG349,"")</f>
        <v/>
      </c>
      <c r="BI349" s="48"/>
      <c r="BJ349" s="44"/>
      <c r="BK349" s="46"/>
      <c r="BL349" s="46"/>
      <c r="BM349" s="36" t="str">
        <f aca="false">IF(ISNUMBER(Q349),IF(Q349&lt;0,"YES","no"),"")</f>
        <v>no</v>
      </c>
      <c r="BN349" s="36" t="str">
        <f aca="false">IFERROR(IF(AND(ISNUMBER(K349),ISNUMBER(INDEX('Lift Inputs'!$H:$H,MATCH(C349,'Lift Inputs'!$C:$C,0)))),IF(K349&lt;INDEX('Lift Inputs'!$H:$H,MATCH(C349,'Lift Inputs'!$C:$C,0)),"YES","no"),""),"")</f>
        <v/>
      </c>
      <c r="BO349" s="44"/>
    </row>
    <row r="350" customFormat="false" ht="15" hidden="false" customHeight="false" outlineLevel="0" collapsed="false">
      <c r="A350" s="15" t="s">
        <v>98</v>
      </c>
      <c r="B350" s="15" t="s">
        <v>104</v>
      </c>
      <c r="C350" s="15" t="n">
        <v>56</v>
      </c>
      <c r="D350" s="15" t="s">
        <v>216</v>
      </c>
      <c r="E350" s="15" t="n">
        <v>1623</v>
      </c>
      <c r="F350" s="15" t="s">
        <v>819</v>
      </c>
      <c r="G350" s="15" t="s">
        <v>820</v>
      </c>
      <c r="H350" s="15" t="s">
        <v>821</v>
      </c>
      <c r="I350" s="15" t="s">
        <v>775</v>
      </c>
      <c r="J350" s="15" t="s">
        <v>177</v>
      </c>
      <c r="K350" s="35" t="n">
        <v>15.99</v>
      </c>
      <c r="L350" s="35"/>
      <c r="M350" s="23" t="str">
        <f aca="false">IF(AND(ISNUMBER(L350),ISNUMBER(K350),K350&gt;0),L350/K350-1,"")</f>
        <v/>
      </c>
      <c r="N350" s="36" t="str">
        <f aca="false">IF(M350="","No List Price",IF(M350&lt;=0,"At/below price",IF(M350&lt;=0.12,"&lt;=12% (STR zone)",IF(M350&lt;=0.25,"12-25%","&gt;25% (likely ignored)"))))</f>
        <v>No List Price</v>
      </c>
      <c r="O350" s="15"/>
      <c r="P350" s="35" t="n">
        <v>25.95</v>
      </c>
      <c r="Q350" s="22" t="n">
        <f aca="false">IF(AND(ISNUMBER(K350),ISNUMBER(P350),N(P350)&gt;0),K350/P350-1,"")</f>
        <v>-0.383815028901734</v>
      </c>
      <c r="R350" s="15" t="s">
        <v>512</v>
      </c>
      <c r="S350" s="37" t="n">
        <v>17930</v>
      </c>
      <c r="T350" s="37" t="n">
        <v>185</v>
      </c>
      <c r="U350" s="38" t="n">
        <f aca="false">IF(AND(ISNUMBER(K350),ISNUMBER(T350)),K350*T350*52/12,"")</f>
        <v>12818.65</v>
      </c>
      <c r="V350" s="15" t="n">
        <v>4.4</v>
      </c>
      <c r="W350" s="37" t="n">
        <v>2501</v>
      </c>
      <c r="X350" s="39" t="n">
        <v>46307</v>
      </c>
      <c r="Y350" s="15"/>
      <c r="Z350" s="40"/>
      <c r="AA350" s="41" t="str">
        <f aca="false">IF(ISNUMBER(Z350),(DATE(2026,10,13)-Z350)/365,"")</f>
        <v/>
      </c>
      <c r="AB350" s="37"/>
      <c r="AC350" s="15"/>
      <c r="AD350" s="15"/>
      <c r="AE350" s="15"/>
      <c r="AF350" s="42"/>
      <c r="AG350" s="42"/>
      <c r="AH350" s="15"/>
      <c r="AI350" s="37" t="n">
        <v>123074</v>
      </c>
      <c r="AJ350" s="37" t="n">
        <v>563</v>
      </c>
      <c r="AK350" s="15" t="s">
        <v>326</v>
      </c>
      <c r="AL350" s="43" t="n">
        <v>75.4</v>
      </c>
      <c r="AM350" s="43" t="n">
        <v>79.2</v>
      </c>
      <c r="AN350" s="25" t="n">
        <f aca="false">IF(AND(ISNUMBER(AM350),ISNUMBER(AL350),AL350&gt;=5),AM350/AL350,"")</f>
        <v>1.05039787798408</v>
      </c>
      <c r="AO350" s="43" t="n">
        <v>154.9</v>
      </c>
      <c r="AP350" s="43" t="n">
        <v>158.2</v>
      </c>
      <c r="AQ350" s="25" t="n">
        <f aca="false">IF(AND(ISNUMBER(AP350),ISNUMBER(AO350),AO350&gt;=5),AP350/AO350,"")</f>
        <v>1.02130406714009</v>
      </c>
      <c r="AR350" s="43" t="n">
        <v>80.1</v>
      </c>
      <c r="AS350" s="43" t="n">
        <v>87.1</v>
      </c>
      <c r="AT350" s="22" t="n">
        <f aca="false">IF(AND(ISNUMBER(AS350),ISNUMBER(AR350),AR350&gt;0),AS350/AR350-1,"")</f>
        <v>0.0873907615480649</v>
      </c>
      <c r="AU350" s="44"/>
      <c r="AV350" s="44"/>
      <c r="AW350" s="44"/>
      <c r="AX350" s="44"/>
      <c r="AY350" s="44"/>
      <c r="AZ350" s="45"/>
      <c r="BA350" s="45"/>
      <c r="BB350" s="46"/>
      <c r="BC350" s="46"/>
      <c r="BD350" s="23" t="str">
        <f aca="false">IF(AND(ISNUMBER(BB350),ISNUMBER(BC350),BB350&gt;0),1-BC350/BB350,"")</f>
        <v/>
      </c>
      <c r="BE350" s="47"/>
      <c r="BF350" s="48"/>
      <c r="BG350" s="48"/>
      <c r="BH350" s="27" t="str">
        <f aca="false">IF(AND(ISNUMBER(BF350),ISNUMBER(BG350),BG350&gt;0),BF350/BG350,"")</f>
        <v/>
      </c>
      <c r="BI350" s="48"/>
      <c r="BJ350" s="44"/>
      <c r="BK350" s="46"/>
      <c r="BL350" s="46"/>
      <c r="BM350" s="36" t="str">
        <f aca="false">IF(ISNUMBER(Q350),IF(Q350&lt;0,"YES","no"),"")</f>
        <v>YES</v>
      </c>
      <c r="BN350" s="36" t="str">
        <f aca="false">IFERROR(IF(AND(ISNUMBER(K350),ISNUMBER(INDEX('Lift Inputs'!$H:$H,MATCH(C350,'Lift Inputs'!$C:$C,0)))),IF(K350&lt;INDEX('Lift Inputs'!$H:$H,MATCH(C350,'Lift Inputs'!$C:$C,0)),"YES","no"),""),"")</f>
        <v/>
      </c>
      <c r="BO350" s="44"/>
    </row>
    <row r="351" customFormat="false" ht="15" hidden="false" customHeight="false" outlineLevel="0" collapsed="false">
      <c r="A351" s="15" t="s">
        <v>98</v>
      </c>
      <c r="B351" s="15" t="s">
        <v>104</v>
      </c>
      <c r="C351" s="15" t="n">
        <v>56</v>
      </c>
      <c r="D351" s="15" t="s">
        <v>216</v>
      </c>
      <c r="E351" s="15" t="n">
        <v>1637</v>
      </c>
      <c r="F351" s="15" t="s">
        <v>822</v>
      </c>
      <c r="G351" s="15" t="s">
        <v>823</v>
      </c>
      <c r="H351" s="15" t="s">
        <v>824</v>
      </c>
      <c r="I351" s="15" t="s">
        <v>771</v>
      </c>
      <c r="J351" s="15" t="s">
        <v>177</v>
      </c>
      <c r="K351" s="35" t="n">
        <v>29.95</v>
      </c>
      <c r="L351" s="35"/>
      <c r="M351" s="23" t="str">
        <f aca="false">IF(AND(ISNUMBER(L351),ISNUMBER(K351),K351&gt;0),L351/K351-1,"")</f>
        <v/>
      </c>
      <c r="N351" s="36" t="str">
        <f aca="false">IF(M351="","No List Price",IF(M351&lt;=0,"At/below price",IF(M351&lt;=0.12,"&lt;=12% (STR zone)",IF(M351&lt;=0.25,"12-25%","&gt;25% (likely ignored)"))))</f>
        <v>No List Price</v>
      </c>
      <c r="O351" s="15"/>
      <c r="P351" s="35" t="n">
        <v>25.95</v>
      </c>
      <c r="Q351" s="22" t="n">
        <f aca="false">IF(AND(ISNUMBER(K351),ISNUMBER(P351),N(P351)&gt;0),K351/P351-1,"")</f>
        <v>0.154142581888247</v>
      </c>
      <c r="R351" s="15" t="s">
        <v>512</v>
      </c>
      <c r="S351" s="37" t="n">
        <v>26824</v>
      </c>
      <c r="T351" s="37" t="n">
        <v>104</v>
      </c>
      <c r="U351" s="38" t="n">
        <f aca="false">IF(AND(ISNUMBER(K351),ISNUMBER(T351)),K351*T351*52/12,"")</f>
        <v>13497.4666666667</v>
      </c>
      <c r="V351" s="15" t="n">
        <v>4.3</v>
      </c>
      <c r="W351" s="37" t="n">
        <v>717</v>
      </c>
      <c r="X351" s="39" t="n">
        <v>46307</v>
      </c>
      <c r="Y351" s="15"/>
      <c r="Z351" s="40"/>
      <c r="AA351" s="41" t="str">
        <f aca="false">IF(ISNUMBER(Z351),(DATE(2026,10,13)-Z351)/365,"")</f>
        <v/>
      </c>
      <c r="AB351" s="37"/>
      <c r="AC351" s="15"/>
      <c r="AD351" s="15"/>
      <c r="AE351" s="15"/>
      <c r="AF351" s="42"/>
      <c r="AG351" s="42"/>
      <c r="AH351" s="15"/>
      <c r="AI351" s="37"/>
      <c r="AJ351" s="37"/>
      <c r="AK351" s="15" t="s">
        <v>825</v>
      </c>
      <c r="AL351" s="43" t="n">
        <v>30.5</v>
      </c>
      <c r="AM351" s="43" t="n">
        <v>39.5</v>
      </c>
      <c r="AN351" s="25" t="n">
        <f aca="false">IF(AND(ISNUMBER(AM351),ISNUMBER(AL351),AL351&gt;=5),AM351/AL351,"")</f>
        <v>1.29508196721311</v>
      </c>
      <c r="AO351" s="43" t="n">
        <v>0</v>
      </c>
      <c r="AP351" s="43" t="n">
        <v>0</v>
      </c>
      <c r="AQ351" s="25" t="str">
        <f aca="false">IF(AND(ISNUMBER(AP351),ISNUMBER(AO351),AO351&gt;=5),AP351/AO351,"")</f>
        <v/>
      </c>
      <c r="AR351" s="43" t="n">
        <v>43.6</v>
      </c>
      <c r="AS351" s="43" t="n">
        <v>303.3</v>
      </c>
      <c r="AT351" s="22" t="n">
        <f aca="false">IF(AND(ISNUMBER(AS351),ISNUMBER(AR351),AR351&gt;0),AS351/AR351-1,"")</f>
        <v>5.95642201834862</v>
      </c>
      <c r="AU351" s="44"/>
      <c r="AV351" s="44"/>
      <c r="AW351" s="44"/>
      <c r="AX351" s="44"/>
      <c r="AY351" s="44"/>
      <c r="AZ351" s="45"/>
      <c r="BA351" s="45"/>
      <c r="BB351" s="46"/>
      <c r="BC351" s="46"/>
      <c r="BD351" s="23" t="str">
        <f aca="false">IF(AND(ISNUMBER(BB351),ISNUMBER(BC351),BB351&gt;0),1-BC351/BB351,"")</f>
        <v/>
      </c>
      <c r="BE351" s="47"/>
      <c r="BF351" s="48"/>
      <c r="BG351" s="48"/>
      <c r="BH351" s="27" t="str">
        <f aca="false">IF(AND(ISNUMBER(BF351),ISNUMBER(BG351),BG351&gt;0),BF351/BG351,"")</f>
        <v/>
      </c>
      <c r="BI351" s="48"/>
      <c r="BJ351" s="44"/>
      <c r="BK351" s="46"/>
      <c r="BL351" s="46"/>
      <c r="BM351" s="36" t="str">
        <f aca="false">IF(ISNUMBER(Q351),IF(Q351&lt;0,"YES","no"),"")</f>
        <v>no</v>
      </c>
      <c r="BN351" s="36" t="str">
        <f aca="false">IFERROR(IF(AND(ISNUMBER(K351),ISNUMBER(INDEX('Lift Inputs'!$H:$H,MATCH(C351,'Lift Inputs'!$C:$C,0)))),IF(K351&lt;INDEX('Lift Inputs'!$H:$H,MATCH(C351,'Lift Inputs'!$C:$C,0)),"YES","no"),""),"")</f>
        <v/>
      </c>
      <c r="BO351" s="44"/>
    </row>
    <row r="352" customFormat="false" ht="15" hidden="false" customHeight="false" outlineLevel="0" collapsed="false">
      <c r="A352" s="15" t="s">
        <v>98</v>
      </c>
      <c r="B352" s="15" t="s">
        <v>104</v>
      </c>
      <c r="C352" s="15" t="n">
        <v>56</v>
      </c>
      <c r="D352" s="15" t="s">
        <v>216</v>
      </c>
      <c r="E352" s="15" t="n">
        <v>1630</v>
      </c>
      <c r="F352" s="15" t="s">
        <v>678</v>
      </c>
      <c r="G352" s="15" t="s">
        <v>826</v>
      </c>
      <c r="H352" s="15" t="s">
        <v>827</v>
      </c>
      <c r="I352" s="15" t="s">
        <v>771</v>
      </c>
      <c r="J352" s="15" t="s">
        <v>177</v>
      </c>
      <c r="K352" s="35" t="n">
        <v>22.49</v>
      </c>
      <c r="L352" s="35" t="n">
        <v>24.99</v>
      </c>
      <c r="M352" s="23" t="n">
        <f aca="false">IF(AND(ISNUMBER(L352),ISNUMBER(K352),K352&gt;0),L352/K352-1,"")</f>
        <v>0.111160515784793</v>
      </c>
      <c r="N352" s="36" t="str">
        <f aca="false">IF(M352="","No List Price",IF(M352&lt;=0,"At/below price",IF(M352&lt;=0.12,"&lt;=12% (STR zone)",IF(M352&lt;=0.25,"12-25%","&gt;25% (likely ignored)"))))</f>
        <v>&lt;=12% (STR zone)</v>
      </c>
      <c r="O352" s="15"/>
      <c r="P352" s="35" t="n">
        <v>25.95</v>
      </c>
      <c r="Q352" s="22" t="n">
        <f aca="false">IF(AND(ISNUMBER(K352),ISNUMBER(P352),N(P352)&gt;0),K352/P352-1,"")</f>
        <v>-0.133333333333333</v>
      </c>
      <c r="R352" s="15" t="s">
        <v>512</v>
      </c>
      <c r="S352" s="37" t="n">
        <v>33544</v>
      </c>
      <c r="T352" s="37" t="n">
        <v>104</v>
      </c>
      <c r="U352" s="38" t="n">
        <f aca="false">IF(AND(ISNUMBER(K352),ISNUMBER(T352)),K352*T352*52/12,"")</f>
        <v>10135.4933333333</v>
      </c>
      <c r="V352" s="15" t="n">
        <v>4.5</v>
      </c>
      <c r="W352" s="37" t="n">
        <v>2507</v>
      </c>
      <c r="X352" s="39" t="n">
        <v>46307</v>
      </c>
      <c r="Y352" s="15"/>
      <c r="Z352" s="40"/>
      <c r="AA352" s="41" t="str">
        <f aca="false">IF(ISNUMBER(Z352),(DATE(2026,10,13)-Z352)/365,"")</f>
        <v/>
      </c>
      <c r="AB352" s="37"/>
      <c r="AC352" s="15"/>
      <c r="AD352" s="15"/>
      <c r="AE352" s="15"/>
      <c r="AF352" s="42"/>
      <c r="AG352" s="42"/>
      <c r="AH352" s="15"/>
      <c r="AI352" s="37"/>
      <c r="AJ352" s="37"/>
      <c r="AK352" s="15" t="s">
        <v>326</v>
      </c>
      <c r="AL352" s="43" t="n">
        <v>144.2</v>
      </c>
      <c r="AM352" s="43" t="n">
        <v>184</v>
      </c>
      <c r="AN352" s="25" t="n">
        <f aca="false">IF(AND(ISNUMBER(AM352),ISNUMBER(AL352),AL352&gt;=5),AM352/AL352,"")</f>
        <v>1.27600554785021</v>
      </c>
      <c r="AO352" s="43" t="n">
        <v>16.4</v>
      </c>
      <c r="AP352" s="43" t="n">
        <v>30.2</v>
      </c>
      <c r="AQ352" s="25" t="n">
        <f aca="false">IF(AND(ISNUMBER(AP352),ISNUMBER(AO352),AO352&gt;=5),AP352/AO352,"")</f>
        <v>1.84146341463415</v>
      </c>
      <c r="AR352" s="43" t="n">
        <v>166.3</v>
      </c>
      <c r="AS352" s="43" t="n">
        <v>190.1</v>
      </c>
      <c r="AT352" s="22" t="n">
        <f aca="false">IF(AND(ISNUMBER(AS352),ISNUMBER(AR352),AR352&gt;0),AS352/AR352-1,"")</f>
        <v>0.143114852675887</v>
      </c>
      <c r="AU352" s="44"/>
      <c r="AV352" s="44"/>
      <c r="AW352" s="44"/>
      <c r="AX352" s="44"/>
      <c r="AY352" s="44"/>
      <c r="AZ352" s="45"/>
      <c r="BA352" s="45"/>
      <c r="BB352" s="46"/>
      <c r="BC352" s="46"/>
      <c r="BD352" s="23" t="str">
        <f aca="false">IF(AND(ISNUMBER(BB352),ISNUMBER(BC352),BB352&gt;0),1-BC352/BB352,"")</f>
        <v/>
      </c>
      <c r="BE352" s="47"/>
      <c r="BF352" s="48"/>
      <c r="BG352" s="48"/>
      <c r="BH352" s="27" t="str">
        <f aca="false">IF(AND(ISNUMBER(BF352),ISNUMBER(BG352),BG352&gt;0),BF352/BG352,"")</f>
        <v/>
      </c>
      <c r="BI352" s="48"/>
      <c r="BJ352" s="44"/>
      <c r="BK352" s="46"/>
      <c r="BL352" s="46"/>
      <c r="BM352" s="36" t="str">
        <f aca="false">IF(ISNUMBER(Q352),IF(Q352&lt;0,"YES","no"),"")</f>
        <v>YES</v>
      </c>
      <c r="BN352" s="36" t="str">
        <f aca="false">IFERROR(IF(AND(ISNUMBER(K352),ISNUMBER(INDEX('Lift Inputs'!$H:$H,MATCH(C352,'Lift Inputs'!$C:$C,0)))),IF(K352&lt;INDEX('Lift Inputs'!$H:$H,MATCH(C352,'Lift Inputs'!$C:$C,0)),"YES","no"),""),"")</f>
        <v/>
      </c>
      <c r="BO352" s="44"/>
    </row>
    <row r="353" customFormat="false" ht="15" hidden="false" customHeight="false" outlineLevel="0" collapsed="false">
      <c r="A353" s="15" t="s">
        <v>98</v>
      </c>
      <c r="B353" s="15" t="s">
        <v>104</v>
      </c>
      <c r="C353" s="15" t="n">
        <v>56</v>
      </c>
      <c r="D353" s="15" t="s">
        <v>216</v>
      </c>
      <c r="E353" s="15" t="n">
        <v>1622</v>
      </c>
      <c r="F353" s="15" t="s">
        <v>828</v>
      </c>
      <c r="G353" s="15" t="s">
        <v>829</v>
      </c>
      <c r="H353" s="15" t="s">
        <v>830</v>
      </c>
      <c r="I353" s="15" t="s">
        <v>775</v>
      </c>
      <c r="J353" s="15" t="s">
        <v>177</v>
      </c>
      <c r="K353" s="35" t="n">
        <v>22.99</v>
      </c>
      <c r="L353" s="35"/>
      <c r="M353" s="23" t="str">
        <f aca="false">IF(AND(ISNUMBER(L353),ISNUMBER(K353),K353&gt;0),L353/K353-1,"")</f>
        <v/>
      </c>
      <c r="N353" s="36" t="str">
        <f aca="false">IF(M353="","No List Price",IF(M353&lt;=0,"At/below price",IF(M353&lt;=0.12,"&lt;=12% (STR zone)",IF(M353&lt;=0.25,"12-25%","&gt;25% (likely ignored)"))))</f>
        <v>No List Price</v>
      </c>
      <c r="O353" s="15"/>
      <c r="P353" s="35" t="n">
        <v>25.95</v>
      </c>
      <c r="Q353" s="22" t="n">
        <f aca="false">IF(AND(ISNUMBER(K353),ISNUMBER(P353),N(P353)&gt;0),K353/P353-1,"")</f>
        <v>-0.114065510597303</v>
      </c>
      <c r="R353" s="15" t="s">
        <v>512</v>
      </c>
      <c r="S353" s="37" t="n">
        <v>30513</v>
      </c>
      <c r="T353" s="37" t="n">
        <v>92</v>
      </c>
      <c r="U353" s="38" t="n">
        <f aca="false">IF(AND(ISNUMBER(K353),ISNUMBER(T353)),K353*T353*52/12,"")</f>
        <v>9165.34666666667</v>
      </c>
      <c r="V353" s="15" t="n">
        <v>4.5</v>
      </c>
      <c r="W353" s="37" t="n">
        <v>345</v>
      </c>
      <c r="X353" s="39" t="n">
        <v>46307</v>
      </c>
      <c r="Y353" s="15"/>
      <c r="Z353" s="40"/>
      <c r="AA353" s="41" t="str">
        <f aca="false">IF(ISNUMBER(Z353),(DATE(2026,10,13)-Z353)/365,"")</f>
        <v/>
      </c>
      <c r="AB353" s="37"/>
      <c r="AC353" s="15"/>
      <c r="AD353" s="15"/>
      <c r="AE353" s="15"/>
      <c r="AF353" s="42"/>
      <c r="AG353" s="42"/>
      <c r="AH353" s="15"/>
      <c r="AI353" s="37" t="n">
        <v>81189</v>
      </c>
      <c r="AJ353" s="37" t="n">
        <v>467</v>
      </c>
      <c r="AK353" s="15" t="s">
        <v>315</v>
      </c>
      <c r="AL353" s="43" t="n">
        <v>36.7</v>
      </c>
      <c r="AM353" s="43" t="n">
        <v>76.5</v>
      </c>
      <c r="AN353" s="25" t="n">
        <f aca="false">IF(AND(ISNUMBER(AM353),ISNUMBER(AL353),AL353&gt;=5),AM353/AL353,"")</f>
        <v>2.08446866485014</v>
      </c>
      <c r="AO353" s="43" t="n">
        <v>19.2</v>
      </c>
      <c r="AP353" s="43" t="n">
        <v>23.8</v>
      </c>
      <c r="AQ353" s="25" t="n">
        <f aca="false">IF(AND(ISNUMBER(AP353),ISNUMBER(AO353),AO353&gt;=5),AP353/AO353,"")</f>
        <v>1.23958333333333</v>
      </c>
      <c r="AR353" s="43" t="n">
        <v>60</v>
      </c>
      <c r="AS353" s="43" t="n">
        <v>86.3</v>
      </c>
      <c r="AT353" s="22" t="n">
        <f aca="false">IF(AND(ISNUMBER(AS353),ISNUMBER(AR353),AR353&gt;0),AS353/AR353-1,"")</f>
        <v>0.438333333333333</v>
      </c>
      <c r="AU353" s="44"/>
      <c r="AV353" s="44"/>
      <c r="AW353" s="44"/>
      <c r="AX353" s="44"/>
      <c r="AY353" s="44"/>
      <c r="AZ353" s="45"/>
      <c r="BA353" s="45"/>
      <c r="BB353" s="46"/>
      <c r="BC353" s="46"/>
      <c r="BD353" s="23" t="str">
        <f aca="false">IF(AND(ISNUMBER(BB353),ISNUMBER(BC353),BB353&gt;0),1-BC353/BB353,"")</f>
        <v/>
      </c>
      <c r="BE353" s="47"/>
      <c r="BF353" s="48"/>
      <c r="BG353" s="48"/>
      <c r="BH353" s="27" t="str">
        <f aca="false">IF(AND(ISNUMBER(BF353),ISNUMBER(BG353),BG353&gt;0),BF353/BG353,"")</f>
        <v/>
      </c>
      <c r="BI353" s="48"/>
      <c r="BJ353" s="44"/>
      <c r="BK353" s="46"/>
      <c r="BL353" s="46"/>
      <c r="BM353" s="36" t="str">
        <f aca="false">IF(ISNUMBER(Q353),IF(Q353&lt;0,"YES","no"),"")</f>
        <v>YES</v>
      </c>
      <c r="BN353" s="36" t="str">
        <f aca="false">IFERROR(IF(AND(ISNUMBER(K353),ISNUMBER(INDEX('Lift Inputs'!$H:$H,MATCH(C353,'Lift Inputs'!$C:$C,0)))),IF(K353&lt;INDEX('Lift Inputs'!$H:$H,MATCH(C353,'Lift Inputs'!$C:$C,0)),"YES","no"),""),"")</f>
        <v/>
      </c>
      <c r="BO353" s="44"/>
    </row>
    <row r="354" customFormat="false" ht="15" hidden="false" customHeight="false" outlineLevel="0" collapsed="false">
      <c r="A354" s="15" t="s">
        <v>98</v>
      </c>
      <c r="B354" s="15" t="s">
        <v>104</v>
      </c>
      <c r="C354" s="15" t="n">
        <v>56</v>
      </c>
      <c r="D354" s="15" t="s">
        <v>216</v>
      </c>
      <c r="E354" s="15" t="n">
        <v>428</v>
      </c>
      <c r="F354" s="15" t="s">
        <v>831</v>
      </c>
      <c r="G354" s="15" t="s">
        <v>832</v>
      </c>
      <c r="H354" s="15" t="s">
        <v>833</v>
      </c>
      <c r="I354" s="15" t="s">
        <v>771</v>
      </c>
      <c r="J354" s="15" t="s">
        <v>177</v>
      </c>
      <c r="K354" s="35" t="n">
        <v>79</v>
      </c>
      <c r="L354" s="35"/>
      <c r="M354" s="23" t="str">
        <f aca="false">IF(AND(ISNUMBER(L354),ISNUMBER(K354),K354&gt;0),L354/K354-1,"")</f>
        <v/>
      </c>
      <c r="N354" s="36" t="str">
        <f aca="false">IF(M354="","No List Price",IF(M354&lt;=0,"At/below price",IF(M354&lt;=0.12,"&lt;=12% (STR zone)",IF(M354&lt;=0.25,"12-25%","&gt;25% (likely ignored)"))))</f>
        <v>No List Price</v>
      </c>
      <c r="O354" s="15"/>
      <c r="P354" s="35" t="n">
        <v>25.95</v>
      </c>
      <c r="Q354" s="22" t="n">
        <f aca="false">IF(AND(ISNUMBER(K354),ISNUMBER(P354),N(P354)&gt;0),K354/P354-1,"")</f>
        <v>2.04431599229287</v>
      </c>
      <c r="R354" s="15" t="s">
        <v>512</v>
      </c>
      <c r="S354" s="37" t="n">
        <v>31364</v>
      </c>
      <c r="T354" s="37" t="n">
        <v>92</v>
      </c>
      <c r="U354" s="38" t="n">
        <f aca="false">IF(AND(ISNUMBER(K354),ISNUMBER(T354)),K354*T354*52/12,"")</f>
        <v>31494.6666666667</v>
      </c>
      <c r="V354" s="15" t="n">
        <v>4.3</v>
      </c>
      <c r="W354" s="37" t="n">
        <v>401</v>
      </c>
      <c r="X354" s="39" t="n">
        <v>46307</v>
      </c>
      <c r="Y354" s="15"/>
      <c r="Z354" s="40"/>
      <c r="AA354" s="41" t="str">
        <f aca="false">IF(ISNUMBER(Z354),(DATE(2026,10,13)-Z354)/365,"")</f>
        <v/>
      </c>
      <c r="AB354" s="37"/>
      <c r="AC354" s="15"/>
      <c r="AD354" s="15"/>
      <c r="AE354" s="15"/>
      <c r="AF354" s="42"/>
      <c r="AG354" s="42"/>
      <c r="AH354" s="15"/>
      <c r="AI354" s="37"/>
      <c r="AJ354" s="37"/>
      <c r="AK354" s="15" t="s">
        <v>326</v>
      </c>
      <c r="AL354" s="43" t="n">
        <v>505.8</v>
      </c>
      <c r="AM354" s="43" t="n">
        <v>566</v>
      </c>
      <c r="AN354" s="25" t="n">
        <f aca="false">IF(AND(ISNUMBER(AM354),ISNUMBER(AL354),AL354&gt;=5),AM354/AL354,"")</f>
        <v>1.11901937524713</v>
      </c>
      <c r="AO354" s="43" t="n">
        <v>35.8</v>
      </c>
      <c r="AP354" s="43" t="n">
        <v>24.2</v>
      </c>
      <c r="AQ354" s="25" t="n">
        <f aca="false">IF(AND(ISNUMBER(AP354),ISNUMBER(AO354),AO354&gt;=5),AP354/AO354,"")</f>
        <v>0.675977653631285</v>
      </c>
      <c r="AR354" s="43" t="n">
        <v>358.1</v>
      </c>
      <c r="AS354" s="43" t="n">
        <v>281.2</v>
      </c>
      <c r="AT354" s="22" t="n">
        <f aca="false">IF(AND(ISNUMBER(AS354),ISNUMBER(AR354),AR354&gt;0),AS354/AR354-1,"")</f>
        <v>-0.214744484780788</v>
      </c>
      <c r="AU354" s="44"/>
      <c r="AV354" s="44"/>
      <c r="AW354" s="44"/>
      <c r="AX354" s="44"/>
      <c r="AY354" s="44"/>
      <c r="AZ354" s="45"/>
      <c r="BA354" s="45"/>
      <c r="BB354" s="46"/>
      <c r="BC354" s="46"/>
      <c r="BD354" s="23" t="str">
        <f aca="false">IF(AND(ISNUMBER(BB354),ISNUMBER(BC354),BB354&gt;0),1-BC354/BB354,"")</f>
        <v/>
      </c>
      <c r="BE354" s="47"/>
      <c r="BF354" s="48"/>
      <c r="BG354" s="48"/>
      <c r="BH354" s="27" t="str">
        <f aca="false">IF(AND(ISNUMBER(BF354),ISNUMBER(BG354),BG354&gt;0),BF354/BG354,"")</f>
        <v/>
      </c>
      <c r="BI354" s="48"/>
      <c r="BJ354" s="44"/>
      <c r="BK354" s="46"/>
      <c r="BL354" s="46"/>
      <c r="BM354" s="36" t="str">
        <f aca="false">IF(ISNUMBER(Q354),IF(Q354&lt;0,"YES","no"),"")</f>
        <v>no</v>
      </c>
      <c r="BN354" s="36" t="str">
        <f aca="false">IFERROR(IF(AND(ISNUMBER(K354),ISNUMBER(INDEX('Lift Inputs'!$H:$H,MATCH(C354,'Lift Inputs'!$C:$C,0)))),IF(K354&lt;INDEX('Lift Inputs'!$H:$H,MATCH(C354,'Lift Inputs'!$C:$C,0)),"YES","no"),""),"")</f>
        <v/>
      </c>
      <c r="BO354" s="44"/>
    </row>
    <row r="355" customFormat="false" ht="15" hidden="false" customHeight="false" outlineLevel="0" collapsed="false">
      <c r="A355" s="15" t="s">
        <v>98</v>
      </c>
      <c r="B355" s="15" t="s">
        <v>104</v>
      </c>
      <c r="C355" s="15" t="n">
        <v>56</v>
      </c>
      <c r="D355" s="15" t="s">
        <v>216</v>
      </c>
      <c r="E355" s="15" t="n">
        <v>1634</v>
      </c>
      <c r="F355" s="15" t="s">
        <v>803</v>
      </c>
      <c r="G355" s="15" t="s">
        <v>834</v>
      </c>
      <c r="H355" s="15" t="s">
        <v>835</v>
      </c>
      <c r="I355" s="15" t="s">
        <v>771</v>
      </c>
      <c r="J355" s="15" t="s">
        <v>177</v>
      </c>
      <c r="K355" s="35" t="n">
        <v>37.96</v>
      </c>
      <c r="L355" s="35"/>
      <c r="M355" s="23" t="str">
        <f aca="false">IF(AND(ISNUMBER(L355),ISNUMBER(K355),K355&gt;0),L355/K355-1,"")</f>
        <v/>
      </c>
      <c r="N355" s="36" t="str">
        <f aca="false">IF(M355="","No List Price",IF(M355&lt;=0,"At/below price",IF(M355&lt;=0.12,"&lt;=12% (STR zone)",IF(M355&lt;=0.25,"12-25%","&gt;25% (likely ignored)"))))</f>
        <v>No List Price</v>
      </c>
      <c r="O355" s="15"/>
      <c r="P355" s="35" t="n">
        <v>25.95</v>
      </c>
      <c r="Q355" s="22" t="n">
        <f aca="false">IF(AND(ISNUMBER(K355),ISNUMBER(P355),N(P355)&gt;0),K355/P355-1,"")</f>
        <v>0.462813102119461</v>
      </c>
      <c r="R355" s="15" t="s">
        <v>512</v>
      </c>
      <c r="S355" s="37" t="n">
        <v>31692</v>
      </c>
      <c r="T355" s="37" t="n">
        <v>35</v>
      </c>
      <c r="U355" s="38" t="n">
        <f aca="false">IF(AND(ISNUMBER(K355),ISNUMBER(T355)),K355*T355*52/12,"")</f>
        <v>5757.26666666667</v>
      </c>
      <c r="V355" s="15" t="n">
        <v>4</v>
      </c>
      <c r="W355" s="37" t="n">
        <v>188</v>
      </c>
      <c r="X355" s="39" t="n">
        <v>46307</v>
      </c>
      <c r="Y355" s="15"/>
      <c r="Z355" s="40"/>
      <c r="AA355" s="41" t="str">
        <f aca="false">IF(ISNUMBER(Z355),(DATE(2026,10,13)-Z355)/365,"")</f>
        <v/>
      </c>
      <c r="AB355" s="37"/>
      <c r="AC355" s="15"/>
      <c r="AD355" s="15"/>
      <c r="AE355" s="15"/>
      <c r="AF355" s="42"/>
      <c r="AG355" s="42"/>
      <c r="AH355" s="15"/>
      <c r="AI355" s="37"/>
      <c r="AJ355" s="37"/>
      <c r="AK355" s="15"/>
      <c r="AL355" s="43"/>
      <c r="AM355" s="43"/>
      <c r="AN355" s="25" t="str">
        <f aca="false">IF(AND(ISNUMBER(AM355),ISNUMBER(AL355),AL355&gt;=5),AM355/AL355,"")</f>
        <v/>
      </c>
      <c r="AO355" s="43"/>
      <c r="AP355" s="43"/>
      <c r="AQ355" s="25" t="str">
        <f aca="false">IF(AND(ISNUMBER(AP355),ISNUMBER(AO355),AO355&gt;=5),AP355/AO355,"")</f>
        <v/>
      </c>
      <c r="AR355" s="43"/>
      <c r="AS355" s="43"/>
      <c r="AT355" s="22" t="str">
        <f aca="false">IF(AND(ISNUMBER(AS355),ISNUMBER(AR355),AR355&gt;0),AS355/AR355-1,"")</f>
        <v/>
      </c>
      <c r="AU355" s="44"/>
      <c r="AV355" s="44"/>
      <c r="AW355" s="44"/>
      <c r="AX355" s="44"/>
      <c r="AY355" s="44"/>
      <c r="AZ355" s="45"/>
      <c r="BA355" s="45"/>
      <c r="BB355" s="46"/>
      <c r="BC355" s="46"/>
      <c r="BD355" s="23" t="str">
        <f aca="false">IF(AND(ISNUMBER(BB355),ISNUMBER(BC355),BB355&gt;0),1-BC355/BB355,"")</f>
        <v/>
      </c>
      <c r="BE355" s="47"/>
      <c r="BF355" s="48"/>
      <c r="BG355" s="48"/>
      <c r="BH355" s="27" t="str">
        <f aca="false">IF(AND(ISNUMBER(BF355),ISNUMBER(BG355),BG355&gt;0),BF355/BG355,"")</f>
        <v/>
      </c>
      <c r="BI355" s="48"/>
      <c r="BJ355" s="44"/>
      <c r="BK355" s="46"/>
      <c r="BL355" s="46"/>
      <c r="BM355" s="36" t="str">
        <f aca="false">IF(ISNUMBER(Q355),IF(Q355&lt;0,"YES","no"),"")</f>
        <v>no</v>
      </c>
      <c r="BN355" s="36" t="str">
        <f aca="false">IFERROR(IF(AND(ISNUMBER(K355),ISNUMBER(INDEX('Lift Inputs'!$H:$H,MATCH(C355,'Lift Inputs'!$C:$C,0)))),IF(K355&lt;INDEX('Lift Inputs'!$H:$H,MATCH(C355,'Lift Inputs'!$C:$C,0)),"YES","no"),""),"")</f>
        <v/>
      </c>
      <c r="BO355" s="44"/>
    </row>
    <row r="356" customFormat="false" ht="15" hidden="false" customHeight="false" outlineLevel="0" collapsed="false">
      <c r="A356" s="15" t="s">
        <v>98</v>
      </c>
      <c r="B356" s="15" t="s">
        <v>104</v>
      </c>
      <c r="C356" s="15" t="n">
        <v>56</v>
      </c>
      <c r="D356" s="15" t="s">
        <v>216</v>
      </c>
      <c r="E356" s="15" t="n">
        <v>426</v>
      </c>
      <c r="F356" s="15" t="s">
        <v>678</v>
      </c>
      <c r="G356" s="15" t="s">
        <v>836</v>
      </c>
      <c r="H356" s="15" t="s">
        <v>837</v>
      </c>
      <c r="I356" s="15" t="s">
        <v>771</v>
      </c>
      <c r="J356" s="15" t="s">
        <v>177</v>
      </c>
      <c r="K356" s="35" t="n">
        <v>28.99</v>
      </c>
      <c r="L356" s="35"/>
      <c r="M356" s="23" t="str">
        <f aca="false">IF(AND(ISNUMBER(L356),ISNUMBER(K356),K356&gt;0),L356/K356-1,"")</f>
        <v/>
      </c>
      <c r="N356" s="36" t="str">
        <f aca="false">IF(M356="","No List Price",IF(M356&lt;=0,"At/below price",IF(M356&lt;=0.12,"&lt;=12% (STR zone)",IF(M356&lt;=0.25,"12-25%","&gt;25% (likely ignored)"))))</f>
        <v>No List Price</v>
      </c>
      <c r="O356" s="15"/>
      <c r="P356" s="35" t="n">
        <v>25.95</v>
      </c>
      <c r="Q356" s="22" t="n">
        <f aca="false">IF(AND(ISNUMBER(K356),ISNUMBER(P356),N(P356)&gt;0),K356/P356-1,"")</f>
        <v>0.117148362235067</v>
      </c>
      <c r="R356" s="15" t="s">
        <v>512</v>
      </c>
      <c r="S356" s="37" t="n">
        <v>20620</v>
      </c>
      <c r="T356" s="37" t="n">
        <v>35</v>
      </c>
      <c r="U356" s="38" t="n">
        <f aca="false">IF(AND(ISNUMBER(K356),ISNUMBER(T356)),K356*T356*52/12,"")</f>
        <v>4396.81666666667</v>
      </c>
      <c r="V356" s="15" t="n">
        <v>4.3</v>
      </c>
      <c r="W356" s="37" t="n">
        <v>1106</v>
      </c>
      <c r="X356" s="39" t="n">
        <v>46307</v>
      </c>
      <c r="Y356" s="15"/>
      <c r="Z356" s="40"/>
      <c r="AA356" s="41" t="str">
        <f aca="false">IF(ISNUMBER(Z356),(DATE(2026,10,13)-Z356)/365,"")</f>
        <v/>
      </c>
      <c r="AB356" s="37"/>
      <c r="AC356" s="15"/>
      <c r="AD356" s="15"/>
      <c r="AE356" s="15"/>
      <c r="AF356" s="42"/>
      <c r="AG356" s="42"/>
      <c r="AH356" s="15"/>
      <c r="AI356" s="37"/>
      <c r="AJ356" s="37"/>
      <c r="AK356" s="15"/>
      <c r="AL356" s="43"/>
      <c r="AM356" s="43"/>
      <c r="AN356" s="25" t="str">
        <f aca="false">IF(AND(ISNUMBER(AM356),ISNUMBER(AL356),AL356&gt;=5),AM356/AL356,"")</f>
        <v/>
      </c>
      <c r="AO356" s="43"/>
      <c r="AP356" s="43"/>
      <c r="AQ356" s="25" t="str">
        <f aca="false">IF(AND(ISNUMBER(AP356),ISNUMBER(AO356),AO356&gt;=5),AP356/AO356,"")</f>
        <v/>
      </c>
      <c r="AR356" s="43"/>
      <c r="AS356" s="43"/>
      <c r="AT356" s="22" t="str">
        <f aca="false">IF(AND(ISNUMBER(AS356),ISNUMBER(AR356),AR356&gt;0),AS356/AR356-1,"")</f>
        <v/>
      </c>
      <c r="AU356" s="44"/>
      <c r="AV356" s="44"/>
      <c r="AW356" s="44"/>
      <c r="AX356" s="44"/>
      <c r="AY356" s="44"/>
      <c r="AZ356" s="45"/>
      <c r="BA356" s="45"/>
      <c r="BB356" s="46"/>
      <c r="BC356" s="46"/>
      <c r="BD356" s="23" t="str">
        <f aca="false">IF(AND(ISNUMBER(BB356),ISNUMBER(BC356),BB356&gt;0),1-BC356/BB356,"")</f>
        <v/>
      </c>
      <c r="BE356" s="47"/>
      <c r="BF356" s="48"/>
      <c r="BG356" s="48"/>
      <c r="BH356" s="27" t="str">
        <f aca="false">IF(AND(ISNUMBER(BF356),ISNUMBER(BG356),BG356&gt;0),BF356/BG356,"")</f>
        <v/>
      </c>
      <c r="BI356" s="48"/>
      <c r="BJ356" s="44"/>
      <c r="BK356" s="46"/>
      <c r="BL356" s="46"/>
      <c r="BM356" s="36" t="str">
        <f aca="false">IF(ISNUMBER(Q356),IF(Q356&lt;0,"YES","no"),"")</f>
        <v>no</v>
      </c>
      <c r="BN356" s="36" t="str">
        <f aca="false">IFERROR(IF(AND(ISNUMBER(K356),ISNUMBER(INDEX('Lift Inputs'!$H:$H,MATCH(C356,'Lift Inputs'!$C:$C,0)))),IF(K356&lt;INDEX('Lift Inputs'!$H:$H,MATCH(C356,'Lift Inputs'!$C:$C,0)),"YES","no"),""),"")</f>
        <v/>
      </c>
      <c r="BO356" s="44"/>
    </row>
    <row r="357" customFormat="false" ht="15" hidden="false" customHeight="false" outlineLevel="0" collapsed="false">
      <c r="A357" s="15" t="s">
        <v>98</v>
      </c>
      <c r="B357" s="15" t="s">
        <v>104</v>
      </c>
      <c r="C357" s="15" t="n">
        <v>56</v>
      </c>
      <c r="D357" s="15" t="s">
        <v>216</v>
      </c>
      <c r="E357" s="15" t="n">
        <v>425</v>
      </c>
      <c r="F357" s="15" t="s">
        <v>772</v>
      </c>
      <c r="G357" s="15" t="s">
        <v>838</v>
      </c>
      <c r="H357" s="15" t="s">
        <v>839</v>
      </c>
      <c r="I357" s="15" t="s">
        <v>771</v>
      </c>
      <c r="J357" s="15" t="s">
        <v>177</v>
      </c>
      <c r="K357" s="35" t="n">
        <v>24.29</v>
      </c>
      <c r="L357" s="35" t="n">
        <v>26.99</v>
      </c>
      <c r="M357" s="23" t="n">
        <f aca="false">IF(AND(ISNUMBER(L357),ISNUMBER(K357),K357&gt;0),L357/K357-1,"")</f>
        <v>0.111156854672705</v>
      </c>
      <c r="N357" s="36" t="str">
        <f aca="false">IF(M357="","No List Price",IF(M357&lt;=0,"At/below price",IF(M357&lt;=0.12,"&lt;=12% (STR zone)",IF(M357&lt;=0.25,"12-25%","&gt;25% (likely ignored)"))))</f>
        <v>&lt;=12% (STR zone)</v>
      </c>
      <c r="O357" s="15"/>
      <c r="P357" s="35" t="n">
        <v>25.95</v>
      </c>
      <c r="Q357" s="22" t="n">
        <f aca="false">IF(AND(ISNUMBER(K357),ISNUMBER(P357),N(P357)&gt;0),K357/P357-1,"")</f>
        <v>-0.0639691714836224</v>
      </c>
      <c r="R357" s="15" t="s">
        <v>512</v>
      </c>
      <c r="S357" s="37" t="n">
        <v>33096</v>
      </c>
      <c r="T357" s="37" t="n">
        <v>18</v>
      </c>
      <c r="U357" s="38" t="n">
        <f aca="false">IF(AND(ISNUMBER(K357),ISNUMBER(T357)),K357*T357*52/12,"")</f>
        <v>1894.62</v>
      </c>
      <c r="V357" s="15" t="n">
        <v>4.3</v>
      </c>
      <c r="W357" s="37" t="n">
        <v>441</v>
      </c>
      <c r="X357" s="39" t="n">
        <v>46307</v>
      </c>
      <c r="Y357" s="15"/>
      <c r="Z357" s="40"/>
      <c r="AA357" s="41" t="str">
        <f aca="false">IF(ISNUMBER(Z357),(DATE(2026,10,13)-Z357)/365,"")</f>
        <v/>
      </c>
      <c r="AB357" s="37"/>
      <c r="AC357" s="15"/>
      <c r="AD357" s="15"/>
      <c r="AE357" s="15"/>
      <c r="AF357" s="42"/>
      <c r="AG357" s="42"/>
      <c r="AH357" s="15"/>
      <c r="AI357" s="37"/>
      <c r="AJ357" s="37"/>
      <c r="AK357" s="15"/>
      <c r="AL357" s="43"/>
      <c r="AM357" s="43"/>
      <c r="AN357" s="25" t="str">
        <f aca="false">IF(AND(ISNUMBER(AM357),ISNUMBER(AL357),AL357&gt;=5),AM357/AL357,"")</f>
        <v/>
      </c>
      <c r="AO357" s="43"/>
      <c r="AP357" s="43"/>
      <c r="AQ357" s="25" t="str">
        <f aca="false">IF(AND(ISNUMBER(AP357),ISNUMBER(AO357),AO357&gt;=5),AP357/AO357,"")</f>
        <v/>
      </c>
      <c r="AR357" s="43"/>
      <c r="AS357" s="43"/>
      <c r="AT357" s="22" t="str">
        <f aca="false">IF(AND(ISNUMBER(AS357),ISNUMBER(AR357),AR357&gt;0),AS357/AR357-1,"")</f>
        <v/>
      </c>
      <c r="AU357" s="44"/>
      <c r="AV357" s="44"/>
      <c r="AW357" s="44"/>
      <c r="AX357" s="44"/>
      <c r="AY357" s="44"/>
      <c r="AZ357" s="45"/>
      <c r="BA357" s="45"/>
      <c r="BB357" s="46"/>
      <c r="BC357" s="46"/>
      <c r="BD357" s="23" t="str">
        <f aca="false">IF(AND(ISNUMBER(BB357),ISNUMBER(BC357),BB357&gt;0),1-BC357/BB357,"")</f>
        <v/>
      </c>
      <c r="BE357" s="47"/>
      <c r="BF357" s="48"/>
      <c r="BG357" s="48"/>
      <c r="BH357" s="27" t="str">
        <f aca="false">IF(AND(ISNUMBER(BF357),ISNUMBER(BG357),BG357&gt;0),BF357/BG357,"")</f>
        <v/>
      </c>
      <c r="BI357" s="48"/>
      <c r="BJ357" s="44"/>
      <c r="BK357" s="46"/>
      <c r="BL357" s="46"/>
      <c r="BM357" s="36" t="str">
        <f aca="false">IF(ISNUMBER(Q357),IF(Q357&lt;0,"YES","no"),"")</f>
        <v>YES</v>
      </c>
      <c r="BN357" s="36" t="str">
        <f aca="false">IFERROR(IF(AND(ISNUMBER(K357),ISNUMBER(INDEX('Lift Inputs'!$H:$H,MATCH(C357,'Lift Inputs'!$C:$C,0)))),IF(K357&lt;INDEX('Lift Inputs'!$H:$H,MATCH(C357,'Lift Inputs'!$C:$C,0)),"YES","no"),""),"")</f>
        <v/>
      </c>
      <c r="BO357" s="44"/>
    </row>
    <row r="358" customFormat="false" ht="15" hidden="false" customHeight="false" outlineLevel="0" collapsed="false">
      <c r="A358" s="15" t="s">
        <v>98</v>
      </c>
      <c r="B358" s="15" t="s">
        <v>104</v>
      </c>
      <c r="C358" s="15" t="n">
        <v>56</v>
      </c>
      <c r="D358" s="15" t="s">
        <v>216</v>
      </c>
      <c r="E358" s="15" t="n">
        <v>1635</v>
      </c>
      <c r="F358" s="15" t="s">
        <v>678</v>
      </c>
      <c r="G358" s="15" t="s">
        <v>840</v>
      </c>
      <c r="H358" s="15" t="s">
        <v>841</v>
      </c>
      <c r="I358" s="15" t="s">
        <v>771</v>
      </c>
      <c r="J358" s="15" t="s">
        <v>177</v>
      </c>
      <c r="K358" s="35" t="n">
        <v>25.19</v>
      </c>
      <c r="L358" s="35" t="n">
        <v>27.99</v>
      </c>
      <c r="M358" s="23" t="n">
        <f aca="false">IF(AND(ISNUMBER(L358),ISNUMBER(K358),K358&gt;0),L358/K358-1,"")</f>
        <v>0.111155220325526</v>
      </c>
      <c r="N358" s="36" t="str">
        <f aca="false">IF(M358="","No List Price",IF(M358&lt;=0,"At/below price",IF(M358&lt;=0.12,"&lt;=12% (STR zone)",IF(M358&lt;=0.25,"12-25%","&gt;25% (likely ignored)"))))</f>
        <v>&lt;=12% (STR zone)</v>
      </c>
      <c r="O358" s="15"/>
      <c r="P358" s="35" t="n">
        <v>25.95</v>
      </c>
      <c r="Q358" s="22" t="n">
        <f aca="false">IF(AND(ISNUMBER(K358),ISNUMBER(P358),N(P358)&gt;0),K358/P358-1,"")</f>
        <v>-0.0292870905587668</v>
      </c>
      <c r="R358" s="15" t="s">
        <v>512</v>
      </c>
      <c r="S358" s="37" t="n">
        <v>73471</v>
      </c>
      <c r="T358" s="37" t="n">
        <v>18</v>
      </c>
      <c r="U358" s="38" t="n">
        <f aca="false">IF(AND(ISNUMBER(K358),ISNUMBER(T358)),K358*T358*52/12,"")</f>
        <v>1964.82</v>
      </c>
      <c r="V358" s="15" t="n">
        <v>4.3</v>
      </c>
      <c r="W358" s="37" t="n">
        <v>219</v>
      </c>
      <c r="X358" s="39" t="n">
        <v>46307</v>
      </c>
      <c r="Y358" s="15"/>
      <c r="Z358" s="40"/>
      <c r="AA358" s="41" t="str">
        <f aca="false">IF(ISNUMBER(Z358),(DATE(2026,10,13)-Z358)/365,"")</f>
        <v/>
      </c>
      <c r="AB358" s="37"/>
      <c r="AC358" s="15"/>
      <c r="AD358" s="15"/>
      <c r="AE358" s="15"/>
      <c r="AF358" s="42"/>
      <c r="AG358" s="42"/>
      <c r="AH358" s="15"/>
      <c r="AI358" s="37"/>
      <c r="AJ358" s="37"/>
      <c r="AK358" s="15"/>
      <c r="AL358" s="43"/>
      <c r="AM358" s="43"/>
      <c r="AN358" s="25" t="str">
        <f aca="false">IF(AND(ISNUMBER(AM358),ISNUMBER(AL358),AL358&gt;=5),AM358/AL358,"")</f>
        <v/>
      </c>
      <c r="AO358" s="43"/>
      <c r="AP358" s="43"/>
      <c r="AQ358" s="25" t="str">
        <f aca="false">IF(AND(ISNUMBER(AP358),ISNUMBER(AO358),AO358&gt;=5),AP358/AO358,"")</f>
        <v/>
      </c>
      <c r="AR358" s="43"/>
      <c r="AS358" s="43"/>
      <c r="AT358" s="22" t="str">
        <f aca="false">IF(AND(ISNUMBER(AS358),ISNUMBER(AR358),AR358&gt;0),AS358/AR358-1,"")</f>
        <v/>
      </c>
      <c r="AU358" s="44"/>
      <c r="AV358" s="44"/>
      <c r="AW358" s="44"/>
      <c r="AX358" s="44"/>
      <c r="AY358" s="44"/>
      <c r="AZ358" s="45"/>
      <c r="BA358" s="45"/>
      <c r="BB358" s="46"/>
      <c r="BC358" s="46"/>
      <c r="BD358" s="23" t="str">
        <f aca="false">IF(AND(ISNUMBER(BB358),ISNUMBER(BC358),BB358&gt;0),1-BC358/BB358,"")</f>
        <v/>
      </c>
      <c r="BE358" s="47"/>
      <c r="BF358" s="48"/>
      <c r="BG358" s="48"/>
      <c r="BH358" s="27" t="str">
        <f aca="false">IF(AND(ISNUMBER(BF358),ISNUMBER(BG358),BG358&gt;0),BF358/BG358,"")</f>
        <v/>
      </c>
      <c r="BI358" s="48"/>
      <c r="BJ358" s="44"/>
      <c r="BK358" s="46"/>
      <c r="BL358" s="46"/>
      <c r="BM358" s="36" t="str">
        <f aca="false">IF(ISNUMBER(Q358),IF(Q358&lt;0,"YES","no"),"")</f>
        <v>YES</v>
      </c>
      <c r="BN358" s="36" t="str">
        <f aca="false">IFERROR(IF(AND(ISNUMBER(K358),ISNUMBER(INDEX('Lift Inputs'!$H:$H,MATCH(C358,'Lift Inputs'!$C:$C,0)))),IF(K358&lt;INDEX('Lift Inputs'!$H:$H,MATCH(C358,'Lift Inputs'!$C:$C,0)),"YES","no"),""),"")</f>
        <v/>
      </c>
      <c r="BO358" s="44"/>
    </row>
    <row r="359" customFormat="false" ht="15" hidden="false" customHeight="false" outlineLevel="0" collapsed="false">
      <c r="A359" s="15" t="s">
        <v>98</v>
      </c>
      <c r="B359" s="15" t="s">
        <v>104</v>
      </c>
      <c r="C359" s="15" t="n">
        <v>56</v>
      </c>
      <c r="D359" s="15" t="s">
        <v>216</v>
      </c>
      <c r="E359" s="15" t="n">
        <v>1638</v>
      </c>
      <c r="F359" s="15" t="s">
        <v>842</v>
      </c>
      <c r="G359" s="15" t="s">
        <v>843</v>
      </c>
      <c r="H359" s="15" t="s">
        <v>844</v>
      </c>
      <c r="I359" s="15" t="s">
        <v>771</v>
      </c>
      <c r="J359" s="15" t="s">
        <v>178</v>
      </c>
      <c r="K359" s="35" t="n">
        <v>34.99</v>
      </c>
      <c r="L359" s="35"/>
      <c r="M359" s="23" t="str">
        <f aca="false">IF(AND(ISNUMBER(L359),ISNUMBER(K359),K359&gt;0),L359/K359-1,"")</f>
        <v/>
      </c>
      <c r="N359" s="36" t="str">
        <f aca="false">IF(M359="","No List Price",IF(M359&lt;=0,"At/below price",IF(M359&lt;=0.12,"&lt;=12% (STR zone)",IF(M359&lt;=0.25,"12-25%","&gt;25% (likely ignored)"))))</f>
        <v>No List Price</v>
      </c>
      <c r="O359" s="15"/>
      <c r="P359" s="35" t="n">
        <v>25.95</v>
      </c>
      <c r="Q359" s="22" t="n">
        <f aca="false">IF(AND(ISNUMBER(K359),ISNUMBER(P359),N(P359)&gt;0),K359/P359-1,"")</f>
        <v>0.348362235067438</v>
      </c>
      <c r="R359" s="15" t="s">
        <v>512</v>
      </c>
      <c r="S359" s="37" t="n">
        <v>92740</v>
      </c>
      <c r="T359" s="37" t="n">
        <v>5</v>
      </c>
      <c r="U359" s="38" t="n">
        <f aca="false">IF(AND(ISNUMBER(K359),ISNUMBER(T359)),K359*T359*52/12,"")</f>
        <v>758.116666666667</v>
      </c>
      <c r="V359" s="15" t="n">
        <v>3.8</v>
      </c>
      <c r="W359" s="37" t="n">
        <v>347</v>
      </c>
      <c r="X359" s="39" t="n">
        <v>46307</v>
      </c>
      <c r="Y359" s="15"/>
      <c r="Z359" s="40"/>
      <c r="AA359" s="41" t="str">
        <f aca="false">IF(ISNUMBER(Z359),(DATE(2026,10,13)-Z359)/365,"")</f>
        <v/>
      </c>
      <c r="AB359" s="37"/>
      <c r="AC359" s="15"/>
      <c r="AD359" s="15"/>
      <c r="AE359" s="15"/>
      <c r="AF359" s="42"/>
      <c r="AG359" s="42"/>
      <c r="AH359" s="15"/>
      <c r="AI359" s="37"/>
      <c r="AJ359" s="37"/>
      <c r="AK359" s="15"/>
      <c r="AL359" s="43"/>
      <c r="AM359" s="43"/>
      <c r="AN359" s="25" t="str">
        <f aca="false">IF(AND(ISNUMBER(AM359),ISNUMBER(AL359),AL359&gt;=5),AM359/AL359,"")</f>
        <v/>
      </c>
      <c r="AO359" s="43"/>
      <c r="AP359" s="43"/>
      <c r="AQ359" s="25" t="str">
        <f aca="false">IF(AND(ISNUMBER(AP359),ISNUMBER(AO359),AO359&gt;=5),AP359/AO359,"")</f>
        <v/>
      </c>
      <c r="AR359" s="43"/>
      <c r="AS359" s="43"/>
      <c r="AT359" s="22" t="str">
        <f aca="false">IF(AND(ISNUMBER(AS359),ISNUMBER(AR359),AR359&gt;0),AS359/AR359-1,"")</f>
        <v/>
      </c>
      <c r="AU359" s="44"/>
      <c r="AV359" s="44"/>
      <c r="AW359" s="44"/>
      <c r="AX359" s="44"/>
      <c r="AY359" s="44"/>
      <c r="AZ359" s="45"/>
      <c r="BA359" s="45"/>
      <c r="BB359" s="46"/>
      <c r="BC359" s="46"/>
      <c r="BD359" s="23" t="str">
        <f aca="false">IF(AND(ISNUMBER(BB359),ISNUMBER(BC359),BB359&gt;0),1-BC359/BB359,"")</f>
        <v/>
      </c>
      <c r="BE359" s="47"/>
      <c r="BF359" s="48"/>
      <c r="BG359" s="48"/>
      <c r="BH359" s="27" t="str">
        <f aca="false">IF(AND(ISNUMBER(BF359),ISNUMBER(BG359),BG359&gt;0),BF359/BG359,"")</f>
        <v/>
      </c>
      <c r="BI359" s="48"/>
      <c r="BJ359" s="44"/>
      <c r="BK359" s="46"/>
      <c r="BL359" s="46"/>
      <c r="BM359" s="36" t="str">
        <f aca="false">IF(ISNUMBER(Q359),IF(Q359&lt;0,"YES","no"),"")</f>
        <v>no</v>
      </c>
      <c r="BN359" s="36" t="str">
        <f aca="false">IFERROR(IF(AND(ISNUMBER(K359),ISNUMBER(INDEX('Lift Inputs'!$H:$H,MATCH(C359,'Lift Inputs'!$C:$C,0)))),IF(K359&lt;INDEX('Lift Inputs'!$H:$H,MATCH(C359,'Lift Inputs'!$C:$C,0)),"YES","no"),""),"")</f>
        <v/>
      </c>
      <c r="BO359" s="44"/>
    </row>
    <row r="360" customFormat="false" ht="15" hidden="false" customHeight="false" outlineLevel="0" collapsed="false">
      <c r="A360" s="15" t="s">
        <v>98</v>
      </c>
      <c r="B360" s="15" t="s">
        <v>104</v>
      </c>
      <c r="C360" s="15" t="n">
        <v>56</v>
      </c>
      <c r="D360" s="15" t="s">
        <v>216</v>
      </c>
      <c r="E360" s="15" t="n">
        <v>1615</v>
      </c>
      <c r="F360" s="15" t="s">
        <v>845</v>
      </c>
      <c r="G360" s="15" t="s">
        <v>846</v>
      </c>
      <c r="H360" s="15" t="s">
        <v>847</v>
      </c>
      <c r="I360" s="15" t="s">
        <v>775</v>
      </c>
      <c r="J360" s="15"/>
      <c r="K360" s="35" t="n">
        <v>4.99</v>
      </c>
      <c r="L360" s="35"/>
      <c r="M360" s="23" t="str">
        <f aca="false">IF(AND(ISNUMBER(L360),ISNUMBER(K360),K360&gt;0),L360/K360-1,"")</f>
        <v/>
      </c>
      <c r="N360" s="36" t="str">
        <f aca="false">IF(M360="","No List Price",IF(M360&lt;=0,"At/below price",IF(M360&lt;=0.12,"&lt;=12% (STR zone)",IF(M360&lt;=0.25,"12-25%","&gt;25% (likely ignored)"))))</f>
        <v>No List Price</v>
      </c>
      <c r="O360" s="15"/>
      <c r="P360" s="35" t="n">
        <v>25.95</v>
      </c>
      <c r="Q360" s="22" t="n">
        <f aca="false">IF(AND(ISNUMBER(K360),ISNUMBER(P360),N(P360)&gt;0),K360/P360-1,"")</f>
        <v>-0.807707129094412</v>
      </c>
      <c r="R360" s="15" t="s">
        <v>512</v>
      </c>
      <c r="S360" s="37" t="n">
        <v>8110</v>
      </c>
      <c r="T360" s="37" t="n">
        <v>809</v>
      </c>
      <c r="U360" s="38" t="n">
        <f aca="false">IF(AND(ISNUMBER(K360),ISNUMBER(T360)),K360*T360*52/12,"")</f>
        <v>17493.2766666667</v>
      </c>
      <c r="V360" s="15" t="n">
        <v>4.6</v>
      </c>
      <c r="W360" s="37" t="n">
        <v>5889</v>
      </c>
      <c r="X360" s="39" t="n">
        <v>46307</v>
      </c>
      <c r="Y360" s="15"/>
      <c r="Z360" s="40"/>
      <c r="AA360" s="41" t="str">
        <f aca="false">IF(ISNUMBER(Z360),(DATE(2026,10,13)-Z360)/365,"")</f>
        <v/>
      </c>
      <c r="AB360" s="37"/>
      <c r="AC360" s="15"/>
      <c r="AD360" s="15"/>
      <c r="AE360" s="15"/>
      <c r="AF360" s="42"/>
      <c r="AG360" s="42"/>
      <c r="AH360" s="15"/>
      <c r="AI360" s="37"/>
      <c r="AJ360" s="37"/>
      <c r="AK360" s="15"/>
      <c r="AL360" s="43"/>
      <c r="AM360" s="43"/>
      <c r="AN360" s="25" t="str">
        <f aca="false">IF(AND(ISNUMBER(AM360),ISNUMBER(AL360),AL360&gt;=5),AM360/AL360,"")</f>
        <v/>
      </c>
      <c r="AO360" s="43"/>
      <c r="AP360" s="43"/>
      <c r="AQ360" s="25" t="str">
        <f aca="false">IF(AND(ISNUMBER(AP360),ISNUMBER(AO360),AO360&gt;=5),AP360/AO360,"")</f>
        <v/>
      </c>
      <c r="AR360" s="43"/>
      <c r="AS360" s="43"/>
      <c r="AT360" s="22" t="str">
        <f aca="false">IF(AND(ISNUMBER(AS360),ISNUMBER(AR360),AR360&gt;0),AS360/AR360-1,"")</f>
        <v/>
      </c>
      <c r="AU360" s="44"/>
      <c r="AV360" s="44"/>
      <c r="AW360" s="44"/>
      <c r="AX360" s="44"/>
      <c r="AY360" s="44"/>
      <c r="AZ360" s="45"/>
      <c r="BA360" s="45"/>
      <c r="BB360" s="46"/>
      <c r="BC360" s="46"/>
      <c r="BD360" s="23" t="str">
        <f aca="false">IF(AND(ISNUMBER(BB360),ISNUMBER(BC360),BB360&gt;0),1-BC360/BB360,"")</f>
        <v/>
      </c>
      <c r="BE360" s="47"/>
      <c r="BF360" s="48"/>
      <c r="BG360" s="48"/>
      <c r="BH360" s="27" t="str">
        <f aca="false">IF(AND(ISNUMBER(BF360),ISNUMBER(BG360),BG360&gt;0),BF360/BG360,"")</f>
        <v/>
      </c>
      <c r="BI360" s="48"/>
      <c r="BJ360" s="44"/>
      <c r="BK360" s="46"/>
      <c r="BL360" s="46"/>
      <c r="BM360" s="36" t="str">
        <f aca="false">IF(ISNUMBER(Q360),IF(Q360&lt;0,"YES","no"),"")</f>
        <v>YES</v>
      </c>
      <c r="BN360" s="36" t="str">
        <f aca="false">IFERROR(IF(AND(ISNUMBER(K360),ISNUMBER(INDEX('Lift Inputs'!$H:$H,MATCH(C360,'Lift Inputs'!$C:$C,0)))),IF(K360&lt;INDEX('Lift Inputs'!$H:$H,MATCH(C360,'Lift Inputs'!$C:$C,0)),"YES","no"),""),"")</f>
        <v/>
      </c>
      <c r="BO360" s="44"/>
    </row>
    <row r="361" customFormat="false" ht="15" hidden="false" customHeight="false" outlineLevel="0" collapsed="false">
      <c r="A361" s="15" t="s">
        <v>98</v>
      </c>
      <c r="B361" s="15" t="s">
        <v>107</v>
      </c>
      <c r="C361" s="15" t="n">
        <v>57</v>
      </c>
      <c r="D361" s="15" t="s">
        <v>216</v>
      </c>
      <c r="E361" s="15" t="n">
        <v>1613</v>
      </c>
      <c r="F361" s="15" t="s">
        <v>772</v>
      </c>
      <c r="G361" s="15" t="s">
        <v>801</v>
      </c>
      <c r="H361" s="15" t="s">
        <v>802</v>
      </c>
      <c r="I361" s="15" t="s">
        <v>775</v>
      </c>
      <c r="J361" s="15" t="s">
        <v>176</v>
      </c>
      <c r="K361" s="35" t="n">
        <v>29.99</v>
      </c>
      <c r="L361" s="35"/>
      <c r="M361" s="23" t="str">
        <f aca="false">IF(AND(ISNUMBER(L361),ISNUMBER(K361),K361&gt;0),L361/K361-1,"")</f>
        <v/>
      </c>
      <c r="N361" s="36" t="str">
        <f aca="false">IF(M361="","No List Price",IF(M361&lt;=0,"At/below price",IF(M361&lt;=0.12,"&lt;=12% (STR zone)",IF(M361&lt;=0.25,"12-25%","&gt;25% (likely ignored)"))))</f>
        <v>No List Price</v>
      </c>
      <c r="O361" s="15"/>
      <c r="P361" s="35" t="n">
        <v>20.4115384615385</v>
      </c>
      <c r="Q361" s="22" t="n">
        <f aca="false">IF(AND(ISNUMBER(K361),ISNUMBER(P361),N(P361)&gt;0),K361/P361-1,"")</f>
        <v>0.469267005841342</v>
      </c>
      <c r="R361" s="15" t="s">
        <v>512</v>
      </c>
      <c r="S361" s="37" t="n">
        <v>9413</v>
      </c>
      <c r="T361" s="37" t="n">
        <v>809</v>
      </c>
      <c r="U361" s="38" t="n">
        <f aca="false">IF(AND(ISNUMBER(K361),ISNUMBER(T361)),K361*T361*52/12,"")</f>
        <v>105134.943333333</v>
      </c>
      <c r="V361" s="15" t="n">
        <v>4.4</v>
      </c>
      <c r="W361" s="37" t="n">
        <v>2143</v>
      </c>
      <c r="X361" s="39" t="n">
        <v>46307</v>
      </c>
      <c r="Y361" s="15"/>
      <c r="Z361" s="40"/>
      <c r="AA361" s="41" t="str">
        <f aca="false">IF(ISNUMBER(Z361),(DATE(2026,10,13)-Z361)/365,"")</f>
        <v/>
      </c>
      <c r="AB361" s="37"/>
      <c r="AC361" s="15"/>
      <c r="AD361" s="15"/>
      <c r="AE361" s="15"/>
      <c r="AF361" s="42"/>
      <c r="AG361" s="42"/>
      <c r="AH361" s="15"/>
      <c r="AI361" s="37" t="n">
        <v>401761</v>
      </c>
      <c r="AJ361" s="37" t="n">
        <v>1367</v>
      </c>
      <c r="AK361" s="15" t="s">
        <v>326</v>
      </c>
      <c r="AL361" s="43" t="n">
        <v>735.9</v>
      </c>
      <c r="AM361" s="43" t="n">
        <v>643.2</v>
      </c>
      <c r="AN361" s="25" t="n">
        <f aca="false">IF(AND(ISNUMBER(AM361),ISNUMBER(AL361),AL361&gt;=5),AM361/AL361,"")</f>
        <v>0.874031797798614</v>
      </c>
      <c r="AO361" s="43" t="n">
        <v>113.5</v>
      </c>
      <c r="AP361" s="43" t="n">
        <v>242.2</v>
      </c>
      <c r="AQ361" s="25" t="n">
        <f aca="false">IF(AND(ISNUMBER(AP361),ISNUMBER(AO361),AO361&gt;=5),AP361/AO361,"")</f>
        <v>2.13392070484582</v>
      </c>
      <c r="AR361" s="43" t="n">
        <v>645.6</v>
      </c>
      <c r="AS361" s="43" t="n">
        <v>750.6</v>
      </c>
      <c r="AT361" s="22" t="n">
        <f aca="false">IF(AND(ISNUMBER(AS361),ISNUMBER(AR361),AR361&gt;0),AS361/AR361-1,"")</f>
        <v>0.162639405204461</v>
      </c>
      <c r="AU361" s="44"/>
      <c r="AV361" s="44"/>
      <c r="AW361" s="44"/>
      <c r="AX361" s="44"/>
      <c r="AY361" s="44"/>
      <c r="AZ361" s="45"/>
      <c r="BA361" s="45"/>
      <c r="BB361" s="46"/>
      <c r="BC361" s="46"/>
      <c r="BD361" s="23" t="str">
        <f aca="false">IF(AND(ISNUMBER(BB361),ISNUMBER(BC361),BB361&gt;0),1-BC361/BB361,"")</f>
        <v/>
      </c>
      <c r="BE361" s="47"/>
      <c r="BF361" s="48"/>
      <c r="BG361" s="48"/>
      <c r="BH361" s="27" t="str">
        <f aca="false">IF(AND(ISNUMBER(BF361),ISNUMBER(BG361),BG361&gt;0),BF361/BG361,"")</f>
        <v/>
      </c>
      <c r="BI361" s="48"/>
      <c r="BJ361" s="44"/>
      <c r="BK361" s="46"/>
      <c r="BL361" s="46"/>
      <c r="BM361" s="36" t="str">
        <f aca="false">IF(ISNUMBER(Q361),IF(Q361&lt;0,"YES","no"),"")</f>
        <v>no</v>
      </c>
      <c r="BN361" s="36" t="str">
        <f aca="false">IFERROR(IF(AND(ISNUMBER(K361),ISNUMBER(INDEX('Lift Inputs'!$H:$H,MATCH(C361,'Lift Inputs'!$C:$C,0)))),IF(K361&lt;INDEX('Lift Inputs'!$H:$H,MATCH(C361,'Lift Inputs'!$C:$C,0)),"YES","no"),""),"")</f>
        <v/>
      </c>
      <c r="BO361" s="44"/>
    </row>
    <row r="362" customFormat="false" ht="15" hidden="false" customHeight="false" outlineLevel="0" collapsed="false">
      <c r="A362" s="15" t="s">
        <v>98</v>
      </c>
      <c r="B362" s="15" t="s">
        <v>107</v>
      </c>
      <c r="C362" s="15" t="n">
        <v>57</v>
      </c>
      <c r="D362" s="15" t="s">
        <v>216</v>
      </c>
      <c r="E362" s="15" t="n">
        <v>1614</v>
      </c>
      <c r="F362" s="15" t="s">
        <v>785</v>
      </c>
      <c r="G362" s="15" t="s">
        <v>786</v>
      </c>
      <c r="H362" s="15" t="s">
        <v>787</v>
      </c>
      <c r="I362" s="15" t="s">
        <v>775</v>
      </c>
      <c r="J362" s="15" t="s">
        <v>176</v>
      </c>
      <c r="K362" s="35" t="n">
        <v>9.99</v>
      </c>
      <c r="L362" s="35"/>
      <c r="M362" s="23" t="str">
        <f aca="false">IF(AND(ISNUMBER(L362),ISNUMBER(K362),K362&gt;0),L362/K362-1,"")</f>
        <v/>
      </c>
      <c r="N362" s="36" t="str">
        <f aca="false">IF(M362="","No List Price",IF(M362&lt;=0,"At/below price",IF(M362&lt;=0.12,"&lt;=12% (STR zone)",IF(M362&lt;=0.25,"12-25%","&gt;25% (likely ignored)"))))</f>
        <v>No List Price</v>
      </c>
      <c r="O362" s="15"/>
      <c r="P362" s="35" t="n">
        <v>20.4115384615385</v>
      </c>
      <c r="Q362" s="22" t="n">
        <f aca="false">IF(AND(ISNUMBER(K362),ISNUMBER(P362),N(P362)&gt;0),K362/P362-1,"")</f>
        <v>-0.510570944036179</v>
      </c>
      <c r="R362" s="15" t="s">
        <v>512</v>
      </c>
      <c r="S362" s="37" t="n">
        <v>8556</v>
      </c>
      <c r="T362" s="37" t="n">
        <v>809</v>
      </c>
      <c r="U362" s="38" t="n">
        <f aca="false">IF(AND(ISNUMBER(K362),ISNUMBER(T362)),K362*T362*52/12,"")</f>
        <v>35021.61</v>
      </c>
      <c r="V362" s="15" t="n">
        <v>4.4</v>
      </c>
      <c r="W362" s="37" t="n">
        <v>12325</v>
      </c>
      <c r="X362" s="39" t="n">
        <v>46307</v>
      </c>
      <c r="Y362" s="15"/>
      <c r="Z362" s="40"/>
      <c r="AA362" s="41" t="str">
        <f aca="false">IF(ISNUMBER(Z362),(DATE(2026,10,13)-Z362)/365,"")</f>
        <v/>
      </c>
      <c r="AB362" s="37"/>
      <c r="AC362" s="15"/>
      <c r="AD362" s="15"/>
      <c r="AE362" s="15"/>
      <c r="AF362" s="42"/>
      <c r="AG362" s="42"/>
      <c r="AH362" s="15"/>
      <c r="AI362" s="37" t="n">
        <v>106430</v>
      </c>
      <c r="AJ362" s="37" t="n">
        <v>644</v>
      </c>
      <c r="AK362" s="15" t="s">
        <v>326</v>
      </c>
      <c r="AL362" s="43" t="n">
        <v>222.8</v>
      </c>
      <c r="AM362" s="43" t="n">
        <v>348.2</v>
      </c>
      <c r="AN362" s="25" t="n">
        <f aca="false">IF(AND(ISNUMBER(AM362),ISNUMBER(AL362),AL362&gt;=5),AM362/AL362,"")</f>
        <v>1.56283662477558</v>
      </c>
      <c r="AO362" s="43" t="n">
        <v>9.4</v>
      </c>
      <c r="AP362" s="43" t="n">
        <v>8.2</v>
      </c>
      <c r="AQ362" s="25" t="n">
        <f aca="false">IF(AND(ISNUMBER(AP362),ISNUMBER(AO362),AO362&gt;=5),AP362/AO362,"")</f>
        <v>0.872340425531915</v>
      </c>
      <c r="AR362" s="43" t="n">
        <v>355.9</v>
      </c>
      <c r="AS362" s="43" t="n">
        <v>491.4</v>
      </c>
      <c r="AT362" s="22" t="n">
        <f aca="false">IF(AND(ISNUMBER(AS362),ISNUMBER(AR362),AR362&gt;0),AS362/AR362-1,"")</f>
        <v>0.380724922731104</v>
      </c>
      <c r="AU362" s="44"/>
      <c r="AV362" s="44"/>
      <c r="AW362" s="44"/>
      <c r="AX362" s="44"/>
      <c r="AY362" s="44"/>
      <c r="AZ362" s="45"/>
      <c r="BA362" s="45"/>
      <c r="BB362" s="46"/>
      <c r="BC362" s="46"/>
      <c r="BD362" s="23" t="str">
        <f aca="false">IF(AND(ISNUMBER(BB362),ISNUMBER(BC362),BB362&gt;0),1-BC362/BB362,"")</f>
        <v/>
      </c>
      <c r="BE362" s="47"/>
      <c r="BF362" s="48"/>
      <c r="BG362" s="48"/>
      <c r="BH362" s="27" t="str">
        <f aca="false">IF(AND(ISNUMBER(BF362),ISNUMBER(BG362),BG362&gt;0),BF362/BG362,"")</f>
        <v/>
      </c>
      <c r="BI362" s="48"/>
      <c r="BJ362" s="44"/>
      <c r="BK362" s="46"/>
      <c r="BL362" s="46"/>
      <c r="BM362" s="36" t="str">
        <f aca="false">IF(ISNUMBER(Q362),IF(Q362&lt;0,"YES","no"),"")</f>
        <v>YES</v>
      </c>
      <c r="BN362" s="36" t="str">
        <f aca="false">IFERROR(IF(AND(ISNUMBER(K362),ISNUMBER(INDEX('Lift Inputs'!$H:$H,MATCH(C362,'Lift Inputs'!$C:$C,0)))),IF(K362&lt;INDEX('Lift Inputs'!$H:$H,MATCH(C362,'Lift Inputs'!$C:$C,0)),"YES","no"),""),"")</f>
        <v/>
      </c>
      <c r="BO362" s="44"/>
    </row>
    <row r="363" customFormat="false" ht="15" hidden="false" customHeight="false" outlineLevel="0" collapsed="false">
      <c r="A363" s="15" t="s">
        <v>98</v>
      </c>
      <c r="B363" s="15" t="s">
        <v>107</v>
      </c>
      <c r="C363" s="15" t="n">
        <v>57</v>
      </c>
      <c r="D363" s="15" t="s">
        <v>216</v>
      </c>
      <c r="E363" s="15" t="n">
        <v>303</v>
      </c>
      <c r="F363" s="15" t="s">
        <v>806</v>
      </c>
      <c r="G363" s="15" t="s">
        <v>807</v>
      </c>
      <c r="H363" s="15" t="s">
        <v>808</v>
      </c>
      <c r="I363" s="15" t="s">
        <v>775</v>
      </c>
      <c r="J363" s="15" t="s">
        <v>176</v>
      </c>
      <c r="K363" s="35" t="n">
        <v>19.99</v>
      </c>
      <c r="L363" s="35"/>
      <c r="M363" s="23" t="str">
        <f aca="false">IF(AND(ISNUMBER(L363),ISNUMBER(K363),K363&gt;0),L363/K363-1,"")</f>
        <v/>
      </c>
      <c r="N363" s="36" t="str">
        <f aca="false">IF(M363="","No List Price",IF(M363&lt;=0,"At/below price",IF(M363&lt;=0.12,"&lt;=12% (STR zone)",IF(M363&lt;=0.25,"12-25%","&gt;25% (likely ignored)"))))</f>
        <v>No List Price</v>
      </c>
      <c r="O363" s="15"/>
      <c r="P363" s="35" t="n">
        <v>20.4115384615385</v>
      </c>
      <c r="Q363" s="22" t="n">
        <f aca="false">IF(AND(ISNUMBER(K363),ISNUMBER(P363),N(P363)&gt;0),K363/P363-1,"")</f>
        <v>-0.0206519690974185</v>
      </c>
      <c r="R363" s="15" t="s">
        <v>512</v>
      </c>
      <c r="S363" s="37" t="n">
        <v>12259</v>
      </c>
      <c r="T363" s="37" t="n">
        <v>347</v>
      </c>
      <c r="U363" s="38" t="n">
        <f aca="false">IF(AND(ISNUMBER(K363),ISNUMBER(T363)),K363*T363*52/12,"")</f>
        <v>30058.2966666667</v>
      </c>
      <c r="V363" s="15" t="n">
        <v>4.5</v>
      </c>
      <c r="W363" s="37" t="n">
        <v>2063</v>
      </c>
      <c r="X363" s="39" t="n">
        <v>46307</v>
      </c>
      <c r="Y363" s="15"/>
      <c r="Z363" s="40"/>
      <c r="AA363" s="41" t="str">
        <f aca="false">IF(ISNUMBER(Z363),(DATE(2026,10,13)-Z363)/365,"")</f>
        <v/>
      </c>
      <c r="AB363" s="37"/>
      <c r="AC363" s="15"/>
      <c r="AD363" s="15"/>
      <c r="AE363" s="15"/>
      <c r="AF363" s="42"/>
      <c r="AG363" s="42"/>
      <c r="AH363" s="15"/>
      <c r="AI363" s="37" t="n">
        <v>303791</v>
      </c>
      <c r="AJ363" s="37" t="n">
        <v>774</v>
      </c>
      <c r="AK363" s="15" t="s">
        <v>326</v>
      </c>
      <c r="AL363" s="43" t="n">
        <v>215.1</v>
      </c>
      <c r="AM363" s="43" t="n">
        <v>63</v>
      </c>
      <c r="AN363" s="25" t="n">
        <f aca="false">IF(AND(ISNUMBER(AM363),ISNUMBER(AL363),AL363&gt;=5),AM363/AL363,"")</f>
        <v>0.292887029288703</v>
      </c>
      <c r="AO363" s="43" t="n">
        <v>87.3</v>
      </c>
      <c r="AP363" s="43" t="n">
        <v>76</v>
      </c>
      <c r="AQ363" s="25" t="n">
        <f aca="false">IF(AND(ISNUMBER(AP363),ISNUMBER(AO363),AO363&gt;=5),AP363/AO363,"")</f>
        <v>0.870561282932417</v>
      </c>
      <c r="AR363" s="43" t="n">
        <v>207.3</v>
      </c>
      <c r="AS363" s="43" t="n">
        <v>186.9</v>
      </c>
      <c r="AT363" s="22" t="n">
        <f aca="false">IF(AND(ISNUMBER(AS363),ISNUMBER(AR363),AR363&gt;0),AS363/AR363-1,"")</f>
        <v>-0.0984081041968162</v>
      </c>
      <c r="AU363" s="44"/>
      <c r="AV363" s="44"/>
      <c r="AW363" s="44"/>
      <c r="AX363" s="44"/>
      <c r="AY363" s="44"/>
      <c r="AZ363" s="45"/>
      <c r="BA363" s="45"/>
      <c r="BB363" s="46"/>
      <c r="BC363" s="46"/>
      <c r="BD363" s="23" t="str">
        <f aca="false">IF(AND(ISNUMBER(BB363),ISNUMBER(BC363),BB363&gt;0),1-BC363/BB363,"")</f>
        <v/>
      </c>
      <c r="BE363" s="47"/>
      <c r="BF363" s="48"/>
      <c r="BG363" s="48"/>
      <c r="BH363" s="27" t="str">
        <f aca="false">IF(AND(ISNUMBER(BF363),ISNUMBER(BG363),BG363&gt;0),BF363/BG363,"")</f>
        <v/>
      </c>
      <c r="BI363" s="48"/>
      <c r="BJ363" s="44"/>
      <c r="BK363" s="46"/>
      <c r="BL363" s="46"/>
      <c r="BM363" s="36" t="str">
        <f aca="false">IF(ISNUMBER(Q363),IF(Q363&lt;0,"YES","no"),"")</f>
        <v>YES</v>
      </c>
      <c r="BN363" s="36" t="str">
        <f aca="false">IFERROR(IF(AND(ISNUMBER(K363),ISNUMBER(INDEX('Lift Inputs'!$H:$H,MATCH(C363,'Lift Inputs'!$C:$C,0)))),IF(K363&lt;INDEX('Lift Inputs'!$H:$H,MATCH(C363,'Lift Inputs'!$C:$C,0)),"YES","no"),""),"")</f>
        <v/>
      </c>
      <c r="BO363" s="44"/>
    </row>
    <row r="364" customFormat="false" ht="15" hidden="false" customHeight="false" outlineLevel="0" collapsed="false">
      <c r="A364" s="15" t="s">
        <v>98</v>
      </c>
      <c r="B364" s="15" t="s">
        <v>107</v>
      </c>
      <c r="C364" s="15" t="n">
        <v>57</v>
      </c>
      <c r="D364" s="15" t="s">
        <v>216</v>
      </c>
      <c r="E364" s="15" t="n">
        <v>299</v>
      </c>
      <c r="F364" s="15" t="s">
        <v>791</v>
      </c>
      <c r="G364" s="15" t="s">
        <v>792</v>
      </c>
      <c r="H364" s="15" t="s">
        <v>793</v>
      </c>
      <c r="I364" s="15" t="s">
        <v>794</v>
      </c>
      <c r="J364" s="15" t="s">
        <v>176</v>
      </c>
      <c r="K364" s="35" t="n">
        <v>19.99</v>
      </c>
      <c r="L364" s="35"/>
      <c r="M364" s="23" t="str">
        <f aca="false">IF(AND(ISNUMBER(L364),ISNUMBER(K364),K364&gt;0),L364/K364-1,"")</f>
        <v/>
      </c>
      <c r="N364" s="36" t="str">
        <f aca="false">IF(M364="","No List Price",IF(M364&lt;=0,"At/below price",IF(M364&lt;=0.12,"&lt;=12% (STR zone)",IF(M364&lt;=0.25,"12-25%","&gt;25% (likely ignored)"))))</f>
        <v>No List Price</v>
      </c>
      <c r="O364" s="15"/>
      <c r="P364" s="35" t="n">
        <v>20.4115384615385</v>
      </c>
      <c r="Q364" s="22" t="n">
        <f aca="false">IF(AND(ISNUMBER(K364),ISNUMBER(P364),N(P364)&gt;0),K364/P364-1,"")</f>
        <v>-0.0206519690974185</v>
      </c>
      <c r="R364" s="15" t="s">
        <v>512</v>
      </c>
      <c r="S364" s="37" t="n">
        <v>11617</v>
      </c>
      <c r="T364" s="37" t="n">
        <v>347</v>
      </c>
      <c r="U364" s="38" t="n">
        <f aca="false">IF(AND(ISNUMBER(K364),ISNUMBER(T364)),K364*T364*52/12,"")</f>
        <v>30058.2966666667</v>
      </c>
      <c r="V364" s="15" t="n">
        <v>4.5</v>
      </c>
      <c r="W364" s="37" t="n">
        <v>1571</v>
      </c>
      <c r="X364" s="39" t="n">
        <v>46307</v>
      </c>
      <c r="Y364" s="15" t="n">
        <v>6</v>
      </c>
      <c r="Z364" s="40" t="n">
        <v>43655</v>
      </c>
      <c r="AA364" s="41" t="n">
        <f aca="false">IF(ISNUMBER(Z364),(DATE(2026,10,13)-Z364)/365,"")</f>
        <v>7.26849315068493</v>
      </c>
      <c r="AB364" s="37" t="n">
        <v>3019</v>
      </c>
      <c r="AC364" s="15" t="s">
        <v>313</v>
      </c>
      <c r="AD364" s="15" t="n">
        <v>1</v>
      </c>
      <c r="AE364" s="15" t="s">
        <v>331</v>
      </c>
      <c r="AF364" s="42" t="n">
        <v>0.014</v>
      </c>
      <c r="AG364" s="42" t="n">
        <v>0.0182460403748764</v>
      </c>
      <c r="AH364" s="15" t="n">
        <v>219</v>
      </c>
      <c r="AI364" s="37" t="n">
        <v>151964</v>
      </c>
      <c r="AJ364" s="37" t="n">
        <v>580</v>
      </c>
      <c r="AK364" s="15"/>
      <c r="AL364" s="43"/>
      <c r="AM364" s="43"/>
      <c r="AN364" s="25" t="str">
        <f aca="false">IF(AND(ISNUMBER(AM364),ISNUMBER(AL364),AL364&gt;=5),AM364/AL364,"")</f>
        <v/>
      </c>
      <c r="AO364" s="43"/>
      <c r="AP364" s="43"/>
      <c r="AQ364" s="25" t="str">
        <f aca="false">IF(AND(ISNUMBER(AP364),ISNUMBER(AO364),AO364&gt;=5),AP364/AO364,"")</f>
        <v/>
      </c>
      <c r="AR364" s="43"/>
      <c r="AS364" s="43"/>
      <c r="AT364" s="22" t="str">
        <f aca="false">IF(AND(ISNUMBER(AS364),ISNUMBER(AR364),AR364&gt;0),AS364/AR364-1,"")</f>
        <v/>
      </c>
      <c r="AU364" s="44"/>
      <c r="AV364" s="44"/>
      <c r="AW364" s="44"/>
      <c r="AX364" s="44"/>
      <c r="AY364" s="44"/>
      <c r="AZ364" s="45"/>
      <c r="BA364" s="45"/>
      <c r="BB364" s="46"/>
      <c r="BC364" s="46"/>
      <c r="BD364" s="23" t="str">
        <f aca="false">IF(AND(ISNUMBER(BB364),ISNUMBER(BC364),BB364&gt;0),1-BC364/BB364,"")</f>
        <v/>
      </c>
      <c r="BE364" s="47"/>
      <c r="BF364" s="48"/>
      <c r="BG364" s="48"/>
      <c r="BH364" s="27" t="str">
        <f aca="false">IF(AND(ISNUMBER(BF364),ISNUMBER(BG364),BG364&gt;0),BF364/BG364,"")</f>
        <v/>
      </c>
      <c r="BI364" s="48"/>
      <c r="BJ364" s="44"/>
      <c r="BK364" s="46"/>
      <c r="BL364" s="46"/>
      <c r="BM364" s="36" t="str">
        <f aca="false">IF(ISNUMBER(Q364),IF(Q364&lt;0,"YES","no"),"")</f>
        <v>YES</v>
      </c>
      <c r="BN364" s="36" t="str">
        <f aca="false">IFERROR(IF(AND(ISNUMBER(K364),ISNUMBER(INDEX('Lift Inputs'!$H:$H,MATCH(C364,'Lift Inputs'!$C:$C,0)))),IF(K364&lt;INDEX('Lift Inputs'!$H:$H,MATCH(C364,'Lift Inputs'!$C:$C,0)),"YES","no"),""),"")</f>
        <v/>
      </c>
      <c r="BO364" s="44"/>
    </row>
    <row r="365" customFormat="false" ht="15" hidden="false" customHeight="false" outlineLevel="0" collapsed="false">
      <c r="A365" s="15" t="s">
        <v>98</v>
      </c>
      <c r="B365" s="15" t="s">
        <v>107</v>
      </c>
      <c r="C365" s="15" t="n">
        <v>57</v>
      </c>
      <c r="D365" s="15" t="s">
        <v>216</v>
      </c>
      <c r="E365" s="15" t="n">
        <v>304</v>
      </c>
      <c r="F365" s="15" t="s">
        <v>813</v>
      </c>
      <c r="G365" s="15" t="s">
        <v>814</v>
      </c>
      <c r="H365" s="15" t="s">
        <v>815</v>
      </c>
      <c r="I365" s="15" t="s">
        <v>775</v>
      </c>
      <c r="J365" s="15" t="s">
        <v>176</v>
      </c>
      <c r="K365" s="35" t="n">
        <v>79</v>
      </c>
      <c r="L365" s="35"/>
      <c r="M365" s="23" t="str">
        <f aca="false">IF(AND(ISNUMBER(L365),ISNUMBER(K365),K365&gt;0),L365/K365-1,"")</f>
        <v/>
      </c>
      <c r="N365" s="36" t="str">
        <f aca="false">IF(M365="","No List Price",IF(M365&lt;=0,"At/below price",IF(M365&lt;=0.12,"&lt;=12% (STR zone)",IF(M365&lt;=0.25,"12-25%","&gt;25% (likely ignored)"))))</f>
        <v>No List Price</v>
      </c>
      <c r="O365" s="15"/>
      <c r="P365" s="35" t="n">
        <v>20.4115384615385</v>
      </c>
      <c r="Q365" s="22" t="n">
        <f aca="false">IF(AND(ISNUMBER(K365),ISNUMBER(P365),N(P365)&gt;0),K365/P365-1,"")</f>
        <v>2.87035990201621</v>
      </c>
      <c r="R365" s="15" t="s">
        <v>512</v>
      </c>
      <c r="S365" s="37" t="n">
        <v>7182</v>
      </c>
      <c r="T365" s="37" t="n">
        <v>208</v>
      </c>
      <c r="U365" s="38" t="n">
        <f aca="false">IF(AND(ISNUMBER(K365),ISNUMBER(T365)),K365*T365*52/12,"")</f>
        <v>71205.3333333333</v>
      </c>
      <c r="V365" s="15" t="n">
        <v>4.3</v>
      </c>
      <c r="W365" s="37" t="n">
        <v>1740</v>
      </c>
      <c r="X365" s="39" t="n">
        <v>46307</v>
      </c>
      <c r="Y365" s="15"/>
      <c r="Z365" s="40"/>
      <c r="AA365" s="41" t="str">
        <f aca="false">IF(ISNUMBER(Z365),(DATE(2026,10,13)-Z365)/365,"")</f>
        <v/>
      </c>
      <c r="AB365" s="37"/>
      <c r="AC365" s="15"/>
      <c r="AD365" s="15"/>
      <c r="AE365" s="15"/>
      <c r="AF365" s="42"/>
      <c r="AG365" s="42"/>
      <c r="AH365" s="15"/>
      <c r="AI365" s="37" t="n">
        <v>143864</v>
      </c>
      <c r="AJ365" s="37" t="n">
        <v>655</v>
      </c>
      <c r="AK365" s="15"/>
      <c r="AL365" s="43"/>
      <c r="AM365" s="43"/>
      <c r="AN365" s="25" t="str">
        <f aca="false">IF(AND(ISNUMBER(AM365),ISNUMBER(AL365),AL365&gt;=5),AM365/AL365,"")</f>
        <v/>
      </c>
      <c r="AO365" s="43"/>
      <c r="AP365" s="43"/>
      <c r="AQ365" s="25" t="str">
        <f aca="false">IF(AND(ISNUMBER(AP365),ISNUMBER(AO365),AO365&gt;=5),AP365/AO365,"")</f>
        <v/>
      </c>
      <c r="AR365" s="43"/>
      <c r="AS365" s="43"/>
      <c r="AT365" s="22" t="str">
        <f aca="false">IF(AND(ISNUMBER(AS365),ISNUMBER(AR365),AR365&gt;0),AS365/AR365-1,"")</f>
        <v/>
      </c>
      <c r="AU365" s="44"/>
      <c r="AV365" s="44"/>
      <c r="AW365" s="44"/>
      <c r="AX365" s="44"/>
      <c r="AY365" s="44"/>
      <c r="AZ365" s="45"/>
      <c r="BA365" s="45"/>
      <c r="BB365" s="46"/>
      <c r="BC365" s="46"/>
      <c r="BD365" s="23" t="str">
        <f aca="false">IF(AND(ISNUMBER(BB365),ISNUMBER(BC365),BB365&gt;0),1-BC365/BB365,"")</f>
        <v/>
      </c>
      <c r="BE365" s="47"/>
      <c r="BF365" s="48"/>
      <c r="BG365" s="48"/>
      <c r="BH365" s="27" t="str">
        <f aca="false">IF(AND(ISNUMBER(BF365),ISNUMBER(BG365),BG365&gt;0),BF365/BG365,"")</f>
        <v/>
      </c>
      <c r="BI365" s="48"/>
      <c r="BJ365" s="44"/>
      <c r="BK365" s="46"/>
      <c r="BL365" s="46"/>
      <c r="BM365" s="36" t="str">
        <f aca="false">IF(ISNUMBER(Q365),IF(Q365&lt;0,"YES","no"),"")</f>
        <v>no</v>
      </c>
      <c r="BN365" s="36" t="str">
        <f aca="false">IFERROR(IF(AND(ISNUMBER(K365),ISNUMBER(INDEX('Lift Inputs'!$H:$H,MATCH(C365,'Lift Inputs'!$C:$C,0)))),IF(K365&lt;INDEX('Lift Inputs'!$H:$H,MATCH(C365,'Lift Inputs'!$C:$C,0)),"YES","no"),""),"")</f>
        <v/>
      </c>
      <c r="BO365" s="44"/>
    </row>
    <row r="366" customFormat="false" ht="15" hidden="false" customHeight="false" outlineLevel="0" collapsed="false">
      <c r="A366" s="15" t="s">
        <v>98</v>
      </c>
      <c r="B366" s="15" t="s">
        <v>107</v>
      </c>
      <c r="C366" s="15" t="n">
        <v>57</v>
      </c>
      <c r="D366" s="15" t="s">
        <v>216</v>
      </c>
      <c r="E366" s="15" t="n">
        <v>1623</v>
      </c>
      <c r="F366" s="15" t="s">
        <v>819</v>
      </c>
      <c r="G366" s="15" t="s">
        <v>820</v>
      </c>
      <c r="H366" s="15" t="s">
        <v>821</v>
      </c>
      <c r="I366" s="15" t="s">
        <v>775</v>
      </c>
      <c r="J366" s="15" t="s">
        <v>176</v>
      </c>
      <c r="K366" s="35" t="n">
        <v>15.99</v>
      </c>
      <c r="L366" s="35"/>
      <c r="M366" s="23" t="str">
        <f aca="false">IF(AND(ISNUMBER(L366),ISNUMBER(K366),K366&gt;0),L366/K366-1,"")</f>
        <v/>
      </c>
      <c r="N366" s="36" t="str">
        <f aca="false">IF(M366="","No List Price",IF(M366&lt;=0,"At/below price",IF(M366&lt;=0.12,"&lt;=12% (STR zone)",IF(M366&lt;=0.25,"12-25%","&gt;25% (likely ignored)"))))</f>
        <v>No List Price</v>
      </c>
      <c r="O366" s="15"/>
      <c r="P366" s="35" t="n">
        <v>20.4115384615385</v>
      </c>
      <c r="Q366" s="22" t="n">
        <f aca="false">IF(AND(ISNUMBER(K366),ISNUMBER(P366),N(P366)&gt;0),K366/P366-1,"")</f>
        <v>-0.216619559072922</v>
      </c>
      <c r="R366" s="15" t="s">
        <v>512</v>
      </c>
      <c r="S366" s="37" t="n">
        <v>17930</v>
      </c>
      <c r="T366" s="37" t="n">
        <v>185</v>
      </c>
      <c r="U366" s="38" t="n">
        <f aca="false">IF(AND(ISNUMBER(K366),ISNUMBER(T366)),K366*T366*52/12,"")</f>
        <v>12818.65</v>
      </c>
      <c r="V366" s="15" t="n">
        <v>4.4</v>
      </c>
      <c r="W366" s="37" t="n">
        <v>2501</v>
      </c>
      <c r="X366" s="39" t="n">
        <v>46307</v>
      </c>
      <c r="Y366" s="15"/>
      <c r="Z366" s="40"/>
      <c r="AA366" s="41" t="str">
        <f aca="false">IF(ISNUMBER(Z366),(DATE(2026,10,13)-Z366)/365,"")</f>
        <v/>
      </c>
      <c r="AB366" s="37"/>
      <c r="AC366" s="15"/>
      <c r="AD366" s="15"/>
      <c r="AE366" s="15"/>
      <c r="AF366" s="42"/>
      <c r="AG366" s="42"/>
      <c r="AH366" s="15"/>
      <c r="AI366" s="37" t="n">
        <v>123074</v>
      </c>
      <c r="AJ366" s="37" t="n">
        <v>563</v>
      </c>
      <c r="AK366" s="15" t="s">
        <v>326</v>
      </c>
      <c r="AL366" s="43" t="n">
        <v>75.4</v>
      </c>
      <c r="AM366" s="43" t="n">
        <v>79.2</v>
      </c>
      <c r="AN366" s="25" t="n">
        <f aca="false">IF(AND(ISNUMBER(AM366),ISNUMBER(AL366),AL366&gt;=5),AM366/AL366,"")</f>
        <v>1.05039787798408</v>
      </c>
      <c r="AO366" s="43" t="n">
        <v>154.9</v>
      </c>
      <c r="AP366" s="43" t="n">
        <v>158.2</v>
      </c>
      <c r="AQ366" s="25" t="n">
        <f aca="false">IF(AND(ISNUMBER(AP366),ISNUMBER(AO366),AO366&gt;=5),AP366/AO366,"")</f>
        <v>1.02130406714009</v>
      </c>
      <c r="AR366" s="43" t="n">
        <v>80.1</v>
      </c>
      <c r="AS366" s="43" t="n">
        <v>87.1</v>
      </c>
      <c r="AT366" s="22" t="n">
        <f aca="false">IF(AND(ISNUMBER(AS366),ISNUMBER(AR366),AR366&gt;0),AS366/AR366-1,"")</f>
        <v>0.0873907615480649</v>
      </c>
      <c r="AU366" s="44"/>
      <c r="AV366" s="44"/>
      <c r="AW366" s="44"/>
      <c r="AX366" s="44"/>
      <c r="AY366" s="44"/>
      <c r="AZ366" s="45"/>
      <c r="BA366" s="45"/>
      <c r="BB366" s="46"/>
      <c r="BC366" s="46"/>
      <c r="BD366" s="23" t="str">
        <f aca="false">IF(AND(ISNUMBER(BB366),ISNUMBER(BC366),BB366&gt;0),1-BC366/BB366,"")</f>
        <v/>
      </c>
      <c r="BE366" s="47"/>
      <c r="BF366" s="48"/>
      <c r="BG366" s="48"/>
      <c r="BH366" s="27" t="str">
        <f aca="false">IF(AND(ISNUMBER(BF366),ISNUMBER(BG366),BG366&gt;0),BF366/BG366,"")</f>
        <v/>
      </c>
      <c r="BI366" s="48"/>
      <c r="BJ366" s="44"/>
      <c r="BK366" s="46"/>
      <c r="BL366" s="46"/>
      <c r="BM366" s="36" t="str">
        <f aca="false">IF(ISNUMBER(Q366),IF(Q366&lt;0,"YES","no"),"")</f>
        <v>YES</v>
      </c>
      <c r="BN366" s="36" t="str">
        <f aca="false">IFERROR(IF(AND(ISNUMBER(K366),ISNUMBER(INDEX('Lift Inputs'!$H:$H,MATCH(C366,'Lift Inputs'!$C:$C,0)))),IF(K366&lt;INDEX('Lift Inputs'!$H:$H,MATCH(C366,'Lift Inputs'!$C:$C,0)),"YES","no"),""),"")</f>
        <v/>
      </c>
      <c r="BO366" s="44"/>
    </row>
    <row r="367" customFormat="false" ht="15" hidden="false" customHeight="false" outlineLevel="0" collapsed="false">
      <c r="A367" s="15" t="s">
        <v>98</v>
      </c>
      <c r="B367" s="15" t="s">
        <v>107</v>
      </c>
      <c r="C367" s="15" t="n">
        <v>57</v>
      </c>
      <c r="D367" s="15" t="s">
        <v>216</v>
      </c>
      <c r="E367" s="15" t="n">
        <v>1618</v>
      </c>
      <c r="F367" s="15" t="s">
        <v>803</v>
      </c>
      <c r="G367" s="15" t="s">
        <v>804</v>
      </c>
      <c r="H367" s="15" t="s">
        <v>805</v>
      </c>
      <c r="I367" s="15" t="s">
        <v>775</v>
      </c>
      <c r="J367" s="15" t="s">
        <v>177</v>
      </c>
      <c r="K367" s="35" t="n">
        <v>27.87</v>
      </c>
      <c r="L367" s="35" t="n">
        <v>49.95</v>
      </c>
      <c r="M367" s="23" t="n">
        <f aca="false">IF(AND(ISNUMBER(L367),ISNUMBER(K367),K367&gt;0),L367/K367-1,"")</f>
        <v>0.792249730893434</v>
      </c>
      <c r="N367" s="36" t="str">
        <f aca="false">IF(M367="","No List Price",IF(M367&lt;=0,"At/below price",IF(M367&lt;=0.12,"&lt;=12% (STR zone)",IF(M367&lt;=0.25,"12-25%","&gt;25% (likely ignored)"))))</f>
        <v>&gt;25% (likely ignored)</v>
      </c>
      <c r="O367" s="15"/>
      <c r="P367" s="35" t="n">
        <v>20.4115384615385</v>
      </c>
      <c r="Q367" s="22" t="n">
        <f aca="false">IF(AND(ISNUMBER(K367),ISNUMBER(P367),N(P367)&gt;0),K367/P367-1,"")</f>
        <v>0.365404183154325</v>
      </c>
      <c r="R367" s="15" t="s">
        <v>512</v>
      </c>
      <c r="S367" s="37" t="n">
        <v>9693</v>
      </c>
      <c r="T367" s="37" t="n">
        <v>347</v>
      </c>
      <c r="U367" s="38" t="n">
        <f aca="false">IF(AND(ISNUMBER(K367),ISNUMBER(T367)),K367*T367*52/12,"")</f>
        <v>41907.19</v>
      </c>
      <c r="V367" s="15" t="n">
        <v>4.4</v>
      </c>
      <c r="W367" s="37" t="n">
        <v>1225</v>
      </c>
      <c r="X367" s="39" t="n">
        <v>46307</v>
      </c>
      <c r="Y367" s="15"/>
      <c r="Z367" s="40"/>
      <c r="AA367" s="41" t="str">
        <f aca="false">IF(ISNUMBER(Z367),(DATE(2026,10,13)-Z367)/365,"")</f>
        <v/>
      </c>
      <c r="AB367" s="37"/>
      <c r="AC367" s="15"/>
      <c r="AD367" s="15"/>
      <c r="AE367" s="15"/>
      <c r="AF367" s="42"/>
      <c r="AG367" s="42"/>
      <c r="AH367" s="15"/>
      <c r="AI367" s="37" t="n">
        <v>150410</v>
      </c>
      <c r="AJ367" s="37" t="n">
        <v>638</v>
      </c>
      <c r="AK367" s="15" t="s">
        <v>326</v>
      </c>
      <c r="AL367" s="43" t="n">
        <v>561.1</v>
      </c>
      <c r="AM367" s="43" t="n">
        <v>496.2</v>
      </c>
      <c r="AN367" s="25" t="n">
        <f aca="false">IF(AND(ISNUMBER(AM367),ISNUMBER(AL367),AL367&gt;=5),AM367/AL367,"")</f>
        <v>0.884334343254322</v>
      </c>
      <c r="AO367" s="43" t="n">
        <v>7.3</v>
      </c>
      <c r="AP367" s="43" t="n">
        <v>4.5</v>
      </c>
      <c r="AQ367" s="25" t="n">
        <f aca="false">IF(AND(ISNUMBER(AP367),ISNUMBER(AO367),AO367&gt;=5),AP367/AO367,"")</f>
        <v>0.616438356164384</v>
      </c>
      <c r="AR367" s="43" t="n">
        <v>458.6</v>
      </c>
      <c r="AS367" s="43" t="n">
        <v>275.2</v>
      </c>
      <c r="AT367" s="22" t="n">
        <f aca="false">IF(AND(ISNUMBER(AS367),ISNUMBER(AR367),AR367&gt;0),AS367/AR367-1,"")</f>
        <v>-0.399912778020061</v>
      </c>
      <c r="AU367" s="44"/>
      <c r="AV367" s="44"/>
      <c r="AW367" s="44"/>
      <c r="AX367" s="44"/>
      <c r="AY367" s="44"/>
      <c r="AZ367" s="45"/>
      <c r="BA367" s="45"/>
      <c r="BB367" s="46"/>
      <c r="BC367" s="46"/>
      <c r="BD367" s="23" t="str">
        <f aca="false">IF(AND(ISNUMBER(BB367),ISNUMBER(BC367),BB367&gt;0),1-BC367/BB367,"")</f>
        <v/>
      </c>
      <c r="BE367" s="47"/>
      <c r="BF367" s="48"/>
      <c r="BG367" s="48"/>
      <c r="BH367" s="27" t="str">
        <f aca="false">IF(AND(ISNUMBER(BF367),ISNUMBER(BG367),BG367&gt;0),BF367/BG367,"")</f>
        <v/>
      </c>
      <c r="BI367" s="48"/>
      <c r="BJ367" s="44"/>
      <c r="BK367" s="46"/>
      <c r="BL367" s="46"/>
      <c r="BM367" s="36" t="str">
        <f aca="false">IF(ISNUMBER(Q367),IF(Q367&lt;0,"YES","no"),"")</f>
        <v>no</v>
      </c>
      <c r="BN367" s="36" t="str">
        <f aca="false">IFERROR(IF(AND(ISNUMBER(K367),ISNUMBER(INDEX('Lift Inputs'!$H:$H,MATCH(C367,'Lift Inputs'!$C:$C,0)))),IF(K367&lt;INDEX('Lift Inputs'!$H:$H,MATCH(C367,'Lift Inputs'!$C:$C,0)),"YES","no"),""),"")</f>
        <v/>
      </c>
      <c r="BO367" s="44"/>
    </row>
    <row r="368" customFormat="false" ht="15" hidden="false" customHeight="false" outlineLevel="0" collapsed="false">
      <c r="A368" s="15" t="s">
        <v>98</v>
      </c>
      <c r="B368" s="15" t="s">
        <v>107</v>
      </c>
      <c r="C368" s="15" t="n">
        <v>57</v>
      </c>
      <c r="D368" s="15" t="s">
        <v>216</v>
      </c>
      <c r="E368" s="15" t="n">
        <v>297</v>
      </c>
      <c r="F368" s="15" t="s">
        <v>809</v>
      </c>
      <c r="G368" s="15" t="s">
        <v>810</v>
      </c>
      <c r="H368" s="15" t="s">
        <v>811</v>
      </c>
      <c r="I368" s="15" t="s">
        <v>812</v>
      </c>
      <c r="J368" s="15" t="s">
        <v>177</v>
      </c>
      <c r="K368" s="35" t="n">
        <v>22.99</v>
      </c>
      <c r="L368" s="35"/>
      <c r="M368" s="23" t="str">
        <f aca="false">IF(AND(ISNUMBER(L368),ISNUMBER(K368),K368&gt;0),L368/K368-1,"")</f>
        <v/>
      </c>
      <c r="N368" s="36" t="str">
        <f aca="false">IF(M368="","No List Price",IF(M368&lt;=0,"At/below price",IF(M368&lt;=0.12,"&lt;=12% (STR zone)",IF(M368&lt;=0.25,"12-25%","&gt;25% (likely ignored)"))))</f>
        <v>No List Price</v>
      </c>
      <c r="O368" s="15"/>
      <c r="P368" s="35" t="n">
        <v>20.4115384615385</v>
      </c>
      <c r="Q368" s="22" t="n">
        <f aca="false">IF(AND(ISNUMBER(K368),ISNUMBER(P368),N(P368)&gt;0),K368/P368-1,"")</f>
        <v>0.12632372338421</v>
      </c>
      <c r="R368" s="15" t="s">
        <v>512</v>
      </c>
      <c r="S368" s="37" t="n">
        <v>18076</v>
      </c>
      <c r="T368" s="37" t="n">
        <v>220</v>
      </c>
      <c r="U368" s="38" t="n">
        <f aca="false">IF(AND(ISNUMBER(K368),ISNUMBER(T368)),K368*T368*52/12,"")</f>
        <v>21917.1333333333</v>
      </c>
      <c r="V368" s="15" t="n">
        <v>4.5</v>
      </c>
      <c r="W368" s="37" t="n">
        <v>867</v>
      </c>
      <c r="X368" s="39" t="n">
        <v>46307</v>
      </c>
      <c r="Y368" s="15" t="n">
        <v>5</v>
      </c>
      <c r="Z368" s="40" t="n">
        <v>45169</v>
      </c>
      <c r="AA368" s="41" t="n">
        <f aca="false">IF(ISNUMBER(Z368),(DATE(2026,10,13)-Z368)/365,"")</f>
        <v>3.12054794520548</v>
      </c>
      <c r="AB368" s="37" t="n">
        <v>1812</v>
      </c>
      <c r="AC368" s="15" t="s">
        <v>313</v>
      </c>
      <c r="AD368" s="15" t="n">
        <v>1</v>
      </c>
      <c r="AE368" s="15" t="s">
        <v>331</v>
      </c>
      <c r="AF368" s="42" t="n">
        <v>0.136</v>
      </c>
      <c r="AG368" s="42" t="n">
        <v>0.0298905534565532</v>
      </c>
      <c r="AH368" s="15" t="n">
        <v>227</v>
      </c>
      <c r="AI368" s="37" t="n">
        <v>190502</v>
      </c>
      <c r="AJ368" s="37" t="n">
        <v>1005</v>
      </c>
      <c r="AK368" s="15" t="s">
        <v>326</v>
      </c>
      <c r="AL368" s="43" t="n">
        <v>220.9</v>
      </c>
      <c r="AM368" s="43" t="n">
        <v>205</v>
      </c>
      <c r="AN368" s="25" t="n">
        <f aca="false">IF(AND(ISNUMBER(AM368),ISNUMBER(AL368),AL368&gt;=5),AM368/AL368,"")</f>
        <v>0.928021729289271</v>
      </c>
      <c r="AO368" s="43" t="n">
        <v>168.8</v>
      </c>
      <c r="AP368" s="43" t="n">
        <v>218.8</v>
      </c>
      <c r="AQ368" s="25" t="n">
        <f aca="false">IF(AND(ISNUMBER(AP368),ISNUMBER(AO368),AO368&gt;=5),AP368/AO368,"")</f>
        <v>1.29620853080569</v>
      </c>
      <c r="AR368" s="43" t="n">
        <v>198.3</v>
      </c>
      <c r="AS368" s="43" t="n">
        <v>248.8</v>
      </c>
      <c r="AT368" s="22" t="n">
        <f aca="false">IF(AND(ISNUMBER(AS368),ISNUMBER(AR368),AR368&gt;0),AS368/AR368-1,"")</f>
        <v>0.254664649520928</v>
      </c>
      <c r="AU368" s="44"/>
      <c r="AV368" s="44"/>
      <c r="AW368" s="44"/>
      <c r="AX368" s="44"/>
      <c r="AY368" s="44"/>
      <c r="AZ368" s="45"/>
      <c r="BA368" s="45"/>
      <c r="BB368" s="46"/>
      <c r="BC368" s="46"/>
      <c r="BD368" s="23" t="str">
        <f aca="false">IF(AND(ISNUMBER(BB368),ISNUMBER(BC368),BB368&gt;0),1-BC368/BB368,"")</f>
        <v/>
      </c>
      <c r="BE368" s="47"/>
      <c r="BF368" s="48"/>
      <c r="BG368" s="48"/>
      <c r="BH368" s="27" t="str">
        <f aca="false">IF(AND(ISNUMBER(BF368),ISNUMBER(BG368),BG368&gt;0),BF368/BG368,"")</f>
        <v/>
      </c>
      <c r="BI368" s="48"/>
      <c r="BJ368" s="44"/>
      <c r="BK368" s="46"/>
      <c r="BL368" s="46"/>
      <c r="BM368" s="36" t="str">
        <f aca="false">IF(ISNUMBER(Q368),IF(Q368&lt;0,"YES","no"),"")</f>
        <v>no</v>
      </c>
      <c r="BN368" s="36" t="str">
        <f aca="false">IFERROR(IF(AND(ISNUMBER(K368),ISNUMBER(INDEX('Lift Inputs'!$H:$H,MATCH(C368,'Lift Inputs'!$C:$C,0)))),IF(K368&lt;INDEX('Lift Inputs'!$H:$H,MATCH(C368,'Lift Inputs'!$C:$C,0)),"YES","no"),""),"")</f>
        <v/>
      </c>
      <c r="BO368" s="44"/>
    </row>
    <row r="369" customFormat="false" ht="15" hidden="false" customHeight="false" outlineLevel="0" collapsed="false">
      <c r="A369" s="15" t="s">
        <v>98</v>
      </c>
      <c r="B369" s="15" t="s">
        <v>107</v>
      </c>
      <c r="C369" s="15" t="n">
        <v>57</v>
      </c>
      <c r="D369" s="15" t="s">
        <v>216</v>
      </c>
      <c r="E369" s="15" t="n">
        <v>1617</v>
      </c>
      <c r="F369" s="15" t="s">
        <v>798</v>
      </c>
      <c r="G369" s="15" t="s">
        <v>799</v>
      </c>
      <c r="H369" s="15" t="s">
        <v>800</v>
      </c>
      <c r="I369" s="15" t="s">
        <v>775</v>
      </c>
      <c r="J369" s="15" t="s">
        <v>177</v>
      </c>
      <c r="K369" s="35" t="n">
        <v>17.99</v>
      </c>
      <c r="L369" s="35" t="n">
        <v>18.99</v>
      </c>
      <c r="M369" s="23" t="n">
        <f aca="false">IF(AND(ISNUMBER(L369),ISNUMBER(K369),K369&gt;0),L369/K369-1,"")</f>
        <v>0.0555864369093941</v>
      </c>
      <c r="N369" s="36" t="str">
        <f aca="false">IF(M369="","No List Price",IF(M369&lt;=0,"At/below price",IF(M369&lt;=0.12,"&lt;=12% (STR zone)",IF(M369&lt;=0.25,"12-25%","&gt;25% (likely ignored)"))))</f>
        <v>&lt;=12% (STR zone)</v>
      </c>
      <c r="O369" s="15"/>
      <c r="P369" s="35" t="n">
        <v>20.4115384615385</v>
      </c>
      <c r="Q369" s="22" t="n">
        <f aca="false">IF(AND(ISNUMBER(K369),ISNUMBER(P369),N(P369)&gt;0),K369/P369-1,"")</f>
        <v>-0.118635764085171</v>
      </c>
      <c r="R369" s="15" t="s">
        <v>512</v>
      </c>
      <c r="S369" s="37" t="n">
        <v>31138</v>
      </c>
      <c r="T369" s="37" t="n">
        <v>173</v>
      </c>
      <c r="U369" s="38" t="n">
        <f aca="false">IF(AND(ISNUMBER(K369),ISNUMBER(T369)),K369*T369*52/12,"")</f>
        <v>13486.5033333333</v>
      </c>
      <c r="V369" s="15" t="n">
        <v>4.5</v>
      </c>
      <c r="W369" s="37" t="n">
        <v>402</v>
      </c>
      <c r="X369" s="39" t="n">
        <v>46307</v>
      </c>
      <c r="Y369" s="15"/>
      <c r="Z369" s="40"/>
      <c r="AA369" s="41" t="str">
        <f aca="false">IF(ISNUMBER(Z369),(DATE(2026,10,13)-Z369)/365,"")</f>
        <v/>
      </c>
      <c r="AB369" s="37"/>
      <c r="AC369" s="15"/>
      <c r="AD369" s="15"/>
      <c r="AE369" s="15"/>
      <c r="AF369" s="42"/>
      <c r="AG369" s="42"/>
      <c r="AH369" s="15"/>
      <c r="AI369" s="37" t="n">
        <v>66655</v>
      </c>
      <c r="AJ369" s="37" t="n">
        <v>578</v>
      </c>
      <c r="AK369" s="15" t="s">
        <v>326</v>
      </c>
      <c r="AL369" s="43" t="n">
        <v>192.3</v>
      </c>
      <c r="AM369" s="43" t="n">
        <v>186.8</v>
      </c>
      <c r="AN369" s="25" t="n">
        <f aca="false">IF(AND(ISNUMBER(AM369),ISNUMBER(AL369),AL369&gt;=5),AM369/AL369,"")</f>
        <v>0.971398855954238</v>
      </c>
      <c r="AO369" s="43" t="n">
        <v>66.2</v>
      </c>
      <c r="AP369" s="43" t="n">
        <v>67.2</v>
      </c>
      <c r="AQ369" s="25" t="n">
        <f aca="false">IF(AND(ISNUMBER(AP369),ISNUMBER(AO369),AO369&gt;=5),AP369/AO369,"")</f>
        <v>1.01510574018127</v>
      </c>
      <c r="AR369" s="43" t="n">
        <v>174.2</v>
      </c>
      <c r="AS369" s="43" t="n">
        <v>146.9</v>
      </c>
      <c r="AT369" s="22" t="n">
        <f aca="false">IF(AND(ISNUMBER(AS369),ISNUMBER(AR369),AR369&gt;0),AS369/AR369-1,"")</f>
        <v>-0.156716417910448</v>
      </c>
      <c r="AU369" s="44"/>
      <c r="AV369" s="44"/>
      <c r="AW369" s="44"/>
      <c r="AX369" s="44"/>
      <c r="AY369" s="44"/>
      <c r="AZ369" s="45"/>
      <c r="BA369" s="45"/>
      <c r="BB369" s="46"/>
      <c r="BC369" s="46"/>
      <c r="BD369" s="23" t="str">
        <f aca="false">IF(AND(ISNUMBER(BB369),ISNUMBER(BC369),BB369&gt;0),1-BC369/BB369,"")</f>
        <v/>
      </c>
      <c r="BE369" s="47"/>
      <c r="BF369" s="48"/>
      <c r="BG369" s="48"/>
      <c r="BH369" s="27" t="str">
        <f aca="false">IF(AND(ISNUMBER(BF369),ISNUMBER(BG369),BG369&gt;0),BF369/BG369,"")</f>
        <v/>
      </c>
      <c r="BI369" s="48"/>
      <c r="BJ369" s="44"/>
      <c r="BK369" s="46"/>
      <c r="BL369" s="46"/>
      <c r="BM369" s="36" t="str">
        <f aca="false">IF(ISNUMBER(Q369),IF(Q369&lt;0,"YES","no"),"")</f>
        <v>YES</v>
      </c>
      <c r="BN369" s="36" t="str">
        <f aca="false">IFERROR(IF(AND(ISNUMBER(K369),ISNUMBER(INDEX('Lift Inputs'!$H:$H,MATCH(C369,'Lift Inputs'!$C:$C,0)))),IF(K369&lt;INDEX('Lift Inputs'!$H:$H,MATCH(C369,'Lift Inputs'!$C:$C,0)),"YES","no"),""),"")</f>
        <v/>
      </c>
      <c r="BO369" s="44"/>
    </row>
    <row r="370" customFormat="false" ht="15" hidden="false" customHeight="false" outlineLevel="0" collapsed="false">
      <c r="A370" s="15" t="s">
        <v>98</v>
      </c>
      <c r="B370" s="15" t="s">
        <v>107</v>
      </c>
      <c r="C370" s="15" t="n">
        <v>57</v>
      </c>
      <c r="D370" s="15" t="s">
        <v>216</v>
      </c>
      <c r="E370" s="15" t="n">
        <v>1622</v>
      </c>
      <c r="F370" s="15" t="s">
        <v>828</v>
      </c>
      <c r="G370" s="15" t="s">
        <v>829</v>
      </c>
      <c r="H370" s="15" t="s">
        <v>830</v>
      </c>
      <c r="I370" s="15" t="s">
        <v>775</v>
      </c>
      <c r="J370" s="15" t="s">
        <v>177</v>
      </c>
      <c r="K370" s="35" t="n">
        <v>22.99</v>
      </c>
      <c r="L370" s="35"/>
      <c r="M370" s="23" t="str">
        <f aca="false">IF(AND(ISNUMBER(L370),ISNUMBER(K370),K370&gt;0),L370/K370-1,"")</f>
        <v/>
      </c>
      <c r="N370" s="36" t="str">
        <f aca="false">IF(M370="","No List Price",IF(M370&lt;=0,"At/below price",IF(M370&lt;=0.12,"&lt;=12% (STR zone)",IF(M370&lt;=0.25,"12-25%","&gt;25% (likely ignored)"))))</f>
        <v>No List Price</v>
      </c>
      <c r="O370" s="15"/>
      <c r="P370" s="35" t="n">
        <v>20.4115384615385</v>
      </c>
      <c r="Q370" s="22" t="n">
        <f aca="false">IF(AND(ISNUMBER(K370),ISNUMBER(P370),N(P370)&gt;0),K370/P370-1,"")</f>
        <v>0.12632372338421</v>
      </c>
      <c r="R370" s="15" t="s">
        <v>512</v>
      </c>
      <c r="S370" s="37" t="n">
        <v>30513</v>
      </c>
      <c r="T370" s="37" t="n">
        <v>92</v>
      </c>
      <c r="U370" s="38" t="n">
        <f aca="false">IF(AND(ISNUMBER(K370),ISNUMBER(T370)),K370*T370*52/12,"")</f>
        <v>9165.34666666667</v>
      </c>
      <c r="V370" s="15" t="n">
        <v>4.5</v>
      </c>
      <c r="W370" s="37" t="n">
        <v>345</v>
      </c>
      <c r="X370" s="39" t="n">
        <v>46307</v>
      </c>
      <c r="Y370" s="15"/>
      <c r="Z370" s="40"/>
      <c r="AA370" s="41" t="str">
        <f aca="false">IF(ISNUMBER(Z370),(DATE(2026,10,13)-Z370)/365,"")</f>
        <v/>
      </c>
      <c r="AB370" s="37"/>
      <c r="AC370" s="15"/>
      <c r="AD370" s="15"/>
      <c r="AE370" s="15"/>
      <c r="AF370" s="42"/>
      <c r="AG370" s="42"/>
      <c r="AH370" s="15"/>
      <c r="AI370" s="37" t="n">
        <v>81189</v>
      </c>
      <c r="AJ370" s="37" t="n">
        <v>467</v>
      </c>
      <c r="AK370" s="15" t="s">
        <v>315</v>
      </c>
      <c r="AL370" s="43" t="n">
        <v>36.7</v>
      </c>
      <c r="AM370" s="43" t="n">
        <v>76.5</v>
      </c>
      <c r="AN370" s="25" t="n">
        <f aca="false">IF(AND(ISNUMBER(AM370),ISNUMBER(AL370),AL370&gt;=5),AM370/AL370,"")</f>
        <v>2.08446866485014</v>
      </c>
      <c r="AO370" s="43" t="n">
        <v>19.2</v>
      </c>
      <c r="AP370" s="43" t="n">
        <v>23.8</v>
      </c>
      <c r="AQ370" s="25" t="n">
        <f aca="false">IF(AND(ISNUMBER(AP370),ISNUMBER(AO370),AO370&gt;=5),AP370/AO370,"")</f>
        <v>1.23958333333333</v>
      </c>
      <c r="AR370" s="43" t="n">
        <v>60</v>
      </c>
      <c r="AS370" s="43" t="n">
        <v>86.3</v>
      </c>
      <c r="AT370" s="22" t="n">
        <f aca="false">IF(AND(ISNUMBER(AS370),ISNUMBER(AR370),AR370&gt;0),AS370/AR370-1,"")</f>
        <v>0.438333333333333</v>
      </c>
      <c r="AU370" s="44"/>
      <c r="AV370" s="44"/>
      <c r="AW370" s="44"/>
      <c r="AX370" s="44"/>
      <c r="AY370" s="44"/>
      <c r="AZ370" s="45"/>
      <c r="BA370" s="45"/>
      <c r="BB370" s="46"/>
      <c r="BC370" s="46"/>
      <c r="BD370" s="23" t="str">
        <f aca="false">IF(AND(ISNUMBER(BB370),ISNUMBER(BC370),BB370&gt;0),1-BC370/BB370,"")</f>
        <v/>
      </c>
      <c r="BE370" s="47"/>
      <c r="BF370" s="48"/>
      <c r="BG370" s="48"/>
      <c r="BH370" s="27" t="str">
        <f aca="false">IF(AND(ISNUMBER(BF370),ISNUMBER(BG370),BG370&gt;0),BF370/BG370,"")</f>
        <v/>
      </c>
      <c r="BI370" s="48"/>
      <c r="BJ370" s="44"/>
      <c r="BK370" s="46"/>
      <c r="BL370" s="46"/>
      <c r="BM370" s="36" t="str">
        <f aca="false">IF(ISNUMBER(Q370),IF(Q370&lt;0,"YES","no"),"")</f>
        <v>no</v>
      </c>
      <c r="BN370" s="36" t="str">
        <f aca="false">IFERROR(IF(AND(ISNUMBER(K370),ISNUMBER(INDEX('Lift Inputs'!$H:$H,MATCH(C370,'Lift Inputs'!$C:$C,0)))),IF(K370&lt;INDEX('Lift Inputs'!$H:$H,MATCH(C370,'Lift Inputs'!$C:$C,0)),"YES","no"),""),"")</f>
        <v/>
      </c>
      <c r="BO370" s="44"/>
    </row>
    <row r="371" customFormat="false" ht="15" hidden="false" customHeight="false" outlineLevel="0" collapsed="false">
      <c r="A371" s="15" t="s">
        <v>98</v>
      </c>
      <c r="B371" s="15" t="s">
        <v>107</v>
      </c>
      <c r="C371" s="15" t="n">
        <v>57</v>
      </c>
      <c r="D371" s="15" t="s">
        <v>216</v>
      </c>
      <c r="E371" s="15" t="n">
        <v>1625</v>
      </c>
      <c r="F371" s="15" t="s">
        <v>779</v>
      </c>
      <c r="G371" s="15" t="s">
        <v>848</v>
      </c>
      <c r="H371" s="15" t="s">
        <v>849</v>
      </c>
      <c r="I371" s="15" t="s">
        <v>775</v>
      </c>
      <c r="J371" s="15" t="s">
        <v>177</v>
      </c>
      <c r="K371" s="35" t="n">
        <v>14.99</v>
      </c>
      <c r="L371" s="35"/>
      <c r="M371" s="23" t="str">
        <f aca="false">IF(AND(ISNUMBER(L371),ISNUMBER(K371),K371&gt;0),L371/K371-1,"")</f>
        <v/>
      </c>
      <c r="N371" s="36" t="str">
        <f aca="false">IF(M371="","No List Price",IF(M371&lt;=0,"At/below price",IF(M371&lt;=0.12,"&lt;=12% (STR zone)",IF(M371&lt;=0.25,"12-25%","&gt;25% (likely ignored)"))))</f>
        <v>No List Price</v>
      </c>
      <c r="O371" s="15"/>
      <c r="P371" s="35" t="n">
        <v>20.4115384615385</v>
      </c>
      <c r="Q371" s="22" t="n">
        <f aca="false">IF(AND(ISNUMBER(K371),ISNUMBER(P371),N(P371)&gt;0),K371/P371-1,"")</f>
        <v>-0.265611456566799</v>
      </c>
      <c r="R371" s="15" t="s">
        <v>512</v>
      </c>
      <c r="S371" s="37" t="n">
        <v>47070</v>
      </c>
      <c r="T371" s="37"/>
      <c r="U371" s="38" t="str">
        <f aca="false">IF(AND(ISNUMBER(K371),ISNUMBER(T371)),K371*T371*52/12,"")</f>
        <v/>
      </c>
      <c r="V371" s="15" t="n">
        <v>4.3</v>
      </c>
      <c r="W371" s="37" t="n">
        <v>272</v>
      </c>
      <c r="X371" s="39" t="n">
        <v>46307</v>
      </c>
      <c r="Y371" s="15"/>
      <c r="Z371" s="40"/>
      <c r="AA371" s="41" t="str">
        <f aca="false">IF(ISNUMBER(Z371),(DATE(2026,10,13)-Z371)/365,"")</f>
        <v/>
      </c>
      <c r="AB371" s="37"/>
      <c r="AC371" s="15"/>
      <c r="AD371" s="15"/>
      <c r="AE371" s="15"/>
      <c r="AF371" s="42"/>
      <c r="AG371" s="42"/>
      <c r="AH371" s="15"/>
      <c r="AI371" s="37"/>
      <c r="AJ371" s="37"/>
      <c r="AK371" s="15" t="s">
        <v>531</v>
      </c>
      <c r="AL371" s="43" t="n">
        <v>10.4</v>
      </c>
      <c r="AM371" s="43" t="n">
        <v>11</v>
      </c>
      <c r="AN371" s="25" t="n">
        <f aca="false">IF(AND(ISNUMBER(AM371),ISNUMBER(AL371),AL371&gt;=5),AM371/AL371,"")</f>
        <v>1.05769230769231</v>
      </c>
      <c r="AO371" s="43" t="n">
        <v>0</v>
      </c>
      <c r="AP371" s="43" t="n">
        <v>0</v>
      </c>
      <c r="AQ371" s="25" t="str">
        <f aca="false">IF(AND(ISNUMBER(AP371),ISNUMBER(AO371),AO371&gt;=5),AP371/AO371,"")</f>
        <v/>
      </c>
      <c r="AR371" s="43" t="n">
        <v>28.7</v>
      </c>
      <c r="AS371" s="43" t="n">
        <v>0</v>
      </c>
      <c r="AT371" s="22" t="n">
        <f aca="false">IF(AND(ISNUMBER(AS371),ISNUMBER(AR371),AR371&gt;0),AS371/AR371-1,"")</f>
        <v>-1</v>
      </c>
      <c r="AU371" s="44"/>
      <c r="AV371" s="44"/>
      <c r="AW371" s="44"/>
      <c r="AX371" s="44"/>
      <c r="AY371" s="44"/>
      <c r="AZ371" s="45"/>
      <c r="BA371" s="45"/>
      <c r="BB371" s="46"/>
      <c r="BC371" s="46"/>
      <c r="BD371" s="23" t="str">
        <f aca="false">IF(AND(ISNUMBER(BB371),ISNUMBER(BC371),BB371&gt;0),1-BC371/BB371,"")</f>
        <v/>
      </c>
      <c r="BE371" s="47"/>
      <c r="BF371" s="48"/>
      <c r="BG371" s="48"/>
      <c r="BH371" s="27" t="str">
        <f aca="false">IF(AND(ISNUMBER(BF371),ISNUMBER(BG371),BG371&gt;0),BF371/BG371,"")</f>
        <v/>
      </c>
      <c r="BI371" s="48"/>
      <c r="BJ371" s="44"/>
      <c r="BK371" s="46"/>
      <c r="BL371" s="46"/>
      <c r="BM371" s="36" t="str">
        <f aca="false">IF(ISNUMBER(Q371),IF(Q371&lt;0,"YES","no"),"")</f>
        <v>YES</v>
      </c>
      <c r="BN371" s="36" t="str">
        <f aca="false">IFERROR(IF(AND(ISNUMBER(K371),ISNUMBER(INDEX('Lift Inputs'!$H:$H,MATCH(C371,'Lift Inputs'!$C:$C,0)))),IF(K371&lt;INDEX('Lift Inputs'!$H:$H,MATCH(C371,'Lift Inputs'!$C:$C,0)),"YES","no"),""),"")</f>
        <v/>
      </c>
      <c r="BO371" s="44"/>
    </row>
    <row r="372" customFormat="false" ht="15" hidden="false" customHeight="false" outlineLevel="0" collapsed="false">
      <c r="A372" s="15" t="s">
        <v>98</v>
      </c>
      <c r="B372" s="15" t="s">
        <v>107</v>
      </c>
      <c r="C372" s="15" t="n">
        <v>57</v>
      </c>
      <c r="D372" s="15" t="s">
        <v>216</v>
      </c>
      <c r="E372" s="15" t="n">
        <v>1611</v>
      </c>
      <c r="F372" s="15" t="s">
        <v>772</v>
      </c>
      <c r="G372" s="15" t="s">
        <v>773</v>
      </c>
      <c r="H372" s="15" t="s">
        <v>774</v>
      </c>
      <c r="I372" s="15" t="s">
        <v>775</v>
      </c>
      <c r="J372" s="15"/>
      <c r="K372" s="35" t="n">
        <v>12.95</v>
      </c>
      <c r="L372" s="35" t="n">
        <v>14.39</v>
      </c>
      <c r="M372" s="23" t="n">
        <f aca="false">IF(AND(ISNUMBER(L372),ISNUMBER(K372),K372&gt;0),L372/K372-1,"")</f>
        <v>0.111196911196911</v>
      </c>
      <c r="N372" s="36" t="str">
        <f aca="false">IF(M372="","No List Price",IF(M372&lt;=0,"At/below price",IF(M372&lt;=0.12,"&lt;=12% (STR zone)",IF(M372&lt;=0.25,"12-25%","&gt;25% (likely ignored)"))))</f>
        <v>&lt;=12% (STR zone)</v>
      </c>
      <c r="O372" s="15"/>
      <c r="P372" s="35" t="n">
        <v>20.4115384615385</v>
      </c>
      <c r="Q372" s="22" t="n">
        <f aca="false">IF(AND(ISNUMBER(K372),ISNUMBER(P372),N(P372)&gt;0),K372/P372-1,"")</f>
        <v>-0.365554927454306</v>
      </c>
      <c r="R372" s="15" t="s">
        <v>512</v>
      </c>
      <c r="S372" s="37" t="n">
        <v>1574</v>
      </c>
      <c r="T372" s="37" t="n">
        <v>3464</v>
      </c>
      <c r="U372" s="38" t="n">
        <f aca="false">IF(AND(ISNUMBER(K372),ISNUMBER(T372)),K372*T372*52/12,"")</f>
        <v>194388.133333333</v>
      </c>
      <c r="V372" s="15" t="n">
        <v>4.7</v>
      </c>
      <c r="W372" s="37" t="n">
        <v>17354</v>
      </c>
      <c r="X372" s="39" t="n">
        <v>46307</v>
      </c>
      <c r="Y372" s="15"/>
      <c r="Z372" s="40"/>
      <c r="AA372" s="41" t="str">
        <f aca="false">IF(ISNUMBER(Z372),(DATE(2026,10,13)-Z372)/365,"")</f>
        <v/>
      </c>
      <c r="AB372" s="37"/>
      <c r="AC372" s="15"/>
      <c r="AD372" s="15"/>
      <c r="AE372" s="15"/>
      <c r="AF372" s="42"/>
      <c r="AG372" s="42"/>
      <c r="AH372" s="15"/>
      <c r="AI372" s="37"/>
      <c r="AJ372" s="37"/>
      <c r="AK372" s="15" t="s">
        <v>326</v>
      </c>
      <c r="AL372" s="43" t="n">
        <v>1550.6</v>
      </c>
      <c r="AM372" s="43" t="n">
        <v>1539.8</v>
      </c>
      <c r="AN372" s="25" t="n">
        <f aca="false">IF(AND(ISNUMBER(AM372),ISNUMBER(AL372),AL372&gt;=5),AM372/AL372,"")</f>
        <v>0.993034954211273</v>
      </c>
      <c r="AO372" s="43" t="n">
        <v>733.4</v>
      </c>
      <c r="AP372" s="43" t="n">
        <v>808.5</v>
      </c>
      <c r="AQ372" s="25" t="n">
        <f aca="false">IF(AND(ISNUMBER(AP372),ISNUMBER(AO372),AO372&gt;=5),AP372/AO372,"")</f>
        <v>1.10239978183801</v>
      </c>
      <c r="AR372" s="43" t="n">
        <v>1422.4</v>
      </c>
      <c r="AS372" s="43" t="n">
        <v>1740.6</v>
      </c>
      <c r="AT372" s="22" t="n">
        <f aca="false">IF(AND(ISNUMBER(AS372),ISNUMBER(AR372),AR372&gt;0),AS372/AR372-1,"")</f>
        <v>0.223706411698537</v>
      </c>
      <c r="AU372" s="44"/>
      <c r="AV372" s="44"/>
      <c r="AW372" s="44"/>
      <c r="AX372" s="44"/>
      <c r="AY372" s="44"/>
      <c r="AZ372" s="45"/>
      <c r="BA372" s="45"/>
      <c r="BB372" s="46"/>
      <c r="BC372" s="46"/>
      <c r="BD372" s="23" t="str">
        <f aca="false">IF(AND(ISNUMBER(BB372),ISNUMBER(BC372),BB372&gt;0),1-BC372/BB372,"")</f>
        <v/>
      </c>
      <c r="BE372" s="47"/>
      <c r="BF372" s="48"/>
      <c r="BG372" s="48"/>
      <c r="BH372" s="27" t="str">
        <f aca="false">IF(AND(ISNUMBER(BF372),ISNUMBER(BG372),BG372&gt;0),BF372/BG372,"")</f>
        <v/>
      </c>
      <c r="BI372" s="48"/>
      <c r="BJ372" s="44"/>
      <c r="BK372" s="46"/>
      <c r="BL372" s="46"/>
      <c r="BM372" s="36" t="str">
        <f aca="false">IF(ISNUMBER(Q372),IF(Q372&lt;0,"YES","no"),"")</f>
        <v>YES</v>
      </c>
      <c r="BN372" s="36" t="str">
        <f aca="false">IFERROR(IF(AND(ISNUMBER(K372),ISNUMBER(INDEX('Lift Inputs'!$H:$H,MATCH(C372,'Lift Inputs'!$C:$C,0)))),IF(K372&lt;INDEX('Lift Inputs'!$H:$H,MATCH(C372,'Lift Inputs'!$C:$C,0)),"YES","no"),""),"")</f>
        <v/>
      </c>
      <c r="BO372" s="44"/>
    </row>
    <row r="373" customFormat="false" ht="15" hidden="false" customHeight="false" outlineLevel="0" collapsed="false">
      <c r="A373" s="15" t="s">
        <v>98</v>
      </c>
      <c r="B373" s="15" t="s">
        <v>107</v>
      </c>
      <c r="C373" s="15" t="n">
        <v>57</v>
      </c>
      <c r="D373" s="15" t="s">
        <v>216</v>
      </c>
      <c r="E373" s="15" t="n">
        <v>1612</v>
      </c>
      <c r="F373" s="15" t="s">
        <v>776</v>
      </c>
      <c r="G373" s="15" t="s">
        <v>777</v>
      </c>
      <c r="H373" s="15" t="s">
        <v>778</v>
      </c>
      <c r="I373" s="15" t="s">
        <v>775</v>
      </c>
      <c r="J373" s="15"/>
      <c r="K373" s="35" t="n">
        <v>17.99</v>
      </c>
      <c r="L373" s="35" t="n">
        <v>17.99</v>
      </c>
      <c r="M373" s="23" t="n">
        <f aca="false">IF(AND(ISNUMBER(L373),ISNUMBER(K373),K373&gt;0),L373/K373-1,"")</f>
        <v>0</v>
      </c>
      <c r="N373" s="36" t="str">
        <f aca="false">IF(M373="","No List Price",IF(M373&lt;=0,"At/below price",IF(M373&lt;=0.12,"&lt;=12% (STR zone)",IF(M373&lt;=0.25,"12-25%","&gt;25% (likely ignored)"))))</f>
        <v>At/below price</v>
      </c>
      <c r="O373" s="15"/>
      <c r="P373" s="35" t="n">
        <v>20.4115384615385</v>
      </c>
      <c r="Q373" s="22" t="n">
        <f aca="false">IF(AND(ISNUMBER(K373),ISNUMBER(P373),N(P373)&gt;0),K373/P373-1,"")</f>
        <v>-0.118635764085171</v>
      </c>
      <c r="R373" s="15" t="s">
        <v>512</v>
      </c>
      <c r="S373" s="37" t="n">
        <v>1837</v>
      </c>
      <c r="T373" s="37" t="n">
        <v>1848</v>
      </c>
      <c r="U373" s="38" t="n">
        <f aca="false">IF(AND(ISNUMBER(K373),ISNUMBER(T373)),K373*T373*52/12,"")</f>
        <v>144063.92</v>
      </c>
      <c r="V373" s="15" t="n">
        <v>4.3</v>
      </c>
      <c r="W373" s="37" t="n">
        <v>1648</v>
      </c>
      <c r="X373" s="39" t="n">
        <v>46307</v>
      </c>
      <c r="Y373" s="15"/>
      <c r="Z373" s="40"/>
      <c r="AA373" s="41" t="str">
        <f aca="false">IF(ISNUMBER(Z373),(DATE(2026,10,13)-Z373)/365,"")</f>
        <v/>
      </c>
      <c r="AB373" s="37"/>
      <c r="AC373" s="15"/>
      <c r="AD373" s="15"/>
      <c r="AE373" s="15"/>
      <c r="AF373" s="42"/>
      <c r="AG373" s="42"/>
      <c r="AH373" s="15"/>
      <c r="AI373" s="37"/>
      <c r="AJ373" s="37"/>
      <c r="AK373" s="15"/>
      <c r="AL373" s="43"/>
      <c r="AM373" s="43"/>
      <c r="AN373" s="25" t="str">
        <f aca="false">IF(AND(ISNUMBER(AM373),ISNUMBER(AL373),AL373&gt;=5),AM373/AL373,"")</f>
        <v/>
      </c>
      <c r="AO373" s="43"/>
      <c r="AP373" s="43"/>
      <c r="AQ373" s="25" t="str">
        <f aca="false">IF(AND(ISNUMBER(AP373),ISNUMBER(AO373),AO373&gt;=5),AP373/AO373,"")</f>
        <v/>
      </c>
      <c r="AR373" s="43"/>
      <c r="AS373" s="43"/>
      <c r="AT373" s="22" t="str">
        <f aca="false">IF(AND(ISNUMBER(AS373),ISNUMBER(AR373),AR373&gt;0),AS373/AR373-1,"")</f>
        <v/>
      </c>
      <c r="AU373" s="44"/>
      <c r="AV373" s="44"/>
      <c r="AW373" s="44"/>
      <c r="AX373" s="44"/>
      <c r="AY373" s="44"/>
      <c r="AZ373" s="45"/>
      <c r="BA373" s="45"/>
      <c r="BB373" s="46"/>
      <c r="BC373" s="46"/>
      <c r="BD373" s="23" t="str">
        <f aca="false">IF(AND(ISNUMBER(BB373),ISNUMBER(BC373),BB373&gt;0),1-BC373/BB373,"")</f>
        <v/>
      </c>
      <c r="BE373" s="47"/>
      <c r="BF373" s="48"/>
      <c r="BG373" s="48"/>
      <c r="BH373" s="27" t="str">
        <f aca="false">IF(AND(ISNUMBER(BF373),ISNUMBER(BG373),BG373&gt;0),BF373/BG373,"")</f>
        <v/>
      </c>
      <c r="BI373" s="48"/>
      <c r="BJ373" s="44"/>
      <c r="BK373" s="46"/>
      <c r="BL373" s="46"/>
      <c r="BM373" s="36" t="str">
        <f aca="false">IF(ISNUMBER(Q373),IF(Q373&lt;0,"YES","no"),"")</f>
        <v>YES</v>
      </c>
      <c r="BN373" s="36" t="str">
        <f aca="false">IFERROR(IF(AND(ISNUMBER(K373),ISNUMBER(INDEX('Lift Inputs'!$H:$H,MATCH(C373,'Lift Inputs'!$C:$C,0)))),IF(K373&lt;INDEX('Lift Inputs'!$H:$H,MATCH(C373,'Lift Inputs'!$C:$C,0)),"YES","no"),""),"")</f>
        <v/>
      </c>
      <c r="BO373" s="44"/>
    </row>
    <row r="374" customFormat="false" ht="15" hidden="false" customHeight="false" outlineLevel="0" collapsed="false">
      <c r="A374" s="15" t="s">
        <v>98</v>
      </c>
      <c r="B374" s="15" t="s">
        <v>107</v>
      </c>
      <c r="C374" s="15" t="n">
        <v>57</v>
      </c>
      <c r="D374" s="15" t="s">
        <v>216</v>
      </c>
      <c r="E374" s="15" t="n">
        <v>1615</v>
      </c>
      <c r="F374" s="15" t="s">
        <v>845</v>
      </c>
      <c r="G374" s="15" t="s">
        <v>846</v>
      </c>
      <c r="H374" s="15" t="s">
        <v>847</v>
      </c>
      <c r="I374" s="15" t="s">
        <v>775</v>
      </c>
      <c r="J374" s="15"/>
      <c r="K374" s="35" t="n">
        <v>4.99</v>
      </c>
      <c r="L374" s="35"/>
      <c r="M374" s="23" t="str">
        <f aca="false">IF(AND(ISNUMBER(L374),ISNUMBER(K374),K374&gt;0),L374/K374-1,"")</f>
        <v/>
      </c>
      <c r="N374" s="36" t="str">
        <f aca="false">IF(M374="","No List Price",IF(M374&lt;=0,"At/below price",IF(M374&lt;=0.12,"&lt;=12% (STR zone)",IF(M374&lt;=0.25,"12-25%","&gt;25% (likely ignored)"))))</f>
        <v>No List Price</v>
      </c>
      <c r="O374" s="15"/>
      <c r="P374" s="35" t="n">
        <v>20.4115384615385</v>
      </c>
      <c r="Q374" s="22" t="n">
        <f aca="false">IF(AND(ISNUMBER(K374),ISNUMBER(P374),N(P374)&gt;0),K374/P374-1,"")</f>
        <v>-0.755530431505559</v>
      </c>
      <c r="R374" s="15" t="s">
        <v>512</v>
      </c>
      <c r="S374" s="37" t="n">
        <v>8110</v>
      </c>
      <c r="T374" s="37" t="n">
        <v>809</v>
      </c>
      <c r="U374" s="38" t="n">
        <f aca="false">IF(AND(ISNUMBER(K374),ISNUMBER(T374)),K374*T374*52/12,"")</f>
        <v>17493.2766666667</v>
      </c>
      <c r="V374" s="15" t="n">
        <v>4.6</v>
      </c>
      <c r="W374" s="37" t="n">
        <v>5889</v>
      </c>
      <c r="X374" s="39" t="n">
        <v>46307</v>
      </c>
      <c r="Y374" s="15"/>
      <c r="Z374" s="40"/>
      <c r="AA374" s="41" t="str">
        <f aca="false">IF(ISNUMBER(Z374),(DATE(2026,10,13)-Z374)/365,"")</f>
        <v/>
      </c>
      <c r="AB374" s="37"/>
      <c r="AC374" s="15"/>
      <c r="AD374" s="15"/>
      <c r="AE374" s="15"/>
      <c r="AF374" s="42"/>
      <c r="AG374" s="42"/>
      <c r="AH374" s="15"/>
      <c r="AI374" s="37"/>
      <c r="AJ374" s="37"/>
      <c r="AK374" s="15"/>
      <c r="AL374" s="43"/>
      <c r="AM374" s="43"/>
      <c r="AN374" s="25" t="str">
        <f aca="false">IF(AND(ISNUMBER(AM374),ISNUMBER(AL374),AL374&gt;=5),AM374/AL374,"")</f>
        <v/>
      </c>
      <c r="AO374" s="43"/>
      <c r="AP374" s="43"/>
      <c r="AQ374" s="25" t="str">
        <f aca="false">IF(AND(ISNUMBER(AP374),ISNUMBER(AO374),AO374&gt;=5),AP374/AO374,"")</f>
        <v/>
      </c>
      <c r="AR374" s="43"/>
      <c r="AS374" s="43"/>
      <c r="AT374" s="22" t="str">
        <f aca="false">IF(AND(ISNUMBER(AS374),ISNUMBER(AR374),AR374&gt;0),AS374/AR374-1,"")</f>
        <v/>
      </c>
      <c r="AU374" s="44"/>
      <c r="AV374" s="44"/>
      <c r="AW374" s="44"/>
      <c r="AX374" s="44"/>
      <c r="AY374" s="44"/>
      <c r="AZ374" s="45"/>
      <c r="BA374" s="45"/>
      <c r="BB374" s="46"/>
      <c r="BC374" s="46"/>
      <c r="BD374" s="23" t="str">
        <f aca="false">IF(AND(ISNUMBER(BB374),ISNUMBER(BC374),BB374&gt;0),1-BC374/BB374,"")</f>
        <v/>
      </c>
      <c r="BE374" s="47"/>
      <c r="BF374" s="48"/>
      <c r="BG374" s="48"/>
      <c r="BH374" s="27" t="str">
        <f aca="false">IF(AND(ISNUMBER(BF374),ISNUMBER(BG374),BG374&gt;0),BF374/BG374,"")</f>
        <v/>
      </c>
      <c r="BI374" s="48"/>
      <c r="BJ374" s="44"/>
      <c r="BK374" s="46"/>
      <c r="BL374" s="46"/>
      <c r="BM374" s="36" t="str">
        <f aca="false">IF(ISNUMBER(Q374),IF(Q374&lt;0,"YES","no"),"")</f>
        <v>YES</v>
      </c>
      <c r="BN374" s="36" t="str">
        <f aca="false">IFERROR(IF(AND(ISNUMBER(K374),ISNUMBER(INDEX('Lift Inputs'!$H:$H,MATCH(C374,'Lift Inputs'!$C:$C,0)))),IF(K374&lt;INDEX('Lift Inputs'!$H:$H,MATCH(C374,'Lift Inputs'!$C:$C,0)),"YES","no"),""),"")</f>
        <v/>
      </c>
      <c r="BO374" s="44"/>
    </row>
    <row r="375" customFormat="false" ht="15" hidden="false" customHeight="false" outlineLevel="0" collapsed="false">
      <c r="A375" s="15" t="s">
        <v>98</v>
      </c>
      <c r="B375" s="15" t="s">
        <v>107</v>
      </c>
      <c r="C375" s="15" t="n">
        <v>57</v>
      </c>
      <c r="D375" s="15" t="s">
        <v>216</v>
      </c>
      <c r="E375" s="15" t="n">
        <v>1620</v>
      </c>
      <c r="F375" s="15" t="s">
        <v>795</v>
      </c>
      <c r="G375" s="15" t="s">
        <v>796</v>
      </c>
      <c r="H375" s="15" t="s">
        <v>797</v>
      </c>
      <c r="I375" s="15" t="s">
        <v>775</v>
      </c>
      <c r="J375" s="15"/>
      <c r="K375" s="35" t="n">
        <v>8.89</v>
      </c>
      <c r="L375" s="35"/>
      <c r="M375" s="23" t="str">
        <f aca="false">IF(AND(ISNUMBER(L375),ISNUMBER(K375),K375&gt;0),L375/K375-1,"")</f>
        <v/>
      </c>
      <c r="N375" s="36" t="str">
        <f aca="false">IF(M375="","No List Price",IF(M375&lt;=0,"At/below price",IF(M375&lt;=0.12,"&lt;=12% (STR zone)",IF(M375&lt;=0.25,"12-25%","&gt;25% (likely ignored)"))))</f>
        <v>No List Price</v>
      </c>
      <c r="O375" s="15"/>
      <c r="P375" s="35" t="n">
        <v>20.4115384615385</v>
      </c>
      <c r="Q375" s="22" t="n">
        <f aca="false">IF(AND(ISNUMBER(K375),ISNUMBER(P375),N(P375)&gt;0),K375/P375-1,"")</f>
        <v>-0.564462031279442</v>
      </c>
      <c r="R375" s="15" t="s">
        <v>512</v>
      </c>
      <c r="S375" s="37" t="n">
        <v>25636</v>
      </c>
      <c r="T375" s="37" t="n">
        <v>220</v>
      </c>
      <c r="U375" s="38" t="n">
        <f aca="false">IF(AND(ISNUMBER(K375),ISNUMBER(T375)),K375*T375*52/12,"")</f>
        <v>8475.13333333333</v>
      </c>
      <c r="V375" s="15" t="n">
        <v>4.5</v>
      </c>
      <c r="W375" s="37" t="n">
        <v>28100</v>
      </c>
      <c r="X375" s="39" t="n">
        <v>46307</v>
      </c>
      <c r="Y375" s="15"/>
      <c r="Z375" s="40"/>
      <c r="AA375" s="41" t="str">
        <f aca="false">IF(ISNUMBER(Z375),(DATE(2026,10,13)-Z375)/365,"")</f>
        <v/>
      </c>
      <c r="AB375" s="37"/>
      <c r="AC375" s="15"/>
      <c r="AD375" s="15"/>
      <c r="AE375" s="15"/>
      <c r="AF375" s="42"/>
      <c r="AG375" s="42"/>
      <c r="AH375" s="15"/>
      <c r="AI375" s="37"/>
      <c r="AJ375" s="37"/>
      <c r="AK375" s="15" t="s">
        <v>326</v>
      </c>
      <c r="AL375" s="43" t="n">
        <v>362.6</v>
      </c>
      <c r="AM375" s="43" t="n">
        <v>266</v>
      </c>
      <c r="AN375" s="25" t="n">
        <f aca="false">IF(AND(ISNUMBER(AM375),ISNUMBER(AL375),AL375&gt;=5),AM375/AL375,"")</f>
        <v>0.733590733590734</v>
      </c>
      <c r="AO375" s="43" t="n">
        <v>29.1</v>
      </c>
      <c r="AP375" s="43" t="n">
        <v>42.2</v>
      </c>
      <c r="AQ375" s="25" t="n">
        <f aca="false">IF(AND(ISNUMBER(AP375),ISNUMBER(AO375),AO375&gt;=5),AP375/AO375,"")</f>
        <v>1.45017182130584</v>
      </c>
      <c r="AR375" s="43" t="n">
        <v>359.2</v>
      </c>
      <c r="AS375" s="43" t="n">
        <v>220.8</v>
      </c>
      <c r="AT375" s="22" t="n">
        <f aca="false">IF(AND(ISNUMBER(AS375),ISNUMBER(AR375),AR375&gt;0),AS375/AR375-1,"")</f>
        <v>-0.385300668151448</v>
      </c>
      <c r="AU375" s="44"/>
      <c r="AV375" s="44"/>
      <c r="AW375" s="44"/>
      <c r="AX375" s="44"/>
      <c r="AY375" s="44"/>
      <c r="AZ375" s="45"/>
      <c r="BA375" s="45"/>
      <c r="BB375" s="46"/>
      <c r="BC375" s="46"/>
      <c r="BD375" s="23" t="str">
        <f aca="false">IF(AND(ISNUMBER(BB375),ISNUMBER(BC375),BB375&gt;0),1-BC375/BB375,"")</f>
        <v/>
      </c>
      <c r="BE375" s="47"/>
      <c r="BF375" s="48"/>
      <c r="BG375" s="48"/>
      <c r="BH375" s="27" t="str">
        <f aca="false">IF(AND(ISNUMBER(BF375),ISNUMBER(BG375),BG375&gt;0),BF375/BG375,"")</f>
        <v/>
      </c>
      <c r="BI375" s="48"/>
      <c r="BJ375" s="44"/>
      <c r="BK375" s="46"/>
      <c r="BL375" s="46"/>
      <c r="BM375" s="36" t="str">
        <f aca="false">IF(ISNUMBER(Q375),IF(Q375&lt;0,"YES","no"),"")</f>
        <v>YES</v>
      </c>
      <c r="BN375" s="36" t="str">
        <f aca="false">IFERROR(IF(AND(ISNUMBER(K375),ISNUMBER(INDEX('Lift Inputs'!$H:$H,MATCH(C375,'Lift Inputs'!$C:$C,0)))),IF(K375&lt;INDEX('Lift Inputs'!$H:$H,MATCH(C375,'Lift Inputs'!$C:$C,0)),"YES","no"),""),"")</f>
        <v/>
      </c>
      <c r="BO375" s="44"/>
    </row>
    <row r="376" customFormat="false" ht="15" hidden="false" customHeight="false" outlineLevel="0" collapsed="false">
      <c r="A376" s="15" t="s">
        <v>110</v>
      </c>
      <c r="B376" s="15" t="s">
        <v>111</v>
      </c>
      <c r="C376" s="15" t="n">
        <v>48</v>
      </c>
      <c r="D376" s="15" t="s">
        <v>221</v>
      </c>
      <c r="E376" s="15" t="n">
        <v>4</v>
      </c>
      <c r="F376" s="15" t="s">
        <v>316</v>
      </c>
      <c r="G376" s="15" t="s">
        <v>317</v>
      </c>
      <c r="H376" s="15" t="s">
        <v>318</v>
      </c>
      <c r="I376" s="15" t="s">
        <v>319</v>
      </c>
      <c r="J376" s="15" t="s">
        <v>176</v>
      </c>
      <c r="K376" s="35" t="n">
        <v>109.99</v>
      </c>
      <c r="L376" s="35"/>
      <c r="M376" s="23" t="str">
        <f aca="false">IF(AND(ISNUMBER(L376),ISNUMBER(K376),K376&gt;0),L376/K376-1,"")</f>
        <v/>
      </c>
      <c r="N376" s="36" t="str">
        <f aca="false">IF(M376="","No List Price",IF(M376&lt;=0,"At/below price",IF(M376&lt;=0.12,"&lt;=12% (STR zone)",IF(M376&lt;=0.25,"12-25%","&gt;25% (likely ignored)"))))</f>
        <v>No List Price</v>
      </c>
      <c r="O376" s="15" t="s">
        <v>320</v>
      </c>
      <c r="P376" s="35" t="n">
        <v>39.7</v>
      </c>
      <c r="Q376" s="22" t="n">
        <f aca="false">IF(AND(ISNUMBER(K376),ISNUMBER(P376),N(P376)&gt;0),K376/P376-1,"")</f>
        <v>1.77052896725441</v>
      </c>
      <c r="R376" s="15" t="s">
        <v>321</v>
      </c>
      <c r="S376" s="37" t="n">
        <v>304</v>
      </c>
      <c r="T376" s="37" t="n">
        <v>809</v>
      </c>
      <c r="U376" s="38" t="n">
        <f aca="false">IF(AND(ISNUMBER(K376),ISNUMBER(T376)),K376*T376*52/12,"")</f>
        <v>385588.276666667</v>
      </c>
      <c r="V376" s="15" t="n">
        <v>4.5</v>
      </c>
      <c r="W376" s="37" t="n">
        <v>21927</v>
      </c>
      <c r="X376" s="39" t="n">
        <v>46307</v>
      </c>
      <c r="Y376" s="15" t="n">
        <v>181</v>
      </c>
      <c r="Z376" s="40" t="n">
        <v>43281</v>
      </c>
      <c r="AA376" s="41" t="n">
        <f aca="false">IF(ISNUMBER(Z376),(DATE(2026,10,13)-Z376)/365,"")</f>
        <v>8.29315068493151</v>
      </c>
      <c r="AB376" s="37" t="n">
        <v>32356</v>
      </c>
      <c r="AC376" s="15" t="s">
        <v>313</v>
      </c>
      <c r="AD376" s="15" t="n">
        <v>2</v>
      </c>
      <c r="AE376" s="15" t="s">
        <v>314</v>
      </c>
      <c r="AF376" s="42" t="n">
        <v>0</v>
      </c>
      <c r="AG376" s="42" t="n">
        <v>0</v>
      </c>
      <c r="AH376" s="15" t="n">
        <v>268</v>
      </c>
      <c r="AI376" s="37" t="n">
        <v>2565055</v>
      </c>
      <c r="AJ376" s="37" t="n">
        <v>8283</v>
      </c>
      <c r="AK376" s="15" t="s">
        <v>315</v>
      </c>
      <c r="AL376" s="43" t="n">
        <v>556.9</v>
      </c>
      <c r="AM376" s="43" t="n">
        <v>657.2</v>
      </c>
      <c r="AN376" s="25" t="n">
        <f aca="false">IF(AND(ISNUMBER(AM376),ISNUMBER(AL376),AL376&gt;=5),AM376/AL376,"")</f>
        <v>1.18010414796193</v>
      </c>
      <c r="AO376" s="43" t="n">
        <v>102</v>
      </c>
      <c r="AP376" s="43" t="n">
        <v>151.8</v>
      </c>
      <c r="AQ376" s="25" t="n">
        <f aca="false">IF(AND(ISNUMBER(AP376),ISNUMBER(AO376),AO376&gt;=5),AP376/AO376,"")</f>
        <v>1.48823529411765</v>
      </c>
      <c r="AR376" s="43" t="n">
        <v>259.8</v>
      </c>
      <c r="AS376" s="43" t="n">
        <v>667.9</v>
      </c>
      <c r="AT376" s="22" t="n">
        <f aca="false">IF(AND(ISNUMBER(AS376),ISNUMBER(AR376),AR376&gt;0),AS376/AR376-1,"")</f>
        <v>1.57082371054657</v>
      </c>
      <c r="AU376" s="44"/>
      <c r="AV376" s="44"/>
      <c r="AW376" s="44"/>
      <c r="AX376" s="44"/>
      <c r="AY376" s="44"/>
      <c r="AZ376" s="45"/>
      <c r="BA376" s="45"/>
      <c r="BB376" s="46"/>
      <c r="BC376" s="46"/>
      <c r="BD376" s="23" t="str">
        <f aca="false">IF(AND(ISNUMBER(BB376),ISNUMBER(BC376),BB376&gt;0),1-BC376/BB376,"")</f>
        <v/>
      </c>
      <c r="BE376" s="47"/>
      <c r="BF376" s="48"/>
      <c r="BG376" s="48"/>
      <c r="BH376" s="27" t="str">
        <f aca="false">IF(AND(ISNUMBER(BF376),ISNUMBER(BG376),BG376&gt;0),BF376/BG376,"")</f>
        <v/>
      </c>
      <c r="BI376" s="48"/>
      <c r="BJ376" s="44"/>
      <c r="BK376" s="46"/>
      <c r="BL376" s="46"/>
      <c r="BM376" s="36" t="str">
        <f aca="false">IF(ISNUMBER(Q376),IF(Q376&lt;0,"YES","no"),"")</f>
        <v>no</v>
      </c>
      <c r="BN376" s="36" t="str">
        <f aca="false">IFERROR(IF(AND(ISNUMBER(K376),ISNUMBER(INDEX('Lift Inputs'!$H:$H,MATCH(C376,'Lift Inputs'!$C:$C,0)))),IF(K376&lt;INDEX('Lift Inputs'!$H:$H,MATCH(C376,'Lift Inputs'!$C:$C,0)),"YES","no"),""),"")</f>
        <v/>
      </c>
      <c r="BO376" s="44"/>
    </row>
    <row r="377" customFormat="false" ht="15" hidden="false" customHeight="false" outlineLevel="0" collapsed="false">
      <c r="A377" s="15" t="s">
        <v>110</v>
      </c>
      <c r="B377" s="15" t="s">
        <v>111</v>
      </c>
      <c r="C377" s="15" t="n">
        <v>48</v>
      </c>
      <c r="D377" s="15" t="s">
        <v>221</v>
      </c>
      <c r="E377" s="15" t="n">
        <v>27</v>
      </c>
      <c r="F377" s="15" t="s">
        <v>322</v>
      </c>
      <c r="G377" s="15" t="s">
        <v>323</v>
      </c>
      <c r="H377" s="15" t="s">
        <v>324</v>
      </c>
      <c r="I377" s="15" t="s">
        <v>325</v>
      </c>
      <c r="J377" s="15" t="s">
        <v>176</v>
      </c>
      <c r="K377" s="35" t="n">
        <v>79.99</v>
      </c>
      <c r="L377" s="35"/>
      <c r="M377" s="23" t="str">
        <f aca="false">IF(AND(ISNUMBER(L377),ISNUMBER(K377),K377&gt;0),L377/K377-1,"")</f>
        <v/>
      </c>
      <c r="N377" s="36" t="str">
        <f aca="false">IF(M377="","No List Price",IF(M377&lt;=0,"At/below price",IF(M377&lt;=0.12,"&lt;=12% (STR zone)",IF(M377&lt;=0.25,"12-25%","&gt;25% (likely ignored)"))))</f>
        <v>No List Price</v>
      </c>
      <c r="O377" s="15" t="s">
        <v>311</v>
      </c>
      <c r="P377" s="35" t="n">
        <v>40.65</v>
      </c>
      <c r="Q377" s="22" t="n">
        <f aca="false">IF(AND(ISNUMBER(K377),ISNUMBER(P377),N(P377)&gt;0),K377/P377-1,"")</f>
        <v>0.967773677736777</v>
      </c>
      <c r="R377" s="15" t="s">
        <v>312</v>
      </c>
      <c r="S377" s="37" t="n">
        <v>2984</v>
      </c>
      <c r="T377" s="37" t="n">
        <v>347</v>
      </c>
      <c r="U377" s="38" t="n">
        <f aca="false">IF(AND(ISNUMBER(K377),ISNUMBER(T377)),K377*T377*52/12,"")</f>
        <v>120278.296666667</v>
      </c>
      <c r="V377" s="15" t="n">
        <v>4.4</v>
      </c>
      <c r="W377" s="37" t="n">
        <v>37179</v>
      </c>
      <c r="X377" s="39" t="n">
        <v>46307</v>
      </c>
      <c r="Y377" s="15" t="n">
        <v>61</v>
      </c>
      <c r="Z377" s="40" t="n">
        <v>42729</v>
      </c>
      <c r="AA377" s="41" t="n">
        <f aca="false">IF(ISNUMBER(Z377),(DATE(2026,10,13)-Z377)/365,"")</f>
        <v>9.80547945205479</v>
      </c>
      <c r="AB377" s="37" t="n">
        <v>8203</v>
      </c>
      <c r="AC377" s="15" t="s">
        <v>313</v>
      </c>
      <c r="AD377" s="15" t="n">
        <v>2</v>
      </c>
      <c r="AE377" s="15" t="s">
        <v>314</v>
      </c>
      <c r="AF377" s="42" t="n">
        <v>0.00210970464135021</v>
      </c>
      <c r="AG377" s="42" t="n">
        <v>0</v>
      </c>
      <c r="AH377" s="15" t="n">
        <v>382</v>
      </c>
      <c r="AI377" s="37" t="n">
        <v>451969</v>
      </c>
      <c r="AJ377" s="37" t="n">
        <v>4094</v>
      </c>
      <c r="AK377" s="15" t="s">
        <v>326</v>
      </c>
      <c r="AL377" s="43" t="n">
        <v>263.5</v>
      </c>
      <c r="AM377" s="43" t="n">
        <v>474.2</v>
      </c>
      <c r="AN377" s="25" t="n">
        <f aca="false">IF(AND(ISNUMBER(AM377),ISNUMBER(AL377),AL377&gt;=5),AM377/AL377,"")</f>
        <v>1.79962049335863</v>
      </c>
      <c r="AO377" s="43" t="n">
        <v>24.4</v>
      </c>
      <c r="AP377" s="43" t="n">
        <v>31</v>
      </c>
      <c r="AQ377" s="25" t="n">
        <f aca="false">IF(AND(ISNUMBER(AP377),ISNUMBER(AO377),AO377&gt;=5),AP377/AO377,"")</f>
        <v>1.27049180327869</v>
      </c>
      <c r="AR377" s="43" t="n">
        <v>372.7</v>
      </c>
      <c r="AS377" s="43" t="n">
        <v>374.5</v>
      </c>
      <c r="AT377" s="22" t="n">
        <f aca="false">IF(AND(ISNUMBER(AS377),ISNUMBER(AR377),AR377&gt;0),AS377/AR377-1,"")</f>
        <v>0.00482962167963508</v>
      </c>
      <c r="AU377" s="44"/>
      <c r="AV377" s="44"/>
      <c r="AW377" s="44"/>
      <c r="AX377" s="44"/>
      <c r="AY377" s="44"/>
      <c r="AZ377" s="45"/>
      <c r="BA377" s="45"/>
      <c r="BB377" s="46"/>
      <c r="BC377" s="46"/>
      <c r="BD377" s="23" t="str">
        <f aca="false">IF(AND(ISNUMBER(BB377),ISNUMBER(BC377),BB377&gt;0),1-BC377/BB377,"")</f>
        <v/>
      </c>
      <c r="BE377" s="47"/>
      <c r="BF377" s="48"/>
      <c r="BG377" s="48"/>
      <c r="BH377" s="27" t="str">
        <f aca="false">IF(AND(ISNUMBER(BF377),ISNUMBER(BG377),BG377&gt;0),BF377/BG377,"")</f>
        <v/>
      </c>
      <c r="BI377" s="48"/>
      <c r="BJ377" s="44"/>
      <c r="BK377" s="46"/>
      <c r="BL377" s="46"/>
      <c r="BM377" s="36" t="str">
        <f aca="false">IF(ISNUMBER(Q377),IF(Q377&lt;0,"YES","no"),"")</f>
        <v>no</v>
      </c>
      <c r="BN377" s="36" t="str">
        <f aca="false">IFERROR(IF(AND(ISNUMBER(K377),ISNUMBER(INDEX('Lift Inputs'!$H:$H,MATCH(C377,'Lift Inputs'!$C:$C,0)))),IF(K377&lt;INDEX('Lift Inputs'!$H:$H,MATCH(C377,'Lift Inputs'!$C:$C,0)),"YES","no"),""),"")</f>
        <v/>
      </c>
      <c r="BO377" s="44"/>
    </row>
    <row r="378" customFormat="false" ht="15" hidden="false" customHeight="false" outlineLevel="0" collapsed="false">
      <c r="A378" s="15" t="s">
        <v>110</v>
      </c>
      <c r="B378" s="15" t="s">
        <v>111</v>
      </c>
      <c r="C378" s="15" t="n">
        <v>48</v>
      </c>
      <c r="D378" s="15" t="s">
        <v>221</v>
      </c>
      <c r="E378" s="15" t="n">
        <v>1813</v>
      </c>
      <c r="F378" s="15" t="s">
        <v>850</v>
      </c>
      <c r="G378" s="15" t="s">
        <v>851</v>
      </c>
      <c r="H378" s="15" t="s">
        <v>852</v>
      </c>
      <c r="I378" s="15" t="s">
        <v>384</v>
      </c>
      <c r="J378" s="15" t="s">
        <v>176</v>
      </c>
      <c r="K378" s="35" t="n">
        <v>23.99</v>
      </c>
      <c r="L378" s="35"/>
      <c r="M378" s="23" t="str">
        <f aca="false">IF(AND(ISNUMBER(L378),ISNUMBER(K378),K378&gt;0),L378/K378-1,"")</f>
        <v/>
      </c>
      <c r="N378" s="36" t="str">
        <f aca="false">IF(M378="","No List Price",IF(M378&lt;=0,"At/below price",IF(M378&lt;=0.12,"&lt;=12% (STR zone)",IF(M378&lt;=0.25,"12-25%","&gt;25% (likely ignored)"))))</f>
        <v>No List Price</v>
      </c>
      <c r="O378" s="15"/>
      <c r="P378" s="35" t="n">
        <v>40.65</v>
      </c>
      <c r="Q378" s="22" t="n">
        <f aca="false">IF(AND(ISNUMBER(K378),ISNUMBER(P378),N(P378)&gt;0),K378/P378-1,"")</f>
        <v>-0.409840098400984</v>
      </c>
      <c r="R378" s="15" t="s">
        <v>353</v>
      </c>
      <c r="S378" s="37" t="n">
        <v>9402</v>
      </c>
      <c r="T378" s="37" t="n">
        <v>92</v>
      </c>
      <c r="U378" s="38" t="n">
        <f aca="false">IF(AND(ISNUMBER(K378),ISNUMBER(T378)),K378*T378*52/12,"")</f>
        <v>9564.01333333333</v>
      </c>
      <c r="V378" s="15" t="n">
        <v>4.6</v>
      </c>
      <c r="W378" s="37" t="n">
        <v>13223</v>
      </c>
      <c r="X378" s="39" t="n">
        <v>46307</v>
      </c>
      <c r="Y378" s="15"/>
      <c r="Z378" s="40"/>
      <c r="AA378" s="41" t="str">
        <f aca="false">IF(ISNUMBER(Z378),(DATE(2026,10,13)-Z378)/365,"")</f>
        <v/>
      </c>
      <c r="AB378" s="37"/>
      <c r="AC378" s="15"/>
      <c r="AD378" s="15"/>
      <c r="AE378" s="15"/>
      <c r="AF378" s="42"/>
      <c r="AG378" s="42"/>
      <c r="AH378" s="15"/>
      <c r="AI378" s="37" t="n">
        <v>80103</v>
      </c>
      <c r="AJ378" s="37" t="n">
        <v>2211</v>
      </c>
      <c r="AK378" s="15" t="s">
        <v>531</v>
      </c>
      <c r="AL378" s="43" t="n">
        <v>92.9</v>
      </c>
      <c r="AM378" s="43" t="n">
        <v>114.8</v>
      </c>
      <c r="AN378" s="25" t="n">
        <f aca="false">IF(AND(ISNUMBER(AM378),ISNUMBER(AL378),AL378&gt;=5),AM378/AL378,"")</f>
        <v>1.23573735199139</v>
      </c>
      <c r="AO378" s="43" t="n">
        <v>4.9</v>
      </c>
      <c r="AP378" s="43" t="n">
        <v>6.5</v>
      </c>
      <c r="AQ378" s="25" t="str">
        <f aca="false">IF(AND(ISNUMBER(AP378),ISNUMBER(AO378),AO378&gt;=5),AP378/AO378,"")</f>
        <v/>
      </c>
      <c r="AR378" s="43" t="n">
        <v>112.4</v>
      </c>
      <c r="AS378" s="43" t="n">
        <v>96.7</v>
      </c>
      <c r="AT378" s="22" t="n">
        <f aca="false">IF(AND(ISNUMBER(AS378),ISNUMBER(AR378),AR378&gt;0),AS378/AR378-1,"")</f>
        <v>-0.139679715302491</v>
      </c>
      <c r="AU378" s="44"/>
      <c r="AV378" s="44"/>
      <c r="AW378" s="44"/>
      <c r="AX378" s="44"/>
      <c r="AY378" s="44"/>
      <c r="AZ378" s="45"/>
      <c r="BA378" s="45"/>
      <c r="BB378" s="46"/>
      <c r="BC378" s="46"/>
      <c r="BD378" s="23" t="str">
        <f aca="false">IF(AND(ISNUMBER(BB378),ISNUMBER(BC378),BB378&gt;0),1-BC378/BB378,"")</f>
        <v/>
      </c>
      <c r="BE378" s="47"/>
      <c r="BF378" s="48"/>
      <c r="BG378" s="48"/>
      <c r="BH378" s="27" t="str">
        <f aca="false">IF(AND(ISNUMBER(BF378),ISNUMBER(BG378),BG378&gt;0),BF378/BG378,"")</f>
        <v/>
      </c>
      <c r="BI378" s="48"/>
      <c r="BJ378" s="44"/>
      <c r="BK378" s="46"/>
      <c r="BL378" s="46"/>
      <c r="BM378" s="36" t="str">
        <f aca="false">IF(ISNUMBER(Q378),IF(Q378&lt;0,"YES","no"),"")</f>
        <v>YES</v>
      </c>
      <c r="BN378" s="36" t="str">
        <f aca="false">IFERROR(IF(AND(ISNUMBER(K378),ISNUMBER(INDEX('Lift Inputs'!$H:$H,MATCH(C378,'Lift Inputs'!$C:$C,0)))),IF(K378&lt;INDEX('Lift Inputs'!$H:$H,MATCH(C378,'Lift Inputs'!$C:$C,0)),"YES","no"),""),"")</f>
        <v/>
      </c>
      <c r="BO378" s="44"/>
    </row>
    <row r="379" customFormat="false" ht="15" hidden="false" customHeight="false" outlineLevel="0" collapsed="false">
      <c r="A379" s="15" t="s">
        <v>110</v>
      </c>
      <c r="B379" s="15" t="s">
        <v>111</v>
      </c>
      <c r="C379" s="15" t="n">
        <v>48</v>
      </c>
      <c r="D379" s="15" t="s">
        <v>221</v>
      </c>
      <c r="E379" s="15" t="n">
        <v>1814</v>
      </c>
      <c r="F379" s="15" t="s">
        <v>358</v>
      </c>
      <c r="G379" s="15" t="s">
        <v>359</v>
      </c>
      <c r="H379" s="15" t="s">
        <v>360</v>
      </c>
      <c r="I379" s="15" t="s">
        <v>361</v>
      </c>
      <c r="J379" s="15" t="s">
        <v>176</v>
      </c>
      <c r="K379" s="35" t="n">
        <v>67.98</v>
      </c>
      <c r="L379" s="35" t="n">
        <v>99.99</v>
      </c>
      <c r="M379" s="23" t="n">
        <f aca="false">IF(AND(ISNUMBER(L379),ISNUMBER(K379),K379&gt;0),L379/K379-1,"")</f>
        <v>0.470873786407767</v>
      </c>
      <c r="N379" s="36" t="str">
        <f aca="false">IF(M379="","No List Price",IF(M379&lt;=0,"At/below price",IF(M379&lt;=0.12,"&lt;=12% (STR zone)",IF(M379&lt;=0.25,"12-25%","&gt;25% (likely ignored)"))))</f>
        <v>&gt;25% (likely ignored)</v>
      </c>
      <c r="O379" s="15" t="s">
        <v>320</v>
      </c>
      <c r="P379" s="35" t="n">
        <v>39.7</v>
      </c>
      <c r="Q379" s="22" t="n">
        <f aca="false">IF(AND(ISNUMBER(K379),ISNUMBER(P379),N(P379)&gt;0),K379/P379-1,"")</f>
        <v>0.712342569269521</v>
      </c>
      <c r="R379" s="15" t="s">
        <v>321</v>
      </c>
      <c r="S379" s="37" t="n">
        <v>14479</v>
      </c>
      <c r="T379" s="37" t="n">
        <v>81</v>
      </c>
      <c r="U379" s="38" t="n">
        <f aca="false">IF(AND(ISNUMBER(K379),ISNUMBER(T379)),K379*T379*52/12,"")</f>
        <v>23860.98</v>
      </c>
      <c r="V379" s="15" t="n">
        <v>4.4</v>
      </c>
      <c r="W379" s="37" t="n">
        <v>4095</v>
      </c>
      <c r="X379" s="39" t="n">
        <v>46307</v>
      </c>
      <c r="Y379" s="15" t="n">
        <v>40</v>
      </c>
      <c r="Z379" s="40" t="n">
        <v>43776</v>
      </c>
      <c r="AA379" s="41" t="n">
        <f aca="false">IF(ISNUMBER(Z379),(DATE(2026,10,13)-Z379)/365,"")</f>
        <v>6.93698630136986</v>
      </c>
      <c r="AB379" s="37" t="n">
        <v>2824</v>
      </c>
      <c r="AC379" s="15" t="s">
        <v>313</v>
      </c>
      <c r="AD379" s="15" t="n">
        <v>1</v>
      </c>
      <c r="AE379" s="15" t="s">
        <v>314</v>
      </c>
      <c r="AF379" s="42" t="n">
        <v>0</v>
      </c>
      <c r="AG379" s="42" t="n">
        <v>0</v>
      </c>
      <c r="AH379" s="15" t="n">
        <v>158</v>
      </c>
      <c r="AI379" s="37" t="n">
        <v>67699</v>
      </c>
      <c r="AJ379" s="37" t="n">
        <v>1687</v>
      </c>
      <c r="AK379" s="15" t="s">
        <v>315</v>
      </c>
      <c r="AL379" s="43" t="n">
        <v>83.8</v>
      </c>
      <c r="AM379" s="43" t="n">
        <v>85.2</v>
      </c>
      <c r="AN379" s="25" t="n">
        <f aca="false">IF(AND(ISNUMBER(AM379),ISNUMBER(AL379),AL379&gt;=5),AM379/AL379,"")</f>
        <v>1.01670644391408</v>
      </c>
      <c r="AO379" s="43" t="n">
        <v>10.4</v>
      </c>
      <c r="AP379" s="43" t="n">
        <v>24</v>
      </c>
      <c r="AQ379" s="25" t="n">
        <f aca="false">IF(AND(ISNUMBER(AP379),ISNUMBER(AO379),AO379&gt;=5),AP379/AO379,"")</f>
        <v>2.30769230769231</v>
      </c>
      <c r="AR379" s="43" t="n">
        <v>64.5</v>
      </c>
      <c r="AS379" s="43" t="n">
        <v>46</v>
      </c>
      <c r="AT379" s="22" t="n">
        <f aca="false">IF(AND(ISNUMBER(AS379),ISNUMBER(AR379),AR379&gt;0),AS379/AR379-1,"")</f>
        <v>-0.286821705426357</v>
      </c>
      <c r="AU379" s="44"/>
      <c r="AV379" s="44"/>
      <c r="AW379" s="44"/>
      <c r="AX379" s="44"/>
      <c r="AY379" s="44"/>
      <c r="AZ379" s="45"/>
      <c r="BA379" s="45"/>
      <c r="BB379" s="46"/>
      <c r="BC379" s="46"/>
      <c r="BD379" s="23" t="str">
        <f aca="false">IF(AND(ISNUMBER(BB379),ISNUMBER(BC379),BB379&gt;0),1-BC379/BB379,"")</f>
        <v/>
      </c>
      <c r="BE379" s="47"/>
      <c r="BF379" s="48"/>
      <c r="BG379" s="48"/>
      <c r="BH379" s="27" t="str">
        <f aca="false">IF(AND(ISNUMBER(BF379),ISNUMBER(BG379),BG379&gt;0),BF379/BG379,"")</f>
        <v/>
      </c>
      <c r="BI379" s="48"/>
      <c r="BJ379" s="44"/>
      <c r="BK379" s="46"/>
      <c r="BL379" s="46"/>
      <c r="BM379" s="36" t="str">
        <f aca="false">IF(ISNUMBER(Q379),IF(Q379&lt;0,"YES","no"),"")</f>
        <v>no</v>
      </c>
      <c r="BN379" s="36" t="str">
        <f aca="false">IFERROR(IF(AND(ISNUMBER(K379),ISNUMBER(INDEX('Lift Inputs'!$H:$H,MATCH(C379,'Lift Inputs'!$C:$C,0)))),IF(K379&lt;INDEX('Lift Inputs'!$H:$H,MATCH(C379,'Lift Inputs'!$C:$C,0)),"YES","no"),""),"")</f>
        <v/>
      </c>
      <c r="BO379" s="44"/>
    </row>
    <row r="380" customFormat="false" ht="15" hidden="false" customHeight="false" outlineLevel="0" collapsed="false">
      <c r="A380" s="15" t="s">
        <v>110</v>
      </c>
      <c r="B380" s="15" t="s">
        <v>111</v>
      </c>
      <c r="C380" s="15" t="n">
        <v>48</v>
      </c>
      <c r="D380" s="15" t="s">
        <v>221</v>
      </c>
      <c r="E380" s="15" t="n">
        <v>29</v>
      </c>
      <c r="F380" s="15" t="s">
        <v>358</v>
      </c>
      <c r="G380" s="15" t="s">
        <v>403</v>
      </c>
      <c r="H380" s="15" t="s">
        <v>404</v>
      </c>
      <c r="I380" s="15" t="s">
        <v>352</v>
      </c>
      <c r="J380" s="15" t="s">
        <v>176</v>
      </c>
      <c r="K380" s="35" t="n">
        <v>37.99</v>
      </c>
      <c r="L380" s="35"/>
      <c r="M380" s="23" t="str">
        <f aca="false">IF(AND(ISNUMBER(L380),ISNUMBER(K380),K380&gt;0),L380/K380-1,"")</f>
        <v/>
      </c>
      <c r="N380" s="36" t="str">
        <f aca="false">IF(M380="","No List Price",IF(M380&lt;=0,"At/below price",IF(M380&lt;=0.12,"&lt;=12% (STR zone)",IF(M380&lt;=0.25,"12-25%","&gt;25% (likely ignored)"))))</f>
        <v>No List Price</v>
      </c>
      <c r="O380" s="15"/>
      <c r="P380" s="35" t="n">
        <v>40.65</v>
      </c>
      <c r="Q380" s="22" t="n">
        <f aca="false">IF(AND(ISNUMBER(K380),ISNUMBER(P380),N(P380)&gt;0),K380/P380-1,"")</f>
        <v>-0.0654366543665436</v>
      </c>
      <c r="R380" s="15" t="s">
        <v>353</v>
      </c>
      <c r="S380" s="37" t="n">
        <v>2541068</v>
      </c>
      <c r="T380" s="37" t="n">
        <v>5</v>
      </c>
      <c r="U380" s="38" t="n">
        <f aca="false">IF(AND(ISNUMBER(K380),ISNUMBER(T380)),K380*T380*52/12,"")</f>
        <v>823.116666666667</v>
      </c>
      <c r="V380" s="15" t="n">
        <v>4.4</v>
      </c>
      <c r="W380" s="37" t="n">
        <v>30</v>
      </c>
      <c r="X380" s="39" t="n">
        <v>46307</v>
      </c>
      <c r="Y380" s="15"/>
      <c r="Z380" s="40"/>
      <c r="AA380" s="41" t="str">
        <f aca="false">IF(ISNUMBER(Z380),(DATE(2026,10,13)-Z380)/365,"")</f>
        <v/>
      </c>
      <c r="AB380" s="37"/>
      <c r="AC380" s="15"/>
      <c r="AD380" s="15"/>
      <c r="AE380" s="15"/>
      <c r="AF380" s="42"/>
      <c r="AG380" s="42"/>
      <c r="AH380" s="15"/>
      <c r="AI380" s="37"/>
      <c r="AJ380" s="37"/>
      <c r="AK380" s="15"/>
      <c r="AL380" s="43"/>
      <c r="AM380" s="43"/>
      <c r="AN380" s="25" t="str">
        <f aca="false">IF(AND(ISNUMBER(AM380),ISNUMBER(AL380),AL380&gt;=5),AM380/AL380,"")</f>
        <v/>
      </c>
      <c r="AO380" s="43"/>
      <c r="AP380" s="43"/>
      <c r="AQ380" s="25" t="str">
        <f aca="false">IF(AND(ISNUMBER(AP380),ISNUMBER(AO380),AO380&gt;=5),AP380/AO380,"")</f>
        <v/>
      </c>
      <c r="AR380" s="43"/>
      <c r="AS380" s="43"/>
      <c r="AT380" s="22" t="str">
        <f aca="false">IF(AND(ISNUMBER(AS380),ISNUMBER(AR380),AR380&gt;0),AS380/AR380-1,"")</f>
        <v/>
      </c>
      <c r="AU380" s="44"/>
      <c r="AV380" s="44"/>
      <c r="AW380" s="44"/>
      <c r="AX380" s="44"/>
      <c r="AY380" s="44"/>
      <c r="AZ380" s="45"/>
      <c r="BA380" s="45"/>
      <c r="BB380" s="46"/>
      <c r="BC380" s="46"/>
      <c r="BD380" s="23" t="str">
        <f aca="false">IF(AND(ISNUMBER(BB380),ISNUMBER(BC380),BB380&gt;0),1-BC380/BB380,"")</f>
        <v/>
      </c>
      <c r="BE380" s="47"/>
      <c r="BF380" s="48"/>
      <c r="BG380" s="48"/>
      <c r="BH380" s="27" t="str">
        <f aca="false">IF(AND(ISNUMBER(BF380),ISNUMBER(BG380),BG380&gt;0),BF380/BG380,"")</f>
        <v/>
      </c>
      <c r="BI380" s="48"/>
      <c r="BJ380" s="44"/>
      <c r="BK380" s="46"/>
      <c r="BL380" s="46"/>
      <c r="BM380" s="36" t="str">
        <f aca="false">IF(ISNUMBER(Q380),IF(Q380&lt;0,"YES","no"),"")</f>
        <v>YES</v>
      </c>
      <c r="BN380" s="36" t="str">
        <f aca="false">IFERROR(IF(AND(ISNUMBER(K380),ISNUMBER(INDEX('Lift Inputs'!$H:$H,MATCH(C380,'Lift Inputs'!$C:$C,0)))),IF(K380&lt;INDEX('Lift Inputs'!$H:$H,MATCH(C380,'Lift Inputs'!$C:$C,0)),"YES","no"),""),"")</f>
        <v/>
      </c>
      <c r="BO380" s="44"/>
    </row>
    <row r="381" customFormat="false" ht="15" hidden="false" customHeight="false" outlineLevel="0" collapsed="false">
      <c r="A381" s="15" t="s">
        <v>110</v>
      </c>
      <c r="B381" s="15" t="s">
        <v>111</v>
      </c>
      <c r="C381" s="15" t="n">
        <v>48</v>
      </c>
      <c r="D381" s="15" t="s">
        <v>221</v>
      </c>
      <c r="E381" s="15" t="n">
        <v>3</v>
      </c>
      <c r="F381" s="15" t="s">
        <v>341</v>
      </c>
      <c r="G381" s="15" t="s">
        <v>342</v>
      </c>
      <c r="H381" s="15" t="s">
        <v>343</v>
      </c>
      <c r="I381" s="15" t="s">
        <v>344</v>
      </c>
      <c r="J381" s="15" t="s">
        <v>177</v>
      </c>
      <c r="K381" s="35" t="n">
        <v>89.99</v>
      </c>
      <c r="L381" s="35"/>
      <c r="M381" s="23" t="str">
        <f aca="false">IF(AND(ISNUMBER(L381),ISNUMBER(K381),K381&gt;0),L381/K381-1,"")</f>
        <v/>
      </c>
      <c r="N381" s="36" t="str">
        <f aca="false">IF(M381="","No List Price",IF(M381&lt;=0,"At/below price",IF(M381&lt;=0.12,"&lt;=12% (STR zone)",IF(M381&lt;=0.25,"12-25%","&gt;25% (likely ignored)"))))</f>
        <v>No List Price</v>
      </c>
      <c r="O381" s="15" t="s">
        <v>311</v>
      </c>
      <c r="P381" s="35" t="n">
        <v>40.65</v>
      </c>
      <c r="Q381" s="22" t="n">
        <f aca="false">IF(AND(ISNUMBER(K381),ISNUMBER(P381),N(P381)&gt;0),K381/P381-1,"")</f>
        <v>1.21377613776138</v>
      </c>
      <c r="R381" s="15" t="s">
        <v>312</v>
      </c>
      <c r="S381" s="37" t="n">
        <v>6971</v>
      </c>
      <c r="T381" s="37" t="n">
        <v>104</v>
      </c>
      <c r="U381" s="38" t="n">
        <f aca="false">IF(AND(ISNUMBER(K381),ISNUMBER(T381)),K381*T381*52/12,"")</f>
        <v>40555.4933333333</v>
      </c>
      <c r="V381" s="15" t="n">
        <v>4.3</v>
      </c>
      <c r="W381" s="37" t="n">
        <v>2766</v>
      </c>
      <c r="X381" s="39" t="n">
        <v>46307</v>
      </c>
      <c r="Y381" s="15" t="n">
        <v>104</v>
      </c>
      <c r="Z381" s="40" t="n">
        <v>45649</v>
      </c>
      <c r="AA381" s="41" t="n">
        <f aca="false">IF(ISNUMBER(Z381),(DATE(2026,10,13)-Z381)/365,"")</f>
        <v>1.80547945205479</v>
      </c>
      <c r="AB381" s="37" t="n">
        <v>4777</v>
      </c>
      <c r="AC381" s="15" t="s">
        <v>313</v>
      </c>
      <c r="AD381" s="15" t="n">
        <v>1</v>
      </c>
      <c r="AE381" s="15" t="s">
        <v>345</v>
      </c>
      <c r="AF381" s="42" t="n">
        <v>0</v>
      </c>
      <c r="AG381" s="42" t="n">
        <v>0</v>
      </c>
      <c r="AH381" s="15" t="n">
        <v>190</v>
      </c>
      <c r="AI381" s="37" t="n">
        <v>407949</v>
      </c>
      <c r="AJ381" s="37" t="n">
        <v>2137</v>
      </c>
      <c r="AK381" s="15" t="s">
        <v>326</v>
      </c>
      <c r="AL381" s="43" t="n">
        <v>356.5</v>
      </c>
      <c r="AM381" s="43" t="n">
        <v>490</v>
      </c>
      <c r="AN381" s="25" t="n">
        <f aca="false">IF(AND(ISNUMBER(AM381),ISNUMBER(AL381),AL381&gt;=5),AM381/AL381,"")</f>
        <v>1.37447405329593</v>
      </c>
      <c r="AO381" s="43" t="n">
        <v>57.6</v>
      </c>
      <c r="AP381" s="43" t="n">
        <v>82.5</v>
      </c>
      <c r="AQ381" s="25" t="n">
        <f aca="false">IF(AND(ISNUMBER(AP381),ISNUMBER(AO381),AO381&gt;=5),AP381/AO381,"")</f>
        <v>1.43229166666667</v>
      </c>
      <c r="AR381" s="43" t="n">
        <v>239.9</v>
      </c>
      <c r="AS381" s="43" t="n">
        <v>571.4</v>
      </c>
      <c r="AT381" s="22" t="n">
        <f aca="false">IF(AND(ISNUMBER(AS381),ISNUMBER(AR381),AR381&gt;0),AS381/AR381-1,"")</f>
        <v>1.38182576073364</v>
      </c>
      <c r="AU381" s="44"/>
      <c r="AV381" s="44"/>
      <c r="AW381" s="44"/>
      <c r="AX381" s="44"/>
      <c r="AY381" s="44"/>
      <c r="AZ381" s="45"/>
      <c r="BA381" s="45"/>
      <c r="BB381" s="46"/>
      <c r="BC381" s="46"/>
      <c r="BD381" s="23" t="str">
        <f aca="false">IF(AND(ISNUMBER(BB381),ISNUMBER(BC381),BB381&gt;0),1-BC381/BB381,"")</f>
        <v/>
      </c>
      <c r="BE381" s="47"/>
      <c r="BF381" s="48"/>
      <c r="BG381" s="48"/>
      <c r="BH381" s="27" t="str">
        <f aca="false">IF(AND(ISNUMBER(BF381),ISNUMBER(BG381),BG381&gt;0),BF381/BG381,"")</f>
        <v/>
      </c>
      <c r="BI381" s="48"/>
      <c r="BJ381" s="44"/>
      <c r="BK381" s="46"/>
      <c r="BL381" s="46"/>
      <c r="BM381" s="36" t="str">
        <f aca="false">IF(ISNUMBER(Q381),IF(Q381&lt;0,"YES","no"),"")</f>
        <v>no</v>
      </c>
      <c r="BN381" s="36" t="str">
        <f aca="false">IFERROR(IF(AND(ISNUMBER(K381),ISNUMBER(INDEX('Lift Inputs'!$H:$H,MATCH(C381,'Lift Inputs'!$C:$C,0)))),IF(K381&lt;INDEX('Lift Inputs'!$H:$H,MATCH(C381,'Lift Inputs'!$C:$C,0)),"YES","no"),""),"")</f>
        <v/>
      </c>
      <c r="BO381" s="44"/>
    </row>
    <row r="382" customFormat="false" ht="15" hidden="false" customHeight="false" outlineLevel="0" collapsed="false">
      <c r="A382" s="15" t="s">
        <v>110</v>
      </c>
      <c r="B382" s="15" t="s">
        <v>111</v>
      </c>
      <c r="C382" s="15" t="n">
        <v>48</v>
      </c>
      <c r="D382" s="15" t="s">
        <v>221</v>
      </c>
      <c r="E382" s="15" t="n">
        <v>6</v>
      </c>
      <c r="F382" s="15" t="s">
        <v>307</v>
      </c>
      <c r="G382" s="15" t="s">
        <v>346</v>
      </c>
      <c r="H382" s="15" t="s">
        <v>347</v>
      </c>
      <c r="I382" s="15" t="s">
        <v>348</v>
      </c>
      <c r="J382" s="15" t="s">
        <v>177</v>
      </c>
      <c r="K382" s="35" t="n">
        <v>89.99</v>
      </c>
      <c r="L382" s="35" t="n">
        <v>119.99</v>
      </c>
      <c r="M382" s="23" t="n">
        <f aca="false">IF(AND(ISNUMBER(L382),ISNUMBER(K382),K382&gt;0),L382/K382-1,"")</f>
        <v>0.333370374486054</v>
      </c>
      <c r="N382" s="36" t="str">
        <f aca="false">IF(M382="","No List Price",IF(M382&lt;=0,"At/below price",IF(M382&lt;=0.12,"&lt;=12% (STR zone)",IF(M382&lt;=0.25,"12-25%","&gt;25% (likely ignored)"))))</f>
        <v>&gt;25% (likely ignored)</v>
      </c>
      <c r="O382" s="15" t="s">
        <v>311</v>
      </c>
      <c r="P382" s="35" t="n">
        <v>40.65</v>
      </c>
      <c r="Q382" s="22" t="n">
        <f aca="false">IF(AND(ISNUMBER(K382),ISNUMBER(P382),N(P382)&gt;0),K382/P382-1,"")</f>
        <v>1.21377613776138</v>
      </c>
      <c r="R382" s="15" t="s">
        <v>312</v>
      </c>
      <c r="S382" s="37" t="n">
        <v>8938</v>
      </c>
      <c r="T382" s="37" t="n">
        <v>104</v>
      </c>
      <c r="U382" s="38" t="n">
        <f aca="false">IF(AND(ISNUMBER(K382),ISNUMBER(T382)),K382*T382*52/12,"")</f>
        <v>40555.4933333333</v>
      </c>
      <c r="V382" s="15" t="n">
        <v>4.5</v>
      </c>
      <c r="W382" s="37" t="n">
        <v>588</v>
      </c>
      <c r="X382" s="39" t="n">
        <v>46307</v>
      </c>
      <c r="Y382" s="15" t="n">
        <v>39</v>
      </c>
      <c r="Z382" s="40" t="n">
        <v>45936</v>
      </c>
      <c r="AA382" s="41" t="n">
        <f aca="false">IF(ISNUMBER(Z382),(DATE(2026,10,13)-Z382)/365,"")</f>
        <v>1.01917808219178</v>
      </c>
      <c r="AB382" s="37" t="n">
        <v>4014</v>
      </c>
      <c r="AC382" s="15" t="s">
        <v>313</v>
      </c>
      <c r="AD382" s="15" t="n">
        <v>4</v>
      </c>
      <c r="AE382" s="15" t="s">
        <v>314</v>
      </c>
      <c r="AF382" s="42" t="n">
        <v>0</v>
      </c>
      <c r="AG382" s="42" t="n">
        <v>0</v>
      </c>
      <c r="AH382" s="15" t="n">
        <v>313</v>
      </c>
      <c r="AI382" s="37" t="n">
        <v>840292</v>
      </c>
      <c r="AJ382" s="37" t="n">
        <v>3961</v>
      </c>
      <c r="AK382" s="15" t="s">
        <v>326</v>
      </c>
      <c r="AL382" s="43" t="n">
        <v>279.8</v>
      </c>
      <c r="AM382" s="43" t="n">
        <v>493.8</v>
      </c>
      <c r="AN382" s="25" t="n">
        <f aca="false">IF(AND(ISNUMBER(AM382),ISNUMBER(AL382),AL382&gt;=5),AM382/AL382,"")</f>
        <v>1.76483202287348</v>
      </c>
      <c r="AO382" s="43" t="n">
        <v>320.1</v>
      </c>
      <c r="AP382" s="43" t="n">
        <v>534.8</v>
      </c>
      <c r="AQ382" s="25" t="n">
        <f aca="false">IF(AND(ISNUMBER(AP382),ISNUMBER(AO382),AO382&gt;=5),AP382/AO382,"")</f>
        <v>1.67072789753202</v>
      </c>
      <c r="AR382" s="43" t="n">
        <v>248.7</v>
      </c>
      <c r="AS382" s="43" t="n">
        <v>226.2</v>
      </c>
      <c r="AT382" s="22" t="n">
        <f aca="false">IF(AND(ISNUMBER(AS382),ISNUMBER(AR382),AR382&gt;0),AS382/AR382-1,"")</f>
        <v>-0.0904704463208685</v>
      </c>
      <c r="AU382" s="44"/>
      <c r="AV382" s="44"/>
      <c r="AW382" s="44"/>
      <c r="AX382" s="44"/>
      <c r="AY382" s="44"/>
      <c r="AZ382" s="45"/>
      <c r="BA382" s="45"/>
      <c r="BB382" s="46"/>
      <c r="BC382" s="46"/>
      <c r="BD382" s="23" t="str">
        <f aca="false">IF(AND(ISNUMBER(BB382),ISNUMBER(BC382),BB382&gt;0),1-BC382/BB382,"")</f>
        <v/>
      </c>
      <c r="BE382" s="47"/>
      <c r="BF382" s="48"/>
      <c r="BG382" s="48"/>
      <c r="BH382" s="27" t="str">
        <f aca="false">IF(AND(ISNUMBER(BF382),ISNUMBER(BG382),BG382&gt;0),BF382/BG382,"")</f>
        <v/>
      </c>
      <c r="BI382" s="48"/>
      <c r="BJ382" s="44"/>
      <c r="BK382" s="46"/>
      <c r="BL382" s="46"/>
      <c r="BM382" s="36" t="str">
        <f aca="false">IF(ISNUMBER(Q382),IF(Q382&lt;0,"YES","no"),"")</f>
        <v>no</v>
      </c>
      <c r="BN382" s="36" t="str">
        <f aca="false">IFERROR(IF(AND(ISNUMBER(K382),ISNUMBER(INDEX('Lift Inputs'!$H:$H,MATCH(C382,'Lift Inputs'!$C:$C,0)))),IF(K382&lt;INDEX('Lift Inputs'!$H:$H,MATCH(C382,'Lift Inputs'!$C:$C,0)),"YES","no"),""),"")</f>
        <v/>
      </c>
      <c r="BO382" s="44"/>
    </row>
    <row r="383" customFormat="false" ht="15" hidden="false" customHeight="false" outlineLevel="0" collapsed="false">
      <c r="A383" s="15" t="s">
        <v>110</v>
      </c>
      <c r="B383" s="15" t="s">
        <v>111</v>
      </c>
      <c r="C383" s="15" t="n">
        <v>48</v>
      </c>
      <c r="D383" s="15" t="s">
        <v>221</v>
      </c>
      <c r="E383" s="15" t="n">
        <v>1507</v>
      </c>
      <c r="F383" s="15" t="s">
        <v>349</v>
      </c>
      <c r="G383" s="15" t="s">
        <v>350</v>
      </c>
      <c r="H383" s="15" t="s">
        <v>351</v>
      </c>
      <c r="I383" s="15" t="s">
        <v>352</v>
      </c>
      <c r="J383" s="15" t="s">
        <v>177</v>
      </c>
      <c r="K383" s="35" t="n">
        <v>79.99</v>
      </c>
      <c r="L383" s="35"/>
      <c r="M383" s="23" t="str">
        <f aca="false">IF(AND(ISNUMBER(L383),ISNUMBER(K383),K383&gt;0),L383/K383-1,"")</f>
        <v/>
      </c>
      <c r="N383" s="36" t="str">
        <f aca="false">IF(M383="","No List Price",IF(M383&lt;=0,"At/below price",IF(M383&lt;=0.12,"&lt;=12% (STR zone)",IF(M383&lt;=0.25,"12-25%","&gt;25% (likely ignored)"))))</f>
        <v>No List Price</v>
      </c>
      <c r="O383" s="15"/>
      <c r="P383" s="35" t="n">
        <v>40.65</v>
      </c>
      <c r="Q383" s="22" t="n">
        <f aca="false">IF(AND(ISNUMBER(K383),ISNUMBER(P383),N(P383)&gt;0),K383/P383-1,"")</f>
        <v>0.967773677736777</v>
      </c>
      <c r="R383" s="15" t="s">
        <v>353</v>
      </c>
      <c r="S383" s="37" t="n">
        <v>7961</v>
      </c>
      <c r="T383" s="37" t="n">
        <v>104</v>
      </c>
      <c r="U383" s="38" t="n">
        <f aca="false">IF(AND(ISNUMBER(K383),ISNUMBER(T383)),K383*T383*52/12,"")</f>
        <v>36048.8266666667</v>
      </c>
      <c r="V383" s="15" t="n">
        <v>4.5</v>
      </c>
      <c r="W383" s="37" t="n">
        <v>3776</v>
      </c>
      <c r="X383" s="39" t="n">
        <v>46307</v>
      </c>
      <c r="Y383" s="15"/>
      <c r="Z383" s="40"/>
      <c r="AA383" s="41" t="str">
        <f aca="false">IF(ISNUMBER(Z383),(DATE(2026,10,13)-Z383)/365,"")</f>
        <v/>
      </c>
      <c r="AB383" s="37"/>
      <c r="AC383" s="15"/>
      <c r="AD383" s="15"/>
      <c r="AE383" s="15"/>
      <c r="AF383" s="42"/>
      <c r="AG383" s="42"/>
      <c r="AH383" s="15"/>
      <c r="AI383" s="37" t="n">
        <v>185157</v>
      </c>
      <c r="AJ383" s="37" t="n">
        <v>1447</v>
      </c>
      <c r="AK383" s="15" t="s">
        <v>326</v>
      </c>
      <c r="AL383" s="43" t="n">
        <v>295.1</v>
      </c>
      <c r="AM383" s="43" t="n">
        <v>388</v>
      </c>
      <c r="AN383" s="25" t="n">
        <f aca="false">IF(AND(ISNUMBER(AM383),ISNUMBER(AL383),AL383&gt;=5),AM383/AL383,"")</f>
        <v>1.31480853947814</v>
      </c>
      <c r="AO383" s="43" t="n">
        <v>1.1</v>
      </c>
      <c r="AP383" s="43" t="n">
        <v>0.5</v>
      </c>
      <c r="AQ383" s="25" t="str">
        <f aca="false">IF(AND(ISNUMBER(AP383),ISNUMBER(AO383),AO383&gt;=5),AP383/AO383,"")</f>
        <v/>
      </c>
      <c r="AR383" s="43" t="n">
        <v>254.1</v>
      </c>
      <c r="AS383" s="43" t="n">
        <v>411.3</v>
      </c>
      <c r="AT383" s="22" t="n">
        <f aca="false">IF(AND(ISNUMBER(AS383),ISNUMBER(AR383),AR383&gt;0),AS383/AR383-1,"")</f>
        <v>0.618654073199528</v>
      </c>
      <c r="AU383" s="44"/>
      <c r="AV383" s="44"/>
      <c r="AW383" s="44"/>
      <c r="AX383" s="44"/>
      <c r="AY383" s="44"/>
      <c r="AZ383" s="45"/>
      <c r="BA383" s="45"/>
      <c r="BB383" s="46"/>
      <c r="BC383" s="46"/>
      <c r="BD383" s="23" t="str">
        <f aca="false">IF(AND(ISNUMBER(BB383),ISNUMBER(BC383),BB383&gt;0),1-BC383/BB383,"")</f>
        <v/>
      </c>
      <c r="BE383" s="47"/>
      <c r="BF383" s="48"/>
      <c r="BG383" s="48"/>
      <c r="BH383" s="27" t="str">
        <f aca="false">IF(AND(ISNUMBER(BF383),ISNUMBER(BG383),BG383&gt;0),BF383/BG383,"")</f>
        <v/>
      </c>
      <c r="BI383" s="48"/>
      <c r="BJ383" s="44"/>
      <c r="BK383" s="46"/>
      <c r="BL383" s="46"/>
      <c r="BM383" s="36" t="str">
        <f aca="false">IF(ISNUMBER(Q383),IF(Q383&lt;0,"YES","no"),"")</f>
        <v>no</v>
      </c>
      <c r="BN383" s="36" t="str">
        <f aca="false">IFERROR(IF(AND(ISNUMBER(K383),ISNUMBER(INDEX('Lift Inputs'!$H:$H,MATCH(C383,'Lift Inputs'!$C:$C,0)))),IF(K383&lt;INDEX('Lift Inputs'!$H:$H,MATCH(C383,'Lift Inputs'!$C:$C,0)),"YES","no"),""),"")</f>
        <v/>
      </c>
      <c r="BO383" s="44"/>
    </row>
    <row r="384" customFormat="false" ht="15" hidden="false" customHeight="false" outlineLevel="0" collapsed="false">
      <c r="A384" s="15" t="s">
        <v>110</v>
      </c>
      <c r="B384" s="15" t="s">
        <v>111</v>
      </c>
      <c r="C384" s="15" t="n">
        <v>48</v>
      </c>
      <c r="D384" s="15" t="s">
        <v>221</v>
      </c>
      <c r="E384" s="15" t="n">
        <v>637</v>
      </c>
      <c r="F384" s="15" t="s">
        <v>354</v>
      </c>
      <c r="G384" s="15" t="s">
        <v>355</v>
      </c>
      <c r="H384" s="15" t="s">
        <v>356</v>
      </c>
      <c r="I384" s="15" t="s">
        <v>357</v>
      </c>
      <c r="J384" s="15" t="s">
        <v>177</v>
      </c>
      <c r="K384" s="35" t="n">
        <v>134.99</v>
      </c>
      <c r="L384" s="35"/>
      <c r="M384" s="23" t="str">
        <f aca="false">IF(AND(ISNUMBER(L384),ISNUMBER(K384),K384&gt;0),L384/K384-1,"")</f>
        <v/>
      </c>
      <c r="N384" s="36" t="str">
        <f aca="false">IF(M384="","No List Price",IF(M384&lt;=0,"At/below price",IF(M384&lt;=0.12,"&lt;=12% (STR zone)",IF(M384&lt;=0.25,"12-25%","&gt;25% (likely ignored)"))))</f>
        <v>No List Price</v>
      </c>
      <c r="O384" s="15" t="s">
        <v>320</v>
      </c>
      <c r="P384" s="35" t="n">
        <v>39.7</v>
      </c>
      <c r="Q384" s="22" t="n">
        <f aca="false">IF(AND(ISNUMBER(K384),ISNUMBER(P384),N(P384)&gt;0),K384/P384-1,"")</f>
        <v>2.40025188916877</v>
      </c>
      <c r="R384" s="15" t="s">
        <v>321</v>
      </c>
      <c r="S384" s="37" t="n">
        <v>1358</v>
      </c>
      <c r="T384" s="37" t="n">
        <v>92</v>
      </c>
      <c r="U384" s="38" t="n">
        <f aca="false">IF(AND(ISNUMBER(K384),ISNUMBER(T384)),K384*T384*52/12,"")</f>
        <v>53816.0133333333</v>
      </c>
      <c r="V384" s="15" t="n">
        <v>4.4</v>
      </c>
      <c r="W384" s="37" t="n">
        <v>5871</v>
      </c>
      <c r="X384" s="39" t="n">
        <v>46307</v>
      </c>
      <c r="Y384" s="15" t="n">
        <v>258</v>
      </c>
      <c r="Z384" s="40" t="n">
        <v>44154</v>
      </c>
      <c r="AA384" s="41" t="n">
        <f aca="false">IF(ISNUMBER(Z384),(DATE(2026,10,13)-Z384)/365,"")</f>
        <v>5.9013698630137</v>
      </c>
      <c r="AB384" s="37" t="n">
        <v>13039</v>
      </c>
      <c r="AC384" s="15" t="s">
        <v>313</v>
      </c>
      <c r="AD384" s="15" t="n">
        <v>1</v>
      </c>
      <c r="AE384" s="15" t="s">
        <v>314</v>
      </c>
      <c r="AF384" s="42" t="n">
        <v>0.80168776371308</v>
      </c>
      <c r="AG384" s="42" t="n">
        <v>0.361339222679758</v>
      </c>
      <c r="AH384" s="15" t="n">
        <v>316</v>
      </c>
      <c r="AI384" s="37" t="n">
        <v>591713</v>
      </c>
      <c r="AJ384" s="37" t="n">
        <v>5504</v>
      </c>
      <c r="AK384" s="15" t="s">
        <v>315</v>
      </c>
      <c r="AL384" s="43" t="n">
        <v>107.7</v>
      </c>
      <c r="AM384" s="43" t="n">
        <v>191.5</v>
      </c>
      <c r="AN384" s="25" t="n">
        <f aca="false">IF(AND(ISNUMBER(AM384),ISNUMBER(AL384),AL384&gt;=5),AM384/AL384,"")</f>
        <v>1.77808727948004</v>
      </c>
      <c r="AO384" s="43" t="n">
        <v>49.4</v>
      </c>
      <c r="AP384" s="43" t="n">
        <v>99.8</v>
      </c>
      <c r="AQ384" s="25" t="n">
        <f aca="false">IF(AND(ISNUMBER(AP384),ISNUMBER(AO384),AO384&gt;=5),AP384/AO384,"")</f>
        <v>2.02024291497976</v>
      </c>
      <c r="AR384" s="43" t="n">
        <v>127.5</v>
      </c>
      <c r="AS384" s="43" t="n">
        <v>175.6</v>
      </c>
      <c r="AT384" s="22" t="n">
        <f aca="false">IF(AND(ISNUMBER(AS384),ISNUMBER(AR384),AR384&gt;0),AS384/AR384-1,"")</f>
        <v>0.377254901960784</v>
      </c>
      <c r="AU384" s="44"/>
      <c r="AV384" s="44"/>
      <c r="AW384" s="44"/>
      <c r="AX384" s="44"/>
      <c r="AY384" s="44"/>
      <c r="AZ384" s="45"/>
      <c r="BA384" s="45"/>
      <c r="BB384" s="46"/>
      <c r="BC384" s="46"/>
      <c r="BD384" s="23" t="str">
        <f aca="false">IF(AND(ISNUMBER(BB384),ISNUMBER(BC384),BB384&gt;0),1-BC384/BB384,"")</f>
        <v/>
      </c>
      <c r="BE384" s="47"/>
      <c r="BF384" s="48"/>
      <c r="BG384" s="48"/>
      <c r="BH384" s="27" t="str">
        <f aca="false">IF(AND(ISNUMBER(BF384),ISNUMBER(BG384),BG384&gt;0),BF384/BG384,"")</f>
        <v/>
      </c>
      <c r="BI384" s="48"/>
      <c r="BJ384" s="44"/>
      <c r="BK384" s="46"/>
      <c r="BL384" s="46"/>
      <c r="BM384" s="36" t="str">
        <f aca="false">IF(ISNUMBER(Q384),IF(Q384&lt;0,"YES","no"),"")</f>
        <v>no</v>
      </c>
      <c r="BN384" s="36" t="str">
        <f aca="false">IFERROR(IF(AND(ISNUMBER(K384),ISNUMBER(INDEX('Lift Inputs'!$H:$H,MATCH(C384,'Lift Inputs'!$C:$C,0)))),IF(K384&lt;INDEX('Lift Inputs'!$H:$H,MATCH(C384,'Lift Inputs'!$C:$C,0)),"YES","no"),""),"")</f>
        <v/>
      </c>
      <c r="BO384" s="44"/>
    </row>
    <row r="385" customFormat="false" ht="15" hidden="false" customHeight="false" outlineLevel="0" collapsed="false">
      <c r="A385" s="15" t="s">
        <v>110</v>
      </c>
      <c r="B385" s="15" t="s">
        <v>111</v>
      </c>
      <c r="C385" s="15" t="n">
        <v>48</v>
      </c>
      <c r="D385" s="15" t="s">
        <v>221</v>
      </c>
      <c r="E385" s="15" t="n">
        <v>1811</v>
      </c>
      <c r="F385" s="15" t="s">
        <v>516</v>
      </c>
      <c r="G385" s="15" t="s">
        <v>853</v>
      </c>
      <c r="H385" s="15" t="s">
        <v>854</v>
      </c>
      <c r="I385" s="15" t="s">
        <v>384</v>
      </c>
      <c r="J385" s="15" t="s">
        <v>177</v>
      </c>
      <c r="K385" s="35" t="n">
        <v>224.25</v>
      </c>
      <c r="L385" s="35" t="n">
        <v>299</v>
      </c>
      <c r="M385" s="23" t="n">
        <f aca="false">IF(AND(ISNUMBER(L385),ISNUMBER(K385),K385&gt;0),L385/K385-1,"")</f>
        <v>0.333333333333333</v>
      </c>
      <c r="N385" s="36" t="str">
        <f aca="false">IF(M385="","No List Price",IF(M385&lt;=0,"At/below price",IF(M385&lt;=0.12,"&lt;=12% (STR zone)",IF(M385&lt;=0.25,"12-25%","&gt;25% (likely ignored)"))))</f>
        <v>&gt;25% (likely ignored)</v>
      </c>
      <c r="O385" s="15"/>
      <c r="P385" s="35" t="n">
        <v>40.65</v>
      </c>
      <c r="Q385" s="22" t="n">
        <f aca="false">IF(AND(ISNUMBER(K385),ISNUMBER(P385),N(P385)&gt;0),K385/P385-1,"")</f>
        <v>4.51660516605166</v>
      </c>
      <c r="R385" s="15" t="s">
        <v>353</v>
      </c>
      <c r="S385" s="37" t="n">
        <v>5255</v>
      </c>
      <c r="T385" s="37" t="n">
        <v>81</v>
      </c>
      <c r="U385" s="38" t="n">
        <f aca="false">IF(AND(ISNUMBER(K385),ISNUMBER(T385)),K385*T385*52/12,"")</f>
        <v>78711.75</v>
      </c>
      <c r="V385" s="15" t="n">
        <v>4.3</v>
      </c>
      <c r="W385" s="37" t="n">
        <v>1149</v>
      </c>
      <c r="X385" s="39" t="n">
        <v>46307</v>
      </c>
      <c r="Y385" s="15"/>
      <c r="Z385" s="40"/>
      <c r="AA385" s="41" t="str">
        <f aca="false">IF(ISNUMBER(Z385),(DATE(2026,10,13)-Z385)/365,"")</f>
        <v/>
      </c>
      <c r="AB385" s="37"/>
      <c r="AC385" s="15"/>
      <c r="AD385" s="15"/>
      <c r="AE385" s="15"/>
      <c r="AF385" s="42"/>
      <c r="AG385" s="42"/>
      <c r="AH385" s="15"/>
      <c r="AI385" s="37" t="n">
        <v>522593</v>
      </c>
      <c r="AJ385" s="37" t="n">
        <v>7281</v>
      </c>
      <c r="AK385" s="15"/>
      <c r="AL385" s="43"/>
      <c r="AM385" s="43"/>
      <c r="AN385" s="25" t="str">
        <f aca="false">IF(AND(ISNUMBER(AM385),ISNUMBER(AL385),AL385&gt;=5),AM385/AL385,"")</f>
        <v/>
      </c>
      <c r="AO385" s="43"/>
      <c r="AP385" s="43"/>
      <c r="AQ385" s="25" t="str">
        <f aca="false">IF(AND(ISNUMBER(AP385),ISNUMBER(AO385),AO385&gt;=5),AP385/AO385,"")</f>
        <v/>
      </c>
      <c r="AR385" s="43"/>
      <c r="AS385" s="43"/>
      <c r="AT385" s="22" t="str">
        <f aca="false">IF(AND(ISNUMBER(AS385),ISNUMBER(AR385),AR385&gt;0),AS385/AR385-1,"")</f>
        <v/>
      </c>
      <c r="AU385" s="44"/>
      <c r="AV385" s="44"/>
      <c r="AW385" s="44"/>
      <c r="AX385" s="44"/>
      <c r="AY385" s="44"/>
      <c r="AZ385" s="45"/>
      <c r="BA385" s="45"/>
      <c r="BB385" s="46"/>
      <c r="BC385" s="46"/>
      <c r="BD385" s="23" t="str">
        <f aca="false">IF(AND(ISNUMBER(BB385),ISNUMBER(BC385),BB385&gt;0),1-BC385/BB385,"")</f>
        <v/>
      </c>
      <c r="BE385" s="47"/>
      <c r="BF385" s="48"/>
      <c r="BG385" s="48"/>
      <c r="BH385" s="27" t="str">
        <f aca="false">IF(AND(ISNUMBER(BF385),ISNUMBER(BG385),BG385&gt;0),BF385/BG385,"")</f>
        <v/>
      </c>
      <c r="BI385" s="48"/>
      <c r="BJ385" s="44"/>
      <c r="BK385" s="46"/>
      <c r="BL385" s="46"/>
      <c r="BM385" s="36" t="str">
        <f aca="false">IF(ISNUMBER(Q385),IF(Q385&lt;0,"YES","no"),"")</f>
        <v>no</v>
      </c>
      <c r="BN385" s="36" t="str">
        <f aca="false">IFERROR(IF(AND(ISNUMBER(K385),ISNUMBER(INDEX('Lift Inputs'!$H:$H,MATCH(C385,'Lift Inputs'!$C:$C,0)))),IF(K385&lt;INDEX('Lift Inputs'!$H:$H,MATCH(C385,'Lift Inputs'!$C:$C,0)),"YES","no"),""),"")</f>
        <v/>
      </c>
      <c r="BO385" s="44"/>
    </row>
    <row r="386" customFormat="false" ht="15" hidden="false" customHeight="false" outlineLevel="0" collapsed="false">
      <c r="A386" s="15" t="s">
        <v>110</v>
      </c>
      <c r="B386" s="15" t="s">
        <v>111</v>
      </c>
      <c r="C386" s="15" t="n">
        <v>48</v>
      </c>
      <c r="D386" s="15" t="s">
        <v>221</v>
      </c>
      <c r="E386" s="15" t="n">
        <v>22</v>
      </c>
      <c r="F386" s="15" t="s">
        <v>349</v>
      </c>
      <c r="G386" s="15" t="s">
        <v>366</v>
      </c>
      <c r="H386" s="15" t="s">
        <v>367</v>
      </c>
      <c r="I386" s="15" t="s">
        <v>368</v>
      </c>
      <c r="J386" s="15" t="s">
        <v>177</v>
      </c>
      <c r="K386" s="35" t="n">
        <v>59.99</v>
      </c>
      <c r="L386" s="35"/>
      <c r="M386" s="23" t="str">
        <f aca="false">IF(AND(ISNUMBER(L386),ISNUMBER(K386),K386&gt;0),L386/K386-1,"")</f>
        <v/>
      </c>
      <c r="N386" s="36" t="str">
        <f aca="false">IF(M386="","No List Price",IF(M386&lt;=0,"At/below price",IF(M386&lt;=0.12,"&lt;=12% (STR zone)",IF(M386&lt;=0.25,"12-25%","&gt;25% (likely ignored)"))))</f>
        <v>No List Price</v>
      </c>
      <c r="O386" s="15" t="s">
        <v>311</v>
      </c>
      <c r="P386" s="35" t="n">
        <v>40.65</v>
      </c>
      <c r="Q386" s="22" t="n">
        <f aca="false">IF(AND(ISNUMBER(K386),ISNUMBER(P386),N(P386)&gt;0),K386/P386-1,"")</f>
        <v>0.475768757687577</v>
      </c>
      <c r="R386" s="15" t="s">
        <v>312</v>
      </c>
      <c r="S386" s="37" t="n">
        <v>23979</v>
      </c>
      <c r="T386" s="37" t="n">
        <v>81</v>
      </c>
      <c r="U386" s="38" t="n">
        <f aca="false">IF(AND(ISNUMBER(K386),ISNUMBER(T386)),K386*T386*52/12,"")</f>
        <v>21056.49</v>
      </c>
      <c r="V386" s="15" t="n">
        <v>4.5</v>
      </c>
      <c r="W386" s="37" t="n">
        <v>3911</v>
      </c>
      <c r="X386" s="39" t="n">
        <v>46307</v>
      </c>
      <c r="Y386" s="15" t="n">
        <v>42</v>
      </c>
      <c r="Z386" s="40" t="n">
        <v>45740</v>
      </c>
      <c r="AA386" s="41" t="n">
        <f aca="false">IF(ISNUMBER(Z386),(DATE(2026,10,13)-Z386)/365,"")</f>
        <v>1.55616438356164</v>
      </c>
      <c r="AB386" s="37" t="n">
        <v>1814</v>
      </c>
      <c r="AC386" s="15" t="s">
        <v>313</v>
      </c>
      <c r="AD386" s="15" t="n">
        <v>1</v>
      </c>
      <c r="AE386" s="15" t="s">
        <v>331</v>
      </c>
      <c r="AF386" s="42" t="n">
        <v>0</v>
      </c>
      <c r="AG386" s="42" t="n">
        <v>0</v>
      </c>
      <c r="AH386" s="15" t="n">
        <v>278</v>
      </c>
      <c r="AI386" s="37" t="n">
        <v>114504</v>
      </c>
      <c r="AJ386" s="37" t="n">
        <v>947</v>
      </c>
      <c r="AK386" s="15" t="s">
        <v>326</v>
      </c>
      <c r="AL386" s="43" t="n">
        <v>431.4</v>
      </c>
      <c r="AM386" s="43" t="n">
        <v>472.5</v>
      </c>
      <c r="AN386" s="25" t="n">
        <f aca="false">IF(AND(ISNUMBER(AM386),ISNUMBER(AL386),AL386&gt;=5),AM386/AL386,"")</f>
        <v>1.09527121001391</v>
      </c>
      <c r="AO386" s="43" t="n">
        <v>13.8</v>
      </c>
      <c r="AP386" s="43" t="n">
        <v>16.5</v>
      </c>
      <c r="AQ386" s="25" t="n">
        <f aca="false">IF(AND(ISNUMBER(AP386),ISNUMBER(AO386),AO386&gt;=5),AP386/AO386,"")</f>
        <v>1.19565217391304</v>
      </c>
      <c r="AR386" s="43" t="n">
        <v>365.3</v>
      </c>
      <c r="AS386" s="43" t="n">
        <v>327.3</v>
      </c>
      <c r="AT386" s="22" t="n">
        <f aca="false">IF(AND(ISNUMBER(AS386),ISNUMBER(AR386),AR386&gt;0),AS386/AR386-1,"")</f>
        <v>-0.104024089789214</v>
      </c>
      <c r="AU386" s="44"/>
      <c r="AV386" s="44"/>
      <c r="AW386" s="44"/>
      <c r="AX386" s="44"/>
      <c r="AY386" s="44"/>
      <c r="AZ386" s="45"/>
      <c r="BA386" s="45"/>
      <c r="BB386" s="46"/>
      <c r="BC386" s="46"/>
      <c r="BD386" s="23" t="str">
        <f aca="false">IF(AND(ISNUMBER(BB386),ISNUMBER(BC386),BB386&gt;0),1-BC386/BB386,"")</f>
        <v/>
      </c>
      <c r="BE386" s="47"/>
      <c r="BF386" s="48"/>
      <c r="BG386" s="48"/>
      <c r="BH386" s="27" t="str">
        <f aca="false">IF(AND(ISNUMBER(BF386),ISNUMBER(BG386),BG386&gt;0),BF386/BG386,"")</f>
        <v/>
      </c>
      <c r="BI386" s="48"/>
      <c r="BJ386" s="44"/>
      <c r="BK386" s="46"/>
      <c r="BL386" s="46"/>
      <c r="BM386" s="36" t="str">
        <f aca="false">IF(ISNUMBER(Q386),IF(Q386&lt;0,"YES","no"),"")</f>
        <v>no</v>
      </c>
      <c r="BN386" s="36" t="str">
        <f aca="false">IFERROR(IF(AND(ISNUMBER(K386),ISNUMBER(INDEX('Lift Inputs'!$H:$H,MATCH(C386,'Lift Inputs'!$C:$C,0)))),IF(K386&lt;INDEX('Lift Inputs'!$H:$H,MATCH(C386,'Lift Inputs'!$C:$C,0)),"YES","no"),""),"")</f>
        <v/>
      </c>
      <c r="BO386" s="44"/>
    </row>
    <row r="387" customFormat="false" ht="15" hidden="false" customHeight="false" outlineLevel="0" collapsed="false">
      <c r="A387" s="15" t="s">
        <v>110</v>
      </c>
      <c r="B387" s="15" t="s">
        <v>111</v>
      </c>
      <c r="C387" s="15" t="n">
        <v>48</v>
      </c>
      <c r="D387" s="15" t="s">
        <v>221</v>
      </c>
      <c r="E387" s="15" t="n">
        <v>1498</v>
      </c>
      <c r="F387" s="15" t="s">
        <v>855</v>
      </c>
      <c r="G387" s="15" t="s">
        <v>856</v>
      </c>
      <c r="H387" s="15" t="s">
        <v>857</v>
      </c>
      <c r="I387" s="15" t="s">
        <v>384</v>
      </c>
      <c r="J387" s="15" t="s">
        <v>177</v>
      </c>
      <c r="K387" s="35" t="n">
        <v>149.99</v>
      </c>
      <c r="L387" s="35" t="n">
        <v>179.99</v>
      </c>
      <c r="M387" s="23" t="n">
        <f aca="false">IF(AND(ISNUMBER(L387),ISNUMBER(K387),K387&gt;0),L387/K387-1,"")</f>
        <v>0.200013334222281</v>
      </c>
      <c r="N387" s="36" t="str">
        <f aca="false">IF(M387="","No List Price",IF(M387&lt;=0,"At/below price",IF(M387&lt;=0.12,"&lt;=12% (STR zone)",IF(M387&lt;=0.25,"12-25%","&gt;25% (likely ignored)"))))</f>
        <v>12-25%</v>
      </c>
      <c r="O387" s="15"/>
      <c r="P387" s="35" t="n">
        <v>40.65</v>
      </c>
      <c r="Q387" s="22" t="n">
        <f aca="false">IF(AND(ISNUMBER(K387),ISNUMBER(P387),N(P387)&gt;0),K387/P387-1,"")</f>
        <v>2.68979089790898</v>
      </c>
      <c r="R387" s="15" t="s">
        <v>353</v>
      </c>
      <c r="S387" s="37" t="n">
        <v>49910</v>
      </c>
      <c r="T387" s="37" t="n">
        <v>35</v>
      </c>
      <c r="U387" s="38" t="n">
        <f aca="false">IF(AND(ISNUMBER(K387),ISNUMBER(T387)),K387*T387*52/12,"")</f>
        <v>22748.4833333333</v>
      </c>
      <c r="V387" s="15" t="n">
        <v>4.2</v>
      </c>
      <c r="W387" s="37" t="n">
        <v>595</v>
      </c>
      <c r="X387" s="39" t="n">
        <v>46307</v>
      </c>
      <c r="Y387" s="15"/>
      <c r="Z387" s="40"/>
      <c r="AA387" s="41" t="str">
        <f aca="false">IF(ISNUMBER(Z387),(DATE(2026,10,13)-Z387)/365,"")</f>
        <v/>
      </c>
      <c r="AB387" s="37"/>
      <c r="AC387" s="15"/>
      <c r="AD387" s="15"/>
      <c r="AE387" s="15"/>
      <c r="AF387" s="42"/>
      <c r="AG387" s="42"/>
      <c r="AH387" s="15"/>
      <c r="AI387" s="37" t="n">
        <v>107224</v>
      </c>
      <c r="AJ387" s="37" t="n">
        <v>1884</v>
      </c>
      <c r="AK387" s="15" t="s">
        <v>326</v>
      </c>
      <c r="AL387" s="43" t="n">
        <v>151.6</v>
      </c>
      <c r="AM387" s="43" t="n">
        <v>218.8</v>
      </c>
      <c r="AN387" s="25" t="n">
        <f aca="false">IF(AND(ISNUMBER(AM387),ISNUMBER(AL387),AL387&gt;=5),AM387/AL387,"")</f>
        <v>1.44327176781003</v>
      </c>
      <c r="AO387" s="43" t="n">
        <v>222.7</v>
      </c>
      <c r="AP387" s="43" t="n">
        <v>166</v>
      </c>
      <c r="AQ387" s="25" t="n">
        <f aca="false">IF(AND(ISNUMBER(AP387),ISNUMBER(AO387),AO387&gt;=5),AP387/AO387,"")</f>
        <v>0.745397395599461</v>
      </c>
      <c r="AR387" s="43" t="n">
        <v>114.2</v>
      </c>
      <c r="AS387" s="43" t="n">
        <v>141.4</v>
      </c>
      <c r="AT387" s="22" t="n">
        <f aca="false">IF(AND(ISNUMBER(AS387),ISNUMBER(AR387),AR387&gt;0),AS387/AR387-1,"")</f>
        <v>0.238178633975482</v>
      </c>
      <c r="AU387" s="44"/>
      <c r="AV387" s="44"/>
      <c r="AW387" s="44"/>
      <c r="AX387" s="44"/>
      <c r="AY387" s="44"/>
      <c r="AZ387" s="45"/>
      <c r="BA387" s="45"/>
      <c r="BB387" s="46"/>
      <c r="BC387" s="46"/>
      <c r="BD387" s="23" t="str">
        <f aca="false">IF(AND(ISNUMBER(BB387),ISNUMBER(BC387),BB387&gt;0),1-BC387/BB387,"")</f>
        <v/>
      </c>
      <c r="BE387" s="47"/>
      <c r="BF387" s="48"/>
      <c r="BG387" s="48"/>
      <c r="BH387" s="27" t="str">
        <f aca="false">IF(AND(ISNUMBER(BF387),ISNUMBER(BG387),BG387&gt;0),BF387/BG387,"")</f>
        <v/>
      </c>
      <c r="BI387" s="48"/>
      <c r="BJ387" s="44"/>
      <c r="BK387" s="46"/>
      <c r="BL387" s="46"/>
      <c r="BM387" s="36" t="str">
        <f aca="false">IF(ISNUMBER(Q387),IF(Q387&lt;0,"YES","no"),"")</f>
        <v>no</v>
      </c>
      <c r="BN387" s="36" t="str">
        <f aca="false">IFERROR(IF(AND(ISNUMBER(K387),ISNUMBER(INDEX('Lift Inputs'!$H:$H,MATCH(C387,'Lift Inputs'!$C:$C,0)))),IF(K387&lt;INDEX('Lift Inputs'!$H:$H,MATCH(C387,'Lift Inputs'!$C:$C,0)),"YES","no"),""),"")</f>
        <v/>
      </c>
      <c r="BO387" s="44"/>
    </row>
    <row r="388" customFormat="false" ht="15" hidden="false" customHeight="false" outlineLevel="0" collapsed="false">
      <c r="A388" s="15" t="s">
        <v>110</v>
      </c>
      <c r="B388" s="15" t="s">
        <v>111</v>
      </c>
      <c r="C388" s="15" t="n">
        <v>48</v>
      </c>
      <c r="D388" s="15" t="s">
        <v>221</v>
      </c>
      <c r="E388" s="15" t="n">
        <v>1510</v>
      </c>
      <c r="F388" s="15" t="s">
        <v>373</v>
      </c>
      <c r="G388" s="15" t="s">
        <v>374</v>
      </c>
      <c r="H388" s="15" t="s">
        <v>375</v>
      </c>
      <c r="I388" s="15" t="s">
        <v>352</v>
      </c>
      <c r="J388" s="15" t="s">
        <v>177</v>
      </c>
      <c r="K388" s="35" t="n">
        <v>55</v>
      </c>
      <c r="L388" s="35"/>
      <c r="M388" s="23" t="str">
        <f aca="false">IF(AND(ISNUMBER(L388),ISNUMBER(K388),K388&gt;0),L388/K388-1,"")</f>
        <v/>
      </c>
      <c r="N388" s="36" t="str">
        <f aca="false">IF(M388="","No List Price",IF(M388&lt;=0,"At/below price",IF(M388&lt;=0.12,"&lt;=12% (STR zone)",IF(M388&lt;=0.25,"12-25%","&gt;25% (likely ignored)"))))</f>
        <v>No List Price</v>
      </c>
      <c r="O388" s="15"/>
      <c r="P388" s="35" t="n">
        <v>40.65</v>
      </c>
      <c r="Q388" s="22" t="n">
        <f aca="false">IF(AND(ISNUMBER(K388),ISNUMBER(P388),N(P388)&gt;0),K388/P388-1,"")</f>
        <v>0.353013530135301</v>
      </c>
      <c r="R388" s="15" t="s">
        <v>353</v>
      </c>
      <c r="S388" s="37" t="n">
        <v>4051</v>
      </c>
      <c r="T388" s="37" t="n">
        <v>35</v>
      </c>
      <c r="U388" s="38" t="n">
        <f aca="false">IF(AND(ISNUMBER(K388),ISNUMBER(T388)),K388*T388*52/12,"")</f>
        <v>8341.66666666667</v>
      </c>
      <c r="V388" s="15" t="n">
        <v>4.4</v>
      </c>
      <c r="W388" s="37" t="n">
        <v>1909</v>
      </c>
      <c r="X388" s="39" t="n">
        <v>46307</v>
      </c>
      <c r="Y388" s="15"/>
      <c r="Z388" s="40"/>
      <c r="AA388" s="41" t="str">
        <f aca="false">IF(ISNUMBER(Z388),(DATE(2026,10,13)-Z388)/365,"")</f>
        <v/>
      </c>
      <c r="AB388" s="37"/>
      <c r="AC388" s="15"/>
      <c r="AD388" s="15"/>
      <c r="AE388" s="15"/>
      <c r="AF388" s="42"/>
      <c r="AG388" s="42"/>
      <c r="AH388" s="15"/>
      <c r="AI388" s="37" t="n">
        <v>171534</v>
      </c>
      <c r="AJ388" s="37" t="n">
        <v>2682</v>
      </c>
      <c r="AK388" s="15"/>
      <c r="AL388" s="43"/>
      <c r="AM388" s="43"/>
      <c r="AN388" s="25" t="str">
        <f aca="false">IF(AND(ISNUMBER(AM388),ISNUMBER(AL388),AL388&gt;=5),AM388/AL388,"")</f>
        <v/>
      </c>
      <c r="AO388" s="43"/>
      <c r="AP388" s="43"/>
      <c r="AQ388" s="25" t="str">
        <f aca="false">IF(AND(ISNUMBER(AP388),ISNUMBER(AO388),AO388&gt;=5),AP388/AO388,"")</f>
        <v/>
      </c>
      <c r="AR388" s="43"/>
      <c r="AS388" s="43"/>
      <c r="AT388" s="22" t="str">
        <f aca="false">IF(AND(ISNUMBER(AS388),ISNUMBER(AR388),AR388&gt;0),AS388/AR388-1,"")</f>
        <v/>
      </c>
      <c r="AU388" s="44"/>
      <c r="AV388" s="44"/>
      <c r="AW388" s="44"/>
      <c r="AX388" s="44"/>
      <c r="AY388" s="44"/>
      <c r="AZ388" s="45"/>
      <c r="BA388" s="45"/>
      <c r="BB388" s="46"/>
      <c r="BC388" s="46"/>
      <c r="BD388" s="23" t="str">
        <f aca="false">IF(AND(ISNUMBER(BB388),ISNUMBER(BC388),BB388&gt;0),1-BC388/BB388,"")</f>
        <v/>
      </c>
      <c r="BE388" s="47"/>
      <c r="BF388" s="48"/>
      <c r="BG388" s="48"/>
      <c r="BH388" s="27" t="str">
        <f aca="false">IF(AND(ISNUMBER(BF388),ISNUMBER(BG388),BG388&gt;0),BF388/BG388,"")</f>
        <v/>
      </c>
      <c r="BI388" s="48"/>
      <c r="BJ388" s="44"/>
      <c r="BK388" s="46"/>
      <c r="BL388" s="46"/>
      <c r="BM388" s="36" t="str">
        <f aca="false">IF(ISNUMBER(Q388),IF(Q388&lt;0,"YES","no"),"")</f>
        <v>no</v>
      </c>
      <c r="BN388" s="36" t="str">
        <f aca="false">IFERROR(IF(AND(ISNUMBER(K388),ISNUMBER(INDEX('Lift Inputs'!$H:$H,MATCH(C388,'Lift Inputs'!$C:$C,0)))),IF(K388&lt;INDEX('Lift Inputs'!$H:$H,MATCH(C388,'Lift Inputs'!$C:$C,0)),"YES","no"),""),"")</f>
        <v/>
      </c>
      <c r="BO388" s="44"/>
    </row>
    <row r="389" customFormat="false" ht="15" hidden="false" customHeight="false" outlineLevel="0" collapsed="false">
      <c r="A389" s="15" t="s">
        <v>110</v>
      </c>
      <c r="B389" s="15" t="s">
        <v>111</v>
      </c>
      <c r="C389" s="15" t="n">
        <v>48</v>
      </c>
      <c r="D389" s="15" t="s">
        <v>221</v>
      </c>
      <c r="E389" s="15" t="n">
        <v>1819</v>
      </c>
      <c r="F389" s="15" t="s">
        <v>376</v>
      </c>
      <c r="G389" s="15" t="s">
        <v>377</v>
      </c>
      <c r="H389" s="15" t="s">
        <v>378</v>
      </c>
      <c r="I389" s="15" t="s">
        <v>379</v>
      </c>
      <c r="J389" s="15" t="s">
        <v>177</v>
      </c>
      <c r="K389" s="35" t="n">
        <v>109</v>
      </c>
      <c r="L389" s="35"/>
      <c r="M389" s="23" t="str">
        <f aca="false">IF(AND(ISNUMBER(L389),ISNUMBER(K389),K389&gt;0),L389/K389-1,"")</f>
        <v/>
      </c>
      <c r="N389" s="36" t="str">
        <f aca="false">IF(M389="","No List Price",IF(M389&lt;=0,"At/below price",IF(M389&lt;=0.12,"&lt;=12% (STR zone)",IF(M389&lt;=0.25,"12-25%","&gt;25% (likely ignored)"))))</f>
        <v>No List Price</v>
      </c>
      <c r="O389" s="15" t="s">
        <v>320</v>
      </c>
      <c r="P389" s="35" t="n">
        <v>39.7</v>
      </c>
      <c r="Q389" s="22" t="n">
        <f aca="false">IF(AND(ISNUMBER(K389),ISNUMBER(P389),N(P389)&gt;0),K389/P389-1,"")</f>
        <v>1.7455919395466</v>
      </c>
      <c r="R389" s="15" t="s">
        <v>321</v>
      </c>
      <c r="S389" s="37" t="n">
        <v>16154</v>
      </c>
      <c r="T389" s="37" t="n">
        <v>35</v>
      </c>
      <c r="U389" s="38" t="n">
        <f aca="false">IF(AND(ISNUMBER(K389),ISNUMBER(T389)),K389*T389*52/12,"")</f>
        <v>16531.6666666667</v>
      </c>
      <c r="V389" s="15" t="n">
        <v>4.4</v>
      </c>
      <c r="W389" s="37" t="n">
        <v>3371</v>
      </c>
      <c r="X389" s="39" t="n">
        <v>46307</v>
      </c>
      <c r="Y389" s="15" t="n">
        <v>99</v>
      </c>
      <c r="Z389" s="40" t="n">
        <v>44922</v>
      </c>
      <c r="AA389" s="41" t="n">
        <f aca="false">IF(ISNUMBER(Z389),(DATE(2026,10,13)-Z389)/365,"")</f>
        <v>3.7972602739726</v>
      </c>
      <c r="AB389" s="37" t="n">
        <v>2972</v>
      </c>
      <c r="AC389" s="15" t="s">
        <v>313</v>
      </c>
      <c r="AD389" s="15" t="n">
        <v>1</v>
      </c>
      <c r="AE389" s="15" t="s">
        <v>380</v>
      </c>
      <c r="AF389" s="42" t="n">
        <v>0</v>
      </c>
      <c r="AG389" s="42" t="n">
        <v>0</v>
      </c>
      <c r="AH389" s="15" t="n">
        <v>68</v>
      </c>
      <c r="AI389" s="37" t="n">
        <v>76017</v>
      </c>
      <c r="AJ389" s="37" t="n">
        <v>1577</v>
      </c>
      <c r="AK389" s="15"/>
      <c r="AL389" s="43"/>
      <c r="AM389" s="43"/>
      <c r="AN389" s="25" t="str">
        <f aca="false">IF(AND(ISNUMBER(AM389),ISNUMBER(AL389),AL389&gt;=5),AM389/AL389,"")</f>
        <v/>
      </c>
      <c r="AO389" s="43"/>
      <c r="AP389" s="43"/>
      <c r="AQ389" s="25" t="str">
        <f aca="false">IF(AND(ISNUMBER(AP389),ISNUMBER(AO389),AO389&gt;=5),AP389/AO389,"")</f>
        <v/>
      </c>
      <c r="AR389" s="43"/>
      <c r="AS389" s="43"/>
      <c r="AT389" s="22" t="str">
        <f aca="false">IF(AND(ISNUMBER(AS389),ISNUMBER(AR389),AR389&gt;0),AS389/AR389-1,"")</f>
        <v/>
      </c>
      <c r="AU389" s="44"/>
      <c r="AV389" s="44"/>
      <c r="AW389" s="44"/>
      <c r="AX389" s="44"/>
      <c r="AY389" s="44"/>
      <c r="AZ389" s="45"/>
      <c r="BA389" s="45"/>
      <c r="BB389" s="46"/>
      <c r="BC389" s="46"/>
      <c r="BD389" s="23" t="str">
        <f aca="false">IF(AND(ISNUMBER(BB389),ISNUMBER(BC389),BB389&gt;0),1-BC389/BB389,"")</f>
        <v/>
      </c>
      <c r="BE389" s="47"/>
      <c r="BF389" s="48"/>
      <c r="BG389" s="48"/>
      <c r="BH389" s="27" t="str">
        <f aca="false">IF(AND(ISNUMBER(BF389),ISNUMBER(BG389),BG389&gt;0),BF389/BG389,"")</f>
        <v/>
      </c>
      <c r="BI389" s="48"/>
      <c r="BJ389" s="44"/>
      <c r="BK389" s="46"/>
      <c r="BL389" s="46"/>
      <c r="BM389" s="36" t="str">
        <f aca="false">IF(ISNUMBER(Q389),IF(Q389&lt;0,"YES","no"),"")</f>
        <v>no</v>
      </c>
      <c r="BN389" s="36" t="str">
        <f aca="false">IFERROR(IF(AND(ISNUMBER(K389),ISNUMBER(INDEX('Lift Inputs'!$H:$H,MATCH(C389,'Lift Inputs'!$C:$C,0)))),IF(K389&lt;INDEX('Lift Inputs'!$H:$H,MATCH(C389,'Lift Inputs'!$C:$C,0)),"YES","no"),""),"")</f>
        <v/>
      </c>
      <c r="BO389" s="44"/>
    </row>
    <row r="390" customFormat="false" ht="15" hidden="false" customHeight="false" outlineLevel="0" collapsed="false">
      <c r="A390" s="15" t="s">
        <v>110</v>
      </c>
      <c r="B390" s="15" t="s">
        <v>111</v>
      </c>
      <c r="C390" s="15" t="n">
        <v>48</v>
      </c>
      <c r="D390" s="15" t="s">
        <v>221</v>
      </c>
      <c r="E390" s="15" t="n">
        <v>49</v>
      </c>
      <c r="F390" s="15" t="s">
        <v>516</v>
      </c>
      <c r="G390" s="15" t="s">
        <v>858</v>
      </c>
      <c r="H390" s="15" t="s">
        <v>859</v>
      </c>
      <c r="I390" s="15" t="s">
        <v>860</v>
      </c>
      <c r="J390" s="15" t="s">
        <v>177</v>
      </c>
      <c r="K390" s="35" t="n">
        <v>164.25</v>
      </c>
      <c r="L390" s="35" t="n">
        <v>219</v>
      </c>
      <c r="M390" s="23" t="n">
        <f aca="false">IF(AND(ISNUMBER(L390),ISNUMBER(K390),K390&gt;0),L390/K390-1,"")</f>
        <v>0.333333333333333</v>
      </c>
      <c r="N390" s="36" t="str">
        <f aca="false">IF(M390="","No List Price",IF(M390&lt;=0,"At/below price",IF(M390&lt;=0.12,"&lt;=12% (STR zone)",IF(M390&lt;=0.25,"12-25%","&gt;25% (likely ignored)"))))</f>
        <v>&gt;25% (likely ignored)</v>
      </c>
      <c r="O390" s="15"/>
      <c r="P390" s="35" t="n">
        <v>40.65</v>
      </c>
      <c r="Q390" s="22" t="n">
        <f aca="false">IF(AND(ISNUMBER(K390),ISNUMBER(P390),N(P390)&gt;0),K390/P390-1,"")</f>
        <v>3.04059040590406</v>
      </c>
      <c r="R390" s="15" t="s">
        <v>353</v>
      </c>
      <c r="S390" s="37" t="n">
        <v>5255</v>
      </c>
      <c r="T390" s="37" t="n">
        <v>35</v>
      </c>
      <c r="U390" s="38" t="n">
        <f aca="false">IF(AND(ISNUMBER(K390),ISNUMBER(T390)),K390*T390*52/12,"")</f>
        <v>24911.25</v>
      </c>
      <c r="V390" s="15" t="n">
        <v>4.3</v>
      </c>
      <c r="W390" s="37" t="n">
        <v>1149</v>
      </c>
      <c r="X390" s="39" t="n">
        <v>46307</v>
      </c>
      <c r="Y390" s="15"/>
      <c r="Z390" s="40"/>
      <c r="AA390" s="41" t="str">
        <f aca="false">IF(ISNUMBER(Z390),(DATE(2026,10,13)-Z390)/365,"")</f>
        <v/>
      </c>
      <c r="AB390" s="37"/>
      <c r="AC390" s="15"/>
      <c r="AD390" s="15"/>
      <c r="AE390" s="15"/>
      <c r="AF390" s="42"/>
      <c r="AG390" s="42"/>
      <c r="AH390" s="15"/>
      <c r="AI390" s="37"/>
      <c r="AJ390" s="37"/>
      <c r="AK390" s="15"/>
      <c r="AL390" s="43"/>
      <c r="AM390" s="43"/>
      <c r="AN390" s="25" t="str">
        <f aca="false">IF(AND(ISNUMBER(AM390),ISNUMBER(AL390),AL390&gt;=5),AM390/AL390,"")</f>
        <v/>
      </c>
      <c r="AO390" s="43"/>
      <c r="AP390" s="43"/>
      <c r="AQ390" s="25" t="str">
        <f aca="false">IF(AND(ISNUMBER(AP390),ISNUMBER(AO390),AO390&gt;=5),AP390/AO390,"")</f>
        <v/>
      </c>
      <c r="AR390" s="43"/>
      <c r="AS390" s="43"/>
      <c r="AT390" s="22" t="str">
        <f aca="false">IF(AND(ISNUMBER(AS390),ISNUMBER(AR390),AR390&gt;0),AS390/AR390-1,"")</f>
        <v/>
      </c>
      <c r="AU390" s="44"/>
      <c r="AV390" s="44"/>
      <c r="AW390" s="44"/>
      <c r="AX390" s="44"/>
      <c r="AY390" s="44"/>
      <c r="AZ390" s="45"/>
      <c r="BA390" s="45"/>
      <c r="BB390" s="46"/>
      <c r="BC390" s="46"/>
      <c r="BD390" s="23" t="str">
        <f aca="false">IF(AND(ISNUMBER(BB390),ISNUMBER(BC390),BB390&gt;0),1-BC390/BB390,"")</f>
        <v/>
      </c>
      <c r="BE390" s="47"/>
      <c r="BF390" s="48"/>
      <c r="BG390" s="48"/>
      <c r="BH390" s="27" t="str">
        <f aca="false">IF(AND(ISNUMBER(BF390),ISNUMBER(BG390),BG390&gt;0),BF390/BG390,"")</f>
        <v/>
      </c>
      <c r="BI390" s="48"/>
      <c r="BJ390" s="44"/>
      <c r="BK390" s="46"/>
      <c r="BL390" s="46"/>
      <c r="BM390" s="36" t="str">
        <f aca="false">IF(ISNUMBER(Q390),IF(Q390&lt;0,"YES","no"),"")</f>
        <v>no</v>
      </c>
      <c r="BN390" s="36" t="str">
        <f aca="false">IFERROR(IF(AND(ISNUMBER(K390),ISNUMBER(INDEX('Lift Inputs'!$H:$H,MATCH(C390,'Lift Inputs'!$C:$C,0)))),IF(K390&lt;INDEX('Lift Inputs'!$H:$H,MATCH(C390,'Lift Inputs'!$C:$C,0)),"YES","no"),""),"")</f>
        <v/>
      </c>
      <c r="BO390" s="44"/>
    </row>
    <row r="391" customFormat="false" ht="15" hidden="false" customHeight="false" outlineLevel="0" collapsed="false">
      <c r="A391" s="15" t="s">
        <v>110</v>
      </c>
      <c r="B391" s="15" t="s">
        <v>111</v>
      </c>
      <c r="C391" s="15" t="n">
        <v>48</v>
      </c>
      <c r="D391" s="15" t="s">
        <v>221</v>
      </c>
      <c r="E391" s="15" t="n">
        <v>1820</v>
      </c>
      <c r="F391" s="15" t="s">
        <v>438</v>
      </c>
      <c r="G391" s="15" t="s">
        <v>502</v>
      </c>
      <c r="H391" s="15" t="s">
        <v>502</v>
      </c>
      <c r="I391" s="15" t="s">
        <v>503</v>
      </c>
      <c r="J391" s="15" t="s">
        <v>177</v>
      </c>
      <c r="K391" s="35" t="n">
        <v>37.9</v>
      </c>
      <c r="L391" s="35"/>
      <c r="M391" s="23" t="str">
        <f aca="false">IF(AND(ISNUMBER(L391),ISNUMBER(K391),K391&gt;0),L391/K391-1,"")</f>
        <v/>
      </c>
      <c r="N391" s="36" t="str">
        <f aca="false">IF(M391="","No List Price",IF(M391&lt;=0,"At/below price",IF(M391&lt;=0.12,"&lt;=12% (STR zone)",IF(M391&lt;=0.25,"12-25%","&gt;25% (likely ignored)"))))</f>
        <v>No List Price</v>
      </c>
      <c r="O391" s="15" t="s">
        <v>320</v>
      </c>
      <c r="P391" s="35" t="n">
        <v>39.7</v>
      </c>
      <c r="Q391" s="22" t="n">
        <f aca="false">IF(AND(ISNUMBER(K391),ISNUMBER(P391),N(P391)&gt;0),K391/P391-1,"")</f>
        <v>-0.0453400503778338</v>
      </c>
      <c r="R391" s="15" t="s">
        <v>321</v>
      </c>
      <c r="S391" s="37" t="n">
        <v>9187</v>
      </c>
      <c r="T391" s="37" t="n">
        <v>18</v>
      </c>
      <c r="U391" s="38" t="n">
        <f aca="false">IF(AND(ISNUMBER(K391),ISNUMBER(T391)),K391*T391*52/12,"")</f>
        <v>2956.2</v>
      </c>
      <c r="V391" s="15" t="n">
        <v>4.3</v>
      </c>
      <c r="W391" s="37" t="n">
        <v>24333</v>
      </c>
      <c r="X391" s="39" t="n">
        <v>46286</v>
      </c>
      <c r="Y391" s="15" t="n">
        <v>100</v>
      </c>
      <c r="Z391" s="40" t="n">
        <v>44379</v>
      </c>
      <c r="AA391" s="41" t="n">
        <f aca="false">IF(ISNUMBER(Z391),(DATE(2026,10,13)-Z391)/365,"")</f>
        <v>5.28493150684932</v>
      </c>
      <c r="AB391" s="37" t="n">
        <v>5599</v>
      </c>
      <c r="AC391" s="15" t="s">
        <v>313</v>
      </c>
      <c r="AD391" s="15" t="n">
        <v>1</v>
      </c>
      <c r="AE391" s="15" t="s">
        <v>331</v>
      </c>
      <c r="AF391" s="42" t="n">
        <v>0</v>
      </c>
      <c r="AG391" s="42" t="n">
        <v>0</v>
      </c>
      <c r="AH391" s="15" t="n">
        <v>316</v>
      </c>
      <c r="AI391" s="37" t="n">
        <v>23320</v>
      </c>
      <c r="AJ391" s="37" t="n">
        <v>859</v>
      </c>
      <c r="AK391" s="15" t="s">
        <v>315</v>
      </c>
      <c r="AL391" s="43" t="n">
        <v>0.1</v>
      </c>
      <c r="AM391" s="43" t="n">
        <v>2.5</v>
      </c>
      <c r="AN391" s="25" t="str">
        <f aca="false">IF(AND(ISNUMBER(AM391),ISNUMBER(AL391),AL391&gt;=5),AM391/AL391,"")</f>
        <v/>
      </c>
      <c r="AO391" s="43" t="n">
        <v>0</v>
      </c>
      <c r="AP391" s="43" t="n">
        <v>0</v>
      </c>
      <c r="AQ391" s="25" t="str">
        <f aca="false">IF(AND(ISNUMBER(AP391),ISNUMBER(AO391),AO391&gt;=5),AP391/AO391,"")</f>
        <v/>
      </c>
      <c r="AR391" s="43" t="n">
        <v>22.3</v>
      </c>
      <c r="AS391" s="43" t="n">
        <v>1</v>
      </c>
      <c r="AT391" s="22" t="n">
        <f aca="false">IF(AND(ISNUMBER(AS391),ISNUMBER(AR391),AR391&gt;0),AS391/AR391-1,"")</f>
        <v>-0.955156950672646</v>
      </c>
      <c r="AU391" s="44"/>
      <c r="AV391" s="44"/>
      <c r="AW391" s="44"/>
      <c r="AX391" s="44"/>
      <c r="AY391" s="44"/>
      <c r="AZ391" s="45"/>
      <c r="BA391" s="45"/>
      <c r="BB391" s="46"/>
      <c r="BC391" s="46"/>
      <c r="BD391" s="23" t="str">
        <f aca="false">IF(AND(ISNUMBER(BB391),ISNUMBER(BC391),BB391&gt;0),1-BC391/BB391,"")</f>
        <v/>
      </c>
      <c r="BE391" s="47"/>
      <c r="BF391" s="48"/>
      <c r="BG391" s="48"/>
      <c r="BH391" s="27" t="str">
        <f aca="false">IF(AND(ISNUMBER(BF391),ISNUMBER(BG391),BG391&gt;0),BF391/BG391,"")</f>
        <v/>
      </c>
      <c r="BI391" s="48"/>
      <c r="BJ391" s="44"/>
      <c r="BK391" s="46"/>
      <c r="BL391" s="46"/>
      <c r="BM391" s="36" t="str">
        <f aca="false">IF(ISNUMBER(Q391),IF(Q391&lt;0,"YES","no"),"")</f>
        <v>YES</v>
      </c>
      <c r="BN391" s="36" t="str">
        <f aca="false">IFERROR(IF(AND(ISNUMBER(K391),ISNUMBER(INDEX('Lift Inputs'!$H:$H,MATCH(C391,'Lift Inputs'!$C:$C,0)))),IF(K391&lt;INDEX('Lift Inputs'!$H:$H,MATCH(C391,'Lift Inputs'!$C:$C,0)),"YES","no"),""),"")</f>
        <v/>
      </c>
      <c r="BO391" s="44"/>
    </row>
    <row r="392" customFormat="false" ht="15" hidden="false" customHeight="false" outlineLevel="0" collapsed="false">
      <c r="A392" s="15" t="s">
        <v>110</v>
      </c>
      <c r="B392" s="15" t="s">
        <v>111</v>
      </c>
      <c r="C392" s="15" t="n">
        <v>48</v>
      </c>
      <c r="D392" s="15" t="s">
        <v>221</v>
      </c>
      <c r="E392" s="15" t="n">
        <v>1817</v>
      </c>
      <c r="F392" s="15" t="s">
        <v>438</v>
      </c>
      <c r="G392" s="15" t="s">
        <v>861</v>
      </c>
      <c r="H392" s="15" t="s">
        <v>861</v>
      </c>
      <c r="I392" s="15" t="s">
        <v>456</v>
      </c>
      <c r="J392" s="15" t="s">
        <v>177</v>
      </c>
      <c r="K392" s="35" t="n">
        <v>59.99</v>
      </c>
      <c r="L392" s="35" t="n">
        <v>74.99</v>
      </c>
      <c r="M392" s="23" t="n">
        <f aca="false">IF(AND(ISNUMBER(L392),ISNUMBER(K392),K392&gt;0),L392/K392-1,"")</f>
        <v>0.250041673612269</v>
      </c>
      <c r="N392" s="36" t="str">
        <f aca="false">IF(M392="","No List Price",IF(M392&lt;=0,"At/below price",IF(M392&lt;=0.12,"&lt;=12% (STR zone)",IF(M392&lt;=0.25,"12-25%","&gt;25% (likely ignored)"))))</f>
        <v>&gt;25% (likely ignored)</v>
      </c>
      <c r="O392" s="15"/>
      <c r="P392" s="35" t="n">
        <v>40.65</v>
      </c>
      <c r="Q392" s="22" t="n">
        <f aca="false">IF(AND(ISNUMBER(K392),ISNUMBER(P392),N(P392)&gt;0),K392/P392-1,"")</f>
        <v>0.475768757687577</v>
      </c>
      <c r="R392" s="15" t="s">
        <v>353</v>
      </c>
      <c r="S392" s="37" t="n">
        <v>39191</v>
      </c>
      <c r="T392" s="37" t="n">
        <v>18</v>
      </c>
      <c r="U392" s="38" t="n">
        <f aca="false">IF(AND(ISNUMBER(K392),ISNUMBER(T392)),K392*T392*52/12,"")</f>
        <v>4679.22</v>
      </c>
      <c r="V392" s="15" t="n">
        <v>4.5</v>
      </c>
      <c r="W392" s="37" t="n">
        <v>1639</v>
      </c>
      <c r="X392" s="39" t="n">
        <v>46307</v>
      </c>
      <c r="Y392" s="15" t="n">
        <v>32</v>
      </c>
      <c r="Z392" s="40" t="n">
        <v>45744</v>
      </c>
      <c r="AA392" s="41" t="n">
        <f aca="false">IF(ISNUMBER(Z392),(DATE(2026,10,13)-Z392)/365,"")</f>
        <v>1.54520547945205</v>
      </c>
      <c r="AB392" s="37" t="n">
        <v>1245</v>
      </c>
      <c r="AC392" s="15" t="s">
        <v>313</v>
      </c>
      <c r="AD392" s="15" t="n">
        <v>1</v>
      </c>
      <c r="AE392" s="15" t="s">
        <v>331</v>
      </c>
      <c r="AF392" s="42" t="n">
        <v>0</v>
      </c>
      <c r="AG392" s="42" t="n">
        <v>0</v>
      </c>
      <c r="AH392" s="15" t="n">
        <v>108</v>
      </c>
      <c r="AI392" s="37" t="n">
        <v>41895</v>
      </c>
      <c r="AJ392" s="37" t="n">
        <v>662</v>
      </c>
      <c r="AK392" s="15" t="s">
        <v>315</v>
      </c>
      <c r="AL392" s="43" t="n">
        <v>0</v>
      </c>
      <c r="AM392" s="43" t="n">
        <v>0</v>
      </c>
      <c r="AN392" s="25" t="str">
        <f aca="false">IF(AND(ISNUMBER(AM392),ISNUMBER(AL392),AL392&gt;=5),AM392/AL392,"")</f>
        <v/>
      </c>
      <c r="AO392" s="43" t="n">
        <v>0</v>
      </c>
      <c r="AP392" s="43" t="n">
        <v>0</v>
      </c>
      <c r="AQ392" s="25" t="str">
        <f aca="false">IF(AND(ISNUMBER(AP392),ISNUMBER(AO392),AO392&gt;=5),AP392/AO392,"")</f>
        <v/>
      </c>
      <c r="AR392" s="43" t="n">
        <v>9.8</v>
      </c>
      <c r="AS392" s="43" t="n">
        <v>0.1</v>
      </c>
      <c r="AT392" s="22" t="n">
        <f aca="false">IF(AND(ISNUMBER(AS392),ISNUMBER(AR392),AR392&gt;0),AS392/AR392-1,"")</f>
        <v>-0.989795918367347</v>
      </c>
      <c r="AU392" s="44"/>
      <c r="AV392" s="44"/>
      <c r="AW392" s="44"/>
      <c r="AX392" s="44"/>
      <c r="AY392" s="44"/>
      <c r="AZ392" s="45"/>
      <c r="BA392" s="45"/>
      <c r="BB392" s="46"/>
      <c r="BC392" s="46"/>
      <c r="BD392" s="23" t="str">
        <f aca="false">IF(AND(ISNUMBER(BB392),ISNUMBER(BC392),BB392&gt;0),1-BC392/BB392,"")</f>
        <v/>
      </c>
      <c r="BE392" s="47"/>
      <c r="BF392" s="48"/>
      <c r="BG392" s="48"/>
      <c r="BH392" s="27" t="str">
        <f aca="false">IF(AND(ISNUMBER(BF392),ISNUMBER(BG392),BG392&gt;0),BF392/BG392,"")</f>
        <v/>
      </c>
      <c r="BI392" s="48"/>
      <c r="BJ392" s="44"/>
      <c r="BK392" s="46"/>
      <c r="BL392" s="46"/>
      <c r="BM392" s="36" t="str">
        <f aca="false">IF(ISNUMBER(Q392),IF(Q392&lt;0,"YES","no"),"")</f>
        <v>no</v>
      </c>
      <c r="BN392" s="36" t="str">
        <f aca="false">IFERROR(IF(AND(ISNUMBER(K392),ISNUMBER(INDEX('Lift Inputs'!$H:$H,MATCH(C392,'Lift Inputs'!$C:$C,0)))),IF(K392&lt;INDEX('Lift Inputs'!$H:$H,MATCH(C392,'Lift Inputs'!$C:$C,0)),"YES","no"),""),"")</f>
        <v/>
      </c>
      <c r="BO392" s="44"/>
    </row>
    <row r="393" customFormat="false" ht="15" hidden="false" customHeight="false" outlineLevel="0" collapsed="false">
      <c r="A393" s="15" t="s">
        <v>110</v>
      </c>
      <c r="B393" s="15" t="s">
        <v>111</v>
      </c>
      <c r="C393" s="15" t="n">
        <v>48</v>
      </c>
      <c r="D393" s="15" t="s">
        <v>221</v>
      </c>
      <c r="E393" s="15" t="n">
        <v>7</v>
      </c>
      <c r="F393" s="15" t="s">
        <v>354</v>
      </c>
      <c r="G393" s="15" t="s">
        <v>405</v>
      </c>
      <c r="H393" s="15" t="s">
        <v>406</v>
      </c>
      <c r="I393" s="15" t="s">
        <v>407</v>
      </c>
      <c r="J393" s="15" t="s">
        <v>177</v>
      </c>
      <c r="K393" s="35" t="n">
        <v>129.99</v>
      </c>
      <c r="L393" s="35"/>
      <c r="M393" s="23" t="str">
        <f aca="false">IF(AND(ISNUMBER(L393),ISNUMBER(K393),K393&gt;0),L393/K393-1,"")</f>
        <v/>
      </c>
      <c r="N393" s="36" t="str">
        <f aca="false">IF(M393="","No List Price",IF(M393&lt;=0,"At/below price",IF(M393&lt;=0.12,"&lt;=12% (STR zone)",IF(M393&lt;=0.25,"12-25%","&gt;25% (likely ignored)"))))</f>
        <v>No List Price</v>
      </c>
      <c r="O393" s="15"/>
      <c r="P393" s="35" t="n">
        <v>40.65</v>
      </c>
      <c r="Q393" s="22" t="n">
        <f aca="false">IF(AND(ISNUMBER(K393),ISNUMBER(P393),N(P393)&gt;0),K393/P393-1,"")</f>
        <v>2.19778597785978</v>
      </c>
      <c r="R393" s="15" t="s">
        <v>353</v>
      </c>
      <c r="S393" s="37" t="n">
        <v>1577</v>
      </c>
      <c r="T393" s="37" t="n">
        <v>5</v>
      </c>
      <c r="U393" s="38" t="n">
        <f aca="false">IF(AND(ISNUMBER(K393),ISNUMBER(T393)),K393*T393*52/12,"")</f>
        <v>2816.45</v>
      </c>
      <c r="V393" s="15" t="n">
        <v>4.4</v>
      </c>
      <c r="W393" s="37" t="n">
        <v>5652</v>
      </c>
      <c r="X393" s="39" t="n">
        <v>46223</v>
      </c>
      <c r="Y393" s="15"/>
      <c r="Z393" s="40"/>
      <c r="AA393" s="41" t="str">
        <f aca="false">IF(ISNUMBER(Z393),(DATE(2026,10,13)-Z393)/365,"")</f>
        <v/>
      </c>
      <c r="AB393" s="37"/>
      <c r="AC393" s="15"/>
      <c r="AD393" s="15"/>
      <c r="AE393" s="15"/>
      <c r="AF393" s="42"/>
      <c r="AG393" s="42"/>
      <c r="AH393" s="15"/>
      <c r="AI393" s="37"/>
      <c r="AJ393" s="37"/>
      <c r="AK393" s="15"/>
      <c r="AL393" s="43"/>
      <c r="AM393" s="43"/>
      <c r="AN393" s="25" t="str">
        <f aca="false">IF(AND(ISNUMBER(AM393),ISNUMBER(AL393),AL393&gt;=5),AM393/AL393,"")</f>
        <v/>
      </c>
      <c r="AO393" s="43"/>
      <c r="AP393" s="43"/>
      <c r="AQ393" s="25" t="str">
        <f aca="false">IF(AND(ISNUMBER(AP393),ISNUMBER(AO393),AO393&gt;=5),AP393/AO393,"")</f>
        <v/>
      </c>
      <c r="AR393" s="43"/>
      <c r="AS393" s="43"/>
      <c r="AT393" s="22" t="str">
        <f aca="false">IF(AND(ISNUMBER(AS393),ISNUMBER(AR393),AR393&gt;0),AS393/AR393-1,"")</f>
        <v/>
      </c>
      <c r="AU393" s="44"/>
      <c r="AV393" s="44"/>
      <c r="AW393" s="44"/>
      <c r="AX393" s="44"/>
      <c r="AY393" s="44"/>
      <c r="AZ393" s="45"/>
      <c r="BA393" s="45"/>
      <c r="BB393" s="46"/>
      <c r="BC393" s="46"/>
      <c r="BD393" s="23" t="str">
        <f aca="false">IF(AND(ISNUMBER(BB393),ISNUMBER(BC393),BB393&gt;0),1-BC393/BB393,"")</f>
        <v/>
      </c>
      <c r="BE393" s="47"/>
      <c r="BF393" s="48"/>
      <c r="BG393" s="48"/>
      <c r="BH393" s="27" t="str">
        <f aca="false">IF(AND(ISNUMBER(BF393),ISNUMBER(BG393),BG393&gt;0),BF393/BG393,"")</f>
        <v/>
      </c>
      <c r="BI393" s="48"/>
      <c r="BJ393" s="44"/>
      <c r="BK393" s="46"/>
      <c r="BL393" s="46"/>
      <c r="BM393" s="36" t="str">
        <f aca="false">IF(ISNUMBER(Q393),IF(Q393&lt;0,"YES","no"),"")</f>
        <v>no</v>
      </c>
      <c r="BN393" s="36" t="str">
        <f aca="false">IFERROR(IF(AND(ISNUMBER(K393),ISNUMBER(INDEX('Lift Inputs'!$H:$H,MATCH(C393,'Lift Inputs'!$C:$C,0)))),IF(K393&lt;INDEX('Lift Inputs'!$H:$H,MATCH(C393,'Lift Inputs'!$C:$C,0)),"YES","no"),""),"")</f>
        <v/>
      </c>
      <c r="BO393" s="44"/>
    </row>
    <row r="394" customFormat="false" ht="15" hidden="false" customHeight="false" outlineLevel="0" collapsed="false">
      <c r="A394" s="15" t="s">
        <v>110</v>
      </c>
      <c r="B394" s="15" t="s">
        <v>111</v>
      </c>
      <c r="C394" s="15" t="n">
        <v>48</v>
      </c>
      <c r="D394" s="15" t="s">
        <v>221</v>
      </c>
      <c r="E394" s="15" t="n">
        <v>46</v>
      </c>
      <c r="F394" s="15" t="s">
        <v>307</v>
      </c>
      <c r="G394" s="15" t="s">
        <v>862</v>
      </c>
      <c r="H394" s="15" t="s">
        <v>863</v>
      </c>
      <c r="I394" s="15" t="s">
        <v>384</v>
      </c>
      <c r="J394" s="15" t="s">
        <v>177</v>
      </c>
      <c r="K394" s="35" t="n">
        <v>149.99</v>
      </c>
      <c r="L394" s="35"/>
      <c r="M394" s="23" t="str">
        <f aca="false">IF(AND(ISNUMBER(L394),ISNUMBER(K394),K394&gt;0),L394/K394-1,"")</f>
        <v/>
      </c>
      <c r="N394" s="36" t="str">
        <f aca="false">IF(M394="","No List Price",IF(M394&lt;=0,"At/below price",IF(M394&lt;=0.12,"&lt;=12% (STR zone)",IF(M394&lt;=0.25,"12-25%","&gt;25% (likely ignored)"))))</f>
        <v>No List Price</v>
      </c>
      <c r="O394" s="15"/>
      <c r="P394" s="35" t="n">
        <v>40.65</v>
      </c>
      <c r="Q394" s="22" t="n">
        <f aca="false">IF(AND(ISNUMBER(K394),ISNUMBER(P394),N(P394)&gt;0),K394/P394-1,"")</f>
        <v>2.68979089790898</v>
      </c>
      <c r="R394" s="15" t="s">
        <v>353</v>
      </c>
      <c r="S394" s="37" t="n">
        <v>463922</v>
      </c>
      <c r="T394" s="37" t="n">
        <v>5</v>
      </c>
      <c r="U394" s="38" t="n">
        <f aca="false">IF(AND(ISNUMBER(K394),ISNUMBER(T394)),K394*T394*52/12,"")</f>
        <v>3249.78333333333</v>
      </c>
      <c r="V394" s="15" t="n">
        <v>4.2</v>
      </c>
      <c r="W394" s="37" t="n">
        <v>512</v>
      </c>
      <c r="X394" s="39" t="n">
        <v>46307</v>
      </c>
      <c r="Y394" s="15"/>
      <c r="Z394" s="40"/>
      <c r="AA394" s="41" t="str">
        <f aca="false">IF(ISNUMBER(Z394),(DATE(2026,10,13)-Z394)/365,"")</f>
        <v/>
      </c>
      <c r="AB394" s="37"/>
      <c r="AC394" s="15"/>
      <c r="AD394" s="15"/>
      <c r="AE394" s="15"/>
      <c r="AF394" s="42"/>
      <c r="AG394" s="42"/>
      <c r="AH394" s="15"/>
      <c r="AI394" s="37" t="n">
        <v>170</v>
      </c>
      <c r="AJ394" s="37" t="n">
        <v>22</v>
      </c>
      <c r="AK394" s="15"/>
      <c r="AL394" s="43"/>
      <c r="AM394" s="43"/>
      <c r="AN394" s="25" t="str">
        <f aca="false">IF(AND(ISNUMBER(AM394),ISNUMBER(AL394),AL394&gt;=5),AM394/AL394,"")</f>
        <v/>
      </c>
      <c r="AO394" s="43"/>
      <c r="AP394" s="43"/>
      <c r="AQ394" s="25" t="str">
        <f aca="false">IF(AND(ISNUMBER(AP394),ISNUMBER(AO394),AO394&gt;=5),AP394/AO394,"")</f>
        <v/>
      </c>
      <c r="AR394" s="43"/>
      <c r="AS394" s="43"/>
      <c r="AT394" s="22" t="str">
        <f aca="false">IF(AND(ISNUMBER(AS394),ISNUMBER(AR394),AR394&gt;0),AS394/AR394-1,"")</f>
        <v/>
      </c>
      <c r="AU394" s="44"/>
      <c r="AV394" s="44"/>
      <c r="AW394" s="44"/>
      <c r="AX394" s="44"/>
      <c r="AY394" s="44"/>
      <c r="AZ394" s="45"/>
      <c r="BA394" s="45"/>
      <c r="BB394" s="46"/>
      <c r="BC394" s="46"/>
      <c r="BD394" s="23" t="str">
        <f aca="false">IF(AND(ISNUMBER(BB394),ISNUMBER(BC394),BB394&gt;0),1-BC394/BB394,"")</f>
        <v/>
      </c>
      <c r="BE394" s="47"/>
      <c r="BF394" s="48"/>
      <c r="BG394" s="48"/>
      <c r="BH394" s="27" t="str">
        <f aca="false">IF(AND(ISNUMBER(BF394),ISNUMBER(BG394),BG394&gt;0),BF394/BG394,"")</f>
        <v/>
      </c>
      <c r="BI394" s="48"/>
      <c r="BJ394" s="44"/>
      <c r="BK394" s="46"/>
      <c r="BL394" s="46"/>
      <c r="BM394" s="36" t="str">
        <f aca="false">IF(ISNUMBER(Q394),IF(Q394&lt;0,"YES","no"),"")</f>
        <v>no</v>
      </c>
      <c r="BN394" s="36" t="str">
        <f aca="false">IFERROR(IF(AND(ISNUMBER(K394),ISNUMBER(INDEX('Lift Inputs'!$H:$H,MATCH(C394,'Lift Inputs'!$C:$C,0)))),IF(K394&lt;INDEX('Lift Inputs'!$H:$H,MATCH(C394,'Lift Inputs'!$C:$C,0)),"YES","no"),""),"")</f>
        <v/>
      </c>
      <c r="BO394" s="44"/>
    </row>
    <row r="395" customFormat="false" ht="15" hidden="false" customHeight="false" outlineLevel="0" collapsed="false">
      <c r="A395" s="15" t="s">
        <v>110</v>
      </c>
      <c r="B395" s="15" t="s">
        <v>111</v>
      </c>
      <c r="C395" s="15" t="n">
        <v>48</v>
      </c>
      <c r="D395" s="15" t="s">
        <v>221</v>
      </c>
      <c r="E395" s="15" t="n">
        <v>1501</v>
      </c>
      <c r="F395" s="15" t="s">
        <v>864</v>
      </c>
      <c r="G395" s="15" t="s">
        <v>865</v>
      </c>
      <c r="H395" s="15" t="s">
        <v>865</v>
      </c>
      <c r="I395" s="15" t="s">
        <v>384</v>
      </c>
      <c r="J395" s="15" t="s">
        <v>177</v>
      </c>
      <c r="K395" s="35" t="n">
        <v>139.99</v>
      </c>
      <c r="L395" s="35"/>
      <c r="M395" s="23" t="str">
        <f aca="false">IF(AND(ISNUMBER(L395),ISNUMBER(K395),K395&gt;0),L395/K395-1,"")</f>
        <v/>
      </c>
      <c r="N395" s="36" t="str">
        <f aca="false">IF(M395="","No List Price",IF(M395&lt;=0,"At/below price",IF(M395&lt;=0.12,"&lt;=12% (STR zone)",IF(M395&lt;=0.25,"12-25%","&gt;25% (likely ignored)"))))</f>
        <v>No List Price</v>
      </c>
      <c r="O395" s="15"/>
      <c r="P395" s="35" t="n">
        <v>40.65</v>
      </c>
      <c r="Q395" s="22" t="n">
        <f aca="false">IF(AND(ISNUMBER(K395),ISNUMBER(P395),N(P395)&gt;0),K395/P395-1,"")</f>
        <v>2.44378843788438</v>
      </c>
      <c r="R395" s="15" t="s">
        <v>353</v>
      </c>
      <c r="S395" s="37" t="n">
        <v>2798999</v>
      </c>
      <c r="T395" s="37" t="n">
        <v>5</v>
      </c>
      <c r="U395" s="38" t="n">
        <f aca="false">IF(AND(ISNUMBER(K395),ISNUMBER(T395)),K395*T395*52/12,"")</f>
        <v>3033.11666666667</v>
      </c>
      <c r="V395" s="15" t="n">
        <v>4.2</v>
      </c>
      <c r="W395" s="37" t="n">
        <v>6</v>
      </c>
      <c r="X395" s="39" t="n">
        <v>46279</v>
      </c>
      <c r="Y395" s="15"/>
      <c r="Z395" s="40"/>
      <c r="AA395" s="41" t="str">
        <f aca="false">IF(ISNUMBER(Z395),(DATE(2026,10,13)-Z395)/365,"")</f>
        <v/>
      </c>
      <c r="AB395" s="37"/>
      <c r="AC395" s="15"/>
      <c r="AD395" s="15"/>
      <c r="AE395" s="15"/>
      <c r="AF395" s="42"/>
      <c r="AG395" s="42"/>
      <c r="AH395" s="15"/>
      <c r="AI395" s="37"/>
      <c r="AJ395" s="37"/>
      <c r="AK395" s="15" t="s">
        <v>326</v>
      </c>
      <c r="AL395" s="43" t="n">
        <v>0</v>
      </c>
      <c r="AM395" s="43" t="n">
        <v>0</v>
      </c>
      <c r="AN395" s="25" t="str">
        <f aca="false">IF(AND(ISNUMBER(AM395),ISNUMBER(AL395),AL395&gt;=5),AM395/AL395,"")</f>
        <v/>
      </c>
      <c r="AO395" s="43" t="n">
        <v>0</v>
      </c>
      <c r="AP395" s="43" t="n">
        <v>0</v>
      </c>
      <c r="AQ395" s="25" t="str">
        <f aca="false">IF(AND(ISNUMBER(AP395),ISNUMBER(AO395),AO395&gt;=5),AP395/AO395,"")</f>
        <v/>
      </c>
      <c r="AR395" s="43" t="n">
        <v>0.3</v>
      </c>
      <c r="AS395" s="43" t="n">
        <v>0</v>
      </c>
      <c r="AT395" s="22" t="n">
        <f aca="false">IF(AND(ISNUMBER(AS395),ISNUMBER(AR395),AR395&gt;0),AS395/AR395-1,"")</f>
        <v>-1</v>
      </c>
      <c r="AU395" s="44"/>
      <c r="AV395" s="44"/>
      <c r="AW395" s="44"/>
      <c r="AX395" s="44"/>
      <c r="AY395" s="44"/>
      <c r="AZ395" s="45"/>
      <c r="BA395" s="45"/>
      <c r="BB395" s="46"/>
      <c r="BC395" s="46"/>
      <c r="BD395" s="23" t="str">
        <f aca="false">IF(AND(ISNUMBER(BB395),ISNUMBER(BC395),BB395&gt;0),1-BC395/BB395,"")</f>
        <v/>
      </c>
      <c r="BE395" s="47"/>
      <c r="BF395" s="48"/>
      <c r="BG395" s="48"/>
      <c r="BH395" s="27" t="str">
        <f aca="false">IF(AND(ISNUMBER(BF395),ISNUMBER(BG395),BG395&gt;0),BF395/BG395,"")</f>
        <v/>
      </c>
      <c r="BI395" s="48"/>
      <c r="BJ395" s="44"/>
      <c r="BK395" s="46"/>
      <c r="BL395" s="46"/>
      <c r="BM395" s="36" t="str">
        <f aca="false">IF(ISNUMBER(Q395),IF(Q395&lt;0,"YES","no"),"")</f>
        <v>no</v>
      </c>
      <c r="BN395" s="36" t="str">
        <f aca="false">IFERROR(IF(AND(ISNUMBER(K395),ISNUMBER(INDEX('Lift Inputs'!$H:$H,MATCH(C395,'Lift Inputs'!$C:$C,0)))),IF(K395&lt;INDEX('Lift Inputs'!$H:$H,MATCH(C395,'Lift Inputs'!$C:$C,0)),"YES","no"),""),"")</f>
        <v/>
      </c>
      <c r="BO395" s="44"/>
    </row>
    <row r="396" customFormat="false" ht="15" hidden="false" customHeight="false" outlineLevel="0" collapsed="false">
      <c r="A396" s="15" t="s">
        <v>110</v>
      </c>
      <c r="B396" s="15" t="s">
        <v>111</v>
      </c>
      <c r="C396" s="15" t="n">
        <v>48</v>
      </c>
      <c r="D396" s="15" t="s">
        <v>221</v>
      </c>
      <c r="E396" s="15" t="n">
        <v>9</v>
      </c>
      <c r="F396" s="15" t="s">
        <v>866</v>
      </c>
      <c r="G396" s="15" t="s">
        <v>867</v>
      </c>
      <c r="H396" s="15" t="s">
        <v>868</v>
      </c>
      <c r="I396" s="15" t="s">
        <v>869</v>
      </c>
      <c r="J396" s="15" t="s">
        <v>177</v>
      </c>
      <c r="K396" s="35" t="n">
        <v>67.99</v>
      </c>
      <c r="L396" s="35" t="n">
        <v>79.99</v>
      </c>
      <c r="M396" s="23" t="n">
        <f aca="false">IF(AND(ISNUMBER(L396),ISNUMBER(K396),K396&gt;0),L396/K396-1,"")</f>
        <v>0.176496543609354</v>
      </c>
      <c r="N396" s="36" t="str">
        <f aca="false">IF(M396="","No List Price",IF(M396&lt;=0,"At/below price",IF(M396&lt;=0.12,"&lt;=12% (STR zone)",IF(M396&lt;=0.25,"12-25%","&gt;25% (likely ignored)"))))</f>
        <v>12-25%</v>
      </c>
      <c r="O396" s="15" t="s">
        <v>311</v>
      </c>
      <c r="P396" s="35" t="n">
        <v>40.65</v>
      </c>
      <c r="Q396" s="22" t="n">
        <f aca="false">IF(AND(ISNUMBER(K396),ISNUMBER(P396),N(P396)&gt;0),K396/P396-1,"")</f>
        <v>0.672570725707257</v>
      </c>
      <c r="R396" s="15" t="s">
        <v>312</v>
      </c>
      <c r="S396" s="37" t="n">
        <v>159865</v>
      </c>
      <c r="T396" s="37" t="n">
        <v>5</v>
      </c>
      <c r="U396" s="38" t="n">
        <f aca="false">IF(AND(ISNUMBER(K396),ISNUMBER(T396)),K396*T396*52/12,"")</f>
        <v>1473.11666666667</v>
      </c>
      <c r="V396" s="15" t="n">
        <v>4.4</v>
      </c>
      <c r="W396" s="37" t="n">
        <v>131</v>
      </c>
      <c r="X396" s="39" t="n">
        <v>46307</v>
      </c>
      <c r="Y396" s="15"/>
      <c r="Z396" s="40"/>
      <c r="AA396" s="41" t="str">
        <f aca="false">IF(ISNUMBER(Z396),(DATE(2026,10,13)-Z396)/365,"")</f>
        <v/>
      </c>
      <c r="AB396" s="37"/>
      <c r="AC396" s="15"/>
      <c r="AD396" s="15"/>
      <c r="AE396" s="15"/>
      <c r="AF396" s="42"/>
      <c r="AG396" s="42"/>
      <c r="AH396" s="15"/>
      <c r="AI396" s="37" t="n">
        <v>15624</v>
      </c>
      <c r="AJ396" s="37" t="n">
        <v>643</v>
      </c>
      <c r="AK396" s="15" t="s">
        <v>315</v>
      </c>
      <c r="AL396" s="43" t="n">
        <v>9.9</v>
      </c>
      <c r="AM396" s="43" t="n">
        <v>4.8</v>
      </c>
      <c r="AN396" s="25" t="n">
        <f aca="false">IF(AND(ISNUMBER(AM396),ISNUMBER(AL396),AL396&gt;=5),AM396/AL396,"")</f>
        <v>0.484848484848485</v>
      </c>
      <c r="AO396" s="43" t="n">
        <v>8.7</v>
      </c>
      <c r="AP396" s="43" t="n">
        <v>17</v>
      </c>
      <c r="AQ396" s="25" t="n">
        <f aca="false">IF(AND(ISNUMBER(AP396),ISNUMBER(AO396),AO396&gt;=5),AP396/AO396,"")</f>
        <v>1.95402298850575</v>
      </c>
      <c r="AR396" s="43" t="n">
        <v>3.7</v>
      </c>
      <c r="AS396" s="43" t="n">
        <v>15.5</v>
      </c>
      <c r="AT396" s="22" t="n">
        <f aca="false">IF(AND(ISNUMBER(AS396),ISNUMBER(AR396),AR396&gt;0),AS396/AR396-1,"")</f>
        <v>3.18918918918919</v>
      </c>
      <c r="AU396" s="44"/>
      <c r="AV396" s="44"/>
      <c r="AW396" s="44"/>
      <c r="AX396" s="44"/>
      <c r="AY396" s="44"/>
      <c r="AZ396" s="45"/>
      <c r="BA396" s="45"/>
      <c r="BB396" s="46"/>
      <c r="BC396" s="46"/>
      <c r="BD396" s="23" t="str">
        <f aca="false">IF(AND(ISNUMBER(BB396),ISNUMBER(BC396),BB396&gt;0),1-BC396/BB396,"")</f>
        <v/>
      </c>
      <c r="BE396" s="47"/>
      <c r="BF396" s="48"/>
      <c r="BG396" s="48"/>
      <c r="BH396" s="27" t="str">
        <f aca="false">IF(AND(ISNUMBER(BF396),ISNUMBER(BG396),BG396&gt;0),BF396/BG396,"")</f>
        <v/>
      </c>
      <c r="BI396" s="48"/>
      <c r="BJ396" s="44"/>
      <c r="BK396" s="46"/>
      <c r="BL396" s="46"/>
      <c r="BM396" s="36" t="str">
        <f aca="false">IF(ISNUMBER(Q396),IF(Q396&lt;0,"YES","no"),"")</f>
        <v>no</v>
      </c>
      <c r="BN396" s="36" t="str">
        <f aca="false">IFERROR(IF(AND(ISNUMBER(K396),ISNUMBER(INDEX('Lift Inputs'!$H:$H,MATCH(C396,'Lift Inputs'!$C:$C,0)))),IF(K396&lt;INDEX('Lift Inputs'!$H:$H,MATCH(C396,'Lift Inputs'!$C:$C,0)),"YES","no"),""),"")</f>
        <v/>
      </c>
      <c r="BO396" s="44"/>
    </row>
    <row r="397" customFormat="false" ht="15" hidden="false" customHeight="false" outlineLevel="0" collapsed="false">
      <c r="A397" s="15" t="s">
        <v>110</v>
      </c>
      <c r="B397" s="15" t="s">
        <v>111</v>
      </c>
      <c r="C397" s="15" t="n">
        <v>48</v>
      </c>
      <c r="D397" s="15" t="s">
        <v>221</v>
      </c>
      <c r="E397" s="15" t="n">
        <v>1812</v>
      </c>
      <c r="F397" s="15" t="s">
        <v>870</v>
      </c>
      <c r="G397" s="15" t="s">
        <v>871</v>
      </c>
      <c r="H397" s="15" t="s">
        <v>872</v>
      </c>
      <c r="I397" s="15" t="s">
        <v>384</v>
      </c>
      <c r="J397" s="15" t="s">
        <v>177</v>
      </c>
      <c r="K397" s="35" t="n">
        <v>42.99</v>
      </c>
      <c r="L397" s="35" t="n">
        <v>59.99</v>
      </c>
      <c r="M397" s="23" t="n">
        <f aca="false">IF(AND(ISNUMBER(L397),ISNUMBER(K397),K397&gt;0),L397/K397-1,"")</f>
        <v>0.39544080018609</v>
      </c>
      <c r="N397" s="36" t="str">
        <f aca="false">IF(M397="","No List Price",IF(M397&lt;=0,"At/below price",IF(M397&lt;=0.12,"&lt;=12% (STR zone)",IF(M397&lt;=0.25,"12-25%","&gt;25% (likely ignored)"))))</f>
        <v>&gt;25% (likely ignored)</v>
      </c>
      <c r="O397" s="15"/>
      <c r="P397" s="35" t="n">
        <v>40.65</v>
      </c>
      <c r="Q397" s="22" t="n">
        <f aca="false">IF(AND(ISNUMBER(K397),ISNUMBER(P397),N(P397)&gt;0),K397/P397-1,"")</f>
        <v>0.0575645756457566</v>
      </c>
      <c r="R397" s="15" t="s">
        <v>353</v>
      </c>
      <c r="S397" s="37" t="n">
        <v>115669</v>
      </c>
      <c r="T397" s="37" t="n">
        <v>5</v>
      </c>
      <c r="U397" s="38" t="n">
        <f aca="false">IF(AND(ISNUMBER(K397),ISNUMBER(T397)),K397*T397*52/12,"")</f>
        <v>931.45</v>
      </c>
      <c r="V397" s="15" t="n">
        <v>4.7</v>
      </c>
      <c r="W397" s="37" t="n">
        <v>4</v>
      </c>
      <c r="X397" s="39" t="n">
        <v>46307</v>
      </c>
      <c r="Y397" s="15"/>
      <c r="Z397" s="40"/>
      <c r="AA397" s="41" t="str">
        <f aca="false">IF(ISNUMBER(Z397),(DATE(2026,10,13)-Z397)/365,"")</f>
        <v/>
      </c>
      <c r="AB397" s="37"/>
      <c r="AC397" s="15"/>
      <c r="AD397" s="15"/>
      <c r="AE397" s="15"/>
      <c r="AF397" s="42"/>
      <c r="AG397" s="42"/>
      <c r="AH397" s="15"/>
      <c r="AI397" s="37" t="n">
        <v>13712</v>
      </c>
      <c r="AJ397" s="37" t="n">
        <v>332</v>
      </c>
      <c r="AK397" s="15"/>
      <c r="AL397" s="43"/>
      <c r="AM397" s="43"/>
      <c r="AN397" s="25" t="str">
        <f aca="false">IF(AND(ISNUMBER(AM397),ISNUMBER(AL397),AL397&gt;=5),AM397/AL397,"")</f>
        <v/>
      </c>
      <c r="AO397" s="43"/>
      <c r="AP397" s="43"/>
      <c r="AQ397" s="25" t="str">
        <f aca="false">IF(AND(ISNUMBER(AP397),ISNUMBER(AO397),AO397&gt;=5),AP397/AO397,"")</f>
        <v/>
      </c>
      <c r="AR397" s="43"/>
      <c r="AS397" s="43"/>
      <c r="AT397" s="22" t="str">
        <f aca="false">IF(AND(ISNUMBER(AS397),ISNUMBER(AR397),AR397&gt;0),AS397/AR397-1,"")</f>
        <v/>
      </c>
      <c r="AU397" s="44"/>
      <c r="AV397" s="44"/>
      <c r="AW397" s="44"/>
      <c r="AX397" s="44"/>
      <c r="AY397" s="44"/>
      <c r="AZ397" s="45"/>
      <c r="BA397" s="45"/>
      <c r="BB397" s="46"/>
      <c r="BC397" s="46"/>
      <c r="BD397" s="23" t="str">
        <f aca="false">IF(AND(ISNUMBER(BB397),ISNUMBER(BC397),BB397&gt;0),1-BC397/BB397,"")</f>
        <v/>
      </c>
      <c r="BE397" s="47"/>
      <c r="BF397" s="48"/>
      <c r="BG397" s="48"/>
      <c r="BH397" s="27" t="str">
        <f aca="false">IF(AND(ISNUMBER(BF397),ISNUMBER(BG397),BG397&gt;0),BF397/BG397,"")</f>
        <v/>
      </c>
      <c r="BI397" s="48"/>
      <c r="BJ397" s="44"/>
      <c r="BK397" s="46"/>
      <c r="BL397" s="46"/>
      <c r="BM397" s="36" t="str">
        <f aca="false">IF(ISNUMBER(Q397),IF(Q397&lt;0,"YES","no"),"")</f>
        <v>no</v>
      </c>
      <c r="BN397" s="36" t="str">
        <f aca="false">IFERROR(IF(AND(ISNUMBER(K397),ISNUMBER(INDEX('Lift Inputs'!$H:$H,MATCH(C397,'Lift Inputs'!$C:$C,0)))),IF(K397&lt;INDEX('Lift Inputs'!$H:$H,MATCH(C397,'Lift Inputs'!$C:$C,0)),"YES","no"),""),"")</f>
        <v/>
      </c>
      <c r="BO397" s="44"/>
    </row>
    <row r="398" customFormat="false" ht="15" hidden="false" customHeight="false" outlineLevel="0" collapsed="false">
      <c r="A398" s="15" t="s">
        <v>110</v>
      </c>
      <c r="B398" s="15" t="s">
        <v>111</v>
      </c>
      <c r="C398" s="15" t="n">
        <v>48</v>
      </c>
      <c r="D398" s="15" t="s">
        <v>221</v>
      </c>
      <c r="E398" s="15" t="n">
        <v>1815</v>
      </c>
      <c r="F398" s="15" t="s">
        <v>438</v>
      </c>
      <c r="G398" s="15" t="s">
        <v>873</v>
      </c>
      <c r="H398" s="15" t="s">
        <v>873</v>
      </c>
      <c r="I398" s="15" t="s">
        <v>874</v>
      </c>
      <c r="J398" s="15" t="s">
        <v>177</v>
      </c>
      <c r="K398" s="35" t="n">
        <v>54.9</v>
      </c>
      <c r="L398" s="35" t="n">
        <v>64.9</v>
      </c>
      <c r="M398" s="23" t="n">
        <f aca="false">IF(AND(ISNUMBER(L398),ISNUMBER(K398),K398&gt;0),L398/K398-1,"")</f>
        <v>0.182149362477231</v>
      </c>
      <c r="N398" s="36" t="str">
        <f aca="false">IF(M398="","No List Price",IF(M398&lt;=0,"At/below price",IF(M398&lt;=0.12,"&lt;=12% (STR zone)",IF(M398&lt;=0.25,"12-25%","&gt;25% (likely ignored)"))))</f>
        <v>12-25%</v>
      </c>
      <c r="O398" s="15" t="s">
        <v>320</v>
      </c>
      <c r="P398" s="35" t="n">
        <v>39.7</v>
      </c>
      <c r="Q398" s="22" t="n">
        <f aca="false">IF(AND(ISNUMBER(K398),ISNUMBER(P398),N(P398)&gt;0),K398/P398-1,"")</f>
        <v>0.382871536523929</v>
      </c>
      <c r="R398" s="15" t="s">
        <v>321</v>
      </c>
      <c r="S398" s="37" t="n">
        <v>26044</v>
      </c>
      <c r="T398" s="37" t="n">
        <v>5</v>
      </c>
      <c r="U398" s="38" t="n">
        <f aca="false">IF(AND(ISNUMBER(K398),ISNUMBER(T398)),K398*T398*52/12,"")</f>
        <v>1189.5</v>
      </c>
      <c r="V398" s="15" t="n">
        <v>4.4</v>
      </c>
      <c r="W398" s="37" t="n">
        <v>6629</v>
      </c>
      <c r="X398" s="39" t="n">
        <v>46307</v>
      </c>
      <c r="Y398" s="15" t="n">
        <v>79</v>
      </c>
      <c r="Z398" s="40" t="n">
        <v>44654</v>
      </c>
      <c r="AA398" s="41" t="n">
        <f aca="false">IF(ISNUMBER(Z398),(DATE(2026,10,13)-Z398)/365,"")</f>
        <v>4.53150684931507</v>
      </c>
      <c r="AB398" s="37" t="n">
        <v>1776</v>
      </c>
      <c r="AC398" s="15" t="s">
        <v>313</v>
      </c>
      <c r="AD398" s="15" t="n">
        <v>1</v>
      </c>
      <c r="AE398" s="15" t="s">
        <v>331</v>
      </c>
      <c r="AF398" s="42" t="n">
        <v>0</v>
      </c>
      <c r="AG398" s="42" t="n">
        <v>0</v>
      </c>
      <c r="AH398" s="15" t="n">
        <v>188</v>
      </c>
      <c r="AI398" s="37" t="n">
        <v>55207</v>
      </c>
      <c r="AJ398" s="37" t="n">
        <v>914</v>
      </c>
      <c r="AK398" s="15"/>
      <c r="AL398" s="43"/>
      <c r="AM398" s="43"/>
      <c r="AN398" s="25" t="str">
        <f aca="false">IF(AND(ISNUMBER(AM398),ISNUMBER(AL398),AL398&gt;=5),AM398/AL398,"")</f>
        <v/>
      </c>
      <c r="AO398" s="43"/>
      <c r="AP398" s="43"/>
      <c r="AQ398" s="25" t="str">
        <f aca="false">IF(AND(ISNUMBER(AP398),ISNUMBER(AO398),AO398&gt;=5),AP398/AO398,"")</f>
        <v/>
      </c>
      <c r="AR398" s="43"/>
      <c r="AS398" s="43"/>
      <c r="AT398" s="22" t="str">
        <f aca="false">IF(AND(ISNUMBER(AS398),ISNUMBER(AR398),AR398&gt;0),AS398/AR398-1,"")</f>
        <v/>
      </c>
      <c r="AU398" s="44"/>
      <c r="AV398" s="44"/>
      <c r="AW398" s="44"/>
      <c r="AX398" s="44"/>
      <c r="AY398" s="44"/>
      <c r="AZ398" s="45"/>
      <c r="BA398" s="45"/>
      <c r="BB398" s="46"/>
      <c r="BC398" s="46"/>
      <c r="BD398" s="23" t="str">
        <f aca="false">IF(AND(ISNUMBER(BB398),ISNUMBER(BC398),BB398&gt;0),1-BC398/BB398,"")</f>
        <v/>
      </c>
      <c r="BE398" s="47"/>
      <c r="BF398" s="48"/>
      <c r="BG398" s="48"/>
      <c r="BH398" s="27" t="str">
        <f aca="false">IF(AND(ISNUMBER(BF398),ISNUMBER(BG398),BG398&gt;0),BF398/BG398,"")</f>
        <v/>
      </c>
      <c r="BI398" s="48"/>
      <c r="BJ398" s="44"/>
      <c r="BK398" s="46"/>
      <c r="BL398" s="46"/>
      <c r="BM398" s="36" t="str">
        <f aca="false">IF(ISNUMBER(Q398),IF(Q398&lt;0,"YES","no"),"")</f>
        <v>no</v>
      </c>
      <c r="BN398" s="36" t="str">
        <f aca="false">IFERROR(IF(AND(ISNUMBER(K398),ISNUMBER(INDEX('Lift Inputs'!$H:$H,MATCH(C398,'Lift Inputs'!$C:$C,0)))),IF(K398&lt;INDEX('Lift Inputs'!$H:$H,MATCH(C398,'Lift Inputs'!$C:$C,0)),"YES","no"),""),"")</f>
        <v/>
      </c>
      <c r="BO398" s="44"/>
    </row>
    <row r="399" customFormat="false" ht="15" hidden="false" customHeight="false" outlineLevel="0" collapsed="false">
      <c r="A399" s="15" t="s">
        <v>110</v>
      </c>
      <c r="B399" s="15" t="s">
        <v>111</v>
      </c>
      <c r="C399" s="15" t="n">
        <v>48</v>
      </c>
      <c r="D399" s="15" t="s">
        <v>221</v>
      </c>
      <c r="E399" s="15" t="n">
        <v>1644</v>
      </c>
      <c r="F399" s="15" t="s">
        <v>875</v>
      </c>
      <c r="G399" s="15" t="s">
        <v>876</v>
      </c>
      <c r="H399" s="15" t="s">
        <v>877</v>
      </c>
      <c r="I399" s="15" t="s">
        <v>384</v>
      </c>
      <c r="J399" s="15" t="s">
        <v>177</v>
      </c>
      <c r="K399" s="35" t="n">
        <v>24.99</v>
      </c>
      <c r="L399" s="35"/>
      <c r="M399" s="23" t="str">
        <f aca="false">IF(AND(ISNUMBER(L399),ISNUMBER(K399),K399&gt;0),L399/K399-1,"")</f>
        <v/>
      </c>
      <c r="N399" s="36" t="str">
        <f aca="false">IF(M399="","No List Price",IF(M399&lt;=0,"At/below price",IF(M399&lt;=0.12,"&lt;=12% (STR zone)",IF(M399&lt;=0.25,"12-25%","&gt;25% (likely ignored)"))))</f>
        <v>No List Price</v>
      </c>
      <c r="O399" s="15"/>
      <c r="P399" s="35" t="n">
        <v>40.65</v>
      </c>
      <c r="Q399" s="22" t="n">
        <f aca="false">IF(AND(ISNUMBER(K399),ISNUMBER(P399),N(P399)&gt;0),K399/P399-1,"")</f>
        <v>-0.385239852398524</v>
      </c>
      <c r="R399" s="15" t="s">
        <v>353</v>
      </c>
      <c r="S399" s="37" t="n">
        <v>758020</v>
      </c>
      <c r="T399" s="37"/>
      <c r="U399" s="38" t="str">
        <f aca="false">IF(AND(ISNUMBER(K399),ISNUMBER(T399)),K399*T399*52/12,"")</f>
        <v/>
      </c>
      <c r="V399" s="15" t="n">
        <v>4.3</v>
      </c>
      <c r="W399" s="37" t="n">
        <v>169</v>
      </c>
      <c r="X399" s="39" t="n">
        <v>46307</v>
      </c>
      <c r="Y399" s="15"/>
      <c r="Z399" s="40"/>
      <c r="AA399" s="41" t="str">
        <f aca="false">IF(ISNUMBER(Z399),(DATE(2026,10,13)-Z399)/365,"")</f>
        <v/>
      </c>
      <c r="AB399" s="37"/>
      <c r="AC399" s="15"/>
      <c r="AD399" s="15"/>
      <c r="AE399" s="15"/>
      <c r="AF399" s="42"/>
      <c r="AG399" s="42"/>
      <c r="AH399" s="15"/>
      <c r="AI399" s="37"/>
      <c r="AJ399" s="37"/>
      <c r="AK399" s="15" t="s">
        <v>878</v>
      </c>
      <c r="AL399" s="43" t="n">
        <v>0</v>
      </c>
      <c r="AM399" s="43" t="n">
        <v>0</v>
      </c>
      <c r="AN399" s="25" t="str">
        <f aca="false">IF(AND(ISNUMBER(AM399),ISNUMBER(AL399),AL399&gt;=5),AM399/AL399,"")</f>
        <v/>
      </c>
      <c r="AO399" s="43" t="n">
        <v>0</v>
      </c>
      <c r="AP399" s="43" t="n">
        <v>0</v>
      </c>
      <c r="AQ399" s="25" t="str">
        <f aca="false">IF(AND(ISNUMBER(AP399),ISNUMBER(AO399),AO399&gt;=5),AP399/AO399,"")</f>
        <v/>
      </c>
      <c r="AR399" s="43" t="n">
        <v>0</v>
      </c>
      <c r="AS399" s="43" t="n">
        <v>0</v>
      </c>
      <c r="AT399" s="22" t="str">
        <f aca="false">IF(AND(ISNUMBER(AS399),ISNUMBER(AR399),AR399&gt;0),AS399/AR399-1,"")</f>
        <v/>
      </c>
      <c r="AU399" s="44"/>
      <c r="AV399" s="44"/>
      <c r="AW399" s="44"/>
      <c r="AX399" s="44"/>
      <c r="AY399" s="44"/>
      <c r="AZ399" s="45"/>
      <c r="BA399" s="45"/>
      <c r="BB399" s="46"/>
      <c r="BC399" s="46"/>
      <c r="BD399" s="23" t="str">
        <f aca="false">IF(AND(ISNUMBER(BB399),ISNUMBER(BC399),BB399&gt;0),1-BC399/BB399,"")</f>
        <v/>
      </c>
      <c r="BE399" s="47"/>
      <c r="BF399" s="48"/>
      <c r="BG399" s="48"/>
      <c r="BH399" s="27" t="str">
        <f aca="false">IF(AND(ISNUMBER(BF399),ISNUMBER(BG399),BG399&gt;0),BF399/BG399,"")</f>
        <v/>
      </c>
      <c r="BI399" s="48"/>
      <c r="BJ399" s="44"/>
      <c r="BK399" s="46"/>
      <c r="BL399" s="46"/>
      <c r="BM399" s="36" t="str">
        <f aca="false">IF(ISNUMBER(Q399),IF(Q399&lt;0,"YES","no"),"")</f>
        <v>YES</v>
      </c>
      <c r="BN399" s="36" t="str">
        <f aca="false">IFERROR(IF(AND(ISNUMBER(K399),ISNUMBER(INDEX('Lift Inputs'!$H:$H,MATCH(C399,'Lift Inputs'!$C:$C,0)))),IF(K399&lt;INDEX('Lift Inputs'!$H:$H,MATCH(C399,'Lift Inputs'!$C:$C,0)),"YES","no"),""),"")</f>
        <v/>
      </c>
      <c r="BO399" s="44"/>
    </row>
    <row r="400" customFormat="false" ht="15" hidden="false" customHeight="false" outlineLevel="0" collapsed="false">
      <c r="A400" s="15" t="s">
        <v>110</v>
      </c>
      <c r="B400" s="15" t="s">
        <v>111</v>
      </c>
      <c r="C400" s="15" t="n">
        <v>48</v>
      </c>
      <c r="D400" s="15" t="s">
        <v>221</v>
      </c>
      <c r="E400" s="15" t="n">
        <v>1818</v>
      </c>
      <c r="F400" s="15" t="s">
        <v>385</v>
      </c>
      <c r="G400" s="15" t="s">
        <v>879</v>
      </c>
      <c r="H400" s="15" t="s">
        <v>879</v>
      </c>
      <c r="I400" s="15" t="s">
        <v>880</v>
      </c>
      <c r="J400" s="15" t="s">
        <v>178</v>
      </c>
      <c r="K400" s="35" t="n">
        <v>109.99</v>
      </c>
      <c r="L400" s="35"/>
      <c r="M400" s="23" t="str">
        <f aca="false">IF(AND(ISNUMBER(L400),ISNUMBER(K400),K400&gt;0),L400/K400-1,"")</f>
        <v/>
      </c>
      <c r="N400" s="36" t="str">
        <f aca="false">IF(M400="","No List Price",IF(M400&lt;=0,"At/below price",IF(M400&lt;=0.12,"&lt;=12% (STR zone)",IF(M400&lt;=0.25,"12-25%","&gt;25% (likely ignored)"))))</f>
        <v>No List Price</v>
      </c>
      <c r="O400" s="15"/>
      <c r="P400" s="35" t="n">
        <v>40.65</v>
      </c>
      <c r="Q400" s="22" t="n">
        <f aca="false">IF(AND(ISNUMBER(K400),ISNUMBER(P400),N(P400)&gt;0),K400/P400-1,"")</f>
        <v>1.70578105781058</v>
      </c>
      <c r="R400" s="15" t="s">
        <v>353</v>
      </c>
      <c r="S400" s="37" t="n">
        <v>1401806</v>
      </c>
      <c r="T400" s="37" t="n">
        <v>5</v>
      </c>
      <c r="U400" s="38" t="n">
        <f aca="false">IF(AND(ISNUMBER(K400),ISNUMBER(T400)),K400*T400*52/12,"")</f>
        <v>2383.11666666667</v>
      </c>
      <c r="V400" s="15" t="n">
        <v>4.5</v>
      </c>
      <c r="W400" s="37" t="n">
        <v>35</v>
      </c>
      <c r="X400" s="39" t="n">
        <v>46307</v>
      </c>
      <c r="Y400" s="15" t="n">
        <v>1</v>
      </c>
      <c r="Z400" s="40" t="n">
        <v>45875</v>
      </c>
      <c r="AA400" s="41" t="n">
        <f aca="false">IF(ISNUMBER(Z400),(DATE(2026,10,13)-Z400)/365,"")</f>
        <v>1.18630136986301</v>
      </c>
      <c r="AB400" s="37" t="n">
        <v>14</v>
      </c>
      <c r="AC400" s="15" t="s">
        <v>465</v>
      </c>
      <c r="AD400" s="15" t="n">
        <v>0</v>
      </c>
      <c r="AE400" s="15" t="s">
        <v>466</v>
      </c>
      <c r="AF400" s="42" t="n">
        <v>0</v>
      </c>
      <c r="AG400" s="42" t="n">
        <v>0</v>
      </c>
      <c r="AH400" s="15" t="n">
        <v>0</v>
      </c>
      <c r="AI400" s="37"/>
      <c r="AJ400" s="37"/>
      <c r="AK400" s="15"/>
      <c r="AL400" s="43"/>
      <c r="AM400" s="43"/>
      <c r="AN400" s="25" t="str">
        <f aca="false">IF(AND(ISNUMBER(AM400),ISNUMBER(AL400),AL400&gt;=5),AM400/AL400,"")</f>
        <v/>
      </c>
      <c r="AO400" s="43"/>
      <c r="AP400" s="43"/>
      <c r="AQ400" s="25" t="str">
        <f aca="false">IF(AND(ISNUMBER(AP400),ISNUMBER(AO400),AO400&gt;=5),AP400/AO400,"")</f>
        <v/>
      </c>
      <c r="AR400" s="43"/>
      <c r="AS400" s="43"/>
      <c r="AT400" s="22" t="str">
        <f aca="false">IF(AND(ISNUMBER(AS400),ISNUMBER(AR400),AR400&gt;0),AS400/AR400-1,"")</f>
        <v/>
      </c>
      <c r="AU400" s="44"/>
      <c r="AV400" s="44"/>
      <c r="AW400" s="44"/>
      <c r="AX400" s="44"/>
      <c r="AY400" s="44"/>
      <c r="AZ400" s="45"/>
      <c r="BA400" s="45"/>
      <c r="BB400" s="46"/>
      <c r="BC400" s="46"/>
      <c r="BD400" s="23" t="str">
        <f aca="false">IF(AND(ISNUMBER(BB400),ISNUMBER(BC400),BB400&gt;0),1-BC400/BB400,"")</f>
        <v/>
      </c>
      <c r="BE400" s="47"/>
      <c r="BF400" s="48"/>
      <c r="BG400" s="48"/>
      <c r="BH400" s="27" t="str">
        <f aca="false">IF(AND(ISNUMBER(BF400),ISNUMBER(BG400),BG400&gt;0),BF400/BG400,"")</f>
        <v/>
      </c>
      <c r="BI400" s="48"/>
      <c r="BJ400" s="44"/>
      <c r="BK400" s="46"/>
      <c r="BL400" s="46"/>
      <c r="BM400" s="36" t="str">
        <f aca="false">IF(ISNUMBER(Q400),IF(Q400&lt;0,"YES","no"),"")</f>
        <v>no</v>
      </c>
      <c r="BN400" s="36" t="str">
        <f aca="false">IFERROR(IF(AND(ISNUMBER(K400),ISNUMBER(INDEX('Lift Inputs'!$H:$H,MATCH(C400,'Lift Inputs'!$C:$C,0)))),IF(K400&lt;INDEX('Lift Inputs'!$H:$H,MATCH(C400,'Lift Inputs'!$C:$C,0)),"YES","no"),""),"")</f>
        <v/>
      </c>
      <c r="BO400" s="44"/>
    </row>
    <row r="401" customFormat="false" ht="15" hidden="false" customHeight="false" outlineLevel="0" collapsed="false">
      <c r="A401" s="15" t="s">
        <v>110</v>
      </c>
      <c r="B401" s="15" t="s">
        <v>111</v>
      </c>
      <c r="C401" s="15" t="n">
        <v>48</v>
      </c>
      <c r="D401" s="15" t="s">
        <v>221</v>
      </c>
      <c r="E401" s="15" t="n">
        <v>1521</v>
      </c>
      <c r="F401" s="15" t="s">
        <v>399</v>
      </c>
      <c r="G401" s="15" t="s">
        <v>467</v>
      </c>
      <c r="H401" s="15" t="s">
        <v>467</v>
      </c>
      <c r="I401" s="15" t="s">
        <v>468</v>
      </c>
      <c r="J401" s="15" t="s">
        <v>178</v>
      </c>
      <c r="K401" s="35" t="n">
        <v>109.99</v>
      </c>
      <c r="L401" s="35"/>
      <c r="M401" s="23" t="str">
        <f aca="false">IF(AND(ISNUMBER(L401),ISNUMBER(K401),K401&gt;0),L401/K401-1,"")</f>
        <v/>
      </c>
      <c r="N401" s="36" t="str">
        <f aca="false">IF(M401="","No List Price",IF(M401&lt;=0,"At/below price",IF(M401&lt;=0.12,"&lt;=12% (STR zone)",IF(M401&lt;=0.25,"12-25%","&gt;25% (likely ignored)"))))</f>
        <v>No List Price</v>
      </c>
      <c r="O401" s="15"/>
      <c r="P401" s="35" t="n">
        <v>40.65</v>
      </c>
      <c r="Q401" s="22" t="n">
        <f aca="false">IF(AND(ISNUMBER(K401),ISNUMBER(P401),N(P401)&gt;0),K401/P401-1,"")</f>
        <v>1.70578105781058</v>
      </c>
      <c r="R401" s="15" t="s">
        <v>353</v>
      </c>
      <c r="S401" s="37" t="n">
        <v>1506045</v>
      </c>
      <c r="T401" s="37" t="n">
        <v>5</v>
      </c>
      <c r="U401" s="38" t="n">
        <f aca="false">IF(AND(ISNUMBER(K401),ISNUMBER(T401)),K401*T401*52/12,"")</f>
        <v>2383.11666666667</v>
      </c>
      <c r="V401" s="15" t="n">
        <v>4.5</v>
      </c>
      <c r="W401" s="37" t="n">
        <v>39</v>
      </c>
      <c r="X401" s="39" t="n">
        <v>46307</v>
      </c>
      <c r="Y401" s="15" t="n">
        <v>1</v>
      </c>
      <c r="Z401" s="40" t="n">
        <v>45716</v>
      </c>
      <c r="AA401" s="41" t="n">
        <f aca="false">IF(ISNUMBER(Z401),(DATE(2026,10,13)-Z401)/365,"")</f>
        <v>1.62191780821918</v>
      </c>
      <c r="AB401" s="37" t="n">
        <v>12</v>
      </c>
      <c r="AC401" s="15" t="s">
        <v>465</v>
      </c>
      <c r="AD401" s="15" t="n">
        <v>0</v>
      </c>
      <c r="AE401" s="15" t="s">
        <v>466</v>
      </c>
      <c r="AF401" s="42" t="n">
        <v>0</v>
      </c>
      <c r="AG401" s="42" t="n">
        <v>0</v>
      </c>
      <c r="AH401" s="15" t="n">
        <v>0</v>
      </c>
      <c r="AI401" s="37"/>
      <c r="AJ401" s="37"/>
      <c r="AK401" s="15"/>
      <c r="AL401" s="43"/>
      <c r="AM401" s="43"/>
      <c r="AN401" s="25" t="str">
        <f aca="false">IF(AND(ISNUMBER(AM401),ISNUMBER(AL401),AL401&gt;=5),AM401/AL401,"")</f>
        <v/>
      </c>
      <c r="AO401" s="43"/>
      <c r="AP401" s="43"/>
      <c r="AQ401" s="25" t="str">
        <f aca="false">IF(AND(ISNUMBER(AP401),ISNUMBER(AO401),AO401&gt;=5),AP401/AO401,"")</f>
        <v/>
      </c>
      <c r="AR401" s="43"/>
      <c r="AS401" s="43"/>
      <c r="AT401" s="22" t="str">
        <f aca="false">IF(AND(ISNUMBER(AS401),ISNUMBER(AR401),AR401&gt;0),AS401/AR401-1,"")</f>
        <v/>
      </c>
      <c r="AU401" s="44"/>
      <c r="AV401" s="44"/>
      <c r="AW401" s="44"/>
      <c r="AX401" s="44"/>
      <c r="AY401" s="44"/>
      <c r="AZ401" s="45"/>
      <c r="BA401" s="45"/>
      <c r="BB401" s="46"/>
      <c r="BC401" s="46"/>
      <c r="BD401" s="23" t="str">
        <f aca="false">IF(AND(ISNUMBER(BB401),ISNUMBER(BC401),BB401&gt;0),1-BC401/BB401,"")</f>
        <v/>
      </c>
      <c r="BE401" s="47"/>
      <c r="BF401" s="48"/>
      <c r="BG401" s="48"/>
      <c r="BH401" s="27" t="str">
        <f aca="false">IF(AND(ISNUMBER(BF401),ISNUMBER(BG401),BG401&gt;0),BF401/BG401,"")</f>
        <v/>
      </c>
      <c r="BI401" s="48"/>
      <c r="BJ401" s="44"/>
      <c r="BK401" s="46"/>
      <c r="BL401" s="46"/>
      <c r="BM401" s="36" t="str">
        <f aca="false">IF(ISNUMBER(Q401),IF(Q401&lt;0,"YES","no"),"")</f>
        <v>no</v>
      </c>
      <c r="BN401" s="36" t="str">
        <f aca="false">IFERROR(IF(AND(ISNUMBER(K401),ISNUMBER(INDEX('Lift Inputs'!$H:$H,MATCH(C401,'Lift Inputs'!$C:$C,0)))),IF(K401&lt;INDEX('Lift Inputs'!$H:$H,MATCH(C401,'Lift Inputs'!$C:$C,0)),"YES","no"),""),"")</f>
        <v/>
      </c>
      <c r="BO401" s="44"/>
    </row>
    <row r="402" customFormat="false" ht="15" hidden="false" customHeight="false" outlineLevel="0" collapsed="false">
      <c r="A402" s="15" t="s">
        <v>110</v>
      </c>
      <c r="B402" s="15" t="s">
        <v>111</v>
      </c>
      <c r="C402" s="15" t="n">
        <v>48</v>
      </c>
      <c r="D402" s="15" t="s">
        <v>221</v>
      </c>
      <c r="E402" s="15" t="n">
        <v>495</v>
      </c>
      <c r="F402" s="15" t="s">
        <v>307</v>
      </c>
      <c r="G402" s="15" t="s">
        <v>308</v>
      </c>
      <c r="H402" s="15" t="s">
        <v>309</v>
      </c>
      <c r="I402" s="15" t="s">
        <v>310</v>
      </c>
      <c r="J402" s="15"/>
      <c r="K402" s="35" t="n">
        <v>62.99</v>
      </c>
      <c r="L402" s="35" t="n">
        <v>69.99</v>
      </c>
      <c r="M402" s="23" t="n">
        <f aca="false">IF(AND(ISNUMBER(L402),ISNUMBER(K402),K402&gt;0),L402/K402-1,"")</f>
        <v>0.111128750595332</v>
      </c>
      <c r="N402" s="36" t="str">
        <f aca="false">IF(M402="","No List Price",IF(M402&lt;=0,"At/below price",IF(M402&lt;=0.12,"&lt;=12% (STR zone)",IF(M402&lt;=0.25,"12-25%","&gt;25% (likely ignored)"))))</f>
        <v>&lt;=12% (STR zone)</v>
      </c>
      <c r="O402" s="15" t="s">
        <v>311</v>
      </c>
      <c r="P402" s="35" t="n">
        <v>40.65</v>
      </c>
      <c r="Q402" s="22" t="n">
        <f aca="false">IF(AND(ISNUMBER(K402),ISNUMBER(P402),N(P402)&gt;0),K402/P402-1,"")</f>
        <v>0.549569495694957</v>
      </c>
      <c r="R402" s="15" t="s">
        <v>312</v>
      </c>
      <c r="S402" s="37" t="n">
        <v>256</v>
      </c>
      <c r="T402" s="37" t="n">
        <v>809</v>
      </c>
      <c r="U402" s="38" t="n">
        <f aca="false">IF(AND(ISNUMBER(K402),ISNUMBER(T402)),K402*T402*52/12,"")</f>
        <v>220821.943333333</v>
      </c>
      <c r="V402" s="15" t="n">
        <v>4.4</v>
      </c>
      <c r="W402" s="37" t="n">
        <v>65061</v>
      </c>
      <c r="X402" s="39" t="n">
        <v>46307</v>
      </c>
      <c r="Y402" s="15" t="n">
        <v>131</v>
      </c>
      <c r="Z402" s="40" t="n">
        <v>43348</v>
      </c>
      <c r="AA402" s="41" t="n">
        <f aca="false">IF(ISNUMBER(Z402),(DATE(2026,10,13)-Z402)/365,"")</f>
        <v>8.10958904109589</v>
      </c>
      <c r="AB402" s="37" t="n">
        <v>45362</v>
      </c>
      <c r="AC402" s="15" t="s">
        <v>313</v>
      </c>
      <c r="AD402" s="15" t="n">
        <v>2</v>
      </c>
      <c r="AE402" s="15" t="s">
        <v>314</v>
      </c>
      <c r="AF402" s="42" t="n">
        <v>0.0164948453608247</v>
      </c>
      <c r="AG402" s="42" t="n">
        <v>0.00101190492103934</v>
      </c>
      <c r="AH402" s="15" t="n">
        <v>343</v>
      </c>
      <c r="AI402" s="37" t="n">
        <v>2166046</v>
      </c>
      <c r="AJ402" s="37" t="n">
        <v>6935</v>
      </c>
      <c r="AK402" s="15" t="s">
        <v>315</v>
      </c>
      <c r="AL402" s="43" t="n">
        <v>924.6</v>
      </c>
      <c r="AM402" s="43" t="n">
        <v>986.2</v>
      </c>
      <c r="AN402" s="25" t="n">
        <f aca="false">IF(AND(ISNUMBER(AM402),ISNUMBER(AL402),AL402&gt;=5),AM402/AL402,"")</f>
        <v>1.06662340471555</v>
      </c>
      <c r="AO402" s="43" t="n">
        <v>371.8</v>
      </c>
      <c r="AP402" s="43" t="n">
        <v>574.2</v>
      </c>
      <c r="AQ402" s="25" t="n">
        <f aca="false">IF(AND(ISNUMBER(AP402),ISNUMBER(AO402),AO402&gt;=5),AP402/AO402,"")</f>
        <v>1.54437869822485</v>
      </c>
      <c r="AR402" s="43" t="n">
        <v>832.8</v>
      </c>
      <c r="AS402" s="43" t="n">
        <v>785.1</v>
      </c>
      <c r="AT402" s="22" t="n">
        <f aca="false">IF(AND(ISNUMBER(AS402),ISNUMBER(AR402),AR402&gt;0),AS402/AR402-1,"")</f>
        <v>-0.0572766570605187</v>
      </c>
      <c r="AU402" s="44"/>
      <c r="AV402" s="44"/>
      <c r="AW402" s="44"/>
      <c r="AX402" s="44"/>
      <c r="AY402" s="44"/>
      <c r="AZ402" s="45"/>
      <c r="BA402" s="45"/>
      <c r="BB402" s="46"/>
      <c r="BC402" s="46"/>
      <c r="BD402" s="23" t="str">
        <f aca="false">IF(AND(ISNUMBER(BB402),ISNUMBER(BC402),BB402&gt;0),1-BC402/BB402,"")</f>
        <v/>
      </c>
      <c r="BE402" s="47"/>
      <c r="BF402" s="48"/>
      <c r="BG402" s="48"/>
      <c r="BH402" s="27" t="str">
        <f aca="false">IF(AND(ISNUMBER(BF402),ISNUMBER(BG402),BG402&gt;0),BF402/BG402,"")</f>
        <v/>
      </c>
      <c r="BI402" s="48"/>
      <c r="BJ402" s="44"/>
      <c r="BK402" s="46"/>
      <c r="BL402" s="46"/>
      <c r="BM402" s="36" t="str">
        <f aca="false">IF(ISNUMBER(Q402),IF(Q402&lt;0,"YES","no"),"")</f>
        <v>no</v>
      </c>
      <c r="BN402" s="36" t="str">
        <f aca="false">IFERROR(IF(AND(ISNUMBER(K402),ISNUMBER(INDEX('Lift Inputs'!$H:$H,MATCH(C402,'Lift Inputs'!$C:$C,0)))),IF(K402&lt;INDEX('Lift Inputs'!$H:$H,MATCH(C402,'Lift Inputs'!$C:$C,0)),"YES","no"),""),"")</f>
        <v/>
      </c>
      <c r="BO402" s="44"/>
    </row>
    <row r="403" customFormat="false" ht="15" hidden="false" customHeight="false" outlineLevel="0" collapsed="false">
      <c r="A403" s="15" t="s">
        <v>110</v>
      </c>
      <c r="B403" s="15" t="s">
        <v>111</v>
      </c>
      <c r="C403" s="15" t="n">
        <v>48</v>
      </c>
      <c r="D403" s="15" t="s">
        <v>221</v>
      </c>
      <c r="E403" s="15" t="n">
        <v>1816</v>
      </c>
      <c r="F403" s="15" t="s">
        <v>381</v>
      </c>
      <c r="G403" s="15" t="s">
        <v>382</v>
      </c>
      <c r="H403" s="15" t="s">
        <v>383</v>
      </c>
      <c r="I403" s="15" t="s">
        <v>384</v>
      </c>
      <c r="J403" s="15"/>
      <c r="K403" s="35" t="n">
        <v>119.99</v>
      </c>
      <c r="L403" s="35"/>
      <c r="M403" s="23" t="str">
        <f aca="false">IF(AND(ISNUMBER(L403),ISNUMBER(K403),K403&gt;0),L403/K403-1,"")</f>
        <v/>
      </c>
      <c r="N403" s="36" t="str">
        <f aca="false">IF(M403="","No List Price",IF(M403&lt;=0,"At/below price",IF(M403&lt;=0.12,"&lt;=12% (STR zone)",IF(M403&lt;=0.25,"12-25%","&gt;25% (likely ignored)"))))</f>
        <v>No List Price</v>
      </c>
      <c r="O403" s="15"/>
      <c r="P403" s="35" t="n">
        <v>40.65</v>
      </c>
      <c r="Q403" s="22" t="n">
        <f aca="false">IF(AND(ISNUMBER(K403),ISNUMBER(P403),N(P403)&gt;0),K403/P403-1,"")</f>
        <v>1.95178351783518</v>
      </c>
      <c r="R403" s="15" t="s">
        <v>353</v>
      </c>
      <c r="S403" s="37" t="n">
        <v>15914</v>
      </c>
      <c r="T403" s="37" t="n">
        <v>35</v>
      </c>
      <c r="U403" s="38" t="n">
        <f aca="false">IF(AND(ISNUMBER(K403),ISNUMBER(T403)),K403*T403*52/12,"")</f>
        <v>18198.4833333333</v>
      </c>
      <c r="V403" s="15" t="n">
        <v>4.3</v>
      </c>
      <c r="W403" s="37" t="n">
        <v>474</v>
      </c>
      <c r="X403" s="39" t="n">
        <v>46307</v>
      </c>
      <c r="Y403" s="15"/>
      <c r="Z403" s="40"/>
      <c r="AA403" s="41" t="str">
        <f aca="false">IF(ISNUMBER(Z403),(DATE(2026,10,13)-Z403)/365,"")</f>
        <v/>
      </c>
      <c r="AB403" s="37"/>
      <c r="AC403" s="15"/>
      <c r="AD403" s="15"/>
      <c r="AE403" s="15"/>
      <c r="AF403" s="42"/>
      <c r="AG403" s="42"/>
      <c r="AH403" s="15"/>
      <c r="AI403" s="37" t="n">
        <v>243610</v>
      </c>
      <c r="AJ403" s="37" t="n">
        <v>3715</v>
      </c>
      <c r="AK403" s="15" t="s">
        <v>315</v>
      </c>
      <c r="AL403" s="43" t="n">
        <v>23.4</v>
      </c>
      <c r="AM403" s="43" t="n">
        <v>49.2</v>
      </c>
      <c r="AN403" s="25" t="n">
        <f aca="false">IF(AND(ISNUMBER(AM403),ISNUMBER(AL403),AL403&gt;=5),AM403/AL403,"")</f>
        <v>2.1025641025641</v>
      </c>
      <c r="AO403" s="43" t="n">
        <v>45.5</v>
      </c>
      <c r="AP403" s="43" t="n">
        <v>115.2</v>
      </c>
      <c r="AQ403" s="25" t="n">
        <f aca="false">IF(AND(ISNUMBER(AP403),ISNUMBER(AO403),AO403&gt;=5),AP403/AO403,"")</f>
        <v>2.53186813186813</v>
      </c>
      <c r="AR403" s="43" t="n">
        <v>23.6</v>
      </c>
      <c r="AS403" s="43" t="n">
        <v>2.9</v>
      </c>
      <c r="AT403" s="22" t="n">
        <f aca="false">IF(AND(ISNUMBER(AS403),ISNUMBER(AR403),AR403&gt;0),AS403/AR403-1,"")</f>
        <v>-0.877118644067797</v>
      </c>
      <c r="AU403" s="44"/>
      <c r="AV403" s="44"/>
      <c r="AW403" s="44"/>
      <c r="AX403" s="44"/>
      <c r="AY403" s="44"/>
      <c r="AZ403" s="45"/>
      <c r="BA403" s="45"/>
      <c r="BB403" s="46"/>
      <c r="BC403" s="46"/>
      <c r="BD403" s="23" t="str">
        <f aca="false">IF(AND(ISNUMBER(BB403),ISNUMBER(BC403),BB403&gt;0),1-BC403/BB403,"")</f>
        <v/>
      </c>
      <c r="BE403" s="47"/>
      <c r="BF403" s="48"/>
      <c r="BG403" s="48"/>
      <c r="BH403" s="27" t="str">
        <f aca="false">IF(AND(ISNUMBER(BF403),ISNUMBER(BG403),BG403&gt;0),BF403/BG403,"")</f>
        <v/>
      </c>
      <c r="BI403" s="48"/>
      <c r="BJ403" s="44"/>
      <c r="BK403" s="46"/>
      <c r="BL403" s="46"/>
      <c r="BM403" s="36" t="str">
        <f aca="false">IF(ISNUMBER(Q403),IF(Q403&lt;0,"YES","no"),"")</f>
        <v>no</v>
      </c>
      <c r="BN403" s="36" t="str">
        <f aca="false">IFERROR(IF(AND(ISNUMBER(K403),ISNUMBER(INDEX('Lift Inputs'!$H:$H,MATCH(C403,'Lift Inputs'!$C:$C,0)))),IF(K403&lt;INDEX('Lift Inputs'!$H:$H,MATCH(C403,'Lift Inputs'!$C:$C,0)),"YES","no"),""),"")</f>
        <v/>
      </c>
      <c r="BO403" s="44"/>
    </row>
    <row r="404" customFormat="false" ht="15" hidden="false" customHeight="false" outlineLevel="0" collapsed="false">
      <c r="A404" s="15" t="s">
        <v>110</v>
      </c>
      <c r="B404" s="15" t="s">
        <v>116</v>
      </c>
      <c r="C404" s="15" t="n">
        <v>45</v>
      </c>
      <c r="D404" s="15" t="s">
        <v>221</v>
      </c>
      <c r="E404" s="15" t="n">
        <v>4</v>
      </c>
      <c r="F404" s="15" t="s">
        <v>316</v>
      </c>
      <c r="G404" s="15" t="s">
        <v>317</v>
      </c>
      <c r="H404" s="15" t="s">
        <v>318</v>
      </c>
      <c r="I404" s="15" t="s">
        <v>319</v>
      </c>
      <c r="J404" s="15" t="s">
        <v>176</v>
      </c>
      <c r="K404" s="35" t="n">
        <v>109.99</v>
      </c>
      <c r="L404" s="35"/>
      <c r="M404" s="23" t="str">
        <f aca="false">IF(AND(ISNUMBER(L404),ISNUMBER(K404),K404&gt;0),L404/K404-1,"")</f>
        <v/>
      </c>
      <c r="N404" s="36" t="str">
        <f aca="false">IF(M404="","No List Price",IF(M404&lt;=0,"At/below price",IF(M404&lt;=0.12,"&lt;=12% (STR zone)",IF(M404&lt;=0.25,"12-25%","&gt;25% (likely ignored)"))))</f>
        <v>No List Price</v>
      </c>
      <c r="O404" s="15" t="s">
        <v>320</v>
      </c>
      <c r="P404" s="35" t="n">
        <v>74.0426315789474</v>
      </c>
      <c r="Q404" s="22" t="n">
        <f aca="false">IF(AND(ISNUMBER(K404),ISNUMBER(P404),N(P404)&gt;0),K404/P404-1,"")</f>
        <v>0.485495553770588</v>
      </c>
      <c r="R404" s="15" t="s">
        <v>321</v>
      </c>
      <c r="S404" s="37" t="n">
        <v>304</v>
      </c>
      <c r="T404" s="37" t="n">
        <v>809</v>
      </c>
      <c r="U404" s="38" t="n">
        <f aca="false">IF(AND(ISNUMBER(K404),ISNUMBER(T404)),K404*T404*52/12,"")</f>
        <v>385588.276666667</v>
      </c>
      <c r="V404" s="15" t="n">
        <v>4.5</v>
      </c>
      <c r="W404" s="37" t="n">
        <v>21927</v>
      </c>
      <c r="X404" s="39" t="n">
        <v>46307</v>
      </c>
      <c r="Y404" s="15" t="n">
        <v>181</v>
      </c>
      <c r="Z404" s="40" t="n">
        <v>43281</v>
      </c>
      <c r="AA404" s="41" t="n">
        <f aca="false">IF(ISNUMBER(Z404),(DATE(2026,10,13)-Z404)/365,"")</f>
        <v>8.29315068493151</v>
      </c>
      <c r="AB404" s="37" t="n">
        <v>32356</v>
      </c>
      <c r="AC404" s="15" t="s">
        <v>313</v>
      </c>
      <c r="AD404" s="15" t="n">
        <v>2</v>
      </c>
      <c r="AE404" s="15" t="s">
        <v>314</v>
      </c>
      <c r="AF404" s="42" t="n">
        <v>0</v>
      </c>
      <c r="AG404" s="42" t="n">
        <v>0</v>
      </c>
      <c r="AH404" s="15" t="n">
        <v>268</v>
      </c>
      <c r="AI404" s="37" t="n">
        <v>2565055</v>
      </c>
      <c r="AJ404" s="37" t="n">
        <v>8283</v>
      </c>
      <c r="AK404" s="15" t="s">
        <v>315</v>
      </c>
      <c r="AL404" s="43" t="n">
        <v>556.9</v>
      </c>
      <c r="AM404" s="43" t="n">
        <v>657.2</v>
      </c>
      <c r="AN404" s="25" t="n">
        <f aca="false">IF(AND(ISNUMBER(AM404),ISNUMBER(AL404),AL404&gt;=5),AM404/AL404,"")</f>
        <v>1.18010414796193</v>
      </c>
      <c r="AO404" s="43" t="n">
        <v>102</v>
      </c>
      <c r="AP404" s="43" t="n">
        <v>151.8</v>
      </c>
      <c r="AQ404" s="25" t="n">
        <f aca="false">IF(AND(ISNUMBER(AP404),ISNUMBER(AO404),AO404&gt;=5),AP404/AO404,"")</f>
        <v>1.48823529411765</v>
      </c>
      <c r="AR404" s="43" t="n">
        <v>259.8</v>
      </c>
      <c r="AS404" s="43" t="n">
        <v>667.9</v>
      </c>
      <c r="AT404" s="22" t="n">
        <f aca="false">IF(AND(ISNUMBER(AS404),ISNUMBER(AR404),AR404&gt;0),AS404/AR404-1,"")</f>
        <v>1.57082371054657</v>
      </c>
      <c r="AU404" s="44"/>
      <c r="AV404" s="44"/>
      <c r="AW404" s="44"/>
      <c r="AX404" s="44"/>
      <c r="AY404" s="44"/>
      <c r="AZ404" s="45"/>
      <c r="BA404" s="45"/>
      <c r="BB404" s="46"/>
      <c r="BC404" s="46"/>
      <c r="BD404" s="23" t="str">
        <f aca="false">IF(AND(ISNUMBER(BB404),ISNUMBER(BC404),BB404&gt;0),1-BC404/BB404,"")</f>
        <v/>
      </c>
      <c r="BE404" s="47"/>
      <c r="BF404" s="48"/>
      <c r="BG404" s="48"/>
      <c r="BH404" s="27" t="str">
        <f aca="false">IF(AND(ISNUMBER(BF404),ISNUMBER(BG404),BG404&gt;0),BF404/BG404,"")</f>
        <v/>
      </c>
      <c r="BI404" s="48"/>
      <c r="BJ404" s="44"/>
      <c r="BK404" s="46"/>
      <c r="BL404" s="46"/>
      <c r="BM404" s="36" t="str">
        <f aca="false">IF(ISNUMBER(Q404),IF(Q404&lt;0,"YES","no"),"")</f>
        <v>no</v>
      </c>
      <c r="BN404" s="36" t="str">
        <f aca="false">IFERROR(IF(AND(ISNUMBER(K404),ISNUMBER(INDEX('Lift Inputs'!$H:$H,MATCH(C404,'Lift Inputs'!$C:$C,0)))),IF(K404&lt;INDEX('Lift Inputs'!$H:$H,MATCH(C404,'Lift Inputs'!$C:$C,0)),"YES","no"),""),"")</f>
        <v/>
      </c>
      <c r="BO404" s="44"/>
    </row>
    <row r="405" customFormat="false" ht="15" hidden="false" customHeight="false" outlineLevel="0" collapsed="false">
      <c r="A405" s="15" t="s">
        <v>110</v>
      </c>
      <c r="B405" s="15" t="s">
        <v>116</v>
      </c>
      <c r="C405" s="15" t="n">
        <v>45</v>
      </c>
      <c r="D405" s="15" t="s">
        <v>221</v>
      </c>
      <c r="E405" s="15" t="n">
        <v>27</v>
      </c>
      <c r="F405" s="15" t="s">
        <v>322</v>
      </c>
      <c r="G405" s="15" t="s">
        <v>323</v>
      </c>
      <c r="H405" s="15" t="s">
        <v>324</v>
      </c>
      <c r="I405" s="15" t="s">
        <v>325</v>
      </c>
      <c r="J405" s="15" t="s">
        <v>176</v>
      </c>
      <c r="K405" s="35" t="n">
        <v>79.99</v>
      </c>
      <c r="L405" s="35"/>
      <c r="M405" s="23" t="str">
        <f aca="false">IF(AND(ISNUMBER(L405),ISNUMBER(K405),K405&gt;0),L405/K405-1,"")</f>
        <v/>
      </c>
      <c r="N405" s="36" t="str">
        <f aca="false">IF(M405="","No List Price",IF(M405&lt;=0,"At/below price",IF(M405&lt;=0.12,"&lt;=12% (STR zone)",IF(M405&lt;=0.25,"12-25%","&gt;25% (likely ignored)"))))</f>
        <v>No List Price</v>
      </c>
      <c r="O405" s="15" t="s">
        <v>311</v>
      </c>
      <c r="P405" s="35" t="n">
        <v>64.99</v>
      </c>
      <c r="Q405" s="22" t="n">
        <f aca="false">IF(AND(ISNUMBER(K405),ISNUMBER(P405),N(P405)&gt;0),K405/P405-1,"")</f>
        <v>0.230804739190645</v>
      </c>
      <c r="R405" s="15" t="s">
        <v>312</v>
      </c>
      <c r="S405" s="37" t="n">
        <v>2984</v>
      </c>
      <c r="T405" s="37" t="n">
        <v>347</v>
      </c>
      <c r="U405" s="38" t="n">
        <f aca="false">IF(AND(ISNUMBER(K405),ISNUMBER(T405)),K405*T405*52/12,"")</f>
        <v>120278.296666667</v>
      </c>
      <c r="V405" s="15" t="n">
        <v>4.4</v>
      </c>
      <c r="W405" s="37" t="n">
        <v>37179</v>
      </c>
      <c r="X405" s="39" t="n">
        <v>46307</v>
      </c>
      <c r="Y405" s="15" t="n">
        <v>61</v>
      </c>
      <c r="Z405" s="40" t="n">
        <v>42729</v>
      </c>
      <c r="AA405" s="41" t="n">
        <f aca="false">IF(ISNUMBER(Z405),(DATE(2026,10,13)-Z405)/365,"")</f>
        <v>9.80547945205479</v>
      </c>
      <c r="AB405" s="37" t="n">
        <v>8203</v>
      </c>
      <c r="AC405" s="15" t="s">
        <v>313</v>
      </c>
      <c r="AD405" s="15" t="n">
        <v>2</v>
      </c>
      <c r="AE405" s="15" t="s">
        <v>314</v>
      </c>
      <c r="AF405" s="42" t="n">
        <v>0.00210970464135021</v>
      </c>
      <c r="AG405" s="42" t="n">
        <v>0</v>
      </c>
      <c r="AH405" s="15" t="n">
        <v>382</v>
      </c>
      <c r="AI405" s="37" t="n">
        <v>451969</v>
      </c>
      <c r="AJ405" s="37" t="n">
        <v>4094</v>
      </c>
      <c r="AK405" s="15" t="s">
        <v>326</v>
      </c>
      <c r="AL405" s="43" t="n">
        <v>263.5</v>
      </c>
      <c r="AM405" s="43" t="n">
        <v>474.2</v>
      </c>
      <c r="AN405" s="25" t="n">
        <f aca="false">IF(AND(ISNUMBER(AM405),ISNUMBER(AL405),AL405&gt;=5),AM405/AL405,"")</f>
        <v>1.79962049335863</v>
      </c>
      <c r="AO405" s="43" t="n">
        <v>24.4</v>
      </c>
      <c r="AP405" s="43" t="n">
        <v>31</v>
      </c>
      <c r="AQ405" s="25" t="n">
        <f aca="false">IF(AND(ISNUMBER(AP405),ISNUMBER(AO405),AO405&gt;=5),AP405/AO405,"")</f>
        <v>1.27049180327869</v>
      </c>
      <c r="AR405" s="43" t="n">
        <v>372.7</v>
      </c>
      <c r="AS405" s="43" t="n">
        <v>374.5</v>
      </c>
      <c r="AT405" s="22" t="n">
        <f aca="false">IF(AND(ISNUMBER(AS405),ISNUMBER(AR405),AR405&gt;0),AS405/AR405-1,"")</f>
        <v>0.00482962167963508</v>
      </c>
      <c r="AU405" s="44"/>
      <c r="AV405" s="44"/>
      <c r="AW405" s="44"/>
      <c r="AX405" s="44"/>
      <c r="AY405" s="44"/>
      <c r="AZ405" s="45"/>
      <c r="BA405" s="45"/>
      <c r="BB405" s="46"/>
      <c r="BC405" s="46"/>
      <c r="BD405" s="23" t="str">
        <f aca="false">IF(AND(ISNUMBER(BB405),ISNUMBER(BC405),BB405&gt;0),1-BC405/BB405,"")</f>
        <v/>
      </c>
      <c r="BE405" s="47"/>
      <c r="BF405" s="48"/>
      <c r="BG405" s="48"/>
      <c r="BH405" s="27" t="str">
        <f aca="false">IF(AND(ISNUMBER(BF405),ISNUMBER(BG405),BG405&gt;0),BF405/BG405,"")</f>
        <v/>
      </c>
      <c r="BI405" s="48"/>
      <c r="BJ405" s="44"/>
      <c r="BK405" s="46"/>
      <c r="BL405" s="46"/>
      <c r="BM405" s="36" t="str">
        <f aca="false">IF(ISNUMBER(Q405),IF(Q405&lt;0,"YES","no"),"")</f>
        <v>no</v>
      </c>
      <c r="BN405" s="36" t="str">
        <f aca="false">IFERROR(IF(AND(ISNUMBER(K405),ISNUMBER(INDEX('Lift Inputs'!$H:$H,MATCH(C405,'Lift Inputs'!$C:$C,0)))),IF(K405&lt;INDEX('Lift Inputs'!$H:$H,MATCH(C405,'Lift Inputs'!$C:$C,0)),"YES","no"),""),"")</f>
        <v/>
      </c>
      <c r="BO405" s="44"/>
    </row>
    <row r="406" customFormat="false" ht="15" hidden="false" customHeight="false" outlineLevel="0" collapsed="false">
      <c r="A406" s="15" t="s">
        <v>110</v>
      </c>
      <c r="B406" s="15" t="s">
        <v>116</v>
      </c>
      <c r="C406" s="15" t="n">
        <v>45</v>
      </c>
      <c r="D406" s="15" t="s">
        <v>221</v>
      </c>
      <c r="E406" s="15" t="n">
        <v>495</v>
      </c>
      <c r="F406" s="15" t="s">
        <v>307</v>
      </c>
      <c r="G406" s="15" t="s">
        <v>308</v>
      </c>
      <c r="H406" s="15" t="s">
        <v>309</v>
      </c>
      <c r="I406" s="15" t="s">
        <v>310</v>
      </c>
      <c r="J406" s="15" t="s">
        <v>177</v>
      </c>
      <c r="K406" s="35" t="n">
        <v>62.99</v>
      </c>
      <c r="L406" s="35" t="n">
        <v>69.99</v>
      </c>
      <c r="M406" s="23" t="n">
        <f aca="false">IF(AND(ISNUMBER(L406),ISNUMBER(K406),K406&gt;0),L406/K406-1,"")</f>
        <v>0.111128750595332</v>
      </c>
      <c r="N406" s="36" t="str">
        <f aca="false">IF(M406="","No List Price",IF(M406&lt;=0,"At/below price",IF(M406&lt;=0.12,"&lt;=12% (STR zone)",IF(M406&lt;=0.25,"12-25%","&gt;25% (likely ignored)"))))</f>
        <v>&lt;=12% (STR zone)</v>
      </c>
      <c r="O406" s="15" t="s">
        <v>311</v>
      </c>
      <c r="P406" s="35" t="n">
        <v>64.99</v>
      </c>
      <c r="Q406" s="22" t="n">
        <f aca="false">IF(AND(ISNUMBER(K406),ISNUMBER(P406),N(P406)&gt;0),K406/P406-1,"")</f>
        <v>-0.0307739652254192</v>
      </c>
      <c r="R406" s="15" t="s">
        <v>312</v>
      </c>
      <c r="S406" s="37" t="n">
        <v>256</v>
      </c>
      <c r="T406" s="37" t="n">
        <v>809</v>
      </c>
      <c r="U406" s="38" t="n">
        <f aca="false">IF(AND(ISNUMBER(K406),ISNUMBER(T406)),K406*T406*52/12,"")</f>
        <v>220821.943333333</v>
      </c>
      <c r="V406" s="15" t="n">
        <v>4.4</v>
      </c>
      <c r="W406" s="37" t="n">
        <v>65061</v>
      </c>
      <c r="X406" s="39" t="n">
        <v>46307</v>
      </c>
      <c r="Y406" s="15" t="n">
        <v>131</v>
      </c>
      <c r="Z406" s="40" t="n">
        <v>43348</v>
      </c>
      <c r="AA406" s="41" t="n">
        <f aca="false">IF(ISNUMBER(Z406),(DATE(2026,10,13)-Z406)/365,"")</f>
        <v>8.10958904109589</v>
      </c>
      <c r="AB406" s="37" t="n">
        <v>45362</v>
      </c>
      <c r="AC406" s="15" t="s">
        <v>313</v>
      </c>
      <c r="AD406" s="15" t="n">
        <v>2</v>
      </c>
      <c r="AE406" s="15" t="s">
        <v>314</v>
      </c>
      <c r="AF406" s="42" t="n">
        <v>0.0164948453608247</v>
      </c>
      <c r="AG406" s="42" t="n">
        <v>0.00101190492103934</v>
      </c>
      <c r="AH406" s="15" t="n">
        <v>343</v>
      </c>
      <c r="AI406" s="37" t="n">
        <v>2166046</v>
      </c>
      <c r="AJ406" s="37" t="n">
        <v>6935</v>
      </c>
      <c r="AK406" s="15" t="s">
        <v>315</v>
      </c>
      <c r="AL406" s="43" t="n">
        <v>924.6</v>
      </c>
      <c r="AM406" s="43" t="n">
        <v>986.2</v>
      </c>
      <c r="AN406" s="25" t="n">
        <f aca="false">IF(AND(ISNUMBER(AM406),ISNUMBER(AL406),AL406&gt;=5),AM406/AL406,"")</f>
        <v>1.06662340471555</v>
      </c>
      <c r="AO406" s="43" t="n">
        <v>371.8</v>
      </c>
      <c r="AP406" s="43" t="n">
        <v>574.2</v>
      </c>
      <c r="AQ406" s="25" t="n">
        <f aca="false">IF(AND(ISNUMBER(AP406),ISNUMBER(AO406),AO406&gt;=5),AP406/AO406,"")</f>
        <v>1.54437869822485</v>
      </c>
      <c r="AR406" s="43" t="n">
        <v>832.8</v>
      </c>
      <c r="AS406" s="43" t="n">
        <v>785.1</v>
      </c>
      <c r="AT406" s="22" t="n">
        <f aca="false">IF(AND(ISNUMBER(AS406),ISNUMBER(AR406),AR406&gt;0),AS406/AR406-1,"")</f>
        <v>-0.0572766570605187</v>
      </c>
      <c r="AU406" s="44"/>
      <c r="AV406" s="44"/>
      <c r="AW406" s="44"/>
      <c r="AX406" s="44"/>
      <c r="AY406" s="44"/>
      <c r="AZ406" s="45"/>
      <c r="BA406" s="45"/>
      <c r="BB406" s="46"/>
      <c r="BC406" s="46"/>
      <c r="BD406" s="23" t="str">
        <f aca="false">IF(AND(ISNUMBER(BB406),ISNUMBER(BC406),BB406&gt;0),1-BC406/BB406,"")</f>
        <v/>
      </c>
      <c r="BE406" s="47"/>
      <c r="BF406" s="48"/>
      <c r="BG406" s="48"/>
      <c r="BH406" s="27" t="str">
        <f aca="false">IF(AND(ISNUMBER(BF406),ISNUMBER(BG406),BG406&gt;0),BF406/BG406,"")</f>
        <v/>
      </c>
      <c r="BI406" s="48"/>
      <c r="BJ406" s="44"/>
      <c r="BK406" s="46"/>
      <c r="BL406" s="46"/>
      <c r="BM406" s="36" t="str">
        <f aca="false">IF(ISNUMBER(Q406),IF(Q406&lt;0,"YES","no"),"")</f>
        <v>YES</v>
      </c>
      <c r="BN406" s="36" t="str">
        <f aca="false">IFERROR(IF(AND(ISNUMBER(K406),ISNUMBER(INDEX('Lift Inputs'!$H:$H,MATCH(C406,'Lift Inputs'!$C:$C,0)))),IF(K406&lt;INDEX('Lift Inputs'!$H:$H,MATCH(C406,'Lift Inputs'!$C:$C,0)),"YES","no"),""),"")</f>
        <v/>
      </c>
      <c r="BO406" s="44"/>
    </row>
    <row r="407" customFormat="false" ht="15" hidden="false" customHeight="false" outlineLevel="0" collapsed="false">
      <c r="A407" s="15" t="s">
        <v>110</v>
      </c>
      <c r="B407" s="15" t="s">
        <v>116</v>
      </c>
      <c r="C407" s="15" t="n">
        <v>45</v>
      </c>
      <c r="D407" s="15" t="s">
        <v>221</v>
      </c>
      <c r="E407" s="15" t="n">
        <v>33</v>
      </c>
      <c r="F407" s="15" t="s">
        <v>332</v>
      </c>
      <c r="G407" s="15" t="s">
        <v>333</v>
      </c>
      <c r="H407" s="15" t="s">
        <v>334</v>
      </c>
      <c r="I407" s="15" t="s">
        <v>335</v>
      </c>
      <c r="J407" s="15" t="s">
        <v>177</v>
      </c>
      <c r="K407" s="35" t="n">
        <v>84.99</v>
      </c>
      <c r="L407" s="35"/>
      <c r="M407" s="23" t="str">
        <f aca="false">IF(AND(ISNUMBER(L407),ISNUMBER(K407),K407&gt;0),L407/K407-1,"")</f>
        <v/>
      </c>
      <c r="N407" s="36" t="str">
        <f aca="false">IF(M407="","No List Price",IF(M407&lt;=0,"At/below price",IF(M407&lt;=0.12,"&lt;=12% (STR zone)",IF(M407&lt;=0.25,"12-25%","&gt;25% (likely ignored)"))))</f>
        <v>No List Price</v>
      </c>
      <c r="O407" s="15" t="s">
        <v>320</v>
      </c>
      <c r="P407" s="35" t="n">
        <v>74.0426315789474</v>
      </c>
      <c r="Q407" s="22" t="n">
        <f aca="false">IF(AND(ISNUMBER(K407),ISNUMBER(P407),N(P407)&gt;0),K407/P407-1,"")</f>
        <v>0.147852233066299</v>
      </c>
      <c r="R407" s="15" t="s">
        <v>321</v>
      </c>
      <c r="S407" s="37" t="n">
        <v>5664</v>
      </c>
      <c r="T407" s="37" t="n">
        <v>185</v>
      </c>
      <c r="U407" s="38" t="n">
        <f aca="false">IF(AND(ISNUMBER(K407),ISNUMBER(T407)),K407*T407*52/12,"")</f>
        <v>68133.65</v>
      </c>
      <c r="V407" s="15" t="n">
        <v>4.5</v>
      </c>
      <c r="W407" s="37" t="n">
        <v>263</v>
      </c>
      <c r="X407" s="39" t="n">
        <v>46307</v>
      </c>
      <c r="Y407" s="15" t="n">
        <v>43</v>
      </c>
      <c r="Z407" s="40" t="n">
        <v>45944</v>
      </c>
      <c r="AA407" s="41" t="n">
        <f aca="false">IF(ISNUMBER(Z407),(DATE(2026,10,13)-Z407)/365,"")</f>
        <v>0.997260273972603</v>
      </c>
      <c r="AB407" s="37" t="n">
        <v>5418</v>
      </c>
      <c r="AC407" s="15" t="s">
        <v>313</v>
      </c>
      <c r="AD407" s="15" t="n">
        <v>1</v>
      </c>
      <c r="AE407" s="15" t="s">
        <v>336</v>
      </c>
      <c r="AF407" s="42" t="n">
        <v>0</v>
      </c>
      <c r="AG407" s="42" t="n">
        <v>0</v>
      </c>
      <c r="AH407" s="15" t="n">
        <v>295</v>
      </c>
      <c r="AI407" s="37" t="n">
        <v>334819</v>
      </c>
      <c r="AJ407" s="37" t="n">
        <v>2638</v>
      </c>
      <c r="AK407" s="15" t="s">
        <v>326</v>
      </c>
      <c r="AL407" s="43" t="n">
        <v>198.1</v>
      </c>
      <c r="AM407" s="43" t="n">
        <v>260</v>
      </c>
      <c r="AN407" s="25" t="n">
        <f aca="false">IF(AND(ISNUMBER(AM407),ISNUMBER(AL407),AL407&gt;=5),AM407/AL407,"")</f>
        <v>1.31246845027764</v>
      </c>
      <c r="AO407" s="43" t="n">
        <v>89.9</v>
      </c>
      <c r="AP407" s="43" t="n">
        <v>320.5</v>
      </c>
      <c r="AQ407" s="25" t="n">
        <f aca="false">IF(AND(ISNUMBER(AP407),ISNUMBER(AO407),AO407&gt;=5),AP407/AO407,"")</f>
        <v>3.5650723025584</v>
      </c>
      <c r="AR407" s="43" t="n">
        <v>183.2</v>
      </c>
      <c r="AS407" s="43" t="n">
        <v>230.2</v>
      </c>
      <c r="AT407" s="22" t="n">
        <f aca="false">IF(AND(ISNUMBER(AS407),ISNUMBER(AR407),AR407&gt;0),AS407/AR407-1,"")</f>
        <v>0.256550218340611</v>
      </c>
      <c r="AU407" s="44"/>
      <c r="AV407" s="44"/>
      <c r="AW407" s="44"/>
      <c r="AX407" s="44"/>
      <c r="AY407" s="44"/>
      <c r="AZ407" s="45"/>
      <c r="BA407" s="45"/>
      <c r="BB407" s="46"/>
      <c r="BC407" s="46"/>
      <c r="BD407" s="23" t="str">
        <f aca="false">IF(AND(ISNUMBER(BB407),ISNUMBER(BC407),BB407&gt;0),1-BC407/BB407,"")</f>
        <v/>
      </c>
      <c r="BE407" s="47"/>
      <c r="BF407" s="48"/>
      <c r="BG407" s="48"/>
      <c r="BH407" s="27" t="str">
        <f aca="false">IF(AND(ISNUMBER(BF407),ISNUMBER(BG407),BG407&gt;0),BF407/BG407,"")</f>
        <v/>
      </c>
      <c r="BI407" s="48"/>
      <c r="BJ407" s="44"/>
      <c r="BK407" s="46"/>
      <c r="BL407" s="46"/>
      <c r="BM407" s="36" t="str">
        <f aca="false">IF(ISNUMBER(Q407),IF(Q407&lt;0,"YES","no"),"")</f>
        <v>no</v>
      </c>
      <c r="BN407" s="36" t="str">
        <f aca="false">IFERROR(IF(AND(ISNUMBER(K407),ISNUMBER(INDEX('Lift Inputs'!$H:$H,MATCH(C407,'Lift Inputs'!$C:$C,0)))),IF(K407&lt;INDEX('Lift Inputs'!$H:$H,MATCH(C407,'Lift Inputs'!$C:$C,0)),"YES","no"),""),"")</f>
        <v/>
      </c>
      <c r="BO407" s="44"/>
    </row>
    <row r="408" customFormat="false" ht="15" hidden="false" customHeight="false" outlineLevel="0" collapsed="false">
      <c r="A408" s="15" t="s">
        <v>110</v>
      </c>
      <c r="B408" s="15" t="s">
        <v>116</v>
      </c>
      <c r="C408" s="15" t="n">
        <v>45</v>
      </c>
      <c r="D408" s="15" t="s">
        <v>221</v>
      </c>
      <c r="E408" s="15" t="n">
        <v>3</v>
      </c>
      <c r="F408" s="15" t="s">
        <v>341</v>
      </c>
      <c r="G408" s="15" t="s">
        <v>342</v>
      </c>
      <c r="H408" s="15" t="s">
        <v>343</v>
      </c>
      <c r="I408" s="15" t="s">
        <v>344</v>
      </c>
      <c r="J408" s="15" t="s">
        <v>177</v>
      </c>
      <c r="K408" s="35" t="n">
        <v>89.99</v>
      </c>
      <c r="L408" s="35"/>
      <c r="M408" s="23" t="str">
        <f aca="false">IF(AND(ISNUMBER(L408),ISNUMBER(K408),K408&gt;0),L408/K408-1,"")</f>
        <v/>
      </c>
      <c r="N408" s="36" t="str">
        <f aca="false">IF(M408="","No List Price",IF(M408&lt;=0,"At/below price",IF(M408&lt;=0.12,"&lt;=12% (STR zone)",IF(M408&lt;=0.25,"12-25%","&gt;25% (likely ignored)"))))</f>
        <v>No List Price</v>
      </c>
      <c r="O408" s="15" t="s">
        <v>311</v>
      </c>
      <c r="P408" s="35" t="n">
        <v>64.99</v>
      </c>
      <c r="Q408" s="22" t="n">
        <f aca="false">IF(AND(ISNUMBER(K408),ISNUMBER(P408),N(P408)&gt;0),K408/P408-1,"")</f>
        <v>0.384674565317741</v>
      </c>
      <c r="R408" s="15" t="s">
        <v>312</v>
      </c>
      <c r="S408" s="37" t="n">
        <v>6971</v>
      </c>
      <c r="T408" s="37" t="n">
        <v>104</v>
      </c>
      <c r="U408" s="38" t="n">
        <f aca="false">IF(AND(ISNUMBER(K408),ISNUMBER(T408)),K408*T408*52/12,"")</f>
        <v>40555.4933333333</v>
      </c>
      <c r="V408" s="15" t="n">
        <v>4.3</v>
      </c>
      <c r="W408" s="37" t="n">
        <v>2766</v>
      </c>
      <c r="X408" s="39" t="n">
        <v>46307</v>
      </c>
      <c r="Y408" s="15" t="n">
        <v>104</v>
      </c>
      <c r="Z408" s="40" t="n">
        <v>45649</v>
      </c>
      <c r="AA408" s="41" t="n">
        <f aca="false">IF(ISNUMBER(Z408),(DATE(2026,10,13)-Z408)/365,"")</f>
        <v>1.80547945205479</v>
      </c>
      <c r="AB408" s="37" t="n">
        <v>4777</v>
      </c>
      <c r="AC408" s="15" t="s">
        <v>313</v>
      </c>
      <c r="AD408" s="15" t="n">
        <v>1</v>
      </c>
      <c r="AE408" s="15" t="s">
        <v>345</v>
      </c>
      <c r="AF408" s="42" t="n">
        <v>0</v>
      </c>
      <c r="AG408" s="42" t="n">
        <v>0</v>
      </c>
      <c r="AH408" s="15" t="n">
        <v>190</v>
      </c>
      <c r="AI408" s="37" t="n">
        <v>407949</v>
      </c>
      <c r="AJ408" s="37" t="n">
        <v>2137</v>
      </c>
      <c r="AK408" s="15" t="s">
        <v>326</v>
      </c>
      <c r="AL408" s="43" t="n">
        <v>356.5</v>
      </c>
      <c r="AM408" s="43" t="n">
        <v>490</v>
      </c>
      <c r="AN408" s="25" t="n">
        <f aca="false">IF(AND(ISNUMBER(AM408),ISNUMBER(AL408),AL408&gt;=5),AM408/AL408,"")</f>
        <v>1.37447405329593</v>
      </c>
      <c r="AO408" s="43" t="n">
        <v>57.6</v>
      </c>
      <c r="AP408" s="43" t="n">
        <v>82.5</v>
      </c>
      <c r="AQ408" s="25" t="n">
        <f aca="false">IF(AND(ISNUMBER(AP408),ISNUMBER(AO408),AO408&gt;=5),AP408/AO408,"")</f>
        <v>1.43229166666667</v>
      </c>
      <c r="AR408" s="43" t="n">
        <v>239.9</v>
      </c>
      <c r="AS408" s="43" t="n">
        <v>571.4</v>
      </c>
      <c r="AT408" s="22" t="n">
        <f aca="false">IF(AND(ISNUMBER(AS408),ISNUMBER(AR408),AR408&gt;0),AS408/AR408-1,"")</f>
        <v>1.38182576073364</v>
      </c>
      <c r="AU408" s="44"/>
      <c r="AV408" s="44"/>
      <c r="AW408" s="44"/>
      <c r="AX408" s="44"/>
      <c r="AY408" s="44"/>
      <c r="AZ408" s="45"/>
      <c r="BA408" s="45"/>
      <c r="BB408" s="46"/>
      <c r="BC408" s="46"/>
      <c r="BD408" s="23" t="str">
        <f aca="false">IF(AND(ISNUMBER(BB408),ISNUMBER(BC408),BB408&gt;0),1-BC408/BB408,"")</f>
        <v/>
      </c>
      <c r="BE408" s="47"/>
      <c r="BF408" s="48"/>
      <c r="BG408" s="48"/>
      <c r="BH408" s="27" t="str">
        <f aca="false">IF(AND(ISNUMBER(BF408),ISNUMBER(BG408),BG408&gt;0),BF408/BG408,"")</f>
        <v/>
      </c>
      <c r="BI408" s="48"/>
      <c r="BJ408" s="44"/>
      <c r="BK408" s="46"/>
      <c r="BL408" s="46"/>
      <c r="BM408" s="36" t="str">
        <f aca="false">IF(ISNUMBER(Q408),IF(Q408&lt;0,"YES","no"),"")</f>
        <v>no</v>
      </c>
      <c r="BN408" s="36" t="str">
        <f aca="false">IFERROR(IF(AND(ISNUMBER(K408),ISNUMBER(INDEX('Lift Inputs'!$H:$H,MATCH(C408,'Lift Inputs'!$C:$C,0)))),IF(K408&lt;INDEX('Lift Inputs'!$H:$H,MATCH(C408,'Lift Inputs'!$C:$C,0)),"YES","no"),""),"")</f>
        <v/>
      </c>
      <c r="BO408" s="44"/>
    </row>
    <row r="409" customFormat="false" ht="15" hidden="false" customHeight="false" outlineLevel="0" collapsed="false">
      <c r="A409" s="15" t="s">
        <v>110</v>
      </c>
      <c r="B409" s="15" t="s">
        <v>116</v>
      </c>
      <c r="C409" s="15" t="n">
        <v>45</v>
      </c>
      <c r="D409" s="15" t="s">
        <v>221</v>
      </c>
      <c r="E409" s="15" t="n">
        <v>1507</v>
      </c>
      <c r="F409" s="15" t="s">
        <v>349</v>
      </c>
      <c r="G409" s="15" t="s">
        <v>350</v>
      </c>
      <c r="H409" s="15" t="s">
        <v>351</v>
      </c>
      <c r="I409" s="15" t="s">
        <v>352</v>
      </c>
      <c r="J409" s="15" t="s">
        <v>177</v>
      </c>
      <c r="K409" s="35" t="n">
        <v>79.99</v>
      </c>
      <c r="L409" s="35"/>
      <c r="M409" s="23" t="str">
        <f aca="false">IF(AND(ISNUMBER(L409),ISNUMBER(K409),K409&gt;0),L409/K409-1,"")</f>
        <v/>
      </c>
      <c r="N409" s="36" t="str">
        <f aca="false">IF(M409="","No List Price",IF(M409&lt;=0,"At/below price",IF(M409&lt;=0.12,"&lt;=12% (STR zone)",IF(M409&lt;=0.25,"12-25%","&gt;25% (likely ignored)"))))</f>
        <v>No List Price</v>
      </c>
      <c r="O409" s="15"/>
      <c r="P409" s="35" t="n">
        <v>64.99</v>
      </c>
      <c r="Q409" s="22" t="n">
        <f aca="false">IF(AND(ISNUMBER(K409),ISNUMBER(P409),N(P409)&gt;0),K409/P409-1,"")</f>
        <v>0.230804739190645</v>
      </c>
      <c r="R409" s="15" t="s">
        <v>353</v>
      </c>
      <c r="S409" s="37" t="n">
        <v>7961</v>
      </c>
      <c r="T409" s="37" t="n">
        <v>104</v>
      </c>
      <c r="U409" s="38" t="n">
        <f aca="false">IF(AND(ISNUMBER(K409),ISNUMBER(T409)),K409*T409*52/12,"")</f>
        <v>36048.8266666667</v>
      </c>
      <c r="V409" s="15" t="n">
        <v>4.5</v>
      </c>
      <c r="W409" s="37" t="n">
        <v>3776</v>
      </c>
      <c r="X409" s="39" t="n">
        <v>46307</v>
      </c>
      <c r="Y409" s="15"/>
      <c r="Z409" s="40"/>
      <c r="AA409" s="41" t="str">
        <f aca="false">IF(ISNUMBER(Z409),(DATE(2026,10,13)-Z409)/365,"")</f>
        <v/>
      </c>
      <c r="AB409" s="37"/>
      <c r="AC409" s="15"/>
      <c r="AD409" s="15"/>
      <c r="AE409" s="15"/>
      <c r="AF409" s="42"/>
      <c r="AG409" s="42"/>
      <c r="AH409" s="15"/>
      <c r="AI409" s="37" t="n">
        <v>185157</v>
      </c>
      <c r="AJ409" s="37" t="n">
        <v>1447</v>
      </c>
      <c r="AK409" s="15" t="s">
        <v>326</v>
      </c>
      <c r="AL409" s="43" t="n">
        <v>295.1</v>
      </c>
      <c r="AM409" s="43" t="n">
        <v>388</v>
      </c>
      <c r="AN409" s="25" t="n">
        <f aca="false">IF(AND(ISNUMBER(AM409),ISNUMBER(AL409),AL409&gt;=5),AM409/AL409,"")</f>
        <v>1.31480853947814</v>
      </c>
      <c r="AO409" s="43" t="n">
        <v>1.1</v>
      </c>
      <c r="AP409" s="43" t="n">
        <v>0.5</v>
      </c>
      <c r="AQ409" s="25" t="str">
        <f aca="false">IF(AND(ISNUMBER(AP409),ISNUMBER(AO409),AO409&gt;=5),AP409/AO409,"")</f>
        <v/>
      </c>
      <c r="AR409" s="43" t="n">
        <v>254.1</v>
      </c>
      <c r="AS409" s="43" t="n">
        <v>411.3</v>
      </c>
      <c r="AT409" s="22" t="n">
        <f aca="false">IF(AND(ISNUMBER(AS409),ISNUMBER(AR409),AR409&gt;0),AS409/AR409-1,"")</f>
        <v>0.618654073199528</v>
      </c>
      <c r="AU409" s="44"/>
      <c r="AV409" s="44"/>
      <c r="AW409" s="44"/>
      <c r="AX409" s="44"/>
      <c r="AY409" s="44"/>
      <c r="AZ409" s="45"/>
      <c r="BA409" s="45"/>
      <c r="BB409" s="46"/>
      <c r="BC409" s="46"/>
      <c r="BD409" s="23" t="str">
        <f aca="false">IF(AND(ISNUMBER(BB409),ISNUMBER(BC409),BB409&gt;0),1-BC409/BB409,"")</f>
        <v/>
      </c>
      <c r="BE409" s="47"/>
      <c r="BF409" s="48"/>
      <c r="BG409" s="48"/>
      <c r="BH409" s="27" t="str">
        <f aca="false">IF(AND(ISNUMBER(BF409),ISNUMBER(BG409),BG409&gt;0),BF409/BG409,"")</f>
        <v/>
      </c>
      <c r="BI409" s="48"/>
      <c r="BJ409" s="44"/>
      <c r="BK409" s="46"/>
      <c r="BL409" s="46"/>
      <c r="BM409" s="36" t="str">
        <f aca="false">IF(ISNUMBER(Q409),IF(Q409&lt;0,"YES","no"),"")</f>
        <v>no</v>
      </c>
      <c r="BN409" s="36" t="str">
        <f aca="false">IFERROR(IF(AND(ISNUMBER(K409),ISNUMBER(INDEX('Lift Inputs'!$H:$H,MATCH(C409,'Lift Inputs'!$C:$C,0)))),IF(K409&lt;INDEX('Lift Inputs'!$H:$H,MATCH(C409,'Lift Inputs'!$C:$C,0)),"YES","no"),""),"")</f>
        <v/>
      </c>
      <c r="BO409" s="44"/>
    </row>
    <row r="410" customFormat="false" ht="15" hidden="false" customHeight="false" outlineLevel="0" collapsed="false">
      <c r="A410" s="15" t="s">
        <v>110</v>
      </c>
      <c r="B410" s="15" t="s">
        <v>116</v>
      </c>
      <c r="C410" s="15" t="n">
        <v>45</v>
      </c>
      <c r="D410" s="15" t="s">
        <v>221</v>
      </c>
      <c r="E410" s="15" t="n">
        <v>637</v>
      </c>
      <c r="F410" s="15" t="s">
        <v>354</v>
      </c>
      <c r="G410" s="15" t="s">
        <v>355</v>
      </c>
      <c r="H410" s="15" t="s">
        <v>356</v>
      </c>
      <c r="I410" s="15" t="s">
        <v>357</v>
      </c>
      <c r="J410" s="15" t="s">
        <v>177</v>
      </c>
      <c r="K410" s="35" t="n">
        <v>134.99</v>
      </c>
      <c r="L410" s="35"/>
      <c r="M410" s="23" t="str">
        <f aca="false">IF(AND(ISNUMBER(L410),ISNUMBER(K410),K410&gt;0),L410/K410-1,"")</f>
        <v/>
      </c>
      <c r="N410" s="36" t="str">
        <f aca="false">IF(M410="","No List Price",IF(M410&lt;=0,"At/below price",IF(M410&lt;=0.12,"&lt;=12% (STR zone)",IF(M410&lt;=0.25,"12-25%","&gt;25% (likely ignored)"))))</f>
        <v>No List Price</v>
      </c>
      <c r="O410" s="15" t="s">
        <v>320</v>
      </c>
      <c r="P410" s="35" t="n">
        <v>74.0426315789474</v>
      </c>
      <c r="Q410" s="22" t="n">
        <f aca="false">IF(AND(ISNUMBER(K410),ISNUMBER(P410),N(P410)&gt;0),K410/P410-1,"")</f>
        <v>0.823138874474876</v>
      </c>
      <c r="R410" s="15" t="s">
        <v>321</v>
      </c>
      <c r="S410" s="37" t="n">
        <v>1358</v>
      </c>
      <c r="T410" s="37" t="n">
        <v>92</v>
      </c>
      <c r="U410" s="38" t="n">
        <f aca="false">IF(AND(ISNUMBER(K410),ISNUMBER(T410)),K410*T410*52/12,"")</f>
        <v>53816.0133333333</v>
      </c>
      <c r="V410" s="15" t="n">
        <v>4.4</v>
      </c>
      <c r="W410" s="37" t="n">
        <v>5871</v>
      </c>
      <c r="X410" s="39" t="n">
        <v>46307</v>
      </c>
      <c r="Y410" s="15" t="n">
        <v>258</v>
      </c>
      <c r="Z410" s="40" t="n">
        <v>44154</v>
      </c>
      <c r="AA410" s="41" t="n">
        <f aca="false">IF(ISNUMBER(Z410),(DATE(2026,10,13)-Z410)/365,"")</f>
        <v>5.9013698630137</v>
      </c>
      <c r="AB410" s="37" t="n">
        <v>13039</v>
      </c>
      <c r="AC410" s="15" t="s">
        <v>313</v>
      </c>
      <c r="AD410" s="15" t="n">
        <v>1</v>
      </c>
      <c r="AE410" s="15" t="s">
        <v>314</v>
      </c>
      <c r="AF410" s="42" t="n">
        <v>0.80168776371308</v>
      </c>
      <c r="AG410" s="42" t="n">
        <v>0.361339222679758</v>
      </c>
      <c r="AH410" s="15" t="n">
        <v>316</v>
      </c>
      <c r="AI410" s="37" t="n">
        <v>591713</v>
      </c>
      <c r="AJ410" s="37" t="n">
        <v>5504</v>
      </c>
      <c r="AK410" s="15" t="s">
        <v>315</v>
      </c>
      <c r="AL410" s="43" t="n">
        <v>107.7</v>
      </c>
      <c r="AM410" s="43" t="n">
        <v>191.5</v>
      </c>
      <c r="AN410" s="25" t="n">
        <f aca="false">IF(AND(ISNUMBER(AM410),ISNUMBER(AL410),AL410&gt;=5),AM410/AL410,"")</f>
        <v>1.77808727948004</v>
      </c>
      <c r="AO410" s="43" t="n">
        <v>49.4</v>
      </c>
      <c r="AP410" s="43" t="n">
        <v>99.8</v>
      </c>
      <c r="AQ410" s="25" t="n">
        <f aca="false">IF(AND(ISNUMBER(AP410),ISNUMBER(AO410),AO410&gt;=5),AP410/AO410,"")</f>
        <v>2.02024291497976</v>
      </c>
      <c r="AR410" s="43" t="n">
        <v>127.5</v>
      </c>
      <c r="AS410" s="43" t="n">
        <v>175.6</v>
      </c>
      <c r="AT410" s="22" t="n">
        <f aca="false">IF(AND(ISNUMBER(AS410),ISNUMBER(AR410),AR410&gt;0),AS410/AR410-1,"")</f>
        <v>0.377254901960784</v>
      </c>
      <c r="AU410" s="44"/>
      <c r="AV410" s="44"/>
      <c r="AW410" s="44"/>
      <c r="AX410" s="44"/>
      <c r="AY410" s="44"/>
      <c r="AZ410" s="45"/>
      <c r="BA410" s="45"/>
      <c r="BB410" s="46"/>
      <c r="BC410" s="46"/>
      <c r="BD410" s="23" t="str">
        <f aca="false">IF(AND(ISNUMBER(BB410),ISNUMBER(BC410),BB410&gt;0),1-BC410/BB410,"")</f>
        <v/>
      </c>
      <c r="BE410" s="47"/>
      <c r="BF410" s="48"/>
      <c r="BG410" s="48"/>
      <c r="BH410" s="27" t="str">
        <f aca="false">IF(AND(ISNUMBER(BF410),ISNUMBER(BG410),BG410&gt;0),BF410/BG410,"")</f>
        <v/>
      </c>
      <c r="BI410" s="48"/>
      <c r="BJ410" s="44"/>
      <c r="BK410" s="46"/>
      <c r="BL410" s="46"/>
      <c r="BM410" s="36" t="str">
        <f aca="false">IF(ISNUMBER(Q410),IF(Q410&lt;0,"YES","no"),"")</f>
        <v>no</v>
      </c>
      <c r="BN410" s="36" t="str">
        <f aca="false">IFERROR(IF(AND(ISNUMBER(K410),ISNUMBER(INDEX('Lift Inputs'!$H:$H,MATCH(C410,'Lift Inputs'!$C:$C,0)))),IF(K410&lt;INDEX('Lift Inputs'!$H:$H,MATCH(C410,'Lift Inputs'!$C:$C,0)),"YES","no"),""),"")</f>
        <v/>
      </c>
      <c r="BO410" s="44"/>
    </row>
    <row r="411" customFormat="false" ht="15" hidden="false" customHeight="false" outlineLevel="0" collapsed="false">
      <c r="A411" s="15" t="s">
        <v>110</v>
      </c>
      <c r="B411" s="15" t="s">
        <v>116</v>
      </c>
      <c r="C411" s="15" t="n">
        <v>45</v>
      </c>
      <c r="D411" s="15" t="s">
        <v>221</v>
      </c>
      <c r="E411" s="15" t="n">
        <v>1811</v>
      </c>
      <c r="F411" s="15" t="s">
        <v>516</v>
      </c>
      <c r="G411" s="15" t="s">
        <v>853</v>
      </c>
      <c r="H411" s="15" t="s">
        <v>854</v>
      </c>
      <c r="I411" s="15" t="s">
        <v>384</v>
      </c>
      <c r="J411" s="15" t="s">
        <v>177</v>
      </c>
      <c r="K411" s="35" t="n">
        <v>224.25</v>
      </c>
      <c r="L411" s="35" t="n">
        <v>299</v>
      </c>
      <c r="M411" s="23" t="n">
        <f aca="false">IF(AND(ISNUMBER(L411),ISNUMBER(K411),K411&gt;0),L411/K411-1,"")</f>
        <v>0.333333333333333</v>
      </c>
      <c r="N411" s="36" t="str">
        <f aca="false">IF(M411="","No List Price",IF(M411&lt;=0,"At/below price",IF(M411&lt;=0.12,"&lt;=12% (STR zone)",IF(M411&lt;=0.25,"12-25%","&gt;25% (likely ignored)"))))</f>
        <v>&gt;25% (likely ignored)</v>
      </c>
      <c r="O411" s="15"/>
      <c r="P411" s="35" t="n">
        <v>64.99</v>
      </c>
      <c r="Q411" s="22" t="n">
        <f aca="false">IF(AND(ISNUMBER(K411),ISNUMBER(P411),N(P411)&gt;0),K411/P411-1,"")</f>
        <v>2.45053085090014</v>
      </c>
      <c r="R411" s="15" t="s">
        <v>353</v>
      </c>
      <c r="S411" s="37" t="n">
        <v>5255</v>
      </c>
      <c r="T411" s="37" t="n">
        <v>81</v>
      </c>
      <c r="U411" s="38" t="n">
        <f aca="false">IF(AND(ISNUMBER(K411),ISNUMBER(T411)),K411*T411*52/12,"")</f>
        <v>78711.75</v>
      </c>
      <c r="V411" s="15" t="n">
        <v>4.3</v>
      </c>
      <c r="W411" s="37" t="n">
        <v>1149</v>
      </c>
      <c r="X411" s="39" t="n">
        <v>46307</v>
      </c>
      <c r="Y411" s="15"/>
      <c r="Z411" s="40"/>
      <c r="AA411" s="41" t="str">
        <f aca="false">IF(ISNUMBER(Z411),(DATE(2026,10,13)-Z411)/365,"")</f>
        <v/>
      </c>
      <c r="AB411" s="37"/>
      <c r="AC411" s="15"/>
      <c r="AD411" s="15"/>
      <c r="AE411" s="15"/>
      <c r="AF411" s="42"/>
      <c r="AG411" s="42"/>
      <c r="AH411" s="15"/>
      <c r="AI411" s="37" t="n">
        <v>522593</v>
      </c>
      <c r="AJ411" s="37" t="n">
        <v>7281</v>
      </c>
      <c r="AK411" s="15"/>
      <c r="AL411" s="43"/>
      <c r="AM411" s="43"/>
      <c r="AN411" s="25" t="str">
        <f aca="false">IF(AND(ISNUMBER(AM411),ISNUMBER(AL411),AL411&gt;=5),AM411/AL411,"")</f>
        <v/>
      </c>
      <c r="AO411" s="43"/>
      <c r="AP411" s="43"/>
      <c r="AQ411" s="25" t="str">
        <f aca="false">IF(AND(ISNUMBER(AP411),ISNUMBER(AO411),AO411&gt;=5),AP411/AO411,"")</f>
        <v/>
      </c>
      <c r="AR411" s="43"/>
      <c r="AS411" s="43"/>
      <c r="AT411" s="22" t="str">
        <f aca="false">IF(AND(ISNUMBER(AS411),ISNUMBER(AR411),AR411&gt;0),AS411/AR411-1,"")</f>
        <v/>
      </c>
      <c r="AU411" s="44"/>
      <c r="AV411" s="44"/>
      <c r="AW411" s="44"/>
      <c r="AX411" s="44"/>
      <c r="AY411" s="44"/>
      <c r="AZ411" s="45"/>
      <c r="BA411" s="45"/>
      <c r="BB411" s="46"/>
      <c r="BC411" s="46"/>
      <c r="BD411" s="23" t="str">
        <f aca="false">IF(AND(ISNUMBER(BB411),ISNUMBER(BC411),BB411&gt;0),1-BC411/BB411,"")</f>
        <v/>
      </c>
      <c r="BE411" s="47"/>
      <c r="BF411" s="48"/>
      <c r="BG411" s="48"/>
      <c r="BH411" s="27" t="str">
        <f aca="false">IF(AND(ISNUMBER(BF411),ISNUMBER(BG411),BG411&gt;0),BF411/BG411,"")</f>
        <v/>
      </c>
      <c r="BI411" s="48"/>
      <c r="BJ411" s="44"/>
      <c r="BK411" s="46"/>
      <c r="BL411" s="46"/>
      <c r="BM411" s="36" t="str">
        <f aca="false">IF(ISNUMBER(Q411),IF(Q411&lt;0,"YES","no"),"")</f>
        <v>no</v>
      </c>
      <c r="BN411" s="36" t="str">
        <f aca="false">IFERROR(IF(AND(ISNUMBER(K411),ISNUMBER(INDEX('Lift Inputs'!$H:$H,MATCH(C411,'Lift Inputs'!$C:$C,0)))),IF(K411&lt;INDEX('Lift Inputs'!$H:$H,MATCH(C411,'Lift Inputs'!$C:$C,0)),"YES","no"),""),"")</f>
        <v/>
      </c>
      <c r="BO411" s="44"/>
    </row>
    <row r="412" customFormat="false" ht="15" hidden="false" customHeight="false" outlineLevel="0" collapsed="false">
      <c r="A412" s="15" t="s">
        <v>110</v>
      </c>
      <c r="B412" s="15" t="s">
        <v>116</v>
      </c>
      <c r="C412" s="15" t="n">
        <v>45</v>
      </c>
      <c r="D412" s="15" t="s">
        <v>221</v>
      </c>
      <c r="E412" s="15" t="n">
        <v>22</v>
      </c>
      <c r="F412" s="15" t="s">
        <v>349</v>
      </c>
      <c r="G412" s="15" t="s">
        <v>366</v>
      </c>
      <c r="H412" s="15" t="s">
        <v>367</v>
      </c>
      <c r="I412" s="15" t="s">
        <v>368</v>
      </c>
      <c r="J412" s="15" t="s">
        <v>177</v>
      </c>
      <c r="K412" s="35" t="n">
        <v>59.99</v>
      </c>
      <c r="L412" s="35"/>
      <c r="M412" s="23" t="str">
        <f aca="false">IF(AND(ISNUMBER(L412),ISNUMBER(K412),K412&gt;0),L412/K412-1,"")</f>
        <v/>
      </c>
      <c r="N412" s="36" t="str">
        <f aca="false">IF(M412="","No List Price",IF(M412&lt;=0,"At/below price",IF(M412&lt;=0.12,"&lt;=12% (STR zone)",IF(M412&lt;=0.25,"12-25%","&gt;25% (likely ignored)"))))</f>
        <v>No List Price</v>
      </c>
      <c r="O412" s="15" t="s">
        <v>311</v>
      </c>
      <c r="P412" s="35" t="n">
        <v>64.99</v>
      </c>
      <c r="Q412" s="22" t="n">
        <f aca="false">IF(AND(ISNUMBER(K412),ISNUMBER(P412),N(P412)&gt;0),K412/P412-1,"")</f>
        <v>-0.0769349130635482</v>
      </c>
      <c r="R412" s="15" t="s">
        <v>312</v>
      </c>
      <c r="S412" s="37" t="n">
        <v>23979</v>
      </c>
      <c r="T412" s="37" t="n">
        <v>81</v>
      </c>
      <c r="U412" s="38" t="n">
        <f aca="false">IF(AND(ISNUMBER(K412),ISNUMBER(T412)),K412*T412*52/12,"")</f>
        <v>21056.49</v>
      </c>
      <c r="V412" s="15" t="n">
        <v>4.5</v>
      </c>
      <c r="W412" s="37" t="n">
        <v>3911</v>
      </c>
      <c r="X412" s="39" t="n">
        <v>46307</v>
      </c>
      <c r="Y412" s="15" t="n">
        <v>42</v>
      </c>
      <c r="Z412" s="40" t="n">
        <v>45740</v>
      </c>
      <c r="AA412" s="41" t="n">
        <f aca="false">IF(ISNUMBER(Z412),(DATE(2026,10,13)-Z412)/365,"")</f>
        <v>1.55616438356164</v>
      </c>
      <c r="AB412" s="37" t="n">
        <v>1814</v>
      </c>
      <c r="AC412" s="15" t="s">
        <v>313</v>
      </c>
      <c r="AD412" s="15" t="n">
        <v>1</v>
      </c>
      <c r="AE412" s="15" t="s">
        <v>331</v>
      </c>
      <c r="AF412" s="42" t="n">
        <v>0</v>
      </c>
      <c r="AG412" s="42" t="n">
        <v>0</v>
      </c>
      <c r="AH412" s="15" t="n">
        <v>278</v>
      </c>
      <c r="AI412" s="37" t="n">
        <v>114504</v>
      </c>
      <c r="AJ412" s="37" t="n">
        <v>947</v>
      </c>
      <c r="AK412" s="15" t="s">
        <v>326</v>
      </c>
      <c r="AL412" s="43" t="n">
        <v>431.4</v>
      </c>
      <c r="AM412" s="43" t="n">
        <v>472.5</v>
      </c>
      <c r="AN412" s="25" t="n">
        <f aca="false">IF(AND(ISNUMBER(AM412),ISNUMBER(AL412),AL412&gt;=5),AM412/AL412,"")</f>
        <v>1.09527121001391</v>
      </c>
      <c r="AO412" s="43" t="n">
        <v>13.8</v>
      </c>
      <c r="AP412" s="43" t="n">
        <v>16.5</v>
      </c>
      <c r="AQ412" s="25" t="n">
        <f aca="false">IF(AND(ISNUMBER(AP412),ISNUMBER(AO412),AO412&gt;=5),AP412/AO412,"")</f>
        <v>1.19565217391304</v>
      </c>
      <c r="AR412" s="43" t="n">
        <v>365.3</v>
      </c>
      <c r="AS412" s="43" t="n">
        <v>327.3</v>
      </c>
      <c r="AT412" s="22" t="n">
        <f aca="false">IF(AND(ISNUMBER(AS412),ISNUMBER(AR412),AR412&gt;0),AS412/AR412-1,"")</f>
        <v>-0.104024089789214</v>
      </c>
      <c r="AU412" s="44"/>
      <c r="AV412" s="44"/>
      <c r="AW412" s="44"/>
      <c r="AX412" s="44"/>
      <c r="AY412" s="44"/>
      <c r="AZ412" s="45"/>
      <c r="BA412" s="45"/>
      <c r="BB412" s="46"/>
      <c r="BC412" s="46"/>
      <c r="BD412" s="23" t="str">
        <f aca="false">IF(AND(ISNUMBER(BB412),ISNUMBER(BC412),BB412&gt;0),1-BC412/BB412,"")</f>
        <v/>
      </c>
      <c r="BE412" s="47"/>
      <c r="BF412" s="48"/>
      <c r="BG412" s="48"/>
      <c r="BH412" s="27" t="str">
        <f aca="false">IF(AND(ISNUMBER(BF412),ISNUMBER(BG412),BG412&gt;0),BF412/BG412,"")</f>
        <v/>
      </c>
      <c r="BI412" s="48"/>
      <c r="BJ412" s="44"/>
      <c r="BK412" s="46"/>
      <c r="BL412" s="46"/>
      <c r="BM412" s="36" t="str">
        <f aca="false">IF(ISNUMBER(Q412),IF(Q412&lt;0,"YES","no"),"")</f>
        <v>YES</v>
      </c>
      <c r="BN412" s="36" t="str">
        <f aca="false">IFERROR(IF(AND(ISNUMBER(K412),ISNUMBER(INDEX('Lift Inputs'!$H:$H,MATCH(C412,'Lift Inputs'!$C:$C,0)))),IF(K412&lt;INDEX('Lift Inputs'!$H:$H,MATCH(C412,'Lift Inputs'!$C:$C,0)),"YES","no"),""),"")</f>
        <v/>
      </c>
      <c r="BO412" s="44"/>
    </row>
    <row r="413" customFormat="false" ht="15" hidden="false" customHeight="false" outlineLevel="0" collapsed="false">
      <c r="A413" s="15" t="s">
        <v>110</v>
      </c>
      <c r="B413" s="15" t="s">
        <v>116</v>
      </c>
      <c r="C413" s="15" t="n">
        <v>45</v>
      </c>
      <c r="D413" s="15" t="s">
        <v>221</v>
      </c>
      <c r="E413" s="15" t="n">
        <v>1498</v>
      </c>
      <c r="F413" s="15" t="s">
        <v>855</v>
      </c>
      <c r="G413" s="15" t="s">
        <v>856</v>
      </c>
      <c r="H413" s="15" t="s">
        <v>857</v>
      </c>
      <c r="I413" s="15" t="s">
        <v>384</v>
      </c>
      <c r="J413" s="15" t="s">
        <v>177</v>
      </c>
      <c r="K413" s="35" t="n">
        <v>149.99</v>
      </c>
      <c r="L413" s="35" t="n">
        <v>179.99</v>
      </c>
      <c r="M413" s="23" t="n">
        <f aca="false">IF(AND(ISNUMBER(L413),ISNUMBER(K413),K413&gt;0),L413/K413-1,"")</f>
        <v>0.200013334222281</v>
      </c>
      <c r="N413" s="36" t="str">
        <f aca="false">IF(M413="","No List Price",IF(M413&lt;=0,"At/below price",IF(M413&lt;=0.12,"&lt;=12% (STR zone)",IF(M413&lt;=0.25,"12-25%","&gt;25% (likely ignored)"))))</f>
        <v>12-25%</v>
      </c>
      <c r="O413" s="15"/>
      <c r="P413" s="35" t="n">
        <v>64.99</v>
      </c>
      <c r="Q413" s="22" t="n">
        <f aca="false">IF(AND(ISNUMBER(K413),ISNUMBER(P413),N(P413)&gt;0),K413/P413-1,"")</f>
        <v>1.30789352208032</v>
      </c>
      <c r="R413" s="15" t="s">
        <v>353</v>
      </c>
      <c r="S413" s="37" t="n">
        <v>49910</v>
      </c>
      <c r="T413" s="37" t="n">
        <v>35</v>
      </c>
      <c r="U413" s="38" t="n">
        <f aca="false">IF(AND(ISNUMBER(K413),ISNUMBER(T413)),K413*T413*52/12,"")</f>
        <v>22748.4833333333</v>
      </c>
      <c r="V413" s="15" t="n">
        <v>4.2</v>
      </c>
      <c r="W413" s="37" t="n">
        <v>595</v>
      </c>
      <c r="X413" s="39" t="n">
        <v>46307</v>
      </c>
      <c r="Y413" s="15"/>
      <c r="Z413" s="40"/>
      <c r="AA413" s="41" t="str">
        <f aca="false">IF(ISNUMBER(Z413),(DATE(2026,10,13)-Z413)/365,"")</f>
        <v/>
      </c>
      <c r="AB413" s="37"/>
      <c r="AC413" s="15"/>
      <c r="AD413" s="15"/>
      <c r="AE413" s="15"/>
      <c r="AF413" s="42"/>
      <c r="AG413" s="42"/>
      <c r="AH413" s="15"/>
      <c r="AI413" s="37" t="n">
        <v>107224</v>
      </c>
      <c r="AJ413" s="37" t="n">
        <v>1884</v>
      </c>
      <c r="AK413" s="15" t="s">
        <v>326</v>
      </c>
      <c r="AL413" s="43" t="n">
        <v>151.6</v>
      </c>
      <c r="AM413" s="43" t="n">
        <v>218.8</v>
      </c>
      <c r="AN413" s="25" t="n">
        <f aca="false">IF(AND(ISNUMBER(AM413),ISNUMBER(AL413),AL413&gt;=5),AM413/AL413,"")</f>
        <v>1.44327176781003</v>
      </c>
      <c r="AO413" s="43" t="n">
        <v>222.7</v>
      </c>
      <c r="AP413" s="43" t="n">
        <v>166</v>
      </c>
      <c r="AQ413" s="25" t="n">
        <f aca="false">IF(AND(ISNUMBER(AP413),ISNUMBER(AO413),AO413&gt;=5),AP413/AO413,"")</f>
        <v>0.745397395599461</v>
      </c>
      <c r="AR413" s="43" t="n">
        <v>114.2</v>
      </c>
      <c r="AS413" s="43" t="n">
        <v>141.4</v>
      </c>
      <c r="AT413" s="22" t="n">
        <f aca="false">IF(AND(ISNUMBER(AS413),ISNUMBER(AR413),AR413&gt;0),AS413/AR413-1,"")</f>
        <v>0.238178633975482</v>
      </c>
      <c r="AU413" s="44"/>
      <c r="AV413" s="44"/>
      <c r="AW413" s="44"/>
      <c r="AX413" s="44"/>
      <c r="AY413" s="44"/>
      <c r="AZ413" s="45"/>
      <c r="BA413" s="45"/>
      <c r="BB413" s="46"/>
      <c r="BC413" s="46"/>
      <c r="BD413" s="23" t="str">
        <f aca="false">IF(AND(ISNUMBER(BB413),ISNUMBER(BC413),BB413&gt;0),1-BC413/BB413,"")</f>
        <v/>
      </c>
      <c r="BE413" s="47"/>
      <c r="BF413" s="48"/>
      <c r="BG413" s="48"/>
      <c r="BH413" s="27" t="str">
        <f aca="false">IF(AND(ISNUMBER(BF413),ISNUMBER(BG413),BG413&gt;0),BF413/BG413,"")</f>
        <v/>
      </c>
      <c r="BI413" s="48"/>
      <c r="BJ413" s="44"/>
      <c r="BK413" s="46"/>
      <c r="BL413" s="46"/>
      <c r="BM413" s="36" t="str">
        <f aca="false">IF(ISNUMBER(Q413),IF(Q413&lt;0,"YES","no"),"")</f>
        <v>no</v>
      </c>
      <c r="BN413" s="36" t="str">
        <f aca="false">IFERROR(IF(AND(ISNUMBER(K413),ISNUMBER(INDEX('Lift Inputs'!$H:$H,MATCH(C413,'Lift Inputs'!$C:$C,0)))),IF(K413&lt;INDEX('Lift Inputs'!$H:$H,MATCH(C413,'Lift Inputs'!$C:$C,0)),"YES","no"),""),"")</f>
        <v/>
      </c>
      <c r="BO413" s="44"/>
    </row>
    <row r="414" customFormat="false" ht="15" hidden="false" customHeight="false" outlineLevel="0" collapsed="false">
      <c r="A414" s="15" t="s">
        <v>110</v>
      </c>
      <c r="B414" s="15" t="s">
        <v>116</v>
      </c>
      <c r="C414" s="15" t="n">
        <v>45</v>
      </c>
      <c r="D414" s="15" t="s">
        <v>221</v>
      </c>
      <c r="E414" s="15" t="n">
        <v>1510</v>
      </c>
      <c r="F414" s="15" t="s">
        <v>373</v>
      </c>
      <c r="G414" s="15" t="s">
        <v>374</v>
      </c>
      <c r="H414" s="15" t="s">
        <v>375</v>
      </c>
      <c r="I414" s="15" t="s">
        <v>352</v>
      </c>
      <c r="J414" s="15" t="s">
        <v>177</v>
      </c>
      <c r="K414" s="35" t="n">
        <v>55</v>
      </c>
      <c r="L414" s="35"/>
      <c r="M414" s="23" t="str">
        <f aca="false">IF(AND(ISNUMBER(L414),ISNUMBER(K414),K414&gt;0),L414/K414-1,"")</f>
        <v/>
      </c>
      <c r="N414" s="36" t="str">
        <f aca="false">IF(M414="","No List Price",IF(M414&lt;=0,"At/below price",IF(M414&lt;=0.12,"&lt;=12% (STR zone)",IF(M414&lt;=0.25,"12-25%","&gt;25% (likely ignored)"))))</f>
        <v>No List Price</v>
      </c>
      <c r="O414" s="15"/>
      <c r="P414" s="35" t="n">
        <v>64.99</v>
      </c>
      <c r="Q414" s="22" t="n">
        <f aca="false">IF(AND(ISNUMBER(K414),ISNUMBER(P414),N(P414)&gt;0),K414/P414-1,"")</f>
        <v>-0.153715956300969</v>
      </c>
      <c r="R414" s="15" t="s">
        <v>353</v>
      </c>
      <c r="S414" s="37" t="n">
        <v>4051</v>
      </c>
      <c r="T414" s="37" t="n">
        <v>35</v>
      </c>
      <c r="U414" s="38" t="n">
        <f aca="false">IF(AND(ISNUMBER(K414),ISNUMBER(T414)),K414*T414*52/12,"")</f>
        <v>8341.66666666667</v>
      </c>
      <c r="V414" s="15" t="n">
        <v>4.4</v>
      </c>
      <c r="W414" s="37" t="n">
        <v>1909</v>
      </c>
      <c r="X414" s="39" t="n">
        <v>46307</v>
      </c>
      <c r="Y414" s="15"/>
      <c r="Z414" s="40"/>
      <c r="AA414" s="41" t="str">
        <f aca="false">IF(ISNUMBER(Z414),(DATE(2026,10,13)-Z414)/365,"")</f>
        <v/>
      </c>
      <c r="AB414" s="37"/>
      <c r="AC414" s="15"/>
      <c r="AD414" s="15"/>
      <c r="AE414" s="15"/>
      <c r="AF414" s="42"/>
      <c r="AG414" s="42"/>
      <c r="AH414" s="15"/>
      <c r="AI414" s="37" t="n">
        <v>171534</v>
      </c>
      <c r="AJ414" s="37" t="n">
        <v>2682</v>
      </c>
      <c r="AK414" s="15"/>
      <c r="AL414" s="43"/>
      <c r="AM414" s="43"/>
      <c r="AN414" s="25" t="str">
        <f aca="false">IF(AND(ISNUMBER(AM414),ISNUMBER(AL414),AL414&gt;=5),AM414/AL414,"")</f>
        <v/>
      </c>
      <c r="AO414" s="43"/>
      <c r="AP414" s="43"/>
      <c r="AQ414" s="25" t="str">
        <f aca="false">IF(AND(ISNUMBER(AP414),ISNUMBER(AO414),AO414&gt;=5),AP414/AO414,"")</f>
        <v/>
      </c>
      <c r="AR414" s="43"/>
      <c r="AS414" s="43"/>
      <c r="AT414" s="22" t="str">
        <f aca="false">IF(AND(ISNUMBER(AS414),ISNUMBER(AR414),AR414&gt;0),AS414/AR414-1,"")</f>
        <v/>
      </c>
      <c r="AU414" s="44"/>
      <c r="AV414" s="44"/>
      <c r="AW414" s="44"/>
      <c r="AX414" s="44"/>
      <c r="AY414" s="44"/>
      <c r="AZ414" s="45"/>
      <c r="BA414" s="45"/>
      <c r="BB414" s="46"/>
      <c r="BC414" s="46"/>
      <c r="BD414" s="23" t="str">
        <f aca="false">IF(AND(ISNUMBER(BB414),ISNUMBER(BC414),BB414&gt;0),1-BC414/BB414,"")</f>
        <v/>
      </c>
      <c r="BE414" s="47"/>
      <c r="BF414" s="48"/>
      <c r="BG414" s="48"/>
      <c r="BH414" s="27" t="str">
        <f aca="false">IF(AND(ISNUMBER(BF414),ISNUMBER(BG414),BG414&gt;0),BF414/BG414,"")</f>
        <v/>
      </c>
      <c r="BI414" s="48"/>
      <c r="BJ414" s="44"/>
      <c r="BK414" s="46"/>
      <c r="BL414" s="46"/>
      <c r="BM414" s="36" t="str">
        <f aca="false">IF(ISNUMBER(Q414),IF(Q414&lt;0,"YES","no"),"")</f>
        <v>YES</v>
      </c>
      <c r="BN414" s="36" t="str">
        <f aca="false">IFERROR(IF(AND(ISNUMBER(K414),ISNUMBER(INDEX('Lift Inputs'!$H:$H,MATCH(C414,'Lift Inputs'!$C:$C,0)))),IF(K414&lt;INDEX('Lift Inputs'!$H:$H,MATCH(C414,'Lift Inputs'!$C:$C,0)),"YES","no"),""),"")</f>
        <v/>
      </c>
      <c r="BO414" s="44"/>
    </row>
    <row r="415" customFormat="false" ht="15" hidden="false" customHeight="false" outlineLevel="0" collapsed="false">
      <c r="A415" s="15" t="s">
        <v>110</v>
      </c>
      <c r="B415" s="15" t="s">
        <v>116</v>
      </c>
      <c r="C415" s="15" t="n">
        <v>45</v>
      </c>
      <c r="D415" s="15" t="s">
        <v>221</v>
      </c>
      <c r="E415" s="15" t="n">
        <v>49</v>
      </c>
      <c r="F415" s="15" t="s">
        <v>516</v>
      </c>
      <c r="G415" s="15" t="s">
        <v>858</v>
      </c>
      <c r="H415" s="15" t="s">
        <v>859</v>
      </c>
      <c r="I415" s="15" t="s">
        <v>860</v>
      </c>
      <c r="J415" s="15" t="s">
        <v>177</v>
      </c>
      <c r="K415" s="35" t="n">
        <v>164.25</v>
      </c>
      <c r="L415" s="35" t="n">
        <v>219</v>
      </c>
      <c r="M415" s="23" t="n">
        <f aca="false">IF(AND(ISNUMBER(L415),ISNUMBER(K415),K415&gt;0),L415/K415-1,"")</f>
        <v>0.333333333333333</v>
      </c>
      <c r="N415" s="36" t="str">
        <f aca="false">IF(M415="","No List Price",IF(M415&lt;=0,"At/below price",IF(M415&lt;=0.12,"&lt;=12% (STR zone)",IF(M415&lt;=0.25,"12-25%","&gt;25% (likely ignored)"))))</f>
        <v>&gt;25% (likely ignored)</v>
      </c>
      <c r="O415" s="15"/>
      <c r="P415" s="35" t="n">
        <v>64.99</v>
      </c>
      <c r="Q415" s="22" t="n">
        <f aca="false">IF(AND(ISNUMBER(K415),ISNUMBER(P415),N(P415)&gt;0),K415/P415-1,"")</f>
        <v>1.52731189413756</v>
      </c>
      <c r="R415" s="15" t="s">
        <v>353</v>
      </c>
      <c r="S415" s="37" t="n">
        <v>5255</v>
      </c>
      <c r="T415" s="37" t="n">
        <v>35</v>
      </c>
      <c r="U415" s="38" t="n">
        <f aca="false">IF(AND(ISNUMBER(K415),ISNUMBER(T415)),K415*T415*52/12,"")</f>
        <v>24911.25</v>
      </c>
      <c r="V415" s="15" t="n">
        <v>4.3</v>
      </c>
      <c r="W415" s="37" t="n">
        <v>1149</v>
      </c>
      <c r="X415" s="39" t="n">
        <v>46307</v>
      </c>
      <c r="Y415" s="15"/>
      <c r="Z415" s="40"/>
      <c r="AA415" s="41" t="str">
        <f aca="false">IF(ISNUMBER(Z415),(DATE(2026,10,13)-Z415)/365,"")</f>
        <v/>
      </c>
      <c r="AB415" s="37"/>
      <c r="AC415" s="15"/>
      <c r="AD415" s="15"/>
      <c r="AE415" s="15"/>
      <c r="AF415" s="42"/>
      <c r="AG415" s="42"/>
      <c r="AH415" s="15"/>
      <c r="AI415" s="37"/>
      <c r="AJ415" s="37"/>
      <c r="AK415" s="15"/>
      <c r="AL415" s="43"/>
      <c r="AM415" s="43"/>
      <c r="AN415" s="25" t="str">
        <f aca="false">IF(AND(ISNUMBER(AM415),ISNUMBER(AL415),AL415&gt;=5),AM415/AL415,"")</f>
        <v/>
      </c>
      <c r="AO415" s="43"/>
      <c r="AP415" s="43"/>
      <c r="AQ415" s="25" t="str">
        <f aca="false">IF(AND(ISNUMBER(AP415),ISNUMBER(AO415),AO415&gt;=5),AP415/AO415,"")</f>
        <v/>
      </c>
      <c r="AR415" s="43"/>
      <c r="AS415" s="43"/>
      <c r="AT415" s="22" t="str">
        <f aca="false">IF(AND(ISNUMBER(AS415),ISNUMBER(AR415),AR415&gt;0),AS415/AR415-1,"")</f>
        <v/>
      </c>
      <c r="AU415" s="44"/>
      <c r="AV415" s="44"/>
      <c r="AW415" s="44"/>
      <c r="AX415" s="44"/>
      <c r="AY415" s="44"/>
      <c r="AZ415" s="45"/>
      <c r="BA415" s="45"/>
      <c r="BB415" s="46"/>
      <c r="BC415" s="46"/>
      <c r="BD415" s="23" t="str">
        <f aca="false">IF(AND(ISNUMBER(BB415),ISNUMBER(BC415),BB415&gt;0),1-BC415/BB415,"")</f>
        <v/>
      </c>
      <c r="BE415" s="47"/>
      <c r="BF415" s="48"/>
      <c r="BG415" s="48"/>
      <c r="BH415" s="27" t="str">
        <f aca="false">IF(AND(ISNUMBER(BF415),ISNUMBER(BG415),BG415&gt;0),BF415/BG415,"")</f>
        <v/>
      </c>
      <c r="BI415" s="48"/>
      <c r="BJ415" s="44"/>
      <c r="BK415" s="46"/>
      <c r="BL415" s="46"/>
      <c r="BM415" s="36" t="str">
        <f aca="false">IF(ISNUMBER(Q415),IF(Q415&lt;0,"YES","no"),"")</f>
        <v>no</v>
      </c>
      <c r="BN415" s="36" t="str">
        <f aca="false">IFERROR(IF(AND(ISNUMBER(K415),ISNUMBER(INDEX('Lift Inputs'!$H:$H,MATCH(C415,'Lift Inputs'!$C:$C,0)))),IF(K415&lt;INDEX('Lift Inputs'!$H:$H,MATCH(C415,'Lift Inputs'!$C:$C,0)),"YES","no"),""),"")</f>
        <v/>
      </c>
      <c r="BO415" s="44"/>
    </row>
    <row r="416" customFormat="false" ht="15" hidden="false" customHeight="false" outlineLevel="0" collapsed="false">
      <c r="A416" s="15" t="s">
        <v>110</v>
      </c>
      <c r="B416" s="15" t="s">
        <v>116</v>
      </c>
      <c r="C416" s="15" t="n">
        <v>45</v>
      </c>
      <c r="D416" s="15" t="s">
        <v>221</v>
      </c>
      <c r="E416" s="15" t="n">
        <v>510</v>
      </c>
      <c r="F416" s="15" t="s">
        <v>881</v>
      </c>
      <c r="G416" s="15" t="s">
        <v>882</v>
      </c>
      <c r="H416" s="15" t="s">
        <v>883</v>
      </c>
      <c r="I416" s="15" t="s">
        <v>884</v>
      </c>
      <c r="J416" s="15" t="s">
        <v>177</v>
      </c>
      <c r="K416" s="35" t="n">
        <v>209.3</v>
      </c>
      <c r="L416" s="35"/>
      <c r="M416" s="23" t="str">
        <f aca="false">IF(AND(ISNUMBER(L416),ISNUMBER(K416),K416&gt;0),L416/K416-1,"")</f>
        <v/>
      </c>
      <c r="N416" s="36" t="str">
        <f aca="false">IF(M416="","No List Price",IF(M416&lt;=0,"At/below price",IF(M416&lt;=0.12,"&lt;=12% (STR zone)",IF(M416&lt;=0.25,"12-25%","&gt;25% (likely ignored)"))))</f>
        <v>No List Price</v>
      </c>
      <c r="O416" s="15" t="s">
        <v>311</v>
      </c>
      <c r="P416" s="35" t="n">
        <v>64.99</v>
      </c>
      <c r="Q416" s="22" t="n">
        <f aca="false">IF(AND(ISNUMBER(K416),ISNUMBER(P416),N(P416)&gt;0),K416/P416-1,"")</f>
        <v>2.22049546084013</v>
      </c>
      <c r="R416" s="15" t="s">
        <v>312</v>
      </c>
      <c r="S416" s="37" t="n">
        <v>74243</v>
      </c>
      <c r="T416" s="37" t="n">
        <v>5</v>
      </c>
      <c r="U416" s="38" t="n">
        <f aca="false">IF(AND(ISNUMBER(K416),ISNUMBER(T416)),K416*T416*52/12,"")</f>
        <v>4534.83333333333</v>
      </c>
      <c r="V416" s="15" t="n">
        <v>4.4</v>
      </c>
      <c r="W416" s="37" t="n">
        <v>3256</v>
      </c>
      <c r="X416" s="39" t="n">
        <v>46307</v>
      </c>
      <c r="Y416" s="15"/>
      <c r="Z416" s="40"/>
      <c r="AA416" s="41" t="str">
        <f aca="false">IF(ISNUMBER(Z416),(DATE(2026,10,13)-Z416)/365,"")</f>
        <v/>
      </c>
      <c r="AB416" s="37"/>
      <c r="AC416" s="15"/>
      <c r="AD416" s="15"/>
      <c r="AE416" s="15"/>
      <c r="AF416" s="42"/>
      <c r="AG416" s="42"/>
      <c r="AH416" s="15"/>
      <c r="AI416" s="37"/>
      <c r="AJ416" s="37"/>
      <c r="AK416" s="15"/>
      <c r="AL416" s="43"/>
      <c r="AM416" s="43"/>
      <c r="AN416" s="25" t="str">
        <f aca="false">IF(AND(ISNUMBER(AM416),ISNUMBER(AL416),AL416&gt;=5),AM416/AL416,"")</f>
        <v/>
      </c>
      <c r="AO416" s="43"/>
      <c r="AP416" s="43"/>
      <c r="AQ416" s="25" t="str">
        <f aca="false">IF(AND(ISNUMBER(AP416),ISNUMBER(AO416),AO416&gt;=5),AP416/AO416,"")</f>
        <v/>
      </c>
      <c r="AR416" s="43"/>
      <c r="AS416" s="43"/>
      <c r="AT416" s="22" t="str">
        <f aca="false">IF(AND(ISNUMBER(AS416),ISNUMBER(AR416),AR416&gt;0),AS416/AR416-1,"")</f>
        <v/>
      </c>
      <c r="AU416" s="44"/>
      <c r="AV416" s="44"/>
      <c r="AW416" s="44"/>
      <c r="AX416" s="44"/>
      <c r="AY416" s="44"/>
      <c r="AZ416" s="45"/>
      <c r="BA416" s="45"/>
      <c r="BB416" s="46"/>
      <c r="BC416" s="46"/>
      <c r="BD416" s="23" t="str">
        <f aca="false">IF(AND(ISNUMBER(BB416),ISNUMBER(BC416),BB416&gt;0),1-BC416/BB416,"")</f>
        <v/>
      </c>
      <c r="BE416" s="47"/>
      <c r="BF416" s="48"/>
      <c r="BG416" s="48"/>
      <c r="BH416" s="27" t="str">
        <f aca="false">IF(AND(ISNUMBER(BF416),ISNUMBER(BG416),BG416&gt;0),BF416/BG416,"")</f>
        <v/>
      </c>
      <c r="BI416" s="48"/>
      <c r="BJ416" s="44"/>
      <c r="BK416" s="46"/>
      <c r="BL416" s="46"/>
      <c r="BM416" s="36" t="str">
        <f aca="false">IF(ISNUMBER(Q416),IF(Q416&lt;0,"YES","no"),"")</f>
        <v>no</v>
      </c>
      <c r="BN416" s="36" t="str">
        <f aca="false">IFERROR(IF(AND(ISNUMBER(K416),ISNUMBER(INDEX('Lift Inputs'!$H:$H,MATCH(C416,'Lift Inputs'!$C:$C,0)))),IF(K416&lt;INDEX('Lift Inputs'!$H:$H,MATCH(C416,'Lift Inputs'!$C:$C,0)),"YES","no"),""),"")</f>
        <v/>
      </c>
      <c r="BO416" s="44"/>
    </row>
    <row r="417" customFormat="false" ht="15" hidden="false" customHeight="false" outlineLevel="0" collapsed="false">
      <c r="A417" s="15" t="s">
        <v>110</v>
      </c>
      <c r="B417" s="15" t="s">
        <v>116</v>
      </c>
      <c r="C417" s="15" t="n">
        <v>45</v>
      </c>
      <c r="D417" s="15" t="s">
        <v>221</v>
      </c>
      <c r="E417" s="15" t="n">
        <v>24</v>
      </c>
      <c r="F417" s="15" t="s">
        <v>449</v>
      </c>
      <c r="G417" s="15" t="s">
        <v>450</v>
      </c>
      <c r="H417" s="15" t="s">
        <v>451</v>
      </c>
      <c r="I417" s="15" t="s">
        <v>352</v>
      </c>
      <c r="J417" s="15" t="s">
        <v>178</v>
      </c>
      <c r="K417" s="35" t="n">
        <v>76.99</v>
      </c>
      <c r="L417" s="35" t="n">
        <v>84.99</v>
      </c>
      <c r="M417" s="23" t="n">
        <f aca="false">IF(AND(ISNUMBER(L417),ISNUMBER(K417),K417&gt;0),L417/K417-1,"")</f>
        <v>0.103909598649175</v>
      </c>
      <c r="N417" s="36" t="str">
        <f aca="false">IF(M417="","No List Price",IF(M417&lt;=0,"At/below price",IF(M417&lt;=0.12,"&lt;=12% (STR zone)",IF(M417&lt;=0.25,"12-25%","&gt;25% (likely ignored)"))))</f>
        <v>&lt;=12% (STR zone)</v>
      </c>
      <c r="O417" s="15"/>
      <c r="P417" s="35" t="n">
        <v>64.99</v>
      </c>
      <c r="Q417" s="22" t="n">
        <f aca="false">IF(AND(ISNUMBER(K417),ISNUMBER(P417),N(P417)&gt;0),K417/P417-1,"")</f>
        <v>0.184643791352516</v>
      </c>
      <c r="R417" s="15" t="s">
        <v>353</v>
      </c>
      <c r="S417" s="37" t="n">
        <v>23579</v>
      </c>
      <c r="T417" s="37" t="n">
        <v>18</v>
      </c>
      <c r="U417" s="38" t="n">
        <f aca="false">IF(AND(ISNUMBER(K417),ISNUMBER(T417)),K417*T417*52/12,"")</f>
        <v>6005.22</v>
      </c>
      <c r="V417" s="15" t="n">
        <v>4.6</v>
      </c>
      <c r="W417" s="37" t="n">
        <v>688</v>
      </c>
      <c r="X417" s="39" t="n">
        <v>46307</v>
      </c>
      <c r="Y417" s="15"/>
      <c r="Z417" s="40"/>
      <c r="AA417" s="41" t="str">
        <f aca="false">IF(ISNUMBER(Z417),(DATE(2026,10,13)-Z417)/365,"")</f>
        <v/>
      </c>
      <c r="AB417" s="37"/>
      <c r="AC417" s="15"/>
      <c r="AD417" s="15"/>
      <c r="AE417" s="15"/>
      <c r="AF417" s="42"/>
      <c r="AG417" s="42"/>
      <c r="AH417" s="15"/>
      <c r="AI417" s="37" t="n">
        <v>58169</v>
      </c>
      <c r="AJ417" s="37" t="n">
        <v>1164</v>
      </c>
      <c r="AK417" s="15" t="s">
        <v>315</v>
      </c>
      <c r="AL417" s="43" t="n">
        <v>1.3</v>
      </c>
      <c r="AM417" s="43" t="n">
        <v>2.2</v>
      </c>
      <c r="AN417" s="25" t="str">
        <f aca="false">IF(AND(ISNUMBER(AM417),ISNUMBER(AL417),AL417&gt;=5),AM417/AL417,"")</f>
        <v/>
      </c>
      <c r="AO417" s="43" t="n">
        <v>3.5</v>
      </c>
      <c r="AP417" s="43" t="n">
        <v>2.5</v>
      </c>
      <c r="AQ417" s="25" t="str">
        <f aca="false">IF(AND(ISNUMBER(AP417),ISNUMBER(AO417),AO417&gt;=5),AP417/AO417,"")</f>
        <v/>
      </c>
      <c r="AR417" s="43" t="n">
        <v>1.7</v>
      </c>
      <c r="AS417" s="43" t="n">
        <v>5.7</v>
      </c>
      <c r="AT417" s="22" t="n">
        <f aca="false">IF(AND(ISNUMBER(AS417),ISNUMBER(AR417),AR417&gt;0),AS417/AR417-1,"")</f>
        <v>2.35294117647059</v>
      </c>
      <c r="AU417" s="44"/>
      <c r="AV417" s="44"/>
      <c r="AW417" s="44"/>
      <c r="AX417" s="44"/>
      <c r="AY417" s="44"/>
      <c r="AZ417" s="45"/>
      <c r="BA417" s="45"/>
      <c r="BB417" s="46"/>
      <c r="BC417" s="46"/>
      <c r="BD417" s="23" t="str">
        <f aca="false">IF(AND(ISNUMBER(BB417),ISNUMBER(BC417),BB417&gt;0),1-BC417/BB417,"")</f>
        <v/>
      </c>
      <c r="BE417" s="47"/>
      <c r="BF417" s="48"/>
      <c r="BG417" s="48"/>
      <c r="BH417" s="27" t="str">
        <f aca="false">IF(AND(ISNUMBER(BF417),ISNUMBER(BG417),BG417&gt;0),BF417/BG417,"")</f>
        <v/>
      </c>
      <c r="BI417" s="48"/>
      <c r="BJ417" s="44"/>
      <c r="BK417" s="46"/>
      <c r="BL417" s="46"/>
      <c r="BM417" s="36" t="str">
        <f aca="false">IF(ISNUMBER(Q417),IF(Q417&lt;0,"YES","no"),"")</f>
        <v>no</v>
      </c>
      <c r="BN417" s="36" t="str">
        <f aca="false">IFERROR(IF(AND(ISNUMBER(K417),ISNUMBER(INDEX('Lift Inputs'!$H:$H,MATCH(C417,'Lift Inputs'!$C:$C,0)))),IF(K417&lt;INDEX('Lift Inputs'!$H:$H,MATCH(C417,'Lift Inputs'!$C:$C,0)),"YES","no"),""),"")</f>
        <v/>
      </c>
      <c r="BO417" s="44"/>
    </row>
    <row r="418" customFormat="false" ht="15" hidden="false" customHeight="false" outlineLevel="0" collapsed="false">
      <c r="A418" s="15" t="s">
        <v>110</v>
      </c>
      <c r="B418" s="15" t="s">
        <v>116</v>
      </c>
      <c r="C418" s="15" t="n">
        <v>45</v>
      </c>
      <c r="D418" s="15" t="s">
        <v>221</v>
      </c>
      <c r="E418" s="15" t="n">
        <v>46</v>
      </c>
      <c r="F418" s="15" t="s">
        <v>307</v>
      </c>
      <c r="G418" s="15" t="s">
        <v>862</v>
      </c>
      <c r="H418" s="15" t="s">
        <v>863</v>
      </c>
      <c r="I418" s="15" t="s">
        <v>384</v>
      </c>
      <c r="J418" s="15" t="s">
        <v>178</v>
      </c>
      <c r="K418" s="35" t="n">
        <v>149.99</v>
      </c>
      <c r="L418" s="35"/>
      <c r="M418" s="23" t="str">
        <f aca="false">IF(AND(ISNUMBER(L418),ISNUMBER(K418),K418&gt;0),L418/K418-1,"")</f>
        <v/>
      </c>
      <c r="N418" s="36" t="str">
        <f aca="false">IF(M418="","No List Price",IF(M418&lt;=0,"At/below price",IF(M418&lt;=0.12,"&lt;=12% (STR zone)",IF(M418&lt;=0.25,"12-25%","&gt;25% (likely ignored)"))))</f>
        <v>No List Price</v>
      </c>
      <c r="O418" s="15"/>
      <c r="P418" s="35" t="n">
        <v>64.99</v>
      </c>
      <c r="Q418" s="22" t="n">
        <f aca="false">IF(AND(ISNUMBER(K418),ISNUMBER(P418),N(P418)&gt;0),K418/P418-1,"")</f>
        <v>1.30789352208032</v>
      </c>
      <c r="R418" s="15" t="s">
        <v>353</v>
      </c>
      <c r="S418" s="37" t="n">
        <v>463922</v>
      </c>
      <c r="T418" s="37" t="n">
        <v>5</v>
      </c>
      <c r="U418" s="38" t="n">
        <f aca="false">IF(AND(ISNUMBER(K418),ISNUMBER(T418)),K418*T418*52/12,"")</f>
        <v>3249.78333333333</v>
      </c>
      <c r="V418" s="15" t="n">
        <v>4.2</v>
      </c>
      <c r="W418" s="37" t="n">
        <v>512</v>
      </c>
      <c r="X418" s="39" t="n">
        <v>46307</v>
      </c>
      <c r="Y418" s="15"/>
      <c r="Z418" s="40"/>
      <c r="AA418" s="41" t="str">
        <f aca="false">IF(ISNUMBER(Z418),(DATE(2026,10,13)-Z418)/365,"")</f>
        <v/>
      </c>
      <c r="AB418" s="37"/>
      <c r="AC418" s="15"/>
      <c r="AD418" s="15"/>
      <c r="AE418" s="15"/>
      <c r="AF418" s="42"/>
      <c r="AG418" s="42"/>
      <c r="AH418" s="15"/>
      <c r="AI418" s="37" t="n">
        <v>170</v>
      </c>
      <c r="AJ418" s="37" t="n">
        <v>22</v>
      </c>
      <c r="AK418" s="15"/>
      <c r="AL418" s="43"/>
      <c r="AM418" s="43"/>
      <c r="AN418" s="25" t="str">
        <f aca="false">IF(AND(ISNUMBER(AM418),ISNUMBER(AL418),AL418&gt;=5),AM418/AL418,"")</f>
        <v/>
      </c>
      <c r="AO418" s="43"/>
      <c r="AP418" s="43"/>
      <c r="AQ418" s="25" t="str">
        <f aca="false">IF(AND(ISNUMBER(AP418),ISNUMBER(AO418),AO418&gt;=5),AP418/AO418,"")</f>
        <v/>
      </c>
      <c r="AR418" s="43"/>
      <c r="AS418" s="43"/>
      <c r="AT418" s="22" t="str">
        <f aca="false">IF(AND(ISNUMBER(AS418),ISNUMBER(AR418),AR418&gt;0),AS418/AR418-1,"")</f>
        <v/>
      </c>
      <c r="AU418" s="44"/>
      <c r="AV418" s="44"/>
      <c r="AW418" s="44"/>
      <c r="AX418" s="44"/>
      <c r="AY418" s="44"/>
      <c r="AZ418" s="45"/>
      <c r="BA418" s="45"/>
      <c r="BB418" s="46"/>
      <c r="BC418" s="46"/>
      <c r="BD418" s="23" t="str">
        <f aca="false">IF(AND(ISNUMBER(BB418),ISNUMBER(BC418),BB418&gt;0),1-BC418/BB418,"")</f>
        <v/>
      </c>
      <c r="BE418" s="47"/>
      <c r="BF418" s="48"/>
      <c r="BG418" s="48"/>
      <c r="BH418" s="27" t="str">
        <f aca="false">IF(AND(ISNUMBER(BF418),ISNUMBER(BG418),BG418&gt;0),BF418/BG418,"")</f>
        <v/>
      </c>
      <c r="BI418" s="48"/>
      <c r="BJ418" s="44"/>
      <c r="BK418" s="46"/>
      <c r="BL418" s="46"/>
      <c r="BM418" s="36" t="str">
        <f aca="false">IF(ISNUMBER(Q418),IF(Q418&lt;0,"YES","no"),"")</f>
        <v>no</v>
      </c>
      <c r="BN418" s="36" t="str">
        <f aca="false">IFERROR(IF(AND(ISNUMBER(K418),ISNUMBER(INDEX('Lift Inputs'!$H:$H,MATCH(C418,'Lift Inputs'!$C:$C,0)))),IF(K418&lt;INDEX('Lift Inputs'!$H:$H,MATCH(C418,'Lift Inputs'!$C:$C,0)),"YES","no"),""),"")</f>
        <v/>
      </c>
      <c r="BO418" s="44"/>
    </row>
    <row r="419" customFormat="false" ht="15" hidden="false" customHeight="false" outlineLevel="0" collapsed="false">
      <c r="A419" s="15" t="s">
        <v>110</v>
      </c>
      <c r="B419" s="15" t="s">
        <v>116</v>
      </c>
      <c r="C419" s="15" t="n">
        <v>45</v>
      </c>
      <c r="D419" s="15" t="s">
        <v>221</v>
      </c>
      <c r="E419" s="15" t="n">
        <v>1503</v>
      </c>
      <c r="F419" s="15" t="s">
        <v>885</v>
      </c>
      <c r="G419" s="15" t="s">
        <v>886</v>
      </c>
      <c r="H419" s="15" t="s">
        <v>887</v>
      </c>
      <c r="I419" s="15" t="s">
        <v>535</v>
      </c>
      <c r="J419" s="15" t="s">
        <v>178</v>
      </c>
      <c r="K419" s="35" t="n">
        <v>49.99</v>
      </c>
      <c r="L419" s="35"/>
      <c r="M419" s="23" t="str">
        <f aca="false">IF(AND(ISNUMBER(L419),ISNUMBER(K419),K419&gt;0),L419/K419-1,"")</f>
        <v/>
      </c>
      <c r="N419" s="36" t="str">
        <f aca="false">IF(M419="","No List Price",IF(M419&lt;=0,"At/below price",IF(M419&lt;=0.12,"&lt;=12% (STR zone)",IF(M419&lt;=0.25,"12-25%","&gt;25% (likely ignored)"))))</f>
        <v>No List Price</v>
      </c>
      <c r="O419" s="15"/>
      <c r="P419" s="35" t="n">
        <v>64.99</v>
      </c>
      <c r="Q419" s="22" t="n">
        <f aca="false">IF(AND(ISNUMBER(K419),ISNUMBER(P419),N(P419)&gt;0),K419/P419-1,"")</f>
        <v>-0.230804739190645</v>
      </c>
      <c r="R419" s="15" t="s">
        <v>353</v>
      </c>
      <c r="S419" s="37" t="n">
        <v>501090</v>
      </c>
      <c r="T419" s="37" t="n">
        <v>5</v>
      </c>
      <c r="U419" s="38" t="n">
        <f aca="false">IF(AND(ISNUMBER(K419),ISNUMBER(T419)),K419*T419*52/12,"")</f>
        <v>1083.11666666667</v>
      </c>
      <c r="V419" s="15" t="n">
        <v>4.1</v>
      </c>
      <c r="W419" s="37" t="n">
        <v>184</v>
      </c>
      <c r="X419" s="39" t="n">
        <v>46307</v>
      </c>
      <c r="Y419" s="15"/>
      <c r="Z419" s="40"/>
      <c r="AA419" s="41" t="str">
        <f aca="false">IF(ISNUMBER(Z419),(DATE(2026,10,13)-Z419)/365,"")</f>
        <v/>
      </c>
      <c r="AB419" s="37"/>
      <c r="AC419" s="15"/>
      <c r="AD419" s="15"/>
      <c r="AE419" s="15"/>
      <c r="AF419" s="42"/>
      <c r="AG419" s="42"/>
      <c r="AH419" s="15"/>
      <c r="AI419" s="37"/>
      <c r="AJ419" s="37"/>
      <c r="AK419" s="15"/>
      <c r="AL419" s="43"/>
      <c r="AM419" s="43"/>
      <c r="AN419" s="25" t="str">
        <f aca="false">IF(AND(ISNUMBER(AM419),ISNUMBER(AL419),AL419&gt;=5),AM419/AL419,"")</f>
        <v/>
      </c>
      <c r="AO419" s="43"/>
      <c r="AP419" s="43"/>
      <c r="AQ419" s="25" t="str">
        <f aca="false">IF(AND(ISNUMBER(AP419),ISNUMBER(AO419),AO419&gt;=5),AP419/AO419,"")</f>
        <v/>
      </c>
      <c r="AR419" s="43"/>
      <c r="AS419" s="43"/>
      <c r="AT419" s="22" t="str">
        <f aca="false">IF(AND(ISNUMBER(AS419),ISNUMBER(AR419),AR419&gt;0),AS419/AR419-1,"")</f>
        <v/>
      </c>
      <c r="AU419" s="44"/>
      <c r="AV419" s="44"/>
      <c r="AW419" s="44"/>
      <c r="AX419" s="44"/>
      <c r="AY419" s="44"/>
      <c r="AZ419" s="45"/>
      <c r="BA419" s="45"/>
      <c r="BB419" s="46"/>
      <c r="BC419" s="46"/>
      <c r="BD419" s="23" t="str">
        <f aca="false">IF(AND(ISNUMBER(BB419),ISNUMBER(BC419),BB419&gt;0),1-BC419/BB419,"")</f>
        <v/>
      </c>
      <c r="BE419" s="47"/>
      <c r="BF419" s="48"/>
      <c r="BG419" s="48"/>
      <c r="BH419" s="27" t="str">
        <f aca="false">IF(AND(ISNUMBER(BF419),ISNUMBER(BG419),BG419&gt;0),BF419/BG419,"")</f>
        <v/>
      </c>
      <c r="BI419" s="48"/>
      <c r="BJ419" s="44"/>
      <c r="BK419" s="46"/>
      <c r="BL419" s="46"/>
      <c r="BM419" s="36" t="str">
        <f aca="false">IF(ISNUMBER(Q419),IF(Q419&lt;0,"YES","no"),"")</f>
        <v>YES</v>
      </c>
      <c r="BN419" s="36" t="str">
        <f aca="false">IFERROR(IF(AND(ISNUMBER(K419),ISNUMBER(INDEX('Lift Inputs'!$H:$H,MATCH(C419,'Lift Inputs'!$C:$C,0)))),IF(K419&lt;INDEX('Lift Inputs'!$H:$H,MATCH(C419,'Lift Inputs'!$C:$C,0)),"YES","no"),""),"")</f>
        <v/>
      </c>
      <c r="BO419" s="44"/>
    </row>
    <row r="420" customFormat="false" ht="15" hidden="false" customHeight="false" outlineLevel="0" collapsed="false">
      <c r="A420" s="15" t="s">
        <v>110</v>
      </c>
      <c r="B420" s="15" t="s">
        <v>116</v>
      </c>
      <c r="C420" s="15" t="n">
        <v>45</v>
      </c>
      <c r="D420" s="15" t="s">
        <v>221</v>
      </c>
      <c r="E420" s="15" t="n">
        <v>515</v>
      </c>
      <c r="F420" s="15" t="s">
        <v>483</v>
      </c>
      <c r="G420" s="15" t="s">
        <v>888</v>
      </c>
      <c r="H420" s="15" t="s">
        <v>889</v>
      </c>
      <c r="I420" s="15" t="s">
        <v>890</v>
      </c>
      <c r="J420" s="15" t="s">
        <v>178</v>
      </c>
      <c r="K420" s="35" t="n">
        <v>57.99</v>
      </c>
      <c r="L420" s="35"/>
      <c r="M420" s="23" t="str">
        <f aca="false">IF(AND(ISNUMBER(L420),ISNUMBER(K420),K420&gt;0),L420/K420-1,"")</f>
        <v/>
      </c>
      <c r="N420" s="36" t="str">
        <f aca="false">IF(M420="","No List Price",IF(M420&lt;=0,"At/below price",IF(M420&lt;=0.12,"&lt;=12% (STR zone)",IF(M420&lt;=0.25,"12-25%","&gt;25% (likely ignored)"))))</f>
        <v>No List Price</v>
      </c>
      <c r="O420" s="15" t="s">
        <v>891</v>
      </c>
      <c r="P420" s="35" t="n">
        <v>49.99</v>
      </c>
      <c r="Q420" s="22" t="n">
        <f aca="false">IF(AND(ISNUMBER(K420),ISNUMBER(P420),N(P420)&gt;0),K420/P420-1,"")</f>
        <v>0.16003200640128</v>
      </c>
      <c r="R420" s="15" t="s">
        <v>892</v>
      </c>
      <c r="S420" s="37" t="n">
        <v>381427</v>
      </c>
      <c r="T420" s="37" t="n">
        <v>5</v>
      </c>
      <c r="U420" s="38" t="n">
        <f aca="false">IF(AND(ISNUMBER(K420),ISNUMBER(T420)),K420*T420*52/12,"")</f>
        <v>1256.45</v>
      </c>
      <c r="V420" s="15" t="n">
        <v>4.1</v>
      </c>
      <c r="W420" s="37" t="n">
        <v>118</v>
      </c>
      <c r="X420" s="39" t="n">
        <v>46307</v>
      </c>
      <c r="Y420" s="15"/>
      <c r="Z420" s="40"/>
      <c r="AA420" s="41" t="str">
        <f aca="false">IF(ISNUMBER(Z420),(DATE(2026,10,13)-Z420)/365,"")</f>
        <v/>
      </c>
      <c r="AB420" s="37"/>
      <c r="AC420" s="15"/>
      <c r="AD420" s="15"/>
      <c r="AE420" s="15"/>
      <c r="AF420" s="42"/>
      <c r="AG420" s="42"/>
      <c r="AH420" s="15"/>
      <c r="AI420" s="37"/>
      <c r="AJ420" s="37"/>
      <c r="AK420" s="15"/>
      <c r="AL420" s="43"/>
      <c r="AM420" s="43"/>
      <c r="AN420" s="25" t="str">
        <f aca="false">IF(AND(ISNUMBER(AM420),ISNUMBER(AL420),AL420&gt;=5),AM420/AL420,"")</f>
        <v/>
      </c>
      <c r="AO420" s="43"/>
      <c r="AP420" s="43"/>
      <c r="AQ420" s="25" t="str">
        <f aca="false">IF(AND(ISNUMBER(AP420),ISNUMBER(AO420),AO420&gt;=5),AP420/AO420,"")</f>
        <v/>
      </c>
      <c r="AR420" s="43"/>
      <c r="AS420" s="43"/>
      <c r="AT420" s="22" t="str">
        <f aca="false">IF(AND(ISNUMBER(AS420),ISNUMBER(AR420),AR420&gt;0),AS420/AR420-1,"")</f>
        <v/>
      </c>
      <c r="AU420" s="44"/>
      <c r="AV420" s="44"/>
      <c r="AW420" s="44"/>
      <c r="AX420" s="44"/>
      <c r="AY420" s="44"/>
      <c r="AZ420" s="45"/>
      <c r="BA420" s="45"/>
      <c r="BB420" s="46"/>
      <c r="BC420" s="46"/>
      <c r="BD420" s="23" t="str">
        <f aca="false">IF(AND(ISNUMBER(BB420),ISNUMBER(BC420),BB420&gt;0),1-BC420/BB420,"")</f>
        <v/>
      </c>
      <c r="BE420" s="47"/>
      <c r="BF420" s="48"/>
      <c r="BG420" s="48"/>
      <c r="BH420" s="27" t="str">
        <f aca="false">IF(AND(ISNUMBER(BF420),ISNUMBER(BG420),BG420&gt;0),BF420/BG420,"")</f>
        <v/>
      </c>
      <c r="BI420" s="48"/>
      <c r="BJ420" s="44"/>
      <c r="BK420" s="46"/>
      <c r="BL420" s="46"/>
      <c r="BM420" s="36" t="str">
        <f aca="false">IF(ISNUMBER(Q420),IF(Q420&lt;0,"YES","no"),"")</f>
        <v>no</v>
      </c>
      <c r="BN420" s="36" t="str">
        <f aca="false">IFERROR(IF(AND(ISNUMBER(K420),ISNUMBER(INDEX('Lift Inputs'!$H:$H,MATCH(C420,'Lift Inputs'!$C:$C,0)))),IF(K420&lt;INDEX('Lift Inputs'!$H:$H,MATCH(C420,'Lift Inputs'!$C:$C,0)),"YES","no"),""),"")</f>
        <v/>
      </c>
      <c r="BO420" s="44"/>
    </row>
    <row r="421" customFormat="false" ht="15" hidden="false" customHeight="false" outlineLevel="0" collapsed="false">
      <c r="A421" s="15" t="s">
        <v>110</v>
      </c>
      <c r="B421" s="15" t="s">
        <v>116</v>
      </c>
      <c r="C421" s="15" t="n">
        <v>45</v>
      </c>
      <c r="D421" s="15" t="s">
        <v>221</v>
      </c>
      <c r="E421" s="15" t="n">
        <v>1501</v>
      </c>
      <c r="F421" s="15" t="s">
        <v>864</v>
      </c>
      <c r="G421" s="15" t="s">
        <v>865</v>
      </c>
      <c r="H421" s="15" t="s">
        <v>865</v>
      </c>
      <c r="I421" s="15" t="s">
        <v>384</v>
      </c>
      <c r="J421" s="15" t="s">
        <v>178</v>
      </c>
      <c r="K421" s="35" t="n">
        <v>139.99</v>
      </c>
      <c r="L421" s="35"/>
      <c r="M421" s="23" t="str">
        <f aca="false">IF(AND(ISNUMBER(L421),ISNUMBER(K421),K421&gt;0),L421/K421-1,"")</f>
        <v/>
      </c>
      <c r="N421" s="36" t="str">
        <f aca="false">IF(M421="","No List Price",IF(M421&lt;=0,"At/below price",IF(M421&lt;=0.12,"&lt;=12% (STR zone)",IF(M421&lt;=0.25,"12-25%","&gt;25% (likely ignored)"))))</f>
        <v>No List Price</v>
      </c>
      <c r="O421" s="15"/>
      <c r="P421" s="35" t="n">
        <v>64.99</v>
      </c>
      <c r="Q421" s="22" t="n">
        <f aca="false">IF(AND(ISNUMBER(K421),ISNUMBER(P421),N(P421)&gt;0),K421/P421-1,"")</f>
        <v>1.15402369595322</v>
      </c>
      <c r="R421" s="15" t="s">
        <v>353</v>
      </c>
      <c r="S421" s="37" t="n">
        <v>2798999</v>
      </c>
      <c r="T421" s="37" t="n">
        <v>5</v>
      </c>
      <c r="U421" s="38" t="n">
        <f aca="false">IF(AND(ISNUMBER(K421),ISNUMBER(T421)),K421*T421*52/12,"")</f>
        <v>3033.11666666667</v>
      </c>
      <c r="V421" s="15" t="n">
        <v>4.2</v>
      </c>
      <c r="W421" s="37" t="n">
        <v>6</v>
      </c>
      <c r="X421" s="39" t="n">
        <v>46279</v>
      </c>
      <c r="Y421" s="15"/>
      <c r="Z421" s="40"/>
      <c r="AA421" s="41" t="str">
        <f aca="false">IF(ISNUMBER(Z421),(DATE(2026,10,13)-Z421)/365,"")</f>
        <v/>
      </c>
      <c r="AB421" s="37"/>
      <c r="AC421" s="15"/>
      <c r="AD421" s="15"/>
      <c r="AE421" s="15"/>
      <c r="AF421" s="42"/>
      <c r="AG421" s="42"/>
      <c r="AH421" s="15"/>
      <c r="AI421" s="37"/>
      <c r="AJ421" s="37"/>
      <c r="AK421" s="15" t="s">
        <v>326</v>
      </c>
      <c r="AL421" s="43" t="n">
        <v>0</v>
      </c>
      <c r="AM421" s="43" t="n">
        <v>0</v>
      </c>
      <c r="AN421" s="25" t="str">
        <f aca="false">IF(AND(ISNUMBER(AM421),ISNUMBER(AL421),AL421&gt;=5),AM421/AL421,"")</f>
        <v/>
      </c>
      <c r="AO421" s="43" t="n">
        <v>0</v>
      </c>
      <c r="AP421" s="43" t="n">
        <v>0</v>
      </c>
      <c r="AQ421" s="25" t="str">
        <f aca="false">IF(AND(ISNUMBER(AP421),ISNUMBER(AO421),AO421&gt;=5),AP421/AO421,"")</f>
        <v/>
      </c>
      <c r="AR421" s="43" t="n">
        <v>0.3</v>
      </c>
      <c r="AS421" s="43" t="n">
        <v>0</v>
      </c>
      <c r="AT421" s="22" t="n">
        <f aca="false">IF(AND(ISNUMBER(AS421),ISNUMBER(AR421),AR421&gt;0),AS421/AR421-1,"")</f>
        <v>-1</v>
      </c>
      <c r="AU421" s="44"/>
      <c r="AV421" s="44"/>
      <c r="AW421" s="44"/>
      <c r="AX421" s="44"/>
      <c r="AY421" s="44"/>
      <c r="AZ421" s="45"/>
      <c r="BA421" s="45"/>
      <c r="BB421" s="46"/>
      <c r="BC421" s="46"/>
      <c r="BD421" s="23" t="str">
        <f aca="false">IF(AND(ISNUMBER(BB421),ISNUMBER(BC421),BB421&gt;0),1-BC421/BB421,"")</f>
        <v/>
      </c>
      <c r="BE421" s="47"/>
      <c r="BF421" s="48"/>
      <c r="BG421" s="48"/>
      <c r="BH421" s="27" t="str">
        <f aca="false">IF(AND(ISNUMBER(BF421),ISNUMBER(BG421),BG421&gt;0),BF421/BG421,"")</f>
        <v/>
      </c>
      <c r="BI421" s="48"/>
      <c r="BJ421" s="44"/>
      <c r="BK421" s="46"/>
      <c r="BL421" s="46"/>
      <c r="BM421" s="36" t="str">
        <f aca="false">IF(ISNUMBER(Q421),IF(Q421&lt;0,"YES","no"),"")</f>
        <v>no</v>
      </c>
      <c r="BN421" s="36" t="str">
        <f aca="false">IFERROR(IF(AND(ISNUMBER(K421),ISNUMBER(INDEX('Lift Inputs'!$H:$H,MATCH(C421,'Lift Inputs'!$C:$C,0)))),IF(K421&lt;INDEX('Lift Inputs'!$H:$H,MATCH(C421,'Lift Inputs'!$C:$C,0)),"YES","no"),""),"")</f>
        <v/>
      </c>
      <c r="BO421" s="44"/>
    </row>
    <row r="422" customFormat="false" ht="15" hidden="false" customHeight="false" outlineLevel="0" collapsed="false">
      <c r="A422" s="15" t="s">
        <v>110</v>
      </c>
      <c r="B422" s="15" t="s">
        <v>116</v>
      </c>
      <c r="C422" s="15" t="n">
        <v>45</v>
      </c>
      <c r="D422" s="15" t="s">
        <v>221</v>
      </c>
      <c r="E422" s="15" t="n">
        <v>9</v>
      </c>
      <c r="F422" s="15" t="s">
        <v>866</v>
      </c>
      <c r="G422" s="15" t="s">
        <v>867</v>
      </c>
      <c r="H422" s="15" t="s">
        <v>868</v>
      </c>
      <c r="I422" s="15" t="s">
        <v>869</v>
      </c>
      <c r="J422" s="15" t="s">
        <v>178</v>
      </c>
      <c r="K422" s="35" t="n">
        <v>67.99</v>
      </c>
      <c r="L422" s="35" t="n">
        <v>79.99</v>
      </c>
      <c r="M422" s="23" t="n">
        <f aca="false">IF(AND(ISNUMBER(L422),ISNUMBER(K422),K422&gt;0),L422/K422-1,"")</f>
        <v>0.176496543609354</v>
      </c>
      <c r="N422" s="36" t="str">
        <f aca="false">IF(M422="","No List Price",IF(M422&lt;=0,"At/below price",IF(M422&lt;=0.12,"&lt;=12% (STR zone)",IF(M422&lt;=0.25,"12-25%","&gt;25% (likely ignored)"))))</f>
        <v>12-25%</v>
      </c>
      <c r="O422" s="15" t="s">
        <v>311</v>
      </c>
      <c r="P422" s="35" t="n">
        <v>64.99</v>
      </c>
      <c r="Q422" s="22" t="n">
        <f aca="false">IF(AND(ISNUMBER(K422),ISNUMBER(P422),N(P422)&gt;0),K422/P422-1,"")</f>
        <v>0.0461609478381289</v>
      </c>
      <c r="R422" s="15" t="s">
        <v>312</v>
      </c>
      <c r="S422" s="37" t="n">
        <v>159865</v>
      </c>
      <c r="T422" s="37" t="n">
        <v>5</v>
      </c>
      <c r="U422" s="38" t="n">
        <f aca="false">IF(AND(ISNUMBER(K422),ISNUMBER(T422)),K422*T422*52/12,"")</f>
        <v>1473.11666666667</v>
      </c>
      <c r="V422" s="15" t="n">
        <v>4.4</v>
      </c>
      <c r="W422" s="37" t="n">
        <v>131</v>
      </c>
      <c r="X422" s="39" t="n">
        <v>46307</v>
      </c>
      <c r="Y422" s="15"/>
      <c r="Z422" s="40"/>
      <c r="AA422" s="41" t="str">
        <f aca="false">IF(ISNUMBER(Z422),(DATE(2026,10,13)-Z422)/365,"")</f>
        <v/>
      </c>
      <c r="AB422" s="37"/>
      <c r="AC422" s="15"/>
      <c r="AD422" s="15"/>
      <c r="AE422" s="15"/>
      <c r="AF422" s="42"/>
      <c r="AG422" s="42"/>
      <c r="AH422" s="15"/>
      <c r="AI422" s="37" t="n">
        <v>15624</v>
      </c>
      <c r="AJ422" s="37" t="n">
        <v>643</v>
      </c>
      <c r="AK422" s="15" t="s">
        <v>315</v>
      </c>
      <c r="AL422" s="43" t="n">
        <v>9.9</v>
      </c>
      <c r="AM422" s="43" t="n">
        <v>4.8</v>
      </c>
      <c r="AN422" s="25" t="n">
        <f aca="false">IF(AND(ISNUMBER(AM422),ISNUMBER(AL422),AL422&gt;=5),AM422/AL422,"")</f>
        <v>0.484848484848485</v>
      </c>
      <c r="AO422" s="43" t="n">
        <v>8.7</v>
      </c>
      <c r="AP422" s="43" t="n">
        <v>17</v>
      </c>
      <c r="AQ422" s="25" t="n">
        <f aca="false">IF(AND(ISNUMBER(AP422),ISNUMBER(AO422),AO422&gt;=5),AP422/AO422,"")</f>
        <v>1.95402298850575</v>
      </c>
      <c r="AR422" s="43" t="n">
        <v>3.7</v>
      </c>
      <c r="AS422" s="43" t="n">
        <v>15.5</v>
      </c>
      <c r="AT422" s="22" t="n">
        <f aca="false">IF(AND(ISNUMBER(AS422),ISNUMBER(AR422),AR422&gt;0),AS422/AR422-1,"")</f>
        <v>3.18918918918919</v>
      </c>
      <c r="AU422" s="44"/>
      <c r="AV422" s="44"/>
      <c r="AW422" s="44"/>
      <c r="AX422" s="44"/>
      <c r="AY422" s="44"/>
      <c r="AZ422" s="45"/>
      <c r="BA422" s="45"/>
      <c r="BB422" s="46"/>
      <c r="BC422" s="46"/>
      <c r="BD422" s="23" t="str">
        <f aca="false">IF(AND(ISNUMBER(BB422),ISNUMBER(BC422),BB422&gt;0),1-BC422/BB422,"")</f>
        <v/>
      </c>
      <c r="BE422" s="47"/>
      <c r="BF422" s="48"/>
      <c r="BG422" s="48"/>
      <c r="BH422" s="27" t="str">
        <f aca="false">IF(AND(ISNUMBER(BF422),ISNUMBER(BG422),BG422&gt;0),BF422/BG422,"")</f>
        <v/>
      </c>
      <c r="BI422" s="48"/>
      <c r="BJ422" s="44"/>
      <c r="BK422" s="46"/>
      <c r="BL422" s="46"/>
      <c r="BM422" s="36" t="str">
        <f aca="false">IF(ISNUMBER(Q422),IF(Q422&lt;0,"YES","no"),"")</f>
        <v>no</v>
      </c>
      <c r="BN422" s="36" t="str">
        <f aca="false">IFERROR(IF(AND(ISNUMBER(K422),ISNUMBER(INDEX('Lift Inputs'!$H:$H,MATCH(C422,'Lift Inputs'!$C:$C,0)))),IF(K422&lt;INDEX('Lift Inputs'!$H:$H,MATCH(C422,'Lift Inputs'!$C:$C,0)),"YES","no"),""),"")</f>
        <v/>
      </c>
      <c r="BO422" s="44"/>
    </row>
    <row r="423" customFormat="false" ht="15" hidden="false" customHeight="false" outlineLevel="0" collapsed="false">
      <c r="A423" s="15" t="s">
        <v>110</v>
      </c>
      <c r="B423" s="15" t="s">
        <v>116</v>
      </c>
      <c r="C423" s="15" t="n">
        <v>45</v>
      </c>
      <c r="D423" s="15" t="s">
        <v>221</v>
      </c>
      <c r="E423" s="15" t="n">
        <v>696</v>
      </c>
      <c r="F423" s="15" t="s">
        <v>327</v>
      </c>
      <c r="G423" s="15" t="s">
        <v>328</v>
      </c>
      <c r="H423" s="15" t="s">
        <v>329</v>
      </c>
      <c r="I423" s="15" t="s">
        <v>330</v>
      </c>
      <c r="J423" s="15"/>
      <c r="K423" s="35" t="n">
        <v>37.99</v>
      </c>
      <c r="L423" s="35" t="n">
        <v>44.99</v>
      </c>
      <c r="M423" s="23" t="n">
        <f aca="false">IF(AND(ISNUMBER(L423),ISNUMBER(K423),K423&gt;0),L423/K423-1,"")</f>
        <v>0.184259015530403</v>
      </c>
      <c r="N423" s="36" t="str">
        <f aca="false">IF(M423="","No List Price",IF(M423&lt;=0,"At/below price",IF(M423&lt;=0.12,"&lt;=12% (STR zone)",IF(M423&lt;=0.25,"12-25%","&gt;25% (likely ignored)"))))</f>
        <v>12-25%</v>
      </c>
      <c r="O423" s="15" t="s">
        <v>311</v>
      </c>
      <c r="P423" s="35" t="n">
        <v>64.99</v>
      </c>
      <c r="Q423" s="22" t="n">
        <f aca="false">IF(AND(ISNUMBER(K423),ISNUMBER(P423),N(P423)&gt;0),K423/P423-1,"")</f>
        <v>-0.41544853054316</v>
      </c>
      <c r="R423" s="15" t="s">
        <v>312</v>
      </c>
      <c r="S423" s="37" t="n">
        <v>501</v>
      </c>
      <c r="T423" s="37" t="n">
        <v>924</v>
      </c>
      <c r="U423" s="38" t="n">
        <f aca="false">IF(AND(ISNUMBER(K423),ISNUMBER(T423)),K423*T423*52/12,"")</f>
        <v>152111.96</v>
      </c>
      <c r="V423" s="15" t="n">
        <v>4.4</v>
      </c>
      <c r="W423" s="37" t="n">
        <v>1900</v>
      </c>
      <c r="X423" s="39" t="n">
        <v>46307</v>
      </c>
      <c r="Y423" s="15" t="n">
        <v>176</v>
      </c>
      <c r="Z423" s="40" t="n">
        <v>45694</v>
      </c>
      <c r="AA423" s="41" t="n">
        <f aca="false">IF(ISNUMBER(Z423),(DATE(2026,10,13)-Z423)/365,"")</f>
        <v>1.68219178082192</v>
      </c>
      <c r="AB423" s="37" t="n">
        <v>22978</v>
      </c>
      <c r="AC423" s="15" t="s">
        <v>313</v>
      </c>
      <c r="AD423" s="15" t="n">
        <v>5</v>
      </c>
      <c r="AE423" s="15" t="s">
        <v>331</v>
      </c>
      <c r="AF423" s="42" t="n">
        <v>0</v>
      </c>
      <c r="AG423" s="42" t="n">
        <v>0</v>
      </c>
      <c r="AH423" s="15" t="n">
        <v>445</v>
      </c>
      <c r="AI423" s="37" t="n">
        <v>906346</v>
      </c>
      <c r="AJ423" s="37" t="n">
        <v>4326</v>
      </c>
      <c r="AK423" s="15" t="s">
        <v>315</v>
      </c>
      <c r="AL423" s="43" t="n">
        <v>1478.5</v>
      </c>
      <c r="AM423" s="43" t="n">
        <v>1323.8</v>
      </c>
      <c r="AN423" s="25" t="n">
        <f aca="false">IF(AND(ISNUMBER(AM423),ISNUMBER(AL423),AL423&gt;=5),AM423/AL423,"")</f>
        <v>0.895366925938451</v>
      </c>
      <c r="AO423" s="43" t="n">
        <v>0</v>
      </c>
      <c r="AP423" s="43" t="n">
        <v>0</v>
      </c>
      <c r="AQ423" s="25" t="str">
        <f aca="false">IF(AND(ISNUMBER(AP423),ISNUMBER(AO423),AO423&gt;=5),AP423/AO423,"")</f>
        <v/>
      </c>
      <c r="AR423" s="43" t="n">
        <v>886.7</v>
      </c>
      <c r="AS423" s="43" t="n">
        <v>1364.5</v>
      </c>
      <c r="AT423" s="22" t="n">
        <f aca="false">IF(AND(ISNUMBER(AS423),ISNUMBER(AR423),AR423&gt;0),AS423/AR423-1,"")</f>
        <v>0.538851922860043</v>
      </c>
      <c r="AU423" s="44"/>
      <c r="AV423" s="44"/>
      <c r="AW423" s="44"/>
      <c r="AX423" s="44"/>
      <c r="AY423" s="44"/>
      <c r="AZ423" s="45"/>
      <c r="BA423" s="45"/>
      <c r="BB423" s="46"/>
      <c r="BC423" s="46"/>
      <c r="BD423" s="23" t="str">
        <f aca="false">IF(AND(ISNUMBER(BB423),ISNUMBER(BC423),BB423&gt;0),1-BC423/BB423,"")</f>
        <v/>
      </c>
      <c r="BE423" s="47"/>
      <c r="BF423" s="48"/>
      <c r="BG423" s="48"/>
      <c r="BH423" s="27" t="str">
        <f aca="false">IF(AND(ISNUMBER(BF423),ISNUMBER(BG423),BG423&gt;0),BF423/BG423,"")</f>
        <v/>
      </c>
      <c r="BI423" s="48"/>
      <c r="BJ423" s="44"/>
      <c r="BK423" s="46"/>
      <c r="BL423" s="46"/>
      <c r="BM423" s="36" t="str">
        <f aca="false">IF(ISNUMBER(Q423),IF(Q423&lt;0,"YES","no"),"")</f>
        <v>YES</v>
      </c>
      <c r="BN423" s="36" t="str">
        <f aca="false">IFERROR(IF(AND(ISNUMBER(K423),ISNUMBER(INDEX('Lift Inputs'!$H:$H,MATCH(C423,'Lift Inputs'!$C:$C,0)))),IF(K423&lt;INDEX('Lift Inputs'!$H:$H,MATCH(C423,'Lift Inputs'!$C:$C,0)),"YES","no"),""),"")</f>
        <v/>
      </c>
      <c r="BO423" s="44"/>
    </row>
    <row r="424" customFormat="false" ht="15" hidden="false" customHeight="false" outlineLevel="0" collapsed="false">
      <c r="A424" s="15" t="s">
        <v>110</v>
      </c>
      <c r="B424" s="15" t="s">
        <v>116</v>
      </c>
      <c r="C424" s="15" t="n">
        <v>45</v>
      </c>
      <c r="D424" s="15" t="s">
        <v>221</v>
      </c>
      <c r="E424" s="15" t="n">
        <v>1174</v>
      </c>
      <c r="F424" s="15" t="s">
        <v>893</v>
      </c>
      <c r="G424" s="15" t="s">
        <v>894</v>
      </c>
      <c r="H424" s="15" t="s">
        <v>895</v>
      </c>
      <c r="I424" s="15" t="s">
        <v>896</v>
      </c>
      <c r="J424" s="15"/>
      <c r="K424" s="35" t="n">
        <v>15.95</v>
      </c>
      <c r="L424" s="35"/>
      <c r="M424" s="23" t="str">
        <f aca="false">IF(AND(ISNUMBER(L424),ISNUMBER(K424),K424&gt;0),L424/K424-1,"")</f>
        <v/>
      </c>
      <c r="N424" s="36" t="str">
        <f aca="false">IF(M424="","No List Price",IF(M424&lt;=0,"At/below price",IF(M424&lt;=0.12,"&lt;=12% (STR zone)",IF(M424&lt;=0.25,"12-25%","&gt;25% (likely ignored)"))))</f>
        <v>No List Price</v>
      </c>
      <c r="O424" s="15"/>
      <c r="P424" s="35" t="n">
        <v>64.99</v>
      </c>
      <c r="Q424" s="22" t="n">
        <f aca="false">IF(AND(ISNUMBER(K424),ISNUMBER(P424),N(P424)&gt;0),K424/P424-1,"")</f>
        <v>-0.754577627327281</v>
      </c>
      <c r="R424" s="15" t="s">
        <v>353</v>
      </c>
      <c r="S424" s="37" t="n">
        <v>6671</v>
      </c>
      <c r="T424" s="37" t="n">
        <v>185</v>
      </c>
      <c r="U424" s="38" t="n">
        <f aca="false">IF(AND(ISNUMBER(K424),ISNUMBER(T424)),K424*T424*52/12,"")</f>
        <v>12786.5833333333</v>
      </c>
      <c r="V424" s="15" t="n">
        <v>4.2</v>
      </c>
      <c r="W424" s="37" t="n">
        <v>1336</v>
      </c>
      <c r="X424" s="39" t="n">
        <v>46307</v>
      </c>
      <c r="Y424" s="15"/>
      <c r="Z424" s="40"/>
      <c r="AA424" s="41" t="str">
        <f aca="false">IF(ISNUMBER(Z424),(DATE(2026,10,13)-Z424)/365,"")</f>
        <v/>
      </c>
      <c r="AB424" s="37"/>
      <c r="AC424" s="15"/>
      <c r="AD424" s="15"/>
      <c r="AE424" s="15"/>
      <c r="AF424" s="42"/>
      <c r="AG424" s="42"/>
      <c r="AH424" s="15"/>
      <c r="AI424" s="37"/>
      <c r="AJ424" s="37"/>
      <c r="AK424" s="15"/>
      <c r="AL424" s="43"/>
      <c r="AM424" s="43"/>
      <c r="AN424" s="25" t="str">
        <f aca="false">IF(AND(ISNUMBER(AM424),ISNUMBER(AL424),AL424&gt;=5),AM424/AL424,"")</f>
        <v/>
      </c>
      <c r="AO424" s="43"/>
      <c r="AP424" s="43"/>
      <c r="AQ424" s="25" t="str">
        <f aca="false">IF(AND(ISNUMBER(AP424),ISNUMBER(AO424),AO424&gt;=5),AP424/AO424,"")</f>
        <v/>
      </c>
      <c r="AR424" s="43"/>
      <c r="AS424" s="43"/>
      <c r="AT424" s="22" t="str">
        <f aca="false">IF(AND(ISNUMBER(AS424),ISNUMBER(AR424),AR424&gt;0),AS424/AR424-1,"")</f>
        <v/>
      </c>
      <c r="AU424" s="44"/>
      <c r="AV424" s="44"/>
      <c r="AW424" s="44"/>
      <c r="AX424" s="44"/>
      <c r="AY424" s="44"/>
      <c r="AZ424" s="45"/>
      <c r="BA424" s="45"/>
      <c r="BB424" s="46"/>
      <c r="BC424" s="46"/>
      <c r="BD424" s="23" t="str">
        <f aca="false">IF(AND(ISNUMBER(BB424),ISNUMBER(BC424),BB424&gt;0),1-BC424/BB424,"")</f>
        <v/>
      </c>
      <c r="BE424" s="47"/>
      <c r="BF424" s="48"/>
      <c r="BG424" s="48"/>
      <c r="BH424" s="27" t="str">
        <f aca="false">IF(AND(ISNUMBER(BF424),ISNUMBER(BG424),BG424&gt;0),BF424/BG424,"")</f>
        <v/>
      </c>
      <c r="BI424" s="48"/>
      <c r="BJ424" s="44"/>
      <c r="BK424" s="46"/>
      <c r="BL424" s="46"/>
      <c r="BM424" s="36" t="str">
        <f aca="false">IF(ISNUMBER(Q424),IF(Q424&lt;0,"YES","no"),"")</f>
        <v>YES</v>
      </c>
      <c r="BN424" s="36" t="str">
        <f aca="false">IFERROR(IF(AND(ISNUMBER(K424),ISNUMBER(INDEX('Lift Inputs'!$H:$H,MATCH(C424,'Lift Inputs'!$C:$C,0)))),IF(K424&lt;INDEX('Lift Inputs'!$H:$H,MATCH(C424,'Lift Inputs'!$C:$C,0)),"YES","no"),""),"")</f>
        <v/>
      </c>
      <c r="BO424" s="44"/>
    </row>
    <row r="425" customFormat="false" ht="15" hidden="false" customHeight="false" outlineLevel="0" collapsed="false">
      <c r="A425" s="15" t="s">
        <v>110</v>
      </c>
      <c r="B425" s="15" t="s">
        <v>116</v>
      </c>
      <c r="C425" s="15" t="n">
        <v>45</v>
      </c>
      <c r="D425" s="15" t="s">
        <v>221</v>
      </c>
      <c r="E425" s="15" t="n">
        <v>1956</v>
      </c>
      <c r="F425" s="15" t="s">
        <v>337</v>
      </c>
      <c r="G425" s="15" t="s">
        <v>338</v>
      </c>
      <c r="H425" s="15" t="s">
        <v>339</v>
      </c>
      <c r="I425" s="15" t="s">
        <v>340</v>
      </c>
      <c r="J425" s="15"/>
      <c r="K425" s="35" t="n">
        <v>114.99</v>
      </c>
      <c r="L425" s="35" t="n">
        <v>129.99</v>
      </c>
      <c r="M425" s="23" t="n">
        <f aca="false">IF(AND(ISNUMBER(L425),ISNUMBER(K425),K425&gt;0),L425/K425-1,"")</f>
        <v>0.130446125750065</v>
      </c>
      <c r="N425" s="36" t="str">
        <f aca="false">IF(M425="","No List Price",IF(M425&lt;=0,"At/below price",IF(M425&lt;=0.12,"&lt;=12% (STR zone)",IF(M425&lt;=0.25,"12-25%","&gt;25% (likely ignored)"))))</f>
        <v>12-25%</v>
      </c>
      <c r="O425" s="15" t="s">
        <v>320</v>
      </c>
      <c r="P425" s="35" t="n">
        <v>74.0426315789474</v>
      </c>
      <c r="Q425" s="22" t="n">
        <f aca="false">IF(AND(ISNUMBER(K425),ISNUMBER(P425),N(P425)&gt;0),K425/P425-1,"")</f>
        <v>0.553024217911445</v>
      </c>
      <c r="R425" s="15" t="s">
        <v>321</v>
      </c>
      <c r="S425" s="37" t="n">
        <v>5934</v>
      </c>
      <c r="T425" s="37" t="n">
        <v>185</v>
      </c>
      <c r="U425" s="38" t="n">
        <f aca="false">IF(AND(ISNUMBER(K425),ISNUMBER(T425)),K425*T425*52/12,"")</f>
        <v>92183.65</v>
      </c>
      <c r="V425" s="15" t="n">
        <v>4.6</v>
      </c>
      <c r="W425" s="37" t="n">
        <v>167</v>
      </c>
      <c r="X425" s="39" t="n">
        <v>46307</v>
      </c>
      <c r="Y425" s="15"/>
      <c r="Z425" s="40"/>
      <c r="AA425" s="41" t="str">
        <f aca="false">IF(ISNUMBER(Z425),(DATE(2026,10,13)-Z425)/365,"")</f>
        <v/>
      </c>
      <c r="AB425" s="37"/>
      <c r="AC425" s="15"/>
      <c r="AD425" s="15"/>
      <c r="AE425" s="15"/>
      <c r="AF425" s="42"/>
      <c r="AG425" s="42"/>
      <c r="AH425" s="15"/>
      <c r="AI425" s="37" t="n">
        <v>557658</v>
      </c>
      <c r="AJ425" s="37" t="n">
        <v>2189</v>
      </c>
      <c r="AK425" s="15" t="s">
        <v>315</v>
      </c>
      <c r="AL425" s="43" t="n">
        <v>0</v>
      </c>
      <c r="AM425" s="43" t="n">
        <v>0</v>
      </c>
      <c r="AN425" s="25" t="str">
        <f aca="false">IF(AND(ISNUMBER(AM425),ISNUMBER(AL425),AL425&gt;=5),AM425/AL425,"")</f>
        <v/>
      </c>
      <c r="AO425" s="43" t="n">
        <v>0</v>
      </c>
      <c r="AP425" s="43" t="n">
        <v>0</v>
      </c>
      <c r="AQ425" s="25" t="str">
        <f aca="false">IF(AND(ISNUMBER(AP425),ISNUMBER(AO425),AO425&gt;=5),AP425/AO425,"")</f>
        <v/>
      </c>
      <c r="AR425" s="43" t="n">
        <v>0</v>
      </c>
      <c r="AS425" s="43" t="n">
        <v>4.2</v>
      </c>
      <c r="AT425" s="22" t="str">
        <f aca="false">IF(AND(ISNUMBER(AS425),ISNUMBER(AR425),AR425&gt;0),AS425/AR425-1,"")</f>
        <v/>
      </c>
      <c r="AU425" s="44"/>
      <c r="AV425" s="44"/>
      <c r="AW425" s="44"/>
      <c r="AX425" s="44"/>
      <c r="AY425" s="44"/>
      <c r="AZ425" s="45"/>
      <c r="BA425" s="45"/>
      <c r="BB425" s="46"/>
      <c r="BC425" s="46"/>
      <c r="BD425" s="23" t="str">
        <f aca="false">IF(AND(ISNUMBER(BB425),ISNUMBER(BC425),BB425&gt;0),1-BC425/BB425,"")</f>
        <v/>
      </c>
      <c r="BE425" s="47"/>
      <c r="BF425" s="48"/>
      <c r="BG425" s="48"/>
      <c r="BH425" s="27" t="str">
        <f aca="false">IF(AND(ISNUMBER(BF425),ISNUMBER(BG425),BG425&gt;0),BF425/BG425,"")</f>
        <v/>
      </c>
      <c r="BI425" s="48"/>
      <c r="BJ425" s="44"/>
      <c r="BK425" s="46"/>
      <c r="BL425" s="46"/>
      <c r="BM425" s="36" t="str">
        <f aca="false">IF(ISNUMBER(Q425),IF(Q425&lt;0,"YES","no"),"")</f>
        <v>no</v>
      </c>
      <c r="BN425" s="36" t="str">
        <f aca="false">IFERROR(IF(AND(ISNUMBER(K425),ISNUMBER(INDEX('Lift Inputs'!$H:$H,MATCH(C425,'Lift Inputs'!$C:$C,0)))),IF(K425&lt;INDEX('Lift Inputs'!$H:$H,MATCH(C425,'Lift Inputs'!$C:$C,0)),"YES","no"),""),"")</f>
        <v/>
      </c>
      <c r="BO425" s="44"/>
    </row>
    <row r="426" customFormat="false" ht="15" hidden="false" customHeight="false" outlineLevel="0" collapsed="false">
      <c r="A426" s="15" t="s">
        <v>110</v>
      </c>
      <c r="B426" s="15" t="s">
        <v>116</v>
      </c>
      <c r="C426" s="15" t="n">
        <v>45</v>
      </c>
      <c r="D426" s="15" t="s">
        <v>221</v>
      </c>
      <c r="E426" s="15" t="n">
        <v>1940</v>
      </c>
      <c r="F426" s="15" t="s">
        <v>438</v>
      </c>
      <c r="G426" s="15" t="s">
        <v>487</v>
      </c>
      <c r="H426" s="15" t="s">
        <v>488</v>
      </c>
      <c r="I426" s="15" t="s">
        <v>489</v>
      </c>
      <c r="J426" s="15"/>
      <c r="K426" s="35" t="n">
        <v>34.99</v>
      </c>
      <c r="L426" s="35"/>
      <c r="M426" s="23" t="str">
        <f aca="false">IF(AND(ISNUMBER(L426),ISNUMBER(K426),K426&gt;0),L426/K426-1,"")</f>
        <v/>
      </c>
      <c r="N426" s="36" t="str">
        <f aca="false">IF(M426="","No List Price",IF(M426&lt;=0,"At/below price",IF(M426&lt;=0.12,"&lt;=12% (STR zone)",IF(M426&lt;=0.25,"12-25%","&gt;25% (likely ignored)"))))</f>
        <v>No List Price</v>
      </c>
      <c r="O426" s="15" t="s">
        <v>311</v>
      </c>
      <c r="P426" s="35" t="n">
        <v>64.99</v>
      </c>
      <c r="Q426" s="22" t="n">
        <f aca="false">IF(AND(ISNUMBER(K426),ISNUMBER(P426),N(P426)&gt;0),K426/P426-1,"")</f>
        <v>-0.461609478381289</v>
      </c>
      <c r="R426" s="15" t="s">
        <v>312</v>
      </c>
      <c r="S426" s="37" t="n">
        <v>5396</v>
      </c>
      <c r="T426" s="37" t="n">
        <v>173</v>
      </c>
      <c r="U426" s="38" t="n">
        <f aca="false">IF(AND(ISNUMBER(K426),ISNUMBER(T426)),K426*T426*52/12,"")</f>
        <v>26230.8366666667</v>
      </c>
      <c r="V426" s="15" t="n">
        <v>4.3</v>
      </c>
      <c r="W426" s="37" t="n">
        <v>24352</v>
      </c>
      <c r="X426" s="39" t="n">
        <v>46307</v>
      </c>
      <c r="Y426" s="15"/>
      <c r="Z426" s="40"/>
      <c r="AA426" s="41" t="str">
        <f aca="false">IF(ISNUMBER(Z426),(DATE(2026,10,13)-Z426)/365,"")</f>
        <v/>
      </c>
      <c r="AB426" s="37"/>
      <c r="AC426" s="15"/>
      <c r="AD426" s="15"/>
      <c r="AE426" s="15"/>
      <c r="AF426" s="42"/>
      <c r="AG426" s="42"/>
      <c r="AH426" s="15"/>
      <c r="AI426" s="37" t="n">
        <v>135323</v>
      </c>
      <c r="AJ426" s="37" t="n">
        <v>1187</v>
      </c>
      <c r="AK426" s="15" t="s">
        <v>315</v>
      </c>
      <c r="AL426" s="43" t="n">
        <v>0</v>
      </c>
      <c r="AM426" s="43" t="n">
        <v>0</v>
      </c>
      <c r="AN426" s="25" t="str">
        <f aca="false">IF(AND(ISNUMBER(AM426),ISNUMBER(AL426),AL426&gt;=5),AM426/AL426,"")</f>
        <v/>
      </c>
      <c r="AO426" s="43" t="n">
        <v>0</v>
      </c>
      <c r="AP426" s="43" t="n">
        <v>0</v>
      </c>
      <c r="AQ426" s="25" t="str">
        <f aca="false">IF(AND(ISNUMBER(AP426),ISNUMBER(AO426),AO426&gt;=5),AP426/AO426,"")</f>
        <v/>
      </c>
      <c r="AR426" s="43" t="n">
        <v>23.9</v>
      </c>
      <c r="AS426" s="43" t="n">
        <v>1.2</v>
      </c>
      <c r="AT426" s="22" t="n">
        <f aca="false">IF(AND(ISNUMBER(AS426),ISNUMBER(AR426),AR426&gt;0),AS426/AR426-1,"")</f>
        <v>-0.94979079497908</v>
      </c>
      <c r="AU426" s="44"/>
      <c r="AV426" s="44"/>
      <c r="AW426" s="44"/>
      <c r="AX426" s="44"/>
      <c r="AY426" s="44"/>
      <c r="AZ426" s="45"/>
      <c r="BA426" s="45"/>
      <c r="BB426" s="46"/>
      <c r="BC426" s="46"/>
      <c r="BD426" s="23" t="str">
        <f aca="false">IF(AND(ISNUMBER(BB426),ISNUMBER(BC426),BB426&gt;0),1-BC426/BB426,"")</f>
        <v/>
      </c>
      <c r="BE426" s="47"/>
      <c r="BF426" s="48"/>
      <c r="BG426" s="48"/>
      <c r="BH426" s="27" t="str">
        <f aca="false">IF(AND(ISNUMBER(BF426),ISNUMBER(BG426),BG426&gt;0),BF426/BG426,"")</f>
        <v/>
      </c>
      <c r="BI426" s="48"/>
      <c r="BJ426" s="44"/>
      <c r="BK426" s="46"/>
      <c r="BL426" s="46"/>
      <c r="BM426" s="36" t="str">
        <f aca="false">IF(ISNUMBER(Q426),IF(Q426&lt;0,"YES","no"),"")</f>
        <v>YES</v>
      </c>
      <c r="BN426" s="36" t="str">
        <f aca="false">IFERROR(IF(AND(ISNUMBER(K426),ISNUMBER(INDEX('Lift Inputs'!$H:$H,MATCH(C426,'Lift Inputs'!$C:$C,0)))),IF(K426&lt;INDEX('Lift Inputs'!$H:$H,MATCH(C426,'Lift Inputs'!$C:$C,0)),"YES","no"),""),"")</f>
        <v/>
      </c>
      <c r="BO426" s="44"/>
    </row>
    <row r="427" customFormat="false" ht="15" hidden="false" customHeight="false" outlineLevel="0" collapsed="false">
      <c r="A427" s="15" t="s">
        <v>110</v>
      </c>
      <c r="B427" s="15" t="s">
        <v>116</v>
      </c>
      <c r="C427" s="15" t="n">
        <v>45</v>
      </c>
      <c r="D427" s="15" t="s">
        <v>221</v>
      </c>
      <c r="E427" s="15" t="n">
        <v>1945</v>
      </c>
      <c r="F427" s="15" t="s">
        <v>362</v>
      </c>
      <c r="G427" s="15" t="s">
        <v>363</v>
      </c>
      <c r="H427" s="15" t="s">
        <v>364</v>
      </c>
      <c r="I427" s="15" t="s">
        <v>365</v>
      </c>
      <c r="J427" s="15"/>
      <c r="K427" s="35" t="n">
        <v>84.98</v>
      </c>
      <c r="L427" s="35" t="n">
        <v>99.89</v>
      </c>
      <c r="M427" s="23" t="n">
        <f aca="false">IF(AND(ISNUMBER(L427),ISNUMBER(K427),K427&gt;0),L427/K427-1,"")</f>
        <v>0.175453047775947</v>
      </c>
      <c r="N427" s="36" t="str">
        <f aca="false">IF(M427="","No List Price",IF(M427&lt;=0,"At/below price",IF(M427&lt;=0.12,"&lt;=12% (STR zone)",IF(M427&lt;=0.25,"12-25%","&gt;25% (likely ignored)"))))</f>
        <v>12-25%</v>
      </c>
      <c r="O427" s="15" t="s">
        <v>311</v>
      </c>
      <c r="P427" s="35" t="n">
        <v>64.99</v>
      </c>
      <c r="Q427" s="22" t="n">
        <f aca="false">IF(AND(ISNUMBER(K427),ISNUMBER(P427),N(P427)&gt;0),K427/P427-1,"")</f>
        <v>0.307585782428066</v>
      </c>
      <c r="R427" s="15" t="s">
        <v>312</v>
      </c>
      <c r="S427" s="37" t="n">
        <v>65907</v>
      </c>
      <c r="T427" s="37" t="n">
        <v>81</v>
      </c>
      <c r="U427" s="38" t="n">
        <f aca="false">IF(AND(ISNUMBER(K427),ISNUMBER(T427)),K427*T427*52/12,"")</f>
        <v>29827.98</v>
      </c>
      <c r="V427" s="15" t="n">
        <v>4.5</v>
      </c>
      <c r="W427" s="37" t="n">
        <v>113</v>
      </c>
      <c r="X427" s="39" t="n">
        <v>46307</v>
      </c>
      <c r="Y427" s="15"/>
      <c r="Z427" s="40"/>
      <c r="AA427" s="41" t="str">
        <f aca="false">IF(ISNUMBER(Z427),(DATE(2026,10,13)-Z427)/365,"")</f>
        <v/>
      </c>
      <c r="AB427" s="37"/>
      <c r="AC427" s="15"/>
      <c r="AD427" s="15"/>
      <c r="AE427" s="15"/>
      <c r="AF427" s="42"/>
      <c r="AG427" s="42"/>
      <c r="AH427" s="15"/>
      <c r="AI427" s="37" t="n">
        <v>212120</v>
      </c>
      <c r="AJ427" s="37" t="n">
        <v>1732</v>
      </c>
      <c r="AK427" s="15" t="s">
        <v>315</v>
      </c>
      <c r="AL427" s="43" t="n">
        <v>141.2</v>
      </c>
      <c r="AM427" s="43" t="n">
        <v>114</v>
      </c>
      <c r="AN427" s="25" t="n">
        <f aca="false">IF(AND(ISNUMBER(AM427),ISNUMBER(AL427),AL427&gt;=5),AM427/AL427,"")</f>
        <v>0.807365439093485</v>
      </c>
      <c r="AO427" s="43" t="n">
        <v>193.2</v>
      </c>
      <c r="AP427" s="43" t="n">
        <v>145.5</v>
      </c>
      <c r="AQ427" s="25" t="n">
        <f aca="false">IF(AND(ISNUMBER(AP427),ISNUMBER(AO427),AO427&gt;=5),AP427/AO427,"")</f>
        <v>0.753105590062112</v>
      </c>
      <c r="AR427" s="43" t="n">
        <v>54.9</v>
      </c>
      <c r="AS427" s="43" t="n">
        <v>82.2</v>
      </c>
      <c r="AT427" s="22" t="n">
        <f aca="false">IF(AND(ISNUMBER(AS427),ISNUMBER(AR427),AR427&gt;0),AS427/AR427-1,"")</f>
        <v>0.497267759562842</v>
      </c>
      <c r="AU427" s="44"/>
      <c r="AV427" s="44"/>
      <c r="AW427" s="44"/>
      <c r="AX427" s="44"/>
      <c r="AY427" s="44"/>
      <c r="AZ427" s="45"/>
      <c r="BA427" s="45"/>
      <c r="BB427" s="46"/>
      <c r="BC427" s="46"/>
      <c r="BD427" s="23" t="str">
        <f aca="false">IF(AND(ISNUMBER(BB427),ISNUMBER(BC427),BB427&gt;0),1-BC427/BB427,"")</f>
        <v/>
      </c>
      <c r="BE427" s="47"/>
      <c r="BF427" s="48"/>
      <c r="BG427" s="48"/>
      <c r="BH427" s="27" t="str">
        <f aca="false">IF(AND(ISNUMBER(BF427),ISNUMBER(BG427),BG427&gt;0),BF427/BG427,"")</f>
        <v/>
      </c>
      <c r="BI427" s="48"/>
      <c r="BJ427" s="44"/>
      <c r="BK427" s="46"/>
      <c r="BL427" s="46"/>
      <c r="BM427" s="36" t="str">
        <f aca="false">IF(ISNUMBER(Q427),IF(Q427&lt;0,"YES","no"),"")</f>
        <v>no</v>
      </c>
      <c r="BN427" s="36" t="str">
        <f aca="false">IFERROR(IF(AND(ISNUMBER(K427),ISNUMBER(INDEX('Lift Inputs'!$H:$H,MATCH(C427,'Lift Inputs'!$C:$C,0)))),IF(K427&lt;INDEX('Lift Inputs'!$H:$H,MATCH(C427,'Lift Inputs'!$C:$C,0)),"YES","no"),""),"")</f>
        <v/>
      </c>
      <c r="BO427" s="44"/>
    </row>
    <row r="428" customFormat="false" ht="15" hidden="false" customHeight="false" outlineLevel="0" collapsed="false">
      <c r="A428" s="15" t="s">
        <v>110</v>
      </c>
      <c r="B428" s="15" t="s">
        <v>116</v>
      </c>
      <c r="C428" s="15" t="n">
        <v>45</v>
      </c>
      <c r="D428" s="15" t="s">
        <v>221</v>
      </c>
      <c r="E428" s="15" t="n">
        <v>1953</v>
      </c>
      <c r="F428" s="15" t="s">
        <v>369</v>
      </c>
      <c r="G428" s="15" t="s">
        <v>370</v>
      </c>
      <c r="H428" s="15" t="s">
        <v>371</v>
      </c>
      <c r="I428" s="15" t="s">
        <v>372</v>
      </c>
      <c r="J428" s="15"/>
      <c r="K428" s="35" t="n">
        <v>59.99</v>
      </c>
      <c r="L428" s="35"/>
      <c r="M428" s="23" t="str">
        <f aca="false">IF(AND(ISNUMBER(L428),ISNUMBER(K428),K428&gt;0),L428/K428-1,"")</f>
        <v/>
      </c>
      <c r="N428" s="36" t="str">
        <f aca="false">IF(M428="","No List Price",IF(M428&lt;=0,"At/below price",IF(M428&lt;=0.12,"&lt;=12% (STR zone)",IF(M428&lt;=0.25,"12-25%","&gt;25% (likely ignored)"))))</f>
        <v>No List Price</v>
      </c>
      <c r="O428" s="15" t="s">
        <v>320</v>
      </c>
      <c r="P428" s="35" t="n">
        <v>74.0426315789474</v>
      </c>
      <c r="Q428" s="22" t="n">
        <f aca="false">IF(AND(ISNUMBER(K428),ISNUMBER(P428),N(P428)&gt;0),K428/P428-1,"")</f>
        <v>-0.189791087637989</v>
      </c>
      <c r="R428" s="15" t="s">
        <v>321</v>
      </c>
      <c r="S428" s="37" t="n">
        <v>205508</v>
      </c>
      <c r="T428" s="37" t="n">
        <v>35</v>
      </c>
      <c r="U428" s="38" t="n">
        <f aca="false">IF(AND(ISNUMBER(K428),ISNUMBER(T428)),K428*T428*52/12,"")</f>
        <v>9098.48333333333</v>
      </c>
      <c r="V428" s="15" t="n">
        <v>4.2</v>
      </c>
      <c r="W428" s="37" t="n">
        <v>81</v>
      </c>
      <c r="X428" s="39" t="n">
        <v>46307</v>
      </c>
      <c r="Y428" s="15"/>
      <c r="Z428" s="40"/>
      <c r="AA428" s="41" t="str">
        <f aca="false">IF(ISNUMBER(Z428),(DATE(2026,10,13)-Z428)/365,"")</f>
        <v/>
      </c>
      <c r="AB428" s="37"/>
      <c r="AC428" s="15"/>
      <c r="AD428" s="15"/>
      <c r="AE428" s="15"/>
      <c r="AF428" s="42"/>
      <c r="AG428" s="42"/>
      <c r="AH428" s="15"/>
      <c r="AI428" s="37" t="n">
        <v>75425</v>
      </c>
      <c r="AJ428" s="37" t="n">
        <v>1329</v>
      </c>
      <c r="AK428" s="15" t="s">
        <v>315</v>
      </c>
      <c r="AL428" s="43" t="n">
        <v>0</v>
      </c>
      <c r="AM428" s="43" t="n">
        <v>0</v>
      </c>
      <c r="AN428" s="25" t="str">
        <f aca="false">IF(AND(ISNUMBER(AM428),ISNUMBER(AL428),AL428&gt;=5),AM428/AL428,"")</f>
        <v/>
      </c>
      <c r="AO428" s="43" t="n">
        <v>0</v>
      </c>
      <c r="AP428" s="43" t="n">
        <v>0</v>
      </c>
      <c r="AQ428" s="25" t="str">
        <f aca="false">IF(AND(ISNUMBER(AP428),ISNUMBER(AO428),AO428&gt;=5),AP428/AO428,"")</f>
        <v/>
      </c>
      <c r="AR428" s="43" t="n">
        <v>0</v>
      </c>
      <c r="AS428" s="43" t="n">
        <v>69.1</v>
      </c>
      <c r="AT428" s="22" t="str">
        <f aca="false">IF(AND(ISNUMBER(AS428),ISNUMBER(AR428),AR428&gt;0),AS428/AR428-1,"")</f>
        <v/>
      </c>
      <c r="AU428" s="44"/>
      <c r="AV428" s="44"/>
      <c r="AW428" s="44"/>
      <c r="AX428" s="44"/>
      <c r="AY428" s="44"/>
      <c r="AZ428" s="45"/>
      <c r="BA428" s="45"/>
      <c r="BB428" s="46"/>
      <c r="BC428" s="46"/>
      <c r="BD428" s="23" t="str">
        <f aca="false">IF(AND(ISNUMBER(BB428),ISNUMBER(BC428),BB428&gt;0),1-BC428/BB428,"")</f>
        <v/>
      </c>
      <c r="BE428" s="47"/>
      <c r="BF428" s="48"/>
      <c r="BG428" s="48"/>
      <c r="BH428" s="27" t="str">
        <f aca="false">IF(AND(ISNUMBER(BF428),ISNUMBER(BG428),BG428&gt;0),BF428/BG428,"")</f>
        <v/>
      </c>
      <c r="BI428" s="48"/>
      <c r="BJ428" s="44"/>
      <c r="BK428" s="46"/>
      <c r="BL428" s="46"/>
      <c r="BM428" s="36" t="str">
        <f aca="false">IF(ISNUMBER(Q428),IF(Q428&lt;0,"YES","no"),"")</f>
        <v>YES</v>
      </c>
      <c r="BN428" s="36" t="str">
        <f aca="false">IFERROR(IF(AND(ISNUMBER(K428),ISNUMBER(INDEX('Lift Inputs'!$H:$H,MATCH(C428,'Lift Inputs'!$C:$C,0)))),IF(K428&lt;INDEX('Lift Inputs'!$H:$H,MATCH(C428,'Lift Inputs'!$C:$C,0)),"YES","no"),""),"")</f>
        <v/>
      </c>
      <c r="BO428" s="44"/>
    </row>
    <row r="429" customFormat="false" ht="15" hidden="false" customHeight="false" outlineLevel="0" collapsed="false">
      <c r="A429" s="15" t="s">
        <v>110</v>
      </c>
      <c r="B429" s="15" t="s">
        <v>116</v>
      </c>
      <c r="C429" s="15" t="n">
        <v>45</v>
      </c>
      <c r="D429" s="15" t="s">
        <v>221</v>
      </c>
      <c r="E429" s="15" t="n">
        <v>529</v>
      </c>
      <c r="F429" s="15" t="s">
        <v>897</v>
      </c>
      <c r="G429" s="15" t="s">
        <v>898</v>
      </c>
      <c r="H429" s="15" t="s">
        <v>899</v>
      </c>
      <c r="I429" s="15" t="s">
        <v>900</v>
      </c>
      <c r="J429" s="15"/>
      <c r="K429" s="35" t="n">
        <v>24.99</v>
      </c>
      <c r="L429" s="35" t="n">
        <v>29.99</v>
      </c>
      <c r="M429" s="23" t="n">
        <f aca="false">IF(AND(ISNUMBER(L429),ISNUMBER(K429),K429&gt;0),L429/K429-1,"")</f>
        <v>0.200080032012805</v>
      </c>
      <c r="N429" s="36" t="str">
        <f aca="false">IF(M429="","No List Price",IF(M429&lt;=0,"At/below price",IF(M429&lt;=0.12,"&lt;=12% (STR zone)",IF(M429&lt;=0.25,"12-25%","&gt;25% (likely ignored)"))))</f>
        <v>12-25%</v>
      </c>
      <c r="O429" s="15" t="s">
        <v>311</v>
      </c>
      <c r="P429" s="35" t="n">
        <v>64.99</v>
      </c>
      <c r="Q429" s="22" t="n">
        <f aca="false">IF(AND(ISNUMBER(K429),ISNUMBER(P429),N(P429)&gt;0),K429/P429-1,"")</f>
        <v>-0.615479304508386</v>
      </c>
      <c r="R429" s="15" t="s">
        <v>312</v>
      </c>
      <c r="S429" s="37" t="n">
        <v>39599</v>
      </c>
      <c r="T429" s="37" t="n">
        <v>35</v>
      </c>
      <c r="U429" s="38" t="n">
        <f aca="false">IF(AND(ISNUMBER(K429),ISNUMBER(T429)),K429*T429*52/12,"")</f>
        <v>3790.15</v>
      </c>
      <c r="V429" s="15" t="n">
        <v>4.1</v>
      </c>
      <c r="W429" s="37" t="n">
        <v>7328</v>
      </c>
      <c r="X429" s="39" t="n">
        <v>46307</v>
      </c>
      <c r="Y429" s="15" t="n">
        <v>31</v>
      </c>
      <c r="Z429" s="40" t="n">
        <v>44267</v>
      </c>
      <c r="AA429" s="41" t="n">
        <f aca="false">IF(ISNUMBER(Z429),(DATE(2026,10,13)-Z429)/365,"")</f>
        <v>5.59178082191781</v>
      </c>
      <c r="AB429" s="37" t="n">
        <v>1112</v>
      </c>
      <c r="AC429" s="15" t="s">
        <v>313</v>
      </c>
      <c r="AD429" s="15" t="n">
        <v>1</v>
      </c>
      <c r="AE429" s="15" t="s">
        <v>314</v>
      </c>
      <c r="AF429" s="42" t="n">
        <v>0</v>
      </c>
      <c r="AG429" s="42" t="n">
        <v>0</v>
      </c>
      <c r="AH429" s="15" t="n">
        <v>113</v>
      </c>
      <c r="AI429" s="37"/>
      <c r="AJ429" s="37"/>
      <c r="AK429" s="15"/>
      <c r="AL429" s="43"/>
      <c r="AM429" s="43"/>
      <c r="AN429" s="25" t="str">
        <f aca="false">IF(AND(ISNUMBER(AM429),ISNUMBER(AL429),AL429&gt;=5),AM429/AL429,"")</f>
        <v/>
      </c>
      <c r="AO429" s="43"/>
      <c r="AP429" s="43"/>
      <c r="AQ429" s="25" t="str">
        <f aca="false">IF(AND(ISNUMBER(AP429),ISNUMBER(AO429),AO429&gt;=5),AP429/AO429,"")</f>
        <v/>
      </c>
      <c r="AR429" s="43"/>
      <c r="AS429" s="43"/>
      <c r="AT429" s="22" t="str">
        <f aca="false">IF(AND(ISNUMBER(AS429),ISNUMBER(AR429),AR429&gt;0),AS429/AR429-1,"")</f>
        <v/>
      </c>
      <c r="AU429" s="44"/>
      <c r="AV429" s="44"/>
      <c r="AW429" s="44"/>
      <c r="AX429" s="44"/>
      <c r="AY429" s="44"/>
      <c r="AZ429" s="45"/>
      <c r="BA429" s="45"/>
      <c r="BB429" s="46"/>
      <c r="BC429" s="46"/>
      <c r="BD429" s="23" t="str">
        <f aca="false">IF(AND(ISNUMBER(BB429),ISNUMBER(BC429),BB429&gt;0),1-BC429/BB429,"")</f>
        <v/>
      </c>
      <c r="BE429" s="47"/>
      <c r="BF429" s="48"/>
      <c r="BG429" s="48"/>
      <c r="BH429" s="27" t="str">
        <f aca="false">IF(AND(ISNUMBER(BF429),ISNUMBER(BG429),BG429&gt;0),BF429/BG429,"")</f>
        <v/>
      </c>
      <c r="BI429" s="48"/>
      <c r="BJ429" s="44"/>
      <c r="BK429" s="46"/>
      <c r="BL429" s="46"/>
      <c r="BM429" s="36" t="str">
        <f aca="false">IF(ISNUMBER(Q429),IF(Q429&lt;0,"YES","no"),"")</f>
        <v>YES</v>
      </c>
      <c r="BN429" s="36" t="str">
        <f aca="false">IFERROR(IF(AND(ISNUMBER(K429),ISNUMBER(INDEX('Lift Inputs'!$H:$H,MATCH(C429,'Lift Inputs'!$C:$C,0)))),IF(K429&lt;INDEX('Lift Inputs'!$H:$H,MATCH(C429,'Lift Inputs'!$C:$C,0)),"YES","no"),""),"")</f>
        <v/>
      </c>
      <c r="BO429" s="44"/>
    </row>
    <row r="430" customFormat="false" ht="15" hidden="false" customHeight="false" outlineLevel="0" collapsed="false">
      <c r="A430" s="15" t="s">
        <v>110</v>
      </c>
      <c r="B430" s="15" t="s">
        <v>116</v>
      </c>
      <c r="C430" s="15" t="n">
        <v>45</v>
      </c>
      <c r="D430" s="15" t="s">
        <v>221</v>
      </c>
      <c r="E430" s="15" t="n">
        <v>1816</v>
      </c>
      <c r="F430" s="15" t="s">
        <v>381</v>
      </c>
      <c r="G430" s="15" t="s">
        <v>382</v>
      </c>
      <c r="H430" s="15" t="s">
        <v>383</v>
      </c>
      <c r="I430" s="15" t="s">
        <v>384</v>
      </c>
      <c r="J430" s="15"/>
      <c r="K430" s="35" t="n">
        <v>119.99</v>
      </c>
      <c r="L430" s="35"/>
      <c r="M430" s="23" t="str">
        <f aca="false">IF(AND(ISNUMBER(L430),ISNUMBER(K430),K430&gt;0),L430/K430-1,"")</f>
        <v/>
      </c>
      <c r="N430" s="36" t="str">
        <f aca="false">IF(M430="","No List Price",IF(M430&lt;=0,"At/below price",IF(M430&lt;=0.12,"&lt;=12% (STR zone)",IF(M430&lt;=0.25,"12-25%","&gt;25% (likely ignored)"))))</f>
        <v>No List Price</v>
      </c>
      <c r="O430" s="15"/>
      <c r="P430" s="35" t="n">
        <v>64.99</v>
      </c>
      <c r="Q430" s="22" t="n">
        <f aca="false">IF(AND(ISNUMBER(K430),ISNUMBER(P430),N(P430)&gt;0),K430/P430-1,"")</f>
        <v>0.846284043699031</v>
      </c>
      <c r="R430" s="15" t="s">
        <v>353</v>
      </c>
      <c r="S430" s="37" t="n">
        <v>15914</v>
      </c>
      <c r="T430" s="37" t="n">
        <v>35</v>
      </c>
      <c r="U430" s="38" t="n">
        <f aca="false">IF(AND(ISNUMBER(K430),ISNUMBER(T430)),K430*T430*52/12,"")</f>
        <v>18198.4833333333</v>
      </c>
      <c r="V430" s="15" t="n">
        <v>4.3</v>
      </c>
      <c r="W430" s="37" t="n">
        <v>474</v>
      </c>
      <c r="X430" s="39" t="n">
        <v>46307</v>
      </c>
      <c r="Y430" s="15"/>
      <c r="Z430" s="40"/>
      <c r="AA430" s="41" t="str">
        <f aca="false">IF(ISNUMBER(Z430),(DATE(2026,10,13)-Z430)/365,"")</f>
        <v/>
      </c>
      <c r="AB430" s="37"/>
      <c r="AC430" s="15"/>
      <c r="AD430" s="15"/>
      <c r="AE430" s="15"/>
      <c r="AF430" s="42"/>
      <c r="AG430" s="42"/>
      <c r="AH430" s="15"/>
      <c r="AI430" s="37" t="n">
        <v>243610</v>
      </c>
      <c r="AJ430" s="37" t="n">
        <v>3715</v>
      </c>
      <c r="AK430" s="15" t="s">
        <v>315</v>
      </c>
      <c r="AL430" s="43" t="n">
        <v>23.4</v>
      </c>
      <c r="AM430" s="43" t="n">
        <v>49.2</v>
      </c>
      <c r="AN430" s="25" t="n">
        <f aca="false">IF(AND(ISNUMBER(AM430),ISNUMBER(AL430),AL430&gt;=5),AM430/AL430,"")</f>
        <v>2.1025641025641</v>
      </c>
      <c r="AO430" s="43" t="n">
        <v>45.5</v>
      </c>
      <c r="AP430" s="43" t="n">
        <v>115.2</v>
      </c>
      <c r="AQ430" s="25" t="n">
        <f aca="false">IF(AND(ISNUMBER(AP430),ISNUMBER(AO430),AO430&gt;=5),AP430/AO430,"")</f>
        <v>2.53186813186813</v>
      </c>
      <c r="AR430" s="43" t="n">
        <v>23.6</v>
      </c>
      <c r="AS430" s="43" t="n">
        <v>2.9</v>
      </c>
      <c r="AT430" s="22" t="n">
        <f aca="false">IF(AND(ISNUMBER(AS430),ISNUMBER(AR430),AR430&gt;0),AS430/AR430-1,"")</f>
        <v>-0.877118644067797</v>
      </c>
      <c r="AU430" s="44"/>
      <c r="AV430" s="44"/>
      <c r="AW430" s="44"/>
      <c r="AX430" s="44"/>
      <c r="AY430" s="44"/>
      <c r="AZ430" s="45"/>
      <c r="BA430" s="45"/>
      <c r="BB430" s="46"/>
      <c r="BC430" s="46"/>
      <c r="BD430" s="23" t="str">
        <f aca="false">IF(AND(ISNUMBER(BB430),ISNUMBER(BC430),BB430&gt;0),1-BC430/BB430,"")</f>
        <v/>
      </c>
      <c r="BE430" s="47"/>
      <c r="BF430" s="48"/>
      <c r="BG430" s="48"/>
      <c r="BH430" s="27" t="str">
        <f aca="false">IF(AND(ISNUMBER(BF430),ISNUMBER(BG430),BG430&gt;0),BF430/BG430,"")</f>
        <v/>
      </c>
      <c r="BI430" s="48"/>
      <c r="BJ430" s="44"/>
      <c r="BK430" s="46"/>
      <c r="BL430" s="46"/>
      <c r="BM430" s="36" t="str">
        <f aca="false">IF(ISNUMBER(Q430),IF(Q430&lt;0,"YES","no"),"")</f>
        <v>no</v>
      </c>
      <c r="BN430" s="36" t="str">
        <f aca="false">IFERROR(IF(AND(ISNUMBER(K430),ISNUMBER(INDEX('Lift Inputs'!$H:$H,MATCH(C430,'Lift Inputs'!$C:$C,0)))),IF(K430&lt;INDEX('Lift Inputs'!$H:$H,MATCH(C430,'Lift Inputs'!$C:$C,0)),"YES","no"),""),"")</f>
        <v/>
      </c>
      <c r="BO430" s="44"/>
    </row>
    <row r="431" customFormat="false" ht="15" hidden="false" customHeight="false" outlineLevel="0" collapsed="false">
      <c r="A431" s="15" t="s">
        <v>110</v>
      </c>
      <c r="B431" s="15" t="s">
        <v>116</v>
      </c>
      <c r="C431" s="15" t="n">
        <v>45</v>
      </c>
      <c r="D431" s="15" t="s">
        <v>221</v>
      </c>
      <c r="E431" s="15" t="n">
        <v>1943</v>
      </c>
      <c r="F431" s="15" t="s">
        <v>385</v>
      </c>
      <c r="G431" s="15" t="s">
        <v>386</v>
      </c>
      <c r="H431" s="15" t="s">
        <v>387</v>
      </c>
      <c r="I431" s="15" t="s">
        <v>388</v>
      </c>
      <c r="J431" s="15"/>
      <c r="K431" s="35" t="n">
        <v>79</v>
      </c>
      <c r="L431" s="35" t="n">
        <v>109</v>
      </c>
      <c r="M431" s="23" t="n">
        <f aca="false">IF(AND(ISNUMBER(L431),ISNUMBER(K431),K431&gt;0),L431/K431-1,"")</f>
        <v>0.379746835443038</v>
      </c>
      <c r="N431" s="36" t="str">
        <f aca="false">IF(M431="","No List Price",IF(M431&lt;=0,"At/below price",IF(M431&lt;=0.12,"&lt;=12% (STR zone)",IF(M431&lt;=0.25,"12-25%","&gt;25% (likely ignored)"))))</f>
        <v>&gt;25% (likely ignored)</v>
      </c>
      <c r="O431" s="15" t="s">
        <v>311</v>
      </c>
      <c r="P431" s="35" t="n">
        <v>64.99</v>
      </c>
      <c r="Q431" s="22" t="n">
        <f aca="false">IF(AND(ISNUMBER(K431),ISNUMBER(P431),N(P431)&gt;0),K431/P431-1,"")</f>
        <v>0.215571626404062</v>
      </c>
      <c r="R431" s="15" t="s">
        <v>312</v>
      </c>
      <c r="S431" s="37" t="n">
        <v>28003</v>
      </c>
      <c r="T431" s="37" t="n">
        <v>35</v>
      </c>
      <c r="U431" s="38" t="n">
        <f aca="false">IF(AND(ISNUMBER(K431),ISNUMBER(T431)),K431*T431*52/12,"")</f>
        <v>11981.6666666667</v>
      </c>
      <c r="V431" s="15" t="n">
        <v>4.8</v>
      </c>
      <c r="W431" s="37" t="n">
        <v>279</v>
      </c>
      <c r="X431" s="39" t="n">
        <v>46307</v>
      </c>
      <c r="Y431" s="15"/>
      <c r="Z431" s="40"/>
      <c r="AA431" s="41" t="str">
        <f aca="false">IF(ISNUMBER(Z431),(DATE(2026,10,13)-Z431)/365,"")</f>
        <v/>
      </c>
      <c r="AB431" s="37"/>
      <c r="AC431" s="15"/>
      <c r="AD431" s="15"/>
      <c r="AE431" s="15"/>
      <c r="AF431" s="42"/>
      <c r="AG431" s="42"/>
      <c r="AH431" s="15"/>
      <c r="AI431" s="37" t="n">
        <v>216953</v>
      </c>
      <c r="AJ431" s="37" t="n">
        <v>1218</v>
      </c>
      <c r="AK431" s="15"/>
      <c r="AL431" s="43"/>
      <c r="AM431" s="43"/>
      <c r="AN431" s="25" t="str">
        <f aca="false">IF(AND(ISNUMBER(AM431),ISNUMBER(AL431),AL431&gt;=5),AM431/AL431,"")</f>
        <v/>
      </c>
      <c r="AO431" s="43"/>
      <c r="AP431" s="43"/>
      <c r="AQ431" s="25" t="str">
        <f aca="false">IF(AND(ISNUMBER(AP431),ISNUMBER(AO431),AO431&gt;=5),AP431/AO431,"")</f>
        <v/>
      </c>
      <c r="AR431" s="43"/>
      <c r="AS431" s="43"/>
      <c r="AT431" s="22" t="str">
        <f aca="false">IF(AND(ISNUMBER(AS431),ISNUMBER(AR431),AR431&gt;0),AS431/AR431-1,"")</f>
        <v/>
      </c>
      <c r="AU431" s="44"/>
      <c r="AV431" s="44"/>
      <c r="AW431" s="44"/>
      <c r="AX431" s="44"/>
      <c r="AY431" s="44"/>
      <c r="AZ431" s="45"/>
      <c r="BA431" s="45"/>
      <c r="BB431" s="46"/>
      <c r="BC431" s="46"/>
      <c r="BD431" s="23" t="str">
        <f aca="false">IF(AND(ISNUMBER(BB431),ISNUMBER(BC431),BB431&gt;0),1-BC431/BB431,"")</f>
        <v/>
      </c>
      <c r="BE431" s="47"/>
      <c r="BF431" s="48"/>
      <c r="BG431" s="48"/>
      <c r="BH431" s="27" t="str">
        <f aca="false">IF(AND(ISNUMBER(BF431),ISNUMBER(BG431),BG431&gt;0),BF431/BG431,"")</f>
        <v/>
      </c>
      <c r="BI431" s="48"/>
      <c r="BJ431" s="44"/>
      <c r="BK431" s="46"/>
      <c r="BL431" s="46"/>
      <c r="BM431" s="36" t="str">
        <f aca="false">IF(ISNUMBER(Q431),IF(Q431&lt;0,"YES","no"),"")</f>
        <v>no</v>
      </c>
      <c r="BN431" s="36" t="str">
        <f aca="false">IFERROR(IF(AND(ISNUMBER(K431),ISNUMBER(INDEX('Lift Inputs'!$H:$H,MATCH(C431,'Lift Inputs'!$C:$C,0)))),IF(K431&lt;INDEX('Lift Inputs'!$H:$H,MATCH(C431,'Lift Inputs'!$C:$C,0)),"YES","no"),""),"")</f>
        <v/>
      </c>
      <c r="BO431" s="44"/>
    </row>
    <row r="432" customFormat="false" ht="15" hidden="false" customHeight="false" outlineLevel="0" collapsed="false">
      <c r="A432" s="15" t="s">
        <v>110</v>
      </c>
      <c r="B432" s="15" t="s">
        <v>116</v>
      </c>
      <c r="C432" s="15" t="n">
        <v>45</v>
      </c>
      <c r="D432" s="15" t="s">
        <v>221</v>
      </c>
      <c r="E432" s="15" t="n">
        <v>1950</v>
      </c>
      <c r="F432" s="15" t="s">
        <v>393</v>
      </c>
      <c r="G432" s="15" t="s">
        <v>394</v>
      </c>
      <c r="H432" s="15" t="s">
        <v>395</v>
      </c>
      <c r="I432" s="15" t="s">
        <v>396</v>
      </c>
      <c r="J432" s="15"/>
      <c r="K432" s="35" t="n">
        <v>89.99</v>
      </c>
      <c r="L432" s="35"/>
      <c r="M432" s="23" t="str">
        <f aca="false">IF(AND(ISNUMBER(L432),ISNUMBER(K432),K432&gt;0),L432/K432-1,"")</f>
        <v/>
      </c>
      <c r="N432" s="36" t="str">
        <f aca="false">IF(M432="","No List Price",IF(M432&lt;=0,"At/below price",IF(M432&lt;=0.12,"&lt;=12% (STR zone)",IF(M432&lt;=0.25,"12-25%","&gt;25% (likely ignored)"))))</f>
        <v>No List Price</v>
      </c>
      <c r="O432" s="15" t="s">
        <v>311</v>
      </c>
      <c r="P432" s="35" t="n">
        <v>64.99</v>
      </c>
      <c r="Q432" s="22" t="n">
        <f aca="false">IF(AND(ISNUMBER(K432),ISNUMBER(P432),N(P432)&gt;0),K432/P432-1,"")</f>
        <v>0.384674565317741</v>
      </c>
      <c r="R432" s="15" t="s">
        <v>312</v>
      </c>
      <c r="S432" s="37" t="n">
        <v>21237</v>
      </c>
      <c r="T432" s="37" t="n">
        <v>18</v>
      </c>
      <c r="U432" s="38" t="n">
        <f aca="false">IF(AND(ISNUMBER(K432),ISNUMBER(T432)),K432*T432*52/12,"")</f>
        <v>7019.22</v>
      </c>
      <c r="V432" s="15" t="n">
        <v>4.6</v>
      </c>
      <c r="W432" s="37" t="n">
        <v>76</v>
      </c>
      <c r="X432" s="39" t="n">
        <v>46307</v>
      </c>
      <c r="Y432" s="15"/>
      <c r="Z432" s="40"/>
      <c r="AA432" s="41" t="str">
        <f aca="false">IF(ISNUMBER(Z432),(DATE(2026,10,13)-Z432)/365,"")</f>
        <v/>
      </c>
      <c r="AB432" s="37"/>
      <c r="AC432" s="15"/>
      <c r="AD432" s="15"/>
      <c r="AE432" s="15"/>
      <c r="AF432" s="42"/>
      <c r="AG432" s="42"/>
      <c r="AH432" s="15"/>
      <c r="AI432" s="37" t="n">
        <v>103642</v>
      </c>
      <c r="AJ432" s="37" t="n">
        <v>2019</v>
      </c>
      <c r="AK432" s="15" t="s">
        <v>315</v>
      </c>
      <c r="AL432" s="43" t="n">
        <v>0</v>
      </c>
      <c r="AM432" s="43" t="n">
        <v>0</v>
      </c>
      <c r="AN432" s="25" t="str">
        <f aca="false">IF(AND(ISNUMBER(AM432),ISNUMBER(AL432),AL432&gt;=5),AM432/AL432,"")</f>
        <v/>
      </c>
      <c r="AO432" s="43" t="n">
        <v>0</v>
      </c>
      <c r="AP432" s="43" t="n">
        <v>0</v>
      </c>
      <c r="AQ432" s="25" t="str">
        <f aca="false">IF(AND(ISNUMBER(AP432),ISNUMBER(AO432),AO432&gt;=5),AP432/AO432,"")</f>
        <v/>
      </c>
      <c r="AR432" s="43" t="n">
        <v>0</v>
      </c>
      <c r="AS432" s="43" t="n">
        <v>29.8</v>
      </c>
      <c r="AT432" s="22" t="str">
        <f aca="false">IF(AND(ISNUMBER(AS432),ISNUMBER(AR432),AR432&gt;0),AS432/AR432-1,"")</f>
        <v/>
      </c>
      <c r="AU432" s="44"/>
      <c r="AV432" s="44"/>
      <c r="AW432" s="44"/>
      <c r="AX432" s="44"/>
      <c r="AY432" s="44"/>
      <c r="AZ432" s="45"/>
      <c r="BA432" s="45"/>
      <c r="BB432" s="46"/>
      <c r="BC432" s="46"/>
      <c r="BD432" s="23" t="str">
        <f aca="false">IF(AND(ISNUMBER(BB432),ISNUMBER(BC432),BB432&gt;0),1-BC432/BB432,"")</f>
        <v/>
      </c>
      <c r="BE432" s="47"/>
      <c r="BF432" s="48"/>
      <c r="BG432" s="48"/>
      <c r="BH432" s="27" t="str">
        <f aca="false">IF(AND(ISNUMBER(BF432),ISNUMBER(BG432),BG432&gt;0),BF432/BG432,"")</f>
        <v/>
      </c>
      <c r="BI432" s="48"/>
      <c r="BJ432" s="44"/>
      <c r="BK432" s="46"/>
      <c r="BL432" s="46"/>
      <c r="BM432" s="36" t="str">
        <f aca="false">IF(ISNUMBER(Q432),IF(Q432&lt;0,"YES","no"),"")</f>
        <v>no</v>
      </c>
      <c r="BN432" s="36" t="str">
        <f aca="false">IFERROR(IF(AND(ISNUMBER(K432),ISNUMBER(INDEX('Lift Inputs'!$H:$H,MATCH(C432,'Lift Inputs'!$C:$C,0)))),IF(K432&lt;INDEX('Lift Inputs'!$H:$H,MATCH(C432,'Lift Inputs'!$C:$C,0)),"YES","no"),""),"")</f>
        <v/>
      </c>
      <c r="BO432" s="44"/>
    </row>
    <row r="433" customFormat="false" ht="15" hidden="false" customHeight="false" outlineLevel="0" collapsed="false">
      <c r="A433" s="15" t="s">
        <v>110</v>
      </c>
      <c r="B433" s="15" t="s">
        <v>116</v>
      </c>
      <c r="C433" s="15" t="n">
        <v>45</v>
      </c>
      <c r="D433" s="15" t="s">
        <v>221</v>
      </c>
      <c r="E433" s="15" t="n">
        <v>1948</v>
      </c>
      <c r="F433" s="15" t="s">
        <v>385</v>
      </c>
      <c r="G433" s="15" t="s">
        <v>397</v>
      </c>
      <c r="H433" s="15" t="s">
        <v>398</v>
      </c>
      <c r="I433" s="15" t="s">
        <v>388</v>
      </c>
      <c r="J433" s="15"/>
      <c r="K433" s="35" t="n">
        <v>99</v>
      </c>
      <c r="L433" s="35"/>
      <c r="M433" s="23" t="str">
        <f aca="false">IF(AND(ISNUMBER(L433),ISNUMBER(K433),K433&gt;0),L433/K433-1,"")</f>
        <v/>
      </c>
      <c r="N433" s="36" t="str">
        <f aca="false">IF(M433="","No List Price",IF(M433&lt;=0,"At/below price",IF(M433&lt;=0.12,"&lt;=12% (STR zone)",IF(M433&lt;=0.25,"12-25%","&gt;25% (likely ignored)"))))</f>
        <v>No List Price</v>
      </c>
      <c r="O433" s="15" t="s">
        <v>311</v>
      </c>
      <c r="P433" s="35" t="n">
        <v>64.99</v>
      </c>
      <c r="Q433" s="22" t="n">
        <f aca="false">IF(AND(ISNUMBER(K433),ISNUMBER(P433),N(P433)&gt;0),K433/P433-1,"")</f>
        <v>0.523311278658255</v>
      </c>
      <c r="R433" s="15" t="s">
        <v>312</v>
      </c>
      <c r="S433" s="37" t="n">
        <v>38116</v>
      </c>
      <c r="T433" s="37" t="n">
        <v>18</v>
      </c>
      <c r="U433" s="38" t="n">
        <f aca="false">IF(AND(ISNUMBER(K433),ISNUMBER(T433)),K433*T433*52/12,"")</f>
        <v>7722</v>
      </c>
      <c r="V433" s="15" t="n">
        <v>4.9</v>
      </c>
      <c r="W433" s="37" t="n">
        <v>201</v>
      </c>
      <c r="X433" s="39" t="n">
        <v>46307</v>
      </c>
      <c r="Y433" s="15"/>
      <c r="Z433" s="40"/>
      <c r="AA433" s="41" t="str">
        <f aca="false">IF(ISNUMBER(Z433),(DATE(2026,10,13)-Z433)/365,"")</f>
        <v/>
      </c>
      <c r="AB433" s="37"/>
      <c r="AC433" s="15"/>
      <c r="AD433" s="15"/>
      <c r="AE433" s="15"/>
      <c r="AF433" s="42"/>
      <c r="AG433" s="42"/>
      <c r="AH433" s="15"/>
      <c r="AI433" s="37" t="n">
        <v>116001</v>
      </c>
      <c r="AJ433" s="37" t="n">
        <v>1002</v>
      </c>
      <c r="AK433" s="15" t="s">
        <v>315</v>
      </c>
      <c r="AL433" s="43" t="n">
        <v>0</v>
      </c>
      <c r="AM433" s="43" t="n">
        <v>0</v>
      </c>
      <c r="AN433" s="25" t="str">
        <f aca="false">IF(AND(ISNUMBER(AM433),ISNUMBER(AL433),AL433&gt;=5),AM433/AL433,"")</f>
        <v/>
      </c>
      <c r="AO433" s="43" t="n">
        <v>0</v>
      </c>
      <c r="AP433" s="43" t="n">
        <v>0</v>
      </c>
      <c r="AQ433" s="25" t="str">
        <f aca="false">IF(AND(ISNUMBER(AP433),ISNUMBER(AO433),AO433&gt;=5),AP433/AO433,"")</f>
        <v/>
      </c>
      <c r="AR433" s="43" t="n">
        <v>0</v>
      </c>
      <c r="AS433" s="43" t="n">
        <v>21.5</v>
      </c>
      <c r="AT433" s="22" t="str">
        <f aca="false">IF(AND(ISNUMBER(AS433),ISNUMBER(AR433),AR433&gt;0),AS433/AR433-1,"")</f>
        <v/>
      </c>
      <c r="AU433" s="44"/>
      <c r="AV433" s="44"/>
      <c r="AW433" s="44"/>
      <c r="AX433" s="44"/>
      <c r="AY433" s="44"/>
      <c r="AZ433" s="45"/>
      <c r="BA433" s="45"/>
      <c r="BB433" s="46"/>
      <c r="BC433" s="46"/>
      <c r="BD433" s="23" t="str">
        <f aca="false">IF(AND(ISNUMBER(BB433),ISNUMBER(BC433),BB433&gt;0),1-BC433/BB433,"")</f>
        <v/>
      </c>
      <c r="BE433" s="47"/>
      <c r="BF433" s="48"/>
      <c r="BG433" s="48"/>
      <c r="BH433" s="27" t="str">
        <f aca="false">IF(AND(ISNUMBER(BF433),ISNUMBER(BG433),BG433&gt;0),BF433/BG433,"")</f>
        <v/>
      </c>
      <c r="BI433" s="48"/>
      <c r="BJ433" s="44"/>
      <c r="BK433" s="46"/>
      <c r="BL433" s="46"/>
      <c r="BM433" s="36" t="str">
        <f aca="false">IF(ISNUMBER(Q433),IF(Q433&lt;0,"YES","no"),"")</f>
        <v>no</v>
      </c>
      <c r="BN433" s="36" t="str">
        <f aca="false">IFERROR(IF(AND(ISNUMBER(K433),ISNUMBER(INDEX('Lift Inputs'!$H:$H,MATCH(C433,'Lift Inputs'!$C:$C,0)))),IF(K433&lt;INDEX('Lift Inputs'!$H:$H,MATCH(C433,'Lift Inputs'!$C:$C,0)),"YES","no"),""),"")</f>
        <v/>
      </c>
      <c r="BO433" s="44"/>
    </row>
    <row r="434" customFormat="false" ht="15" hidden="false" customHeight="false" outlineLevel="0" collapsed="false">
      <c r="A434" s="15" t="s">
        <v>110</v>
      </c>
      <c r="B434" s="15" t="s">
        <v>116</v>
      </c>
      <c r="C434" s="15" t="n">
        <v>45</v>
      </c>
      <c r="D434" s="15" t="s">
        <v>221</v>
      </c>
      <c r="E434" s="15" t="n">
        <v>1817</v>
      </c>
      <c r="F434" s="15" t="s">
        <v>438</v>
      </c>
      <c r="G434" s="15" t="s">
        <v>861</v>
      </c>
      <c r="H434" s="15" t="s">
        <v>861</v>
      </c>
      <c r="I434" s="15" t="s">
        <v>456</v>
      </c>
      <c r="J434" s="15"/>
      <c r="K434" s="35" t="n">
        <v>59.99</v>
      </c>
      <c r="L434" s="35" t="n">
        <v>74.99</v>
      </c>
      <c r="M434" s="23" t="n">
        <f aca="false">IF(AND(ISNUMBER(L434),ISNUMBER(K434),K434&gt;0),L434/K434-1,"")</f>
        <v>0.250041673612269</v>
      </c>
      <c r="N434" s="36" t="str">
        <f aca="false">IF(M434="","No List Price",IF(M434&lt;=0,"At/below price",IF(M434&lt;=0.12,"&lt;=12% (STR zone)",IF(M434&lt;=0.25,"12-25%","&gt;25% (likely ignored)"))))</f>
        <v>&gt;25% (likely ignored)</v>
      </c>
      <c r="O434" s="15"/>
      <c r="P434" s="35" t="n">
        <v>64.99</v>
      </c>
      <c r="Q434" s="22" t="n">
        <f aca="false">IF(AND(ISNUMBER(K434),ISNUMBER(P434),N(P434)&gt;0),K434/P434-1,"")</f>
        <v>-0.0769349130635482</v>
      </c>
      <c r="R434" s="15" t="s">
        <v>353</v>
      </c>
      <c r="S434" s="37" t="n">
        <v>39191</v>
      </c>
      <c r="T434" s="37" t="n">
        <v>18</v>
      </c>
      <c r="U434" s="38" t="n">
        <f aca="false">IF(AND(ISNUMBER(K434),ISNUMBER(T434)),K434*T434*52/12,"")</f>
        <v>4679.22</v>
      </c>
      <c r="V434" s="15" t="n">
        <v>4.5</v>
      </c>
      <c r="W434" s="37" t="n">
        <v>1639</v>
      </c>
      <c r="X434" s="39" t="n">
        <v>46307</v>
      </c>
      <c r="Y434" s="15" t="n">
        <v>32</v>
      </c>
      <c r="Z434" s="40" t="n">
        <v>45744</v>
      </c>
      <c r="AA434" s="41" t="n">
        <f aca="false">IF(ISNUMBER(Z434),(DATE(2026,10,13)-Z434)/365,"")</f>
        <v>1.54520547945205</v>
      </c>
      <c r="AB434" s="37" t="n">
        <v>1245</v>
      </c>
      <c r="AC434" s="15" t="s">
        <v>313</v>
      </c>
      <c r="AD434" s="15" t="n">
        <v>1</v>
      </c>
      <c r="AE434" s="15" t="s">
        <v>331</v>
      </c>
      <c r="AF434" s="42" t="n">
        <v>0</v>
      </c>
      <c r="AG434" s="42" t="n">
        <v>0</v>
      </c>
      <c r="AH434" s="15" t="n">
        <v>108</v>
      </c>
      <c r="AI434" s="37" t="n">
        <v>41895</v>
      </c>
      <c r="AJ434" s="37" t="n">
        <v>662</v>
      </c>
      <c r="AK434" s="15" t="s">
        <v>315</v>
      </c>
      <c r="AL434" s="43" t="n">
        <v>0</v>
      </c>
      <c r="AM434" s="43" t="n">
        <v>0</v>
      </c>
      <c r="AN434" s="25" t="str">
        <f aca="false">IF(AND(ISNUMBER(AM434),ISNUMBER(AL434),AL434&gt;=5),AM434/AL434,"")</f>
        <v/>
      </c>
      <c r="AO434" s="43" t="n">
        <v>0</v>
      </c>
      <c r="AP434" s="43" t="n">
        <v>0</v>
      </c>
      <c r="AQ434" s="25" t="str">
        <f aca="false">IF(AND(ISNUMBER(AP434),ISNUMBER(AO434),AO434&gt;=5),AP434/AO434,"")</f>
        <v/>
      </c>
      <c r="AR434" s="43" t="n">
        <v>9.8</v>
      </c>
      <c r="AS434" s="43" t="n">
        <v>0.1</v>
      </c>
      <c r="AT434" s="22" t="n">
        <f aca="false">IF(AND(ISNUMBER(AS434),ISNUMBER(AR434),AR434&gt;0),AS434/AR434-1,"")</f>
        <v>-0.989795918367347</v>
      </c>
      <c r="AU434" s="44"/>
      <c r="AV434" s="44"/>
      <c r="AW434" s="44"/>
      <c r="AX434" s="44"/>
      <c r="AY434" s="44"/>
      <c r="AZ434" s="45"/>
      <c r="BA434" s="45"/>
      <c r="BB434" s="46"/>
      <c r="BC434" s="46"/>
      <c r="BD434" s="23" t="str">
        <f aca="false">IF(AND(ISNUMBER(BB434),ISNUMBER(BC434),BB434&gt;0),1-BC434/BB434,"")</f>
        <v/>
      </c>
      <c r="BE434" s="47"/>
      <c r="BF434" s="48"/>
      <c r="BG434" s="48"/>
      <c r="BH434" s="27" t="str">
        <f aca="false">IF(AND(ISNUMBER(BF434),ISNUMBER(BG434),BG434&gt;0),BF434/BG434,"")</f>
        <v/>
      </c>
      <c r="BI434" s="48"/>
      <c r="BJ434" s="44"/>
      <c r="BK434" s="46"/>
      <c r="BL434" s="46"/>
      <c r="BM434" s="36" t="str">
        <f aca="false">IF(ISNUMBER(Q434),IF(Q434&lt;0,"YES","no"),"")</f>
        <v>YES</v>
      </c>
      <c r="BN434" s="36" t="str">
        <f aca="false">IFERROR(IF(AND(ISNUMBER(K434),ISNUMBER(INDEX('Lift Inputs'!$H:$H,MATCH(C434,'Lift Inputs'!$C:$C,0)))),IF(K434&lt;INDEX('Lift Inputs'!$H:$H,MATCH(C434,'Lift Inputs'!$C:$C,0)),"YES","no"),""),"")</f>
        <v/>
      </c>
      <c r="BO434" s="44"/>
    </row>
    <row r="435" customFormat="false" ht="15" hidden="false" customHeight="false" outlineLevel="0" collapsed="false">
      <c r="A435" s="15" t="s">
        <v>110</v>
      </c>
      <c r="B435" s="15" t="s">
        <v>116</v>
      </c>
      <c r="C435" s="15" t="n">
        <v>45</v>
      </c>
      <c r="D435" s="15" t="s">
        <v>221</v>
      </c>
      <c r="E435" s="15" t="n">
        <v>1944</v>
      </c>
      <c r="F435" s="15" t="s">
        <v>399</v>
      </c>
      <c r="G435" s="15" t="s">
        <v>400</v>
      </c>
      <c r="H435" s="15" t="s">
        <v>401</v>
      </c>
      <c r="I435" s="15" t="s">
        <v>402</v>
      </c>
      <c r="J435" s="15"/>
      <c r="K435" s="35" t="n">
        <v>65</v>
      </c>
      <c r="L435" s="35" t="n">
        <v>79</v>
      </c>
      <c r="M435" s="23" t="n">
        <f aca="false">IF(AND(ISNUMBER(L435),ISNUMBER(K435),K435&gt;0),L435/K435-1,"")</f>
        <v>0.215384615384615</v>
      </c>
      <c r="N435" s="36" t="str">
        <f aca="false">IF(M435="","No List Price",IF(M435&lt;=0,"At/below price",IF(M435&lt;=0.12,"&lt;=12% (STR zone)",IF(M435&lt;=0.25,"12-25%","&gt;25% (likely ignored)"))))</f>
        <v>12-25%</v>
      </c>
      <c r="O435" s="15" t="s">
        <v>311</v>
      </c>
      <c r="P435" s="35" t="n">
        <v>64.99</v>
      </c>
      <c r="Q435" s="22" t="n">
        <f aca="false">IF(AND(ISNUMBER(K435),ISNUMBER(P435),N(P435)&gt;0),K435/P435-1,"")</f>
        <v>0.000153869826127195</v>
      </c>
      <c r="R435" s="15" t="s">
        <v>312</v>
      </c>
      <c r="S435" s="37" t="n">
        <v>196488</v>
      </c>
      <c r="T435" s="37" t="n">
        <v>18</v>
      </c>
      <c r="U435" s="38" t="n">
        <f aca="false">IF(AND(ISNUMBER(K435),ISNUMBER(T435)),K435*T435*52/12,"")</f>
        <v>5070</v>
      </c>
      <c r="V435" s="15" t="n">
        <v>4.9</v>
      </c>
      <c r="W435" s="37" t="n">
        <v>121</v>
      </c>
      <c r="X435" s="39" t="n">
        <v>46307</v>
      </c>
      <c r="Y435" s="15"/>
      <c r="Z435" s="40"/>
      <c r="AA435" s="41" t="str">
        <f aca="false">IF(ISNUMBER(Z435),(DATE(2026,10,13)-Z435)/365,"")</f>
        <v/>
      </c>
      <c r="AB435" s="37"/>
      <c r="AC435" s="15"/>
      <c r="AD435" s="15"/>
      <c r="AE435" s="15"/>
      <c r="AF435" s="42"/>
      <c r="AG435" s="42"/>
      <c r="AH435" s="15"/>
      <c r="AI435" s="37" t="n">
        <v>82471</v>
      </c>
      <c r="AJ435" s="37" t="n">
        <v>905</v>
      </c>
      <c r="AK435" s="15" t="s">
        <v>315</v>
      </c>
      <c r="AL435" s="43" t="n">
        <v>2.2</v>
      </c>
      <c r="AM435" s="43" t="n">
        <v>2</v>
      </c>
      <c r="AN435" s="25" t="str">
        <f aca="false">IF(AND(ISNUMBER(AM435),ISNUMBER(AL435),AL435&gt;=5),AM435/AL435,"")</f>
        <v/>
      </c>
      <c r="AO435" s="43" t="n">
        <v>0</v>
      </c>
      <c r="AP435" s="43" t="n">
        <v>0</v>
      </c>
      <c r="AQ435" s="25" t="str">
        <f aca="false">IF(AND(ISNUMBER(AP435),ISNUMBER(AO435),AO435&gt;=5),AP435/AO435,"")</f>
        <v/>
      </c>
      <c r="AR435" s="43" t="n">
        <v>2</v>
      </c>
      <c r="AS435" s="43" t="n">
        <v>93.2</v>
      </c>
      <c r="AT435" s="22" t="n">
        <f aca="false">IF(AND(ISNUMBER(AS435),ISNUMBER(AR435),AR435&gt;0),AS435/AR435-1,"")</f>
        <v>45.6</v>
      </c>
      <c r="AU435" s="44"/>
      <c r="AV435" s="44"/>
      <c r="AW435" s="44"/>
      <c r="AX435" s="44"/>
      <c r="AY435" s="44"/>
      <c r="AZ435" s="45"/>
      <c r="BA435" s="45"/>
      <c r="BB435" s="46"/>
      <c r="BC435" s="46"/>
      <c r="BD435" s="23" t="str">
        <f aca="false">IF(AND(ISNUMBER(BB435),ISNUMBER(BC435),BB435&gt;0),1-BC435/BB435,"")</f>
        <v/>
      </c>
      <c r="BE435" s="47"/>
      <c r="BF435" s="48"/>
      <c r="BG435" s="48"/>
      <c r="BH435" s="27" t="str">
        <f aca="false">IF(AND(ISNUMBER(BF435),ISNUMBER(BG435),BG435&gt;0),BF435/BG435,"")</f>
        <v/>
      </c>
      <c r="BI435" s="48"/>
      <c r="BJ435" s="44"/>
      <c r="BK435" s="46"/>
      <c r="BL435" s="46"/>
      <c r="BM435" s="36" t="str">
        <f aca="false">IF(ISNUMBER(Q435),IF(Q435&lt;0,"YES","no"),"")</f>
        <v>no</v>
      </c>
      <c r="BN435" s="36" t="str">
        <f aca="false">IFERROR(IF(AND(ISNUMBER(K435),ISNUMBER(INDEX('Lift Inputs'!$H:$H,MATCH(C435,'Lift Inputs'!$C:$C,0)))),IF(K435&lt;INDEX('Lift Inputs'!$H:$H,MATCH(C435,'Lift Inputs'!$C:$C,0)),"YES","no"),""),"")</f>
        <v/>
      </c>
      <c r="BO435" s="44"/>
    </row>
    <row r="436" customFormat="false" ht="15" hidden="false" customHeight="false" outlineLevel="0" collapsed="false">
      <c r="A436" s="15" t="s">
        <v>110</v>
      </c>
      <c r="B436" s="15" t="s">
        <v>116</v>
      </c>
      <c r="C436" s="15" t="n">
        <v>45</v>
      </c>
      <c r="D436" s="15" t="s">
        <v>221</v>
      </c>
      <c r="E436" s="15" t="n">
        <v>1812</v>
      </c>
      <c r="F436" s="15" t="s">
        <v>870</v>
      </c>
      <c r="G436" s="15" t="s">
        <v>871</v>
      </c>
      <c r="H436" s="15" t="s">
        <v>872</v>
      </c>
      <c r="I436" s="15" t="s">
        <v>384</v>
      </c>
      <c r="J436" s="15"/>
      <c r="K436" s="35" t="n">
        <v>42.99</v>
      </c>
      <c r="L436" s="35" t="n">
        <v>59.99</v>
      </c>
      <c r="M436" s="23" t="n">
        <f aca="false">IF(AND(ISNUMBER(L436),ISNUMBER(K436),K436&gt;0),L436/K436-1,"")</f>
        <v>0.39544080018609</v>
      </c>
      <c r="N436" s="36" t="str">
        <f aca="false">IF(M436="","No List Price",IF(M436&lt;=0,"At/below price",IF(M436&lt;=0.12,"&lt;=12% (STR zone)",IF(M436&lt;=0.25,"12-25%","&gt;25% (likely ignored)"))))</f>
        <v>&gt;25% (likely ignored)</v>
      </c>
      <c r="O436" s="15"/>
      <c r="P436" s="35" t="n">
        <v>64.99</v>
      </c>
      <c r="Q436" s="22" t="n">
        <f aca="false">IF(AND(ISNUMBER(K436),ISNUMBER(P436),N(P436)&gt;0),K436/P436-1,"")</f>
        <v>-0.338513617479612</v>
      </c>
      <c r="R436" s="15" t="s">
        <v>353</v>
      </c>
      <c r="S436" s="37" t="n">
        <v>115669</v>
      </c>
      <c r="T436" s="37" t="n">
        <v>5</v>
      </c>
      <c r="U436" s="38" t="n">
        <f aca="false">IF(AND(ISNUMBER(K436),ISNUMBER(T436)),K436*T436*52/12,"")</f>
        <v>931.45</v>
      </c>
      <c r="V436" s="15" t="n">
        <v>4.7</v>
      </c>
      <c r="W436" s="37" t="n">
        <v>4</v>
      </c>
      <c r="X436" s="39" t="n">
        <v>46307</v>
      </c>
      <c r="Y436" s="15"/>
      <c r="Z436" s="40"/>
      <c r="AA436" s="41" t="str">
        <f aca="false">IF(ISNUMBER(Z436),(DATE(2026,10,13)-Z436)/365,"")</f>
        <v/>
      </c>
      <c r="AB436" s="37"/>
      <c r="AC436" s="15"/>
      <c r="AD436" s="15"/>
      <c r="AE436" s="15"/>
      <c r="AF436" s="42"/>
      <c r="AG436" s="42"/>
      <c r="AH436" s="15"/>
      <c r="AI436" s="37" t="n">
        <v>13712</v>
      </c>
      <c r="AJ436" s="37" t="n">
        <v>332</v>
      </c>
      <c r="AK436" s="15"/>
      <c r="AL436" s="43"/>
      <c r="AM436" s="43"/>
      <c r="AN436" s="25" t="str">
        <f aca="false">IF(AND(ISNUMBER(AM436),ISNUMBER(AL436),AL436&gt;=5),AM436/AL436,"")</f>
        <v/>
      </c>
      <c r="AO436" s="43"/>
      <c r="AP436" s="43"/>
      <c r="AQ436" s="25" t="str">
        <f aca="false">IF(AND(ISNUMBER(AP436),ISNUMBER(AO436),AO436&gt;=5),AP436/AO436,"")</f>
        <v/>
      </c>
      <c r="AR436" s="43"/>
      <c r="AS436" s="43"/>
      <c r="AT436" s="22" t="str">
        <f aca="false">IF(AND(ISNUMBER(AS436),ISNUMBER(AR436),AR436&gt;0),AS436/AR436-1,"")</f>
        <v/>
      </c>
      <c r="AU436" s="44"/>
      <c r="AV436" s="44"/>
      <c r="AW436" s="44"/>
      <c r="AX436" s="44"/>
      <c r="AY436" s="44"/>
      <c r="AZ436" s="45"/>
      <c r="BA436" s="45"/>
      <c r="BB436" s="46"/>
      <c r="BC436" s="46"/>
      <c r="BD436" s="23" t="str">
        <f aca="false">IF(AND(ISNUMBER(BB436),ISNUMBER(BC436),BB436&gt;0),1-BC436/BB436,"")</f>
        <v/>
      </c>
      <c r="BE436" s="47"/>
      <c r="BF436" s="48"/>
      <c r="BG436" s="48"/>
      <c r="BH436" s="27" t="str">
        <f aca="false">IF(AND(ISNUMBER(BF436),ISNUMBER(BG436),BG436&gt;0),BF436/BG436,"")</f>
        <v/>
      </c>
      <c r="BI436" s="48"/>
      <c r="BJ436" s="44"/>
      <c r="BK436" s="46"/>
      <c r="BL436" s="46"/>
      <c r="BM436" s="36" t="str">
        <f aca="false">IF(ISNUMBER(Q436),IF(Q436&lt;0,"YES","no"),"")</f>
        <v>YES</v>
      </c>
      <c r="BN436" s="36" t="str">
        <f aca="false">IFERROR(IF(AND(ISNUMBER(K436),ISNUMBER(INDEX('Lift Inputs'!$H:$H,MATCH(C436,'Lift Inputs'!$C:$C,0)))),IF(K436&lt;INDEX('Lift Inputs'!$H:$H,MATCH(C436,'Lift Inputs'!$C:$C,0)),"YES","no"),""),"")</f>
        <v/>
      </c>
      <c r="BO436" s="44"/>
    </row>
    <row r="437" customFormat="false" ht="15" hidden="false" customHeight="false" outlineLevel="0" collapsed="false">
      <c r="A437" s="15" t="s">
        <v>110</v>
      </c>
      <c r="B437" s="15" t="s">
        <v>116</v>
      </c>
      <c r="C437" s="15" t="n">
        <v>45</v>
      </c>
      <c r="D437" s="15" t="s">
        <v>221</v>
      </c>
      <c r="E437" s="15" t="n">
        <v>1939</v>
      </c>
      <c r="F437" s="15" t="s">
        <v>385</v>
      </c>
      <c r="G437" s="15" t="s">
        <v>408</v>
      </c>
      <c r="H437" s="15" t="s">
        <v>408</v>
      </c>
      <c r="I437" s="15" t="s">
        <v>409</v>
      </c>
      <c r="J437" s="15"/>
      <c r="K437" s="35" t="n">
        <v>79.99</v>
      </c>
      <c r="L437" s="35"/>
      <c r="M437" s="23" t="str">
        <f aca="false">IF(AND(ISNUMBER(L437),ISNUMBER(K437),K437&gt;0),L437/K437-1,"")</f>
        <v/>
      </c>
      <c r="N437" s="36" t="str">
        <f aca="false">IF(M437="","No List Price",IF(M437&lt;=0,"At/below price",IF(M437&lt;=0.12,"&lt;=12% (STR zone)",IF(M437&lt;=0.25,"12-25%","&gt;25% (likely ignored)"))))</f>
        <v>No List Price</v>
      </c>
      <c r="O437" s="15"/>
      <c r="P437" s="35" t="n">
        <v>64.99</v>
      </c>
      <c r="Q437" s="22" t="n">
        <f aca="false">IF(AND(ISNUMBER(K437),ISNUMBER(P437),N(P437)&gt;0),K437/P437-1,"")</f>
        <v>0.230804739190645</v>
      </c>
      <c r="R437" s="15" t="s">
        <v>353</v>
      </c>
      <c r="S437" s="37" t="n">
        <v>762451</v>
      </c>
      <c r="T437" s="37" t="n">
        <v>5</v>
      </c>
      <c r="U437" s="38" t="n">
        <f aca="false">IF(AND(ISNUMBER(K437),ISNUMBER(T437)),K437*T437*52/12,"")</f>
        <v>1733.11666666667</v>
      </c>
      <c r="V437" s="15" t="n">
        <v>4</v>
      </c>
      <c r="W437" s="37"/>
      <c r="X437" s="39" t="n">
        <v>46307</v>
      </c>
      <c r="Y437" s="15"/>
      <c r="Z437" s="40"/>
      <c r="AA437" s="41" t="str">
        <f aca="false">IF(ISNUMBER(Z437),(DATE(2026,10,13)-Z437)/365,"")</f>
        <v/>
      </c>
      <c r="AB437" s="37"/>
      <c r="AC437" s="15"/>
      <c r="AD437" s="15"/>
      <c r="AE437" s="15"/>
      <c r="AF437" s="42"/>
      <c r="AG437" s="42"/>
      <c r="AH437" s="15"/>
      <c r="AI437" s="37" t="n">
        <v>57075</v>
      </c>
      <c r="AJ437" s="37" t="n">
        <v>90</v>
      </c>
      <c r="AK437" s="15"/>
      <c r="AL437" s="43"/>
      <c r="AM437" s="43"/>
      <c r="AN437" s="25" t="str">
        <f aca="false">IF(AND(ISNUMBER(AM437),ISNUMBER(AL437),AL437&gt;=5),AM437/AL437,"")</f>
        <v/>
      </c>
      <c r="AO437" s="43"/>
      <c r="AP437" s="43"/>
      <c r="AQ437" s="25" t="str">
        <f aca="false">IF(AND(ISNUMBER(AP437),ISNUMBER(AO437),AO437&gt;=5),AP437/AO437,"")</f>
        <v/>
      </c>
      <c r="AR437" s="43"/>
      <c r="AS437" s="43"/>
      <c r="AT437" s="22" t="str">
        <f aca="false">IF(AND(ISNUMBER(AS437),ISNUMBER(AR437),AR437&gt;0),AS437/AR437-1,"")</f>
        <v/>
      </c>
      <c r="AU437" s="44"/>
      <c r="AV437" s="44"/>
      <c r="AW437" s="44"/>
      <c r="AX437" s="44"/>
      <c r="AY437" s="44"/>
      <c r="AZ437" s="45"/>
      <c r="BA437" s="45"/>
      <c r="BB437" s="46"/>
      <c r="BC437" s="46"/>
      <c r="BD437" s="23" t="str">
        <f aca="false">IF(AND(ISNUMBER(BB437),ISNUMBER(BC437),BB437&gt;0),1-BC437/BB437,"")</f>
        <v/>
      </c>
      <c r="BE437" s="47"/>
      <c r="BF437" s="48"/>
      <c r="BG437" s="48"/>
      <c r="BH437" s="27" t="str">
        <f aca="false">IF(AND(ISNUMBER(BF437),ISNUMBER(BG437),BG437&gt;0),BF437/BG437,"")</f>
        <v/>
      </c>
      <c r="BI437" s="48"/>
      <c r="BJ437" s="44"/>
      <c r="BK437" s="46"/>
      <c r="BL437" s="46"/>
      <c r="BM437" s="36" t="str">
        <f aca="false">IF(ISNUMBER(Q437),IF(Q437&lt;0,"YES","no"),"")</f>
        <v>no</v>
      </c>
      <c r="BN437" s="36" t="str">
        <f aca="false">IFERROR(IF(AND(ISNUMBER(K437),ISNUMBER(INDEX('Lift Inputs'!$H:$H,MATCH(C437,'Lift Inputs'!$C:$C,0)))),IF(K437&lt;INDEX('Lift Inputs'!$H:$H,MATCH(C437,'Lift Inputs'!$C:$C,0)),"YES","no"),""),"")</f>
        <v/>
      </c>
      <c r="BO437" s="44"/>
    </row>
    <row r="438" customFormat="false" ht="15" hidden="false" customHeight="false" outlineLevel="0" collapsed="false">
      <c r="A438" s="15" t="s">
        <v>110</v>
      </c>
      <c r="B438" s="15" t="s">
        <v>116</v>
      </c>
      <c r="C438" s="15" t="n">
        <v>45</v>
      </c>
      <c r="D438" s="15" t="s">
        <v>221</v>
      </c>
      <c r="E438" s="15" t="n">
        <v>1815</v>
      </c>
      <c r="F438" s="15" t="s">
        <v>438</v>
      </c>
      <c r="G438" s="15" t="s">
        <v>873</v>
      </c>
      <c r="H438" s="15" t="s">
        <v>873</v>
      </c>
      <c r="I438" s="15" t="s">
        <v>874</v>
      </c>
      <c r="J438" s="15"/>
      <c r="K438" s="35" t="n">
        <v>54.9</v>
      </c>
      <c r="L438" s="35" t="n">
        <v>64.9</v>
      </c>
      <c r="M438" s="23" t="n">
        <f aca="false">IF(AND(ISNUMBER(L438),ISNUMBER(K438),K438&gt;0),L438/K438-1,"")</f>
        <v>0.182149362477231</v>
      </c>
      <c r="N438" s="36" t="str">
        <f aca="false">IF(M438="","No List Price",IF(M438&lt;=0,"At/below price",IF(M438&lt;=0.12,"&lt;=12% (STR zone)",IF(M438&lt;=0.25,"12-25%","&gt;25% (likely ignored)"))))</f>
        <v>12-25%</v>
      </c>
      <c r="O438" s="15" t="s">
        <v>320</v>
      </c>
      <c r="P438" s="35" t="n">
        <v>74.0426315789474</v>
      </c>
      <c r="Q438" s="22" t="n">
        <f aca="false">IF(AND(ISNUMBER(K438),ISNUMBER(P438),N(P438)&gt;0),K438/P438-1,"")</f>
        <v>-0.258535267733382</v>
      </c>
      <c r="R438" s="15" t="s">
        <v>321</v>
      </c>
      <c r="S438" s="37" t="n">
        <v>26044</v>
      </c>
      <c r="T438" s="37" t="n">
        <v>5</v>
      </c>
      <c r="U438" s="38" t="n">
        <f aca="false">IF(AND(ISNUMBER(K438),ISNUMBER(T438)),K438*T438*52/12,"")</f>
        <v>1189.5</v>
      </c>
      <c r="V438" s="15" t="n">
        <v>4.4</v>
      </c>
      <c r="W438" s="37" t="n">
        <v>6629</v>
      </c>
      <c r="X438" s="39" t="n">
        <v>46307</v>
      </c>
      <c r="Y438" s="15" t="n">
        <v>79</v>
      </c>
      <c r="Z438" s="40" t="n">
        <v>44654</v>
      </c>
      <c r="AA438" s="41" t="n">
        <f aca="false">IF(ISNUMBER(Z438),(DATE(2026,10,13)-Z438)/365,"")</f>
        <v>4.53150684931507</v>
      </c>
      <c r="AB438" s="37" t="n">
        <v>1776</v>
      </c>
      <c r="AC438" s="15" t="s">
        <v>313</v>
      </c>
      <c r="AD438" s="15" t="n">
        <v>1</v>
      </c>
      <c r="AE438" s="15" t="s">
        <v>331</v>
      </c>
      <c r="AF438" s="42" t="n">
        <v>0</v>
      </c>
      <c r="AG438" s="42" t="n">
        <v>0</v>
      </c>
      <c r="AH438" s="15" t="n">
        <v>188</v>
      </c>
      <c r="AI438" s="37" t="n">
        <v>55207</v>
      </c>
      <c r="AJ438" s="37" t="n">
        <v>914</v>
      </c>
      <c r="AK438" s="15"/>
      <c r="AL438" s="43"/>
      <c r="AM438" s="43"/>
      <c r="AN438" s="25" t="str">
        <f aca="false">IF(AND(ISNUMBER(AM438),ISNUMBER(AL438),AL438&gt;=5),AM438/AL438,"")</f>
        <v/>
      </c>
      <c r="AO438" s="43"/>
      <c r="AP438" s="43"/>
      <c r="AQ438" s="25" t="str">
        <f aca="false">IF(AND(ISNUMBER(AP438),ISNUMBER(AO438),AO438&gt;=5),AP438/AO438,"")</f>
        <v/>
      </c>
      <c r="AR438" s="43"/>
      <c r="AS438" s="43"/>
      <c r="AT438" s="22" t="str">
        <f aca="false">IF(AND(ISNUMBER(AS438),ISNUMBER(AR438),AR438&gt;0),AS438/AR438-1,"")</f>
        <v/>
      </c>
      <c r="AU438" s="44"/>
      <c r="AV438" s="44"/>
      <c r="AW438" s="44"/>
      <c r="AX438" s="44"/>
      <c r="AY438" s="44"/>
      <c r="AZ438" s="45"/>
      <c r="BA438" s="45"/>
      <c r="BB438" s="46"/>
      <c r="BC438" s="46"/>
      <c r="BD438" s="23" t="str">
        <f aca="false">IF(AND(ISNUMBER(BB438),ISNUMBER(BC438),BB438&gt;0),1-BC438/BB438,"")</f>
        <v/>
      </c>
      <c r="BE438" s="47"/>
      <c r="BF438" s="48"/>
      <c r="BG438" s="48"/>
      <c r="BH438" s="27" t="str">
        <f aca="false">IF(AND(ISNUMBER(BF438),ISNUMBER(BG438),BG438&gt;0),BF438/BG438,"")</f>
        <v/>
      </c>
      <c r="BI438" s="48"/>
      <c r="BJ438" s="44"/>
      <c r="BK438" s="46"/>
      <c r="BL438" s="46"/>
      <c r="BM438" s="36" t="str">
        <f aca="false">IF(ISNUMBER(Q438),IF(Q438&lt;0,"YES","no"),"")</f>
        <v>YES</v>
      </c>
      <c r="BN438" s="36" t="str">
        <f aca="false">IFERROR(IF(AND(ISNUMBER(K438),ISNUMBER(INDEX('Lift Inputs'!$H:$H,MATCH(C438,'Lift Inputs'!$C:$C,0)))),IF(K438&lt;INDEX('Lift Inputs'!$H:$H,MATCH(C438,'Lift Inputs'!$C:$C,0)),"YES","no"),""),"")</f>
        <v/>
      </c>
      <c r="BO438" s="44"/>
    </row>
    <row r="439" customFormat="false" ht="15" hidden="false" customHeight="false" outlineLevel="0" collapsed="false">
      <c r="A439" s="15" t="s">
        <v>110</v>
      </c>
      <c r="B439" s="15" t="s">
        <v>116</v>
      </c>
      <c r="C439" s="15" t="n">
        <v>45</v>
      </c>
      <c r="D439" s="15" t="s">
        <v>221</v>
      </c>
      <c r="E439" s="15" t="n">
        <v>1644</v>
      </c>
      <c r="F439" s="15" t="s">
        <v>875</v>
      </c>
      <c r="G439" s="15" t="s">
        <v>876</v>
      </c>
      <c r="H439" s="15" t="s">
        <v>877</v>
      </c>
      <c r="I439" s="15" t="s">
        <v>384</v>
      </c>
      <c r="J439" s="15"/>
      <c r="K439" s="35" t="n">
        <v>24.99</v>
      </c>
      <c r="L439" s="35"/>
      <c r="M439" s="23" t="str">
        <f aca="false">IF(AND(ISNUMBER(L439),ISNUMBER(K439),K439&gt;0),L439/K439-1,"")</f>
        <v/>
      </c>
      <c r="N439" s="36" t="str">
        <f aca="false">IF(M439="","No List Price",IF(M439&lt;=0,"At/below price",IF(M439&lt;=0.12,"&lt;=12% (STR zone)",IF(M439&lt;=0.25,"12-25%","&gt;25% (likely ignored)"))))</f>
        <v>No List Price</v>
      </c>
      <c r="O439" s="15"/>
      <c r="P439" s="35" t="n">
        <v>64.99</v>
      </c>
      <c r="Q439" s="22" t="n">
        <f aca="false">IF(AND(ISNUMBER(K439),ISNUMBER(P439),N(P439)&gt;0),K439/P439-1,"")</f>
        <v>-0.615479304508386</v>
      </c>
      <c r="R439" s="15" t="s">
        <v>353</v>
      </c>
      <c r="S439" s="37" t="n">
        <v>758020</v>
      </c>
      <c r="T439" s="37"/>
      <c r="U439" s="38" t="str">
        <f aca="false">IF(AND(ISNUMBER(K439),ISNUMBER(T439)),K439*T439*52/12,"")</f>
        <v/>
      </c>
      <c r="V439" s="15" t="n">
        <v>4.3</v>
      </c>
      <c r="W439" s="37" t="n">
        <v>169</v>
      </c>
      <c r="X439" s="39" t="n">
        <v>46307</v>
      </c>
      <c r="Y439" s="15"/>
      <c r="Z439" s="40"/>
      <c r="AA439" s="41" t="str">
        <f aca="false">IF(ISNUMBER(Z439),(DATE(2026,10,13)-Z439)/365,"")</f>
        <v/>
      </c>
      <c r="AB439" s="37"/>
      <c r="AC439" s="15"/>
      <c r="AD439" s="15"/>
      <c r="AE439" s="15"/>
      <c r="AF439" s="42"/>
      <c r="AG439" s="42"/>
      <c r="AH439" s="15"/>
      <c r="AI439" s="37"/>
      <c r="AJ439" s="37"/>
      <c r="AK439" s="15" t="s">
        <v>878</v>
      </c>
      <c r="AL439" s="43" t="n">
        <v>0</v>
      </c>
      <c r="AM439" s="43" t="n">
        <v>0</v>
      </c>
      <c r="AN439" s="25" t="str">
        <f aca="false">IF(AND(ISNUMBER(AM439),ISNUMBER(AL439),AL439&gt;=5),AM439/AL439,"")</f>
        <v/>
      </c>
      <c r="AO439" s="43" t="n">
        <v>0</v>
      </c>
      <c r="AP439" s="43" t="n">
        <v>0</v>
      </c>
      <c r="AQ439" s="25" t="str">
        <f aca="false">IF(AND(ISNUMBER(AP439),ISNUMBER(AO439),AO439&gt;=5),AP439/AO439,"")</f>
        <v/>
      </c>
      <c r="AR439" s="43" t="n">
        <v>0</v>
      </c>
      <c r="AS439" s="43" t="n">
        <v>0</v>
      </c>
      <c r="AT439" s="22" t="str">
        <f aca="false">IF(AND(ISNUMBER(AS439),ISNUMBER(AR439),AR439&gt;0),AS439/AR439-1,"")</f>
        <v/>
      </c>
      <c r="AU439" s="44"/>
      <c r="AV439" s="44"/>
      <c r="AW439" s="44"/>
      <c r="AX439" s="44"/>
      <c r="AY439" s="44"/>
      <c r="AZ439" s="45"/>
      <c r="BA439" s="45"/>
      <c r="BB439" s="46"/>
      <c r="BC439" s="46"/>
      <c r="BD439" s="23" t="str">
        <f aca="false">IF(AND(ISNUMBER(BB439),ISNUMBER(BC439),BB439&gt;0),1-BC439/BB439,"")</f>
        <v/>
      </c>
      <c r="BE439" s="47"/>
      <c r="BF439" s="48"/>
      <c r="BG439" s="48"/>
      <c r="BH439" s="27" t="str">
        <f aca="false">IF(AND(ISNUMBER(BF439),ISNUMBER(BG439),BG439&gt;0),BF439/BG439,"")</f>
        <v/>
      </c>
      <c r="BI439" s="48"/>
      <c r="BJ439" s="44"/>
      <c r="BK439" s="46"/>
      <c r="BL439" s="46"/>
      <c r="BM439" s="36" t="str">
        <f aca="false">IF(ISNUMBER(Q439),IF(Q439&lt;0,"YES","no"),"")</f>
        <v>YES</v>
      </c>
      <c r="BN439" s="36" t="str">
        <f aca="false">IFERROR(IF(AND(ISNUMBER(K439),ISNUMBER(INDEX('Lift Inputs'!$H:$H,MATCH(C439,'Lift Inputs'!$C:$C,0)))),IF(K439&lt;INDEX('Lift Inputs'!$H:$H,MATCH(C439,'Lift Inputs'!$C:$C,0)),"YES","no"),""),"")</f>
        <v/>
      </c>
      <c r="BO439" s="44"/>
    </row>
    <row r="440" customFormat="false" ht="15" hidden="false" customHeight="false" outlineLevel="0" collapsed="false">
      <c r="A440" s="15" t="s">
        <v>110</v>
      </c>
      <c r="B440" s="15" t="s">
        <v>121</v>
      </c>
      <c r="C440" s="15" t="n">
        <v>76</v>
      </c>
      <c r="D440" s="15" t="s">
        <v>221</v>
      </c>
      <c r="E440" s="15" t="n">
        <v>495</v>
      </c>
      <c r="F440" s="15" t="s">
        <v>307</v>
      </c>
      <c r="G440" s="15" t="s">
        <v>308</v>
      </c>
      <c r="H440" s="15" t="s">
        <v>309</v>
      </c>
      <c r="I440" s="15" t="s">
        <v>310</v>
      </c>
      <c r="J440" s="15"/>
      <c r="K440" s="35" t="n">
        <v>62.99</v>
      </c>
      <c r="L440" s="35" t="n">
        <v>69.99</v>
      </c>
      <c r="M440" s="23" t="n">
        <f aca="false">IF(AND(ISNUMBER(L440),ISNUMBER(K440),K440&gt;0),L440/K440-1,"")</f>
        <v>0.111128750595332</v>
      </c>
      <c r="N440" s="36" t="str">
        <f aca="false">IF(M440="","No List Price",IF(M440&lt;=0,"At/below price",IF(M440&lt;=0.12,"&lt;=12% (STR zone)",IF(M440&lt;=0.25,"12-25%","&gt;25% (likely ignored)"))))</f>
        <v>&lt;=12% (STR zone)</v>
      </c>
      <c r="O440" s="15" t="s">
        <v>311</v>
      </c>
      <c r="P440" s="35"/>
      <c r="Q440" s="22" t="str">
        <f aca="false">IF(AND(ISNUMBER(K440),ISNUMBER(P440),N(P440)&gt;0),K440/P440-1,"")</f>
        <v/>
      </c>
      <c r="R440" s="15"/>
      <c r="S440" s="37" t="n">
        <v>256</v>
      </c>
      <c r="T440" s="37" t="n">
        <v>809</v>
      </c>
      <c r="U440" s="38" t="n">
        <f aca="false">IF(AND(ISNUMBER(K440),ISNUMBER(T440)),K440*T440*52/12,"")</f>
        <v>220821.943333333</v>
      </c>
      <c r="V440" s="15" t="n">
        <v>4.4</v>
      </c>
      <c r="W440" s="37" t="n">
        <v>65061</v>
      </c>
      <c r="X440" s="39" t="n">
        <v>46307</v>
      </c>
      <c r="Y440" s="15" t="n">
        <v>131</v>
      </c>
      <c r="Z440" s="40" t="n">
        <v>43348</v>
      </c>
      <c r="AA440" s="41" t="n">
        <f aca="false">IF(ISNUMBER(Z440),(DATE(2026,10,13)-Z440)/365,"")</f>
        <v>8.10958904109589</v>
      </c>
      <c r="AB440" s="37" t="n">
        <v>45362</v>
      </c>
      <c r="AC440" s="15" t="s">
        <v>313</v>
      </c>
      <c r="AD440" s="15" t="n">
        <v>2</v>
      </c>
      <c r="AE440" s="15" t="s">
        <v>314</v>
      </c>
      <c r="AF440" s="42" t="n">
        <v>0.0164948453608247</v>
      </c>
      <c r="AG440" s="42" t="n">
        <v>0.00101190492103934</v>
      </c>
      <c r="AH440" s="15" t="n">
        <v>343</v>
      </c>
      <c r="AI440" s="37" t="n">
        <v>2166046</v>
      </c>
      <c r="AJ440" s="37" t="n">
        <v>6935</v>
      </c>
      <c r="AK440" s="15" t="s">
        <v>315</v>
      </c>
      <c r="AL440" s="43" t="n">
        <v>924.6</v>
      </c>
      <c r="AM440" s="43" t="n">
        <v>986.2</v>
      </c>
      <c r="AN440" s="25" t="n">
        <f aca="false">IF(AND(ISNUMBER(AM440),ISNUMBER(AL440),AL440&gt;=5),AM440/AL440,"")</f>
        <v>1.06662340471555</v>
      </c>
      <c r="AO440" s="43" t="n">
        <v>371.8</v>
      </c>
      <c r="AP440" s="43" t="n">
        <v>574.2</v>
      </c>
      <c r="AQ440" s="25" t="n">
        <f aca="false">IF(AND(ISNUMBER(AP440),ISNUMBER(AO440),AO440&gt;=5),AP440/AO440,"")</f>
        <v>1.54437869822485</v>
      </c>
      <c r="AR440" s="43" t="n">
        <v>832.8</v>
      </c>
      <c r="AS440" s="43" t="n">
        <v>785.1</v>
      </c>
      <c r="AT440" s="22" t="n">
        <f aca="false">IF(AND(ISNUMBER(AS440),ISNUMBER(AR440),AR440&gt;0),AS440/AR440-1,"")</f>
        <v>-0.0572766570605187</v>
      </c>
      <c r="AU440" s="44"/>
      <c r="AV440" s="44"/>
      <c r="AW440" s="44"/>
      <c r="AX440" s="44"/>
      <c r="AY440" s="44"/>
      <c r="AZ440" s="45"/>
      <c r="BA440" s="45"/>
      <c r="BB440" s="46"/>
      <c r="BC440" s="46"/>
      <c r="BD440" s="23" t="str">
        <f aca="false">IF(AND(ISNUMBER(BB440),ISNUMBER(BC440),BB440&gt;0),1-BC440/BB440,"")</f>
        <v/>
      </c>
      <c r="BE440" s="47"/>
      <c r="BF440" s="48"/>
      <c r="BG440" s="48"/>
      <c r="BH440" s="27" t="str">
        <f aca="false">IF(AND(ISNUMBER(BF440),ISNUMBER(BG440),BG440&gt;0),BF440/BG440,"")</f>
        <v/>
      </c>
      <c r="BI440" s="48"/>
      <c r="BJ440" s="44"/>
      <c r="BK440" s="46"/>
      <c r="BL440" s="46"/>
      <c r="BM440" s="36" t="str">
        <f aca="false">IF(ISNUMBER(Q440),IF(Q440&lt;0,"YES","no"),"")</f>
        <v/>
      </c>
      <c r="BN440" s="36" t="str">
        <f aca="false">IFERROR(IF(AND(ISNUMBER(K440),ISNUMBER(INDEX('Lift Inputs'!$H:$H,MATCH(C440,'Lift Inputs'!$C:$C,0)))),IF(K440&lt;INDEX('Lift Inputs'!$H:$H,MATCH(C440,'Lift Inputs'!$C:$C,0)),"YES","no"),""),"")</f>
        <v/>
      </c>
      <c r="BO440" s="44"/>
    </row>
    <row r="441" customFormat="false" ht="15" hidden="false" customHeight="false" outlineLevel="0" collapsed="false">
      <c r="A441" s="15" t="s">
        <v>110</v>
      </c>
      <c r="B441" s="15" t="s">
        <v>121</v>
      </c>
      <c r="C441" s="15" t="n">
        <v>76</v>
      </c>
      <c r="D441" s="15" t="s">
        <v>221</v>
      </c>
      <c r="E441" s="15" t="n">
        <v>1811</v>
      </c>
      <c r="F441" s="15" t="s">
        <v>516</v>
      </c>
      <c r="G441" s="15" t="s">
        <v>853</v>
      </c>
      <c r="H441" s="15" t="s">
        <v>854</v>
      </c>
      <c r="I441" s="15" t="s">
        <v>384</v>
      </c>
      <c r="J441" s="15"/>
      <c r="K441" s="35" t="n">
        <v>224.25</v>
      </c>
      <c r="L441" s="35" t="n">
        <v>299</v>
      </c>
      <c r="M441" s="23" t="n">
        <f aca="false">IF(AND(ISNUMBER(L441),ISNUMBER(K441),K441&gt;0),L441/K441-1,"")</f>
        <v>0.333333333333333</v>
      </c>
      <c r="N441" s="36" t="str">
        <f aca="false">IF(M441="","No List Price",IF(M441&lt;=0,"At/below price",IF(M441&lt;=0.12,"&lt;=12% (STR zone)",IF(M441&lt;=0.25,"12-25%","&gt;25% (likely ignored)"))))</f>
        <v>&gt;25% (likely ignored)</v>
      </c>
      <c r="O441" s="15"/>
      <c r="P441" s="35"/>
      <c r="Q441" s="22" t="str">
        <f aca="false">IF(AND(ISNUMBER(K441),ISNUMBER(P441),N(P441)&gt;0),K441/P441-1,"")</f>
        <v/>
      </c>
      <c r="R441" s="15"/>
      <c r="S441" s="37" t="n">
        <v>5255</v>
      </c>
      <c r="T441" s="37" t="n">
        <v>81</v>
      </c>
      <c r="U441" s="38" t="n">
        <f aca="false">IF(AND(ISNUMBER(K441),ISNUMBER(T441)),K441*T441*52/12,"")</f>
        <v>78711.75</v>
      </c>
      <c r="V441" s="15" t="n">
        <v>4.3</v>
      </c>
      <c r="W441" s="37" t="n">
        <v>1149</v>
      </c>
      <c r="X441" s="39" t="n">
        <v>46307</v>
      </c>
      <c r="Y441" s="15"/>
      <c r="Z441" s="40"/>
      <c r="AA441" s="41" t="str">
        <f aca="false">IF(ISNUMBER(Z441),(DATE(2026,10,13)-Z441)/365,"")</f>
        <v/>
      </c>
      <c r="AB441" s="37"/>
      <c r="AC441" s="15"/>
      <c r="AD441" s="15"/>
      <c r="AE441" s="15"/>
      <c r="AF441" s="42"/>
      <c r="AG441" s="42"/>
      <c r="AH441" s="15"/>
      <c r="AI441" s="37" t="n">
        <v>522593</v>
      </c>
      <c r="AJ441" s="37" t="n">
        <v>7281</v>
      </c>
      <c r="AK441" s="15"/>
      <c r="AL441" s="43"/>
      <c r="AM441" s="43"/>
      <c r="AN441" s="25" t="str">
        <f aca="false">IF(AND(ISNUMBER(AM441),ISNUMBER(AL441),AL441&gt;=5),AM441/AL441,"")</f>
        <v/>
      </c>
      <c r="AO441" s="43"/>
      <c r="AP441" s="43"/>
      <c r="AQ441" s="25" t="str">
        <f aca="false">IF(AND(ISNUMBER(AP441),ISNUMBER(AO441),AO441&gt;=5),AP441/AO441,"")</f>
        <v/>
      </c>
      <c r="AR441" s="43"/>
      <c r="AS441" s="43"/>
      <c r="AT441" s="22" t="str">
        <f aca="false">IF(AND(ISNUMBER(AS441),ISNUMBER(AR441),AR441&gt;0),AS441/AR441-1,"")</f>
        <v/>
      </c>
      <c r="AU441" s="44"/>
      <c r="AV441" s="44"/>
      <c r="AW441" s="44"/>
      <c r="AX441" s="44"/>
      <c r="AY441" s="44"/>
      <c r="AZ441" s="45"/>
      <c r="BA441" s="45"/>
      <c r="BB441" s="46"/>
      <c r="BC441" s="46"/>
      <c r="BD441" s="23" t="str">
        <f aca="false">IF(AND(ISNUMBER(BB441),ISNUMBER(BC441),BB441&gt;0),1-BC441/BB441,"")</f>
        <v/>
      </c>
      <c r="BE441" s="47"/>
      <c r="BF441" s="48"/>
      <c r="BG441" s="48"/>
      <c r="BH441" s="27" t="str">
        <f aca="false">IF(AND(ISNUMBER(BF441),ISNUMBER(BG441),BG441&gt;0),BF441/BG441,"")</f>
        <v/>
      </c>
      <c r="BI441" s="48"/>
      <c r="BJ441" s="44"/>
      <c r="BK441" s="46"/>
      <c r="BL441" s="46"/>
      <c r="BM441" s="36" t="str">
        <f aca="false">IF(ISNUMBER(Q441),IF(Q441&lt;0,"YES","no"),"")</f>
        <v/>
      </c>
      <c r="BN441" s="36" t="str">
        <f aca="false">IFERROR(IF(AND(ISNUMBER(K441),ISNUMBER(INDEX('Lift Inputs'!$H:$H,MATCH(C441,'Lift Inputs'!$C:$C,0)))),IF(K441&lt;INDEX('Lift Inputs'!$H:$H,MATCH(C441,'Lift Inputs'!$C:$C,0)),"YES","no"),""),"")</f>
        <v/>
      </c>
      <c r="BO441" s="44"/>
    </row>
    <row r="442" customFormat="false" ht="15" hidden="false" customHeight="false" outlineLevel="0" collapsed="false">
      <c r="A442" s="15" t="s">
        <v>110</v>
      </c>
      <c r="B442" s="15" t="s">
        <v>121</v>
      </c>
      <c r="C442" s="15" t="n">
        <v>76</v>
      </c>
      <c r="D442" s="15" t="s">
        <v>221</v>
      </c>
      <c r="E442" s="15" t="n">
        <v>1498</v>
      </c>
      <c r="F442" s="15" t="s">
        <v>855</v>
      </c>
      <c r="G442" s="15" t="s">
        <v>856</v>
      </c>
      <c r="H442" s="15" t="s">
        <v>857</v>
      </c>
      <c r="I442" s="15" t="s">
        <v>384</v>
      </c>
      <c r="J442" s="15"/>
      <c r="K442" s="35" t="n">
        <v>149.99</v>
      </c>
      <c r="L442" s="35" t="n">
        <v>179.99</v>
      </c>
      <c r="M442" s="23" t="n">
        <f aca="false">IF(AND(ISNUMBER(L442),ISNUMBER(K442),K442&gt;0),L442/K442-1,"")</f>
        <v>0.200013334222281</v>
      </c>
      <c r="N442" s="36" t="str">
        <f aca="false">IF(M442="","No List Price",IF(M442&lt;=0,"At/below price",IF(M442&lt;=0.12,"&lt;=12% (STR zone)",IF(M442&lt;=0.25,"12-25%","&gt;25% (likely ignored)"))))</f>
        <v>12-25%</v>
      </c>
      <c r="O442" s="15"/>
      <c r="P442" s="35"/>
      <c r="Q442" s="22" t="str">
        <f aca="false">IF(AND(ISNUMBER(K442),ISNUMBER(P442),N(P442)&gt;0),K442/P442-1,"")</f>
        <v/>
      </c>
      <c r="R442" s="15"/>
      <c r="S442" s="37" t="n">
        <v>49910</v>
      </c>
      <c r="T442" s="37" t="n">
        <v>35</v>
      </c>
      <c r="U442" s="38" t="n">
        <f aca="false">IF(AND(ISNUMBER(K442),ISNUMBER(T442)),K442*T442*52/12,"")</f>
        <v>22748.4833333333</v>
      </c>
      <c r="V442" s="15" t="n">
        <v>4.2</v>
      </c>
      <c r="W442" s="37" t="n">
        <v>595</v>
      </c>
      <c r="X442" s="39" t="n">
        <v>46307</v>
      </c>
      <c r="Y442" s="15"/>
      <c r="Z442" s="40"/>
      <c r="AA442" s="41" t="str">
        <f aca="false">IF(ISNUMBER(Z442),(DATE(2026,10,13)-Z442)/365,"")</f>
        <v/>
      </c>
      <c r="AB442" s="37"/>
      <c r="AC442" s="15"/>
      <c r="AD442" s="15"/>
      <c r="AE442" s="15"/>
      <c r="AF442" s="42"/>
      <c r="AG442" s="42"/>
      <c r="AH442" s="15"/>
      <c r="AI442" s="37" t="n">
        <v>107224</v>
      </c>
      <c r="AJ442" s="37" t="n">
        <v>1884</v>
      </c>
      <c r="AK442" s="15" t="s">
        <v>326</v>
      </c>
      <c r="AL442" s="43" t="n">
        <v>151.6</v>
      </c>
      <c r="AM442" s="43" t="n">
        <v>218.8</v>
      </c>
      <c r="AN442" s="25" t="n">
        <f aca="false">IF(AND(ISNUMBER(AM442),ISNUMBER(AL442),AL442&gt;=5),AM442/AL442,"")</f>
        <v>1.44327176781003</v>
      </c>
      <c r="AO442" s="43" t="n">
        <v>222.7</v>
      </c>
      <c r="AP442" s="43" t="n">
        <v>166</v>
      </c>
      <c r="AQ442" s="25" t="n">
        <f aca="false">IF(AND(ISNUMBER(AP442),ISNUMBER(AO442),AO442&gt;=5),AP442/AO442,"")</f>
        <v>0.745397395599461</v>
      </c>
      <c r="AR442" s="43" t="n">
        <v>114.2</v>
      </c>
      <c r="AS442" s="43" t="n">
        <v>141.4</v>
      </c>
      <c r="AT442" s="22" t="n">
        <f aca="false">IF(AND(ISNUMBER(AS442),ISNUMBER(AR442),AR442&gt;0),AS442/AR442-1,"")</f>
        <v>0.238178633975482</v>
      </c>
      <c r="AU442" s="44"/>
      <c r="AV442" s="44"/>
      <c r="AW442" s="44"/>
      <c r="AX442" s="44"/>
      <c r="AY442" s="44"/>
      <c r="AZ442" s="45"/>
      <c r="BA442" s="45"/>
      <c r="BB442" s="46"/>
      <c r="BC442" s="46"/>
      <c r="BD442" s="23" t="str">
        <f aca="false">IF(AND(ISNUMBER(BB442),ISNUMBER(BC442),BB442&gt;0),1-BC442/BB442,"")</f>
        <v/>
      </c>
      <c r="BE442" s="47"/>
      <c r="BF442" s="48"/>
      <c r="BG442" s="48"/>
      <c r="BH442" s="27" t="str">
        <f aca="false">IF(AND(ISNUMBER(BF442),ISNUMBER(BG442),BG442&gt;0),BF442/BG442,"")</f>
        <v/>
      </c>
      <c r="BI442" s="48"/>
      <c r="BJ442" s="44"/>
      <c r="BK442" s="46"/>
      <c r="BL442" s="46"/>
      <c r="BM442" s="36" t="str">
        <f aca="false">IF(ISNUMBER(Q442),IF(Q442&lt;0,"YES","no"),"")</f>
        <v/>
      </c>
      <c r="BN442" s="36" t="str">
        <f aca="false">IFERROR(IF(AND(ISNUMBER(K442),ISNUMBER(INDEX('Lift Inputs'!$H:$H,MATCH(C442,'Lift Inputs'!$C:$C,0)))),IF(K442&lt;INDEX('Lift Inputs'!$H:$H,MATCH(C442,'Lift Inputs'!$C:$C,0)),"YES","no"),""),"")</f>
        <v/>
      </c>
      <c r="BO442" s="44"/>
    </row>
    <row r="443" customFormat="false" ht="15" hidden="false" customHeight="false" outlineLevel="0" collapsed="false">
      <c r="A443" s="15" t="s">
        <v>110</v>
      </c>
      <c r="B443" s="15" t="s">
        <v>121</v>
      </c>
      <c r="C443" s="15" t="n">
        <v>76</v>
      </c>
      <c r="D443" s="15" t="s">
        <v>221</v>
      </c>
      <c r="E443" s="15" t="n">
        <v>46</v>
      </c>
      <c r="F443" s="15" t="s">
        <v>307</v>
      </c>
      <c r="G443" s="15" t="s">
        <v>862</v>
      </c>
      <c r="H443" s="15" t="s">
        <v>863</v>
      </c>
      <c r="I443" s="15" t="s">
        <v>384</v>
      </c>
      <c r="J443" s="15"/>
      <c r="K443" s="35" t="n">
        <v>149.99</v>
      </c>
      <c r="L443" s="35"/>
      <c r="M443" s="23" t="str">
        <f aca="false">IF(AND(ISNUMBER(L443),ISNUMBER(K443),K443&gt;0),L443/K443-1,"")</f>
        <v/>
      </c>
      <c r="N443" s="36" t="str">
        <f aca="false">IF(M443="","No List Price",IF(M443&lt;=0,"At/below price",IF(M443&lt;=0.12,"&lt;=12% (STR zone)",IF(M443&lt;=0.25,"12-25%","&gt;25% (likely ignored)"))))</f>
        <v>No List Price</v>
      </c>
      <c r="O443" s="15"/>
      <c r="P443" s="35"/>
      <c r="Q443" s="22" t="str">
        <f aca="false">IF(AND(ISNUMBER(K443),ISNUMBER(P443),N(P443)&gt;0),K443/P443-1,"")</f>
        <v/>
      </c>
      <c r="R443" s="15"/>
      <c r="S443" s="37" t="n">
        <v>463922</v>
      </c>
      <c r="T443" s="37" t="n">
        <v>5</v>
      </c>
      <c r="U443" s="38" t="n">
        <f aca="false">IF(AND(ISNUMBER(K443),ISNUMBER(T443)),K443*T443*52/12,"")</f>
        <v>3249.78333333333</v>
      </c>
      <c r="V443" s="15" t="n">
        <v>4.2</v>
      </c>
      <c r="W443" s="37" t="n">
        <v>512</v>
      </c>
      <c r="X443" s="39" t="n">
        <v>46307</v>
      </c>
      <c r="Y443" s="15"/>
      <c r="Z443" s="40"/>
      <c r="AA443" s="41" t="str">
        <f aca="false">IF(ISNUMBER(Z443),(DATE(2026,10,13)-Z443)/365,"")</f>
        <v/>
      </c>
      <c r="AB443" s="37"/>
      <c r="AC443" s="15"/>
      <c r="AD443" s="15"/>
      <c r="AE443" s="15"/>
      <c r="AF443" s="42"/>
      <c r="AG443" s="42"/>
      <c r="AH443" s="15"/>
      <c r="AI443" s="37" t="n">
        <v>170</v>
      </c>
      <c r="AJ443" s="37" t="n">
        <v>22</v>
      </c>
      <c r="AK443" s="15"/>
      <c r="AL443" s="43"/>
      <c r="AM443" s="43"/>
      <c r="AN443" s="25" t="str">
        <f aca="false">IF(AND(ISNUMBER(AM443),ISNUMBER(AL443),AL443&gt;=5),AM443/AL443,"")</f>
        <v/>
      </c>
      <c r="AO443" s="43"/>
      <c r="AP443" s="43"/>
      <c r="AQ443" s="25" t="str">
        <f aca="false">IF(AND(ISNUMBER(AP443),ISNUMBER(AO443),AO443&gt;=5),AP443/AO443,"")</f>
        <v/>
      </c>
      <c r="AR443" s="43"/>
      <c r="AS443" s="43"/>
      <c r="AT443" s="22" t="str">
        <f aca="false">IF(AND(ISNUMBER(AS443),ISNUMBER(AR443),AR443&gt;0),AS443/AR443-1,"")</f>
        <v/>
      </c>
      <c r="AU443" s="44"/>
      <c r="AV443" s="44"/>
      <c r="AW443" s="44"/>
      <c r="AX443" s="44"/>
      <c r="AY443" s="44"/>
      <c r="AZ443" s="45"/>
      <c r="BA443" s="45"/>
      <c r="BB443" s="46"/>
      <c r="BC443" s="46"/>
      <c r="BD443" s="23" t="str">
        <f aca="false">IF(AND(ISNUMBER(BB443),ISNUMBER(BC443),BB443&gt;0),1-BC443/BB443,"")</f>
        <v/>
      </c>
      <c r="BE443" s="47"/>
      <c r="BF443" s="48"/>
      <c r="BG443" s="48"/>
      <c r="BH443" s="27" t="str">
        <f aca="false">IF(AND(ISNUMBER(BF443),ISNUMBER(BG443),BG443&gt;0),BF443/BG443,"")</f>
        <v/>
      </c>
      <c r="BI443" s="48"/>
      <c r="BJ443" s="44"/>
      <c r="BK443" s="46"/>
      <c r="BL443" s="46"/>
      <c r="BM443" s="36" t="str">
        <f aca="false">IF(ISNUMBER(Q443),IF(Q443&lt;0,"YES","no"),"")</f>
        <v/>
      </c>
      <c r="BN443" s="36" t="str">
        <f aca="false">IFERROR(IF(AND(ISNUMBER(K443),ISNUMBER(INDEX('Lift Inputs'!$H:$H,MATCH(C443,'Lift Inputs'!$C:$C,0)))),IF(K443&lt;INDEX('Lift Inputs'!$H:$H,MATCH(C443,'Lift Inputs'!$C:$C,0)),"YES","no"),""),"")</f>
        <v/>
      </c>
      <c r="BO443" s="44"/>
    </row>
    <row r="444" customFormat="false" ht="15" hidden="false" customHeight="false" outlineLevel="0" collapsed="false">
      <c r="A444" s="15" t="s">
        <v>110</v>
      </c>
      <c r="B444" s="15" t="s">
        <v>121</v>
      </c>
      <c r="C444" s="15" t="n">
        <v>76</v>
      </c>
      <c r="D444" s="15" t="s">
        <v>221</v>
      </c>
      <c r="E444" s="15" t="n">
        <v>1501</v>
      </c>
      <c r="F444" s="15" t="s">
        <v>864</v>
      </c>
      <c r="G444" s="15" t="s">
        <v>865</v>
      </c>
      <c r="H444" s="15" t="s">
        <v>865</v>
      </c>
      <c r="I444" s="15" t="s">
        <v>384</v>
      </c>
      <c r="J444" s="15"/>
      <c r="K444" s="35" t="n">
        <v>139.99</v>
      </c>
      <c r="L444" s="35"/>
      <c r="M444" s="23" t="str">
        <f aca="false">IF(AND(ISNUMBER(L444),ISNUMBER(K444),K444&gt;0),L444/K444-1,"")</f>
        <v/>
      </c>
      <c r="N444" s="36" t="str">
        <f aca="false">IF(M444="","No List Price",IF(M444&lt;=0,"At/below price",IF(M444&lt;=0.12,"&lt;=12% (STR zone)",IF(M444&lt;=0.25,"12-25%","&gt;25% (likely ignored)"))))</f>
        <v>No List Price</v>
      </c>
      <c r="O444" s="15"/>
      <c r="P444" s="35"/>
      <c r="Q444" s="22" t="str">
        <f aca="false">IF(AND(ISNUMBER(K444),ISNUMBER(P444),N(P444)&gt;0),K444/P444-1,"")</f>
        <v/>
      </c>
      <c r="R444" s="15"/>
      <c r="S444" s="37" t="n">
        <v>2798999</v>
      </c>
      <c r="T444" s="37" t="n">
        <v>5</v>
      </c>
      <c r="U444" s="38" t="n">
        <f aca="false">IF(AND(ISNUMBER(K444),ISNUMBER(T444)),K444*T444*52/12,"")</f>
        <v>3033.11666666667</v>
      </c>
      <c r="V444" s="15" t="n">
        <v>4.2</v>
      </c>
      <c r="W444" s="37" t="n">
        <v>6</v>
      </c>
      <c r="X444" s="39" t="n">
        <v>46279</v>
      </c>
      <c r="Y444" s="15"/>
      <c r="Z444" s="40"/>
      <c r="AA444" s="41" t="str">
        <f aca="false">IF(ISNUMBER(Z444),(DATE(2026,10,13)-Z444)/365,"")</f>
        <v/>
      </c>
      <c r="AB444" s="37"/>
      <c r="AC444" s="15"/>
      <c r="AD444" s="15"/>
      <c r="AE444" s="15"/>
      <c r="AF444" s="42"/>
      <c r="AG444" s="42"/>
      <c r="AH444" s="15"/>
      <c r="AI444" s="37"/>
      <c r="AJ444" s="37"/>
      <c r="AK444" s="15" t="s">
        <v>326</v>
      </c>
      <c r="AL444" s="43" t="n">
        <v>0</v>
      </c>
      <c r="AM444" s="43" t="n">
        <v>0</v>
      </c>
      <c r="AN444" s="25" t="str">
        <f aca="false">IF(AND(ISNUMBER(AM444),ISNUMBER(AL444),AL444&gt;=5),AM444/AL444,"")</f>
        <v/>
      </c>
      <c r="AO444" s="43" t="n">
        <v>0</v>
      </c>
      <c r="AP444" s="43" t="n">
        <v>0</v>
      </c>
      <c r="AQ444" s="25" t="str">
        <f aca="false">IF(AND(ISNUMBER(AP444),ISNUMBER(AO444),AO444&gt;=5),AP444/AO444,"")</f>
        <v/>
      </c>
      <c r="AR444" s="43" t="n">
        <v>0.3</v>
      </c>
      <c r="AS444" s="43" t="n">
        <v>0</v>
      </c>
      <c r="AT444" s="22" t="n">
        <f aca="false">IF(AND(ISNUMBER(AS444),ISNUMBER(AR444),AR444&gt;0),AS444/AR444-1,"")</f>
        <v>-1</v>
      </c>
      <c r="AU444" s="44"/>
      <c r="AV444" s="44"/>
      <c r="AW444" s="44"/>
      <c r="AX444" s="44"/>
      <c r="AY444" s="44"/>
      <c r="AZ444" s="45"/>
      <c r="BA444" s="45"/>
      <c r="BB444" s="46"/>
      <c r="BC444" s="46"/>
      <c r="BD444" s="23" t="str">
        <f aca="false">IF(AND(ISNUMBER(BB444),ISNUMBER(BC444),BB444&gt;0),1-BC444/BB444,"")</f>
        <v/>
      </c>
      <c r="BE444" s="47"/>
      <c r="BF444" s="48"/>
      <c r="BG444" s="48"/>
      <c r="BH444" s="27" t="str">
        <f aca="false">IF(AND(ISNUMBER(BF444),ISNUMBER(BG444),BG444&gt;0),BF444/BG444,"")</f>
        <v/>
      </c>
      <c r="BI444" s="48"/>
      <c r="BJ444" s="44"/>
      <c r="BK444" s="46"/>
      <c r="BL444" s="46"/>
      <c r="BM444" s="36" t="str">
        <f aca="false">IF(ISNUMBER(Q444),IF(Q444&lt;0,"YES","no"),"")</f>
        <v/>
      </c>
      <c r="BN444" s="36" t="str">
        <f aca="false">IFERROR(IF(AND(ISNUMBER(K444),ISNUMBER(INDEX('Lift Inputs'!$H:$H,MATCH(C444,'Lift Inputs'!$C:$C,0)))),IF(K444&lt;INDEX('Lift Inputs'!$H:$H,MATCH(C444,'Lift Inputs'!$C:$C,0)),"YES","no"),""),"")</f>
        <v/>
      </c>
      <c r="BO444" s="44"/>
    </row>
    <row r="445" customFormat="false" ht="15" hidden="false" customHeight="false" outlineLevel="0" collapsed="false">
      <c r="A445" s="15" t="s">
        <v>110</v>
      </c>
      <c r="B445" s="15" t="s">
        <v>121</v>
      </c>
      <c r="C445" s="15" t="n">
        <v>76</v>
      </c>
      <c r="D445" s="15" t="s">
        <v>221</v>
      </c>
      <c r="E445" s="15" t="n">
        <v>1812</v>
      </c>
      <c r="F445" s="15" t="s">
        <v>870</v>
      </c>
      <c r="G445" s="15" t="s">
        <v>871</v>
      </c>
      <c r="H445" s="15" t="s">
        <v>872</v>
      </c>
      <c r="I445" s="15" t="s">
        <v>384</v>
      </c>
      <c r="J445" s="15"/>
      <c r="K445" s="35" t="n">
        <v>42.99</v>
      </c>
      <c r="L445" s="35" t="n">
        <v>59.99</v>
      </c>
      <c r="M445" s="23" t="n">
        <f aca="false">IF(AND(ISNUMBER(L445),ISNUMBER(K445),K445&gt;0),L445/K445-1,"")</f>
        <v>0.39544080018609</v>
      </c>
      <c r="N445" s="36" t="str">
        <f aca="false">IF(M445="","No List Price",IF(M445&lt;=0,"At/below price",IF(M445&lt;=0.12,"&lt;=12% (STR zone)",IF(M445&lt;=0.25,"12-25%","&gt;25% (likely ignored)"))))</f>
        <v>&gt;25% (likely ignored)</v>
      </c>
      <c r="O445" s="15"/>
      <c r="P445" s="35"/>
      <c r="Q445" s="22" t="str">
        <f aca="false">IF(AND(ISNUMBER(K445),ISNUMBER(P445),N(P445)&gt;0),K445/P445-1,"")</f>
        <v/>
      </c>
      <c r="R445" s="15"/>
      <c r="S445" s="37" t="n">
        <v>115669</v>
      </c>
      <c r="T445" s="37" t="n">
        <v>5</v>
      </c>
      <c r="U445" s="38" t="n">
        <f aca="false">IF(AND(ISNUMBER(K445),ISNUMBER(T445)),K445*T445*52/12,"")</f>
        <v>931.45</v>
      </c>
      <c r="V445" s="15" t="n">
        <v>4.7</v>
      </c>
      <c r="W445" s="37" t="n">
        <v>4</v>
      </c>
      <c r="X445" s="39" t="n">
        <v>46307</v>
      </c>
      <c r="Y445" s="15"/>
      <c r="Z445" s="40"/>
      <c r="AA445" s="41" t="str">
        <f aca="false">IF(ISNUMBER(Z445),(DATE(2026,10,13)-Z445)/365,"")</f>
        <v/>
      </c>
      <c r="AB445" s="37"/>
      <c r="AC445" s="15"/>
      <c r="AD445" s="15"/>
      <c r="AE445" s="15"/>
      <c r="AF445" s="42"/>
      <c r="AG445" s="42"/>
      <c r="AH445" s="15"/>
      <c r="AI445" s="37" t="n">
        <v>13712</v>
      </c>
      <c r="AJ445" s="37" t="n">
        <v>332</v>
      </c>
      <c r="AK445" s="15"/>
      <c r="AL445" s="43"/>
      <c r="AM445" s="43"/>
      <c r="AN445" s="25" t="str">
        <f aca="false">IF(AND(ISNUMBER(AM445),ISNUMBER(AL445),AL445&gt;=5),AM445/AL445,"")</f>
        <v/>
      </c>
      <c r="AO445" s="43"/>
      <c r="AP445" s="43"/>
      <c r="AQ445" s="25" t="str">
        <f aca="false">IF(AND(ISNUMBER(AP445),ISNUMBER(AO445),AO445&gt;=5),AP445/AO445,"")</f>
        <v/>
      </c>
      <c r="AR445" s="43"/>
      <c r="AS445" s="43"/>
      <c r="AT445" s="22" t="str">
        <f aca="false">IF(AND(ISNUMBER(AS445),ISNUMBER(AR445),AR445&gt;0),AS445/AR445-1,"")</f>
        <v/>
      </c>
      <c r="AU445" s="44"/>
      <c r="AV445" s="44"/>
      <c r="AW445" s="44"/>
      <c r="AX445" s="44"/>
      <c r="AY445" s="44"/>
      <c r="AZ445" s="45"/>
      <c r="BA445" s="45"/>
      <c r="BB445" s="46"/>
      <c r="BC445" s="46"/>
      <c r="BD445" s="23" t="str">
        <f aca="false">IF(AND(ISNUMBER(BB445),ISNUMBER(BC445),BB445&gt;0),1-BC445/BB445,"")</f>
        <v/>
      </c>
      <c r="BE445" s="47"/>
      <c r="BF445" s="48"/>
      <c r="BG445" s="48"/>
      <c r="BH445" s="27" t="str">
        <f aca="false">IF(AND(ISNUMBER(BF445),ISNUMBER(BG445),BG445&gt;0),BF445/BG445,"")</f>
        <v/>
      </c>
      <c r="BI445" s="48"/>
      <c r="BJ445" s="44"/>
      <c r="BK445" s="46"/>
      <c r="BL445" s="46"/>
      <c r="BM445" s="36" t="str">
        <f aca="false">IF(ISNUMBER(Q445),IF(Q445&lt;0,"YES","no"),"")</f>
        <v/>
      </c>
      <c r="BN445" s="36" t="str">
        <f aca="false">IFERROR(IF(AND(ISNUMBER(K445),ISNUMBER(INDEX('Lift Inputs'!$H:$H,MATCH(C445,'Lift Inputs'!$C:$C,0)))),IF(K445&lt;INDEX('Lift Inputs'!$H:$H,MATCH(C445,'Lift Inputs'!$C:$C,0)),"YES","no"),""),"")</f>
        <v/>
      </c>
      <c r="BO445" s="44"/>
    </row>
    <row r="446" customFormat="false" ht="15" hidden="false" customHeight="false" outlineLevel="0" collapsed="false">
      <c r="A446" s="15" t="s">
        <v>110</v>
      </c>
      <c r="B446" s="15" t="s">
        <v>121</v>
      </c>
      <c r="C446" s="15" t="n">
        <v>76</v>
      </c>
      <c r="D446" s="15" t="s">
        <v>221</v>
      </c>
      <c r="E446" s="15" t="n">
        <v>1644</v>
      </c>
      <c r="F446" s="15" t="s">
        <v>875</v>
      </c>
      <c r="G446" s="15" t="s">
        <v>876</v>
      </c>
      <c r="H446" s="15" t="s">
        <v>877</v>
      </c>
      <c r="I446" s="15" t="s">
        <v>384</v>
      </c>
      <c r="J446" s="15"/>
      <c r="K446" s="35" t="n">
        <v>24.99</v>
      </c>
      <c r="L446" s="35"/>
      <c r="M446" s="23" t="str">
        <f aca="false">IF(AND(ISNUMBER(L446),ISNUMBER(K446),K446&gt;0),L446/K446-1,"")</f>
        <v/>
      </c>
      <c r="N446" s="36" t="str">
        <f aca="false">IF(M446="","No List Price",IF(M446&lt;=0,"At/below price",IF(M446&lt;=0.12,"&lt;=12% (STR zone)",IF(M446&lt;=0.25,"12-25%","&gt;25% (likely ignored)"))))</f>
        <v>No List Price</v>
      </c>
      <c r="O446" s="15"/>
      <c r="P446" s="35"/>
      <c r="Q446" s="22" t="str">
        <f aca="false">IF(AND(ISNUMBER(K446),ISNUMBER(P446),N(P446)&gt;0),K446/P446-1,"")</f>
        <v/>
      </c>
      <c r="R446" s="15"/>
      <c r="S446" s="37" t="n">
        <v>758020</v>
      </c>
      <c r="T446" s="37"/>
      <c r="U446" s="38" t="str">
        <f aca="false">IF(AND(ISNUMBER(K446),ISNUMBER(T446)),K446*T446*52/12,"")</f>
        <v/>
      </c>
      <c r="V446" s="15" t="n">
        <v>4.3</v>
      </c>
      <c r="W446" s="37" t="n">
        <v>169</v>
      </c>
      <c r="X446" s="39" t="n">
        <v>46307</v>
      </c>
      <c r="Y446" s="15"/>
      <c r="Z446" s="40"/>
      <c r="AA446" s="41" t="str">
        <f aca="false">IF(ISNUMBER(Z446),(DATE(2026,10,13)-Z446)/365,"")</f>
        <v/>
      </c>
      <c r="AB446" s="37"/>
      <c r="AC446" s="15"/>
      <c r="AD446" s="15"/>
      <c r="AE446" s="15"/>
      <c r="AF446" s="42"/>
      <c r="AG446" s="42"/>
      <c r="AH446" s="15"/>
      <c r="AI446" s="37"/>
      <c r="AJ446" s="37"/>
      <c r="AK446" s="15" t="s">
        <v>878</v>
      </c>
      <c r="AL446" s="43" t="n">
        <v>0</v>
      </c>
      <c r="AM446" s="43" t="n">
        <v>0</v>
      </c>
      <c r="AN446" s="25" t="str">
        <f aca="false">IF(AND(ISNUMBER(AM446),ISNUMBER(AL446),AL446&gt;=5),AM446/AL446,"")</f>
        <v/>
      </c>
      <c r="AO446" s="43" t="n">
        <v>0</v>
      </c>
      <c r="AP446" s="43" t="n">
        <v>0</v>
      </c>
      <c r="AQ446" s="25" t="str">
        <f aca="false">IF(AND(ISNUMBER(AP446),ISNUMBER(AO446),AO446&gt;=5),AP446/AO446,"")</f>
        <v/>
      </c>
      <c r="AR446" s="43" t="n">
        <v>0</v>
      </c>
      <c r="AS446" s="43" t="n">
        <v>0</v>
      </c>
      <c r="AT446" s="22" t="str">
        <f aca="false">IF(AND(ISNUMBER(AS446),ISNUMBER(AR446),AR446&gt;0),AS446/AR446-1,"")</f>
        <v/>
      </c>
      <c r="AU446" s="44"/>
      <c r="AV446" s="44"/>
      <c r="AW446" s="44"/>
      <c r="AX446" s="44"/>
      <c r="AY446" s="44"/>
      <c r="AZ446" s="45"/>
      <c r="BA446" s="45"/>
      <c r="BB446" s="46"/>
      <c r="BC446" s="46"/>
      <c r="BD446" s="23" t="str">
        <f aca="false">IF(AND(ISNUMBER(BB446),ISNUMBER(BC446),BB446&gt;0),1-BC446/BB446,"")</f>
        <v/>
      </c>
      <c r="BE446" s="47"/>
      <c r="BF446" s="48"/>
      <c r="BG446" s="48"/>
      <c r="BH446" s="27" t="str">
        <f aca="false">IF(AND(ISNUMBER(BF446),ISNUMBER(BG446),BG446&gt;0),BF446/BG446,"")</f>
        <v/>
      </c>
      <c r="BI446" s="48"/>
      <c r="BJ446" s="44"/>
      <c r="BK446" s="46"/>
      <c r="BL446" s="46"/>
      <c r="BM446" s="36" t="str">
        <f aca="false">IF(ISNUMBER(Q446),IF(Q446&lt;0,"YES","no"),"")</f>
        <v/>
      </c>
      <c r="BN446" s="36" t="str">
        <f aca="false">IFERROR(IF(AND(ISNUMBER(K446),ISNUMBER(INDEX('Lift Inputs'!$H:$H,MATCH(C446,'Lift Inputs'!$C:$C,0)))),IF(K446&lt;INDEX('Lift Inputs'!$H:$H,MATCH(C446,'Lift Inputs'!$C:$C,0)),"YES","no"),""),"")</f>
        <v/>
      </c>
      <c r="BO446" s="44"/>
    </row>
    <row r="447" customFormat="false" ht="15" hidden="false" customHeight="false" outlineLevel="0" collapsed="false">
      <c r="A447" s="15" t="s">
        <v>110</v>
      </c>
      <c r="B447" s="15" t="s">
        <v>124</v>
      </c>
      <c r="C447" s="15" t="n">
        <v>69</v>
      </c>
      <c r="D447" s="15" t="s">
        <v>205</v>
      </c>
      <c r="E447" s="15" t="n">
        <v>1174</v>
      </c>
      <c r="F447" s="15" t="s">
        <v>893</v>
      </c>
      <c r="G447" s="15" t="s">
        <v>894</v>
      </c>
      <c r="H447" s="15" t="s">
        <v>895</v>
      </c>
      <c r="I447" s="15" t="s">
        <v>896</v>
      </c>
      <c r="J447" s="15"/>
      <c r="K447" s="35" t="n">
        <v>15.95</v>
      </c>
      <c r="L447" s="35"/>
      <c r="M447" s="23" t="str">
        <f aca="false">IF(AND(ISNUMBER(L447),ISNUMBER(K447),K447&gt;0),L447/K447-1,"")</f>
        <v/>
      </c>
      <c r="N447" s="36" t="str">
        <f aca="false">IF(M447="","No List Price",IF(M447&lt;=0,"At/below price",IF(M447&lt;=0.12,"&lt;=12% (STR zone)",IF(M447&lt;=0.25,"12-25%","&gt;25% (likely ignored)"))))</f>
        <v>No List Price</v>
      </c>
      <c r="O447" s="15"/>
      <c r="P447" s="35"/>
      <c r="Q447" s="22" t="str">
        <f aca="false">IF(AND(ISNUMBER(K447),ISNUMBER(P447),N(P447)&gt;0),K447/P447-1,"")</f>
        <v/>
      </c>
      <c r="R447" s="15"/>
      <c r="S447" s="37" t="n">
        <v>6671</v>
      </c>
      <c r="T447" s="37" t="n">
        <v>185</v>
      </c>
      <c r="U447" s="38" t="n">
        <f aca="false">IF(AND(ISNUMBER(K447),ISNUMBER(T447)),K447*T447*52/12,"")</f>
        <v>12786.5833333333</v>
      </c>
      <c r="V447" s="15" t="n">
        <v>4.2</v>
      </c>
      <c r="W447" s="37" t="n">
        <v>1336</v>
      </c>
      <c r="X447" s="39" t="n">
        <v>46307</v>
      </c>
      <c r="Y447" s="15"/>
      <c r="Z447" s="40"/>
      <c r="AA447" s="41" t="str">
        <f aca="false">IF(ISNUMBER(Z447),(DATE(2026,10,13)-Z447)/365,"")</f>
        <v/>
      </c>
      <c r="AB447" s="37"/>
      <c r="AC447" s="15"/>
      <c r="AD447" s="15"/>
      <c r="AE447" s="15"/>
      <c r="AF447" s="42"/>
      <c r="AG447" s="42"/>
      <c r="AH447" s="15"/>
      <c r="AI447" s="37"/>
      <c r="AJ447" s="37"/>
      <c r="AK447" s="15"/>
      <c r="AL447" s="43"/>
      <c r="AM447" s="43"/>
      <c r="AN447" s="25" t="str">
        <f aca="false">IF(AND(ISNUMBER(AM447),ISNUMBER(AL447),AL447&gt;=5),AM447/AL447,"")</f>
        <v/>
      </c>
      <c r="AO447" s="43"/>
      <c r="AP447" s="43"/>
      <c r="AQ447" s="25" t="str">
        <f aca="false">IF(AND(ISNUMBER(AP447),ISNUMBER(AO447),AO447&gt;=5),AP447/AO447,"")</f>
        <v/>
      </c>
      <c r="AR447" s="43"/>
      <c r="AS447" s="43"/>
      <c r="AT447" s="22" t="str">
        <f aca="false">IF(AND(ISNUMBER(AS447),ISNUMBER(AR447),AR447&gt;0),AS447/AR447-1,"")</f>
        <v/>
      </c>
      <c r="AU447" s="44"/>
      <c r="AV447" s="44"/>
      <c r="AW447" s="44"/>
      <c r="AX447" s="44"/>
      <c r="AY447" s="44"/>
      <c r="AZ447" s="45"/>
      <c r="BA447" s="45"/>
      <c r="BB447" s="46"/>
      <c r="BC447" s="46"/>
      <c r="BD447" s="23" t="str">
        <f aca="false">IF(AND(ISNUMBER(BB447),ISNUMBER(BC447),BB447&gt;0),1-BC447/BB447,"")</f>
        <v/>
      </c>
      <c r="BE447" s="47"/>
      <c r="BF447" s="48"/>
      <c r="BG447" s="48"/>
      <c r="BH447" s="27" t="str">
        <f aca="false">IF(AND(ISNUMBER(BF447),ISNUMBER(BG447),BG447&gt;0),BF447/BG447,"")</f>
        <v/>
      </c>
      <c r="BI447" s="48"/>
      <c r="BJ447" s="44"/>
      <c r="BK447" s="46"/>
      <c r="BL447" s="46"/>
      <c r="BM447" s="36" t="str">
        <f aca="false">IF(ISNUMBER(Q447),IF(Q447&lt;0,"YES","no"),"")</f>
        <v/>
      </c>
      <c r="BN447" s="36" t="str">
        <f aca="false">IFERROR(IF(AND(ISNUMBER(K447),ISNUMBER(INDEX('Lift Inputs'!$H:$H,MATCH(C447,'Lift Inputs'!$C:$C,0)))),IF(K447&lt;INDEX('Lift Inputs'!$H:$H,MATCH(C447,'Lift Inputs'!$C:$C,0)),"YES","no"),""),"")</f>
        <v/>
      </c>
      <c r="BO447" s="44"/>
    </row>
    <row r="448" customFormat="false" ht="15" hidden="false" customHeight="false" outlineLevel="0" collapsed="false">
      <c r="A448" s="15" t="s">
        <v>110</v>
      </c>
      <c r="B448" s="15" t="s">
        <v>124</v>
      </c>
      <c r="C448" s="15" t="n">
        <v>69</v>
      </c>
      <c r="D448" s="15" t="s">
        <v>205</v>
      </c>
      <c r="E448" s="15" t="n">
        <v>1811</v>
      </c>
      <c r="F448" s="15" t="s">
        <v>516</v>
      </c>
      <c r="G448" s="15" t="s">
        <v>853</v>
      </c>
      <c r="H448" s="15" t="s">
        <v>854</v>
      </c>
      <c r="I448" s="15" t="s">
        <v>384</v>
      </c>
      <c r="J448" s="15"/>
      <c r="K448" s="35" t="n">
        <v>224.25</v>
      </c>
      <c r="L448" s="35" t="n">
        <v>299</v>
      </c>
      <c r="M448" s="23" t="n">
        <f aca="false">IF(AND(ISNUMBER(L448),ISNUMBER(K448),K448&gt;0),L448/K448-1,"")</f>
        <v>0.333333333333333</v>
      </c>
      <c r="N448" s="36" t="str">
        <f aca="false">IF(M448="","No List Price",IF(M448&lt;=0,"At/below price",IF(M448&lt;=0.12,"&lt;=12% (STR zone)",IF(M448&lt;=0.25,"12-25%","&gt;25% (likely ignored)"))))</f>
        <v>&gt;25% (likely ignored)</v>
      </c>
      <c r="O448" s="15"/>
      <c r="P448" s="35"/>
      <c r="Q448" s="22" t="str">
        <f aca="false">IF(AND(ISNUMBER(K448),ISNUMBER(P448),N(P448)&gt;0),K448/P448-1,"")</f>
        <v/>
      </c>
      <c r="R448" s="15"/>
      <c r="S448" s="37" t="n">
        <v>5255</v>
      </c>
      <c r="T448" s="37" t="n">
        <v>81</v>
      </c>
      <c r="U448" s="38" t="n">
        <f aca="false">IF(AND(ISNUMBER(K448),ISNUMBER(T448)),K448*T448*52/12,"")</f>
        <v>78711.75</v>
      </c>
      <c r="V448" s="15" t="n">
        <v>4.3</v>
      </c>
      <c r="W448" s="37" t="n">
        <v>1149</v>
      </c>
      <c r="X448" s="39" t="n">
        <v>46307</v>
      </c>
      <c r="Y448" s="15"/>
      <c r="Z448" s="40"/>
      <c r="AA448" s="41" t="str">
        <f aca="false">IF(ISNUMBER(Z448),(DATE(2026,10,13)-Z448)/365,"")</f>
        <v/>
      </c>
      <c r="AB448" s="37"/>
      <c r="AC448" s="15"/>
      <c r="AD448" s="15"/>
      <c r="AE448" s="15"/>
      <c r="AF448" s="42"/>
      <c r="AG448" s="42"/>
      <c r="AH448" s="15"/>
      <c r="AI448" s="37" t="n">
        <v>522593</v>
      </c>
      <c r="AJ448" s="37" t="n">
        <v>7281</v>
      </c>
      <c r="AK448" s="15"/>
      <c r="AL448" s="43"/>
      <c r="AM448" s="43"/>
      <c r="AN448" s="25" t="str">
        <f aca="false">IF(AND(ISNUMBER(AM448),ISNUMBER(AL448),AL448&gt;=5),AM448/AL448,"")</f>
        <v/>
      </c>
      <c r="AO448" s="43"/>
      <c r="AP448" s="43"/>
      <c r="AQ448" s="25" t="str">
        <f aca="false">IF(AND(ISNUMBER(AP448),ISNUMBER(AO448),AO448&gt;=5),AP448/AO448,"")</f>
        <v/>
      </c>
      <c r="AR448" s="43"/>
      <c r="AS448" s="43"/>
      <c r="AT448" s="22" t="str">
        <f aca="false">IF(AND(ISNUMBER(AS448),ISNUMBER(AR448),AR448&gt;0),AS448/AR448-1,"")</f>
        <v/>
      </c>
      <c r="AU448" s="44"/>
      <c r="AV448" s="44"/>
      <c r="AW448" s="44"/>
      <c r="AX448" s="44"/>
      <c r="AY448" s="44"/>
      <c r="AZ448" s="45"/>
      <c r="BA448" s="45"/>
      <c r="BB448" s="46"/>
      <c r="BC448" s="46"/>
      <c r="BD448" s="23" t="str">
        <f aca="false">IF(AND(ISNUMBER(BB448),ISNUMBER(BC448),BB448&gt;0),1-BC448/BB448,"")</f>
        <v/>
      </c>
      <c r="BE448" s="47"/>
      <c r="BF448" s="48"/>
      <c r="BG448" s="48"/>
      <c r="BH448" s="27" t="str">
        <f aca="false">IF(AND(ISNUMBER(BF448),ISNUMBER(BG448),BG448&gt;0),BF448/BG448,"")</f>
        <v/>
      </c>
      <c r="BI448" s="48"/>
      <c r="BJ448" s="44"/>
      <c r="BK448" s="46"/>
      <c r="BL448" s="46"/>
      <c r="BM448" s="36" t="str">
        <f aca="false">IF(ISNUMBER(Q448),IF(Q448&lt;0,"YES","no"),"")</f>
        <v/>
      </c>
      <c r="BN448" s="36" t="str">
        <f aca="false">IFERROR(IF(AND(ISNUMBER(K448),ISNUMBER(INDEX('Lift Inputs'!$H:$H,MATCH(C448,'Lift Inputs'!$C:$C,0)))),IF(K448&lt;INDEX('Lift Inputs'!$H:$H,MATCH(C448,'Lift Inputs'!$C:$C,0)),"YES","no"),""),"")</f>
        <v/>
      </c>
      <c r="BO448" s="44"/>
    </row>
    <row r="449" customFormat="false" ht="15" hidden="false" customHeight="false" outlineLevel="0" collapsed="false">
      <c r="A449" s="15" t="s">
        <v>110</v>
      </c>
      <c r="B449" s="15" t="s">
        <v>124</v>
      </c>
      <c r="C449" s="15" t="n">
        <v>69</v>
      </c>
      <c r="D449" s="15" t="s">
        <v>205</v>
      </c>
      <c r="E449" s="15" t="n">
        <v>1498</v>
      </c>
      <c r="F449" s="15" t="s">
        <v>855</v>
      </c>
      <c r="G449" s="15" t="s">
        <v>856</v>
      </c>
      <c r="H449" s="15" t="s">
        <v>857</v>
      </c>
      <c r="I449" s="15" t="s">
        <v>384</v>
      </c>
      <c r="J449" s="15"/>
      <c r="K449" s="35" t="n">
        <v>149.99</v>
      </c>
      <c r="L449" s="35" t="n">
        <v>179.99</v>
      </c>
      <c r="M449" s="23" t="n">
        <f aca="false">IF(AND(ISNUMBER(L449),ISNUMBER(K449),K449&gt;0),L449/K449-1,"")</f>
        <v>0.200013334222281</v>
      </c>
      <c r="N449" s="36" t="str">
        <f aca="false">IF(M449="","No List Price",IF(M449&lt;=0,"At/below price",IF(M449&lt;=0.12,"&lt;=12% (STR zone)",IF(M449&lt;=0.25,"12-25%","&gt;25% (likely ignored)"))))</f>
        <v>12-25%</v>
      </c>
      <c r="O449" s="15"/>
      <c r="P449" s="35"/>
      <c r="Q449" s="22" t="str">
        <f aca="false">IF(AND(ISNUMBER(K449),ISNUMBER(P449),N(P449)&gt;0),K449/P449-1,"")</f>
        <v/>
      </c>
      <c r="R449" s="15"/>
      <c r="S449" s="37" t="n">
        <v>49910</v>
      </c>
      <c r="T449" s="37" t="n">
        <v>35</v>
      </c>
      <c r="U449" s="38" t="n">
        <f aca="false">IF(AND(ISNUMBER(K449),ISNUMBER(T449)),K449*T449*52/12,"")</f>
        <v>22748.4833333333</v>
      </c>
      <c r="V449" s="15" t="n">
        <v>4.2</v>
      </c>
      <c r="W449" s="37" t="n">
        <v>595</v>
      </c>
      <c r="X449" s="39" t="n">
        <v>46307</v>
      </c>
      <c r="Y449" s="15"/>
      <c r="Z449" s="40"/>
      <c r="AA449" s="41" t="str">
        <f aca="false">IF(ISNUMBER(Z449),(DATE(2026,10,13)-Z449)/365,"")</f>
        <v/>
      </c>
      <c r="AB449" s="37"/>
      <c r="AC449" s="15"/>
      <c r="AD449" s="15"/>
      <c r="AE449" s="15"/>
      <c r="AF449" s="42"/>
      <c r="AG449" s="42"/>
      <c r="AH449" s="15"/>
      <c r="AI449" s="37" t="n">
        <v>107224</v>
      </c>
      <c r="AJ449" s="37" t="n">
        <v>1884</v>
      </c>
      <c r="AK449" s="15" t="s">
        <v>326</v>
      </c>
      <c r="AL449" s="43" t="n">
        <v>151.6</v>
      </c>
      <c r="AM449" s="43" t="n">
        <v>218.8</v>
      </c>
      <c r="AN449" s="25" t="n">
        <f aca="false">IF(AND(ISNUMBER(AM449),ISNUMBER(AL449),AL449&gt;=5),AM449/AL449,"")</f>
        <v>1.44327176781003</v>
      </c>
      <c r="AO449" s="43" t="n">
        <v>222.7</v>
      </c>
      <c r="AP449" s="43" t="n">
        <v>166</v>
      </c>
      <c r="AQ449" s="25" t="n">
        <f aca="false">IF(AND(ISNUMBER(AP449),ISNUMBER(AO449),AO449&gt;=5),AP449/AO449,"")</f>
        <v>0.745397395599461</v>
      </c>
      <c r="AR449" s="43" t="n">
        <v>114.2</v>
      </c>
      <c r="AS449" s="43" t="n">
        <v>141.4</v>
      </c>
      <c r="AT449" s="22" t="n">
        <f aca="false">IF(AND(ISNUMBER(AS449),ISNUMBER(AR449),AR449&gt;0),AS449/AR449-1,"")</f>
        <v>0.238178633975482</v>
      </c>
      <c r="AU449" s="44"/>
      <c r="AV449" s="44"/>
      <c r="AW449" s="44"/>
      <c r="AX449" s="44"/>
      <c r="AY449" s="44"/>
      <c r="AZ449" s="45"/>
      <c r="BA449" s="45"/>
      <c r="BB449" s="46"/>
      <c r="BC449" s="46"/>
      <c r="BD449" s="23" t="str">
        <f aca="false">IF(AND(ISNUMBER(BB449),ISNUMBER(BC449),BB449&gt;0),1-BC449/BB449,"")</f>
        <v/>
      </c>
      <c r="BE449" s="47"/>
      <c r="BF449" s="48"/>
      <c r="BG449" s="48"/>
      <c r="BH449" s="27" t="str">
        <f aca="false">IF(AND(ISNUMBER(BF449),ISNUMBER(BG449),BG449&gt;0),BF449/BG449,"")</f>
        <v/>
      </c>
      <c r="BI449" s="48"/>
      <c r="BJ449" s="44"/>
      <c r="BK449" s="46"/>
      <c r="BL449" s="46"/>
      <c r="BM449" s="36" t="str">
        <f aca="false">IF(ISNUMBER(Q449),IF(Q449&lt;0,"YES","no"),"")</f>
        <v/>
      </c>
      <c r="BN449" s="36" t="str">
        <f aca="false">IFERROR(IF(AND(ISNUMBER(K449),ISNUMBER(INDEX('Lift Inputs'!$H:$H,MATCH(C449,'Lift Inputs'!$C:$C,0)))),IF(K449&lt;INDEX('Lift Inputs'!$H:$H,MATCH(C449,'Lift Inputs'!$C:$C,0)),"YES","no"),""),"")</f>
        <v/>
      </c>
      <c r="BO449" s="44"/>
    </row>
    <row r="450" customFormat="false" ht="15" hidden="false" customHeight="false" outlineLevel="0" collapsed="false">
      <c r="A450" s="15" t="s">
        <v>110</v>
      </c>
      <c r="B450" s="15" t="s">
        <v>124</v>
      </c>
      <c r="C450" s="15" t="n">
        <v>69</v>
      </c>
      <c r="D450" s="15" t="s">
        <v>205</v>
      </c>
      <c r="E450" s="15" t="n">
        <v>529</v>
      </c>
      <c r="F450" s="15" t="s">
        <v>897</v>
      </c>
      <c r="G450" s="15" t="s">
        <v>898</v>
      </c>
      <c r="H450" s="15" t="s">
        <v>899</v>
      </c>
      <c r="I450" s="15" t="s">
        <v>900</v>
      </c>
      <c r="J450" s="15"/>
      <c r="K450" s="35" t="n">
        <v>24.99</v>
      </c>
      <c r="L450" s="35" t="n">
        <v>29.99</v>
      </c>
      <c r="M450" s="23" t="n">
        <f aca="false">IF(AND(ISNUMBER(L450),ISNUMBER(K450),K450&gt;0),L450/K450-1,"")</f>
        <v>0.200080032012805</v>
      </c>
      <c r="N450" s="36" t="str">
        <f aca="false">IF(M450="","No List Price",IF(M450&lt;=0,"At/below price",IF(M450&lt;=0.12,"&lt;=12% (STR zone)",IF(M450&lt;=0.25,"12-25%","&gt;25% (likely ignored)"))))</f>
        <v>12-25%</v>
      </c>
      <c r="O450" s="15" t="s">
        <v>311</v>
      </c>
      <c r="P450" s="35"/>
      <c r="Q450" s="22" t="str">
        <f aca="false">IF(AND(ISNUMBER(K450),ISNUMBER(P450),N(P450)&gt;0),K450/P450-1,"")</f>
        <v/>
      </c>
      <c r="R450" s="15"/>
      <c r="S450" s="37" t="n">
        <v>39599</v>
      </c>
      <c r="T450" s="37" t="n">
        <v>35</v>
      </c>
      <c r="U450" s="38" t="n">
        <f aca="false">IF(AND(ISNUMBER(K450),ISNUMBER(T450)),K450*T450*52/12,"")</f>
        <v>3790.15</v>
      </c>
      <c r="V450" s="15" t="n">
        <v>4.1</v>
      </c>
      <c r="W450" s="37" t="n">
        <v>7328</v>
      </c>
      <c r="X450" s="39" t="n">
        <v>46307</v>
      </c>
      <c r="Y450" s="15" t="n">
        <v>31</v>
      </c>
      <c r="Z450" s="40" t="n">
        <v>44267</v>
      </c>
      <c r="AA450" s="41" t="n">
        <f aca="false">IF(ISNUMBER(Z450),(DATE(2026,10,13)-Z450)/365,"")</f>
        <v>5.59178082191781</v>
      </c>
      <c r="AB450" s="37" t="n">
        <v>1112</v>
      </c>
      <c r="AC450" s="15" t="s">
        <v>313</v>
      </c>
      <c r="AD450" s="15" t="n">
        <v>1</v>
      </c>
      <c r="AE450" s="15" t="s">
        <v>314</v>
      </c>
      <c r="AF450" s="42" t="n">
        <v>0</v>
      </c>
      <c r="AG450" s="42" t="n">
        <v>0</v>
      </c>
      <c r="AH450" s="15" t="n">
        <v>113</v>
      </c>
      <c r="AI450" s="37"/>
      <c r="AJ450" s="37"/>
      <c r="AK450" s="15"/>
      <c r="AL450" s="43"/>
      <c r="AM450" s="43"/>
      <c r="AN450" s="25" t="str">
        <f aca="false">IF(AND(ISNUMBER(AM450),ISNUMBER(AL450),AL450&gt;=5),AM450/AL450,"")</f>
        <v/>
      </c>
      <c r="AO450" s="43"/>
      <c r="AP450" s="43"/>
      <c r="AQ450" s="25" t="str">
        <f aca="false">IF(AND(ISNUMBER(AP450),ISNUMBER(AO450),AO450&gt;=5),AP450/AO450,"")</f>
        <v/>
      </c>
      <c r="AR450" s="43"/>
      <c r="AS450" s="43"/>
      <c r="AT450" s="22" t="str">
        <f aca="false">IF(AND(ISNUMBER(AS450),ISNUMBER(AR450),AR450&gt;0),AS450/AR450-1,"")</f>
        <v/>
      </c>
      <c r="AU450" s="44"/>
      <c r="AV450" s="44"/>
      <c r="AW450" s="44"/>
      <c r="AX450" s="44"/>
      <c r="AY450" s="44"/>
      <c r="AZ450" s="45"/>
      <c r="BA450" s="45"/>
      <c r="BB450" s="46"/>
      <c r="BC450" s="46"/>
      <c r="BD450" s="23" t="str">
        <f aca="false">IF(AND(ISNUMBER(BB450),ISNUMBER(BC450),BB450&gt;0),1-BC450/BB450,"")</f>
        <v/>
      </c>
      <c r="BE450" s="47"/>
      <c r="BF450" s="48"/>
      <c r="BG450" s="48"/>
      <c r="BH450" s="27" t="str">
        <f aca="false">IF(AND(ISNUMBER(BF450),ISNUMBER(BG450),BG450&gt;0),BF450/BG450,"")</f>
        <v/>
      </c>
      <c r="BI450" s="48"/>
      <c r="BJ450" s="44"/>
      <c r="BK450" s="46"/>
      <c r="BL450" s="46"/>
      <c r="BM450" s="36" t="str">
        <f aca="false">IF(ISNUMBER(Q450),IF(Q450&lt;0,"YES","no"),"")</f>
        <v/>
      </c>
      <c r="BN450" s="36" t="str">
        <f aca="false">IFERROR(IF(AND(ISNUMBER(K450),ISNUMBER(INDEX('Lift Inputs'!$H:$H,MATCH(C450,'Lift Inputs'!$C:$C,0)))),IF(K450&lt;INDEX('Lift Inputs'!$H:$H,MATCH(C450,'Lift Inputs'!$C:$C,0)),"YES","no"),""),"")</f>
        <v/>
      </c>
      <c r="BO450" s="44"/>
    </row>
    <row r="451" customFormat="false" ht="15" hidden="false" customHeight="false" outlineLevel="0" collapsed="false">
      <c r="A451" s="15" t="s">
        <v>110</v>
      </c>
      <c r="B451" s="15" t="s">
        <v>124</v>
      </c>
      <c r="C451" s="15" t="n">
        <v>69</v>
      </c>
      <c r="D451" s="15" t="s">
        <v>205</v>
      </c>
      <c r="E451" s="15" t="n">
        <v>49</v>
      </c>
      <c r="F451" s="15" t="s">
        <v>516</v>
      </c>
      <c r="G451" s="15" t="s">
        <v>858</v>
      </c>
      <c r="H451" s="15" t="s">
        <v>859</v>
      </c>
      <c r="I451" s="15" t="s">
        <v>860</v>
      </c>
      <c r="J451" s="15"/>
      <c r="K451" s="35" t="n">
        <v>164.25</v>
      </c>
      <c r="L451" s="35" t="n">
        <v>219</v>
      </c>
      <c r="M451" s="23" t="n">
        <f aca="false">IF(AND(ISNUMBER(L451),ISNUMBER(K451),K451&gt;0),L451/K451-1,"")</f>
        <v>0.333333333333333</v>
      </c>
      <c r="N451" s="36" t="str">
        <f aca="false">IF(M451="","No List Price",IF(M451&lt;=0,"At/below price",IF(M451&lt;=0.12,"&lt;=12% (STR zone)",IF(M451&lt;=0.25,"12-25%","&gt;25% (likely ignored)"))))</f>
        <v>&gt;25% (likely ignored)</v>
      </c>
      <c r="O451" s="15"/>
      <c r="P451" s="35"/>
      <c r="Q451" s="22" t="str">
        <f aca="false">IF(AND(ISNUMBER(K451),ISNUMBER(P451),N(P451)&gt;0),K451/P451-1,"")</f>
        <v/>
      </c>
      <c r="R451" s="15"/>
      <c r="S451" s="37" t="n">
        <v>5255</v>
      </c>
      <c r="T451" s="37" t="n">
        <v>35</v>
      </c>
      <c r="U451" s="38" t="n">
        <f aca="false">IF(AND(ISNUMBER(K451),ISNUMBER(T451)),K451*T451*52/12,"")</f>
        <v>24911.25</v>
      </c>
      <c r="V451" s="15" t="n">
        <v>4.3</v>
      </c>
      <c r="W451" s="37" t="n">
        <v>1149</v>
      </c>
      <c r="X451" s="39" t="n">
        <v>46307</v>
      </c>
      <c r="Y451" s="15"/>
      <c r="Z451" s="40"/>
      <c r="AA451" s="41" t="str">
        <f aca="false">IF(ISNUMBER(Z451),(DATE(2026,10,13)-Z451)/365,"")</f>
        <v/>
      </c>
      <c r="AB451" s="37"/>
      <c r="AC451" s="15"/>
      <c r="AD451" s="15"/>
      <c r="AE451" s="15"/>
      <c r="AF451" s="42"/>
      <c r="AG451" s="42"/>
      <c r="AH451" s="15"/>
      <c r="AI451" s="37"/>
      <c r="AJ451" s="37"/>
      <c r="AK451" s="15"/>
      <c r="AL451" s="43"/>
      <c r="AM451" s="43"/>
      <c r="AN451" s="25" t="str">
        <f aca="false">IF(AND(ISNUMBER(AM451),ISNUMBER(AL451),AL451&gt;=5),AM451/AL451,"")</f>
        <v/>
      </c>
      <c r="AO451" s="43"/>
      <c r="AP451" s="43"/>
      <c r="AQ451" s="25" t="str">
        <f aca="false">IF(AND(ISNUMBER(AP451),ISNUMBER(AO451),AO451&gt;=5),AP451/AO451,"")</f>
        <v/>
      </c>
      <c r="AR451" s="43"/>
      <c r="AS451" s="43"/>
      <c r="AT451" s="22" t="str">
        <f aca="false">IF(AND(ISNUMBER(AS451),ISNUMBER(AR451),AR451&gt;0),AS451/AR451-1,"")</f>
        <v/>
      </c>
      <c r="AU451" s="44"/>
      <c r="AV451" s="44"/>
      <c r="AW451" s="44"/>
      <c r="AX451" s="44"/>
      <c r="AY451" s="44"/>
      <c r="AZ451" s="45"/>
      <c r="BA451" s="45"/>
      <c r="BB451" s="46"/>
      <c r="BC451" s="46"/>
      <c r="BD451" s="23" t="str">
        <f aca="false">IF(AND(ISNUMBER(BB451),ISNUMBER(BC451),BB451&gt;0),1-BC451/BB451,"")</f>
        <v/>
      </c>
      <c r="BE451" s="47"/>
      <c r="BF451" s="48"/>
      <c r="BG451" s="48"/>
      <c r="BH451" s="27" t="str">
        <f aca="false">IF(AND(ISNUMBER(BF451),ISNUMBER(BG451),BG451&gt;0),BF451/BG451,"")</f>
        <v/>
      </c>
      <c r="BI451" s="48"/>
      <c r="BJ451" s="44"/>
      <c r="BK451" s="46"/>
      <c r="BL451" s="46"/>
      <c r="BM451" s="36" t="str">
        <f aca="false">IF(ISNUMBER(Q451),IF(Q451&lt;0,"YES","no"),"")</f>
        <v/>
      </c>
      <c r="BN451" s="36" t="str">
        <f aca="false">IFERROR(IF(AND(ISNUMBER(K451),ISNUMBER(INDEX('Lift Inputs'!$H:$H,MATCH(C451,'Lift Inputs'!$C:$C,0)))),IF(K451&lt;INDEX('Lift Inputs'!$H:$H,MATCH(C451,'Lift Inputs'!$C:$C,0)),"YES","no"),""),"")</f>
        <v/>
      </c>
      <c r="BO451" s="44"/>
    </row>
    <row r="452" customFormat="false" ht="15" hidden="false" customHeight="false" outlineLevel="0" collapsed="false">
      <c r="A452" s="15" t="s">
        <v>110</v>
      </c>
      <c r="B452" s="15" t="s">
        <v>124</v>
      </c>
      <c r="C452" s="15" t="n">
        <v>69</v>
      </c>
      <c r="D452" s="15" t="s">
        <v>205</v>
      </c>
      <c r="E452" s="15" t="n">
        <v>46</v>
      </c>
      <c r="F452" s="15" t="s">
        <v>307</v>
      </c>
      <c r="G452" s="15" t="s">
        <v>862</v>
      </c>
      <c r="H452" s="15" t="s">
        <v>863</v>
      </c>
      <c r="I452" s="15" t="s">
        <v>384</v>
      </c>
      <c r="J452" s="15"/>
      <c r="K452" s="35" t="n">
        <v>149.99</v>
      </c>
      <c r="L452" s="35"/>
      <c r="M452" s="23" t="str">
        <f aca="false">IF(AND(ISNUMBER(L452),ISNUMBER(K452),K452&gt;0),L452/K452-1,"")</f>
        <v/>
      </c>
      <c r="N452" s="36" t="str">
        <f aca="false">IF(M452="","No List Price",IF(M452&lt;=0,"At/below price",IF(M452&lt;=0.12,"&lt;=12% (STR zone)",IF(M452&lt;=0.25,"12-25%","&gt;25% (likely ignored)"))))</f>
        <v>No List Price</v>
      </c>
      <c r="O452" s="15"/>
      <c r="P452" s="35"/>
      <c r="Q452" s="22" t="str">
        <f aca="false">IF(AND(ISNUMBER(K452),ISNUMBER(P452),N(P452)&gt;0),K452/P452-1,"")</f>
        <v/>
      </c>
      <c r="R452" s="15"/>
      <c r="S452" s="37" t="n">
        <v>463922</v>
      </c>
      <c r="T452" s="37" t="n">
        <v>5</v>
      </c>
      <c r="U452" s="38" t="n">
        <f aca="false">IF(AND(ISNUMBER(K452),ISNUMBER(T452)),K452*T452*52/12,"")</f>
        <v>3249.78333333333</v>
      </c>
      <c r="V452" s="15" t="n">
        <v>4.2</v>
      </c>
      <c r="W452" s="37" t="n">
        <v>512</v>
      </c>
      <c r="X452" s="39" t="n">
        <v>46307</v>
      </c>
      <c r="Y452" s="15"/>
      <c r="Z452" s="40"/>
      <c r="AA452" s="41" t="str">
        <f aca="false">IF(ISNUMBER(Z452),(DATE(2026,10,13)-Z452)/365,"")</f>
        <v/>
      </c>
      <c r="AB452" s="37"/>
      <c r="AC452" s="15"/>
      <c r="AD452" s="15"/>
      <c r="AE452" s="15"/>
      <c r="AF452" s="42"/>
      <c r="AG452" s="42"/>
      <c r="AH452" s="15"/>
      <c r="AI452" s="37" t="n">
        <v>170</v>
      </c>
      <c r="AJ452" s="37" t="n">
        <v>22</v>
      </c>
      <c r="AK452" s="15"/>
      <c r="AL452" s="43"/>
      <c r="AM452" s="43"/>
      <c r="AN452" s="25" t="str">
        <f aca="false">IF(AND(ISNUMBER(AM452),ISNUMBER(AL452),AL452&gt;=5),AM452/AL452,"")</f>
        <v/>
      </c>
      <c r="AO452" s="43"/>
      <c r="AP452" s="43"/>
      <c r="AQ452" s="25" t="str">
        <f aca="false">IF(AND(ISNUMBER(AP452),ISNUMBER(AO452),AO452&gt;=5),AP452/AO452,"")</f>
        <v/>
      </c>
      <c r="AR452" s="43"/>
      <c r="AS452" s="43"/>
      <c r="AT452" s="22" t="str">
        <f aca="false">IF(AND(ISNUMBER(AS452),ISNUMBER(AR452),AR452&gt;0),AS452/AR452-1,"")</f>
        <v/>
      </c>
      <c r="AU452" s="44"/>
      <c r="AV452" s="44"/>
      <c r="AW452" s="44"/>
      <c r="AX452" s="44"/>
      <c r="AY452" s="44"/>
      <c r="AZ452" s="45"/>
      <c r="BA452" s="45"/>
      <c r="BB452" s="46"/>
      <c r="BC452" s="46"/>
      <c r="BD452" s="23" t="str">
        <f aca="false">IF(AND(ISNUMBER(BB452),ISNUMBER(BC452),BB452&gt;0),1-BC452/BB452,"")</f>
        <v/>
      </c>
      <c r="BE452" s="47"/>
      <c r="BF452" s="48"/>
      <c r="BG452" s="48"/>
      <c r="BH452" s="27" t="str">
        <f aca="false">IF(AND(ISNUMBER(BF452),ISNUMBER(BG452),BG452&gt;0),BF452/BG452,"")</f>
        <v/>
      </c>
      <c r="BI452" s="48"/>
      <c r="BJ452" s="44"/>
      <c r="BK452" s="46"/>
      <c r="BL452" s="46"/>
      <c r="BM452" s="36" t="str">
        <f aca="false">IF(ISNUMBER(Q452),IF(Q452&lt;0,"YES","no"),"")</f>
        <v/>
      </c>
      <c r="BN452" s="36" t="str">
        <f aca="false">IFERROR(IF(AND(ISNUMBER(K452),ISNUMBER(INDEX('Lift Inputs'!$H:$H,MATCH(C452,'Lift Inputs'!$C:$C,0)))),IF(K452&lt;INDEX('Lift Inputs'!$H:$H,MATCH(C452,'Lift Inputs'!$C:$C,0)),"YES","no"),""),"")</f>
        <v/>
      </c>
      <c r="BO452" s="44"/>
    </row>
    <row r="453" customFormat="false" ht="15" hidden="false" customHeight="false" outlineLevel="0" collapsed="false">
      <c r="A453" s="15" t="s">
        <v>110</v>
      </c>
      <c r="B453" s="15" t="s">
        <v>124</v>
      </c>
      <c r="C453" s="15" t="n">
        <v>69</v>
      </c>
      <c r="D453" s="15" t="s">
        <v>205</v>
      </c>
      <c r="E453" s="15" t="n">
        <v>10</v>
      </c>
      <c r="F453" s="15" t="s">
        <v>855</v>
      </c>
      <c r="G453" s="15" t="s">
        <v>901</v>
      </c>
      <c r="H453" s="15" t="s">
        <v>902</v>
      </c>
      <c r="I453" s="15" t="s">
        <v>903</v>
      </c>
      <c r="J453" s="15"/>
      <c r="K453" s="35" t="n">
        <v>179.99</v>
      </c>
      <c r="L453" s="35"/>
      <c r="M453" s="23" t="str">
        <f aca="false">IF(AND(ISNUMBER(L453),ISNUMBER(K453),K453&gt;0),L453/K453-1,"")</f>
        <v/>
      </c>
      <c r="N453" s="36" t="str">
        <f aca="false">IF(M453="","No List Price",IF(M453&lt;=0,"At/below price",IF(M453&lt;=0.12,"&lt;=12% (STR zone)",IF(M453&lt;=0.25,"12-25%","&gt;25% (likely ignored)"))))</f>
        <v>No List Price</v>
      </c>
      <c r="O453" s="15" t="s">
        <v>320</v>
      </c>
      <c r="P453" s="35"/>
      <c r="Q453" s="22" t="str">
        <f aca="false">IF(AND(ISNUMBER(K453),ISNUMBER(P453),N(P453)&gt;0),K453/P453-1,"")</f>
        <v/>
      </c>
      <c r="R453" s="15"/>
      <c r="S453" s="37" t="n">
        <v>422828</v>
      </c>
      <c r="T453" s="37" t="n">
        <v>5</v>
      </c>
      <c r="U453" s="38" t="n">
        <f aca="false">IF(AND(ISNUMBER(K453),ISNUMBER(T453)),K453*T453*52/12,"")</f>
        <v>3899.78333333333</v>
      </c>
      <c r="V453" s="15" t="n">
        <v>3.8</v>
      </c>
      <c r="W453" s="37" t="n">
        <v>73</v>
      </c>
      <c r="X453" s="39" t="n">
        <v>46307</v>
      </c>
      <c r="Y453" s="15"/>
      <c r="Z453" s="40"/>
      <c r="AA453" s="41" t="str">
        <f aca="false">IF(ISNUMBER(Z453),(DATE(2026,10,13)-Z453)/365,"")</f>
        <v/>
      </c>
      <c r="AB453" s="37"/>
      <c r="AC453" s="15"/>
      <c r="AD453" s="15"/>
      <c r="AE453" s="15"/>
      <c r="AF453" s="42"/>
      <c r="AG453" s="42"/>
      <c r="AH453" s="15"/>
      <c r="AI453" s="37"/>
      <c r="AJ453" s="37"/>
      <c r="AK453" s="15"/>
      <c r="AL453" s="43"/>
      <c r="AM453" s="43"/>
      <c r="AN453" s="25" t="str">
        <f aca="false">IF(AND(ISNUMBER(AM453),ISNUMBER(AL453),AL453&gt;=5),AM453/AL453,"")</f>
        <v/>
      </c>
      <c r="AO453" s="43"/>
      <c r="AP453" s="43"/>
      <c r="AQ453" s="25" t="str">
        <f aca="false">IF(AND(ISNUMBER(AP453),ISNUMBER(AO453),AO453&gt;=5),AP453/AO453,"")</f>
        <v/>
      </c>
      <c r="AR453" s="43"/>
      <c r="AS453" s="43"/>
      <c r="AT453" s="22" t="str">
        <f aca="false">IF(AND(ISNUMBER(AS453),ISNUMBER(AR453),AR453&gt;0),AS453/AR453-1,"")</f>
        <v/>
      </c>
      <c r="AU453" s="44"/>
      <c r="AV453" s="44"/>
      <c r="AW453" s="44"/>
      <c r="AX453" s="44"/>
      <c r="AY453" s="44"/>
      <c r="AZ453" s="45"/>
      <c r="BA453" s="45"/>
      <c r="BB453" s="46"/>
      <c r="BC453" s="46"/>
      <c r="BD453" s="23" t="str">
        <f aca="false">IF(AND(ISNUMBER(BB453),ISNUMBER(BC453),BB453&gt;0),1-BC453/BB453,"")</f>
        <v/>
      </c>
      <c r="BE453" s="47"/>
      <c r="BF453" s="48"/>
      <c r="BG453" s="48"/>
      <c r="BH453" s="27" t="str">
        <f aca="false">IF(AND(ISNUMBER(BF453),ISNUMBER(BG453),BG453&gt;0),BF453/BG453,"")</f>
        <v/>
      </c>
      <c r="BI453" s="48"/>
      <c r="BJ453" s="44"/>
      <c r="BK453" s="46"/>
      <c r="BL453" s="46"/>
      <c r="BM453" s="36" t="str">
        <f aca="false">IF(ISNUMBER(Q453),IF(Q453&lt;0,"YES","no"),"")</f>
        <v/>
      </c>
      <c r="BN453" s="36" t="str">
        <f aca="false">IFERROR(IF(AND(ISNUMBER(K453),ISNUMBER(INDEX('Lift Inputs'!$H:$H,MATCH(C453,'Lift Inputs'!$C:$C,0)))),IF(K453&lt;INDEX('Lift Inputs'!$H:$H,MATCH(C453,'Lift Inputs'!$C:$C,0)),"YES","no"),""),"")</f>
        <v/>
      </c>
      <c r="BO453" s="44"/>
    </row>
    <row r="454" customFormat="false" ht="15" hidden="false" customHeight="false" outlineLevel="0" collapsed="false">
      <c r="A454" s="15" t="s">
        <v>110</v>
      </c>
      <c r="B454" s="15" t="s">
        <v>124</v>
      </c>
      <c r="C454" s="15" t="n">
        <v>69</v>
      </c>
      <c r="D454" s="15" t="s">
        <v>205</v>
      </c>
      <c r="E454" s="15" t="n">
        <v>673</v>
      </c>
      <c r="F454" s="15" t="s">
        <v>855</v>
      </c>
      <c r="G454" s="15" t="s">
        <v>904</v>
      </c>
      <c r="H454" s="15" t="s">
        <v>905</v>
      </c>
      <c r="I454" s="15" t="s">
        <v>903</v>
      </c>
      <c r="J454" s="15"/>
      <c r="K454" s="35" t="n">
        <v>136</v>
      </c>
      <c r="L454" s="35"/>
      <c r="M454" s="23" t="str">
        <f aca="false">IF(AND(ISNUMBER(L454),ISNUMBER(K454),K454&gt;0),L454/K454-1,"")</f>
        <v/>
      </c>
      <c r="N454" s="36" t="str">
        <f aca="false">IF(M454="","No List Price",IF(M454&lt;=0,"At/below price",IF(M454&lt;=0.12,"&lt;=12% (STR zone)",IF(M454&lt;=0.25,"12-25%","&gt;25% (likely ignored)"))))</f>
        <v>No List Price</v>
      </c>
      <c r="O454" s="15" t="s">
        <v>320</v>
      </c>
      <c r="P454" s="35"/>
      <c r="Q454" s="22" t="str">
        <f aca="false">IF(AND(ISNUMBER(K454),ISNUMBER(P454),N(P454)&gt;0),K454/P454-1,"")</f>
        <v/>
      </c>
      <c r="R454" s="15"/>
      <c r="S454" s="37" t="n">
        <v>423704</v>
      </c>
      <c r="T454" s="37" t="n">
        <v>5</v>
      </c>
      <c r="U454" s="38" t="n">
        <f aca="false">IF(AND(ISNUMBER(K454),ISNUMBER(T454)),K454*T454*52/12,"")</f>
        <v>2946.66666666667</v>
      </c>
      <c r="V454" s="15" t="n">
        <v>3.8</v>
      </c>
      <c r="W454" s="37" t="n">
        <v>73</v>
      </c>
      <c r="X454" s="39" t="n">
        <v>46307</v>
      </c>
      <c r="Y454" s="15"/>
      <c r="Z454" s="40"/>
      <c r="AA454" s="41" t="str">
        <f aca="false">IF(ISNUMBER(Z454),(DATE(2026,10,13)-Z454)/365,"")</f>
        <v/>
      </c>
      <c r="AB454" s="37"/>
      <c r="AC454" s="15"/>
      <c r="AD454" s="15"/>
      <c r="AE454" s="15"/>
      <c r="AF454" s="42"/>
      <c r="AG454" s="42"/>
      <c r="AH454" s="15"/>
      <c r="AI454" s="37"/>
      <c r="AJ454" s="37"/>
      <c r="AK454" s="15"/>
      <c r="AL454" s="43"/>
      <c r="AM454" s="43"/>
      <c r="AN454" s="25" t="str">
        <f aca="false">IF(AND(ISNUMBER(AM454),ISNUMBER(AL454),AL454&gt;=5),AM454/AL454,"")</f>
        <v/>
      </c>
      <c r="AO454" s="43"/>
      <c r="AP454" s="43"/>
      <c r="AQ454" s="25" t="str">
        <f aca="false">IF(AND(ISNUMBER(AP454),ISNUMBER(AO454),AO454&gt;=5),AP454/AO454,"")</f>
        <v/>
      </c>
      <c r="AR454" s="43"/>
      <c r="AS454" s="43"/>
      <c r="AT454" s="22" t="str">
        <f aca="false">IF(AND(ISNUMBER(AS454),ISNUMBER(AR454),AR454&gt;0),AS454/AR454-1,"")</f>
        <v/>
      </c>
      <c r="AU454" s="44"/>
      <c r="AV454" s="44"/>
      <c r="AW454" s="44"/>
      <c r="AX454" s="44"/>
      <c r="AY454" s="44"/>
      <c r="AZ454" s="45"/>
      <c r="BA454" s="45"/>
      <c r="BB454" s="46"/>
      <c r="BC454" s="46"/>
      <c r="BD454" s="23" t="str">
        <f aca="false">IF(AND(ISNUMBER(BB454),ISNUMBER(BC454),BB454&gt;0),1-BC454/BB454,"")</f>
        <v/>
      </c>
      <c r="BE454" s="47"/>
      <c r="BF454" s="48"/>
      <c r="BG454" s="48"/>
      <c r="BH454" s="27" t="str">
        <f aca="false">IF(AND(ISNUMBER(BF454),ISNUMBER(BG454),BG454&gt;0),BF454/BG454,"")</f>
        <v/>
      </c>
      <c r="BI454" s="48"/>
      <c r="BJ454" s="44"/>
      <c r="BK454" s="46"/>
      <c r="BL454" s="46"/>
      <c r="BM454" s="36" t="str">
        <f aca="false">IF(ISNUMBER(Q454),IF(Q454&lt;0,"YES","no"),"")</f>
        <v/>
      </c>
      <c r="BN454" s="36" t="str">
        <f aca="false">IFERROR(IF(AND(ISNUMBER(K454),ISNUMBER(INDEX('Lift Inputs'!$H:$H,MATCH(C454,'Lift Inputs'!$C:$C,0)))),IF(K454&lt;INDEX('Lift Inputs'!$H:$H,MATCH(C454,'Lift Inputs'!$C:$C,0)),"YES","no"),""),"")</f>
        <v/>
      </c>
      <c r="BO454" s="44"/>
    </row>
    <row r="455" customFormat="false" ht="15" hidden="false" customHeight="false" outlineLevel="0" collapsed="false">
      <c r="A455" s="15" t="s">
        <v>110</v>
      </c>
      <c r="B455" s="15" t="s">
        <v>124</v>
      </c>
      <c r="C455" s="15" t="n">
        <v>69</v>
      </c>
      <c r="D455" s="15" t="s">
        <v>205</v>
      </c>
      <c r="E455" s="15" t="n">
        <v>1503</v>
      </c>
      <c r="F455" s="15" t="s">
        <v>885</v>
      </c>
      <c r="G455" s="15" t="s">
        <v>886</v>
      </c>
      <c r="H455" s="15" t="s">
        <v>887</v>
      </c>
      <c r="I455" s="15" t="s">
        <v>535</v>
      </c>
      <c r="J455" s="15"/>
      <c r="K455" s="35" t="n">
        <v>49.99</v>
      </c>
      <c r="L455" s="35"/>
      <c r="M455" s="23" t="str">
        <f aca="false">IF(AND(ISNUMBER(L455),ISNUMBER(K455),K455&gt;0),L455/K455-1,"")</f>
        <v/>
      </c>
      <c r="N455" s="36" t="str">
        <f aca="false">IF(M455="","No List Price",IF(M455&lt;=0,"At/below price",IF(M455&lt;=0.12,"&lt;=12% (STR zone)",IF(M455&lt;=0.25,"12-25%","&gt;25% (likely ignored)"))))</f>
        <v>No List Price</v>
      </c>
      <c r="O455" s="15"/>
      <c r="P455" s="35"/>
      <c r="Q455" s="22" t="str">
        <f aca="false">IF(AND(ISNUMBER(K455),ISNUMBER(P455),N(P455)&gt;0),K455/P455-1,"")</f>
        <v/>
      </c>
      <c r="R455" s="15"/>
      <c r="S455" s="37" t="n">
        <v>501090</v>
      </c>
      <c r="T455" s="37" t="n">
        <v>5</v>
      </c>
      <c r="U455" s="38" t="n">
        <f aca="false">IF(AND(ISNUMBER(K455),ISNUMBER(T455)),K455*T455*52/12,"")</f>
        <v>1083.11666666667</v>
      </c>
      <c r="V455" s="15" t="n">
        <v>4.1</v>
      </c>
      <c r="W455" s="37" t="n">
        <v>184</v>
      </c>
      <c r="X455" s="39" t="n">
        <v>46307</v>
      </c>
      <c r="Y455" s="15"/>
      <c r="Z455" s="40"/>
      <c r="AA455" s="41" t="str">
        <f aca="false">IF(ISNUMBER(Z455),(DATE(2026,10,13)-Z455)/365,"")</f>
        <v/>
      </c>
      <c r="AB455" s="37"/>
      <c r="AC455" s="15"/>
      <c r="AD455" s="15"/>
      <c r="AE455" s="15"/>
      <c r="AF455" s="42"/>
      <c r="AG455" s="42"/>
      <c r="AH455" s="15"/>
      <c r="AI455" s="37"/>
      <c r="AJ455" s="37"/>
      <c r="AK455" s="15"/>
      <c r="AL455" s="43"/>
      <c r="AM455" s="43"/>
      <c r="AN455" s="25" t="str">
        <f aca="false">IF(AND(ISNUMBER(AM455),ISNUMBER(AL455),AL455&gt;=5),AM455/AL455,"")</f>
        <v/>
      </c>
      <c r="AO455" s="43"/>
      <c r="AP455" s="43"/>
      <c r="AQ455" s="25" t="str">
        <f aca="false">IF(AND(ISNUMBER(AP455),ISNUMBER(AO455),AO455&gt;=5),AP455/AO455,"")</f>
        <v/>
      </c>
      <c r="AR455" s="43"/>
      <c r="AS455" s="43"/>
      <c r="AT455" s="22" t="str">
        <f aca="false">IF(AND(ISNUMBER(AS455),ISNUMBER(AR455),AR455&gt;0),AS455/AR455-1,"")</f>
        <v/>
      </c>
      <c r="AU455" s="44"/>
      <c r="AV455" s="44"/>
      <c r="AW455" s="44"/>
      <c r="AX455" s="44"/>
      <c r="AY455" s="44"/>
      <c r="AZ455" s="45"/>
      <c r="BA455" s="45"/>
      <c r="BB455" s="46"/>
      <c r="BC455" s="46"/>
      <c r="BD455" s="23" t="str">
        <f aca="false">IF(AND(ISNUMBER(BB455),ISNUMBER(BC455),BB455&gt;0),1-BC455/BB455,"")</f>
        <v/>
      </c>
      <c r="BE455" s="47"/>
      <c r="BF455" s="48"/>
      <c r="BG455" s="48"/>
      <c r="BH455" s="27" t="str">
        <f aca="false">IF(AND(ISNUMBER(BF455),ISNUMBER(BG455),BG455&gt;0),BF455/BG455,"")</f>
        <v/>
      </c>
      <c r="BI455" s="48"/>
      <c r="BJ455" s="44"/>
      <c r="BK455" s="46"/>
      <c r="BL455" s="46"/>
      <c r="BM455" s="36" t="str">
        <f aca="false">IF(ISNUMBER(Q455),IF(Q455&lt;0,"YES","no"),"")</f>
        <v/>
      </c>
      <c r="BN455" s="36" t="str">
        <f aca="false">IFERROR(IF(AND(ISNUMBER(K455),ISNUMBER(INDEX('Lift Inputs'!$H:$H,MATCH(C455,'Lift Inputs'!$C:$C,0)))),IF(K455&lt;INDEX('Lift Inputs'!$H:$H,MATCH(C455,'Lift Inputs'!$C:$C,0)),"YES","no"),""),"")</f>
        <v/>
      </c>
      <c r="BO455" s="44"/>
    </row>
    <row r="456" customFormat="false" ht="15" hidden="false" customHeight="false" outlineLevel="0" collapsed="false">
      <c r="A456" s="15" t="s">
        <v>110</v>
      </c>
      <c r="B456" s="15" t="s">
        <v>124</v>
      </c>
      <c r="C456" s="15" t="n">
        <v>69</v>
      </c>
      <c r="D456" s="15" t="s">
        <v>205</v>
      </c>
      <c r="E456" s="15" t="n">
        <v>515</v>
      </c>
      <c r="F456" s="15" t="s">
        <v>483</v>
      </c>
      <c r="G456" s="15" t="s">
        <v>888</v>
      </c>
      <c r="H456" s="15" t="s">
        <v>889</v>
      </c>
      <c r="I456" s="15" t="s">
        <v>890</v>
      </c>
      <c r="J456" s="15"/>
      <c r="K456" s="35" t="n">
        <v>57.99</v>
      </c>
      <c r="L456" s="35"/>
      <c r="M456" s="23" t="str">
        <f aca="false">IF(AND(ISNUMBER(L456),ISNUMBER(K456),K456&gt;0),L456/K456-1,"")</f>
        <v/>
      </c>
      <c r="N456" s="36" t="str">
        <f aca="false">IF(M456="","No List Price",IF(M456&lt;=0,"At/below price",IF(M456&lt;=0.12,"&lt;=12% (STR zone)",IF(M456&lt;=0.25,"12-25%","&gt;25% (likely ignored)"))))</f>
        <v>No List Price</v>
      </c>
      <c r="O456" s="15" t="s">
        <v>891</v>
      </c>
      <c r="P456" s="35"/>
      <c r="Q456" s="22" t="str">
        <f aca="false">IF(AND(ISNUMBER(K456),ISNUMBER(P456),N(P456)&gt;0),K456/P456-1,"")</f>
        <v/>
      </c>
      <c r="R456" s="15"/>
      <c r="S456" s="37" t="n">
        <v>381427</v>
      </c>
      <c r="T456" s="37" t="n">
        <v>5</v>
      </c>
      <c r="U456" s="38" t="n">
        <f aca="false">IF(AND(ISNUMBER(K456),ISNUMBER(T456)),K456*T456*52/12,"")</f>
        <v>1256.45</v>
      </c>
      <c r="V456" s="15" t="n">
        <v>4.1</v>
      </c>
      <c r="W456" s="37" t="n">
        <v>118</v>
      </c>
      <c r="X456" s="39" t="n">
        <v>46307</v>
      </c>
      <c r="Y456" s="15"/>
      <c r="Z456" s="40"/>
      <c r="AA456" s="41" t="str">
        <f aca="false">IF(ISNUMBER(Z456),(DATE(2026,10,13)-Z456)/365,"")</f>
        <v/>
      </c>
      <c r="AB456" s="37"/>
      <c r="AC456" s="15"/>
      <c r="AD456" s="15"/>
      <c r="AE456" s="15"/>
      <c r="AF456" s="42"/>
      <c r="AG456" s="42"/>
      <c r="AH456" s="15"/>
      <c r="AI456" s="37"/>
      <c r="AJ456" s="37"/>
      <c r="AK456" s="15"/>
      <c r="AL456" s="43"/>
      <c r="AM456" s="43"/>
      <c r="AN456" s="25" t="str">
        <f aca="false">IF(AND(ISNUMBER(AM456),ISNUMBER(AL456),AL456&gt;=5),AM456/AL456,"")</f>
        <v/>
      </c>
      <c r="AO456" s="43"/>
      <c r="AP456" s="43"/>
      <c r="AQ456" s="25" t="str">
        <f aca="false">IF(AND(ISNUMBER(AP456),ISNUMBER(AO456),AO456&gt;=5),AP456/AO456,"")</f>
        <v/>
      </c>
      <c r="AR456" s="43"/>
      <c r="AS456" s="43"/>
      <c r="AT456" s="22" t="str">
        <f aca="false">IF(AND(ISNUMBER(AS456),ISNUMBER(AR456),AR456&gt;0),AS456/AR456-1,"")</f>
        <v/>
      </c>
      <c r="AU456" s="44"/>
      <c r="AV456" s="44"/>
      <c r="AW456" s="44"/>
      <c r="AX456" s="44"/>
      <c r="AY456" s="44"/>
      <c r="AZ456" s="45"/>
      <c r="BA456" s="45"/>
      <c r="BB456" s="46"/>
      <c r="BC456" s="46"/>
      <c r="BD456" s="23" t="str">
        <f aca="false">IF(AND(ISNUMBER(BB456),ISNUMBER(BC456),BB456&gt;0),1-BC456/BB456,"")</f>
        <v/>
      </c>
      <c r="BE456" s="47"/>
      <c r="BF456" s="48"/>
      <c r="BG456" s="48"/>
      <c r="BH456" s="27" t="str">
        <f aca="false">IF(AND(ISNUMBER(BF456),ISNUMBER(BG456),BG456&gt;0),BF456/BG456,"")</f>
        <v/>
      </c>
      <c r="BI456" s="48"/>
      <c r="BJ456" s="44"/>
      <c r="BK456" s="46"/>
      <c r="BL456" s="46"/>
      <c r="BM456" s="36" t="str">
        <f aca="false">IF(ISNUMBER(Q456),IF(Q456&lt;0,"YES","no"),"")</f>
        <v/>
      </c>
      <c r="BN456" s="36" t="str">
        <f aca="false">IFERROR(IF(AND(ISNUMBER(K456),ISNUMBER(INDEX('Lift Inputs'!$H:$H,MATCH(C456,'Lift Inputs'!$C:$C,0)))),IF(K456&lt;INDEX('Lift Inputs'!$H:$H,MATCH(C456,'Lift Inputs'!$C:$C,0)),"YES","no"),""),"")</f>
        <v/>
      </c>
      <c r="BO456" s="44"/>
    </row>
    <row r="457" customFormat="false" ht="15" hidden="false" customHeight="false" outlineLevel="0" collapsed="false">
      <c r="A457" s="15" t="s">
        <v>110</v>
      </c>
      <c r="B457" s="15" t="s">
        <v>124</v>
      </c>
      <c r="C457" s="15" t="n">
        <v>69</v>
      </c>
      <c r="D457" s="15" t="s">
        <v>205</v>
      </c>
      <c r="E457" s="15" t="n">
        <v>1501</v>
      </c>
      <c r="F457" s="15" t="s">
        <v>864</v>
      </c>
      <c r="G457" s="15" t="s">
        <v>865</v>
      </c>
      <c r="H457" s="15" t="s">
        <v>865</v>
      </c>
      <c r="I457" s="15" t="s">
        <v>384</v>
      </c>
      <c r="J457" s="15"/>
      <c r="K457" s="35" t="n">
        <v>139.99</v>
      </c>
      <c r="L457" s="35"/>
      <c r="M457" s="23" t="str">
        <f aca="false">IF(AND(ISNUMBER(L457),ISNUMBER(K457),K457&gt;0),L457/K457-1,"")</f>
        <v/>
      </c>
      <c r="N457" s="36" t="str">
        <f aca="false">IF(M457="","No List Price",IF(M457&lt;=0,"At/below price",IF(M457&lt;=0.12,"&lt;=12% (STR zone)",IF(M457&lt;=0.25,"12-25%","&gt;25% (likely ignored)"))))</f>
        <v>No List Price</v>
      </c>
      <c r="O457" s="15"/>
      <c r="P457" s="35"/>
      <c r="Q457" s="22" t="str">
        <f aca="false">IF(AND(ISNUMBER(K457),ISNUMBER(P457),N(P457)&gt;0),K457/P457-1,"")</f>
        <v/>
      </c>
      <c r="R457" s="15"/>
      <c r="S457" s="37" t="n">
        <v>2798999</v>
      </c>
      <c r="T457" s="37" t="n">
        <v>5</v>
      </c>
      <c r="U457" s="38" t="n">
        <f aca="false">IF(AND(ISNUMBER(K457),ISNUMBER(T457)),K457*T457*52/12,"")</f>
        <v>3033.11666666667</v>
      </c>
      <c r="V457" s="15" t="n">
        <v>4.2</v>
      </c>
      <c r="W457" s="37" t="n">
        <v>6</v>
      </c>
      <c r="X457" s="39" t="n">
        <v>46279</v>
      </c>
      <c r="Y457" s="15"/>
      <c r="Z457" s="40"/>
      <c r="AA457" s="41" t="str">
        <f aca="false">IF(ISNUMBER(Z457),(DATE(2026,10,13)-Z457)/365,"")</f>
        <v/>
      </c>
      <c r="AB457" s="37"/>
      <c r="AC457" s="15"/>
      <c r="AD457" s="15"/>
      <c r="AE457" s="15"/>
      <c r="AF457" s="42"/>
      <c r="AG457" s="42"/>
      <c r="AH457" s="15"/>
      <c r="AI457" s="37"/>
      <c r="AJ457" s="37"/>
      <c r="AK457" s="15" t="s">
        <v>326</v>
      </c>
      <c r="AL457" s="43" t="n">
        <v>0</v>
      </c>
      <c r="AM457" s="43" t="n">
        <v>0</v>
      </c>
      <c r="AN457" s="25" t="str">
        <f aca="false">IF(AND(ISNUMBER(AM457),ISNUMBER(AL457),AL457&gt;=5),AM457/AL457,"")</f>
        <v/>
      </c>
      <c r="AO457" s="43" t="n">
        <v>0</v>
      </c>
      <c r="AP457" s="43" t="n">
        <v>0</v>
      </c>
      <c r="AQ457" s="25" t="str">
        <f aca="false">IF(AND(ISNUMBER(AP457),ISNUMBER(AO457),AO457&gt;=5),AP457/AO457,"")</f>
        <v/>
      </c>
      <c r="AR457" s="43" t="n">
        <v>0.3</v>
      </c>
      <c r="AS457" s="43" t="n">
        <v>0</v>
      </c>
      <c r="AT457" s="22" t="n">
        <f aca="false">IF(AND(ISNUMBER(AS457),ISNUMBER(AR457),AR457&gt;0),AS457/AR457-1,"")</f>
        <v>-1</v>
      </c>
      <c r="AU457" s="44"/>
      <c r="AV457" s="44"/>
      <c r="AW457" s="44"/>
      <c r="AX457" s="44"/>
      <c r="AY457" s="44"/>
      <c r="AZ457" s="45"/>
      <c r="BA457" s="45"/>
      <c r="BB457" s="46"/>
      <c r="BC457" s="46"/>
      <c r="BD457" s="23" t="str">
        <f aca="false">IF(AND(ISNUMBER(BB457),ISNUMBER(BC457),BB457&gt;0),1-BC457/BB457,"")</f>
        <v/>
      </c>
      <c r="BE457" s="47"/>
      <c r="BF457" s="48"/>
      <c r="BG457" s="48"/>
      <c r="BH457" s="27" t="str">
        <f aca="false">IF(AND(ISNUMBER(BF457),ISNUMBER(BG457),BG457&gt;0),BF457/BG457,"")</f>
        <v/>
      </c>
      <c r="BI457" s="48"/>
      <c r="BJ457" s="44"/>
      <c r="BK457" s="46"/>
      <c r="BL457" s="46"/>
      <c r="BM457" s="36" t="str">
        <f aca="false">IF(ISNUMBER(Q457),IF(Q457&lt;0,"YES","no"),"")</f>
        <v/>
      </c>
      <c r="BN457" s="36" t="str">
        <f aca="false">IFERROR(IF(AND(ISNUMBER(K457),ISNUMBER(INDEX('Lift Inputs'!$H:$H,MATCH(C457,'Lift Inputs'!$C:$C,0)))),IF(K457&lt;INDEX('Lift Inputs'!$H:$H,MATCH(C457,'Lift Inputs'!$C:$C,0)),"YES","no"),""),"")</f>
        <v/>
      </c>
      <c r="BO457" s="44"/>
    </row>
    <row r="458" customFormat="false" ht="15" hidden="false" customHeight="false" outlineLevel="0" collapsed="false">
      <c r="A458" s="15" t="s">
        <v>110</v>
      </c>
      <c r="B458" s="15" t="s">
        <v>124</v>
      </c>
      <c r="C458" s="15" t="n">
        <v>69</v>
      </c>
      <c r="D458" s="15" t="s">
        <v>205</v>
      </c>
      <c r="E458" s="15" t="n">
        <v>9</v>
      </c>
      <c r="F458" s="15" t="s">
        <v>866</v>
      </c>
      <c r="G458" s="15" t="s">
        <v>867</v>
      </c>
      <c r="H458" s="15" t="s">
        <v>868</v>
      </c>
      <c r="I458" s="15" t="s">
        <v>869</v>
      </c>
      <c r="J458" s="15"/>
      <c r="K458" s="35" t="n">
        <v>67.99</v>
      </c>
      <c r="L458" s="35" t="n">
        <v>79.99</v>
      </c>
      <c r="M458" s="23" t="n">
        <f aca="false">IF(AND(ISNUMBER(L458),ISNUMBER(K458),K458&gt;0),L458/K458-1,"")</f>
        <v>0.176496543609354</v>
      </c>
      <c r="N458" s="36" t="str">
        <f aca="false">IF(M458="","No List Price",IF(M458&lt;=0,"At/below price",IF(M458&lt;=0.12,"&lt;=12% (STR zone)",IF(M458&lt;=0.25,"12-25%","&gt;25% (likely ignored)"))))</f>
        <v>12-25%</v>
      </c>
      <c r="O458" s="15" t="s">
        <v>311</v>
      </c>
      <c r="P458" s="35"/>
      <c r="Q458" s="22" t="str">
        <f aca="false">IF(AND(ISNUMBER(K458),ISNUMBER(P458),N(P458)&gt;0),K458/P458-1,"")</f>
        <v/>
      </c>
      <c r="R458" s="15"/>
      <c r="S458" s="37" t="n">
        <v>159865</v>
      </c>
      <c r="T458" s="37" t="n">
        <v>5</v>
      </c>
      <c r="U458" s="38" t="n">
        <f aca="false">IF(AND(ISNUMBER(K458),ISNUMBER(T458)),K458*T458*52/12,"")</f>
        <v>1473.11666666667</v>
      </c>
      <c r="V458" s="15" t="n">
        <v>4.4</v>
      </c>
      <c r="W458" s="37" t="n">
        <v>131</v>
      </c>
      <c r="X458" s="39" t="n">
        <v>46307</v>
      </c>
      <c r="Y458" s="15"/>
      <c r="Z458" s="40"/>
      <c r="AA458" s="41" t="str">
        <f aca="false">IF(ISNUMBER(Z458),(DATE(2026,10,13)-Z458)/365,"")</f>
        <v/>
      </c>
      <c r="AB458" s="37"/>
      <c r="AC458" s="15"/>
      <c r="AD458" s="15"/>
      <c r="AE458" s="15"/>
      <c r="AF458" s="42"/>
      <c r="AG458" s="42"/>
      <c r="AH458" s="15"/>
      <c r="AI458" s="37" t="n">
        <v>15624</v>
      </c>
      <c r="AJ458" s="37" t="n">
        <v>643</v>
      </c>
      <c r="AK458" s="15" t="s">
        <v>315</v>
      </c>
      <c r="AL458" s="43" t="n">
        <v>9.9</v>
      </c>
      <c r="AM458" s="43" t="n">
        <v>4.8</v>
      </c>
      <c r="AN458" s="25" t="n">
        <f aca="false">IF(AND(ISNUMBER(AM458),ISNUMBER(AL458),AL458&gt;=5),AM458/AL458,"")</f>
        <v>0.484848484848485</v>
      </c>
      <c r="AO458" s="43" t="n">
        <v>8.7</v>
      </c>
      <c r="AP458" s="43" t="n">
        <v>17</v>
      </c>
      <c r="AQ458" s="25" t="n">
        <f aca="false">IF(AND(ISNUMBER(AP458),ISNUMBER(AO458),AO458&gt;=5),AP458/AO458,"")</f>
        <v>1.95402298850575</v>
      </c>
      <c r="AR458" s="43" t="n">
        <v>3.7</v>
      </c>
      <c r="AS458" s="43" t="n">
        <v>15.5</v>
      </c>
      <c r="AT458" s="22" t="n">
        <f aca="false">IF(AND(ISNUMBER(AS458),ISNUMBER(AR458),AR458&gt;0),AS458/AR458-1,"")</f>
        <v>3.18918918918919</v>
      </c>
      <c r="AU458" s="44"/>
      <c r="AV458" s="44"/>
      <c r="AW458" s="44"/>
      <c r="AX458" s="44"/>
      <c r="AY458" s="44"/>
      <c r="AZ458" s="45"/>
      <c r="BA458" s="45"/>
      <c r="BB458" s="46"/>
      <c r="BC458" s="46"/>
      <c r="BD458" s="23" t="str">
        <f aca="false">IF(AND(ISNUMBER(BB458),ISNUMBER(BC458),BB458&gt;0),1-BC458/BB458,"")</f>
        <v/>
      </c>
      <c r="BE458" s="47"/>
      <c r="BF458" s="48"/>
      <c r="BG458" s="48"/>
      <c r="BH458" s="27" t="str">
        <f aca="false">IF(AND(ISNUMBER(BF458),ISNUMBER(BG458),BG458&gt;0),BF458/BG458,"")</f>
        <v/>
      </c>
      <c r="BI458" s="48"/>
      <c r="BJ458" s="44"/>
      <c r="BK458" s="46"/>
      <c r="BL458" s="46"/>
      <c r="BM458" s="36" t="str">
        <f aca="false">IF(ISNUMBER(Q458),IF(Q458&lt;0,"YES","no"),"")</f>
        <v/>
      </c>
      <c r="BN458" s="36" t="str">
        <f aca="false">IFERROR(IF(AND(ISNUMBER(K458),ISNUMBER(INDEX('Lift Inputs'!$H:$H,MATCH(C458,'Lift Inputs'!$C:$C,0)))),IF(K458&lt;INDEX('Lift Inputs'!$H:$H,MATCH(C458,'Lift Inputs'!$C:$C,0)),"YES","no"),""),"")</f>
        <v/>
      </c>
      <c r="BO458" s="44"/>
    </row>
    <row r="459" customFormat="false" ht="15" hidden="false" customHeight="false" outlineLevel="0" collapsed="false">
      <c r="A459" s="15" t="s">
        <v>110</v>
      </c>
      <c r="B459" s="15" t="s">
        <v>124</v>
      </c>
      <c r="C459" s="15" t="n">
        <v>69</v>
      </c>
      <c r="D459" s="15" t="s">
        <v>205</v>
      </c>
      <c r="E459" s="15" t="n">
        <v>1812</v>
      </c>
      <c r="F459" s="15" t="s">
        <v>870</v>
      </c>
      <c r="G459" s="15" t="s">
        <v>871</v>
      </c>
      <c r="H459" s="15" t="s">
        <v>872</v>
      </c>
      <c r="I459" s="15" t="s">
        <v>384</v>
      </c>
      <c r="J459" s="15"/>
      <c r="K459" s="35" t="n">
        <v>42.99</v>
      </c>
      <c r="L459" s="35" t="n">
        <v>59.99</v>
      </c>
      <c r="M459" s="23" t="n">
        <f aca="false">IF(AND(ISNUMBER(L459),ISNUMBER(K459),K459&gt;0),L459/K459-1,"")</f>
        <v>0.39544080018609</v>
      </c>
      <c r="N459" s="36" t="str">
        <f aca="false">IF(M459="","No List Price",IF(M459&lt;=0,"At/below price",IF(M459&lt;=0.12,"&lt;=12% (STR zone)",IF(M459&lt;=0.25,"12-25%","&gt;25% (likely ignored)"))))</f>
        <v>&gt;25% (likely ignored)</v>
      </c>
      <c r="O459" s="15"/>
      <c r="P459" s="35"/>
      <c r="Q459" s="22" t="str">
        <f aca="false">IF(AND(ISNUMBER(K459),ISNUMBER(P459),N(P459)&gt;0),K459/P459-1,"")</f>
        <v/>
      </c>
      <c r="R459" s="15"/>
      <c r="S459" s="37" t="n">
        <v>115669</v>
      </c>
      <c r="T459" s="37" t="n">
        <v>5</v>
      </c>
      <c r="U459" s="38" t="n">
        <f aca="false">IF(AND(ISNUMBER(K459),ISNUMBER(T459)),K459*T459*52/12,"")</f>
        <v>931.45</v>
      </c>
      <c r="V459" s="15" t="n">
        <v>4.7</v>
      </c>
      <c r="W459" s="37" t="n">
        <v>4</v>
      </c>
      <c r="X459" s="39" t="n">
        <v>46307</v>
      </c>
      <c r="Y459" s="15"/>
      <c r="Z459" s="40"/>
      <c r="AA459" s="41" t="str">
        <f aca="false">IF(ISNUMBER(Z459),(DATE(2026,10,13)-Z459)/365,"")</f>
        <v/>
      </c>
      <c r="AB459" s="37"/>
      <c r="AC459" s="15"/>
      <c r="AD459" s="15"/>
      <c r="AE459" s="15"/>
      <c r="AF459" s="42"/>
      <c r="AG459" s="42"/>
      <c r="AH459" s="15"/>
      <c r="AI459" s="37" t="n">
        <v>13712</v>
      </c>
      <c r="AJ459" s="37" t="n">
        <v>332</v>
      </c>
      <c r="AK459" s="15"/>
      <c r="AL459" s="43"/>
      <c r="AM459" s="43"/>
      <c r="AN459" s="25" t="str">
        <f aca="false">IF(AND(ISNUMBER(AM459),ISNUMBER(AL459),AL459&gt;=5),AM459/AL459,"")</f>
        <v/>
      </c>
      <c r="AO459" s="43"/>
      <c r="AP459" s="43"/>
      <c r="AQ459" s="25" t="str">
        <f aca="false">IF(AND(ISNUMBER(AP459),ISNUMBER(AO459),AO459&gt;=5),AP459/AO459,"")</f>
        <v/>
      </c>
      <c r="AR459" s="43"/>
      <c r="AS459" s="43"/>
      <c r="AT459" s="22" t="str">
        <f aca="false">IF(AND(ISNUMBER(AS459),ISNUMBER(AR459),AR459&gt;0),AS459/AR459-1,"")</f>
        <v/>
      </c>
      <c r="AU459" s="44"/>
      <c r="AV459" s="44"/>
      <c r="AW459" s="44"/>
      <c r="AX459" s="44"/>
      <c r="AY459" s="44"/>
      <c r="AZ459" s="45"/>
      <c r="BA459" s="45"/>
      <c r="BB459" s="46"/>
      <c r="BC459" s="46"/>
      <c r="BD459" s="23" t="str">
        <f aca="false">IF(AND(ISNUMBER(BB459),ISNUMBER(BC459),BB459&gt;0),1-BC459/BB459,"")</f>
        <v/>
      </c>
      <c r="BE459" s="47"/>
      <c r="BF459" s="48"/>
      <c r="BG459" s="48"/>
      <c r="BH459" s="27" t="str">
        <f aca="false">IF(AND(ISNUMBER(BF459),ISNUMBER(BG459),BG459&gt;0),BF459/BG459,"")</f>
        <v/>
      </c>
      <c r="BI459" s="48"/>
      <c r="BJ459" s="44"/>
      <c r="BK459" s="46"/>
      <c r="BL459" s="46"/>
      <c r="BM459" s="36" t="str">
        <f aca="false">IF(ISNUMBER(Q459),IF(Q459&lt;0,"YES","no"),"")</f>
        <v/>
      </c>
      <c r="BN459" s="36" t="str">
        <f aca="false">IFERROR(IF(AND(ISNUMBER(K459),ISNUMBER(INDEX('Lift Inputs'!$H:$H,MATCH(C459,'Lift Inputs'!$C:$C,0)))),IF(K459&lt;INDEX('Lift Inputs'!$H:$H,MATCH(C459,'Lift Inputs'!$C:$C,0)),"YES","no"),""),"")</f>
        <v/>
      </c>
      <c r="BO459" s="44"/>
    </row>
    <row r="460" customFormat="false" ht="15" hidden="false" customHeight="false" outlineLevel="0" collapsed="false">
      <c r="A460" s="15" t="s">
        <v>110</v>
      </c>
      <c r="B460" s="15" t="s">
        <v>124</v>
      </c>
      <c r="C460" s="15" t="n">
        <v>69</v>
      </c>
      <c r="D460" s="15" t="s">
        <v>205</v>
      </c>
      <c r="E460" s="15" t="n">
        <v>510</v>
      </c>
      <c r="F460" s="15" t="s">
        <v>881</v>
      </c>
      <c r="G460" s="15" t="s">
        <v>882</v>
      </c>
      <c r="H460" s="15" t="s">
        <v>883</v>
      </c>
      <c r="I460" s="15" t="s">
        <v>884</v>
      </c>
      <c r="J460" s="15"/>
      <c r="K460" s="35" t="n">
        <v>209.3</v>
      </c>
      <c r="L460" s="35"/>
      <c r="M460" s="23" t="str">
        <f aca="false">IF(AND(ISNUMBER(L460),ISNUMBER(K460),K460&gt;0),L460/K460-1,"")</f>
        <v/>
      </c>
      <c r="N460" s="36" t="str">
        <f aca="false">IF(M460="","No List Price",IF(M460&lt;=0,"At/below price",IF(M460&lt;=0.12,"&lt;=12% (STR zone)",IF(M460&lt;=0.25,"12-25%","&gt;25% (likely ignored)"))))</f>
        <v>No List Price</v>
      </c>
      <c r="O460" s="15" t="s">
        <v>311</v>
      </c>
      <c r="P460" s="35"/>
      <c r="Q460" s="22" t="str">
        <f aca="false">IF(AND(ISNUMBER(K460),ISNUMBER(P460),N(P460)&gt;0),K460/P460-1,"")</f>
        <v/>
      </c>
      <c r="R460" s="15"/>
      <c r="S460" s="37" t="n">
        <v>74243</v>
      </c>
      <c r="T460" s="37" t="n">
        <v>5</v>
      </c>
      <c r="U460" s="38" t="n">
        <f aca="false">IF(AND(ISNUMBER(K460),ISNUMBER(T460)),K460*T460*52/12,"")</f>
        <v>4534.83333333333</v>
      </c>
      <c r="V460" s="15" t="n">
        <v>4.4</v>
      </c>
      <c r="W460" s="37" t="n">
        <v>3256</v>
      </c>
      <c r="X460" s="39" t="n">
        <v>46307</v>
      </c>
      <c r="Y460" s="15"/>
      <c r="Z460" s="40"/>
      <c r="AA460" s="41" t="str">
        <f aca="false">IF(ISNUMBER(Z460),(DATE(2026,10,13)-Z460)/365,"")</f>
        <v/>
      </c>
      <c r="AB460" s="37"/>
      <c r="AC460" s="15"/>
      <c r="AD460" s="15"/>
      <c r="AE460" s="15"/>
      <c r="AF460" s="42"/>
      <c r="AG460" s="42"/>
      <c r="AH460" s="15"/>
      <c r="AI460" s="37"/>
      <c r="AJ460" s="37"/>
      <c r="AK460" s="15"/>
      <c r="AL460" s="43"/>
      <c r="AM460" s="43"/>
      <c r="AN460" s="25" t="str">
        <f aca="false">IF(AND(ISNUMBER(AM460),ISNUMBER(AL460),AL460&gt;=5),AM460/AL460,"")</f>
        <v/>
      </c>
      <c r="AO460" s="43"/>
      <c r="AP460" s="43"/>
      <c r="AQ460" s="25" t="str">
        <f aca="false">IF(AND(ISNUMBER(AP460),ISNUMBER(AO460),AO460&gt;=5),AP460/AO460,"")</f>
        <v/>
      </c>
      <c r="AR460" s="43"/>
      <c r="AS460" s="43"/>
      <c r="AT460" s="22" t="str">
        <f aca="false">IF(AND(ISNUMBER(AS460),ISNUMBER(AR460),AR460&gt;0),AS460/AR460-1,"")</f>
        <v/>
      </c>
      <c r="AU460" s="44"/>
      <c r="AV460" s="44"/>
      <c r="AW460" s="44"/>
      <c r="AX460" s="44"/>
      <c r="AY460" s="44"/>
      <c r="AZ460" s="45"/>
      <c r="BA460" s="45"/>
      <c r="BB460" s="46"/>
      <c r="BC460" s="46"/>
      <c r="BD460" s="23" t="str">
        <f aca="false">IF(AND(ISNUMBER(BB460),ISNUMBER(BC460),BB460&gt;0),1-BC460/BB460,"")</f>
        <v/>
      </c>
      <c r="BE460" s="47"/>
      <c r="BF460" s="48"/>
      <c r="BG460" s="48"/>
      <c r="BH460" s="27" t="str">
        <f aca="false">IF(AND(ISNUMBER(BF460),ISNUMBER(BG460),BG460&gt;0),BF460/BG460,"")</f>
        <v/>
      </c>
      <c r="BI460" s="48"/>
      <c r="BJ460" s="44"/>
      <c r="BK460" s="46"/>
      <c r="BL460" s="46"/>
      <c r="BM460" s="36" t="str">
        <f aca="false">IF(ISNUMBER(Q460),IF(Q460&lt;0,"YES","no"),"")</f>
        <v/>
      </c>
      <c r="BN460" s="36" t="str">
        <f aca="false">IFERROR(IF(AND(ISNUMBER(K460),ISNUMBER(INDEX('Lift Inputs'!$H:$H,MATCH(C460,'Lift Inputs'!$C:$C,0)))),IF(K460&lt;INDEX('Lift Inputs'!$H:$H,MATCH(C460,'Lift Inputs'!$C:$C,0)),"YES","no"),""),"")</f>
        <v/>
      </c>
      <c r="BO460" s="44"/>
    </row>
    <row r="461" customFormat="false" ht="15" hidden="false" customHeight="false" outlineLevel="0" collapsed="false">
      <c r="A461" s="15" t="s">
        <v>110</v>
      </c>
      <c r="B461" s="15" t="s">
        <v>127</v>
      </c>
      <c r="C461" s="15" t="n">
        <v>70</v>
      </c>
      <c r="D461" s="15" t="s">
        <v>205</v>
      </c>
      <c r="E461" s="15" t="n">
        <v>489</v>
      </c>
      <c r="F461" s="15" t="s">
        <v>906</v>
      </c>
      <c r="G461" s="15" t="s">
        <v>907</v>
      </c>
      <c r="H461" s="15" t="s">
        <v>908</v>
      </c>
      <c r="I461" s="15" t="s">
        <v>909</v>
      </c>
      <c r="J461" s="15" t="s">
        <v>176</v>
      </c>
      <c r="K461" s="35" t="n">
        <v>15.99</v>
      </c>
      <c r="L461" s="35" t="n">
        <v>19.99</v>
      </c>
      <c r="M461" s="23" t="n">
        <f aca="false">IF(AND(ISNUMBER(L461),ISNUMBER(K461),K461&gt;0),L461/K461-1,"")</f>
        <v>0.250156347717323</v>
      </c>
      <c r="N461" s="36" t="str">
        <f aca="false">IF(M461="","No List Price",IF(M461&lt;=0,"At/below price",IF(M461&lt;=0.12,"&lt;=12% (STR zone)",IF(M461&lt;=0.25,"12-25%","&gt;25% (likely ignored)"))))</f>
        <v>&gt;25% (likely ignored)</v>
      </c>
      <c r="O461" s="15" t="s">
        <v>311</v>
      </c>
      <c r="P461" s="35"/>
      <c r="Q461" s="22" t="str">
        <f aca="false">IF(AND(ISNUMBER(K461),ISNUMBER(P461),N(P461)&gt;0),K461/P461-1,"")</f>
        <v/>
      </c>
      <c r="R461" s="15"/>
      <c r="S461" s="37" t="n">
        <v>14178</v>
      </c>
      <c r="T461" s="37" t="n">
        <v>173</v>
      </c>
      <c r="U461" s="38" t="n">
        <f aca="false">IF(AND(ISNUMBER(K461),ISNUMBER(T461)),K461*T461*52/12,"")</f>
        <v>11987.17</v>
      </c>
      <c r="V461" s="15" t="n">
        <v>4.4</v>
      </c>
      <c r="W461" s="37" t="n">
        <v>3832</v>
      </c>
      <c r="X461" s="39" t="n">
        <v>46272</v>
      </c>
      <c r="Y461" s="15"/>
      <c r="Z461" s="40"/>
      <c r="AA461" s="41" t="str">
        <f aca="false">IF(ISNUMBER(Z461),(DATE(2026,10,13)-Z461)/365,"")</f>
        <v/>
      </c>
      <c r="AB461" s="37"/>
      <c r="AC461" s="15"/>
      <c r="AD461" s="15"/>
      <c r="AE461" s="15"/>
      <c r="AF461" s="42"/>
      <c r="AG461" s="42"/>
      <c r="AH461" s="15"/>
      <c r="AI461" s="37"/>
      <c r="AJ461" s="37"/>
      <c r="AK461" s="15" t="s">
        <v>315</v>
      </c>
      <c r="AL461" s="43" t="n">
        <v>76.2</v>
      </c>
      <c r="AM461" s="43" t="n">
        <v>83.8</v>
      </c>
      <c r="AN461" s="25" t="n">
        <f aca="false">IF(AND(ISNUMBER(AM461),ISNUMBER(AL461),AL461&gt;=5),AM461/AL461,"")</f>
        <v>1.0997375328084</v>
      </c>
      <c r="AO461" s="43" t="n">
        <v>26.5</v>
      </c>
      <c r="AP461" s="43" t="n">
        <v>43.5</v>
      </c>
      <c r="AQ461" s="25" t="n">
        <f aca="false">IF(AND(ISNUMBER(AP461),ISNUMBER(AO461),AO461&gt;=5),AP461/AO461,"")</f>
        <v>1.64150943396226</v>
      </c>
      <c r="AR461" s="43" t="n">
        <v>103.7</v>
      </c>
      <c r="AS461" s="43" t="n">
        <v>68.2</v>
      </c>
      <c r="AT461" s="22" t="n">
        <f aca="false">IF(AND(ISNUMBER(AS461),ISNUMBER(AR461),AR461&gt;0),AS461/AR461-1,"")</f>
        <v>-0.342333654773385</v>
      </c>
      <c r="AU461" s="44"/>
      <c r="AV461" s="44"/>
      <c r="AW461" s="44"/>
      <c r="AX461" s="44"/>
      <c r="AY461" s="44"/>
      <c r="AZ461" s="45"/>
      <c r="BA461" s="45"/>
      <c r="BB461" s="46"/>
      <c r="BC461" s="46"/>
      <c r="BD461" s="23" t="str">
        <f aca="false">IF(AND(ISNUMBER(BB461),ISNUMBER(BC461),BB461&gt;0),1-BC461/BB461,"")</f>
        <v/>
      </c>
      <c r="BE461" s="47"/>
      <c r="BF461" s="48"/>
      <c r="BG461" s="48"/>
      <c r="BH461" s="27" t="str">
        <f aca="false">IF(AND(ISNUMBER(BF461),ISNUMBER(BG461),BG461&gt;0),BF461/BG461,"")</f>
        <v/>
      </c>
      <c r="BI461" s="48"/>
      <c r="BJ461" s="44"/>
      <c r="BK461" s="46"/>
      <c r="BL461" s="46"/>
      <c r="BM461" s="36" t="str">
        <f aca="false">IF(ISNUMBER(Q461),IF(Q461&lt;0,"YES","no"),"")</f>
        <v/>
      </c>
      <c r="BN461" s="36" t="str">
        <f aca="false">IFERROR(IF(AND(ISNUMBER(K461),ISNUMBER(INDEX('Lift Inputs'!$H:$H,MATCH(C461,'Lift Inputs'!$C:$C,0)))),IF(K461&lt;INDEX('Lift Inputs'!$H:$H,MATCH(C461,'Lift Inputs'!$C:$C,0)),"YES","no"),""),"")</f>
        <v/>
      </c>
      <c r="BO461" s="44"/>
    </row>
    <row r="462" customFormat="false" ht="15" hidden="false" customHeight="false" outlineLevel="0" collapsed="false">
      <c r="A462" s="15" t="s">
        <v>110</v>
      </c>
      <c r="B462" s="15" t="s">
        <v>127</v>
      </c>
      <c r="C462" s="15" t="n">
        <v>70</v>
      </c>
      <c r="D462" s="15" t="s">
        <v>205</v>
      </c>
      <c r="E462" s="15" t="n">
        <v>1874</v>
      </c>
      <c r="F462" s="15" t="s">
        <v>866</v>
      </c>
      <c r="G462" s="15" t="s">
        <v>910</v>
      </c>
      <c r="H462" s="15" t="s">
        <v>911</v>
      </c>
      <c r="I462" s="15" t="s">
        <v>912</v>
      </c>
      <c r="J462" s="15" t="s">
        <v>176</v>
      </c>
      <c r="K462" s="35" t="n">
        <v>16.88</v>
      </c>
      <c r="L462" s="35"/>
      <c r="M462" s="23" t="str">
        <f aca="false">IF(AND(ISNUMBER(L462),ISNUMBER(K462),K462&gt;0),L462/K462-1,"")</f>
        <v/>
      </c>
      <c r="N462" s="36" t="str">
        <f aca="false">IF(M462="","No List Price",IF(M462&lt;=0,"At/below price",IF(M462&lt;=0.12,"&lt;=12% (STR zone)",IF(M462&lt;=0.25,"12-25%","&gt;25% (likely ignored)"))))</f>
        <v>No List Price</v>
      </c>
      <c r="O462" s="15" t="s">
        <v>311</v>
      </c>
      <c r="P462" s="35"/>
      <c r="Q462" s="22" t="str">
        <f aca="false">IF(AND(ISNUMBER(K462),ISNUMBER(P462),N(P462)&gt;0),K462/P462-1,"")</f>
        <v/>
      </c>
      <c r="R462" s="15"/>
      <c r="S462" s="37" t="n">
        <v>29862</v>
      </c>
      <c r="T462" s="37" t="n">
        <v>35</v>
      </c>
      <c r="U462" s="38" t="n">
        <f aca="false">IF(AND(ISNUMBER(K462),ISNUMBER(T462)),K462*T462*52/12,"")</f>
        <v>2560.13333333333</v>
      </c>
      <c r="V462" s="15" t="n">
        <v>4.3</v>
      </c>
      <c r="W462" s="37" t="n">
        <v>8391</v>
      </c>
      <c r="X462" s="39" t="n">
        <v>46307</v>
      </c>
      <c r="Y462" s="15"/>
      <c r="Z462" s="40"/>
      <c r="AA462" s="41" t="str">
        <f aca="false">IF(ISNUMBER(Z462),(DATE(2026,10,13)-Z462)/365,"")</f>
        <v/>
      </c>
      <c r="AB462" s="37"/>
      <c r="AC462" s="15"/>
      <c r="AD462" s="15"/>
      <c r="AE462" s="15"/>
      <c r="AF462" s="42"/>
      <c r="AG462" s="42"/>
      <c r="AH462" s="15"/>
      <c r="AI462" s="37" t="n">
        <v>12595</v>
      </c>
      <c r="AJ462" s="37" t="n">
        <v>546</v>
      </c>
      <c r="AK462" s="15"/>
      <c r="AL462" s="43"/>
      <c r="AM462" s="43"/>
      <c r="AN462" s="25" t="str">
        <f aca="false">IF(AND(ISNUMBER(AM462),ISNUMBER(AL462),AL462&gt;=5),AM462/AL462,"")</f>
        <v/>
      </c>
      <c r="AO462" s="43"/>
      <c r="AP462" s="43"/>
      <c r="AQ462" s="25" t="str">
        <f aca="false">IF(AND(ISNUMBER(AP462),ISNUMBER(AO462),AO462&gt;=5),AP462/AO462,"")</f>
        <v/>
      </c>
      <c r="AR462" s="43"/>
      <c r="AS462" s="43"/>
      <c r="AT462" s="22" t="str">
        <f aca="false">IF(AND(ISNUMBER(AS462),ISNUMBER(AR462),AR462&gt;0),AS462/AR462-1,"")</f>
        <v/>
      </c>
      <c r="AU462" s="44"/>
      <c r="AV462" s="44"/>
      <c r="AW462" s="44"/>
      <c r="AX462" s="44"/>
      <c r="AY462" s="44"/>
      <c r="AZ462" s="45"/>
      <c r="BA462" s="45"/>
      <c r="BB462" s="46"/>
      <c r="BC462" s="46"/>
      <c r="BD462" s="23" t="str">
        <f aca="false">IF(AND(ISNUMBER(BB462),ISNUMBER(BC462),BB462&gt;0),1-BC462/BB462,"")</f>
        <v/>
      </c>
      <c r="BE462" s="47"/>
      <c r="BF462" s="48"/>
      <c r="BG462" s="48"/>
      <c r="BH462" s="27" t="str">
        <f aca="false">IF(AND(ISNUMBER(BF462),ISNUMBER(BG462),BG462&gt;0),BF462/BG462,"")</f>
        <v/>
      </c>
      <c r="BI462" s="48"/>
      <c r="BJ462" s="44"/>
      <c r="BK462" s="46"/>
      <c r="BL462" s="46"/>
      <c r="BM462" s="36" t="str">
        <f aca="false">IF(ISNUMBER(Q462),IF(Q462&lt;0,"YES","no"),"")</f>
        <v/>
      </c>
      <c r="BN462" s="36" t="str">
        <f aca="false">IFERROR(IF(AND(ISNUMBER(K462),ISNUMBER(INDEX('Lift Inputs'!$H:$H,MATCH(C462,'Lift Inputs'!$C:$C,0)))),IF(K462&lt;INDEX('Lift Inputs'!$H:$H,MATCH(C462,'Lift Inputs'!$C:$C,0)),"YES","no"),""),"")</f>
        <v/>
      </c>
      <c r="BO462" s="44"/>
    </row>
    <row r="463" customFormat="false" ht="15" hidden="false" customHeight="false" outlineLevel="0" collapsed="false">
      <c r="A463" s="15" t="s">
        <v>110</v>
      </c>
      <c r="B463" s="15" t="s">
        <v>127</v>
      </c>
      <c r="C463" s="15" t="n">
        <v>70</v>
      </c>
      <c r="D463" s="15" t="s">
        <v>205</v>
      </c>
      <c r="E463" s="15" t="n">
        <v>492</v>
      </c>
      <c r="F463" s="15" t="s">
        <v>913</v>
      </c>
      <c r="G463" s="15" t="s">
        <v>914</v>
      </c>
      <c r="H463" s="15" t="s">
        <v>915</v>
      </c>
      <c r="I463" s="15" t="s">
        <v>916</v>
      </c>
      <c r="J463" s="15" t="s">
        <v>176</v>
      </c>
      <c r="K463" s="35" t="n">
        <v>15.95</v>
      </c>
      <c r="L463" s="35"/>
      <c r="M463" s="23" t="str">
        <f aca="false">IF(AND(ISNUMBER(L463),ISNUMBER(K463),K463&gt;0),L463/K463-1,"")</f>
        <v/>
      </c>
      <c r="N463" s="36" t="str">
        <f aca="false">IF(M463="","No List Price",IF(M463&lt;=0,"At/below price",IF(M463&lt;=0.12,"&lt;=12% (STR zone)",IF(M463&lt;=0.25,"12-25%","&gt;25% (likely ignored)"))))</f>
        <v>No List Price</v>
      </c>
      <c r="O463" s="15"/>
      <c r="P463" s="35"/>
      <c r="Q463" s="22" t="str">
        <f aca="false">IF(AND(ISNUMBER(K463),ISNUMBER(P463),N(P463)&gt;0),K463/P463-1,"")</f>
        <v/>
      </c>
      <c r="R463" s="15"/>
      <c r="S463" s="37" t="n">
        <v>50724</v>
      </c>
      <c r="T463" s="37" t="n">
        <v>35</v>
      </c>
      <c r="U463" s="38" t="n">
        <f aca="false">IF(AND(ISNUMBER(K463),ISNUMBER(T463)),K463*T463*52/12,"")</f>
        <v>2419.08333333333</v>
      </c>
      <c r="V463" s="15" t="n">
        <v>4.2</v>
      </c>
      <c r="W463" s="37" t="n">
        <v>6718</v>
      </c>
      <c r="X463" s="39" t="n">
        <v>46307</v>
      </c>
      <c r="Y463" s="15"/>
      <c r="Z463" s="40"/>
      <c r="AA463" s="41" t="str">
        <f aca="false">IF(ISNUMBER(Z463),(DATE(2026,10,13)-Z463)/365,"")</f>
        <v/>
      </c>
      <c r="AB463" s="37"/>
      <c r="AC463" s="15"/>
      <c r="AD463" s="15"/>
      <c r="AE463" s="15"/>
      <c r="AF463" s="42"/>
      <c r="AG463" s="42"/>
      <c r="AH463" s="15"/>
      <c r="AI463" s="37"/>
      <c r="AJ463" s="37"/>
      <c r="AK463" s="15"/>
      <c r="AL463" s="43"/>
      <c r="AM463" s="43"/>
      <c r="AN463" s="25" t="str">
        <f aca="false">IF(AND(ISNUMBER(AM463),ISNUMBER(AL463),AL463&gt;=5),AM463/AL463,"")</f>
        <v/>
      </c>
      <c r="AO463" s="43"/>
      <c r="AP463" s="43"/>
      <c r="AQ463" s="25" t="str">
        <f aca="false">IF(AND(ISNUMBER(AP463),ISNUMBER(AO463),AO463&gt;=5),AP463/AO463,"")</f>
        <v/>
      </c>
      <c r="AR463" s="43"/>
      <c r="AS463" s="43"/>
      <c r="AT463" s="22" t="str">
        <f aca="false">IF(AND(ISNUMBER(AS463),ISNUMBER(AR463),AR463&gt;0),AS463/AR463-1,"")</f>
        <v/>
      </c>
      <c r="AU463" s="44"/>
      <c r="AV463" s="44"/>
      <c r="AW463" s="44"/>
      <c r="AX463" s="44"/>
      <c r="AY463" s="44"/>
      <c r="AZ463" s="45"/>
      <c r="BA463" s="45"/>
      <c r="BB463" s="46"/>
      <c r="BC463" s="46"/>
      <c r="BD463" s="23" t="str">
        <f aca="false">IF(AND(ISNUMBER(BB463),ISNUMBER(BC463),BB463&gt;0),1-BC463/BB463,"")</f>
        <v/>
      </c>
      <c r="BE463" s="47"/>
      <c r="BF463" s="48"/>
      <c r="BG463" s="48"/>
      <c r="BH463" s="27" t="str">
        <f aca="false">IF(AND(ISNUMBER(BF463),ISNUMBER(BG463),BG463&gt;0),BF463/BG463,"")</f>
        <v/>
      </c>
      <c r="BI463" s="48"/>
      <c r="BJ463" s="44"/>
      <c r="BK463" s="46"/>
      <c r="BL463" s="46"/>
      <c r="BM463" s="36" t="str">
        <f aca="false">IF(ISNUMBER(Q463),IF(Q463&lt;0,"YES","no"),"")</f>
        <v/>
      </c>
      <c r="BN463" s="36" t="str">
        <f aca="false">IFERROR(IF(AND(ISNUMBER(K463),ISNUMBER(INDEX('Lift Inputs'!$H:$H,MATCH(C463,'Lift Inputs'!$C:$C,0)))),IF(K463&lt;INDEX('Lift Inputs'!$H:$H,MATCH(C463,'Lift Inputs'!$C:$C,0)),"YES","no"),""),"")</f>
        <v/>
      </c>
      <c r="BO463" s="44"/>
    </row>
    <row r="464" customFormat="false" ht="15" hidden="false" customHeight="false" outlineLevel="0" collapsed="false">
      <c r="A464" s="15" t="s">
        <v>110</v>
      </c>
      <c r="B464" s="15" t="s">
        <v>127</v>
      </c>
      <c r="C464" s="15" t="n">
        <v>70</v>
      </c>
      <c r="D464" s="15" t="s">
        <v>205</v>
      </c>
      <c r="E464" s="15" t="n">
        <v>483</v>
      </c>
      <c r="F464" s="15" t="s">
        <v>516</v>
      </c>
      <c r="G464" s="15" t="s">
        <v>917</v>
      </c>
      <c r="H464" s="15" t="s">
        <v>918</v>
      </c>
      <c r="I464" s="15" t="s">
        <v>919</v>
      </c>
      <c r="J464" s="15" t="s">
        <v>177</v>
      </c>
      <c r="K464" s="35" t="n">
        <v>59.25</v>
      </c>
      <c r="L464" s="35" t="n">
        <v>79</v>
      </c>
      <c r="M464" s="23" t="n">
        <f aca="false">IF(AND(ISNUMBER(L464),ISNUMBER(K464),K464&gt;0),L464/K464-1,"")</f>
        <v>0.333333333333333</v>
      </c>
      <c r="N464" s="36" t="str">
        <f aca="false">IF(M464="","No List Price",IF(M464&lt;=0,"At/below price",IF(M464&lt;=0.12,"&lt;=12% (STR zone)",IF(M464&lt;=0.25,"12-25%","&gt;25% (likely ignored)"))))</f>
        <v>&gt;25% (likely ignored)</v>
      </c>
      <c r="O464" s="15" t="s">
        <v>716</v>
      </c>
      <c r="P464" s="35"/>
      <c r="Q464" s="22" t="str">
        <f aca="false">IF(AND(ISNUMBER(K464),ISNUMBER(P464),N(P464)&gt;0),K464/P464-1,"")</f>
        <v/>
      </c>
      <c r="R464" s="15"/>
      <c r="S464" s="37" t="n">
        <v>4369</v>
      </c>
      <c r="T464" s="37" t="n">
        <v>208</v>
      </c>
      <c r="U464" s="38" t="n">
        <f aca="false">IF(AND(ISNUMBER(K464),ISNUMBER(T464)),K464*T464*52/12,"")</f>
        <v>53404</v>
      </c>
      <c r="V464" s="15" t="n">
        <v>4.4</v>
      </c>
      <c r="W464" s="37" t="n">
        <v>1226</v>
      </c>
      <c r="X464" s="39" t="n">
        <v>46307</v>
      </c>
      <c r="Y464" s="15" t="n">
        <v>12</v>
      </c>
      <c r="Z464" s="40" t="n">
        <v>45016</v>
      </c>
      <c r="AA464" s="41" t="n">
        <f aca="false">IF(ISNUMBER(Z464),(DATE(2026,10,13)-Z464)/365,"")</f>
        <v>3.53972602739726</v>
      </c>
      <c r="AB464" s="37" t="n">
        <v>5738</v>
      </c>
      <c r="AC464" s="15" t="s">
        <v>313</v>
      </c>
      <c r="AD464" s="15" t="n">
        <v>2</v>
      </c>
      <c r="AE464" s="15" t="s">
        <v>336</v>
      </c>
      <c r="AF464" s="42" t="n">
        <v>0.504</v>
      </c>
      <c r="AG464" s="42" t="n">
        <v>0.0711417193328714</v>
      </c>
      <c r="AH464" s="15" t="n">
        <v>228</v>
      </c>
      <c r="AI464" s="37" t="n">
        <v>345367</v>
      </c>
      <c r="AJ464" s="37" t="n">
        <v>4235</v>
      </c>
      <c r="AK464" s="15" t="s">
        <v>315</v>
      </c>
      <c r="AL464" s="43" t="n">
        <v>131.3</v>
      </c>
      <c r="AM464" s="43" t="n">
        <v>295.8</v>
      </c>
      <c r="AN464" s="25" t="n">
        <f aca="false">IF(AND(ISNUMBER(AM464),ISNUMBER(AL464),AL464&gt;=5),AM464/AL464,"")</f>
        <v>2.25285605483625</v>
      </c>
      <c r="AO464" s="43" t="n">
        <v>42.4</v>
      </c>
      <c r="AP464" s="43" t="n">
        <v>336.5</v>
      </c>
      <c r="AQ464" s="25" t="n">
        <f aca="false">IF(AND(ISNUMBER(AP464),ISNUMBER(AO464),AO464&gt;=5),AP464/AO464,"")</f>
        <v>7.93632075471698</v>
      </c>
      <c r="AR464" s="43" t="n">
        <v>109.9</v>
      </c>
      <c r="AS464" s="43" t="n">
        <v>203.4</v>
      </c>
      <c r="AT464" s="22" t="n">
        <f aca="false">IF(AND(ISNUMBER(AS464),ISNUMBER(AR464),AR464&gt;0),AS464/AR464-1,"")</f>
        <v>0.850773430391265</v>
      </c>
      <c r="AU464" s="44"/>
      <c r="AV464" s="44"/>
      <c r="AW464" s="44"/>
      <c r="AX464" s="44"/>
      <c r="AY464" s="44"/>
      <c r="AZ464" s="45"/>
      <c r="BA464" s="45"/>
      <c r="BB464" s="46"/>
      <c r="BC464" s="46"/>
      <c r="BD464" s="23" t="str">
        <f aca="false">IF(AND(ISNUMBER(BB464),ISNUMBER(BC464),BB464&gt;0),1-BC464/BB464,"")</f>
        <v/>
      </c>
      <c r="BE464" s="47"/>
      <c r="BF464" s="48"/>
      <c r="BG464" s="48"/>
      <c r="BH464" s="27" t="str">
        <f aca="false">IF(AND(ISNUMBER(BF464),ISNUMBER(BG464),BG464&gt;0),BF464/BG464,"")</f>
        <v/>
      </c>
      <c r="BI464" s="48"/>
      <c r="BJ464" s="44"/>
      <c r="BK464" s="46"/>
      <c r="BL464" s="46"/>
      <c r="BM464" s="36" t="str">
        <f aca="false">IF(ISNUMBER(Q464),IF(Q464&lt;0,"YES","no"),"")</f>
        <v/>
      </c>
      <c r="BN464" s="36" t="str">
        <f aca="false">IFERROR(IF(AND(ISNUMBER(K464),ISNUMBER(INDEX('Lift Inputs'!$H:$H,MATCH(C464,'Lift Inputs'!$C:$C,0)))),IF(K464&lt;INDEX('Lift Inputs'!$H:$H,MATCH(C464,'Lift Inputs'!$C:$C,0)),"YES","no"),""),"")</f>
        <v/>
      </c>
      <c r="BO464" s="44"/>
    </row>
    <row r="465" customFormat="false" ht="15" hidden="false" customHeight="false" outlineLevel="0" collapsed="false">
      <c r="A465" s="15" t="s">
        <v>110</v>
      </c>
      <c r="B465" s="15" t="s">
        <v>127</v>
      </c>
      <c r="C465" s="15" t="n">
        <v>70</v>
      </c>
      <c r="D465" s="15" t="s">
        <v>205</v>
      </c>
      <c r="E465" s="15" t="n">
        <v>1873</v>
      </c>
      <c r="F465" s="15" t="s">
        <v>920</v>
      </c>
      <c r="G465" s="15" t="s">
        <v>921</v>
      </c>
      <c r="H465" s="15" t="s">
        <v>922</v>
      </c>
      <c r="I465" s="15" t="s">
        <v>923</v>
      </c>
      <c r="J465" s="15" t="s">
        <v>177</v>
      </c>
      <c r="K465" s="35" t="n">
        <v>14.6</v>
      </c>
      <c r="L465" s="35"/>
      <c r="M465" s="23" t="str">
        <f aca="false">IF(AND(ISNUMBER(L465),ISNUMBER(K465),K465&gt;0),L465/K465-1,"")</f>
        <v/>
      </c>
      <c r="N465" s="36" t="str">
        <f aca="false">IF(M465="","No List Price",IF(M465&lt;=0,"At/below price",IF(M465&lt;=0.12,"&lt;=12% (STR zone)",IF(M465&lt;=0.25,"12-25%","&gt;25% (likely ignored)"))))</f>
        <v>No List Price</v>
      </c>
      <c r="O465" s="15"/>
      <c r="P465" s="35"/>
      <c r="Q465" s="22" t="str">
        <f aca="false">IF(AND(ISNUMBER(K465),ISNUMBER(P465),N(P465)&gt;0),K465/P465-1,"")</f>
        <v/>
      </c>
      <c r="R465" s="15"/>
      <c r="S465" s="37" t="n">
        <v>28988</v>
      </c>
      <c r="T465" s="37" t="n">
        <v>104</v>
      </c>
      <c r="U465" s="38" t="n">
        <f aca="false">IF(AND(ISNUMBER(K465),ISNUMBER(T465)),K465*T465*52/12,"")</f>
        <v>6579.73333333333</v>
      </c>
      <c r="V465" s="15" t="n">
        <v>4.4</v>
      </c>
      <c r="W465" s="37" t="n">
        <v>1768</v>
      </c>
      <c r="X465" s="39" t="n">
        <v>46307</v>
      </c>
      <c r="Y465" s="15" t="n">
        <v>54</v>
      </c>
      <c r="Z465" s="40" t="n">
        <v>44247</v>
      </c>
      <c r="AA465" s="41" t="n">
        <f aca="false">IF(ISNUMBER(Z465),(DATE(2026,10,13)-Z465)/365,"")</f>
        <v>5.64657534246575</v>
      </c>
      <c r="AB465" s="37" t="n">
        <v>1484</v>
      </c>
      <c r="AC465" s="15" t="s">
        <v>313</v>
      </c>
      <c r="AD465" s="15" t="n">
        <v>1</v>
      </c>
      <c r="AE465" s="15" t="s">
        <v>331</v>
      </c>
      <c r="AF465" s="42" t="n">
        <v>0.008</v>
      </c>
      <c r="AG465" s="42" t="n">
        <v>0.00017497077987976</v>
      </c>
      <c r="AH465" s="15" t="n">
        <v>87</v>
      </c>
      <c r="AI465" s="37" t="n">
        <v>17999</v>
      </c>
      <c r="AJ465" s="37" t="n">
        <v>499</v>
      </c>
      <c r="AK465" s="15" t="s">
        <v>315</v>
      </c>
      <c r="AL465" s="43" t="n">
        <v>62.1</v>
      </c>
      <c r="AM465" s="43" t="n">
        <v>69</v>
      </c>
      <c r="AN465" s="25" t="n">
        <f aca="false">IF(AND(ISNUMBER(AM465),ISNUMBER(AL465),AL465&gt;=5),AM465/AL465,"")</f>
        <v>1.11111111111111</v>
      </c>
      <c r="AO465" s="43" t="n">
        <v>5</v>
      </c>
      <c r="AP465" s="43" t="n">
        <v>8</v>
      </c>
      <c r="AQ465" s="25" t="n">
        <f aca="false">IF(AND(ISNUMBER(AP465),ISNUMBER(AO465),AO465&gt;=5),AP465/AO465,"")</f>
        <v>1.6</v>
      </c>
      <c r="AR465" s="43" t="n">
        <v>56.7</v>
      </c>
      <c r="AS465" s="43" t="n">
        <v>66.6</v>
      </c>
      <c r="AT465" s="22" t="n">
        <f aca="false">IF(AND(ISNUMBER(AS465),ISNUMBER(AR465),AR465&gt;0),AS465/AR465-1,"")</f>
        <v>0.174603174603174</v>
      </c>
      <c r="AU465" s="44"/>
      <c r="AV465" s="44"/>
      <c r="AW465" s="44"/>
      <c r="AX465" s="44"/>
      <c r="AY465" s="44"/>
      <c r="AZ465" s="45"/>
      <c r="BA465" s="45"/>
      <c r="BB465" s="46"/>
      <c r="BC465" s="46"/>
      <c r="BD465" s="23" t="str">
        <f aca="false">IF(AND(ISNUMBER(BB465),ISNUMBER(BC465),BB465&gt;0),1-BC465/BB465,"")</f>
        <v/>
      </c>
      <c r="BE465" s="47"/>
      <c r="BF465" s="48"/>
      <c r="BG465" s="48"/>
      <c r="BH465" s="27" t="str">
        <f aca="false">IF(AND(ISNUMBER(BF465),ISNUMBER(BG465),BG465&gt;0),BF465/BG465,"")</f>
        <v/>
      </c>
      <c r="BI465" s="48"/>
      <c r="BJ465" s="44"/>
      <c r="BK465" s="46"/>
      <c r="BL465" s="46"/>
      <c r="BM465" s="36" t="str">
        <f aca="false">IF(ISNUMBER(Q465),IF(Q465&lt;0,"YES","no"),"")</f>
        <v/>
      </c>
      <c r="BN465" s="36" t="str">
        <f aca="false">IFERROR(IF(AND(ISNUMBER(K465),ISNUMBER(INDEX('Lift Inputs'!$H:$H,MATCH(C465,'Lift Inputs'!$C:$C,0)))),IF(K465&lt;INDEX('Lift Inputs'!$H:$H,MATCH(C465,'Lift Inputs'!$C:$C,0)),"YES","no"),""),"")</f>
        <v/>
      </c>
      <c r="BO465" s="44"/>
    </row>
    <row r="466" customFormat="false" ht="15" hidden="false" customHeight="false" outlineLevel="0" collapsed="false">
      <c r="A466" s="15" t="s">
        <v>110</v>
      </c>
      <c r="B466" s="15" t="s">
        <v>127</v>
      </c>
      <c r="C466" s="15" t="n">
        <v>70</v>
      </c>
      <c r="D466" s="15" t="s">
        <v>205</v>
      </c>
      <c r="E466" s="15" t="n">
        <v>1860</v>
      </c>
      <c r="F466" s="15" t="s">
        <v>924</v>
      </c>
      <c r="G466" s="15" t="s">
        <v>925</v>
      </c>
      <c r="H466" s="15" t="s">
        <v>926</v>
      </c>
      <c r="I466" s="15" t="s">
        <v>927</v>
      </c>
      <c r="J466" s="15" t="s">
        <v>177</v>
      </c>
      <c r="K466" s="35" t="n">
        <v>11.99</v>
      </c>
      <c r="L466" s="35"/>
      <c r="M466" s="23" t="str">
        <f aca="false">IF(AND(ISNUMBER(L466),ISNUMBER(K466),K466&gt;0),L466/K466-1,"")</f>
        <v/>
      </c>
      <c r="N466" s="36" t="str">
        <f aca="false">IF(M466="","No List Price",IF(M466&lt;=0,"At/below price",IF(M466&lt;=0.12,"&lt;=12% (STR zone)",IF(M466&lt;=0.25,"12-25%","&gt;25% (likely ignored)"))))</f>
        <v>No List Price</v>
      </c>
      <c r="O466" s="15" t="s">
        <v>320</v>
      </c>
      <c r="P466" s="35"/>
      <c r="Q466" s="22" t="str">
        <f aca="false">IF(AND(ISNUMBER(K466),ISNUMBER(P466),N(P466)&gt;0),K466/P466-1,"")</f>
        <v/>
      </c>
      <c r="R466" s="15"/>
      <c r="S466" s="37" t="n">
        <v>31417</v>
      </c>
      <c r="T466" s="37" t="n">
        <v>81</v>
      </c>
      <c r="U466" s="38" t="n">
        <f aca="false">IF(AND(ISNUMBER(K466),ISNUMBER(T466)),K466*T466*52/12,"")</f>
        <v>4208.49</v>
      </c>
      <c r="V466" s="15" t="n">
        <v>4.3</v>
      </c>
      <c r="W466" s="37" t="n">
        <v>1309</v>
      </c>
      <c r="X466" s="39" t="n">
        <v>46307</v>
      </c>
      <c r="Y466" s="15"/>
      <c r="Z466" s="40"/>
      <c r="AA466" s="41" t="str">
        <f aca="false">IF(ISNUMBER(Z466),(DATE(2026,10,13)-Z466)/365,"")</f>
        <v/>
      </c>
      <c r="AB466" s="37"/>
      <c r="AC466" s="15"/>
      <c r="AD466" s="15"/>
      <c r="AE466" s="15"/>
      <c r="AF466" s="42"/>
      <c r="AG466" s="42"/>
      <c r="AH466" s="15"/>
      <c r="AI466" s="37" t="n">
        <v>17008</v>
      </c>
      <c r="AJ466" s="37" t="n">
        <v>741</v>
      </c>
      <c r="AK466" s="15" t="s">
        <v>315</v>
      </c>
      <c r="AL466" s="43" t="n">
        <v>41.2</v>
      </c>
      <c r="AM466" s="43" t="n">
        <v>35</v>
      </c>
      <c r="AN466" s="25" t="n">
        <f aca="false">IF(AND(ISNUMBER(AM466),ISNUMBER(AL466),AL466&gt;=5),AM466/AL466,"")</f>
        <v>0.849514563106796</v>
      </c>
      <c r="AO466" s="43" t="n">
        <v>10</v>
      </c>
      <c r="AP466" s="43" t="n">
        <v>3.2</v>
      </c>
      <c r="AQ466" s="25" t="n">
        <f aca="false">IF(AND(ISNUMBER(AP466),ISNUMBER(AO466),AO466&gt;=5),AP466/AO466,"")</f>
        <v>0.32</v>
      </c>
      <c r="AR466" s="43" t="n">
        <v>22.9</v>
      </c>
      <c r="AS466" s="43" t="n">
        <v>32.8</v>
      </c>
      <c r="AT466" s="22" t="n">
        <f aca="false">IF(AND(ISNUMBER(AS466),ISNUMBER(AR466),AR466&gt;0),AS466/AR466-1,"")</f>
        <v>0.432314410480349</v>
      </c>
      <c r="AU466" s="44"/>
      <c r="AV466" s="44"/>
      <c r="AW466" s="44"/>
      <c r="AX466" s="44"/>
      <c r="AY466" s="44"/>
      <c r="AZ466" s="45"/>
      <c r="BA466" s="45"/>
      <c r="BB466" s="46"/>
      <c r="BC466" s="46"/>
      <c r="BD466" s="23" t="str">
        <f aca="false">IF(AND(ISNUMBER(BB466),ISNUMBER(BC466),BB466&gt;0),1-BC466/BB466,"")</f>
        <v/>
      </c>
      <c r="BE466" s="47"/>
      <c r="BF466" s="48"/>
      <c r="BG466" s="48"/>
      <c r="BH466" s="27" t="str">
        <f aca="false">IF(AND(ISNUMBER(BF466),ISNUMBER(BG466),BG466&gt;0),BF466/BG466,"")</f>
        <v/>
      </c>
      <c r="BI466" s="48"/>
      <c r="BJ466" s="44"/>
      <c r="BK466" s="46"/>
      <c r="BL466" s="46"/>
      <c r="BM466" s="36" t="str">
        <f aca="false">IF(ISNUMBER(Q466),IF(Q466&lt;0,"YES","no"),"")</f>
        <v/>
      </c>
      <c r="BN466" s="36" t="str">
        <f aca="false">IFERROR(IF(AND(ISNUMBER(K466),ISNUMBER(INDEX('Lift Inputs'!$H:$H,MATCH(C466,'Lift Inputs'!$C:$C,0)))),IF(K466&lt;INDEX('Lift Inputs'!$H:$H,MATCH(C466,'Lift Inputs'!$C:$C,0)),"YES","no"),""),"")</f>
        <v/>
      </c>
      <c r="BO466" s="44"/>
    </row>
    <row r="467" customFormat="false" ht="15" hidden="false" customHeight="false" outlineLevel="0" collapsed="false">
      <c r="A467" s="15" t="s">
        <v>110</v>
      </c>
      <c r="B467" s="15" t="s">
        <v>127</v>
      </c>
      <c r="C467" s="15" t="n">
        <v>70</v>
      </c>
      <c r="D467" s="15" t="s">
        <v>205</v>
      </c>
      <c r="E467" s="15" t="n">
        <v>1864</v>
      </c>
      <c r="F467" s="15" t="s">
        <v>928</v>
      </c>
      <c r="G467" s="15" t="s">
        <v>929</v>
      </c>
      <c r="H467" s="15" t="s">
        <v>930</v>
      </c>
      <c r="I467" s="15" t="s">
        <v>931</v>
      </c>
      <c r="J467" s="15" t="s">
        <v>177</v>
      </c>
      <c r="K467" s="35" t="n">
        <v>16.99</v>
      </c>
      <c r="L467" s="35"/>
      <c r="M467" s="23" t="str">
        <f aca="false">IF(AND(ISNUMBER(L467),ISNUMBER(K467),K467&gt;0),L467/K467-1,"")</f>
        <v/>
      </c>
      <c r="N467" s="36" t="str">
        <f aca="false">IF(M467="","No List Price",IF(M467&lt;=0,"At/below price",IF(M467&lt;=0.12,"&lt;=12% (STR zone)",IF(M467&lt;=0.25,"12-25%","&gt;25% (likely ignored)"))))</f>
        <v>No List Price</v>
      </c>
      <c r="O467" s="15" t="s">
        <v>311</v>
      </c>
      <c r="P467" s="35"/>
      <c r="Q467" s="22" t="str">
        <f aca="false">IF(AND(ISNUMBER(K467),ISNUMBER(P467),N(P467)&gt;0),K467/P467-1,"")</f>
        <v/>
      </c>
      <c r="R467" s="15"/>
      <c r="S467" s="37" t="n">
        <v>39446</v>
      </c>
      <c r="T467" s="37" t="n">
        <v>35</v>
      </c>
      <c r="U467" s="38" t="n">
        <f aca="false">IF(AND(ISNUMBER(K467),ISNUMBER(T467)),K467*T467*52/12,"")</f>
        <v>2576.81666666667</v>
      </c>
      <c r="V467" s="15" t="n">
        <v>4.4</v>
      </c>
      <c r="W467" s="37" t="n">
        <v>769</v>
      </c>
      <c r="X467" s="39" t="n">
        <v>46307</v>
      </c>
      <c r="Y467" s="15" t="n">
        <v>22</v>
      </c>
      <c r="Z467" s="40" t="n">
        <v>45695</v>
      </c>
      <c r="AA467" s="41" t="n">
        <f aca="false">IF(ISNUMBER(Z467),(DATE(2026,10,13)-Z467)/365,"")</f>
        <v>1.67945205479452</v>
      </c>
      <c r="AB467" s="37" t="n">
        <v>815</v>
      </c>
      <c r="AC467" s="15" t="s">
        <v>313</v>
      </c>
      <c r="AD467" s="15" t="n">
        <v>1</v>
      </c>
      <c r="AE467" s="15" t="s">
        <v>331</v>
      </c>
      <c r="AF467" s="42" t="n">
        <v>0</v>
      </c>
      <c r="AG467" s="42" t="n">
        <v>0</v>
      </c>
      <c r="AH467" s="15" t="n">
        <v>63</v>
      </c>
      <c r="AI467" s="37" t="n">
        <v>15503</v>
      </c>
      <c r="AJ467" s="37" t="n">
        <v>408</v>
      </c>
      <c r="AK467" s="15" t="s">
        <v>315</v>
      </c>
      <c r="AL467" s="43" t="n">
        <v>4.5</v>
      </c>
      <c r="AM467" s="43" t="n">
        <v>5.2</v>
      </c>
      <c r="AN467" s="25" t="str">
        <f aca="false">IF(AND(ISNUMBER(AM467),ISNUMBER(AL467),AL467&gt;=5),AM467/AL467,"")</f>
        <v/>
      </c>
      <c r="AO467" s="43" t="n">
        <v>0.8</v>
      </c>
      <c r="AP467" s="43" t="n">
        <v>0.5</v>
      </c>
      <c r="AQ467" s="25" t="str">
        <f aca="false">IF(AND(ISNUMBER(AP467),ISNUMBER(AO467),AO467&gt;=5),AP467/AO467,"")</f>
        <v/>
      </c>
      <c r="AR467" s="43" t="n">
        <v>7.2</v>
      </c>
      <c r="AS467" s="43" t="n">
        <v>33.2</v>
      </c>
      <c r="AT467" s="22" t="n">
        <f aca="false">IF(AND(ISNUMBER(AS467),ISNUMBER(AR467),AR467&gt;0),AS467/AR467-1,"")</f>
        <v>3.61111111111111</v>
      </c>
      <c r="AU467" s="44"/>
      <c r="AV467" s="44"/>
      <c r="AW467" s="44"/>
      <c r="AX467" s="44"/>
      <c r="AY467" s="44"/>
      <c r="AZ467" s="45"/>
      <c r="BA467" s="45"/>
      <c r="BB467" s="46"/>
      <c r="BC467" s="46"/>
      <c r="BD467" s="23" t="str">
        <f aca="false">IF(AND(ISNUMBER(BB467),ISNUMBER(BC467),BB467&gt;0),1-BC467/BB467,"")</f>
        <v/>
      </c>
      <c r="BE467" s="47"/>
      <c r="BF467" s="48"/>
      <c r="BG467" s="48"/>
      <c r="BH467" s="27" t="str">
        <f aca="false">IF(AND(ISNUMBER(BF467),ISNUMBER(BG467),BG467&gt;0),BF467/BG467,"")</f>
        <v/>
      </c>
      <c r="BI467" s="48"/>
      <c r="BJ467" s="44"/>
      <c r="BK467" s="46"/>
      <c r="BL467" s="46"/>
      <c r="BM467" s="36" t="str">
        <f aca="false">IF(ISNUMBER(Q467),IF(Q467&lt;0,"YES","no"),"")</f>
        <v/>
      </c>
      <c r="BN467" s="36" t="str">
        <f aca="false">IFERROR(IF(AND(ISNUMBER(K467),ISNUMBER(INDEX('Lift Inputs'!$H:$H,MATCH(C467,'Lift Inputs'!$C:$C,0)))),IF(K467&lt;INDEX('Lift Inputs'!$H:$H,MATCH(C467,'Lift Inputs'!$C:$C,0)),"YES","no"),""),"")</f>
        <v/>
      </c>
      <c r="BO467" s="44"/>
    </row>
    <row r="468" customFormat="false" ht="15" hidden="false" customHeight="false" outlineLevel="0" collapsed="false">
      <c r="A468" s="15" t="s">
        <v>110</v>
      </c>
      <c r="B468" s="15" t="s">
        <v>127</v>
      </c>
      <c r="C468" s="15" t="n">
        <v>70</v>
      </c>
      <c r="D468" s="15" t="s">
        <v>205</v>
      </c>
      <c r="E468" s="15" t="n">
        <v>1859</v>
      </c>
      <c r="F468" s="15" t="s">
        <v>855</v>
      </c>
      <c r="G468" s="15" t="s">
        <v>932</v>
      </c>
      <c r="H468" s="15" t="s">
        <v>933</v>
      </c>
      <c r="I468" s="15" t="s">
        <v>934</v>
      </c>
      <c r="J468" s="15" t="s">
        <v>177</v>
      </c>
      <c r="K468" s="35" t="n">
        <v>54.99</v>
      </c>
      <c r="L468" s="35"/>
      <c r="M468" s="23" t="str">
        <f aca="false">IF(AND(ISNUMBER(L468),ISNUMBER(K468),K468&gt;0),L468/K468-1,"")</f>
        <v/>
      </c>
      <c r="N468" s="36" t="str">
        <f aca="false">IF(M468="","No List Price",IF(M468&lt;=0,"At/below price",IF(M468&lt;=0.12,"&lt;=12% (STR zone)",IF(M468&lt;=0.25,"12-25%","&gt;25% (likely ignored)"))))</f>
        <v>No List Price</v>
      </c>
      <c r="O468" s="15" t="s">
        <v>311</v>
      </c>
      <c r="P468" s="35"/>
      <c r="Q468" s="22" t="str">
        <f aca="false">IF(AND(ISNUMBER(K468),ISNUMBER(P468),N(P468)&gt;0),K468/P468-1,"")</f>
        <v/>
      </c>
      <c r="R468" s="15"/>
      <c r="S468" s="37" t="n">
        <v>132996</v>
      </c>
      <c r="T468" s="37" t="n">
        <v>18</v>
      </c>
      <c r="U468" s="38" t="n">
        <f aca="false">IF(AND(ISNUMBER(K468),ISNUMBER(T468)),K468*T468*52/12,"")</f>
        <v>4289.22</v>
      </c>
      <c r="V468" s="15" t="n">
        <v>4.4</v>
      </c>
      <c r="W468" s="37" t="n">
        <v>305</v>
      </c>
      <c r="X468" s="39" t="n">
        <v>46307</v>
      </c>
      <c r="Y468" s="15"/>
      <c r="Z468" s="40"/>
      <c r="AA468" s="41" t="str">
        <f aca="false">IF(ISNUMBER(Z468),(DATE(2026,10,13)-Z468)/365,"")</f>
        <v/>
      </c>
      <c r="AB468" s="37"/>
      <c r="AC468" s="15"/>
      <c r="AD468" s="15"/>
      <c r="AE468" s="15"/>
      <c r="AF468" s="42"/>
      <c r="AG468" s="42"/>
      <c r="AH468" s="15"/>
      <c r="AI468" s="37" t="n">
        <v>25040</v>
      </c>
      <c r="AJ468" s="37" t="n">
        <v>1207</v>
      </c>
      <c r="AK468" s="15"/>
      <c r="AL468" s="43"/>
      <c r="AM468" s="43"/>
      <c r="AN468" s="25" t="str">
        <f aca="false">IF(AND(ISNUMBER(AM468),ISNUMBER(AL468),AL468&gt;=5),AM468/AL468,"")</f>
        <v/>
      </c>
      <c r="AO468" s="43"/>
      <c r="AP468" s="43"/>
      <c r="AQ468" s="25" t="str">
        <f aca="false">IF(AND(ISNUMBER(AP468),ISNUMBER(AO468),AO468&gt;=5),AP468/AO468,"")</f>
        <v/>
      </c>
      <c r="AR468" s="43"/>
      <c r="AS468" s="43"/>
      <c r="AT468" s="22" t="str">
        <f aca="false">IF(AND(ISNUMBER(AS468),ISNUMBER(AR468),AR468&gt;0),AS468/AR468-1,"")</f>
        <v/>
      </c>
      <c r="AU468" s="44"/>
      <c r="AV468" s="44"/>
      <c r="AW468" s="44"/>
      <c r="AX468" s="44"/>
      <c r="AY468" s="44"/>
      <c r="AZ468" s="45"/>
      <c r="BA468" s="45"/>
      <c r="BB468" s="46"/>
      <c r="BC468" s="46"/>
      <c r="BD468" s="23" t="str">
        <f aca="false">IF(AND(ISNUMBER(BB468),ISNUMBER(BC468),BB468&gt;0),1-BC468/BB468,"")</f>
        <v/>
      </c>
      <c r="BE468" s="47"/>
      <c r="BF468" s="48"/>
      <c r="BG468" s="48"/>
      <c r="BH468" s="27" t="str">
        <f aca="false">IF(AND(ISNUMBER(BF468),ISNUMBER(BG468),BG468&gt;0),BF468/BG468,"")</f>
        <v/>
      </c>
      <c r="BI468" s="48"/>
      <c r="BJ468" s="44"/>
      <c r="BK468" s="46"/>
      <c r="BL468" s="46"/>
      <c r="BM468" s="36" t="str">
        <f aca="false">IF(ISNUMBER(Q468),IF(Q468&lt;0,"YES","no"),"")</f>
        <v/>
      </c>
      <c r="BN468" s="36" t="str">
        <f aca="false">IFERROR(IF(AND(ISNUMBER(K468),ISNUMBER(INDEX('Lift Inputs'!$H:$H,MATCH(C468,'Lift Inputs'!$C:$C,0)))),IF(K468&lt;INDEX('Lift Inputs'!$H:$H,MATCH(C468,'Lift Inputs'!$C:$C,0)),"YES","no"),""),"")</f>
        <v/>
      </c>
      <c r="BO468" s="44"/>
    </row>
    <row r="469" customFormat="false" ht="15" hidden="false" customHeight="false" outlineLevel="0" collapsed="false">
      <c r="A469" s="15" t="s">
        <v>110</v>
      </c>
      <c r="B469" s="15" t="s">
        <v>127</v>
      </c>
      <c r="C469" s="15" t="n">
        <v>70</v>
      </c>
      <c r="D469" s="15" t="s">
        <v>205</v>
      </c>
      <c r="E469" s="15" t="n">
        <v>1876</v>
      </c>
      <c r="F469" s="15" t="s">
        <v>935</v>
      </c>
      <c r="G469" s="15" t="s">
        <v>936</v>
      </c>
      <c r="H469" s="15" t="s">
        <v>937</v>
      </c>
      <c r="I469" s="15" t="s">
        <v>938</v>
      </c>
      <c r="J469" s="15" t="s">
        <v>177</v>
      </c>
      <c r="K469" s="35" t="n">
        <v>19.99</v>
      </c>
      <c r="L469" s="35"/>
      <c r="M469" s="23" t="str">
        <f aca="false">IF(AND(ISNUMBER(L469),ISNUMBER(K469),K469&gt;0),L469/K469-1,"")</f>
        <v/>
      </c>
      <c r="N469" s="36" t="str">
        <f aca="false">IF(M469="","No List Price",IF(M469&lt;=0,"At/below price",IF(M469&lt;=0.12,"&lt;=12% (STR zone)",IF(M469&lt;=0.25,"12-25%","&gt;25% (likely ignored)"))))</f>
        <v>No List Price</v>
      </c>
      <c r="O469" s="15" t="s">
        <v>716</v>
      </c>
      <c r="P469" s="35"/>
      <c r="Q469" s="22" t="str">
        <f aca="false">IF(AND(ISNUMBER(K469),ISNUMBER(P469),N(P469)&gt;0),K469/P469-1,"")</f>
        <v/>
      </c>
      <c r="R469" s="15"/>
      <c r="S469" s="37" t="n">
        <v>156607</v>
      </c>
      <c r="T469" s="37" t="n">
        <v>18</v>
      </c>
      <c r="U469" s="38" t="n">
        <f aca="false">IF(AND(ISNUMBER(K469),ISNUMBER(T469)),K469*T469*52/12,"")</f>
        <v>1559.22</v>
      </c>
      <c r="V469" s="15" t="n">
        <v>4.3</v>
      </c>
      <c r="W469" s="37" t="n">
        <v>1335</v>
      </c>
      <c r="X469" s="39" t="n">
        <v>46307</v>
      </c>
      <c r="Y469" s="15" t="n">
        <v>16</v>
      </c>
      <c r="Z469" s="40" t="n">
        <v>44392</v>
      </c>
      <c r="AA469" s="41" t="n">
        <f aca="false">IF(ISNUMBER(Z469),(DATE(2026,10,13)-Z469)/365,"")</f>
        <v>5.24931506849315</v>
      </c>
      <c r="AB469" s="37" t="n">
        <v>260</v>
      </c>
      <c r="AC469" s="15" t="s">
        <v>313</v>
      </c>
      <c r="AD469" s="15" t="n">
        <v>1</v>
      </c>
      <c r="AE469" s="15" t="s">
        <v>331</v>
      </c>
      <c r="AF469" s="42" t="n">
        <v>0</v>
      </c>
      <c r="AG469" s="42" t="n">
        <v>0</v>
      </c>
      <c r="AH469" s="15" t="n">
        <v>88</v>
      </c>
      <c r="AI469" s="37" t="n">
        <v>16144</v>
      </c>
      <c r="AJ469" s="37" t="n">
        <v>429</v>
      </c>
      <c r="AK469" s="15" t="s">
        <v>315</v>
      </c>
      <c r="AL469" s="43" t="n">
        <v>26.8</v>
      </c>
      <c r="AM469" s="43" t="n">
        <v>31.5</v>
      </c>
      <c r="AN469" s="25" t="n">
        <f aca="false">IF(AND(ISNUMBER(AM469),ISNUMBER(AL469),AL469&gt;=5),AM469/AL469,"")</f>
        <v>1.17537313432836</v>
      </c>
      <c r="AO469" s="43" t="n">
        <v>12.1</v>
      </c>
      <c r="AP469" s="43" t="n">
        <v>24.2</v>
      </c>
      <c r="AQ469" s="25" t="n">
        <f aca="false">IF(AND(ISNUMBER(AP469),ISNUMBER(AO469),AO469&gt;=5),AP469/AO469,"")</f>
        <v>2</v>
      </c>
      <c r="AR469" s="43" t="n">
        <v>22</v>
      </c>
      <c r="AS469" s="43" t="n">
        <v>34.9</v>
      </c>
      <c r="AT469" s="22" t="n">
        <f aca="false">IF(AND(ISNUMBER(AS469),ISNUMBER(AR469),AR469&gt;0),AS469/AR469-1,"")</f>
        <v>0.586363636363636</v>
      </c>
      <c r="AU469" s="44"/>
      <c r="AV469" s="44"/>
      <c r="AW469" s="44"/>
      <c r="AX469" s="44"/>
      <c r="AY469" s="44"/>
      <c r="AZ469" s="45"/>
      <c r="BA469" s="45"/>
      <c r="BB469" s="46"/>
      <c r="BC469" s="46"/>
      <c r="BD469" s="23" t="str">
        <f aca="false">IF(AND(ISNUMBER(BB469),ISNUMBER(BC469),BB469&gt;0),1-BC469/BB469,"")</f>
        <v/>
      </c>
      <c r="BE469" s="47"/>
      <c r="BF469" s="48"/>
      <c r="BG469" s="48"/>
      <c r="BH469" s="27" t="str">
        <f aca="false">IF(AND(ISNUMBER(BF469),ISNUMBER(BG469),BG469&gt;0),BF469/BG469,"")</f>
        <v/>
      </c>
      <c r="BI469" s="48"/>
      <c r="BJ469" s="44"/>
      <c r="BK469" s="46"/>
      <c r="BL469" s="46"/>
      <c r="BM469" s="36" t="str">
        <f aca="false">IF(ISNUMBER(Q469),IF(Q469&lt;0,"YES","no"),"")</f>
        <v/>
      </c>
      <c r="BN469" s="36" t="str">
        <f aca="false">IFERROR(IF(AND(ISNUMBER(K469),ISNUMBER(INDEX('Lift Inputs'!$H:$H,MATCH(C469,'Lift Inputs'!$C:$C,0)))),IF(K469&lt;INDEX('Lift Inputs'!$H:$H,MATCH(C469,'Lift Inputs'!$C:$C,0)),"YES","no"),""),"")</f>
        <v/>
      </c>
      <c r="BO469" s="44"/>
    </row>
    <row r="470" customFormat="false" ht="15" hidden="false" customHeight="false" outlineLevel="0" collapsed="false">
      <c r="A470" s="15" t="s">
        <v>110</v>
      </c>
      <c r="B470" s="15" t="s">
        <v>127</v>
      </c>
      <c r="C470" s="15" t="n">
        <v>70</v>
      </c>
      <c r="D470" s="15" t="s">
        <v>205</v>
      </c>
      <c r="E470" s="15" t="n">
        <v>1871</v>
      </c>
      <c r="F470" s="15" t="s">
        <v>307</v>
      </c>
      <c r="G470" s="15" t="s">
        <v>939</v>
      </c>
      <c r="H470" s="15" t="s">
        <v>940</v>
      </c>
      <c r="I470" s="15" t="s">
        <v>941</v>
      </c>
      <c r="J470" s="15" t="s">
        <v>177</v>
      </c>
      <c r="K470" s="35" t="n">
        <v>18.99</v>
      </c>
      <c r="L470" s="35" t="n">
        <v>24.99</v>
      </c>
      <c r="M470" s="23" t="n">
        <f aca="false">IF(AND(ISNUMBER(L470),ISNUMBER(K470),K470&gt;0),L470/K470-1,"")</f>
        <v>0.315955766192733</v>
      </c>
      <c r="N470" s="36" t="str">
        <f aca="false">IF(M470="","No List Price",IF(M470&lt;=0,"At/below price",IF(M470&lt;=0.12,"&lt;=12% (STR zone)",IF(M470&lt;=0.25,"12-25%","&gt;25% (likely ignored)"))))</f>
        <v>&gt;25% (likely ignored)</v>
      </c>
      <c r="O470" s="15" t="s">
        <v>311</v>
      </c>
      <c r="P470" s="35"/>
      <c r="Q470" s="22" t="str">
        <f aca="false">IF(AND(ISNUMBER(K470),ISNUMBER(P470),N(P470)&gt;0),K470/P470-1,"")</f>
        <v/>
      </c>
      <c r="R470" s="15"/>
      <c r="S470" s="37" t="n">
        <v>156798</v>
      </c>
      <c r="T470" s="37" t="n">
        <v>5</v>
      </c>
      <c r="U470" s="38" t="n">
        <f aca="false">IF(AND(ISNUMBER(K470),ISNUMBER(T470)),K470*T470*52/12,"")</f>
        <v>411.45</v>
      </c>
      <c r="V470" s="15" t="n">
        <v>4.5</v>
      </c>
      <c r="W470" s="37" t="n">
        <v>676</v>
      </c>
      <c r="X470" s="39" t="n">
        <v>46307</v>
      </c>
      <c r="Y470" s="15"/>
      <c r="Z470" s="40"/>
      <c r="AA470" s="41" t="str">
        <f aca="false">IF(ISNUMBER(Z470),(DATE(2026,10,13)-Z470)/365,"")</f>
        <v/>
      </c>
      <c r="AB470" s="37"/>
      <c r="AC470" s="15"/>
      <c r="AD470" s="15"/>
      <c r="AE470" s="15"/>
      <c r="AF470" s="42"/>
      <c r="AG470" s="42"/>
      <c r="AH470" s="15"/>
      <c r="AI470" s="37" t="n">
        <v>38313</v>
      </c>
      <c r="AJ470" s="37" t="n">
        <v>2045</v>
      </c>
      <c r="AK470" s="15"/>
      <c r="AL470" s="43"/>
      <c r="AM470" s="43"/>
      <c r="AN470" s="25" t="str">
        <f aca="false">IF(AND(ISNUMBER(AM470),ISNUMBER(AL470),AL470&gt;=5),AM470/AL470,"")</f>
        <v/>
      </c>
      <c r="AO470" s="43"/>
      <c r="AP470" s="43"/>
      <c r="AQ470" s="25" t="str">
        <f aca="false">IF(AND(ISNUMBER(AP470),ISNUMBER(AO470),AO470&gt;=5),AP470/AO470,"")</f>
        <v/>
      </c>
      <c r="AR470" s="43"/>
      <c r="AS470" s="43"/>
      <c r="AT470" s="22" t="str">
        <f aca="false">IF(AND(ISNUMBER(AS470),ISNUMBER(AR470),AR470&gt;0),AS470/AR470-1,"")</f>
        <v/>
      </c>
      <c r="AU470" s="44"/>
      <c r="AV470" s="44"/>
      <c r="AW470" s="44"/>
      <c r="AX470" s="44"/>
      <c r="AY470" s="44"/>
      <c r="AZ470" s="45"/>
      <c r="BA470" s="45"/>
      <c r="BB470" s="46"/>
      <c r="BC470" s="46"/>
      <c r="BD470" s="23" t="str">
        <f aca="false">IF(AND(ISNUMBER(BB470),ISNUMBER(BC470),BB470&gt;0),1-BC470/BB470,"")</f>
        <v/>
      </c>
      <c r="BE470" s="47"/>
      <c r="BF470" s="48"/>
      <c r="BG470" s="48"/>
      <c r="BH470" s="27" t="str">
        <f aca="false">IF(AND(ISNUMBER(BF470),ISNUMBER(BG470),BG470&gt;0),BF470/BG470,"")</f>
        <v/>
      </c>
      <c r="BI470" s="48"/>
      <c r="BJ470" s="44"/>
      <c r="BK470" s="46"/>
      <c r="BL470" s="46"/>
      <c r="BM470" s="36" t="str">
        <f aca="false">IF(ISNUMBER(Q470),IF(Q470&lt;0,"YES","no"),"")</f>
        <v/>
      </c>
      <c r="BN470" s="36" t="str">
        <f aca="false">IFERROR(IF(AND(ISNUMBER(K470),ISNUMBER(INDEX('Lift Inputs'!$H:$H,MATCH(C470,'Lift Inputs'!$C:$C,0)))),IF(K470&lt;INDEX('Lift Inputs'!$H:$H,MATCH(C470,'Lift Inputs'!$C:$C,0)),"YES","no"),""),"")</f>
        <v/>
      </c>
      <c r="BO470" s="44"/>
    </row>
    <row r="471" customFormat="false" ht="15" hidden="false" customHeight="false" outlineLevel="0" collapsed="false">
      <c r="A471" s="15" t="s">
        <v>110</v>
      </c>
      <c r="B471" s="15" t="s">
        <v>127</v>
      </c>
      <c r="C471" s="15" t="n">
        <v>70</v>
      </c>
      <c r="D471" s="15" t="s">
        <v>205</v>
      </c>
      <c r="E471" s="15" t="n">
        <v>1868</v>
      </c>
      <c r="F471" s="15" t="s">
        <v>942</v>
      </c>
      <c r="G471" s="15" t="s">
        <v>943</v>
      </c>
      <c r="H471" s="15" t="s">
        <v>944</v>
      </c>
      <c r="I471" s="15" t="s">
        <v>945</v>
      </c>
      <c r="J471" s="15" t="s">
        <v>177</v>
      </c>
      <c r="K471" s="35" t="n">
        <v>25.5</v>
      </c>
      <c r="L471" s="35"/>
      <c r="M471" s="23" t="str">
        <f aca="false">IF(AND(ISNUMBER(L471),ISNUMBER(K471),K471&gt;0),L471/K471-1,"")</f>
        <v/>
      </c>
      <c r="N471" s="36" t="str">
        <f aca="false">IF(M471="","No List Price",IF(M471&lt;=0,"At/below price",IF(M471&lt;=0.12,"&lt;=12% (STR zone)",IF(M471&lt;=0.25,"12-25%","&gt;25% (likely ignored)"))))</f>
        <v>No List Price</v>
      </c>
      <c r="O471" s="15" t="s">
        <v>311</v>
      </c>
      <c r="P471" s="35"/>
      <c r="Q471" s="22" t="str">
        <f aca="false">IF(AND(ISNUMBER(K471),ISNUMBER(P471),N(P471)&gt;0),K471/P471-1,"")</f>
        <v/>
      </c>
      <c r="R471" s="15"/>
      <c r="S471" s="37" t="n">
        <v>66369</v>
      </c>
      <c r="T471" s="37" t="n">
        <v>5</v>
      </c>
      <c r="U471" s="38" t="n">
        <f aca="false">IF(AND(ISNUMBER(K471),ISNUMBER(T471)),K471*T471*52/12,"")</f>
        <v>552.5</v>
      </c>
      <c r="V471" s="15" t="n">
        <v>4.3</v>
      </c>
      <c r="W471" s="37" t="n">
        <v>1158</v>
      </c>
      <c r="X471" s="39" t="n">
        <v>46307</v>
      </c>
      <c r="Y471" s="15"/>
      <c r="Z471" s="40"/>
      <c r="AA471" s="41" t="str">
        <f aca="false">IF(ISNUMBER(Z471),(DATE(2026,10,13)-Z471)/365,"")</f>
        <v/>
      </c>
      <c r="AB471" s="37"/>
      <c r="AC471" s="15"/>
      <c r="AD471" s="15"/>
      <c r="AE471" s="15"/>
      <c r="AF471" s="42"/>
      <c r="AG471" s="42"/>
      <c r="AH471" s="15"/>
      <c r="AI471" s="37" t="n">
        <v>26180</v>
      </c>
      <c r="AJ471" s="37" t="n">
        <v>214</v>
      </c>
      <c r="AK471" s="15" t="s">
        <v>315</v>
      </c>
      <c r="AL471" s="43" t="n">
        <v>34.8</v>
      </c>
      <c r="AM471" s="43" t="n">
        <v>21.8</v>
      </c>
      <c r="AN471" s="25" t="n">
        <f aca="false">IF(AND(ISNUMBER(AM471),ISNUMBER(AL471),AL471&gt;=5),AM471/AL471,"")</f>
        <v>0.626436781609196</v>
      </c>
      <c r="AO471" s="43" t="n">
        <v>0</v>
      </c>
      <c r="AP471" s="43" t="n">
        <v>0</v>
      </c>
      <c r="AQ471" s="25" t="str">
        <f aca="false">IF(AND(ISNUMBER(AP471),ISNUMBER(AO471),AO471&gt;=5),AP471/AO471,"")</f>
        <v/>
      </c>
      <c r="AR471" s="43" t="n">
        <v>33.8</v>
      </c>
      <c r="AS471" s="43" t="n">
        <v>31.4</v>
      </c>
      <c r="AT471" s="22" t="n">
        <f aca="false">IF(AND(ISNUMBER(AS471),ISNUMBER(AR471),AR471&gt;0),AS471/AR471-1,"")</f>
        <v>-0.0710059171597632</v>
      </c>
      <c r="AU471" s="44"/>
      <c r="AV471" s="44"/>
      <c r="AW471" s="44"/>
      <c r="AX471" s="44"/>
      <c r="AY471" s="44"/>
      <c r="AZ471" s="45"/>
      <c r="BA471" s="45"/>
      <c r="BB471" s="46"/>
      <c r="BC471" s="46"/>
      <c r="BD471" s="23" t="str">
        <f aca="false">IF(AND(ISNUMBER(BB471),ISNUMBER(BC471),BB471&gt;0),1-BC471/BB471,"")</f>
        <v/>
      </c>
      <c r="BE471" s="47"/>
      <c r="BF471" s="48"/>
      <c r="BG471" s="48"/>
      <c r="BH471" s="27" t="str">
        <f aca="false">IF(AND(ISNUMBER(BF471),ISNUMBER(BG471),BG471&gt;0),BF471/BG471,"")</f>
        <v/>
      </c>
      <c r="BI471" s="48"/>
      <c r="BJ471" s="44"/>
      <c r="BK471" s="46"/>
      <c r="BL471" s="46"/>
      <c r="BM471" s="36" t="str">
        <f aca="false">IF(ISNUMBER(Q471),IF(Q471&lt;0,"YES","no"),"")</f>
        <v/>
      </c>
      <c r="BN471" s="36" t="str">
        <f aca="false">IFERROR(IF(AND(ISNUMBER(K471),ISNUMBER(INDEX('Lift Inputs'!$H:$H,MATCH(C471,'Lift Inputs'!$C:$C,0)))),IF(K471&lt;INDEX('Lift Inputs'!$H:$H,MATCH(C471,'Lift Inputs'!$C:$C,0)),"YES","no"),""),"")</f>
        <v/>
      </c>
      <c r="BO471" s="44"/>
    </row>
    <row r="472" customFormat="false" ht="15" hidden="false" customHeight="false" outlineLevel="0" collapsed="false">
      <c r="A472" s="15" t="s">
        <v>110</v>
      </c>
      <c r="B472" s="15" t="s">
        <v>127</v>
      </c>
      <c r="C472" s="15" t="n">
        <v>70</v>
      </c>
      <c r="D472" s="15" t="s">
        <v>205</v>
      </c>
      <c r="E472" s="15" t="n">
        <v>1893</v>
      </c>
      <c r="F472" s="15" t="s">
        <v>946</v>
      </c>
      <c r="G472" s="15" t="s">
        <v>947</v>
      </c>
      <c r="H472" s="15" t="s">
        <v>948</v>
      </c>
      <c r="I472" s="15" t="s">
        <v>949</v>
      </c>
      <c r="J472" s="15" t="s">
        <v>177</v>
      </c>
      <c r="K472" s="35" t="n">
        <v>19.99</v>
      </c>
      <c r="L472" s="35"/>
      <c r="M472" s="23" t="str">
        <f aca="false">IF(AND(ISNUMBER(L472),ISNUMBER(K472),K472&gt;0),L472/K472-1,"")</f>
        <v/>
      </c>
      <c r="N472" s="36" t="str">
        <f aca="false">IF(M472="","No List Price",IF(M472&lt;=0,"At/below price",IF(M472&lt;=0.12,"&lt;=12% (STR zone)",IF(M472&lt;=0.25,"12-25%","&gt;25% (likely ignored)"))))</f>
        <v>No List Price</v>
      </c>
      <c r="O472" s="15"/>
      <c r="P472" s="35"/>
      <c r="Q472" s="22" t="str">
        <f aca="false">IF(AND(ISNUMBER(K472),ISNUMBER(P472),N(P472)&gt;0),K472/P472-1,"")</f>
        <v/>
      </c>
      <c r="R472" s="15"/>
      <c r="S472" s="37" t="n">
        <v>265537</v>
      </c>
      <c r="T472" s="37" t="n">
        <v>5</v>
      </c>
      <c r="U472" s="38" t="n">
        <f aca="false">IF(AND(ISNUMBER(K472),ISNUMBER(T472)),K472*T472*52/12,"")</f>
        <v>433.116666666667</v>
      </c>
      <c r="V472" s="15" t="n">
        <v>4.3</v>
      </c>
      <c r="W472" s="37" t="n">
        <v>1247</v>
      </c>
      <c r="X472" s="39" t="n">
        <v>46307</v>
      </c>
      <c r="Y472" s="15"/>
      <c r="Z472" s="40"/>
      <c r="AA472" s="41" t="str">
        <f aca="false">IF(ISNUMBER(Z472),(DATE(2026,10,13)-Z472)/365,"")</f>
        <v/>
      </c>
      <c r="AB472" s="37"/>
      <c r="AC472" s="15"/>
      <c r="AD472" s="15"/>
      <c r="AE472" s="15"/>
      <c r="AF472" s="42"/>
      <c r="AG472" s="42"/>
      <c r="AH472" s="15"/>
      <c r="AI472" s="37" t="n">
        <v>5423</v>
      </c>
      <c r="AJ472" s="37" t="n">
        <v>205</v>
      </c>
      <c r="AK472" s="15"/>
      <c r="AL472" s="43"/>
      <c r="AM472" s="43"/>
      <c r="AN472" s="25" t="str">
        <f aca="false">IF(AND(ISNUMBER(AM472),ISNUMBER(AL472),AL472&gt;=5),AM472/AL472,"")</f>
        <v/>
      </c>
      <c r="AO472" s="43"/>
      <c r="AP472" s="43"/>
      <c r="AQ472" s="25" t="str">
        <f aca="false">IF(AND(ISNUMBER(AP472),ISNUMBER(AO472),AO472&gt;=5),AP472/AO472,"")</f>
        <v/>
      </c>
      <c r="AR472" s="43"/>
      <c r="AS472" s="43"/>
      <c r="AT472" s="22" t="str">
        <f aca="false">IF(AND(ISNUMBER(AS472),ISNUMBER(AR472),AR472&gt;0),AS472/AR472-1,"")</f>
        <v/>
      </c>
      <c r="AU472" s="44"/>
      <c r="AV472" s="44"/>
      <c r="AW472" s="44"/>
      <c r="AX472" s="44"/>
      <c r="AY472" s="44"/>
      <c r="AZ472" s="45"/>
      <c r="BA472" s="45"/>
      <c r="BB472" s="46"/>
      <c r="BC472" s="46"/>
      <c r="BD472" s="23" t="str">
        <f aca="false">IF(AND(ISNUMBER(BB472),ISNUMBER(BC472),BB472&gt;0),1-BC472/BB472,"")</f>
        <v/>
      </c>
      <c r="BE472" s="47"/>
      <c r="BF472" s="48"/>
      <c r="BG472" s="48"/>
      <c r="BH472" s="27" t="str">
        <f aca="false">IF(AND(ISNUMBER(BF472),ISNUMBER(BG472),BG472&gt;0),BF472/BG472,"")</f>
        <v/>
      </c>
      <c r="BI472" s="48"/>
      <c r="BJ472" s="44"/>
      <c r="BK472" s="46"/>
      <c r="BL472" s="46"/>
      <c r="BM472" s="36" t="str">
        <f aca="false">IF(ISNUMBER(Q472),IF(Q472&lt;0,"YES","no"),"")</f>
        <v/>
      </c>
      <c r="BN472" s="36" t="str">
        <f aca="false">IFERROR(IF(AND(ISNUMBER(K472),ISNUMBER(INDEX('Lift Inputs'!$H:$H,MATCH(C472,'Lift Inputs'!$C:$C,0)))),IF(K472&lt;INDEX('Lift Inputs'!$H:$H,MATCH(C472,'Lift Inputs'!$C:$C,0)),"YES","no"),""),"")</f>
        <v/>
      </c>
      <c r="BO472" s="44"/>
    </row>
    <row r="473" customFormat="false" ht="15" hidden="false" customHeight="false" outlineLevel="0" collapsed="false">
      <c r="A473" s="15" t="s">
        <v>110</v>
      </c>
      <c r="B473" s="15" t="s">
        <v>127</v>
      </c>
      <c r="C473" s="15" t="n">
        <v>70</v>
      </c>
      <c r="D473" s="15" t="s">
        <v>205</v>
      </c>
      <c r="E473" s="15" t="n">
        <v>1888</v>
      </c>
      <c r="F473" s="15" t="s">
        <v>950</v>
      </c>
      <c r="G473" s="15" t="s">
        <v>951</v>
      </c>
      <c r="H473" s="15" t="s">
        <v>951</v>
      </c>
      <c r="I473" s="15" t="s">
        <v>952</v>
      </c>
      <c r="J473" s="15" t="s">
        <v>177</v>
      </c>
      <c r="K473" s="35" t="n">
        <v>18.99</v>
      </c>
      <c r="L473" s="35"/>
      <c r="M473" s="23" t="str">
        <f aca="false">IF(AND(ISNUMBER(L473),ISNUMBER(K473),K473&gt;0),L473/K473-1,"")</f>
        <v/>
      </c>
      <c r="N473" s="36" t="str">
        <f aca="false">IF(M473="","No List Price",IF(M473&lt;=0,"At/below price",IF(M473&lt;=0.12,"&lt;=12% (STR zone)",IF(M473&lt;=0.25,"12-25%","&gt;25% (likely ignored)"))))</f>
        <v>No List Price</v>
      </c>
      <c r="O473" s="15"/>
      <c r="P473" s="35"/>
      <c r="Q473" s="22" t="str">
        <f aca="false">IF(AND(ISNUMBER(K473),ISNUMBER(P473),N(P473)&gt;0),K473/P473-1,"")</f>
        <v/>
      </c>
      <c r="R473" s="15"/>
      <c r="S473" s="37" t="n">
        <v>519777</v>
      </c>
      <c r="T473" s="37" t="n">
        <v>5</v>
      </c>
      <c r="U473" s="38" t="n">
        <f aca="false">IF(AND(ISNUMBER(K473),ISNUMBER(T473)),K473*T473*52/12,"")</f>
        <v>411.45</v>
      </c>
      <c r="V473" s="15" t="n">
        <v>4.6</v>
      </c>
      <c r="W473" s="37" t="n">
        <v>219</v>
      </c>
      <c r="X473" s="39" t="n">
        <v>46307</v>
      </c>
      <c r="Y473" s="15" t="n">
        <v>1</v>
      </c>
      <c r="Z473" s="40" t="n">
        <v>45565</v>
      </c>
      <c r="AA473" s="41" t="n">
        <f aca="false">IF(ISNUMBER(Z473),(DATE(2026,10,13)-Z473)/365,"")</f>
        <v>2.03561643835616</v>
      </c>
      <c r="AB473" s="37" t="n">
        <v>164</v>
      </c>
      <c r="AC473" s="15" t="s">
        <v>465</v>
      </c>
      <c r="AD473" s="15" t="n">
        <v>1</v>
      </c>
      <c r="AE473" s="15" t="s">
        <v>466</v>
      </c>
      <c r="AF473" s="42" t="n">
        <v>0</v>
      </c>
      <c r="AG473" s="42" t="n">
        <v>0</v>
      </c>
      <c r="AH473" s="15" t="n">
        <v>65</v>
      </c>
      <c r="AI473" s="37" t="n">
        <v>8663</v>
      </c>
      <c r="AJ473" s="37" t="n">
        <v>164</v>
      </c>
      <c r="AK473" s="15"/>
      <c r="AL473" s="43"/>
      <c r="AM473" s="43"/>
      <c r="AN473" s="25" t="str">
        <f aca="false">IF(AND(ISNUMBER(AM473),ISNUMBER(AL473),AL473&gt;=5),AM473/AL473,"")</f>
        <v/>
      </c>
      <c r="AO473" s="43"/>
      <c r="AP473" s="43"/>
      <c r="AQ473" s="25" t="str">
        <f aca="false">IF(AND(ISNUMBER(AP473),ISNUMBER(AO473),AO473&gt;=5),AP473/AO473,"")</f>
        <v/>
      </c>
      <c r="AR473" s="43"/>
      <c r="AS473" s="43"/>
      <c r="AT473" s="22" t="str">
        <f aca="false">IF(AND(ISNUMBER(AS473),ISNUMBER(AR473),AR473&gt;0),AS473/AR473-1,"")</f>
        <v/>
      </c>
      <c r="AU473" s="44"/>
      <c r="AV473" s="44"/>
      <c r="AW473" s="44"/>
      <c r="AX473" s="44"/>
      <c r="AY473" s="44"/>
      <c r="AZ473" s="45"/>
      <c r="BA473" s="45"/>
      <c r="BB473" s="46"/>
      <c r="BC473" s="46"/>
      <c r="BD473" s="23" t="str">
        <f aca="false">IF(AND(ISNUMBER(BB473),ISNUMBER(BC473),BB473&gt;0),1-BC473/BB473,"")</f>
        <v/>
      </c>
      <c r="BE473" s="47"/>
      <c r="BF473" s="48"/>
      <c r="BG473" s="48"/>
      <c r="BH473" s="27" t="str">
        <f aca="false">IF(AND(ISNUMBER(BF473),ISNUMBER(BG473),BG473&gt;0),BF473/BG473,"")</f>
        <v/>
      </c>
      <c r="BI473" s="48"/>
      <c r="BJ473" s="44"/>
      <c r="BK473" s="46"/>
      <c r="BL473" s="46"/>
      <c r="BM473" s="36" t="str">
        <f aca="false">IF(ISNUMBER(Q473),IF(Q473&lt;0,"YES","no"),"")</f>
        <v/>
      </c>
      <c r="BN473" s="36" t="str">
        <f aca="false">IFERROR(IF(AND(ISNUMBER(K473),ISNUMBER(INDEX('Lift Inputs'!$H:$H,MATCH(C473,'Lift Inputs'!$C:$C,0)))),IF(K473&lt;INDEX('Lift Inputs'!$H:$H,MATCH(C473,'Lift Inputs'!$C:$C,0)),"YES","no"),""),"")</f>
        <v/>
      </c>
      <c r="BO473" s="44"/>
    </row>
    <row r="474" customFormat="false" ht="15" hidden="false" customHeight="false" outlineLevel="0" collapsed="false">
      <c r="A474" s="15" t="s">
        <v>110</v>
      </c>
      <c r="B474" s="15" t="s">
        <v>127</v>
      </c>
      <c r="C474" s="15" t="n">
        <v>70</v>
      </c>
      <c r="D474" s="15" t="s">
        <v>205</v>
      </c>
      <c r="E474" s="15" t="n">
        <v>1892</v>
      </c>
      <c r="F474" s="15" t="s">
        <v>953</v>
      </c>
      <c r="G474" s="15" t="s">
        <v>954</v>
      </c>
      <c r="H474" s="15" t="s">
        <v>954</v>
      </c>
      <c r="I474" s="15" t="s">
        <v>955</v>
      </c>
      <c r="J474" s="15" t="s">
        <v>177</v>
      </c>
      <c r="K474" s="35" t="n">
        <v>18.95</v>
      </c>
      <c r="L474" s="35"/>
      <c r="M474" s="23" t="str">
        <f aca="false">IF(AND(ISNUMBER(L474),ISNUMBER(K474),K474&gt;0),L474/K474-1,"")</f>
        <v/>
      </c>
      <c r="N474" s="36" t="str">
        <f aca="false">IF(M474="","No List Price",IF(M474&lt;=0,"At/below price",IF(M474&lt;=0.12,"&lt;=12% (STR zone)",IF(M474&lt;=0.25,"12-25%","&gt;25% (likely ignored)"))))</f>
        <v>No List Price</v>
      </c>
      <c r="O474" s="15" t="s">
        <v>311</v>
      </c>
      <c r="P474" s="35"/>
      <c r="Q474" s="22" t="str">
        <f aca="false">IF(AND(ISNUMBER(K474),ISNUMBER(P474),N(P474)&gt;0),K474/P474-1,"")</f>
        <v/>
      </c>
      <c r="R474" s="15"/>
      <c r="S474" s="37" t="n">
        <v>1292801</v>
      </c>
      <c r="T474" s="37" t="n">
        <v>5</v>
      </c>
      <c r="U474" s="38" t="n">
        <f aca="false">IF(AND(ISNUMBER(K474),ISNUMBER(T474)),K474*T474*52/12,"")</f>
        <v>410.583333333333</v>
      </c>
      <c r="V474" s="15" t="n">
        <v>4.2</v>
      </c>
      <c r="W474" s="37" t="n">
        <v>227</v>
      </c>
      <c r="X474" s="39" t="n">
        <v>46307</v>
      </c>
      <c r="Y474" s="15"/>
      <c r="Z474" s="40"/>
      <c r="AA474" s="41" t="str">
        <f aca="false">IF(ISNUMBER(Z474),(DATE(2026,10,13)-Z474)/365,"")</f>
        <v/>
      </c>
      <c r="AB474" s="37"/>
      <c r="AC474" s="15"/>
      <c r="AD474" s="15"/>
      <c r="AE474" s="15"/>
      <c r="AF474" s="42"/>
      <c r="AG474" s="42"/>
      <c r="AH474" s="15"/>
      <c r="AI474" s="37"/>
      <c r="AJ474" s="37"/>
      <c r="AK474" s="15" t="s">
        <v>531</v>
      </c>
      <c r="AL474" s="43" t="n">
        <v>0</v>
      </c>
      <c r="AM474" s="43" t="n">
        <v>0</v>
      </c>
      <c r="AN474" s="25" t="str">
        <f aca="false">IF(AND(ISNUMBER(AM474),ISNUMBER(AL474),AL474&gt;=5),AM474/AL474,"")</f>
        <v/>
      </c>
      <c r="AO474" s="43" t="n">
        <v>0</v>
      </c>
      <c r="AP474" s="43" t="n">
        <v>0</v>
      </c>
      <c r="AQ474" s="25" t="str">
        <f aca="false">IF(AND(ISNUMBER(AP474),ISNUMBER(AO474),AO474&gt;=5),AP474/AO474,"")</f>
        <v/>
      </c>
      <c r="AR474" s="43" t="n">
        <v>0</v>
      </c>
      <c r="AS474" s="43" t="n">
        <v>0</v>
      </c>
      <c r="AT474" s="22" t="str">
        <f aca="false">IF(AND(ISNUMBER(AS474),ISNUMBER(AR474),AR474&gt;0),AS474/AR474-1,"")</f>
        <v/>
      </c>
      <c r="AU474" s="44"/>
      <c r="AV474" s="44"/>
      <c r="AW474" s="44"/>
      <c r="AX474" s="44"/>
      <c r="AY474" s="44"/>
      <c r="AZ474" s="45"/>
      <c r="BA474" s="45"/>
      <c r="BB474" s="46"/>
      <c r="BC474" s="46"/>
      <c r="BD474" s="23" t="str">
        <f aca="false">IF(AND(ISNUMBER(BB474),ISNUMBER(BC474),BB474&gt;0),1-BC474/BB474,"")</f>
        <v/>
      </c>
      <c r="BE474" s="47"/>
      <c r="BF474" s="48"/>
      <c r="BG474" s="48"/>
      <c r="BH474" s="27" t="str">
        <f aca="false">IF(AND(ISNUMBER(BF474),ISNUMBER(BG474),BG474&gt;0),BF474/BG474,"")</f>
        <v/>
      </c>
      <c r="BI474" s="48"/>
      <c r="BJ474" s="44"/>
      <c r="BK474" s="46"/>
      <c r="BL474" s="46"/>
      <c r="BM474" s="36" t="str">
        <f aca="false">IF(ISNUMBER(Q474),IF(Q474&lt;0,"YES","no"),"")</f>
        <v/>
      </c>
      <c r="BN474" s="36" t="str">
        <f aca="false">IFERROR(IF(AND(ISNUMBER(K474),ISNUMBER(INDEX('Lift Inputs'!$H:$H,MATCH(C474,'Lift Inputs'!$C:$C,0)))),IF(K474&lt;INDEX('Lift Inputs'!$H:$H,MATCH(C474,'Lift Inputs'!$C:$C,0)),"YES","no"),""),"")</f>
        <v/>
      </c>
      <c r="BO474" s="44"/>
    </row>
    <row r="475" customFormat="false" ht="15" hidden="false" customHeight="false" outlineLevel="0" collapsed="false">
      <c r="A475" s="15" t="s">
        <v>110</v>
      </c>
      <c r="B475" s="15" t="s">
        <v>127</v>
      </c>
      <c r="C475" s="15" t="n">
        <v>70</v>
      </c>
      <c r="D475" s="15" t="s">
        <v>205</v>
      </c>
      <c r="E475" s="15" t="n">
        <v>1890</v>
      </c>
      <c r="F475" s="15" t="s">
        <v>956</v>
      </c>
      <c r="G475" s="15" t="s">
        <v>957</v>
      </c>
      <c r="H475" s="15" t="s">
        <v>957</v>
      </c>
      <c r="I475" s="15" t="s">
        <v>958</v>
      </c>
      <c r="J475" s="15" t="s">
        <v>178</v>
      </c>
      <c r="K475" s="35" t="n">
        <v>14.6</v>
      </c>
      <c r="L475" s="35"/>
      <c r="M475" s="23" t="str">
        <f aca="false">IF(AND(ISNUMBER(L475),ISNUMBER(K475),K475&gt;0),L475/K475-1,"")</f>
        <v/>
      </c>
      <c r="N475" s="36" t="str">
        <f aca="false">IF(M475="","No List Price",IF(M475&lt;=0,"At/below price",IF(M475&lt;=0.12,"&lt;=12% (STR zone)",IF(M475&lt;=0.25,"12-25%","&gt;25% (likely ignored)"))))</f>
        <v>No List Price</v>
      </c>
      <c r="O475" s="15" t="s">
        <v>716</v>
      </c>
      <c r="P475" s="35"/>
      <c r="Q475" s="22" t="str">
        <f aca="false">IF(AND(ISNUMBER(K475),ISNUMBER(P475),N(P475)&gt;0),K475/P475-1,"")</f>
        <v/>
      </c>
      <c r="R475" s="15"/>
      <c r="S475" s="37" t="n">
        <v>1393717</v>
      </c>
      <c r="T475" s="37" t="n">
        <v>5</v>
      </c>
      <c r="U475" s="38" t="n">
        <f aca="false">IF(AND(ISNUMBER(K475),ISNUMBER(T475)),K475*T475*52/12,"")</f>
        <v>316.333333333333</v>
      </c>
      <c r="V475" s="15" t="n">
        <v>4.4</v>
      </c>
      <c r="W475" s="37" t="n">
        <v>109</v>
      </c>
      <c r="X475" s="39" t="n">
        <v>46307</v>
      </c>
      <c r="Y475" s="15" t="n">
        <v>1</v>
      </c>
      <c r="Z475" s="40" t="n">
        <v>45379</v>
      </c>
      <c r="AA475" s="41" t="n">
        <f aca="false">IF(ISNUMBER(Z475),(DATE(2026,10,13)-Z475)/365,"")</f>
        <v>2.54520547945205</v>
      </c>
      <c r="AB475" s="37" t="n">
        <v>10</v>
      </c>
      <c r="AC475" s="15" t="s">
        <v>465</v>
      </c>
      <c r="AD475" s="15" t="n">
        <v>0</v>
      </c>
      <c r="AE475" s="15" t="s">
        <v>466</v>
      </c>
      <c r="AF475" s="42" t="n">
        <v>0</v>
      </c>
      <c r="AG475" s="42" t="n">
        <v>0</v>
      </c>
      <c r="AH475" s="15" t="n">
        <v>0</v>
      </c>
      <c r="AI475" s="37"/>
      <c r="AJ475" s="37"/>
      <c r="AK475" s="15"/>
      <c r="AL475" s="43"/>
      <c r="AM475" s="43"/>
      <c r="AN475" s="25" t="str">
        <f aca="false">IF(AND(ISNUMBER(AM475),ISNUMBER(AL475),AL475&gt;=5),AM475/AL475,"")</f>
        <v/>
      </c>
      <c r="AO475" s="43"/>
      <c r="AP475" s="43"/>
      <c r="AQ475" s="25" t="str">
        <f aca="false">IF(AND(ISNUMBER(AP475),ISNUMBER(AO475),AO475&gt;=5),AP475/AO475,"")</f>
        <v/>
      </c>
      <c r="AR475" s="43"/>
      <c r="AS475" s="43"/>
      <c r="AT475" s="22" t="str">
        <f aca="false">IF(AND(ISNUMBER(AS475),ISNUMBER(AR475),AR475&gt;0),AS475/AR475-1,"")</f>
        <v/>
      </c>
      <c r="AU475" s="44"/>
      <c r="AV475" s="44"/>
      <c r="AW475" s="44"/>
      <c r="AX475" s="44"/>
      <c r="AY475" s="44"/>
      <c r="AZ475" s="45"/>
      <c r="BA475" s="45"/>
      <c r="BB475" s="46"/>
      <c r="BC475" s="46"/>
      <c r="BD475" s="23" t="str">
        <f aca="false">IF(AND(ISNUMBER(BB475),ISNUMBER(BC475),BB475&gt;0),1-BC475/BB475,"")</f>
        <v/>
      </c>
      <c r="BE475" s="47"/>
      <c r="BF475" s="48"/>
      <c r="BG475" s="48"/>
      <c r="BH475" s="27" t="str">
        <f aca="false">IF(AND(ISNUMBER(BF475),ISNUMBER(BG475),BG475&gt;0),BF475/BG475,"")</f>
        <v/>
      </c>
      <c r="BI475" s="48"/>
      <c r="BJ475" s="44"/>
      <c r="BK475" s="46"/>
      <c r="BL475" s="46"/>
      <c r="BM475" s="36" t="str">
        <f aca="false">IF(ISNUMBER(Q475),IF(Q475&lt;0,"YES","no"),"")</f>
        <v/>
      </c>
      <c r="BN475" s="36" t="str">
        <f aca="false">IFERROR(IF(AND(ISNUMBER(K475),ISNUMBER(INDEX('Lift Inputs'!$H:$H,MATCH(C475,'Lift Inputs'!$C:$C,0)))),IF(K475&lt;INDEX('Lift Inputs'!$H:$H,MATCH(C475,'Lift Inputs'!$C:$C,0)),"YES","no"),""),"")</f>
        <v/>
      </c>
      <c r="BO475" s="44"/>
    </row>
    <row r="476" customFormat="false" ht="15" hidden="false" customHeight="false" outlineLevel="0" collapsed="false">
      <c r="A476" s="15" t="s">
        <v>110</v>
      </c>
      <c r="B476" s="15" t="s">
        <v>130</v>
      </c>
      <c r="C476" s="15" t="n">
        <v>43</v>
      </c>
      <c r="D476" s="15" t="s">
        <v>227</v>
      </c>
      <c r="E476" s="15" t="n">
        <v>485</v>
      </c>
      <c r="F476" s="15" t="s">
        <v>959</v>
      </c>
      <c r="G476" s="15" t="s">
        <v>960</v>
      </c>
      <c r="H476" s="15" t="s">
        <v>961</v>
      </c>
      <c r="I476" s="15" t="s">
        <v>962</v>
      </c>
      <c r="J476" s="15" t="s">
        <v>176</v>
      </c>
      <c r="K476" s="35" t="n">
        <v>19.1</v>
      </c>
      <c r="L476" s="35"/>
      <c r="M476" s="23" t="str">
        <f aca="false">IF(AND(ISNUMBER(L476),ISNUMBER(K476),K476&gt;0),L476/K476-1,"")</f>
        <v/>
      </c>
      <c r="N476" s="36" t="str">
        <f aca="false">IF(M476="","No List Price",IF(M476&lt;=0,"At/below price",IF(M476&lt;=0.12,"&lt;=12% (STR zone)",IF(M476&lt;=0.25,"12-25%","&gt;25% (likely ignored)"))))</f>
        <v>No List Price</v>
      </c>
      <c r="O476" s="15" t="s">
        <v>716</v>
      </c>
      <c r="P476" s="35" t="n">
        <v>16.99</v>
      </c>
      <c r="Q476" s="22" t="n">
        <f aca="false">IF(AND(ISNUMBER(K476),ISNUMBER(P476),N(P476)&gt;0),K476/P476-1,"")</f>
        <v>0.124190700412007</v>
      </c>
      <c r="R476" s="15" t="s">
        <v>717</v>
      </c>
      <c r="S476" s="37" t="n">
        <v>4285</v>
      </c>
      <c r="T476" s="37" t="n">
        <v>1040</v>
      </c>
      <c r="U476" s="38" t="n">
        <f aca="false">IF(AND(ISNUMBER(K476),ISNUMBER(T476)),K476*T476*52/12,"")</f>
        <v>86077.3333333333</v>
      </c>
      <c r="V476" s="15" t="n">
        <v>4.3</v>
      </c>
      <c r="W476" s="37" t="n">
        <v>3545</v>
      </c>
      <c r="X476" s="39" t="n">
        <v>46307</v>
      </c>
      <c r="Y476" s="15" t="n">
        <v>4</v>
      </c>
      <c r="Z476" s="40" t="n">
        <v>44384</v>
      </c>
      <c r="AA476" s="41" t="n">
        <f aca="false">IF(ISNUMBER(Z476),(DATE(2026,10,13)-Z476)/365,"")</f>
        <v>5.27123287671233</v>
      </c>
      <c r="AB476" s="37" t="n">
        <v>5736</v>
      </c>
      <c r="AC476" s="15" t="s">
        <v>582</v>
      </c>
      <c r="AD476" s="15" t="n">
        <v>1</v>
      </c>
      <c r="AE476" s="15" t="s">
        <v>583</v>
      </c>
      <c r="AF476" s="42" t="n">
        <v>0</v>
      </c>
      <c r="AG476" s="42" t="n">
        <v>0</v>
      </c>
      <c r="AH476" s="15" t="n">
        <v>138</v>
      </c>
      <c r="AI476" s="37" t="n">
        <v>290958</v>
      </c>
      <c r="AJ476" s="37" t="n">
        <v>2057</v>
      </c>
      <c r="AK476" s="15" t="s">
        <v>315</v>
      </c>
      <c r="AL476" s="43" t="n">
        <v>604.1</v>
      </c>
      <c r="AM476" s="43" t="n">
        <v>1220.5</v>
      </c>
      <c r="AN476" s="25" t="n">
        <f aca="false">IF(AND(ISNUMBER(AM476),ISNUMBER(AL476),AL476&gt;=5),AM476/AL476,"")</f>
        <v>2.02036086740606</v>
      </c>
      <c r="AO476" s="43" t="n">
        <v>59.4</v>
      </c>
      <c r="AP476" s="43" t="n">
        <v>541.5</v>
      </c>
      <c r="AQ476" s="25" t="n">
        <f aca="false">IF(AND(ISNUMBER(AP476),ISNUMBER(AO476),AO476&gt;=5),AP476/AO476,"")</f>
        <v>9.11616161616162</v>
      </c>
      <c r="AR476" s="43" t="n">
        <v>320</v>
      </c>
      <c r="AS476" s="43" t="n">
        <v>482.3</v>
      </c>
      <c r="AT476" s="22" t="n">
        <f aca="false">IF(AND(ISNUMBER(AS476),ISNUMBER(AR476),AR476&gt;0),AS476/AR476-1,"")</f>
        <v>0.5071875</v>
      </c>
      <c r="AU476" s="44"/>
      <c r="AV476" s="44"/>
      <c r="AW476" s="44"/>
      <c r="AX476" s="44"/>
      <c r="AY476" s="44"/>
      <c r="AZ476" s="45"/>
      <c r="BA476" s="45"/>
      <c r="BB476" s="46"/>
      <c r="BC476" s="46"/>
      <c r="BD476" s="23" t="str">
        <f aca="false">IF(AND(ISNUMBER(BB476),ISNUMBER(BC476),BB476&gt;0),1-BC476/BB476,"")</f>
        <v/>
      </c>
      <c r="BE476" s="47"/>
      <c r="BF476" s="48"/>
      <c r="BG476" s="48"/>
      <c r="BH476" s="27" t="str">
        <f aca="false">IF(AND(ISNUMBER(BF476),ISNUMBER(BG476),BG476&gt;0),BF476/BG476,"")</f>
        <v/>
      </c>
      <c r="BI476" s="48"/>
      <c r="BJ476" s="44"/>
      <c r="BK476" s="46"/>
      <c r="BL476" s="46"/>
      <c r="BM476" s="36" t="str">
        <f aca="false">IF(ISNUMBER(Q476),IF(Q476&lt;0,"YES","no"),"")</f>
        <v>no</v>
      </c>
      <c r="BN476" s="36" t="str">
        <f aca="false">IFERROR(IF(AND(ISNUMBER(K476),ISNUMBER(INDEX('Lift Inputs'!$H:$H,MATCH(C476,'Lift Inputs'!$C:$C,0)))),IF(K476&lt;INDEX('Lift Inputs'!$H:$H,MATCH(C476,'Lift Inputs'!$C:$C,0)),"YES","no"),""),"")</f>
        <v/>
      </c>
      <c r="BO476" s="44"/>
    </row>
    <row r="477" customFormat="false" ht="15" hidden="false" customHeight="false" outlineLevel="0" collapsed="false">
      <c r="A477" s="15" t="s">
        <v>110</v>
      </c>
      <c r="B477" s="15" t="s">
        <v>130</v>
      </c>
      <c r="C477" s="15" t="n">
        <v>43</v>
      </c>
      <c r="D477" s="15" t="s">
        <v>227</v>
      </c>
      <c r="E477" s="15" t="n">
        <v>1094</v>
      </c>
      <c r="F477" s="15" t="s">
        <v>542</v>
      </c>
      <c r="G477" s="15" t="s">
        <v>543</v>
      </c>
      <c r="H477" s="15" t="s">
        <v>544</v>
      </c>
      <c r="I477" s="15" t="s">
        <v>545</v>
      </c>
      <c r="J477" s="15" t="s">
        <v>176</v>
      </c>
      <c r="K477" s="35" t="n">
        <v>12.99</v>
      </c>
      <c r="L477" s="35"/>
      <c r="M477" s="23" t="str">
        <f aca="false">IF(AND(ISNUMBER(L477),ISNUMBER(K477),K477&gt;0),L477/K477-1,"")</f>
        <v/>
      </c>
      <c r="N477" s="36" t="str">
        <f aca="false">IF(M477="","No List Price",IF(M477&lt;=0,"At/below price",IF(M477&lt;=0.12,"&lt;=12% (STR zone)",IF(M477&lt;=0.25,"12-25%","&gt;25% (likely ignored)"))))</f>
        <v>No List Price</v>
      </c>
      <c r="O477" s="15" t="s">
        <v>311</v>
      </c>
      <c r="P477" s="35" t="n">
        <v>21.8520689655172</v>
      </c>
      <c r="Q477" s="22" t="n">
        <f aca="false">IF(AND(ISNUMBER(K477),ISNUMBER(P477),N(P477)&gt;0),K477/P477-1,"")</f>
        <v>-0.405548279181329</v>
      </c>
      <c r="R477" s="15" t="s">
        <v>312</v>
      </c>
      <c r="S477" s="37" t="n">
        <v>2467</v>
      </c>
      <c r="T477" s="37" t="n">
        <v>809</v>
      </c>
      <c r="U477" s="38" t="n">
        <f aca="false">IF(AND(ISNUMBER(K477),ISNUMBER(T477)),K477*T477*52/12,"")</f>
        <v>45538.61</v>
      </c>
      <c r="V477" s="15" t="n">
        <v>4.4</v>
      </c>
      <c r="W477" s="37" t="n">
        <v>7225</v>
      </c>
      <c r="X477" s="39" t="n">
        <v>46307</v>
      </c>
      <c r="Y477" s="15"/>
      <c r="Z477" s="40"/>
      <c r="AA477" s="41" t="str">
        <f aca="false">IF(ISNUMBER(Z477),(DATE(2026,10,13)-Z477)/365,"")</f>
        <v/>
      </c>
      <c r="AB477" s="37"/>
      <c r="AC477" s="15"/>
      <c r="AD477" s="15"/>
      <c r="AE477" s="15"/>
      <c r="AF477" s="42"/>
      <c r="AG477" s="42"/>
      <c r="AH477" s="15"/>
      <c r="AI477" s="37" t="n">
        <v>151964</v>
      </c>
      <c r="AJ477" s="37" t="n">
        <v>1980</v>
      </c>
      <c r="AK477" s="15" t="s">
        <v>315</v>
      </c>
      <c r="AL477" s="43" t="n">
        <v>175.7</v>
      </c>
      <c r="AM477" s="43" t="n">
        <v>215.5</v>
      </c>
      <c r="AN477" s="25" t="n">
        <f aca="false">IF(AND(ISNUMBER(AM477),ISNUMBER(AL477),AL477&gt;=5),AM477/AL477,"")</f>
        <v>1.22652248150256</v>
      </c>
      <c r="AO477" s="43" t="n">
        <v>71.9</v>
      </c>
      <c r="AP477" s="43" t="n">
        <v>70.5</v>
      </c>
      <c r="AQ477" s="25" t="n">
        <f aca="false">IF(AND(ISNUMBER(AP477),ISNUMBER(AO477),AO477&gt;=5),AP477/AO477,"")</f>
        <v>0.980528511821975</v>
      </c>
      <c r="AR477" s="43" t="n">
        <v>133.5</v>
      </c>
      <c r="AS477" s="43" t="n">
        <v>273.1</v>
      </c>
      <c r="AT477" s="22" t="n">
        <f aca="false">IF(AND(ISNUMBER(AS477),ISNUMBER(AR477),AR477&gt;0),AS477/AR477-1,"")</f>
        <v>1.04569288389513</v>
      </c>
      <c r="AU477" s="44"/>
      <c r="AV477" s="44"/>
      <c r="AW477" s="44"/>
      <c r="AX477" s="44"/>
      <c r="AY477" s="44"/>
      <c r="AZ477" s="45"/>
      <c r="BA477" s="45"/>
      <c r="BB477" s="46"/>
      <c r="BC477" s="46"/>
      <c r="BD477" s="23" t="str">
        <f aca="false">IF(AND(ISNUMBER(BB477),ISNUMBER(BC477),BB477&gt;0),1-BC477/BB477,"")</f>
        <v/>
      </c>
      <c r="BE477" s="47"/>
      <c r="BF477" s="48"/>
      <c r="BG477" s="48"/>
      <c r="BH477" s="27" t="str">
        <f aca="false">IF(AND(ISNUMBER(BF477),ISNUMBER(BG477),BG477&gt;0),BF477/BG477,"")</f>
        <v/>
      </c>
      <c r="BI477" s="48"/>
      <c r="BJ477" s="44"/>
      <c r="BK477" s="46"/>
      <c r="BL477" s="46"/>
      <c r="BM477" s="36" t="str">
        <f aca="false">IF(ISNUMBER(Q477),IF(Q477&lt;0,"YES","no"),"")</f>
        <v>YES</v>
      </c>
      <c r="BN477" s="36" t="str">
        <f aca="false">IFERROR(IF(AND(ISNUMBER(K477),ISNUMBER(INDEX('Lift Inputs'!$H:$H,MATCH(C477,'Lift Inputs'!$C:$C,0)))),IF(K477&lt;INDEX('Lift Inputs'!$H:$H,MATCH(C477,'Lift Inputs'!$C:$C,0)),"YES","no"),""),"")</f>
        <v/>
      </c>
      <c r="BO477" s="44"/>
    </row>
    <row r="478" customFormat="false" ht="15" hidden="false" customHeight="false" outlineLevel="0" collapsed="false">
      <c r="A478" s="15" t="s">
        <v>110</v>
      </c>
      <c r="B478" s="15" t="s">
        <v>130</v>
      </c>
      <c r="C478" s="15" t="n">
        <v>43</v>
      </c>
      <c r="D478" s="15" t="s">
        <v>227</v>
      </c>
      <c r="E478" s="15" t="n">
        <v>1863</v>
      </c>
      <c r="F478" s="15" t="s">
        <v>906</v>
      </c>
      <c r="G478" s="15" t="s">
        <v>963</v>
      </c>
      <c r="H478" s="15" t="s">
        <v>908</v>
      </c>
      <c r="I478" s="15" t="s">
        <v>964</v>
      </c>
      <c r="J478" s="15" t="s">
        <v>176</v>
      </c>
      <c r="K478" s="35" t="n">
        <v>15.99</v>
      </c>
      <c r="L478" s="35" t="n">
        <v>19.99</v>
      </c>
      <c r="M478" s="23" t="n">
        <f aca="false">IF(AND(ISNUMBER(L478),ISNUMBER(K478),K478&gt;0),L478/K478-1,"")</f>
        <v>0.250156347717323</v>
      </c>
      <c r="N478" s="36" t="str">
        <f aca="false">IF(M478="","No List Price",IF(M478&lt;=0,"At/below price",IF(M478&lt;=0.12,"&lt;=12% (STR zone)",IF(M478&lt;=0.25,"12-25%","&gt;25% (likely ignored)"))))</f>
        <v>&gt;25% (likely ignored)</v>
      </c>
      <c r="O478" s="15" t="s">
        <v>311</v>
      </c>
      <c r="P478" s="35" t="n">
        <v>21.8520689655172</v>
      </c>
      <c r="Q478" s="22" t="n">
        <f aca="false">IF(AND(ISNUMBER(K478),ISNUMBER(P478),N(P478)&gt;0),K478/P478-1,"")</f>
        <v>-0.268261507629673</v>
      </c>
      <c r="R478" s="15" t="s">
        <v>312</v>
      </c>
      <c r="S478" s="37" t="n">
        <v>18613</v>
      </c>
      <c r="T478" s="37" t="n">
        <v>92</v>
      </c>
      <c r="U478" s="38" t="n">
        <f aca="false">IF(AND(ISNUMBER(K478),ISNUMBER(T478)),K478*T478*52/12,"")</f>
        <v>6374.68</v>
      </c>
      <c r="V478" s="15" t="n">
        <v>4.4</v>
      </c>
      <c r="W478" s="37" t="n">
        <v>3872</v>
      </c>
      <c r="X478" s="39" t="n">
        <v>46307</v>
      </c>
      <c r="Y478" s="15"/>
      <c r="Z478" s="40"/>
      <c r="AA478" s="41" t="str">
        <f aca="false">IF(ISNUMBER(Z478),(DATE(2026,10,13)-Z478)/365,"")</f>
        <v/>
      </c>
      <c r="AB478" s="37"/>
      <c r="AC478" s="15"/>
      <c r="AD478" s="15"/>
      <c r="AE478" s="15"/>
      <c r="AF478" s="42"/>
      <c r="AG478" s="42"/>
      <c r="AH478" s="15"/>
      <c r="AI478" s="37" t="n">
        <v>53763</v>
      </c>
      <c r="AJ478" s="37" t="n">
        <v>1432</v>
      </c>
      <c r="AK478" s="15" t="s">
        <v>315</v>
      </c>
      <c r="AL478" s="43" t="n">
        <v>76.2</v>
      </c>
      <c r="AM478" s="43" t="n">
        <v>83.8</v>
      </c>
      <c r="AN478" s="25" t="n">
        <f aca="false">IF(AND(ISNUMBER(AM478),ISNUMBER(AL478),AL478&gt;=5),AM478/AL478,"")</f>
        <v>1.0997375328084</v>
      </c>
      <c r="AO478" s="43" t="n">
        <v>26.5</v>
      </c>
      <c r="AP478" s="43" t="n">
        <v>43.5</v>
      </c>
      <c r="AQ478" s="25" t="n">
        <f aca="false">IF(AND(ISNUMBER(AP478),ISNUMBER(AO478),AO478&gt;=5),AP478/AO478,"")</f>
        <v>1.64150943396226</v>
      </c>
      <c r="AR478" s="43" t="n">
        <v>103.7</v>
      </c>
      <c r="AS478" s="43" t="n">
        <v>68.2</v>
      </c>
      <c r="AT478" s="22" t="n">
        <f aca="false">IF(AND(ISNUMBER(AS478),ISNUMBER(AR478),AR478&gt;0),AS478/AR478-1,"")</f>
        <v>-0.342333654773385</v>
      </c>
      <c r="AU478" s="44"/>
      <c r="AV478" s="44"/>
      <c r="AW478" s="44"/>
      <c r="AX478" s="44"/>
      <c r="AY478" s="44"/>
      <c r="AZ478" s="45"/>
      <c r="BA478" s="45"/>
      <c r="BB478" s="46"/>
      <c r="BC478" s="46"/>
      <c r="BD478" s="23" t="str">
        <f aca="false">IF(AND(ISNUMBER(BB478),ISNUMBER(BC478),BB478&gt;0),1-BC478/BB478,"")</f>
        <v/>
      </c>
      <c r="BE478" s="47"/>
      <c r="BF478" s="48"/>
      <c r="BG478" s="48"/>
      <c r="BH478" s="27" t="str">
        <f aca="false">IF(AND(ISNUMBER(BF478),ISNUMBER(BG478),BG478&gt;0),BF478/BG478,"")</f>
        <v/>
      </c>
      <c r="BI478" s="48"/>
      <c r="BJ478" s="44"/>
      <c r="BK478" s="46"/>
      <c r="BL478" s="46"/>
      <c r="BM478" s="36" t="str">
        <f aca="false">IF(ISNUMBER(Q478),IF(Q478&lt;0,"YES","no"),"")</f>
        <v>YES</v>
      </c>
      <c r="BN478" s="36" t="str">
        <f aca="false">IFERROR(IF(AND(ISNUMBER(K478),ISNUMBER(INDEX('Lift Inputs'!$H:$H,MATCH(C478,'Lift Inputs'!$C:$C,0)))),IF(K478&lt;INDEX('Lift Inputs'!$H:$H,MATCH(C478,'Lift Inputs'!$C:$C,0)),"YES","no"),""),"")</f>
        <v/>
      </c>
      <c r="BO478" s="44"/>
    </row>
    <row r="479" customFormat="false" ht="15" hidden="false" customHeight="false" outlineLevel="0" collapsed="false">
      <c r="A479" s="15" t="s">
        <v>110</v>
      </c>
      <c r="B479" s="15" t="s">
        <v>130</v>
      </c>
      <c r="C479" s="15" t="n">
        <v>43</v>
      </c>
      <c r="D479" s="15" t="s">
        <v>227</v>
      </c>
      <c r="E479" s="15" t="n">
        <v>1874</v>
      </c>
      <c r="F479" s="15" t="s">
        <v>866</v>
      </c>
      <c r="G479" s="15" t="s">
        <v>910</v>
      </c>
      <c r="H479" s="15" t="s">
        <v>911</v>
      </c>
      <c r="I479" s="15" t="s">
        <v>912</v>
      </c>
      <c r="J479" s="15" t="s">
        <v>176</v>
      </c>
      <c r="K479" s="35" t="n">
        <v>16.88</v>
      </c>
      <c r="L479" s="35"/>
      <c r="M479" s="23" t="str">
        <f aca="false">IF(AND(ISNUMBER(L479),ISNUMBER(K479),K479&gt;0),L479/K479-1,"")</f>
        <v/>
      </c>
      <c r="N479" s="36" t="str">
        <f aca="false">IF(M479="","No List Price",IF(M479&lt;=0,"At/below price",IF(M479&lt;=0.12,"&lt;=12% (STR zone)",IF(M479&lt;=0.25,"12-25%","&gt;25% (likely ignored)"))))</f>
        <v>No List Price</v>
      </c>
      <c r="O479" s="15" t="s">
        <v>311</v>
      </c>
      <c r="P479" s="35" t="n">
        <v>21.8520689655172</v>
      </c>
      <c r="Q479" s="22" t="n">
        <f aca="false">IF(AND(ISNUMBER(K479),ISNUMBER(P479),N(P479)&gt;0),K479/P479-1,"")</f>
        <v>-0.227533098736015</v>
      </c>
      <c r="R479" s="15" t="s">
        <v>312</v>
      </c>
      <c r="S479" s="37" t="n">
        <v>29862</v>
      </c>
      <c r="T479" s="37" t="n">
        <v>35</v>
      </c>
      <c r="U479" s="38" t="n">
        <f aca="false">IF(AND(ISNUMBER(K479),ISNUMBER(T479)),K479*T479*52/12,"")</f>
        <v>2560.13333333333</v>
      </c>
      <c r="V479" s="15" t="n">
        <v>4.3</v>
      </c>
      <c r="W479" s="37" t="n">
        <v>8391</v>
      </c>
      <c r="X479" s="39" t="n">
        <v>46307</v>
      </c>
      <c r="Y479" s="15"/>
      <c r="Z479" s="40"/>
      <c r="AA479" s="41" t="str">
        <f aca="false">IF(ISNUMBER(Z479),(DATE(2026,10,13)-Z479)/365,"")</f>
        <v/>
      </c>
      <c r="AB479" s="37"/>
      <c r="AC479" s="15"/>
      <c r="AD479" s="15"/>
      <c r="AE479" s="15"/>
      <c r="AF479" s="42"/>
      <c r="AG479" s="42"/>
      <c r="AH479" s="15"/>
      <c r="AI479" s="37" t="n">
        <v>12595</v>
      </c>
      <c r="AJ479" s="37" t="n">
        <v>546</v>
      </c>
      <c r="AK479" s="15"/>
      <c r="AL479" s="43"/>
      <c r="AM479" s="43"/>
      <c r="AN479" s="25" t="str">
        <f aca="false">IF(AND(ISNUMBER(AM479),ISNUMBER(AL479),AL479&gt;=5),AM479/AL479,"")</f>
        <v/>
      </c>
      <c r="AO479" s="43"/>
      <c r="AP479" s="43"/>
      <c r="AQ479" s="25" t="str">
        <f aca="false">IF(AND(ISNUMBER(AP479),ISNUMBER(AO479),AO479&gt;=5),AP479/AO479,"")</f>
        <v/>
      </c>
      <c r="AR479" s="43"/>
      <c r="AS479" s="43"/>
      <c r="AT479" s="22" t="str">
        <f aca="false">IF(AND(ISNUMBER(AS479),ISNUMBER(AR479),AR479&gt;0),AS479/AR479-1,"")</f>
        <v/>
      </c>
      <c r="AU479" s="44"/>
      <c r="AV479" s="44"/>
      <c r="AW479" s="44"/>
      <c r="AX479" s="44"/>
      <c r="AY479" s="44"/>
      <c r="AZ479" s="45"/>
      <c r="BA479" s="45"/>
      <c r="BB479" s="46"/>
      <c r="BC479" s="46"/>
      <c r="BD479" s="23" t="str">
        <f aca="false">IF(AND(ISNUMBER(BB479),ISNUMBER(BC479),BB479&gt;0),1-BC479/BB479,"")</f>
        <v/>
      </c>
      <c r="BE479" s="47"/>
      <c r="BF479" s="48"/>
      <c r="BG479" s="48"/>
      <c r="BH479" s="27" t="str">
        <f aca="false">IF(AND(ISNUMBER(BF479),ISNUMBER(BG479),BG479&gt;0),BF479/BG479,"")</f>
        <v/>
      </c>
      <c r="BI479" s="48"/>
      <c r="BJ479" s="44"/>
      <c r="BK479" s="46"/>
      <c r="BL479" s="46"/>
      <c r="BM479" s="36" t="str">
        <f aca="false">IF(ISNUMBER(Q479),IF(Q479&lt;0,"YES","no"),"")</f>
        <v>YES</v>
      </c>
      <c r="BN479" s="36" t="str">
        <f aca="false">IFERROR(IF(AND(ISNUMBER(K479),ISNUMBER(INDEX('Lift Inputs'!$H:$H,MATCH(C479,'Lift Inputs'!$C:$C,0)))),IF(K479&lt;INDEX('Lift Inputs'!$H:$H,MATCH(C479,'Lift Inputs'!$C:$C,0)),"YES","no"),""),"")</f>
        <v/>
      </c>
      <c r="BO479" s="44"/>
    </row>
    <row r="480" customFormat="false" ht="15" hidden="false" customHeight="false" outlineLevel="0" collapsed="false">
      <c r="A480" s="15" t="s">
        <v>110</v>
      </c>
      <c r="B480" s="15" t="s">
        <v>130</v>
      </c>
      <c r="C480" s="15" t="n">
        <v>43</v>
      </c>
      <c r="D480" s="15" t="s">
        <v>227</v>
      </c>
      <c r="E480" s="15" t="n">
        <v>483</v>
      </c>
      <c r="F480" s="15" t="s">
        <v>516</v>
      </c>
      <c r="G480" s="15" t="s">
        <v>917</v>
      </c>
      <c r="H480" s="15" t="s">
        <v>918</v>
      </c>
      <c r="I480" s="15" t="s">
        <v>919</v>
      </c>
      <c r="J480" s="15" t="s">
        <v>177</v>
      </c>
      <c r="K480" s="35" t="n">
        <v>59.25</v>
      </c>
      <c r="L480" s="35" t="n">
        <v>79</v>
      </c>
      <c r="M480" s="23" t="n">
        <f aca="false">IF(AND(ISNUMBER(L480),ISNUMBER(K480),K480&gt;0),L480/K480-1,"")</f>
        <v>0.333333333333333</v>
      </c>
      <c r="N480" s="36" t="str">
        <f aca="false">IF(M480="","No List Price",IF(M480&lt;=0,"At/below price",IF(M480&lt;=0.12,"&lt;=12% (STR zone)",IF(M480&lt;=0.25,"12-25%","&gt;25% (likely ignored)"))))</f>
        <v>&gt;25% (likely ignored)</v>
      </c>
      <c r="O480" s="15" t="s">
        <v>716</v>
      </c>
      <c r="P480" s="35" t="n">
        <v>16.99</v>
      </c>
      <c r="Q480" s="22" t="n">
        <f aca="false">IF(AND(ISNUMBER(K480),ISNUMBER(P480),N(P480)&gt;0),K480/P480-1,"")</f>
        <v>2.48734549735138</v>
      </c>
      <c r="R480" s="15" t="s">
        <v>717</v>
      </c>
      <c r="S480" s="37" t="n">
        <v>4369</v>
      </c>
      <c r="T480" s="37" t="n">
        <v>208</v>
      </c>
      <c r="U480" s="38" t="n">
        <f aca="false">IF(AND(ISNUMBER(K480),ISNUMBER(T480)),K480*T480*52/12,"")</f>
        <v>53404</v>
      </c>
      <c r="V480" s="15" t="n">
        <v>4.4</v>
      </c>
      <c r="W480" s="37" t="n">
        <v>1226</v>
      </c>
      <c r="X480" s="39" t="n">
        <v>46307</v>
      </c>
      <c r="Y480" s="15" t="n">
        <v>12</v>
      </c>
      <c r="Z480" s="40" t="n">
        <v>45016</v>
      </c>
      <c r="AA480" s="41" t="n">
        <f aca="false">IF(ISNUMBER(Z480),(DATE(2026,10,13)-Z480)/365,"")</f>
        <v>3.53972602739726</v>
      </c>
      <c r="AB480" s="37" t="n">
        <v>5738</v>
      </c>
      <c r="AC480" s="15" t="s">
        <v>313</v>
      </c>
      <c r="AD480" s="15" t="n">
        <v>2</v>
      </c>
      <c r="AE480" s="15" t="s">
        <v>336</v>
      </c>
      <c r="AF480" s="42" t="n">
        <v>0.504</v>
      </c>
      <c r="AG480" s="42" t="n">
        <v>0.0711417193328714</v>
      </c>
      <c r="AH480" s="15" t="n">
        <v>228</v>
      </c>
      <c r="AI480" s="37" t="n">
        <v>345367</v>
      </c>
      <c r="AJ480" s="37" t="n">
        <v>4235</v>
      </c>
      <c r="AK480" s="15" t="s">
        <v>315</v>
      </c>
      <c r="AL480" s="43" t="n">
        <v>131.3</v>
      </c>
      <c r="AM480" s="43" t="n">
        <v>295.8</v>
      </c>
      <c r="AN480" s="25" t="n">
        <f aca="false">IF(AND(ISNUMBER(AM480),ISNUMBER(AL480),AL480&gt;=5),AM480/AL480,"")</f>
        <v>2.25285605483625</v>
      </c>
      <c r="AO480" s="43" t="n">
        <v>42.4</v>
      </c>
      <c r="AP480" s="43" t="n">
        <v>336.5</v>
      </c>
      <c r="AQ480" s="25" t="n">
        <f aca="false">IF(AND(ISNUMBER(AP480),ISNUMBER(AO480),AO480&gt;=5),AP480/AO480,"")</f>
        <v>7.93632075471698</v>
      </c>
      <c r="AR480" s="43" t="n">
        <v>109.9</v>
      </c>
      <c r="AS480" s="43" t="n">
        <v>203.4</v>
      </c>
      <c r="AT480" s="22" t="n">
        <f aca="false">IF(AND(ISNUMBER(AS480),ISNUMBER(AR480),AR480&gt;0),AS480/AR480-1,"")</f>
        <v>0.850773430391265</v>
      </c>
      <c r="AU480" s="44"/>
      <c r="AV480" s="44"/>
      <c r="AW480" s="44"/>
      <c r="AX480" s="44"/>
      <c r="AY480" s="44"/>
      <c r="AZ480" s="45"/>
      <c r="BA480" s="45"/>
      <c r="BB480" s="46"/>
      <c r="BC480" s="46"/>
      <c r="BD480" s="23" t="str">
        <f aca="false">IF(AND(ISNUMBER(BB480),ISNUMBER(BC480),BB480&gt;0),1-BC480/BB480,"")</f>
        <v/>
      </c>
      <c r="BE480" s="47"/>
      <c r="BF480" s="48"/>
      <c r="BG480" s="48"/>
      <c r="BH480" s="27" t="str">
        <f aca="false">IF(AND(ISNUMBER(BF480),ISNUMBER(BG480),BG480&gt;0),BF480/BG480,"")</f>
        <v/>
      </c>
      <c r="BI480" s="48"/>
      <c r="BJ480" s="44"/>
      <c r="BK480" s="46"/>
      <c r="BL480" s="46"/>
      <c r="BM480" s="36" t="str">
        <f aca="false">IF(ISNUMBER(Q480),IF(Q480&lt;0,"YES","no"),"")</f>
        <v>no</v>
      </c>
      <c r="BN480" s="36" t="str">
        <f aca="false">IFERROR(IF(AND(ISNUMBER(K480),ISNUMBER(INDEX('Lift Inputs'!$H:$H,MATCH(C480,'Lift Inputs'!$C:$C,0)))),IF(K480&lt;INDEX('Lift Inputs'!$H:$H,MATCH(C480,'Lift Inputs'!$C:$C,0)),"YES","no"),""),"")</f>
        <v/>
      </c>
      <c r="BO480" s="44"/>
    </row>
    <row r="481" customFormat="false" ht="15" hidden="false" customHeight="false" outlineLevel="0" collapsed="false">
      <c r="A481" s="15" t="s">
        <v>110</v>
      </c>
      <c r="B481" s="15" t="s">
        <v>130</v>
      </c>
      <c r="C481" s="15" t="n">
        <v>43</v>
      </c>
      <c r="D481" s="15" t="s">
        <v>227</v>
      </c>
      <c r="E481" s="15" t="n">
        <v>489</v>
      </c>
      <c r="F481" s="15" t="s">
        <v>906</v>
      </c>
      <c r="G481" s="15" t="s">
        <v>907</v>
      </c>
      <c r="H481" s="15" t="s">
        <v>908</v>
      </c>
      <c r="I481" s="15" t="s">
        <v>909</v>
      </c>
      <c r="J481" s="15" t="s">
        <v>177</v>
      </c>
      <c r="K481" s="35" t="n">
        <v>15.99</v>
      </c>
      <c r="L481" s="35" t="n">
        <v>19.99</v>
      </c>
      <c r="M481" s="23" t="n">
        <f aca="false">IF(AND(ISNUMBER(L481),ISNUMBER(K481),K481&gt;0),L481/K481-1,"")</f>
        <v>0.250156347717323</v>
      </c>
      <c r="N481" s="36" t="str">
        <f aca="false">IF(M481="","No List Price",IF(M481&lt;=0,"At/below price",IF(M481&lt;=0.12,"&lt;=12% (STR zone)",IF(M481&lt;=0.25,"12-25%","&gt;25% (likely ignored)"))))</f>
        <v>&gt;25% (likely ignored)</v>
      </c>
      <c r="O481" s="15" t="s">
        <v>311</v>
      </c>
      <c r="P481" s="35" t="n">
        <v>21.8520689655172</v>
      </c>
      <c r="Q481" s="22" t="n">
        <f aca="false">IF(AND(ISNUMBER(K481),ISNUMBER(P481),N(P481)&gt;0),K481/P481-1,"")</f>
        <v>-0.268261507629673</v>
      </c>
      <c r="R481" s="15" t="s">
        <v>312</v>
      </c>
      <c r="S481" s="37" t="n">
        <v>14178</v>
      </c>
      <c r="T481" s="37" t="n">
        <v>173</v>
      </c>
      <c r="U481" s="38" t="n">
        <f aca="false">IF(AND(ISNUMBER(K481),ISNUMBER(T481)),K481*T481*52/12,"")</f>
        <v>11987.17</v>
      </c>
      <c r="V481" s="15" t="n">
        <v>4.4</v>
      </c>
      <c r="W481" s="37" t="n">
        <v>3832</v>
      </c>
      <c r="X481" s="39" t="n">
        <v>46272</v>
      </c>
      <c r="Y481" s="15"/>
      <c r="Z481" s="40"/>
      <c r="AA481" s="41" t="str">
        <f aca="false">IF(ISNUMBER(Z481),(DATE(2026,10,13)-Z481)/365,"")</f>
        <v/>
      </c>
      <c r="AB481" s="37"/>
      <c r="AC481" s="15"/>
      <c r="AD481" s="15"/>
      <c r="AE481" s="15"/>
      <c r="AF481" s="42"/>
      <c r="AG481" s="42"/>
      <c r="AH481" s="15"/>
      <c r="AI481" s="37"/>
      <c r="AJ481" s="37"/>
      <c r="AK481" s="15" t="s">
        <v>315</v>
      </c>
      <c r="AL481" s="43" t="n">
        <v>76.2</v>
      </c>
      <c r="AM481" s="43" t="n">
        <v>83.8</v>
      </c>
      <c r="AN481" s="25" t="n">
        <f aca="false">IF(AND(ISNUMBER(AM481),ISNUMBER(AL481),AL481&gt;=5),AM481/AL481,"")</f>
        <v>1.0997375328084</v>
      </c>
      <c r="AO481" s="43" t="n">
        <v>26.5</v>
      </c>
      <c r="AP481" s="43" t="n">
        <v>43.5</v>
      </c>
      <c r="AQ481" s="25" t="n">
        <f aca="false">IF(AND(ISNUMBER(AP481),ISNUMBER(AO481),AO481&gt;=5),AP481/AO481,"")</f>
        <v>1.64150943396226</v>
      </c>
      <c r="AR481" s="43" t="n">
        <v>103.7</v>
      </c>
      <c r="AS481" s="43" t="n">
        <v>68.2</v>
      </c>
      <c r="AT481" s="22" t="n">
        <f aca="false">IF(AND(ISNUMBER(AS481),ISNUMBER(AR481),AR481&gt;0),AS481/AR481-1,"")</f>
        <v>-0.342333654773385</v>
      </c>
      <c r="AU481" s="44"/>
      <c r="AV481" s="44"/>
      <c r="AW481" s="44"/>
      <c r="AX481" s="44"/>
      <c r="AY481" s="44"/>
      <c r="AZ481" s="45"/>
      <c r="BA481" s="45"/>
      <c r="BB481" s="46"/>
      <c r="BC481" s="46"/>
      <c r="BD481" s="23" t="str">
        <f aca="false">IF(AND(ISNUMBER(BB481),ISNUMBER(BC481),BB481&gt;0),1-BC481/BB481,"")</f>
        <v/>
      </c>
      <c r="BE481" s="47"/>
      <c r="BF481" s="48"/>
      <c r="BG481" s="48"/>
      <c r="BH481" s="27" t="str">
        <f aca="false">IF(AND(ISNUMBER(BF481),ISNUMBER(BG481),BG481&gt;0),BF481/BG481,"")</f>
        <v/>
      </c>
      <c r="BI481" s="48"/>
      <c r="BJ481" s="44"/>
      <c r="BK481" s="46"/>
      <c r="BL481" s="46"/>
      <c r="BM481" s="36" t="str">
        <f aca="false">IF(ISNUMBER(Q481),IF(Q481&lt;0,"YES","no"),"")</f>
        <v>YES</v>
      </c>
      <c r="BN481" s="36" t="str">
        <f aca="false">IFERROR(IF(AND(ISNUMBER(K481),ISNUMBER(INDEX('Lift Inputs'!$H:$H,MATCH(C481,'Lift Inputs'!$C:$C,0)))),IF(K481&lt;INDEX('Lift Inputs'!$H:$H,MATCH(C481,'Lift Inputs'!$C:$C,0)),"YES","no"),""),"")</f>
        <v/>
      </c>
      <c r="BO481" s="44"/>
    </row>
    <row r="482" customFormat="false" ht="15" hidden="false" customHeight="false" outlineLevel="0" collapsed="false">
      <c r="A482" s="15" t="s">
        <v>110</v>
      </c>
      <c r="B482" s="15" t="s">
        <v>130</v>
      </c>
      <c r="C482" s="15" t="n">
        <v>43</v>
      </c>
      <c r="D482" s="15" t="s">
        <v>227</v>
      </c>
      <c r="E482" s="15" t="n">
        <v>1873</v>
      </c>
      <c r="F482" s="15" t="s">
        <v>920</v>
      </c>
      <c r="G482" s="15" t="s">
        <v>921</v>
      </c>
      <c r="H482" s="15" t="s">
        <v>922</v>
      </c>
      <c r="I482" s="15" t="s">
        <v>923</v>
      </c>
      <c r="J482" s="15" t="s">
        <v>177</v>
      </c>
      <c r="K482" s="35" t="n">
        <v>14.6</v>
      </c>
      <c r="L482" s="35"/>
      <c r="M482" s="23" t="str">
        <f aca="false">IF(AND(ISNUMBER(L482),ISNUMBER(K482),K482&gt;0),L482/K482-1,"")</f>
        <v/>
      </c>
      <c r="N482" s="36" t="str">
        <f aca="false">IF(M482="","No List Price",IF(M482&lt;=0,"At/below price",IF(M482&lt;=0.12,"&lt;=12% (STR zone)",IF(M482&lt;=0.25,"12-25%","&gt;25% (likely ignored)"))))</f>
        <v>No List Price</v>
      </c>
      <c r="O482" s="15"/>
      <c r="P482" s="35" t="n">
        <v>21.8520689655172</v>
      </c>
      <c r="Q482" s="22" t="n">
        <f aca="false">IF(AND(ISNUMBER(K482),ISNUMBER(P482),N(P482)&gt;0),K482/P482-1,"")</f>
        <v>-0.331871045115274</v>
      </c>
      <c r="R482" s="15" t="s">
        <v>353</v>
      </c>
      <c r="S482" s="37" t="n">
        <v>28988</v>
      </c>
      <c r="T482" s="37" t="n">
        <v>104</v>
      </c>
      <c r="U482" s="38" t="n">
        <f aca="false">IF(AND(ISNUMBER(K482),ISNUMBER(T482)),K482*T482*52/12,"")</f>
        <v>6579.73333333333</v>
      </c>
      <c r="V482" s="15" t="n">
        <v>4.4</v>
      </c>
      <c r="W482" s="37" t="n">
        <v>1768</v>
      </c>
      <c r="X482" s="39" t="n">
        <v>46307</v>
      </c>
      <c r="Y482" s="15" t="n">
        <v>54</v>
      </c>
      <c r="Z482" s="40" t="n">
        <v>44247</v>
      </c>
      <c r="AA482" s="41" t="n">
        <f aca="false">IF(ISNUMBER(Z482),(DATE(2026,10,13)-Z482)/365,"")</f>
        <v>5.64657534246575</v>
      </c>
      <c r="AB482" s="37" t="n">
        <v>1484</v>
      </c>
      <c r="AC482" s="15" t="s">
        <v>313</v>
      </c>
      <c r="AD482" s="15" t="n">
        <v>1</v>
      </c>
      <c r="AE482" s="15" t="s">
        <v>331</v>
      </c>
      <c r="AF482" s="42" t="n">
        <v>0.008</v>
      </c>
      <c r="AG482" s="42" t="n">
        <v>0.00017497077987976</v>
      </c>
      <c r="AH482" s="15" t="n">
        <v>87</v>
      </c>
      <c r="AI482" s="37" t="n">
        <v>17999</v>
      </c>
      <c r="AJ482" s="37" t="n">
        <v>499</v>
      </c>
      <c r="AK482" s="15" t="s">
        <v>315</v>
      </c>
      <c r="AL482" s="43" t="n">
        <v>62.1</v>
      </c>
      <c r="AM482" s="43" t="n">
        <v>69</v>
      </c>
      <c r="AN482" s="25" t="n">
        <f aca="false">IF(AND(ISNUMBER(AM482),ISNUMBER(AL482),AL482&gt;=5),AM482/AL482,"")</f>
        <v>1.11111111111111</v>
      </c>
      <c r="AO482" s="43" t="n">
        <v>5</v>
      </c>
      <c r="AP482" s="43" t="n">
        <v>8</v>
      </c>
      <c r="AQ482" s="25" t="n">
        <f aca="false">IF(AND(ISNUMBER(AP482),ISNUMBER(AO482),AO482&gt;=5),AP482/AO482,"")</f>
        <v>1.6</v>
      </c>
      <c r="AR482" s="43" t="n">
        <v>56.7</v>
      </c>
      <c r="AS482" s="43" t="n">
        <v>66.6</v>
      </c>
      <c r="AT482" s="22" t="n">
        <f aca="false">IF(AND(ISNUMBER(AS482),ISNUMBER(AR482),AR482&gt;0),AS482/AR482-1,"")</f>
        <v>0.174603174603174</v>
      </c>
      <c r="AU482" s="44"/>
      <c r="AV482" s="44"/>
      <c r="AW482" s="44"/>
      <c r="AX482" s="44"/>
      <c r="AY482" s="44"/>
      <c r="AZ482" s="45"/>
      <c r="BA482" s="45"/>
      <c r="BB482" s="46"/>
      <c r="BC482" s="46"/>
      <c r="BD482" s="23" t="str">
        <f aca="false">IF(AND(ISNUMBER(BB482),ISNUMBER(BC482),BB482&gt;0),1-BC482/BB482,"")</f>
        <v/>
      </c>
      <c r="BE482" s="47"/>
      <c r="BF482" s="48"/>
      <c r="BG482" s="48"/>
      <c r="BH482" s="27" t="str">
        <f aca="false">IF(AND(ISNUMBER(BF482),ISNUMBER(BG482),BG482&gt;0),BF482/BG482,"")</f>
        <v/>
      </c>
      <c r="BI482" s="48"/>
      <c r="BJ482" s="44"/>
      <c r="BK482" s="46"/>
      <c r="BL482" s="46"/>
      <c r="BM482" s="36" t="str">
        <f aca="false">IF(ISNUMBER(Q482),IF(Q482&lt;0,"YES","no"),"")</f>
        <v>YES</v>
      </c>
      <c r="BN482" s="36" t="str">
        <f aca="false">IFERROR(IF(AND(ISNUMBER(K482),ISNUMBER(INDEX('Lift Inputs'!$H:$H,MATCH(C482,'Lift Inputs'!$C:$C,0)))),IF(K482&lt;INDEX('Lift Inputs'!$H:$H,MATCH(C482,'Lift Inputs'!$C:$C,0)),"YES","no"),""),"")</f>
        <v/>
      </c>
      <c r="BO482" s="44"/>
    </row>
    <row r="483" customFormat="false" ht="15" hidden="false" customHeight="false" outlineLevel="0" collapsed="false">
      <c r="A483" s="15" t="s">
        <v>110</v>
      </c>
      <c r="B483" s="15" t="s">
        <v>130</v>
      </c>
      <c r="C483" s="15" t="n">
        <v>43</v>
      </c>
      <c r="D483" s="15" t="s">
        <v>227</v>
      </c>
      <c r="E483" s="15" t="n">
        <v>1858</v>
      </c>
      <c r="F483" s="15" t="s">
        <v>942</v>
      </c>
      <c r="G483" s="15" t="s">
        <v>965</v>
      </c>
      <c r="H483" s="15" t="s">
        <v>966</v>
      </c>
      <c r="I483" s="15" t="s">
        <v>967</v>
      </c>
      <c r="J483" s="15" t="s">
        <v>177</v>
      </c>
      <c r="K483" s="35" t="n">
        <v>33.15</v>
      </c>
      <c r="L483" s="35" t="n">
        <v>39</v>
      </c>
      <c r="M483" s="23" t="n">
        <f aca="false">IF(AND(ISNUMBER(L483),ISNUMBER(K483),K483&gt;0),L483/K483-1,"")</f>
        <v>0.176470588235294</v>
      </c>
      <c r="N483" s="36" t="str">
        <f aca="false">IF(M483="","No List Price",IF(M483&lt;=0,"At/below price",IF(M483&lt;=0.12,"&lt;=12% (STR zone)",IF(M483&lt;=0.25,"12-25%","&gt;25% (likely ignored)"))))</f>
        <v>12-25%</v>
      </c>
      <c r="O483" s="15" t="s">
        <v>311</v>
      </c>
      <c r="P483" s="35" t="n">
        <v>21.8520689655172</v>
      </c>
      <c r="Q483" s="22" t="n">
        <f aca="false">IF(AND(ISNUMBER(K483),ISNUMBER(P483),N(P483)&gt;0),K483/P483-1,"")</f>
        <v>0.5170188256458</v>
      </c>
      <c r="R483" s="15" t="s">
        <v>312</v>
      </c>
      <c r="S483" s="37" t="n">
        <v>16917</v>
      </c>
      <c r="T483" s="37" t="n">
        <v>104</v>
      </c>
      <c r="U483" s="38" t="n">
        <f aca="false">IF(AND(ISNUMBER(K483),ISNUMBER(T483)),K483*T483*52/12,"")</f>
        <v>14939.6</v>
      </c>
      <c r="V483" s="15" t="n">
        <v>4.5</v>
      </c>
      <c r="W483" s="37" t="n">
        <v>507</v>
      </c>
      <c r="X483" s="39" t="n">
        <v>46307</v>
      </c>
      <c r="Y483" s="15"/>
      <c r="Z483" s="40"/>
      <c r="AA483" s="41" t="str">
        <f aca="false">IF(ISNUMBER(Z483),(DATE(2026,10,13)-Z483)/365,"")</f>
        <v/>
      </c>
      <c r="AB483" s="37"/>
      <c r="AC483" s="15"/>
      <c r="AD483" s="15"/>
      <c r="AE483" s="15"/>
      <c r="AF483" s="42"/>
      <c r="AG483" s="42"/>
      <c r="AH483" s="15"/>
      <c r="AI483" s="37" t="n">
        <v>80590</v>
      </c>
      <c r="AJ483" s="37" t="n">
        <v>1312</v>
      </c>
      <c r="AK483" s="15"/>
      <c r="AL483" s="43"/>
      <c r="AM483" s="43"/>
      <c r="AN483" s="25" t="str">
        <f aca="false">IF(AND(ISNUMBER(AM483),ISNUMBER(AL483),AL483&gt;=5),AM483/AL483,"")</f>
        <v/>
      </c>
      <c r="AO483" s="43"/>
      <c r="AP483" s="43"/>
      <c r="AQ483" s="25" t="str">
        <f aca="false">IF(AND(ISNUMBER(AP483),ISNUMBER(AO483),AO483&gt;=5),AP483/AO483,"")</f>
        <v/>
      </c>
      <c r="AR483" s="43"/>
      <c r="AS483" s="43"/>
      <c r="AT483" s="22" t="str">
        <f aca="false">IF(AND(ISNUMBER(AS483),ISNUMBER(AR483),AR483&gt;0),AS483/AR483-1,"")</f>
        <v/>
      </c>
      <c r="AU483" s="44"/>
      <c r="AV483" s="44"/>
      <c r="AW483" s="44"/>
      <c r="AX483" s="44"/>
      <c r="AY483" s="44"/>
      <c r="AZ483" s="45"/>
      <c r="BA483" s="45"/>
      <c r="BB483" s="46"/>
      <c r="BC483" s="46"/>
      <c r="BD483" s="23" t="str">
        <f aca="false">IF(AND(ISNUMBER(BB483),ISNUMBER(BC483),BB483&gt;0),1-BC483/BB483,"")</f>
        <v/>
      </c>
      <c r="BE483" s="47"/>
      <c r="BF483" s="48"/>
      <c r="BG483" s="48"/>
      <c r="BH483" s="27" t="str">
        <f aca="false">IF(AND(ISNUMBER(BF483),ISNUMBER(BG483),BG483&gt;0),BF483/BG483,"")</f>
        <v/>
      </c>
      <c r="BI483" s="48"/>
      <c r="BJ483" s="44"/>
      <c r="BK483" s="46"/>
      <c r="BL483" s="46"/>
      <c r="BM483" s="36" t="str">
        <f aca="false">IF(ISNUMBER(Q483),IF(Q483&lt;0,"YES","no"),"")</f>
        <v>no</v>
      </c>
      <c r="BN483" s="36" t="str">
        <f aca="false">IFERROR(IF(AND(ISNUMBER(K483),ISNUMBER(INDEX('Lift Inputs'!$H:$H,MATCH(C483,'Lift Inputs'!$C:$C,0)))),IF(K483&lt;INDEX('Lift Inputs'!$H:$H,MATCH(C483,'Lift Inputs'!$C:$C,0)),"YES","no"),""),"")</f>
        <v/>
      </c>
      <c r="BO483" s="44"/>
    </row>
    <row r="484" customFormat="false" ht="15" hidden="false" customHeight="false" outlineLevel="0" collapsed="false">
      <c r="A484" s="15" t="s">
        <v>110</v>
      </c>
      <c r="B484" s="15" t="s">
        <v>130</v>
      </c>
      <c r="C484" s="15" t="n">
        <v>43</v>
      </c>
      <c r="D484" s="15" t="s">
        <v>227</v>
      </c>
      <c r="E484" s="15" t="n">
        <v>1889</v>
      </c>
      <c r="F484" s="15" t="s">
        <v>549</v>
      </c>
      <c r="G484" s="15" t="s">
        <v>550</v>
      </c>
      <c r="H484" s="15" t="s">
        <v>551</v>
      </c>
      <c r="I484" s="15" t="s">
        <v>552</v>
      </c>
      <c r="J484" s="15" t="s">
        <v>177</v>
      </c>
      <c r="K484" s="35" t="n">
        <v>17.99</v>
      </c>
      <c r="L484" s="35"/>
      <c r="M484" s="23" t="str">
        <f aca="false">IF(AND(ISNUMBER(L484),ISNUMBER(K484),K484&gt;0),L484/K484-1,"")</f>
        <v/>
      </c>
      <c r="N484" s="36" t="str">
        <f aca="false">IF(M484="","No List Price",IF(M484&lt;=0,"At/below price",IF(M484&lt;=0.12,"&lt;=12% (STR zone)",IF(M484&lt;=0.25,"12-25%","&gt;25% (likely ignored)"))))</f>
        <v>No List Price</v>
      </c>
      <c r="O484" s="15"/>
      <c r="P484" s="35" t="n">
        <v>21.8520689655172</v>
      </c>
      <c r="Q484" s="22" t="n">
        <f aca="false">IF(AND(ISNUMBER(K484),ISNUMBER(P484),N(P484)&gt;0),K484/P484-1,"")</f>
        <v>-0.176736993261902</v>
      </c>
      <c r="R484" s="15" t="s">
        <v>353</v>
      </c>
      <c r="S484" s="37" t="n">
        <v>12744</v>
      </c>
      <c r="T484" s="37" t="n">
        <v>92</v>
      </c>
      <c r="U484" s="38" t="n">
        <f aca="false">IF(AND(ISNUMBER(K484),ISNUMBER(T484)),K484*T484*52/12,"")</f>
        <v>7172.01333333333</v>
      </c>
      <c r="V484" s="15" t="n">
        <v>4.2</v>
      </c>
      <c r="W484" s="37" t="n">
        <v>1630</v>
      </c>
      <c r="X484" s="39" t="n">
        <v>46307</v>
      </c>
      <c r="Y484" s="15"/>
      <c r="Z484" s="40"/>
      <c r="AA484" s="41" t="str">
        <f aca="false">IF(ISNUMBER(Z484),(DATE(2026,10,13)-Z484)/365,"")</f>
        <v/>
      </c>
      <c r="AB484" s="37"/>
      <c r="AC484" s="15"/>
      <c r="AD484" s="15"/>
      <c r="AE484" s="15"/>
      <c r="AF484" s="42"/>
      <c r="AG484" s="42"/>
      <c r="AH484" s="15"/>
      <c r="AI484" s="37" t="n">
        <v>15537</v>
      </c>
      <c r="AJ484" s="37" t="n">
        <v>438</v>
      </c>
      <c r="AK484" s="15" t="s">
        <v>553</v>
      </c>
      <c r="AL484" s="43" t="n">
        <v>41.8</v>
      </c>
      <c r="AM484" s="43" t="n">
        <v>35.8</v>
      </c>
      <c r="AN484" s="25" t="n">
        <f aca="false">IF(AND(ISNUMBER(AM484),ISNUMBER(AL484),AL484&gt;=5),AM484/AL484,"")</f>
        <v>0.856459330143541</v>
      </c>
      <c r="AO484" s="43" t="n">
        <v>3.4</v>
      </c>
      <c r="AP484" s="43" t="n">
        <v>4.8</v>
      </c>
      <c r="AQ484" s="25" t="str">
        <f aca="false">IF(AND(ISNUMBER(AP484),ISNUMBER(AO484),AO484&gt;=5),AP484/AO484,"")</f>
        <v/>
      </c>
      <c r="AR484" s="43" t="n">
        <v>32.4</v>
      </c>
      <c r="AS484" s="43" t="n">
        <v>25.3</v>
      </c>
      <c r="AT484" s="22" t="n">
        <f aca="false">IF(AND(ISNUMBER(AS484),ISNUMBER(AR484),AR484&gt;0),AS484/AR484-1,"")</f>
        <v>-0.219135802469136</v>
      </c>
      <c r="AU484" s="44"/>
      <c r="AV484" s="44"/>
      <c r="AW484" s="44"/>
      <c r="AX484" s="44"/>
      <c r="AY484" s="44"/>
      <c r="AZ484" s="45"/>
      <c r="BA484" s="45"/>
      <c r="BB484" s="46"/>
      <c r="BC484" s="46"/>
      <c r="BD484" s="23" t="str">
        <f aca="false">IF(AND(ISNUMBER(BB484),ISNUMBER(BC484),BB484&gt;0),1-BC484/BB484,"")</f>
        <v/>
      </c>
      <c r="BE484" s="47"/>
      <c r="BF484" s="48"/>
      <c r="BG484" s="48"/>
      <c r="BH484" s="27" t="str">
        <f aca="false">IF(AND(ISNUMBER(BF484),ISNUMBER(BG484),BG484&gt;0),BF484/BG484,"")</f>
        <v/>
      </c>
      <c r="BI484" s="48"/>
      <c r="BJ484" s="44"/>
      <c r="BK484" s="46"/>
      <c r="BL484" s="46"/>
      <c r="BM484" s="36" t="str">
        <f aca="false">IF(ISNUMBER(Q484),IF(Q484&lt;0,"YES","no"),"")</f>
        <v>YES</v>
      </c>
      <c r="BN484" s="36" t="str">
        <f aca="false">IFERROR(IF(AND(ISNUMBER(K484),ISNUMBER(INDEX('Lift Inputs'!$H:$H,MATCH(C484,'Lift Inputs'!$C:$C,0)))),IF(K484&lt;INDEX('Lift Inputs'!$H:$H,MATCH(C484,'Lift Inputs'!$C:$C,0)),"YES","no"),""),"")</f>
        <v/>
      </c>
      <c r="BO484" s="44"/>
    </row>
    <row r="485" customFormat="false" ht="15" hidden="false" customHeight="false" outlineLevel="0" collapsed="false">
      <c r="A485" s="15" t="s">
        <v>110</v>
      </c>
      <c r="B485" s="15" t="s">
        <v>130</v>
      </c>
      <c r="C485" s="15" t="n">
        <v>43</v>
      </c>
      <c r="D485" s="15" t="s">
        <v>227</v>
      </c>
      <c r="E485" s="15" t="n">
        <v>1860</v>
      </c>
      <c r="F485" s="15" t="s">
        <v>924</v>
      </c>
      <c r="G485" s="15" t="s">
        <v>925</v>
      </c>
      <c r="H485" s="15" t="s">
        <v>926</v>
      </c>
      <c r="I485" s="15" t="s">
        <v>927</v>
      </c>
      <c r="J485" s="15" t="s">
        <v>177</v>
      </c>
      <c r="K485" s="35" t="n">
        <v>11.99</v>
      </c>
      <c r="L485" s="35"/>
      <c r="M485" s="23" t="str">
        <f aca="false">IF(AND(ISNUMBER(L485),ISNUMBER(K485),K485&gt;0),L485/K485-1,"")</f>
        <v/>
      </c>
      <c r="N485" s="36" t="str">
        <f aca="false">IF(M485="","No List Price",IF(M485&lt;=0,"At/below price",IF(M485&lt;=0.12,"&lt;=12% (STR zone)",IF(M485&lt;=0.25,"12-25%","&gt;25% (likely ignored)"))))</f>
        <v>No List Price</v>
      </c>
      <c r="O485" s="15" t="s">
        <v>320</v>
      </c>
      <c r="P485" s="35" t="n">
        <v>19.9882608695652</v>
      </c>
      <c r="Q485" s="22" t="n">
        <f aca="false">IF(AND(ISNUMBER(K485),ISNUMBER(P485),N(P485)&gt;0),K485/P485-1,"")</f>
        <v>-0.400147912905401</v>
      </c>
      <c r="R485" s="15" t="s">
        <v>321</v>
      </c>
      <c r="S485" s="37" t="n">
        <v>31417</v>
      </c>
      <c r="T485" s="37" t="n">
        <v>81</v>
      </c>
      <c r="U485" s="38" t="n">
        <f aca="false">IF(AND(ISNUMBER(K485),ISNUMBER(T485)),K485*T485*52/12,"")</f>
        <v>4208.49</v>
      </c>
      <c r="V485" s="15" t="n">
        <v>4.3</v>
      </c>
      <c r="W485" s="37" t="n">
        <v>1309</v>
      </c>
      <c r="X485" s="39" t="n">
        <v>46307</v>
      </c>
      <c r="Y485" s="15"/>
      <c r="Z485" s="40"/>
      <c r="AA485" s="41" t="str">
        <f aca="false">IF(ISNUMBER(Z485),(DATE(2026,10,13)-Z485)/365,"")</f>
        <v/>
      </c>
      <c r="AB485" s="37"/>
      <c r="AC485" s="15"/>
      <c r="AD485" s="15"/>
      <c r="AE485" s="15"/>
      <c r="AF485" s="42"/>
      <c r="AG485" s="42"/>
      <c r="AH485" s="15"/>
      <c r="AI485" s="37" t="n">
        <v>17008</v>
      </c>
      <c r="AJ485" s="37" t="n">
        <v>741</v>
      </c>
      <c r="AK485" s="15" t="s">
        <v>315</v>
      </c>
      <c r="AL485" s="43" t="n">
        <v>41.2</v>
      </c>
      <c r="AM485" s="43" t="n">
        <v>35</v>
      </c>
      <c r="AN485" s="25" t="n">
        <f aca="false">IF(AND(ISNUMBER(AM485),ISNUMBER(AL485),AL485&gt;=5),AM485/AL485,"")</f>
        <v>0.849514563106796</v>
      </c>
      <c r="AO485" s="43" t="n">
        <v>10</v>
      </c>
      <c r="AP485" s="43" t="n">
        <v>3.2</v>
      </c>
      <c r="AQ485" s="25" t="n">
        <f aca="false">IF(AND(ISNUMBER(AP485),ISNUMBER(AO485),AO485&gt;=5),AP485/AO485,"")</f>
        <v>0.32</v>
      </c>
      <c r="AR485" s="43" t="n">
        <v>22.9</v>
      </c>
      <c r="AS485" s="43" t="n">
        <v>32.8</v>
      </c>
      <c r="AT485" s="22" t="n">
        <f aca="false">IF(AND(ISNUMBER(AS485),ISNUMBER(AR485),AR485&gt;0),AS485/AR485-1,"")</f>
        <v>0.432314410480349</v>
      </c>
      <c r="AU485" s="44"/>
      <c r="AV485" s="44"/>
      <c r="AW485" s="44"/>
      <c r="AX485" s="44"/>
      <c r="AY485" s="44"/>
      <c r="AZ485" s="45"/>
      <c r="BA485" s="45"/>
      <c r="BB485" s="46"/>
      <c r="BC485" s="46"/>
      <c r="BD485" s="23" t="str">
        <f aca="false">IF(AND(ISNUMBER(BB485),ISNUMBER(BC485),BB485&gt;0),1-BC485/BB485,"")</f>
        <v/>
      </c>
      <c r="BE485" s="47"/>
      <c r="BF485" s="48"/>
      <c r="BG485" s="48"/>
      <c r="BH485" s="27" t="str">
        <f aca="false">IF(AND(ISNUMBER(BF485),ISNUMBER(BG485),BG485&gt;0),BF485/BG485,"")</f>
        <v/>
      </c>
      <c r="BI485" s="48"/>
      <c r="BJ485" s="44"/>
      <c r="BK485" s="46"/>
      <c r="BL485" s="46"/>
      <c r="BM485" s="36" t="str">
        <f aca="false">IF(ISNUMBER(Q485),IF(Q485&lt;0,"YES","no"),"")</f>
        <v>YES</v>
      </c>
      <c r="BN485" s="36" t="str">
        <f aca="false">IFERROR(IF(AND(ISNUMBER(K485),ISNUMBER(INDEX('Lift Inputs'!$H:$H,MATCH(C485,'Lift Inputs'!$C:$C,0)))),IF(K485&lt;INDEX('Lift Inputs'!$H:$H,MATCH(C485,'Lift Inputs'!$C:$C,0)),"YES","no"),""),"")</f>
        <v/>
      </c>
      <c r="BO485" s="44"/>
    </row>
    <row r="486" customFormat="false" ht="15" hidden="false" customHeight="false" outlineLevel="0" collapsed="false">
      <c r="A486" s="15" t="s">
        <v>110</v>
      </c>
      <c r="B486" s="15" t="s">
        <v>130</v>
      </c>
      <c r="C486" s="15" t="n">
        <v>43</v>
      </c>
      <c r="D486" s="15" t="s">
        <v>227</v>
      </c>
      <c r="E486" s="15" t="n">
        <v>1866</v>
      </c>
      <c r="F486" s="15" t="s">
        <v>532</v>
      </c>
      <c r="G486" s="15" t="s">
        <v>968</v>
      </c>
      <c r="H486" s="15" t="s">
        <v>969</v>
      </c>
      <c r="I486" s="15" t="s">
        <v>970</v>
      </c>
      <c r="J486" s="15" t="s">
        <v>177</v>
      </c>
      <c r="K486" s="35" t="n">
        <v>18.99</v>
      </c>
      <c r="L486" s="35"/>
      <c r="M486" s="23" t="str">
        <f aca="false">IF(AND(ISNUMBER(L486),ISNUMBER(K486),K486&gt;0),L486/K486-1,"")</f>
        <v/>
      </c>
      <c r="N486" s="36" t="str">
        <f aca="false">IF(M486="","No List Price",IF(M486&lt;=0,"At/below price",IF(M486&lt;=0.12,"&lt;=12% (STR zone)",IF(M486&lt;=0.25,"12-25%","&gt;25% (likely ignored)"))))</f>
        <v>No List Price</v>
      </c>
      <c r="O486" s="15" t="s">
        <v>311</v>
      </c>
      <c r="P486" s="35" t="n">
        <v>21.8520689655172</v>
      </c>
      <c r="Q486" s="22" t="n">
        <f aca="false">IF(AND(ISNUMBER(K486),ISNUMBER(P486),N(P486)&gt;0),K486/P486-1,"")</f>
        <v>-0.130974736078017</v>
      </c>
      <c r="R486" s="15" t="s">
        <v>312</v>
      </c>
      <c r="S486" s="37" t="n">
        <v>54776</v>
      </c>
      <c r="T486" s="37" t="n">
        <v>35</v>
      </c>
      <c r="U486" s="38" t="n">
        <f aca="false">IF(AND(ISNUMBER(K486),ISNUMBER(T486)),K486*T486*52/12,"")</f>
        <v>2880.15</v>
      </c>
      <c r="V486" s="15" t="n">
        <v>4.5</v>
      </c>
      <c r="W486" s="37" t="n">
        <v>707</v>
      </c>
      <c r="X486" s="39" t="n">
        <v>46307</v>
      </c>
      <c r="Y486" s="15"/>
      <c r="Z486" s="40"/>
      <c r="AA486" s="41" t="str">
        <f aca="false">IF(ISNUMBER(Z486),(DATE(2026,10,13)-Z486)/365,"")</f>
        <v/>
      </c>
      <c r="AB486" s="37"/>
      <c r="AC486" s="15"/>
      <c r="AD486" s="15"/>
      <c r="AE486" s="15"/>
      <c r="AF486" s="42"/>
      <c r="AG486" s="42"/>
      <c r="AH486" s="15"/>
      <c r="AI486" s="37" t="n">
        <v>19441</v>
      </c>
      <c r="AJ486" s="37" t="n">
        <v>911</v>
      </c>
      <c r="AK486" s="15" t="s">
        <v>315</v>
      </c>
      <c r="AL486" s="43" t="n">
        <v>12.9</v>
      </c>
      <c r="AM486" s="43" t="n">
        <v>7.2</v>
      </c>
      <c r="AN486" s="25" t="n">
        <f aca="false">IF(AND(ISNUMBER(AM486),ISNUMBER(AL486),AL486&gt;=5),AM486/AL486,"")</f>
        <v>0.558139534883721</v>
      </c>
      <c r="AO486" s="43" t="n">
        <v>28.8</v>
      </c>
      <c r="AP486" s="43" t="n">
        <v>19.8</v>
      </c>
      <c r="AQ486" s="25" t="n">
        <f aca="false">IF(AND(ISNUMBER(AP486),ISNUMBER(AO486),AO486&gt;=5),AP486/AO486,"")</f>
        <v>0.6875</v>
      </c>
      <c r="AR486" s="43" t="n">
        <v>12.1</v>
      </c>
      <c r="AS486" s="43" t="n">
        <v>10.4</v>
      </c>
      <c r="AT486" s="22" t="n">
        <f aca="false">IF(AND(ISNUMBER(AS486),ISNUMBER(AR486),AR486&gt;0),AS486/AR486-1,"")</f>
        <v>-0.140495867768595</v>
      </c>
      <c r="AU486" s="44"/>
      <c r="AV486" s="44"/>
      <c r="AW486" s="44"/>
      <c r="AX486" s="44"/>
      <c r="AY486" s="44"/>
      <c r="AZ486" s="45"/>
      <c r="BA486" s="45"/>
      <c r="BB486" s="46"/>
      <c r="BC486" s="46"/>
      <c r="BD486" s="23" t="str">
        <f aca="false">IF(AND(ISNUMBER(BB486),ISNUMBER(BC486),BB486&gt;0),1-BC486/BB486,"")</f>
        <v/>
      </c>
      <c r="BE486" s="47"/>
      <c r="BF486" s="48"/>
      <c r="BG486" s="48"/>
      <c r="BH486" s="27" t="str">
        <f aca="false">IF(AND(ISNUMBER(BF486),ISNUMBER(BG486),BG486&gt;0),BF486/BG486,"")</f>
        <v/>
      </c>
      <c r="BI486" s="48"/>
      <c r="BJ486" s="44"/>
      <c r="BK486" s="46"/>
      <c r="BL486" s="46"/>
      <c r="BM486" s="36" t="str">
        <f aca="false">IF(ISNUMBER(Q486),IF(Q486&lt;0,"YES","no"),"")</f>
        <v>YES</v>
      </c>
      <c r="BN486" s="36" t="str">
        <f aca="false">IFERROR(IF(AND(ISNUMBER(K486),ISNUMBER(INDEX('Lift Inputs'!$H:$H,MATCH(C486,'Lift Inputs'!$C:$C,0)))),IF(K486&lt;INDEX('Lift Inputs'!$H:$H,MATCH(C486,'Lift Inputs'!$C:$C,0)),"YES","no"),""),"")</f>
        <v/>
      </c>
      <c r="BO486" s="44"/>
    </row>
    <row r="487" customFormat="false" ht="15" hidden="false" customHeight="false" outlineLevel="0" collapsed="false">
      <c r="A487" s="15" t="s">
        <v>110</v>
      </c>
      <c r="B487" s="15" t="s">
        <v>130</v>
      </c>
      <c r="C487" s="15" t="n">
        <v>43</v>
      </c>
      <c r="D487" s="15" t="s">
        <v>227</v>
      </c>
      <c r="E487" s="15" t="n">
        <v>1864</v>
      </c>
      <c r="F487" s="15" t="s">
        <v>928</v>
      </c>
      <c r="G487" s="15" t="s">
        <v>929</v>
      </c>
      <c r="H487" s="15" t="s">
        <v>930</v>
      </c>
      <c r="I487" s="15" t="s">
        <v>931</v>
      </c>
      <c r="J487" s="15" t="s">
        <v>177</v>
      </c>
      <c r="K487" s="35" t="n">
        <v>16.99</v>
      </c>
      <c r="L487" s="35"/>
      <c r="M487" s="23" t="str">
        <f aca="false">IF(AND(ISNUMBER(L487),ISNUMBER(K487),K487&gt;0),L487/K487-1,"")</f>
        <v/>
      </c>
      <c r="N487" s="36" t="str">
        <f aca="false">IF(M487="","No List Price",IF(M487&lt;=0,"At/below price",IF(M487&lt;=0.12,"&lt;=12% (STR zone)",IF(M487&lt;=0.25,"12-25%","&gt;25% (likely ignored)"))))</f>
        <v>No List Price</v>
      </c>
      <c r="O487" s="15" t="s">
        <v>311</v>
      </c>
      <c r="P487" s="35" t="n">
        <v>21.8520689655172</v>
      </c>
      <c r="Q487" s="22" t="n">
        <f aca="false">IF(AND(ISNUMBER(K487),ISNUMBER(P487),N(P487)&gt;0),K487/P487-1,"")</f>
        <v>-0.222499250445788</v>
      </c>
      <c r="R487" s="15" t="s">
        <v>312</v>
      </c>
      <c r="S487" s="37" t="n">
        <v>39446</v>
      </c>
      <c r="T487" s="37" t="n">
        <v>35</v>
      </c>
      <c r="U487" s="38" t="n">
        <f aca="false">IF(AND(ISNUMBER(K487),ISNUMBER(T487)),K487*T487*52/12,"")</f>
        <v>2576.81666666667</v>
      </c>
      <c r="V487" s="15" t="n">
        <v>4.4</v>
      </c>
      <c r="W487" s="37" t="n">
        <v>769</v>
      </c>
      <c r="X487" s="39" t="n">
        <v>46307</v>
      </c>
      <c r="Y487" s="15" t="n">
        <v>22</v>
      </c>
      <c r="Z487" s="40" t="n">
        <v>45695</v>
      </c>
      <c r="AA487" s="41" t="n">
        <f aca="false">IF(ISNUMBER(Z487),(DATE(2026,10,13)-Z487)/365,"")</f>
        <v>1.67945205479452</v>
      </c>
      <c r="AB487" s="37" t="n">
        <v>815</v>
      </c>
      <c r="AC487" s="15" t="s">
        <v>313</v>
      </c>
      <c r="AD487" s="15" t="n">
        <v>1</v>
      </c>
      <c r="AE487" s="15" t="s">
        <v>331</v>
      </c>
      <c r="AF487" s="42" t="n">
        <v>0</v>
      </c>
      <c r="AG487" s="42" t="n">
        <v>0</v>
      </c>
      <c r="AH487" s="15" t="n">
        <v>63</v>
      </c>
      <c r="AI487" s="37" t="n">
        <v>15503</v>
      </c>
      <c r="AJ487" s="37" t="n">
        <v>408</v>
      </c>
      <c r="AK487" s="15" t="s">
        <v>315</v>
      </c>
      <c r="AL487" s="43" t="n">
        <v>4.5</v>
      </c>
      <c r="AM487" s="43" t="n">
        <v>5.2</v>
      </c>
      <c r="AN487" s="25" t="str">
        <f aca="false">IF(AND(ISNUMBER(AM487),ISNUMBER(AL487),AL487&gt;=5),AM487/AL487,"")</f>
        <v/>
      </c>
      <c r="AO487" s="43" t="n">
        <v>0.8</v>
      </c>
      <c r="AP487" s="43" t="n">
        <v>0.5</v>
      </c>
      <c r="AQ487" s="25" t="str">
        <f aca="false">IF(AND(ISNUMBER(AP487),ISNUMBER(AO487),AO487&gt;=5),AP487/AO487,"")</f>
        <v/>
      </c>
      <c r="AR487" s="43" t="n">
        <v>7.2</v>
      </c>
      <c r="AS487" s="43" t="n">
        <v>33.2</v>
      </c>
      <c r="AT487" s="22" t="n">
        <f aca="false">IF(AND(ISNUMBER(AS487),ISNUMBER(AR487),AR487&gt;0),AS487/AR487-1,"")</f>
        <v>3.61111111111111</v>
      </c>
      <c r="AU487" s="44"/>
      <c r="AV487" s="44"/>
      <c r="AW487" s="44"/>
      <c r="AX487" s="44"/>
      <c r="AY487" s="44"/>
      <c r="AZ487" s="45"/>
      <c r="BA487" s="45"/>
      <c r="BB487" s="46"/>
      <c r="BC487" s="46"/>
      <c r="BD487" s="23" t="str">
        <f aca="false">IF(AND(ISNUMBER(BB487),ISNUMBER(BC487),BB487&gt;0),1-BC487/BB487,"")</f>
        <v/>
      </c>
      <c r="BE487" s="47"/>
      <c r="BF487" s="48"/>
      <c r="BG487" s="48"/>
      <c r="BH487" s="27" t="str">
        <f aca="false">IF(AND(ISNUMBER(BF487),ISNUMBER(BG487),BG487&gt;0),BF487/BG487,"")</f>
        <v/>
      </c>
      <c r="BI487" s="48"/>
      <c r="BJ487" s="44"/>
      <c r="BK487" s="46"/>
      <c r="BL487" s="46"/>
      <c r="BM487" s="36" t="str">
        <f aca="false">IF(ISNUMBER(Q487),IF(Q487&lt;0,"YES","no"),"")</f>
        <v>YES</v>
      </c>
      <c r="BN487" s="36" t="str">
        <f aca="false">IFERROR(IF(AND(ISNUMBER(K487),ISNUMBER(INDEX('Lift Inputs'!$H:$H,MATCH(C487,'Lift Inputs'!$C:$C,0)))),IF(K487&lt;INDEX('Lift Inputs'!$H:$H,MATCH(C487,'Lift Inputs'!$C:$C,0)),"YES","no"),""),"")</f>
        <v/>
      </c>
      <c r="BO487" s="44"/>
    </row>
    <row r="488" customFormat="false" ht="15" hidden="false" customHeight="false" outlineLevel="0" collapsed="false">
      <c r="A488" s="15" t="s">
        <v>110</v>
      </c>
      <c r="B488" s="15" t="s">
        <v>130</v>
      </c>
      <c r="C488" s="15" t="n">
        <v>43</v>
      </c>
      <c r="D488" s="15" t="s">
        <v>227</v>
      </c>
      <c r="E488" s="15" t="n">
        <v>1859</v>
      </c>
      <c r="F488" s="15" t="s">
        <v>855</v>
      </c>
      <c r="G488" s="15" t="s">
        <v>932</v>
      </c>
      <c r="H488" s="15" t="s">
        <v>933</v>
      </c>
      <c r="I488" s="15" t="s">
        <v>934</v>
      </c>
      <c r="J488" s="15" t="s">
        <v>177</v>
      </c>
      <c r="K488" s="35" t="n">
        <v>54.99</v>
      </c>
      <c r="L488" s="35"/>
      <c r="M488" s="23" t="str">
        <f aca="false">IF(AND(ISNUMBER(L488),ISNUMBER(K488),K488&gt;0),L488/K488-1,"")</f>
        <v/>
      </c>
      <c r="N488" s="36" t="str">
        <f aca="false">IF(M488="","No List Price",IF(M488&lt;=0,"At/below price",IF(M488&lt;=0.12,"&lt;=12% (STR zone)",IF(M488&lt;=0.25,"12-25%","&gt;25% (likely ignored)"))))</f>
        <v>No List Price</v>
      </c>
      <c r="O488" s="15" t="s">
        <v>311</v>
      </c>
      <c r="P488" s="35" t="n">
        <v>21.8520689655172</v>
      </c>
      <c r="Q488" s="22" t="n">
        <f aca="false">IF(AND(ISNUMBER(K488),ISNUMBER(P488),N(P488)&gt;0),K488/P488-1,"")</f>
        <v>1.51646652254186</v>
      </c>
      <c r="R488" s="15" t="s">
        <v>312</v>
      </c>
      <c r="S488" s="37" t="n">
        <v>132996</v>
      </c>
      <c r="T488" s="37" t="n">
        <v>18</v>
      </c>
      <c r="U488" s="38" t="n">
        <f aca="false">IF(AND(ISNUMBER(K488),ISNUMBER(T488)),K488*T488*52/12,"")</f>
        <v>4289.22</v>
      </c>
      <c r="V488" s="15" t="n">
        <v>4.4</v>
      </c>
      <c r="W488" s="37" t="n">
        <v>305</v>
      </c>
      <c r="X488" s="39" t="n">
        <v>46307</v>
      </c>
      <c r="Y488" s="15"/>
      <c r="Z488" s="40"/>
      <c r="AA488" s="41" t="str">
        <f aca="false">IF(ISNUMBER(Z488),(DATE(2026,10,13)-Z488)/365,"")</f>
        <v/>
      </c>
      <c r="AB488" s="37"/>
      <c r="AC488" s="15"/>
      <c r="AD488" s="15"/>
      <c r="AE488" s="15"/>
      <c r="AF488" s="42"/>
      <c r="AG488" s="42"/>
      <c r="AH488" s="15"/>
      <c r="AI488" s="37" t="n">
        <v>25040</v>
      </c>
      <c r="AJ488" s="37" t="n">
        <v>1207</v>
      </c>
      <c r="AK488" s="15"/>
      <c r="AL488" s="43"/>
      <c r="AM488" s="43"/>
      <c r="AN488" s="25" t="str">
        <f aca="false">IF(AND(ISNUMBER(AM488),ISNUMBER(AL488),AL488&gt;=5),AM488/AL488,"")</f>
        <v/>
      </c>
      <c r="AO488" s="43"/>
      <c r="AP488" s="43"/>
      <c r="AQ488" s="25" t="str">
        <f aca="false">IF(AND(ISNUMBER(AP488),ISNUMBER(AO488),AO488&gt;=5),AP488/AO488,"")</f>
        <v/>
      </c>
      <c r="AR488" s="43"/>
      <c r="AS488" s="43"/>
      <c r="AT488" s="22" t="str">
        <f aca="false">IF(AND(ISNUMBER(AS488),ISNUMBER(AR488),AR488&gt;0),AS488/AR488-1,"")</f>
        <v/>
      </c>
      <c r="AU488" s="44"/>
      <c r="AV488" s="44"/>
      <c r="AW488" s="44"/>
      <c r="AX488" s="44"/>
      <c r="AY488" s="44"/>
      <c r="AZ488" s="45"/>
      <c r="BA488" s="45"/>
      <c r="BB488" s="46"/>
      <c r="BC488" s="46"/>
      <c r="BD488" s="23" t="str">
        <f aca="false">IF(AND(ISNUMBER(BB488),ISNUMBER(BC488),BB488&gt;0),1-BC488/BB488,"")</f>
        <v/>
      </c>
      <c r="BE488" s="47"/>
      <c r="BF488" s="48"/>
      <c r="BG488" s="48"/>
      <c r="BH488" s="27" t="str">
        <f aca="false">IF(AND(ISNUMBER(BF488),ISNUMBER(BG488),BG488&gt;0),BF488/BG488,"")</f>
        <v/>
      </c>
      <c r="BI488" s="48"/>
      <c r="BJ488" s="44"/>
      <c r="BK488" s="46"/>
      <c r="BL488" s="46"/>
      <c r="BM488" s="36" t="str">
        <f aca="false">IF(ISNUMBER(Q488),IF(Q488&lt;0,"YES","no"),"")</f>
        <v>no</v>
      </c>
      <c r="BN488" s="36" t="str">
        <f aca="false">IFERROR(IF(AND(ISNUMBER(K488),ISNUMBER(INDEX('Lift Inputs'!$H:$H,MATCH(C488,'Lift Inputs'!$C:$C,0)))),IF(K488&lt;INDEX('Lift Inputs'!$H:$H,MATCH(C488,'Lift Inputs'!$C:$C,0)),"YES","no"),""),"")</f>
        <v/>
      </c>
      <c r="BO488" s="44"/>
    </row>
    <row r="489" customFormat="false" ht="15" hidden="false" customHeight="false" outlineLevel="0" collapsed="false">
      <c r="A489" s="15" t="s">
        <v>110</v>
      </c>
      <c r="B489" s="15" t="s">
        <v>130</v>
      </c>
      <c r="C489" s="15" t="n">
        <v>43</v>
      </c>
      <c r="D489" s="15" t="s">
        <v>227</v>
      </c>
      <c r="E489" s="15" t="n">
        <v>1876</v>
      </c>
      <c r="F489" s="15" t="s">
        <v>935</v>
      </c>
      <c r="G489" s="15" t="s">
        <v>936</v>
      </c>
      <c r="H489" s="15" t="s">
        <v>937</v>
      </c>
      <c r="I489" s="15" t="s">
        <v>938</v>
      </c>
      <c r="J489" s="15" t="s">
        <v>177</v>
      </c>
      <c r="K489" s="35" t="n">
        <v>19.99</v>
      </c>
      <c r="L489" s="35"/>
      <c r="M489" s="23" t="str">
        <f aca="false">IF(AND(ISNUMBER(L489),ISNUMBER(K489),K489&gt;0),L489/K489-1,"")</f>
        <v/>
      </c>
      <c r="N489" s="36" t="str">
        <f aca="false">IF(M489="","No List Price",IF(M489&lt;=0,"At/below price",IF(M489&lt;=0.12,"&lt;=12% (STR zone)",IF(M489&lt;=0.25,"12-25%","&gt;25% (likely ignored)"))))</f>
        <v>No List Price</v>
      </c>
      <c r="O489" s="15" t="s">
        <v>716</v>
      </c>
      <c r="P489" s="35" t="n">
        <v>16.99</v>
      </c>
      <c r="Q489" s="22" t="n">
        <f aca="false">IF(AND(ISNUMBER(K489),ISNUMBER(P489),N(P489)&gt;0),K489/P489-1,"")</f>
        <v>0.176574455562095</v>
      </c>
      <c r="R489" s="15" t="s">
        <v>717</v>
      </c>
      <c r="S489" s="37" t="n">
        <v>156607</v>
      </c>
      <c r="T489" s="37" t="n">
        <v>18</v>
      </c>
      <c r="U489" s="38" t="n">
        <f aca="false">IF(AND(ISNUMBER(K489),ISNUMBER(T489)),K489*T489*52/12,"")</f>
        <v>1559.22</v>
      </c>
      <c r="V489" s="15" t="n">
        <v>4.3</v>
      </c>
      <c r="W489" s="37" t="n">
        <v>1335</v>
      </c>
      <c r="X489" s="39" t="n">
        <v>46307</v>
      </c>
      <c r="Y489" s="15" t="n">
        <v>16</v>
      </c>
      <c r="Z489" s="40" t="n">
        <v>44392</v>
      </c>
      <c r="AA489" s="41" t="n">
        <f aca="false">IF(ISNUMBER(Z489),(DATE(2026,10,13)-Z489)/365,"")</f>
        <v>5.24931506849315</v>
      </c>
      <c r="AB489" s="37" t="n">
        <v>260</v>
      </c>
      <c r="AC489" s="15" t="s">
        <v>313</v>
      </c>
      <c r="AD489" s="15" t="n">
        <v>1</v>
      </c>
      <c r="AE489" s="15" t="s">
        <v>331</v>
      </c>
      <c r="AF489" s="42" t="n">
        <v>0</v>
      </c>
      <c r="AG489" s="42" t="n">
        <v>0</v>
      </c>
      <c r="AH489" s="15" t="n">
        <v>88</v>
      </c>
      <c r="AI489" s="37" t="n">
        <v>16144</v>
      </c>
      <c r="AJ489" s="37" t="n">
        <v>429</v>
      </c>
      <c r="AK489" s="15" t="s">
        <v>315</v>
      </c>
      <c r="AL489" s="43" t="n">
        <v>26.8</v>
      </c>
      <c r="AM489" s="43" t="n">
        <v>31.5</v>
      </c>
      <c r="AN489" s="25" t="n">
        <f aca="false">IF(AND(ISNUMBER(AM489),ISNUMBER(AL489),AL489&gt;=5),AM489/AL489,"")</f>
        <v>1.17537313432836</v>
      </c>
      <c r="AO489" s="43" t="n">
        <v>12.1</v>
      </c>
      <c r="AP489" s="43" t="n">
        <v>24.2</v>
      </c>
      <c r="AQ489" s="25" t="n">
        <f aca="false">IF(AND(ISNUMBER(AP489),ISNUMBER(AO489),AO489&gt;=5),AP489/AO489,"")</f>
        <v>2</v>
      </c>
      <c r="AR489" s="43" t="n">
        <v>22</v>
      </c>
      <c r="AS489" s="43" t="n">
        <v>34.9</v>
      </c>
      <c r="AT489" s="22" t="n">
        <f aca="false">IF(AND(ISNUMBER(AS489),ISNUMBER(AR489),AR489&gt;0),AS489/AR489-1,"")</f>
        <v>0.586363636363636</v>
      </c>
      <c r="AU489" s="44"/>
      <c r="AV489" s="44"/>
      <c r="AW489" s="44"/>
      <c r="AX489" s="44"/>
      <c r="AY489" s="44"/>
      <c r="AZ489" s="45"/>
      <c r="BA489" s="45"/>
      <c r="BB489" s="46"/>
      <c r="BC489" s="46"/>
      <c r="BD489" s="23" t="str">
        <f aca="false">IF(AND(ISNUMBER(BB489),ISNUMBER(BC489),BB489&gt;0),1-BC489/BB489,"")</f>
        <v/>
      </c>
      <c r="BE489" s="47"/>
      <c r="BF489" s="48"/>
      <c r="BG489" s="48"/>
      <c r="BH489" s="27" t="str">
        <f aca="false">IF(AND(ISNUMBER(BF489),ISNUMBER(BG489),BG489&gt;0),BF489/BG489,"")</f>
        <v/>
      </c>
      <c r="BI489" s="48"/>
      <c r="BJ489" s="44"/>
      <c r="BK489" s="46"/>
      <c r="BL489" s="46"/>
      <c r="BM489" s="36" t="str">
        <f aca="false">IF(ISNUMBER(Q489),IF(Q489&lt;0,"YES","no"),"")</f>
        <v>no</v>
      </c>
      <c r="BN489" s="36" t="str">
        <f aca="false">IFERROR(IF(AND(ISNUMBER(K489),ISNUMBER(INDEX('Lift Inputs'!$H:$H,MATCH(C489,'Lift Inputs'!$C:$C,0)))),IF(K489&lt;INDEX('Lift Inputs'!$H:$H,MATCH(C489,'Lift Inputs'!$C:$C,0)),"YES","no"),""),"")</f>
        <v/>
      </c>
      <c r="BO489" s="44"/>
    </row>
    <row r="490" customFormat="false" ht="15" hidden="false" customHeight="false" outlineLevel="0" collapsed="false">
      <c r="A490" s="15" t="s">
        <v>110</v>
      </c>
      <c r="B490" s="15" t="s">
        <v>130</v>
      </c>
      <c r="C490" s="15" t="n">
        <v>43</v>
      </c>
      <c r="D490" s="15" t="s">
        <v>227</v>
      </c>
      <c r="E490" s="15" t="n">
        <v>1871</v>
      </c>
      <c r="F490" s="15" t="s">
        <v>307</v>
      </c>
      <c r="G490" s="15" t="s">
        <v>939</v>
      </c>
      <c r="H490" s="15" t="s">
        <v>940</v>
      </c>
      <c r="I490" s="15" t="s">
        <v>941</v>
      </c>
      <c r="J490" s="15" t="s">
        <v>177</v>
      </c>
      <c r="K490" s="35" t="n">
        <v>18.99</v>
      </c>
      <c r="L490" s="35" t="n">
        <v>24.99</v>
      </c>
      <c r="M490" s="23" t="n">
        <f aca="false">IF(AND(ISNUMBER(L490),ISNUMBER(K490),K490&gt;0),L490/K490-1,"")</f>
        <v>0.315955766192733</v>
      </c>
      <c r="N490" s="36" t="str">
        <f aca="false">IF(M490="","No List Price",IF(M490&lt;=0,"At/below price",IF(M490&lt;=0.12,"&lt;=12% (STR zone)",IF(M490&lt;=0.25,"12-25%","&gt;25% (likely ignored)"))))</f>
        <v>&gt;25% (likely ignored)</v>
      </c>
      <c r="O490" s="15" t="s">
        <v>311</v>
      </c>
      <c r="P490" s="35" t="n">
        <v>21.8520689655172</v>
      </c>
      <c r="Q490" s="22" t="n">
        <f aca="false">IF(AND(ISNUMBER(K490),ISNUMBER(P490),N(P490)&gt;0),K490/P490-1,"")</f>
        <v>-0.130974736078017</v>
      </c>
      <c r="R490" s="15" t="s">
        <v>312</v>
      </c>
      <c r="S490" s="37" t="n">
        <v>156798</v>
      </c>
      <c r="T490" s="37" t="n">
        <v>5</v>
      </c>
      <c r="U490" s="38" t="n">
        <f aca="false">IF(AND(ISNUMBER(K490),ISNUMBER(T490)),K490*T490*52/12,"")</f>
        <v>411.45</v>
      </c>
      <c r="V490" s="15" t="n">
        <v>4.5</v>
      </c>
      <c r="W490" s="37" t="n">
        <v>676</v>
      </c>
      <c r="X490" s="39" t="n">
        <v>46307</v>
      </c>
      <c r="Y490" s="15"/>
      <c r="Z490" s="40"/>
      <c r="AA490" s="41" t="str">
        <f aca="false">IF(ISNUMBER(Z490),(DATE(2026,10,13)-Z490)/365,"")</f>
        <v/>
      </c>
      <c r="AB490" s="37"/>
      <c r="AC490" s="15"/>
      <c r="AD490" s="15"/>
      <c r="AE490" s="15"/>
      <c r="AF490" s="42"/>
      <c r="AG490" s="42"/>
      <c r="AH490" s="15"/>
      <c r="AI490" s="37" t="n">
        <v>38313</v>
      </c>
      <c r="AJ490" s="37" t="n">
        <v>2045</v>
      </c>
      <c r="AK490" s="15"/>
      <c r="AL490" s="43"/>
      <c r="AM490" s="43"/>
      <c r="AN490" s="25" t="str">
        <f aca="false">IF(AND(ISNUMBER(AM490),ISNUMBER(AL490),AL490&gt;=5),AM490/AL490,"")</f>
        <v/>
      </c>
      <c r="AO490" s="43"/>
      <c r="AP490" s="43"/>
      <c r="AQ490" s="25" t="str">
        <f aca="false">IF(AND(ISNUMBER(AP490),ISNUMBER(AO490),AO490&gt;=5),AP490/AO490,"")</f>
        <v/>
      </c>
      <c r="AR490" s="43"/>
      <c r="AS490" s="43"/>
      <c r="AT490" s="22" t="str">
        <f aca="false">IF(AND(ISNUMBER(AS490),ISNUMBER(AR490),AR490&gt;0),AS490/AR490-1,"")</f>
        <v/>
      </c>
      <c r="AU490" s="44"/>
      <c r="AV490" s="44"/>
      <c r="AW490" s="44"/>
      <c r="AX490" s="44"/>
      <c r="AY490" s="44"/>
      <c r="AZ490" s="45"/>
      <c r="BA490" s="45"/>
      <c r="BB490" s="46"/>
      <c r="BC490" s="46"/>
      <c r="BD490" s="23" t="str">
        <f aca="false">IF(AND(ISNUMBER(BB490),ISNUMBER(BC490),BB490&gt;0),1-BC490/BB490,"")</f>
        <v/>
      </c>
      <c r="BE490" s="47"/>
      <c r="BF490" s="48"/>
      <c r="BG490" s="48"/>
      <c r="BH490" s="27" t="str">
        <f aca="false">IF(AND(ISNUMBER(BF490),ISNUMBER(BG490),BG490&gt;0),BF490/BG490,"")</f>
        <v/>
      </c>
      <c r="BI490" s="48"/>
      <c r="BJ490" s="44"/>
      <c r="BK490" s="46"/>
      <c r="BL490" s="46"/>
      <c r="BM490" s="36" t="str">
        <f aca="false">IF(ISNUMBER(Q490),IF(Q490&lt;0,"YES","no"),"")</f>
        <v>YES</v>
      </c>
      <c r="BN490" s="36" t="str">
        <f aca="false">IFERROR(IF(AND(ISNUMBER(K490),ISNUMBER(INDEX('Lift Inputs'!$H:$H,MATCH(C490,'Lift Inputs'!$C:$C,0)))),IF(K490&lt;INDEX('Lift Inputs'!$H:$H,MATCH(C490,'Lift Inputs'!$C:$C,0)),"YES","no"),""),"")</f>
        <v/>
      </c>
      <c r="BO490" s="44"/>
    </row>
    <row r="491" customFormat="false" ht="15" hidden="false" customHeight="false" outlineLevel="0" collapsed="false">
      <c r="A491" s="15" t="s">
        <v>110</v>
      </c>
      <c r="B491" s="15" t="s">
        <v>130</v>
      </c>
      <c r="C491" s="15" t="n">
        <v>43</v>
      </c>
      <c r="D491" s="15" t="s">
        <v>227</v>
      </c>
      <c r="E491" s="15" t="n">
        <v>1868</v>
      </c>
      <c r="F491" s="15" t="s">
        <v>942</v>
      </c>
      <c r="G491" s="15" t="s">
        <v>943</v>
      </c>
      <c r="H491" s="15" t="s">
        <v>944</v>
      </c>
      <c r="I491" s="15" t="s">
        <v>945</v>
      </c>
      <c r="J491" s="15" t="s">
        <v>177</v>
      </c>
      <c r="K491" s="35" t="n">
        <v>25.5</v>
      </c>
      <c r="L491" s="35"/>
      <c r="M491" s="23" t="str">
        <f aca="false">IF(AND(ISNUMBER(L491),ISNUMBER(K491),K491&gt;0),L491/K491-1,"")</f>
        <v/>
      </c>
      <c r="N491" s="36" t="str">
        <f aca="false">IF(M491="","No List Price",IF(M491&lt;=0,"At/below price",IF(M491&lt;=0.12,"&lt;=12% (STR zone)",IF(M491&lt;=0.25,"12-25%","&gt;25% (likely ignored)"))))</f>
        <v>No List Price</v>
      </c>
      <c r="O491" s="15" t="s">
        <v>311</v>
      </c>
      <c r="P491" s="35" t="n">
        <v>21.8520689655172</v>
      </c>
      <c r="Q491" s="22" t="n">
        <f aca="false">IF(AND(ISNUMBER(K491),ISNUMBER(P491),N(P491)&gt;0),K491/P491-1,"")</f>
        <v>0.166937558189077</v>
      </c>
      <c r="R491" s="15" t="s">
        <v>312</v>
      </c>
      <c r="S491" s="37" t="n">
        <v>66369</v>
      </c>
      <c r="T491" s="37" t="n">
        <v>5</v>
      </c>
      <c r="U491" s="38" t="n">
        <f aca="false">IF(AND(ISNUMBER(K491),ISNUMBER(T491)),K491*T491*52/12,"")</f>
        <v>552.5</v>
      </c>
      <c r="V491" s="15" t="n">
        <v>4.3</v>
      </c>
      <c r="W491" s="37" t="n">
        <v>1158</v>
      </c>
      <c r="X491" s="39" t="n">
        <v>46307</v>
      </c>
      <c r="Y491" s="15"/>
      <c r="Z491" s="40"/>
      <c r="AA491" s="41" t="str">
        <f aca="false">IF(ISNUMBER(Z491),(DATE(2026,10,13)-Z491)/365,"")</f>
        <v/>
      </c>
      <c r="AB491" s="37"/>
      <c r="AC491" s="15"/>
      <c r="AD491" s="15"/>
      <c r="AE491" s="15"/>
      <c r="AF491" s="42"/>
      <c r="AG491" s="42"/>
      <c r="AH491" s="15"/>
      <c r="AI491" s="37" t="n">
        <v>26180</v>
      </c>
      <c r="AJ491" s="37" t="n">
        <v>214</v>
      </c>
      <c r="AK491" s="15" t="s">
        <v>315</v>
      </c>
      <c r="AL491" s="43" t="n">
        <v>34.8</v>
      </c>
      <c r="AM491" s="43" t="n">
        <v>21.8</v>
      </c>
      <c r="AN491" s="25" t="n">
        <f aca="false">IF(AND(ISNUMBER(AM491),ISNUMBER(AL491),AL491&gt;=5),AM491/AL491,"")</f>
        <v>0.626436781609196</v>
      </c>
      <c r="AO491" s="43" t="n">
        <v>0</v>
      </c>
      <c r="AP491" s="43" t="n">
        <v>0</v>
      </c>
      <c r="AQ491" s="25" t="str">
        <f aca="false">IF(AND(ISNUMBER(AP491),ISNUMBER(AO491),AO491&gt;=5),AP491/AO491,"")</f>
        <v/>
      </c>
      <c r="AR491" s="43" t="n">
        <v>33.8</v>
      </c>
      <c r="AS491" s="43" t="n">
        <v>31.4</v>
      </c>
      <c r="AT491" s="22" t="n">
        <f aca="false">IF(AND(ISNUMBER(AS491),ISNUMBER(AR491),AR491&gt;0),AS491/AR491-1,"")</f>
        <v>-0.0710059171597632</v>
      </c>
      <c r="AU491" s="44"/>
      <c r="AV491" s="44"/>
      <c r="AW491" s="44"/>
      <c r="AX491" s="44"/>
      <c r="AY491" s="44"/>
      <c r="AZ491" s="45"/>
      <c r="BA491" s="45"/>
      <c r="BB491" s="46"/>
      <c r="BC491" s="46"/>
      <c r="BD491" s="23" t="str">
        <f aca="false">IF(AND(ISNUMBER(BB491),ISNUMBER(BC491),BB491&gt;0),1-BC491/BB491,"")</f>
        <v/>
      </c>
      <c r="BE491" s="47"/>
      <c r="BF491" s="48"/>
      <c r="BG491" s="48"/>
      <c r="BH491" s="27" t="str">
        <f aca="false">IF(AND(ISNUMBER(BF491),ISNUMBER(BG491),BG491&gt;0),BF491/BG491,"")</f>
        <v/>
      </c>
      <c r="BI491" s="48"/>
      <c r="BJ491" s="44"/>
      <c r="BK491" s="46"/>
      <c r="BL491" s="46"/>
      <c r="BM491" s="36" t="str">
        <f aca="false">IF(ISNUMBER(Q491),IF(Q491&lt;0,"YES","no"),"")</f>
        <v>no</v>
      </c>
      <c r="BN491" s="36" t="str">
        <f aca="false">IFERROR(IF(AND(ISNUMBER(K491),ISNUMBER(INDEX('Lift Inputs'!$H:$H,MATCH(C491,'Lift Inputs'!$C:$C,0)))),IF(K491&lt;INDEX('Lift Inputs'!$H:$H,MATCH(C491,'Lift Inputs'!$C:$C,0)),"YES","no"),""),"")</f>
        <v/>
      </c>
      <c r="BO491" s="44"/>
    </row>
    <row r="492" customFormat="false" ht="15" hidden="false" customHeight="false" outlineLevel="0" collapsed="false">
      <c r="A492" s="15" t="s">
        <v>110</v>
      </c>
      <c r="B492" s="15" t="s">
        <v>130</v>
      </c>
      <c r="C492" s="15" t="n">
        <v>43</v>
      </c>
      <c r="D492" s="15" t="s">
        <v>227</v>
      </c>
      <c r="E492" s="15" t="n">
        <v>1893</v>
      </c>
      <c r="F492" s="15" t="s">
        <v>946</v>
      </c>
      <c r="G492" s="15" t="s">
        <v>947</v>
      </c>
      <c r="H492" s="15" t="s">
        <v>948</v>
      </c>
      <c r="I492" s="15" t="s">
        <v>949</v>
      </c>
      <c r="J492" s="15" t="s">
        <v>177</v>
      </c>
      <c r="K492" s="35" t="n">
        <v>19.99</v>
      </c>
      <c r="L492" s="35"/>
      <c r="M492" s="23" t="str">
        <f aca="false">IF(AND(ISNUMBER(L492),ISNUMBER(K492),K492&gt;0),L492/K492-1,"")</f>
        <v/>
      </c>
      <c r="N492" s="36" t="str">
        <f aca="false">IF(M492="","No List Price",IF(M492&lt;=0,"At/below price",IF(M492&lt;=0.12,"&lt;=12% (STR zone)",IF(M492&lt;=0.25,"12-25%","&gt;25% (likely ignored)"))))</f>
        <v>No List Price</v>
      </c>
      <c r="O492" s="15"/>
      <c r="P492" s="35" t="n">
        <v>21.8520689655172</v>
      </c>
      <c r="Q492" s="22" t="n">
        <f aca="false">IF(AND(ISNUMBER(K492),ISNUMBER(P492),N(P492)&gt;0),K492/P492-1,"")</f>
        <v>-0.0852124788941314</v>
      </c>
      <c r="R492" s="15" t="s">
        <v>353</v>
      </c>
      <c r="S492" s="37" t="n">
        <v>265537</v>
      </c>
      <c r="T492" s="37" t="n">
        <v>5</v>
      </c>
      <c r="U492" s="38" t="n">
        <f aca="false">IF(AND(ISNUMBER(K492),ISNUMBER(T492)),K492*T492*52/12,"")</f>
        <v>433.116666666667</v>
      </c>
      <c r="V492" s="15" t="n">
        <v>4.3</v>
      </c>
      <c r="W492" s="37" t="n">
        <v>1247</v>
      </c>
      <c r="X492" s="39" t="n">
        <v>46307</v>
      </c>
      <c r="Y492" s="15"/>
      <c r="Z492" s="40"/>
      <c r="AA492" s="41" t="str">
        <f aca="false">IF(ISNUMBER(Z492),(DATE(2026,10,13)-Z492)/365,"")</f>
        <v/>
      </c>
      <c r="AB492" s="37"/>
      <c r="AC492" s="15"/>
      <c r="AD492" s="15"/>
      <c r="AE492" s="15"/>
      <c r="AF492" s="42"/>
      <c r="AG492" s="42"/>
      <c r="AH492" s="15"/>
      <c r="AI492" s="37" t="n">
        <v>5423</v>
      </c>
      <c r="AJ492" s="37" t="n">
        <v>205</v>
      </c>
      <c r="AK492" s="15"/>
      <c r="AL492" s="43"/>
      <c r="AM492" s="43"/>
      <c r="AN492" s="25" t="str">
        <f aca="false">IF(AND(ISNUMBER(AM492),ISNUMBER(AL492),AL492&gt;=5),AM492/AL492,"")</f>
        <v/>
      </c>
      <c r="AO492" s="43"/>
      <c r="AP492" s="43"/>
      <c r="AQ492" s="25" t="str">
        <f aca="false">IF(AND(ISNUMBER(AP492),ISNUMBER(AO492),AO492&gt;=5),AP492/AO492,"")</f>
        <v/>
      </c>
      <c r="AR492" s="43"/>
      <c r="AS492" s="43"/>
      <c r="AT492" s="22" t="str">
        <f aca="false">IF(AND(ISNUMBER(AS492),ISNUMBER(AR492),AR492&gt;0),AS492/AR492-1,"")</f>
        <v/>
      </c>
      <c r="AU492" s="44"/>
      <c r="AV492" s="44"/>
      <c r="AW492" s="44"/>
      <c r="AX492" s="44"/>
      <c r="AY492" s="44"/>
      <c r="AZ492" s="45"/>
      <c r="BA492" s="45"/>
      <c r="BB492" s="46"/>
      <c r="BC492" s="46"/>
      <c r="BD492" s="23" t="str">
        <f aca="false">IF(AND(ISNUMBER(BB492),ISNUMBER(BC492),BB492&gt;0),1-BC492/BB492,"")</f>
        <v/>
      </c>
      <c r="BE492" s="47"/>
      <c r="BF492" s="48"/>
      <c r="BG492" s="48"/>
      <c r="BH492" s="27" t="str">
        <f aca="false">IF(AND(ISNUMBER(BF492),ISNUMBER(BG492),BG492&gt;0),BF492/BG492,"")</f>
        <v/>
      </c>
      <c r="BI492" s="48"/>
      <c r="BJ492" s="44"/>
      <c r="BK492" s="46"/>
      <c r="BL492" s="46"/>
      <c r="BM492" s="36" t="str">
        <f aca="false">IF(ISNUMBER(Q492),IF(Q492&lt;0,"YES","no"),"")</f>
        <v>YES</v>
      </c>
      <c r="BN492" s="36" t="str">
        <f aca="false">IFERROR(IF(AND(ISNUMBER(K492),ISNUMBER(INDEX('Lift Inputs'!$H:$H,MATCH(C492,'Lift Inputs'!$C:$C,0)))),IF(K492&lt;INDEX('Lift Inputs'!$H:$H,MATCH(C492,'Lift Inputs'!$C:$C,0)),"YES","no"),""),"")</f>
        <v/>
      </c>
      <c r="BO492" s="44"/>
    </row>
    <row r="493" customFormat="false" ht="15" hidden="false" customHeight="false" outlineLevel="0" collapsed="false">
      <c r="A493" s="15" t="s">
        <v>110</v>
      </c>
      <c r="B493" s="15" t="s">
        <v>130</v>
      </c>
      <c r="C493" s="15" t="n">
        <v>43</v>
      </c>
      <c r="D493" s="15" t="s">
        <v>227</v>
      </c>
      <c r="E493" s="15" t="n">
        <v>1890</v>
      </c>
      <c r="F493" s="15" t="s">
        <v>956</v>
      </c>
      <c r="G493" s="15" t="s">
        <v>957</v>
      </c>
      <c r="H493" s="15" t="s">
        <v>957</v>
      </c>
      <c r="I493" s="15" t="s">
        <v>958</v>
      </c>
      <c r="J493" s="15" t="s">
        <v>177</v>
      </c>
      <c r="K493" s="35" t="n">
        <v>14.6</v>
      </c>
      <c r="L493" s="35"/>
      <c r="M493" s="23" t="str">
        <f aca="false">IF(AND(ISNUMBER(L493),ISNUMBER(K493),K493&gt;0),L493/K493-1,"")</f>
        <v/>
      </c>
      <c r="N493" s="36" t="str">
        <f aca="false">IF(M493="","No List Price",IF(M493&lt;=0,"At/below price",IF(M493&lt;=0.12,"&lt;=12% (STR zone)",IF(M493&lt;=0.25,"12-25%","&gt;25% (likely ignored)"))))</f>
        <v>No List Price</v>
      </c>
      <c r="O493" s="15" t="s">
        <v>716</v>
      </c>
      <c r="P493" s="35" t="n">
        <v>16.99</v>
      </c>
      <c r="Q493" s="22" t="n">
        <f aca="false">IF(AND(ISNUMBER(K493),ISNUMBER(P493),N(P493)&gt;0),K493/P493-1,"")</f>
        <v>-0.140670982931136</v>
      </c>
      <c r="R493" s="15" t="s">
        <v>717</v>
      </c>
      <c r="S493" s="37" t="n">
        <v>1393717</v>
      </c>
      <c r="T493" s="37" t="n">
        <v>5</v>
      </c>
      <c r="U493" s="38" t="n">
        <f aca="false">IF(AND(ISNUMBER(K493),ISNUMBER(T493)),K493*T493*52/12,"")</f>
        <v>316.333333333333</v>
      </c>
      <c r="V493" s="15" t="n">
        <v>4.4</v>
      </c>
      <c r="W493" s="37" t="n">
        <v>109</v>
      </c>
      <c r="X493" s="39" t="n">
        <v>46307</v>
      </c>
      <c r="Y493" s="15" t="n">
        <v>1</v>
      </c>
      <c r="Z493" s="40" t="n">
        <v>45379</v>
      </c>
      <c r="AA493" s="41" t="n">
        <f aca="false">IF(ISNUMBER(Z493),(DATE(2026,10,13)-Z493)/365,"")</f>
        <v>2.54520547945205</v>
      </c>
      <c r="AB493" s="37" t="n">
        <v>10</v>
      </c>
      <c r="AC493" s="15" t="s">
        <v>465</v>
      </c>
      <c r="AD493" s="15" t="n">
        <v>0</v>
      </c>
      <c r="AE493" s="15" t="s">
        <v>466</v>
      </c>
      <c r="AF493" s="42" t="n">
        <v>0</v>
      </c>
      <c r="AG493" s="42" t="n">
        <v>0</v>
      </c>
      <c r="AH493" s="15" t="n">
        <v>0</v>
      </c>
      <c r="AI493" s="37"/>
      <c r="AJ493" s="37"/>
      <c r="AK493" s="15"/>
      <c r="AL493" s="43"/>
      <c r="AM493" s="43"/>
      <c r="AN493" s="25" t="str">
        <f aca="false">IF(AND(ISNUMBER(AM493),ISNUMBER(AL493),AL493&gt;=5),AM493/AL493,"")</f>
        <v/>
      </c>
      <c r="AO493" s="43"/>
      <c r="AP493" s="43"/>
      <c r="AQ493" s="25" t="str">
        <f aca="false">IF(AND(ISNUMBER(AP493),ISNUMBER(AO493),AO493&gt;=5),AP493/AO493,"")</f>
        <v/>
      </c>
      <c r="AR493" s="43"/>
      <c r="AS493" s="43"/>
      <c r="AT493" s="22" t="str">
        <f aca="false">IF(AND(ISNUMBER(AS493),ISNUMBER(AR493),AR493&gt;0),AS493/AR493-1,"")</f>
        <v/>
      </c>
      <c r="AU493" s="44"/>
      <c r="AV493" s="44"/>
      <c r="AW493" s="44"/>
      <c r="AX493" s="44"/>
      <c r="AY493" s="44"/>
      <c r="AZ493" s="45"/>
      <c r="BA493" s="45"/>
      <c r="BB493" s="46"/>
      <c r="BC493" s="46"/>
      <c r="BD493" s="23" t="str">
        <f aca="false">IF(AND(ISNUMBER(BB493),ISNUMBER(BC493),BB493&gt;0),1-BC493/BB493,"")</f>
        <v/>
      </c>
      <c r="BE493" s="47"/>
      <c r="BF493" s="48"/>
      <c r="BG493" s="48"/>
      <c r="BH493" s="27" t="str">
        <f aca="false">IF(AND(ISNUMBER(BF493),ISNUMBER(BG493),BG493&gt;0),BF493/BG493,"")</f>
        <v/>
      </c>
      <c r="BI493" s="48"/>
      <c r="BJ493" s="44"/>
      <c r="BK493" s="46"/>
      <c r="BL493" s="46"/>
      <c r="BM493" s="36" t="str">
        <f aca="false">IF(ISNUMBER(Q493),IF(Q493&lt;0,"YES","no"),"")</f>
        <v>YES</v>
      </c>
      <c r="BN493" s="36" t="str">
        <f aca="false">IFERROR(IF(AND(ISNUMBER(K493),ISNUMBER(INDEX('Lift Inputs'!$H:$H,MATCH(C493,'Lift Inputs'!$C:$C,0)))),IF(K493&lt;INDEX('Lift Inputs'!$H:$H,MATCH(C493,'Lift Inputs'!$C:$C,0)),"YES","no"),""),"")</f>
        <v/>
      </c>
      <c r="BO493" s="44"/>
    </row>
    <row r="494" customFormat="false" ht="15" hidden="false" customHeight="false" outlineLevel="0" collapsed="false">
      <c r="A494" s="15" t="s">
        <v>110</v>
      </c>
      <c r="B494" s="15" t="s">
        <v>130</v>
      </c>
      <c r="C494" s="15" t="n">
        <v>43</v>
      </c>
      <c r="D494" s="15" t="s">
        <v>227</v>
      </c>
      <c r="E494" s="15" t="n">
        <v>1888</v>
      </c>
      <c r="F494" s="15" t="s">
        <v>950</v>
      </c>
      <c r="G494" s="15" t="s">
        <v>951</v>
      </c>
      <c r="H494" s="15" t="s">
        <v>951</v>
      </c>
      <c r="I494" s="15" t="s">
        <v>952</v>
      </c>
      <c r="J494" s="15" t="s">
        <v>177</v>
      </c>
      <c r="K494" s="35" t="n">
        <v>18.99</v>
      </c>
      <c r="L494" s="35"/>
      <c r="M494" s="23" t="str">
        <f aca="false">IF(AND(ISNUMBER(L494),ISNUMBER(K494),K494&gt;0),L494/K494-1,"")</f>
        <v/>
      </c>
      <c r="N494" s="36" t="str">
        <f aca="false">IF(M494="","No List Price",IF(M494&lt;=0,"At/below price",IF(M494&lt;=0.12,"&lt;=12% (STR zone)",IF(M494&lt;=0.25,"12-25%","&gt;25% (likely ignored)"))))</f>
        <v>No List Price</v>
      </c>
      <c r="O494" s="15"/>
      <c r="P494" s="35" t="n">
        <v>21.8520689655172</v>
      </c>
      <c r="Q494" s="22" t="n">
        <f aca="false">IF(AND(ISNUMBER(K494),ISNUMBER(P494),N(P494)&gt;0),K494/P494-1,"")</f>
        <v>-0.130974736078017</v>
      </c>
      <c r="R494" s="15" t="s">
        <v>353</v>
      </c>
      <c r="S494" s="37" t="n">
        <v>519777</v>
      </c>
      <c r="T494" s="37" t="n">
        <v>5</v>
      </c>
      <c r="U494" s="38" t="n">
        <f aca="false">IF(AND(ISNUMBER(K494),ISNUMBER(T494)),K494*T494*52/12,"")</f>
        <v>411.45</v>
      </c>
      <c r="V494" s="15" t="n">
        <v>4.6</v>
      </c>
      <c r="W494" s="37" t="n">
        <v>219</v>
      </c>
      <c r="X494" s="39" t="n">
        <v>46307</v>
      </c>
      <c r="Y494" s="15" t="n">
        <v>1</v>
      </c>
      <c r="Z494" s="40" t="n">
        <v>45565</v>
      </c>
      <c r="AA494" s="41" t="n">
        <f aca="false">IF(ISNUMBER(Z494),(DATE(2026,10,13)-Z494)/365,"")</f>
        <v>2.03561643835616</v>
      </c>
      <c r="AB494" s="37" t="n">
        <v>164</v>
      </c>
      <c r="AC494" s="15" t="s">
        <v>465</v>
      </c>
      <c r="AD494" s="15" t="n">
        <v>1</v>
      </c>
      <c r="AE494" s="15" t="s">
        <v>466</v>
      </c>
      <c r="AF494" s="42" t="n">
        <v>0</v>
      </c>
      <c r="AG494" s="42" t="n">
        <v>0</v>
      </c>
      <c r="AH494" s="15" t="n">
        <v>65</v>
      </c>
      <c r="AI494" s="37" t="n">
        <v>8663</v>
      </c>
      <c r="AJ494" s="37" t="n">
        <v>164</v>
      </c>
      <c r="AK494" s="15"/>
      <c r="AL494" s="43"/>
      <c r="AM494" s="43"/>
      <c r="AN494" s="25" t="str">
        <f aca="false">IF(AND(ISNUMBER(AM494),ISNUMBER(AL494),AL494&gt;=5),AM494/AL494,"")</f>
        <v/>
      </c>
      <c r="AO494" s="43"/>
      <c r="AP494" s="43"/>
      <c r="AQ494" s="25" t="str">
        <f aca="false">IF(AND(ISNUMBER(AP494),ISNUMBER(AO494),AO494&gt;=5),AP494/AO494,"")</f>
        <v/>
      </c>
      <c r="AR494" s="43"/>
      <c r="AS494" s="43"/>
      <c r="AT494" s="22" t="str">
        <f aca="false">IF(AND(ISNUMBER(AS494),ISNUMBER(AR494),AR494&gt;0),AS494/AR494-1,"")</f>
        <v/>
      </c>
      <c r="AU494" s="44"/>
      <c r="AV494" s="44"/>
      <c r="AW494" s="44"/>
      <c r="AX494" s="44"/>
      <c r="AY494" s="44"/>
      <c r="AZ494" s="45"/>
      <c r="BA494" s="45"/>
      <c r="BB494" s="46"/>
      <c r="BC494" s="46"/>
      <c r="BD494" s="23" t="str">
        <f aca="false">IF(AND(ISNUMBER(BB494),ISNUMBER(BC494),BB494&gt;0),1-BC494/BB494,"")</f>
        <v/>
      </c>
      <c r="BE494" s="47"/>
      <c r="BF494" s="48"/>
      <c r="BG494" s="48"/>
      <c r="BH494" s="27" t="str">
        <f aca="false">IF(AND(ISNUMBER(BF494),ISNUMBER(BG494),BG494&gt;0),BF494/BG494,"")</f>
        <v/>
      </c>
      <c r="BI494" s="48"/>
      <c r="BJ494" s="44"/>
      <c r="BK494" s="46"/>
      <c r="BL494" s="46"/>
      <c r="BM494" s="36" t="str">
        <f aca="false">IF(ISNUMBER(Q494),IF(Q494&lt;0,"YES","no"),"")</f>
        <v>YES</v>
      </c>
      <c r="BN494" s="36" t="str">
        <f aca="false">IFERROR(IF(AND(ISNUMBER(K494),ISNUMBER(INDEX('Lift Inputs'!$H:$H,MATCH(C494,'Lift Inputs'!$C:$C,0)))),IF(K494&lt;INDEX('Lift Inputs'!$H:$H,MATCH(C494,'Lift Inputs'!$C:$C,0)),"YES","no"),""),"")</f>
        <v/>
      </c>
      <c r="BO494" s="44"/>
    </row>
    <row r="495" customFormat="false" ht="15" hidden="false" customHeight="false" outlineLevel="0" collapsed="false">
      <c r="A495" s="15" t="s">
        <v>110</v>
      </c>
      <c r="B495" s="15" t="s">
        <v>130</v>
      </c>
      <c r="C495" s="15" t="n">
        <v>43</v>
      </c>
      <c r="D495" s="15" t="s">
        <v>227</v>
      </c>
      <c r="E495" s="15" t="n">
        <v>1892</v>
      </c>
      <c r="F495" s="15" t="s">
        <v>953</v>
      </c>
      <c r="G495" s="15" t="s">
        <v>954</v>
      </c>
      <c r="H495" s="15" t="s">
        <v>954</v>
      </c>
      <c r="I495" s="15" t="s">
        <v>955</v>
      </c>
      <c r="J495" s="15" t="s">
        <v>177</v>
      </c>
      <c r="K495" s="35" t="n">
        <v>18.95</v>
      </c>
      <c r="L495" s="35"/>
      <c r="M495" s="23" t="str">
        <f aca="false">IF(AND(ISNUMBER(L495),ISNUMBER(K495),K495&gt;0),L495/K495-1,"")</f>
        <v/>
      </c>
      <c r="N495" s="36" t="str">
        <f aca="false">IF(M495="","No List Price",IF(M495&lt;=0,"At/below price",IF(M495&lt;=0.12,"&lt;=12% (STR zone)",IF(M495&lt;=0.25,"12-25%","&gt;25% (likely ignored)"))))</f>
        <v>No List Price</v>
      </c>
      <c r="O495" s="15" t="s">
        <v>311</v>
      </c>
      <c r="P495" s="35" t="n">
        <v>21.8520689655172</v>
      </c>
      <c r="Q495" s="22" t="n">
        <f aca="false">IF(AND(ISNUMBER(K495),ISNUMBER(P495),N(P495)&gt;0),K495/P495-1,"")</f>
        <v>-0.132805226365372</v>
      </c>
      <c r="R495" s="15" t="s">
        <v>312</v>
      </c>
      <c r="S495" s="37" t="n">
        <v>1292801</v>
      </c>
      <c r="T495" s="37" t="n">
        <v>5</v>
      </c>
      <c r="U495" s="38" t="n">
        <f aca="false">IF(AND(ISNUMBER(K495),ISNUMBER(T495)),K495*T495*52/12,"")</f>
        <v>410.583333333333</v>
      </c>
      <c r="V495" s="15" t="n">
        <v>4.2</v>
      </c>
      <c r="W495" s="37" t="n">
        <v>227</v>
      </c>
      <c r="X495" s="39" t="n">
        <v>46307</v>
      </c>
      <c r="Y495" s="15"/>
      <c r="Z495" s="40"/>
      <c r="AA495" s="41" t="str">
        <f aca="false">IF(ISNUMBER(Z495),(DATE(2026,10,13)-Z495)/365,"")</f>
        <v/>
      </c>
      <c r="AB495" s="37"/>
      <c r="AC495" s="15"/>
      <c r="AD495" s="15"/>
      <c r="AE495" s="15"/>
      <c r="AF495" s="42"/>
      <c r="AG495" s="42"/>
      <c r="AH495" s="15"/>
      <c r="AI495" s="37"/>
      <c r="AJ495" s="37"/>
      <c r="AK495" s="15" t="s">
        <v>531</v>
      </c>
      <c r="AL495" s="43" t="n">
        <v>0</v>
      </c>
      <c r="AM495" s="43" t="n">
        <v>0</v>
      </c>
      <c r="AN495" s="25" t="str">
        <f aca="false">IF(AND(ISNUMBER(AM495),ISNUMBER(AL495),AL495&gt;=5),AM495/AL495,"")</f>
        <v/>
      </c>
      <c r="AO495" s="43" t="n">
        <v>0</v>
      </c>
      <c r="AP495" s="43" t="n">
        <v>0</v>
      </c>
      <c r="AQ495" s="25" t="str">
        <f aca="false">IF(AND(ISNUMBER(AP495),ISNUMBER(AO495),AO495&gt;=5),AP495/AO495,"")</f>
        <v/>
      </c>
      <c r="AR495" s="43" t="n">
        <v>0</v>
      </c>
      <c r="AS495" s="43" t="n">
        <v>0</v>
      </c>
      <c r="AT495" s="22" t="str">
        <f aca="false">IF(AND(ISNUMBER(AS495),ISNUMBER(AR495),AR495&gt;0),AS495/AR495-1,"")</f>
        <v/>
      </c>
      <c r="AU495" s="44"/>
      <c r="AV495" s="44"/>
      <c r="AW495" s="44"/>
      <c r="AX495" s="44"/>
      <c r="AY495" s="44"/>
      <c r="AZ495" s="45"/>
      <c r="BA495" s="45"/>
      <c r="BB495" s="46"/>
      <c r="BC495" s="46"/>
      <c r="BD495" s="23" t="str">
        <f aca="false">IF(AND(ISNUMBER(BB495),ISNUMBER(BC495),BB495&gt;0),1-BC495/BB495,"")</f>
        <v/>
      </c>
      <c r="BE495" s="47"/>
      <c r="BF495" s="48"/>
      <c r="BG495" s="48"/>
      <c r="BH495" s="27" t="str">
        <f aca="false">IF(AND(ISNUMBER(BF495),ISNUMBER(BG495),BG495&gt;0),BF495/BG495,"")</f>
        <v/>
      </c>
      <c r="BI495" s="48"/>
      <c r="BJ495" s="44"/>
      <c r="BK495" s="46"/>
      <c r="BL495" s="46"/>
      <c r="BM495" s="36" t="str">
        <f aca="false">IF(ISNUMBER(Q495),IF(Q495&lt;0,"YES","no"),"")</f>
        <v>YES</v>
      </c>
      <c r="BN495" s="36" t="str">
        <f aca="false">IFERROR(IF(AND(ISNUMBER(K495),ISNUMBER(INDEX('Lift Inputs'!$H:$H,MATCH(C495,'Lift Inputs'!$C:$C,0)))),IF(K495&lt;INDEX('Lift Inputs'!$H:$H,MATCH(C495,'Lift Inputs'!$C:$C,0)),"YES","no"),""),"")</f>
        <v/>
      </c>
      <c r="BO495" s="44"/>
    </row>
    <row r="496" customFormat="false" ht="15" hidden="false" customHeight="false" outlineLevel="0" collapsed="false">
      <c r="A496" s="15" t="s">
        <v>110</v>
      </c>
      <c r="B496" s="15" t="s">
        <v>130</v>
      </c>
      <c r="C496" s="15" t="n">
        <v>43</v>
      </c>
      <c r="D496" s="15" t="s">
        <v>227</v>
      </c>
      <c r="E496" s="15" t="n">
        <v>492</v>
      </c>
      <c r="F496" s="15" t="s">
        <v>913</v>
      </c>
      <c r="G496" s="15" t="s">
        <v>914</v>
      </c>
      <c r="H496" s="15" t="s">
        <v>915</v>
      </c>
      <c r="I496" s="15" t="s">
        <v>916</v>
      </c>
      <c r="J496" s="15"/>
      <c r="K496" s="35" t="n">
        <v>15.95</v>
      </c>
      <c r="L496" s="35"/>
      <c r="M496" s="23" t="str">
        <f aca="false">IF(AND(ISNUMBER(L496),ISNUMBER(K496),K496&gt;0),L496/K496-1,"")</f>
        <v/>
      </c>
      <c r="N496" s="36" t="str">
        <f aca="false">IF(M496="","No List Price",IF(M496&lt;=0,"At/below price",IF(M496&lt;=0.12,"&lt;=12% (STR zone)",IF(M496&lt;=0.25,"12-25%","&gt;25% (likely ignored)"))))</f>
        <v>No List Price</v>
      </c>
      <c r="O496" s="15"/>
      <c r="P496" s="35" t="n">
        <v>21.8520689655172</v>
      </c>
      <c r="Q496" s="22" t="n">
        <f aca="false">IF(AND(ISNUMBER(K496),ISNUMBER(P496),N(P496)&gt;0),K496/P496-1,"")</f>
        <v>-0.270091997917028</v>
      </c>
      <c r="R496" s="15" t="s">
        <v>353</v>
      </c>
      <c r="S496" s="37" t="n">
        <v>50724</v>
      </c>
      <c r="T496" s="37" t="n">
        <v>35</v>
      </c>
      <c r="U496" s="38" t="n">
        <f aca="false">IF(AND(ISNUMBER(K496),ISNUMBER(T496)),K496*T496*52/12,"")</f>
        <v>2419.08333333333</v>
      </c>
      <c r="V496" s="15" t="n">
        <v>4.2</v>
      </c>
      <c r="W496" s="37" t="n">
        <v>6718</v>
      </c>
      <c r="X496" s="39" t="n">
        <v>46307</v>
      </c>
      <c r="Y496" s="15"/>
      <c r="Z496" s="40"/>
      <c r="AA496" s="41" t="str">
        <f aca="false">IF(ISNUMBER(Z496),(DATE(2026,10,13)-Z496)/365,"")</f>
        <v/>
      </c>
      <c r="AB496" s="37"/>
      <c r="AC496" s="15"/>
      <c r="AD496" s="15"/>
      <c r="AE496" s="15"/>
      <c r="AF496" s="42"/>
      <c r="AG496" s="42"/>
      <c r="AH496" s="15"/>
      <c r="AI496" s="37"/>
      <c r="AJ496" s="37"/>
      <c r="AK496" s="15"/>
      <c r="AL496" s="43"/>
      <c r="AM496" s="43"/>
      <c r="AN496" s="25" t="str">
        <f aca="false">IF(AND(ISNUMBER(AM496),ISNUMBER(AL496),AL496&gt;=5),AM496/AL496,"")</f>
        <v/>
      </c>
      <c r="AO496" s="43"/>
      <c r="AP496" s="43"/>
      <c r="AQ496" s="25" t="str">
        <f aca="false">IF(AND(ISNUMBER(AP496),ISNUMBER(AO496),AO496&gt;=5),AP496/AO496,"")</f>
        <v/>
      </c>
      <c r="AR496" s="43"/>
      <c r="AS496" s="43"/>
      <c r="AT496" s="22" t="str">
        <f aca="false">IF(AND(ISNUMBER(AS496),ISNUMBER(AR496),AR496&gt;0),AS496/AR496-1,"")</f>
        <v/>
      </c>
      <c r="AU496" s="44"/>
      <c r="AV496" s="44"/>
      <c r="AW496" s="44"/>
      <c r="AX496" s="44"/>
      <c r="AY496" s="44"/>
      <c r="AZ496" s="45"/>
      <c r="BA496" s="45"/>
      <c r="BB496" s="46"/>
      <c r="BC496" s="46"/>
      <c r="BD496" s="23" t="str">
        <f aca="false">IF(AND(ISNUMBER(BB496),ISNUMBER(BC496),BB496&gt;0),1-BC496/BB496,"")</f>
        <v/>
      </c>
      <c r="BE496" s="47"/>
      <c r="BF496" s="48"/>
      <c r="BG496" s="48"/>
      <c r="BH496" s="27" t="str">
        <f aca="false">IF(AND(ISNUMBER(BF496),ISNUMBER(BG496),BG496&gt;0),BF496/BG496,"")</f>
        <v/>
      </c>
      <c r="BI496" s="48"/>
      <c r="BJ496" s="44"/>
      <c r="BK496" s="46"/>
      <c r="BL496" s="46"/>
      <c r="BM496" s="36" t="str">
        <f aca="false">IF(ISNUMBER(Q496),IF(Q496&lt;0,"YES","no"),"")</f>
        <v>YES</v>
      </c>
      <c r="BN496" s="36" t="str">
        <f aca="false">IFERROR(IF(AND(ISNUMBER(K496),ISNUMBER(INDEX('Lift Inputs'!$H:$H,MATCH(C496,'Lift Inputs'!$C:$C,0)))),IF(K496&lt;INDEX('Lift Inputs'!$H:$H,MATCH(C496,'Lift Inputs'!$C:$C,0)),"YES","no"),""),"")</f>
        <v/>
      </c>
      <c r="BO496" s="44"/>
    </row>
    <row r="497" customFormat="false" ht="15" hidden="false" customHeight="false" outlineLevel="0" collapsed="false">
      <c r="A497" s="15" t="s">
        <v>110</v>
      </c>
      <c r="B497" s="15" t="s">
        <v>134</v>
      </c>
      <c r="C497" s="15" t="n">
        <v>42</v>
      </c>
      <c r="D497" s="15" t="s">
        <v>229</v>
      </c>
      <c r="E497" s="15" t="n">
        <v>11</v>
      </c>
      <c r="F497" s="15" t="s">
        <v>532</v>
      </c>
      <c r="G497" s="15" t="s">
        <v>971</v>
      </c>
      <c r="H497" s="15" t="s">
        <v>972</v>
      </c>
      <c r="I497" s="15" t="s">
        <v>973</v>
      </c>
      <c r="J497" s="15" t="s">
        <v>176</v>
      </c>
      <c r="K497" s="35" t="n">
        <v>59.99</v>
      </c>
      <c r="L497" s="35" t="n">
        <v>79.99</v>
      </c>
      <c r="M497" s="23" t="n">
        <f aca="false">IF(AND(ISNUMBER(L497),ISNUMBER(K497),K497&gt;0),L497/K497-1,"")</f>
        <v>0.333388898149692</v>
      </c>
      <c r="N497" s="36" t="str">
        <f aca="false">IF(M497="","No List Price",IF(M497&lt;=0,"At/below price",IF(M497&lt;=0.12,"&lt;=12% (STR zone)",IF(M497&lt;=0.25,"12-25%","&gt;25% (likely ignored)"))))</f>
        <v>&gt;25% (likely ignored)</v>
      </c>
      <c r="O497" s="15"/>
      <c r="P497" s="35" t="n">
        <v>67.49</v>
      </c>
      <c r="Q497" s="22" t="n">
        <f aca="false">IF(AND(ISNUMBER(K497),ISNUMBER(P497),N(P497)&gt;0),K497/P497-1,"")</f>
        <v>-0.111127574455475</v>
      </c>
      <c r="R497" s="15" t="s">
        <v>353</v>
      </c>
      <c r="S497" s="37" t="n">
        <v>7806</v>
      </c>
      <c r="T497" s="37" t="n">
        <v>104</v>
      </c>
      <c r="U497" s="38" t="n">
        <f aca="false">IF(AND(ISNUMBER(K497),ISNUMBER(T497)),K497*T497*52/12,"")</f>
        <v>27035.4933333333</v>
      </c>
      <c r="V497" s="15" t="n">
        <v>4.5</v>
      </c>
      <c r="W497" s="37" t="n">
        <v>2707</v>
      </c>
      <c r="X497" s="39" t="n">
        <v>46307</v>
      </c>
      <c r="Y497" s="15"/>
      <c r="Z497" s="40"/>
      <c r="AA497" s="41" t="str">
        <f aca="false">IF(ISNUMBER(Z497),(DATE(2026,10,13)-Z497)/365,"")</f>
        <v/>
      </c>
      <c r="AB497" s="37"/>
      <c r="AC497" s="15"/>
      <c r="AD497" s="15"/>
      <c r="AE497" s="15"/>
      <c r="AF497" s="42"/>
      <c r="AG497" s="42"/>
      <c r="AH497" s="15"/>
      <c r="AI497" s="37" t="n">
        <v>338464</v>
      </c>
      <c r="AJ497" s="37" t="n">
        <v>2185</v>
      </c>
      <c r="AK497" s="15" t="s">
        <v>315</v>
      </c>
      <c r="AL497" s="43" t="n">
        <v>751.5</v>
      </c>
      <c r="AM497" s="43" t="n">
        <v>317.5</v>
      </c>
      <c r="AN497" s="25" t="n">
        <f aca="false">IF(AND(ISNUMBER(AM497),ISNUMBER(AL497),AL497&gt;=5),AM497/AL497,"")</f>
        <v>0.422488356620093</v>
      </c>
      <c r="AO497" s="43" t="n">
        <v>147.9</v>
      </c>
      <c r="AP497" s="43" t="n">
        <v>117</v>
      </c>
      <c r="AQ497" s="25" t="n">
        <f aca="false">IF(AND(ISNUMBER(AP497),ISNUMBER(AO497),AO497&gt;=5),AP497/AO497,"")</f>
        <v>0.791075050709939</v>
      </c>
      <c r="AR497" s="43" t="n">
        <v>620.2</v>
      </c>
      <c r="AS497" s="43" t="n">
        <v>410.6</v>
      </c>
      <c r="AT497" s="22" t="n">
        <f aca="false">IF(AND(ISNUMBER(AS497),ISNUMBER(AR497),AR497&gt;0),AS497/AR497-1,"")</f>
        <v>-0.337955498226379</v>
      </c>
      <c r="AU497" s="44"/>
      <c r="AV497" s="44"/>
      <c r="AW497" s="44"/>
      <c r="AX497" s="44"/>
      <c r="AY497" s="44"/>
      <c r="AZ497" s="45"/>
      <c r="BA497" s="45"/>
      <c r="BB497" s="46"/>
      <c r="BC497" s="46"/>
      <c r="BD497" s="23" t="str">
        <f aca="false">IF(AND(ISNUMBER(BB497),ISNUMBER(BC497),BB497&gt;0),1-BC497/BB497,"")</f>
        <v/>
      </c>
      <c r="BE497" s="47"/>
      <c r="BF497" s="48"/>
      <c r="BG497" s="48"/>
      <c r="BH497" s="27" t="str">
        <f aca="false">IF(AND(ISNUMBER(BF497),ISNUMBER(BG497),BG497&gt;0),BF497/BG497,"")</f>
        <v/>
      </c>
      <c r="BI497" s="48"/>
      <c r="BJ497" s="44"/>
      <c r="BK497" s="46"/>
      <c r="BL497" s="46"/>
      <c r="BM497" s="36" t="str">
        <f aca="false">IF(ISNUMBER(Q497),IF(Q497&lt;0,"YES","no"),"")</f>
        <v>YES</v>
      </c>
      <c r="BN497" s="36" t="str">
        <f aca="false">IFERROR(IF(AND(ISNUMBER(K497),ISNUMBER(INDEX('Lift Inputs'!$H:$H,MATCH(C497,'Lift Inputs'!$C:$C,0)))),IF(K497&lt;INDEX('Lift Inputs'!$H:$H,MATCH(C497,'Lift Inputs'!$C:$C,0)),"YES","no"),""),"")</f>
        <v/>
      </c>
      <c r="BO497" s="44"/>
    </row>
    <row r="498" customFormat="false" ht="15" hidden="false" customHeight="false" outlineLevel="0" collapsed="false">
      <c r="A498" s="15" t="s">
        <v>110</v>
      </c>
      <c r="B498" s="15" t="s">
        <v>134</v>
      </c>
      <c r="C498" s="15" t="n">
        <v>42</v>
      </c>
      <c r="D498" s="15" t="s">
        <v>229</v>
      </c>
      <c r="E498" s="15" t="n">
        <v>16</v>
      </c>
      <c r="F498" s="15" t="s">
        <v>516</v>
      </c>
      <c r="G498" s="15" t="s">
        <v>974</v>
      </c>
      <c r="H498" s="15" t="s">
        <v>975</v>
      </c>
      <c r="I498" s="15" t="s">
        <v>973</v>
      </c>
      <c r="J498" s="15" t="s">
        <v>177</v>
      </c>
      <c r="K498" s="35" t="n">
        <v>186.75</v>
      </c>
      <c r="L498" s="35" t="n">
        <v>249</v>
      </c>
      <c r="M498" s="23" t="n">
        <f aca="false">IF(AND(ISNUMBER(L498),ISNUMBER(K498),K498&gt;0),L498/K498-1,"")</f>
        <v>0.333333333333333</v>
      </c>
      <c r="N498" s="36" t="str">
        <f aca="false">IF(M498="","No List Price",IF(M498&lt;=0,"At/below price",IF(M498&lt;=0.12,"&lt;=12% (STR zone)",IF(M498&lt;=0.25,"12-25%","&gt;25% (likely ignored)"))))</f>
        <v>&gt;25% (likely ignored)</v>
      </c>
      <c r="O498" s="15"/>
      <c r="P498" s="35" t="n">
        <v>67.49</v>
      </c>
      <c r="Q498" s="22" t="n">
        <f aca="false">IF(AND(ISNUMBER(K498),ISNUMBER(P498),N(P498)&gt;0),K498/P498-1,"")</f>
        <v>1.76707660394132</v>
      </c>
      <c r="R498" s="15" t="s">
        <v>353</v>
      </c>
      <c r="S498" s="37" t="n">
        <v>2263</v>
      </c>
      <c r="T498" s="37" t="n">
        <v>220</v>
      </c>
      <c r="U498" s="38" t="n">
        <f aca="false">IF(AND(ISNUMBER(K498),ISNUMBER(T498)),K498*T498*52/12,"")</f>
        <v>178035</v>
      </c>
      <c r="V498" s="15" t="n">
        <v>4.3</v>
      </c>
      <c r="W498" s="37" t="n">
        <v>4110</v>
      </c>
      <c r="X498" s="39" t="n">
        <v>46307</v>
      </c>
      <c r="Y498" s="15"/>
      <c r="Z498" s="40"/>
      <c r="AA498" s="41" t="str">
        <f aca="false">IF(ISNUMBER(Z498),(DATE(2026,10,13)-Z498)/365,"")</f>
        <v/>
      </c>
      <c r="AB498" s="37"/>
      <c r="AC498" s="15"/>
      <c r="AD498" s="15"/>
      <c r="AE498" s="15"/>
      <c r="AF498" s="42"/>
      <c r="AG498" s="42"/>
      <c r="AH498" s="15"/>
      <c r="AI498" s="37" t="n">
        <v>1443297</v>
      </c>
      <c r="AJ498" s="37" t="n">
        <v>7962</v>
      </c>
      <c r="AK498" s="15" t="s">
        <v>315</v>
      </c>
      <c r="AL498" s="43" t="n">
        <v>555.3</v>
      </c>
      <c r="AM498" s="43" t="n">
        <v>784.8</v>
      </c>
      <c r="AN498" s="25" t="n">
        <f aca="false">IF(AND(ISNUMBER(AM498),ISNUMBER(AL498),AL498&gt;=5),AM498/AL498,"")</f>
        <v>1.41329011345219</v>
      </c>
      <c r="AO498" s="43" t="n">
        <v>275.1</v>
      </c>
      <c r="AP498" s="43" t="n">
        <v>475.5</v>
      </c>
      <c r="AQ498" s="25" t="n">
        <f aca="false">IF(AND(ISNUMBER(AP498),ISNUMBER(AO498),AO498&gt;=5),AP498/AO498,"")</f>
        <v>1.72846237731734</v>
      </c>
      <c r="AR498" s="43" t="n">
        <v>521.3</v>
      </c>
      <c r="AS498" s="43" t="n">
        <v>480.4</v>
      </c>
      <c r="AT498" s="22" t="n">
        <f aca="false">IF(AND(ISNUMBER(AS498),ISNUMBER(AR498),AR498&gt;0),AS498/AR498-1,"")</f>
        <v>-0.0784577018990984</v>
      </c>
      <c r="AU498" s="44"/>
      <c r="AV498" s="44"/>
      <c r="AW498" s="44"/>
      <c r="AX498" s="44"/>
      <c r="AY498" s="44"/>
      <c r="AZ498" s="45"/>
      <c r="BA498" s="45"/>
      <c r="BB498" s="46"/>
      <c r="BC498" s="46"/>
      <c r="BD498" s="23" t="str">
        <f aca="false">IF(AND(ISNUMBER(BB498),ISNUMBER(BC498),BB498&gt;0),1-BC498/BB498,"")</f>
        <v/>
      </c>
      <c r="BE498" s="47"/>
      <c r="BF498" s="48"/>
      <c r="BG498" s="48"/>
      <c r="BH498" s="27" t="str">
        <f aca="false">IF(AND(ISNUMBER(BF498),ISNUMBER(BG498),BG498&gt;0),BF498/BG498,"")</f>
        <v/>
      </c>
      <c r="BI498" s="48"/>
      <c r="BJ498" s="44"/>
      <c r="BK498" s="46"/>
      <c r="BL498" s="46"/>
      <c r="BM498" s="36" t="str">
        <f aca="false">IF(ISNUMBER(Q498),IF(Q498&lt;0,"YES","no"),"")</f>
        <v>no</v>
      </c>
      <c r="BN498" s="36" t="str">
        <f aca="false">IFERROR(IF(AND(ISNUMBER(K498),ISNUMBER(INDEX('Lift Inputs'!$H:$H,MATCH(C498,'Lift Inputs'!$C:$C,0)))),IF(K498&lt;INDEX('Lift Inputs'!$H:$H,MATCH(C498,'Lift Inputs'!$C:$C,0)),"YES","no"),""),"")</f>
        <v/>
      </c>
      <c r="BO498" s="44"/>
    </row>
    <row r="499" customFormat="false" ht="15" hidden="false" customHeight="false" outlineLevel="0" collapsed="false">
      <c r="A499" s="15" t="s">
        <v>110</v>
      </c>
      <c r="B499" s="15" t="s">
        <v>134</v>
      </c>
      <c r="C499" s="15" t="n">
        <v>42</v>
      </c>
      <c r="D499" s="15" t="s">
        <v>229</v>
      </c>
      <c r="E499" s="15" t="n">
        <v>18</v>
      </c>
      <c r="F499" s="15" t="s">
        <v>307</v>
      </c>
      <c r="G499" s="15" t="s">
        <v>976</v>
      </c>
      <c r="H499" s="15" t="s">
        <v>977</v>
      </c>
      <c r="I499" s="15" t="s">
        <v>978</v>
      </c>
      <c r="J499" s="15" t="s">
        <v>177</v>
      </c>
      <c r="K499" s="35" t="n">
        <v>44.99</v>
      </c>
      <c r="L499" s="35" t="n">
        <v>59.99</v>
      </c>
      <c r="M499" s="23" t="n">
        <f aca="false">IF(AND(ISNUMBER(L499),ISNUMBER(K499),K499&gt;0),L499/K499-1,"")</f>
        <v>0.333407423871972</v>
      </c>
      <c r="N499" s="36" t="str">
        <f aca="false">IF(M499="","No List Price",IF(M499&lt;=0,"At/below price",IF(M499&lt;=0.12,"&lt;=12% (STR zone)",IF(M499&lt;=0.25,"12-25%","&gt;25% (likely ignored)"))))</f>
        <v>&gt;25% (likely ignored)</v>
      </c>
      <c r="O499" s="15"/>
      <c r="P499" s="35" t="n">
        <v>67.49</v>
      </c>
      <c r="Q499" s="22" t="n">
        <f aca="false">IF(AND(ISNUMBER(K499),ISNUMBER(P499),N(P499)&gt;0),K499/P499-1,"")</f>
        <v>-0.333382723366425</v>
      </c>
      <c r="R499" s="15" t="s">
        <v>353</v>
      </c>
      <c r="S499" s="37" t="n">
        <v>58503</v>
      </c>
      <c r="T499" s="37" t="n">
        <v>185</v>
      </c>
      <c r="U499" s="38" t="n">
        <f aca="false">IF(AND(ISNUMBER(K499),ISNUMBER(T499)),K499*T499*52/12,"")</f>
        <v>36066.9833333333</v>
      </c>
      <c r="V499" s="15" t="n">
        <v>4.5</v>
      </c>
      <c r="W499" s="37" t="n">
        <v>142</v>
      </c>
      <c r="X499" s="39" t="n">
        <v>46307</v>
      </c>
      <c r="Y499" s="15"/>
      <c r="Z499" s="40"/>
      <c r="AA499" s="41" t="str">
        <f aca="false">IF(ISNUMBER(Z499),(DATE(2026,10,13)-Z499)/365,"")</f>
        <v/>
      </c>
      <c r="AB499" s="37"/>
      <c r="AC499" s="15"/>
      <c r="AD499" s="15"/>
      <c r="AE499" s="15"/>
      <c r="AF499" s="42"/>
      <c r="AG499" s="42"/>
      <c r="AH499" s="15"/>
      <c r="AI499" s="37" t="n">
        <v>68067</v>
      </c>
      <c r="AJ499" s="37" t="n">
        <v>948</v>
      </c>
      <c r="AK499" s="15" t="s">
        <v>315</v>
      </c>
      <c r="AL499" s="43" t="n">
        <v>132.6</v>
      </c>
      <c r="AM499" s="43" t="n">
        <v>220.2</v>
      </c>
      <c r="AN499" s="25" t="n">
        <f aca="false">IF(AND(ISNUMBER(AM499),ISNUMBER(AL499),AL499&gt;=5),AM499/AL499,"")</f>
        <v>1.6606334841629</v>
      </c>
      <c r="AO499" s="43" t="n">
        <v>268.6</v>
      </c>
      <c r="AP499" s="43" t="n">
        <v>282.5</v>
      </c>
      <c r="AQ499" s="25" t="n">
        <f aca="false">IF(AND(ISNUMBER(AP499),ISNUMBER(AO499),AO499&gt;=5),AP499/AO499,"")</f>
        <v>1.05174981384959</v>
      </c>
      <c r="AR499" s="43" t="n">
        <v>109.6</v>
      </c>
      <c r="AS499" s="43" t="n">
        <v>299.4</v>
      </c>
      <c r="AT499" s="22" t="n">
        <f aca="false">IF(AND(ISNUMBER(AS499),ISNUMBER(AR499),AR499&gt;0),AS499/AR499-1,"")</f>
        <v>1.73175182481752</v>
      </c>
      <c r="AU499" s="44"/>
      <c r="AV499" s="44"/>
      <c r="AW499" s="44"/>
      <c r="AX499" s="44"/>
      <c r="AY499" s="44"/>
      <c r="AZ499" s="45"/>
      <c r="BA499" s="45"/>
      <c r="BB499" s="46"/>
      <c r="BC499" s="46"/>
      <c r="BD499" s="23" t="str">
        <f aca="false">IF(AND(ISNUMBER(BB499),ISNUMBER(BC499),BB499&gt;0),1-BC499/BB499,"")</f>
        <v/>
      </c>
      <c r="BE499" s="47"/>
      <c r="BF499" s="48"/>
      <c r="BG499" s="48"/>
      <c r="BH499" s="27" t="str">
        <f aca="false">IF(AND(ISNUMBER(BF499),ISNUMBER(BG499),BG499&gt;0),BF499/BG499,"")</f>
        <v/>
      </c>
      <c r="BI499" s="48"/>
      <c r="BJ499" s="44"/>
      <c r="BK499" s="46"/>
      <c r="BL499" s="46"/>
      <c r="BM499" s="36" t="str">
        <f aca="false">IF(ISNUMBER(Q499),IF(Q499&lt;0,"YES","no"),"")</f>
        <v>YES</v>
      </c>
      <c r="BN499" s="36" t="str">
        <f aca="false">IFERROR(IF(AND(ISNUMBER(K499),ISNUMBER(INDEX('Lift Inputs'!$H:$H,MATCH(C499,'Lift Inputs'!$C:$C,0)))),IF(K499&lt;INDEX('Lift Inputs'!$H:$H,MATCH(C499,'Lift Inputs'!$C:$C,0)),"YES","no"),""),"")</f>
        <v/>
      </c>
      <c r="BO499" s="44"/>
    </row>
    <row r="500" customFormat="false" ht="15" hidden="false" customHeight="false" outlineLevel="0" collapsed="false">
      <c r="A500" s="15" t="s">
        <v>110</v>
      </c>
      <c r="B500" s="15" t="s">
        <v>134</v>
      </c>
      <c r="C500" s="15" t="n">
        <v>42</v>
      </c>
      <c r="D500" s="15" t="s">
        <v>229</v>
      </c>
      <c r="E500" s="15" t="n">
        <v>21</v>
      </c>
      <c r="F500" s="15" t="s">
        <v>924</v>
      </c>
      <c r="G500" s="15" t="s">
        <v>979</v>
      </c>
      <c r="H500" s="15" t="s">
        <v>980</v>
      </c>
      <c r="I500" s="15" t="s">
        <v>978</v>
      </c>
      <c r="J500" s="15" t="s">
        <v>177</v>
      </c>
      <c r="K500" s="35" t="n">
        <v>51.99</v>
      </c>
      <c r="L500" s="35"/>
      <c r="M500" s="23" t="str">
        <f aca="false">IF(AND(ISNUMBER(L500),ISNUMBER(K500),K500&gt;0),L500/K500-1,"")</f>
        <v/>
      </c>
      <c r="N500" s="36" t="str">
        <f aca="false">IF(M500="","No List Price",IF(M500&lt;=0,"At/below price",IF(M500&lt;=0.12,"&lt;=12% (STR zone)",IF(M500&lt;=0.25,"12-25%","&gt;25% (likely ignored)"))))</f>
        <v>No List Price</v>
      </c>
      <c r="O500" s="15"/>
      <c r="P500" s="35" t="n">
        <v>67.49</v>
      </c>
      <c r="Q500" s="22" t="n">
        <f aca="false">IF(AND(ISNUMBER(K500),ISNUMBER(P500),N(P500)&gt;0),K500/P500-1,"")</f>
        <v>-0.229663653874648</v>
      </c>
      <c r="R500" s="15" t="s">
        <v>353</v>
      </c>
      <c r="S500" s="37" t="n">
        <v>15665</v>
      </c>
      <c r="T500" s="37" t="n">
        <v>185</v>
      </c>
      <c r="U500" s="38" t="n">
        <f aca="false">IF(AND(ISNUMBER(K500),ISNUMBER(T500)),K500*T500*52/12,"")</f>
        <v>41678.65</v>
      </c>
      <c r="V500" s="15" t="n">
        <v>4.5</v>
      </c>
      <c r="W500" s="37" t="n">
        <v>1560</v>
      </c>
      <c r="X500" s="39" t="n">
        <v>46307</v>
      </c>
      <c r="Y500" s="15"/>
      <c r="Z500" s="40"/>
      <c r="AA500" s="41" t="str">
        <f aca="false">IF(ISNUMBER(Z500),(DATE(2026,10,13)-Z500)/365,"")</f>
        <v/>
      </c>
      <c r="AB500" s="37"/>
      <c r="AC500" s="15"/>
      <c r="AD500" s="15"/>
      <c r="AE500" s="15"/>
      <c r="AF500" s="42"/>
      <c r="AG500" s="42"/>
      <c r="AH500" s="15"/>
      <c r="AI500" s="37" t="n">
        <v>273765</v>
      </c>
      <c r="AJ500" s="37" t="n">
        <v>1624</v>
      </c>
      <c r="AK500" s="15" t="s">
        <v>315</v>
      </c>
      <c r="AL500" s="43" t="n">
        <v>1061.3</v>
      </c>
      <c r="AM500" s="43" t="n">
        <v>1635</v>
      </c>
      <c r="AN500" s="25" t="n">
        <f aca="false">IF(AND(ISNUMBER(AM500),ISNUMBER(AL500),AL500&gt;=5),AM500/AL500,"")</f>
        <v>1.54056345990766</v>
      </c>
      <c r="AO500" s="43" t="n">
        <v>313.2</v>
      </c>
      <c r="AP500" s="43" t="n">
        <v>248</v>
      </c>
      <c r="AQ500" s="25" t="n">
        <f aca="false">IF(AND(ISNUMBER(AP500),ISNUMBER(AO500),AO500&gt;=5),AP500/AO500,"")</f>
        <v>0.791826309067688</v>
      </c>
      <c r="AR500" s="43" t="n">
        <v>565.7</v>
      </c>
      <c r="AS500" s="43" t="n">
        <v>471.3</v>
      </c>
      <c r="AT500" s="22" t="n">
        <f aca="false">IF(AND(ISNUMBER(AS500),ISNUMBER(AR500),AR500&gt;0),AS500/AR500-1,"")</f>
        <v>-0.166872900830829</v>
      </c>
      <c r="AU500" s="44"/>
      <c r="AV500" s="44"/>
      <c r="AW500" s="44"/>
      <c r="AX500" s="44"/>
      <c r="AY500" s="44"/>
      <c r="AZ500" s="45"/>
      <c r="BA500" s="45"/>
      <c r="BB500" s="46"/>
      <c r="BC500" s="46"/>
      <c r="BD500" s="23" t="str">
        <f aca="false">IF(AND(ISNUMBER(BB500),ISNUMBER(BC500),BB500&gt;0),1-BC500/BB500,"")</f>
        <v/>
      </c>
      <c r="BE500" s="47"/>
      <c r="BF500" s="48"/>
      <c r="BG500" s="48"/>
      <c r="BH500" s="27" t="str">
        <f aca="false">IF(AND(ISNUMBER(BF500),ISNUMBER(BG500),BG500&gt;0),BF500/BG500,"")</f>
        <v/>
      </c>
      <c r="BI500" s="48"/>
      <c r="BJ500" s="44"/>
      <c r="BK500" s="46"/>
      <c r="BL500" s="46"/>
      <c r="BM500" s="36" t="str">
        <f aca="false">IF(ISNUMBER(Q500),IF(Q500&lt;0,"YES","no"),"")</f>
        <v>YES</v>
      </c>
      <c r="BN500" s="36" t="str">
        <f aca="false">IFERROR(IF(AND(ISNUMBER(K500),ISNUMBER(INDEX('Lift Inputs'!$H:$H,MATCH(C500,'Lift Inputs'!$C:$C,0)))),IF(K500&lt;INDEX('Lift Inputs'!$H:$H,MATCH(C500,'Lift Inputs'!$C:$C,0)),"YES","no"),""),"")</f>
        <v/>
      </c>
      <c r="BO500" s="44"/>
    </row>
    <row r="501" customFormat="false" ht="15" hidden="false" customHeight="false" outlineLevel="0" collapsed="false">
      <c r="A501" s="15" t="s">
        <v>110</v>
      </c>
      <c r="B501" s="15" t="s">
        <v>134</v>
      </c>
      <c r="C501" s="15" t="n">
        <v>42</v>
      </c>
      <c r="D501" s="15" t="s">
        <v>229</v>
      </c>
      <c r="E501" s="15" t="n">
        <v>13</v>
      </c>
      <c r="F501" s="15" t="s">
        <v>981</v>
      </c>
      <c r="G501" s="15" t="s">
        <v>982</v>
      </c>
      <c r="H501" s="15" t="s">
        <v>983</v>
      </c>
      <c r="I501" s="15" t="s">
        <v>973</v>
      </c>
      <c r="J501" s="15" t="s">
        <v>177</v>
      </c>
      <c r="K501" s="35" t="n">
        <v>44.99</v>
      </c>
      <c r="L501" s="35"/>
      <c r="M501" s="23" t="str">
        <f aca="false">IF(AND(ISNUMBER(L501),ISNUMBER(K501),K501&gt;0),L501/K501-1,"")</f>
        <v/>
      </c>
      <c r="N501" s="36" t="str">
        <f aca="false">IF(M501="","No List Price",IF(M501&lt;=0,"At/below price",IF(M501&lt;=0.12,"&lt;=12% (STR zone)",IF(M501&lt;=0.25,"12-25%","&gt;25% (likely ignored)"))))</f>
        <v>No List Price</v>
      </c>
      <c r="O501" s="15"/>
      <c r="P501" s="35" t="n">
        <v>67.49</v>
      </c>
      <c r="Q501" s="22" t="n">
        <f aca="false">IF(AND(ISNUMBER(K501),ISNUMBER(P501),N(P501)&gt;0),K501/P501-1,"")</f>
        <v>-0.333382723366425</v>
      </c>
      <c r="R501" s="15" t="s">
        <v>353</v>
      </c>
      <c r="S501" s="37" t="n">
        <v>25690</v>
      </c>
      <c r="T501" s="37" t="n">
        <v>92</v>
      </c>
      <c r="U501" s="38" t="n">
        <f aca="false">IF(AND(ISNUMBER(K501),ISNUMBER(T501)),K501*T501*52/12,"")</f>
        <v>17936.0133333333</v>
      </c>
      <c r="V501" s="15" t="n">
        <v>4.3</v>
      </c>
      <c r="W501" s="37" t="n">
        <v>741</v>
      </c>
      <c r="X501" s="39" t="n">
        <v>46307</v>
      </c>
      <c r="Y501" s="15"/>
      <c r="Z501" s="40"/>
      <c r="AA501" s="41" t="str">
        <f aca="false">IF(ISNUMBER(Z501),(DATE(2026,10,13)-Z501)/365,"")</f>
        <v/>
      </c>
      <c r="AB501" s="37"/>
      <c r="AC501" s="15"/>
      <c r="AD501" s="15"/>
      <c r="AE501" s="15"/>
      <c r="AF501" s="42"/>
      <c r="AG501" s="42"/>
      <c r="AH501" s="15"/>
      <c r="AI501" s="37" t="n">
        <v>150494</v>
      </c>
      <c r="AJ501" s="37" t="n">
        <v>1199</v>
      </c>
      <c r="AK501" s="15"/>
      <c r="AL501" s="43"/>
      <c r="AM501" s="43"/>
      <c r="AN501" s="25" t="str">
        <f aca="false">IF(AND(ISNUMBER(AM501),ISNUMBER(AL501),AL501&gt;=5),AM501/AL501,"")</f>
        <v/>
      </c>
      <c r="AO501" s="43"/>
      <c r="AP501" s="43"/>
      <c r="AQ501" s="25" t="str">
        <f aca="false">IF(AND(ISNUMBER(AP501),ISNUMBER(AO501),AO501&gt;=5),AP501/AO501,"")</f>
        <v/>
      </c>
      <c r="AR501" s="43"/>
      <c r="AS501" s="43"/>
      <c r="AT501" s="22" t="str">
        <f aca="false">IF(AND(ISNUMBER(AS501),ISNUMBER(AR501),AR501&gt;0),AS501/AR501-1,"")</f>
        <v/>
      </c>
      <c r="AU501" s="44"/>
      <c r="AV501" s="44"/>
      <c r="AW501" s="44"/>
      <c r="AX501" s="44"/>
      <c r="AY501" s="44"/>
      <c r="AZ501" s="45"/>
      <c r="BA501" s="45"/>
      <c r="BB501" s="46"/>
      <c r="BC501" s="46"/>
      <c r="BD501" s="23" t="str">
        <f aca="false">IF(AND(ISNUMBER(BB501),ISNUMBER(BC501),BB501&gt;0),1-BC501/BB501,"")</f>
        <v/>
      </c>
      <c r="BE501" s="47"/>
      <c r="BF501" s="48"/>
      <c r="BG501" s="48"/>
      <c r="BH501" s="27" t="str">
        <f aca="false">IF(AND(ISNUMBER(BF501),ISNUMBER(BG501),BG501&gt;0),BF501/BG501,"")</f>
        <v/>
      </c>
      <c r="BI501" s="48"/>
      <c r="BJ501" s="44"/>
      <c r="BK501" s="46"/>
      <c r="BL501" s="46"/>
      <c r="BM501" s="36" t="str">
        <f aca="false">IF(ISNUMBER(Q501),IF(Q501&lt;0,"YES","no"),"")</f>
        <v>YES</v>
      </c>
      <c r="BN501" s="36" t="str">
        <f aca="false">IFERROR(IF(AND(ISNUMBER(K501),ISNUMBER(INDEX('Lift Inputs'!$H:$H,MATCH(C501,'Lift Inputs'!$C:$C,0)))),IF(K501&lt;INDEX('Lift Inputs'!$H:$H,MATCH(C501,'Lift Inputs'!$C:$C,0)),"YES","no"),""),"")</f>
        <v/>
      </c>
      <c r="BO501" s="44"/>
    </row>
    <row r="502" customFormat="false" ht="15" hidden="false" customHeight="false" outlineLevel="0" collapsed="false">
      <c r="A502" s="15" t="s">
        <v>110</v>
      </c>
      <c r="B502" s="15" t="s">
        <v>134</v>
      </c>
      <c r="C502" s="15" t="n">
        <v>42</v>
      </c>
      <c r="D502" s="15" t="s">
        <v>229</v>
      </c>
      <c r="E502" s="15" t="n">
        <v>1839</v>
      </c>
      <c r="F502" s="15" t="s">
        <v>532</v>
      </c>
      <c r="G502" s="15" t="s">
        <v>984</v>
      </c>
      <c r="H502" s="15" t="s">
        <v>985</v>
      </c>
      <c r="I502" s="15" t="s">
        <v>986</v>
      </c>
      <c r="J502" s="15" t="s">
        <v>177</v>
      </c>
      <c r="K502" s="35" t="n">
        <v>49.99</v>
      </c>
      <c r="L502" s="35"/>
      <c r="M502" s="23" t="str">
        <f aca="false">IF(AND(ISNUMBER(L502),ISNUMBER(K502),K502&gt;0),L502/K502-1,"")</f>
        <v/>
      </c>
      <c r="N502" s="36" t="str">
        <f aca="false">IF(M502="","No List Price",IF(M502&lt;=0,"At/below price",IF(M502&lt;=0.12,"&lt;=12% (STR zone)",IF(M502&lt;=0.25,"12-25%","&gt;25% (likely ignored)"))))</f>
        <v>No List Price</v>
      </c>
      <c r="O502" s="15"/>
      <c r="P502" s="35" t="n">
        <v>67.49</v>
      </c>
      <c r="Q502" s="22" t="n">
        <f aca="false">IF(AND(ISNUMBER(K502),ISNUMBER(P502),N(P502)&gt;0),K502/P502-1,"")</f>
        <v>-0.259297673729441</v>
      </c>
      <c r="R502" s="15" t="s">
        <v>353</v>
      </c>
      <c r="S502" s="37" t="n">
        <v>69052</v>
      </c>
      <c r="T502" s="37" t="n">
        <v>81</v>
      </c>
      <c r="U502" s="38" t="n">
        <f aca="false">IF(AND(ISNUMBER(K502),ISNUMBER(T502)),K502*T502*52/12,"")</f>
        <v>17546.49</v>
      </c>
      <c r="V502" s="15" t="n">
        <v>4.5</v>
      </c>
      <c r="W502" s="37" t="n">
        <v>442</v>
      </c>
      <c r="X502" s="39" t="n">
        <v>46307</v>
      </c>
      <c r="Y502" s="15"/>
      <c r="Z502" s="40"/>
      <c r="AA502" s="41" t="str">
        <f aca="false">IF(ISNUMBER(Z502),(DATE(2026,10,13)-Z502)/365,"")</f>
        <v/>
      </c>
      <c r="AB502" s="37"/>
      <c r="AC502" s="15"/>
      <c r="AD502" s="15"/>
      <c r="AE502" s="15"/>
      <c r="AF502" s="42"/>
      <c r="AG502" s="42"/>
      <c r="AH502" s="15"/>
      <c r="AI502" s="37" t="n">
        <v>80120</v>
      </c>
      <c r="AJ502" s="37" t="n">
        <v>895</v>
      </c>
      <c r="AK502" s="15" t="s">
        <v>315</v>
      </c>
      <c r="AL502" s="43" t="n">
        <v>3.4</v>
      </c>
      <c r="AM502" s="43" t="n">
        <v>8</v>
      </c>
      <c r="AN502" s="25" t="str">
        <f aca="false">IF(AND(ISNUMBER(AM502),ISNUMBER(AL502),AL502&gt;=5),AM502/AL502,"")</f>
        <v/>
      </c>
      <c r="AO502" s="43" t="n">
        <v>7.6</v>
      </c>
      <c r="AP502" s="43" t="n">
        <v>9.8</v>
      </c>
      <c r="AQ502" s="25" t="n">
        <f aca="false">IF(AND(ISNUMBER(AP502),ISNUMBER(AO502),AO502&gt;=5),AP502/AO502,"")</f>
        <v>1.28947368421053</v>
      </c>
      <c r="AR502" s="43" t="n">
        <v>5.7</v>
      </c>
      <c r="AS502" s="43" t="n">
        <v>6.2</v>
      </c>
      <c r="AT502" s="22" t="n">
        <f aca="false">IF(AND(ISNUMBER(AS502),ISNUMBER(AR502),AR502&gt;0),AS502/AR502-1,"")</f>
        <v>0.0877192982456141</v>
      </c>
      <c r="AU502" s="44"/>
      <c r="AV502" s="44"/>
      <c r="AW502" s="44"/>
      <c r="AX502" s="44"/>
      <c r="AY502" s="44"/>
      <c r="AZ502" s="45"/>
      <c r="BA502" s="45"/>
      <c r="BB502" s="46"/>
      <c r="BC502" s="46"/>
      <c r="BD502" s="23" t="str">
        <f aca="false">IF(AND(ISNUMBER(BB502),ISNUMBER(BC502),BB502&gt;0),1-BC502/BB502,"")</f>
        <v/>
      </c>
      <c r="BE502" s="47"/>
      <c r="BF502" s="48"/>
      <c r="BG502" s="48"/>
      <c r="BH502" s="27" t="str">
        <f aca="false">IF(AND(ISNUMBER(BF502),ISNUMBER(BG502),BG502&gt;0),BF502/BG502,"")</f>
        <v/>
      </c>
      <c r="BI502" s="48"/>
      <c r="BJ502" s="44"/>
      <c r="BK502" s="46"/>
      <c r="BL502" s="46"/>
      <c r="BM502" s="36" t="str">
        <f aca="false">IF(ISNUMBER(Q502),IF(Q502&lt;0,"YES","no"),"")</f>
        <v>YES</v>
      </c>
      <c r="BN502" s="36" t="str">
        <f aca="false">IFERROR(IF(AND(ISNUMBER(K502),ISNUMBER(INDEX('Lift Inputs'!$H:$H,MATCH(C502,'Lift Inputs'!$C:$C,0)))),IF(K502&lt;INDEX('Lift Inputs'!$H:$H,MATCH(C502,'Lift Inputs'!$C:$C,0)),"YES","no"),""),"")</f>
        <v/>
      </c>
      <c r="BO502" s="44"/>
    </row>
    <row r="503" customFormat="false" ht="15" hidden="false" customHeight="false" outlineLevel="0" collapsed="false">
      <c r="A503" s="15" t="s">
        <v>110</v>
      </c>
      <c r="B503" s="15" t="s">
        <v>134</v>
      </c>
      <c r="C503" s="15" t="n">
        <v>42</v>
      </c>
      <c r="D503" s="15" t="s">
        <v>229</v>
      </c>
      <c r="E503" s="15" t="n">
        <v>899</v>
      </c>
      <c r="F503" s="15" t="s">
        <v>987</v>
      </c>
      <c r="G503" s="15" t="s">
        <v>988</v>
      </c>
      <c r="H503" s="15" t="s">
        <v>989</v>
      </c>
      <c r="I503" s="15" t="s">
        <v>973</v>
      </c>
      <c r="J503" s="15" t="s">
        <v>177</v>
      </c>
      <c r="K503" s="35" t="n">
        <v>48.9</v>
      </c>
      <c r="L503" s="35"/>
      <c r="M503" s="23" t="str">
        <f aca="false">IF(AND(ISNUMBER(L503),ISNUMBER(K503),K503&gt;0),L503/K503-1,"")</f>
        <v/>
      </c>
      <c r="N503" s="36" t="str">
        <f aca="false">IF(M503="","No List Price",IF(M503&lt;=0,"At/below price",IF(M503&lt;=0.12,"&lt;=12% (STR zone)",IF(M503&lt;=0.25,"12-25%","&gt;25% (likely ignored)"))))</f>
        <v>No List Price</v>
      </c>
      <c r="O503" s="15"/>
      <c r="P503" s="35" t="n">
        <v>67.49</v>
      </c>
      <c r="Q503" s="22" t="n">
        <f aca="false">IF(AND(ISNUMBER(K503),ISNUMBER(P503),N(P503)&gt;0),K503/P503-1,"")</f>
        <v>-0.275448214550304</v>
      </c>
      <c r="R503" s="15" t="s">
        <v>353</v>
      </c>
      <c r="S503" s="37" t="n">
        <v>33756</v>
      </c>
      <c r="T503" s="37" t="n">
        <v>81</v>
      </c>
      <c r="U503" s="38" t="n">
        <f aca="false">IF(AND(ISNUMBER(K503),ISNUMBER(T503)),K503*T503*52/12,"")</f>
        <v>17163.9</v>
      </c>
      <c r="V503" s="15" t="n">
        <v>4.4</v>
      </c>
      <c r="W503" s="37" t="n">
        <v>1093</v>
      </c>
      <c r="X503" s="39" t="n">
        <v>46307</v>
      </c>
      <c r="Y503" s="15"/>
      <c r="Z503" s="40"/>
      <c r="AA503" s="41" t="str">
        <f aca="false">IF(ISNUMBER(Z503),(DATE(2026,10,13)-Z503)/365,"")</f>
        <v/>
      </c>
      <c r="AB503" s="37"/>
      <c r="AC503" s="15"/>
      <c r="AD503" s="15"/>
      <c r="AE503" s="15"/>
      <c r="AF503" s="42"/>
      <c r="AG503" s="42"/>
      <c r="AH503" s="15"/>
      <c r="AI503" s="37" t="n">
        <v>110161</v>
      </c>
      <c r="AJ503" s="37" t="n">
        <v>1781</v>
      </c>
      <c r="AK503" s="15" t="s">
        <v>315</v>
      </c>
      <c r="AL503" s="43" t="n">
        <v>254.8</v>
      </c>
      <c r="AM503" s="43" t="n">
        <v>222.5</v>
      </c>
      <c r="AN503" s="25" t="n">
        <f aca="false">IF(AND(ISNUMBER(AM503),ISNUMBER(AL503),AL503&gt;=5),AM503/AL503,"")</f>
        <v>0.873233908948195</v>
      </c>
      <c r="AO503" s="43" t="n">
        <v>116.9</v>
      </c>
      <c r="AP503" s="43" t="n">
        <v>287.2</v>
      </c>
      <c r="AQ503" s="25" t="n">
        <f aca="false">IF(AND(ISNUMBER(AP503),ISNUMBER(AO503),AO503&gt;=5),AP503/AO503,"")</f>
        <v>2.45680068434559</v>
      </c>
      <c r="AR503" s="43" t="n">
        <v>182.2</v>
      </c>
      <c r="AS503" s="43" t="n">
        <v>355.7</v>
      </c>
      <c r="AT503" s="22" t="n">
        <f aca="false">IF(AND(ISNUMBER(AS503),ISNUMBER(AR503),AR503&gt;0),AS503/AR503-1,"")</f>
        <v>0.95225027442371</v>
      </c>
      <c r="AU503" s="44"/>
      <c r="AV503" s="44"/>
      <c r="AW503" s="44"/>
      <c r="AX503" s="44"/>
      <c r="AY503" s="44"/>
      <c r="AZ503" s="45"/>
      <c r="BA503" s="45"/>
      <c r="BB503" s="46"/>
      <c r="BC503" s="46"/>
      <c r="BD503" s="23" t="str">
        <f aca="false">IF(AND(ISNUMBER(BB503),ISNUMBER(BC503),BB503&gt;0),1-BC503/BB503,"")</f>
        <v/>
      </c>
      <c r="BE503" s="47"/>
      <c r="BF503" s="48"/>
      <c r="BG503" s="48"/>
      <c r="BH503" s="27" t="str">
        <f aca="false">IF(AND(ISNUMBER(BF503),ISNUMBER(BG503),BG503&gt;0),BF503/BG503,"")</f>
        <v/>
      </c>
      <c r="BI503" s="48"/>
      <c r="BJ503" s="44"/>
      <c r="BK503" s="46"/>
      <c r="BL503" s="46"/>
      <c r="BM503" s="36" t="str">
        <f aca="false">IF(ISNUMBER(Q503),IF(Q503&lt;0,"YES","no"),"")</f>
        <v>YES</v>
      </c>
      <c r="BN503" s="36" t="str">
        <f aca="false">IFERROR(IF(AND(ISNUMBER(K503),ISNUMBER(INDEX('Lift Inputs'!$H:$H,MATCH(C503,'Lift Inputs'!$C:$C,0)))),IF(K503&lt;INDEX('Lift Inputs'!$H:$H,MATCH(C503,'Lift Inputs'!$C:$C,0)),"YES","no"),""),"")</f>
        <v/>
      </c>
      <c r="BO503" s="44"/>
    </row>
    <row r="504" customFormat="false" ht="15" hidden="false" customHeight="false" outlineLevel="0" collapsed="false">
      <c r="A504" s="15" t="s">
        <v>110</v>
      </c>
      <c r="B504" s="15" t="s">
        <v>134</v>
      </c>
      <c r="C504" s="15" t="n">
        <v>42</v>
      </c>
      <c r="D504" s="15" t="s">
        <v>229</v>
      </c>
      <c r="E504" s="15" t="n">
        <v>1837</v>
      </c>
      <c r="F504" s="15" t="s">
        <v>866</v>
      </c>
      <c r="G504" s="15" t="s">
        <v>990</v>
      </c>
      <c r="H504" s="15" t="s">
        <v>991</v>
      </c>
      <c r="I504" s="15" t="s">
        <v>973</v>
      </c>
      <c r="J504" s="15" t="s">
        <v>177</v>
      </c>
      <c r="K504" s="35" t="n">
        <v>39.98</v>
      </c>
      <c r="L504" s="35" t="n">
        <v>44.89</v>
      </c>
      <c r="M504" s="23" t="n">
        <f aca="false">IF(AND(ISNUMBER(L504),ISNUMBER(K504),K504&gt;0),L504/K504-1,"")</f>
        <v>0.122811405702852</v>
      </c>
      <c r="N504" s="36" t="str">
        <f aca="false">IF(M504="","No List Price",IF(M504&lt;=0,"At/below price",IF(M504&lt;=0.12,"&lt;=12% (STR zone)",IF(M504&lt;=0.25,"12-25%","&gt;25% (likely ignored)"))))</f>
        <v>12-25%</v>
      </c>
      <c r="O504" s="15"/>
      <c r="P504" s="35" t="n">
        <v>67.49</v>
      </c>
      <c r="Q504" s="22" t="n">
        <f aca="false">IF(AND(ISNUMBER(K504),ISNUMBER(P504),N(P504)&gt;0),K504/P504-1,"")</f>
        <v>-0.407615943102682</v>
      </c>
      <c r="R504" s="15" t="s">
        <v>353</v>
      </c>
      <c r="S504" s="37" t="n">
        <v>90652</v>
      </c>
      <c r="T504" s="37" t="n">
        <v>35</v>
      </c>
      <c r="U504" s="38" t="n">
        <f aca="false">IF(AND(ISNUMBER(K504),ISNUMBER(T504)),K504*T504*52/12,"")</f>
        <v>6063.63333333333</v>
      </c>
      <c r="V504" s="15" t="n">
        <v>4.2</v>
      </c>
      <c r="W504" s="37" t="n">
        <v>1487</v>
      </c>
      <c r="X504" s="39" t="n">
        <v>46307</v>
      </c>
      <c r="Y504" s="15"/>
      <c r="Z504" s="40"/>
      <c r="AA504" s="41" t="str">
        <f aca="false">IF(ISNUMBER(Z504),(DATE(2026,10,13)-Z504)/365,"")</f>
        <v/>
      </c>
      <c r="AB504" s="37"/>
      <c r="AC504" s="15"/>
      <c r="AD504" s="15"/>
      <c r="AE504" s="15"/>
      <c r="AF504" s="42"/>
      <c r="AG504" s="42"/>
      <c r="AH504" s="15"/>
      <c r="AI504" s="37" t="n">
        <v>25258</v>
      </c>
      <c r="AJ504" s="37" t="n">
        <v>577</v>
      </c>
      <c r="AK504" s="15"/>
      <c r="AL504" s="43"/>
      <c r="AM504" s="43"/>
      <c r="AN504" s="25" t="str">
        <f aca="false">IF(AND(ISNUMBER(AM504),ISNUMBER(AL504),AL504&gt;=5),AM504/AL504,"")</f>
        <v/>
      </c>
      <c r="AO504" s="43"/>
      <c r="AP504" s="43"/>
      <c r="AQ504" s="25" t="str">
        <f aca="false">IF(AND(ISNUMBER(AP504),ISNUMBER(AO504),AO504&gt;=5),AP504/AO504,"")</f>
        <v/>
      </c>
      <c r="AR504" s="43"/>
      <c r="AS504" s="43"/>
      <c r="AT504" s="22" t="str">
        <f aca="false">IF(AND(ISNUMBER(AS504),ISNUMBER(AR504),AR504&gt;0),AS504/AR504-1,"")</f>
        <v/>
      </c>
      <c r="AU504" s="44"/>
      <c r="AV504" s="44"/>
      <c r="AW504" s="44"/>
      <c r="AX504" s="44"/>
      <c r="AY504" s="44"/>
      <c r="AZ504" s="45"/>
      <c r="BA504" s="45"/>
      <c r="BB504" s="46"/>
      <c r="BC504" s="46"/>
      <c r="BD504" s="23" t="str">
        <f aca="false">IF(AND(ISNUMBER(BB504),ISNUMBER(BC504),BB504&gt;0),1-BC504/BB504,"")</f>
        <v/>
      </c>
      <c r="BE504" s="47"/>
      <c r="BF504" s="48"/>
      <c r="BG504" s="48"/>
      <c r="BH504" s="27" t="str">
        <f aca="false">IF(AND(ISNUMBER(BF504),ISNUMBER(BG504),BG504&gt;0),BF504/BG504,"")</f>
        <v/>
      </c>
      <c r="BI504" s="48"/>
      <c r="BJ504" s="44"/>
      <c r="BK504" s="46"/>
      <c r="BL504" s="46"/>
      <c r="BM504" s="36" t="str">
        <f aca="false">IF(ISNUMBER(Q504),IF(Q504&lt;0,"YES","no"),"")</f>
        <v>YES</v>
      </c>
      <c r="BN504" s="36" t="str">
        <f aca="false">IFERROR(IF(AND(ISNUMBER(K504),ISNUMBER(INDEX('Lift Inputs'!$H:$H,MATCH(C504,'Lift Inputs'!$C:$C,0)))),IF(K504&lt;INDEX('Lift Inputs'!$H:$H,MATCH(C504,'Lift Inputs'!$C:$C,0)),"YES","no"),""),"")</f>
        <v/>
      </c>
      <c r="BO504" s="44"/>
    </row>
    <row r="505" customFormat="false" ht="15" hidden="false" customHeight="false" outlineLevel="0" collapsed="false">
      <c r="A505" s="15" t="s">
        <v>110</v>
      </c>
      <c r="B505" s="15" t="s">
        <v>134</v>
      </c>
      <c r="C505" s="15" t="n">
        <v>42</v>
      </c>
      <c r="D505" s="15" t="s">
        <v>229</v>
      </c>
      <c r="E505" s="15" t="n">
        <v>610</v>
      </c>
      <c r="F505" s="15" t="s">
        <v>992</v>
      </c>
      <c r="G505" s="15" t="s">
        <v>993</v>
      </c>
      <c r="H505" s="15" t="s">
        <v>994</v>
      </c>
      <c r="I505" s="15" t="s">
        <v>973</v>
      </c>
      <c r="J505" s="15" t="s">
        <v>177</v>
      </c>
      <c r="K505" s="35" t="n">
        <v>59.99</v>
      </c>
      <c r="L505" s="35"/>
      <c r="M505" s="23" t="str">
        <f aca="false">IF(AND(ISNUMBER(L505),ISNUMBER(K505),K505&gt;0),L505/K505-1,"")</f>
        <v/>
      </c>
      <c r="N505" s="36" t="str">
        <f aca="false">IF(M505="","No List Price",IF(M505&lt;=0,"At/below price",IF(M505&lt;=0.12,"&lt;=12% (STR zone)",IF(M505&lt;=0.25,"12-25%","&gt;25% (likely ignored)"))))</f>
        <v>No List Price</v>
      </c>
      <c r="O505" s="15"/>
      <c r="P505" s="35" t="n">
        <v>67.49</v>
      </c>
      <c r="Q505" s="22" t="n">
        <f aca="false">IF(AND(ISNUMBER(K505),ISNUMBER(P505),N(P505)&gt;0),K505/P505-1,"")</f>
        <v>-0.111127574455475</v>
      </c>
      <c r="R505" s="15" t="s">
        <v>353</v>
      </c>
      <c r="S505" s="37" t="n">
        <v>74902</v>
      </c>
      <c r="T505" s="37" t="n">
        <v>35</v>
      </c>
      <c r="U505" s="38" t="n">
        <f aca="false">IF(AND(ISNUMBER(K505),ISNUMBER(T505)),K505*T505*52/12,"")</f>
        <v>9098.48333333333</v>
      </c>
      <c r="V505" s="15" t="n">
        <v>4.4</v>
      </c>
      <c r="W505" s="37" t="n">
        <v>655</v>
      </c>
      <c r="X505" s="39" t="n">
        <v>46307</v>
      </c>
      <c r="Y505" s="15"/>
      <c r="Z505" s="40"/>
      <c r="AA505" s="41" t="str">
        <f aca="false">IF(ISNUMBER(Z505),(DATE(2026,10,13)-Z505)/365,"")</f>
        <v/>
      </c>
      <c r="AB505" s="37"/>
      <c r="AC505" s="15"/>
      <c r="AD505" s="15"/>
      <c r="AE505" s="15"/>
      <c r="AF505" s="42"/>
      <c r="AG505" s="42"/>
      <c r="AH505" s="15"/>
      <c r="AI505" s="37" t="n">
        <v>69715</v>
      </c>
      <c r="AJ505" s="37" t="n">
        <v>1511</v>
      </c>
      <c r="AK505" s="15" t="s">
        <v>531</v>
      </c>
      <c r="AL505" s="43" t="n">
        <v>467.6</v>
      </c>
      <c r="AM505" s="43" t="n">
        <v>680.2</v>
      </c>
      <c r="AN505" s="25" t="n">
        <f aca="false">IF(AND(ISNUMBER(AM505),ISNUMBER(AL505),AL505&gt;=5),AM505/AL505,"")</f>
        <v>1.4546621043627</v>
      </c>
      <c r="AO505" s="43" t="n">
        <v>114</v>
      </c>
      <c r="AP505" s="43" t="n">
        <v>360</v>
      </c>
      <c r="AQ505" s="25" t="n">
        <f aca="false">IF(AND(ISNUMBER(AP505),ISNUMBER(AO505),AO505&gt;=5),AP505/AO505,"")</f>
        <v>3.15789473684211</v>
      </c>
      <c r="AR505" s="43" t="n">
        <v>290.1</v>
      </c>
      <c r="AS505" s="43" t="n">
        <v>277.2</v>
      </c>
      <c r="AT505" s="22" t="n">
        <f aca="false">IF(AND(ISNUMBER(AS505),ISNUMBER(AR505),AR505&gt;0),AS505/AR505-1,"")</f>
        <v>-0.0444674250258532</v>
      </c>
      <c r="AU505" s="44"/>
      <c r="AV505" s="44"/>
      <c r="AW505" s="44"/>
      <c r="AX505" s="44"/>
      <c r="AY505" s="44"/>
      <c r="AZ505" s="45"/>
      <c r="BA505" s="45"/>
      <c r="BB505" s="46"/>
      <c r="BC505" s="46"/>
      <c r="BD505" s="23" t="str">
        <f aca="false">IF(AND(ISNUMBER(BB505),ISNUMBER(BC505),BB505&gt;0),1-BC505/BB505,"")</f>
        <v/>
      </c>
      <c r="BE505" s="47"/>
      <c r="BF505" s="48"/>
      <c r="BG505" s="48"/>
      <c r="BH505" s="27" t="str">
        <f aca="false">IF(AND(ISNUMBER(BF505),ISNUMBER(BG505),BG505&gt;0),BF505/BG505,"")</f>
        <v/>
      </c>
      <c r="BI505" s="48"/>
      <c r="BJ505" s="44"/>
      <c r="BK505" s="46"/>
      <c r="BL505" s="46"/>
      <c r="BM505" s="36" t="str">
        <f aca="false">IF(ISNUMBER(Q505),IF(Q505&lt;0,"YES","no"),"")</f>
        <v>YES</v>
      </c>
      <c r="BN505" s="36" t="str">
        <f aca="false">IFERROR(IF(AND(ISNUMBER(K505),ISNUMBER(INDEX('Lift Inputs'!$H:$H,MATCH(C505,'Lift Inputs'!$C:$C,0)))),IF(K505&lt;INDEX('Lift Inputs'!$H:$H,MATCH(C505,'Lift Inputs'!$C:$C,0)),"YES","no"),""),"")</f>
        <v/>
      </c>
      <c r="BO505" s="44"/>
    </row>
    <row r="506" customFormat="false" ht="15" hidden="false" customHeight="false" outlineLevel="0" collapsed="false">
      <c r="A506" s="15" t="s">
        <v>110</v>
      </c>
      <c r="B506" s="15" t="s">
        <v>134</v>
      </c>
      <c r="C506" s="15" t="n">
        <v>42</v>
      </c>
      <c r="D506" s="15" t="s">
        <v>229</v>
      </c>
      <c r="E506" s="15" t="n">
        <v>609</v>
      </c>
      <c r="F506" s="15" t="s">
        <v>995</v>
      </c>
      <c r="G506" s="15" t="s">
        <v>996</v>
      </c>
      <c r="H506" s="15" t="s">
        <v>997</v>
      </c>
      <c r="I506" s="15" t="s">
        <v>973</v>
      </c>
      <c r="J506" s="15" t="s">
        <v>177</v>
      </c>
      <c r="K506" s="35" t="n">
        <v>51.43</v>
      </c>
      <c r="L506" s="35"/>
      <c r="M506" s="23" t="str">
        <f aca="false">IF(AND(ISNUMBER(L506),ISNUMBER(K506),K506&gt;0),L506/K506-1,"")</f>
        <v/>
      </c>
      <c r="N506" s="36" t="str">
        <f aca="false">IF(M506="","No List Price",IF(M506&lt;=0,"At/below price",IF(M506&lt;=0.12,"&lt;=12% (STR zone)",IF(M506&lt;=0.25,"12-25%","&gt;25% (likely ignored)"))))</f>
        <v>No List Price</v>
      </c>
      <c r="O506" s="15"/>
      <c r="P506" s="35" t="n">
        <v>67.49</v>
      </c>
      <c r="Q506" s="22" t="n">
        <f aca="false">IF(AND(ISNUMBER(K506),ISNUMBER(P506),N(P506)&gt;0),K506/P506-1,"")</f>
        <v>-0.23796117943399</v>
      </c>
      <c r="R506" s="15" t="s">
        <v>353</v>
      </c>
      <c r="S506" s="37" t="n">
        <v>28045</v>
      </c>
      <c r="T506" s="37" t="n">
        <v>35</v>
      </c>
      <c r="U506" s="38" t="n">
        <f aca="false">IF(AND(ISNUMBER(K506),ISNUMBER(T506)),K506*T506*52/12,"")</f>
        <v>7800.21666666667</v>
      </c>
      <c r="V506" s="15" t="n">
        <v>4.4</v>
      </c>
      <c r="W506" s="37" t="n">
        <v>888</v>
      </c>
      <c r="X506" s="39" t="n">
        <v>46307</v>
      </c>
      <c r="Y506" s="15"/>
      <c r="Z506" s="40"/>
      <c r="AA506" s="41" t="str">
        <f aca="false">IF(ISNUMBER(Z506),(DATE(2026,10,13)-Z506)/365,"")</f>
        <v/>
      </c>
      <c r="AB506" s="37"/>
      <c r="AC506" s="15"/>
      <c r="AD506" s="15"/>
      <c r="AE506" s="15"/>
      <c r="AF506" s="42"/>
      <c r="AG506" s="42"/>
      <c r="AH506" s="15"/>
      <c r="AI506" s="37" t="n">
        <v>149817</v>
      </c>
      <c r="AJ506" s="37" t="n">
        <v>1397</v>
      </c>
      <c r="AK506" s="15"/>
      <c r="AL506" s="43"/>
      <c r="AM506" s="43"/>
      <c r="AN506" s="25" t="str">
        <f aca="false">IF(AND(ISNUMBER(AM506),ISNUMBER(AL506),AL506&gt;=5),AM506/AL506,"")</f>
        <v/>
      </c>
      <c r="AO506" s="43"/>
      <c r="AP506" s="43"/>
      <c r="AQ506" s="25" t="str">
        <f aca="false">IF(AND(ISNUMBER(AP506),ISNUMBER(AO506),AO506&gt;=5),AP506/AO506,"")</f>
        <v/>
      </c>
      <c r="AR506" s="43"/>
      <c r="AS506" s="43"/>
      <c r="AT506" s="22" t="str">
        <f aca="false">IF(AND(ISNUMBER(AS506),ISNUMBER(AR506),AR506&gt;0),AS506/AR506-1,"")</f>
        <v/>
      </c>
      <c r="AU506" s="44"/>
      <c r="AV506" s="44"/>
      <c r="AW506" s="44"/>
      <c r="AX506" s="44"/>
      <c r="AY506" s="44"/>
      <c r="AZ506" s="45"/>
      <c r="BA506" s="45"/>
      <c r="BB506" s="46"/>
      <c r="BC506" s="46"/>
      <c r="BD506" s="23" t="str">
        <f aca="false">IF(AND(ISNUMBER(BB506),ISNUMBER(BC506),BB506&gt;0),1-BC506/BB506,"")</f>
        <v/>
      </c>
      <c r="BE506" s="47"/>
      <c r="BF506" s="48"/>
      <c r="BG506" s="48"/>
      <c r="BH506" s="27" t="str">
        <f aca="false">IF(AND(ISNUMBER(BF506),ISNUMBER(BG506),BG506&gt;0),BF506/BG506,"")</f>
        <v/>
      </c>
      <c r="BI506" s="48"/>
      <c r="BJ506" s="44"/>
      <c r="BK506" s="46"/>
      <c r="BL506" s="46"/>
      <c r="BM506" s="36" t="str">
        <f aca="false">IF(ISNUMBER(Q506),IF(Q506&lt;0,"YES","no"),"")</f>
        <v>YES</v>
      </c>
      <c r="BN506" s="36" t="str">
        <f aca="false">IFERROR(IF(AND(ISNUMBER(K506),ISNUMBER(INDEX('Lift Inputs'!$H:$H,MATCH(C506,'Lift Inputs'!$C:$C,0)))),IF(K506&lt;INDEX('Lift Inputs'!$H:$H,MATCH(C506,'Lift Inputs'!$C:$C,0)),"YES","no"),""),"")</f>
        <v/>
      </c>
      <c r="BO506" s="44"/>
    </row>
    <row r="507" customFormat="false" ht="15" hidden="false" customHeight="false" outlineLevel="0" collapsed="false">
      <c r="A507" s="15" t="s">
        <v>110</v>
      </c>
      <c r="B507" s="15" t="s">
        <v>134</v>
      </c>
      <c r="C507" s="15" t="n">
        <v>42</v>
      </c>
      <c r="D507" s="15" t="s">
        <v>229</v>
      </c>
      <c r="E507" s="15" t="n">
        <v>14</v>
      </c>
      <c r="F507" s="15" t="s">
        <v>855</v>
      </c>
      <c r="G507" s="15" t="s">
        <v>998</v>
      </c>
      <c r="H507" s="15" t="s">
        <v>999</v>
      </c>
      <c r="I507" s="15" t="s">
        <v>973</v>
      </c>
      <c r="J507" s="15" t="s">
        <v>177</v>
      </c>
      <c r="K507" s="35" t="n">
        <v>149.99</v>
      </c>
      <c r="L507" s="35"/>
      <c r="M507" s="23" t="str">
        <f aca="false">IF(AND(ISNUMBER(L507),ISNUMBER(K507),K507&gt;0),L507/K507-1,"")</f>
        <v/>
      </c>
      <c r="N507" s="36" t="str">
        <f aca="false">IF(M507="","No List Price",IF(M507&lt;=0,"At/below price",IF(M507&lt;=0.12,"&lt;=12% (STR zone)",IF(M507&lt;=0.25,"12-25%","&gt;25% (likely ignored)"))))</f>
        <v>No List Price</v>
      </c>
      <c r="O507" s="15"/>
      <c r="P507" s="35" t="n">
        <v>67.49</v>
      </c>
      <c r="Q507" s="22" t="n">
        <f aca="false">IF(AND(ISNUMBER(K507),ISNUMBER(P507),N(P507)&gt;0),K507/P507-1,"")</f>
        <v>1.22240331901022</v>
      </c>
      <c r="R507" s="15" t="s">
        <v>353</v>
      </c>
      <c r="S507" s="37" t="n">
        <v>110181</v>
      </c>
      <c r="T507" s="37" t="n">
        <v>18</v>
      </c>
      <c r="U507" s="38" t="n">
        <f aca="false">IF(AND(ISNUMBER(K507),ISNUMBER(T507)),K507*T507*52/12,"")</f>
        <v>11699.22</v>
      </c>
      <c r="V507" s="15" t="n">
        <v>4.4</v>
      </c>
      <c r="W507" s="37" t="n">
        <v>343</v>
      </c>
      <c r="X507" s="39" t="n">
        <v>46307</v>
      </c>
      <c r="Y507" s="15"/>
      <c r="Z507" s="40"/>
      <c r="AA507" s="41" t="str">
        <f aca="false">IF(ISNUMBER(Z507),(DATE(2026,10,13)-Z507)/365,"")</f>
        <v/>
      </c>
      <c r="AB507" s="37"/>
      <c r="AC507" s="15"/>
      <c r="AD507" s="15"/>
      <c r="AE507" s="15"/>
      <c r="AF507" s="42"/>
      <c r="AG507" s="42"/>
      <c r="AH507" s="15"/>
      <c r="AI507" s="37" t="n">
        <v>87874</v>
      </c>
      <c r="AJ507" s="37" t="n">
        <v>3067</v>
      </c>
      <c r="AK507" s="15" t="s">
        <v>315</v>
      </c>
      <c r="AL507" s="43" t="n">
        <v>70.7</v>
      </c>
      <c r="AM507" s="43" t="n">
        <v>94.5</v>
      </c>
      <c r="AN507" s="25" t="n">
        <f aca="false">IF(AND(ISNUMBER(AM507),ISNUMBER(AL507),AL507&gt;=5),AM507/AL507,"")</f>
        <v>1.33663366336634</v>
      </c>
      <c r="AO507" s="43" t="n">
        <v>139.8</v>
      </c>
      <c r="AP507" s="43" t="n">
        <v>77.2</v>
      </c>
      <c r="AQ507" s="25" t="n">
        <f aca="false">IF(AND(ISNUMBER(AP507),ISNUMBER(AO507),AO507&gt;=5),AP507/AO507,"")</f>
        <v>0.552217453505007</v>
      </c>
      <c r="AR507" s="43" t="n">
        <v>85.9</v>
      </c>
      <c r="AS507" s="43" t="n">
        <v>69.8</v>
      </c>
      <c r="AT507" s="22" t="n">
        <f aca="false">IF(AND(ISNUMBER(AS507),ISNUMBER(AR507),AR507&gt;0),AS507/AR507-1,"")</f>
        <v>-0.187427240977881</v>
      </c>
      <c r="AU507" s="44"/>
      <c r="AV507" s="44"/>
      <c r="AW507" s="44"/>
      <c r="AX507" s="44"/>
      <c r="AY507" s="44"/>
      <c r="AZ507" s="45"/>
      <c r="BA507" s="45"/>
      <c r="BB507" s="46"/>
      <c r="BC507" s="46"/>
      <c r="BD507" s="23" t="str">
        <f aca="false">IF(AND(ISNUMBER(BB507),ISNUMBER(BC507),BB507&gt;0),1-BC507/BB507,"")</f>
        <v/>
      </c>
      <c r="BE507" s="47"/>
      <c r="BF507" s="48"/>
      <c r="BG507" s="48"/>
      <c r="BH507" s="27" t="str">
        <f aca="false">IF(AND(ISNUMBER(BF507),ISNUMBER(BG507),BG507&gt;0),BF507/BG507,"")</f>
        <v/>
      </c>
      <c r="BI507" s="48"/>
      <c r="BJ507" s="44"/>
      <c r="BK507" s="46"/>
      <c r="BL507" s="46"/>
      <c r="BM507" s="36" t="str">
        <f aca="false">IF(ISNUMBER(Q507),IF(Q507&lt;0,"YES","no"),"")</f>
        <v>no</v>
      </c>
      <c r="BN507" s="36" t="str">
        <f aca="false">IFERROR(IF(AND(ISNUMBER(K507),ISNUMBER(INDEX('Lift Inputs'!$H:$H,MATCH(C507,'Lift Inputs'!$C:$C,0)))),IF(K507&lt;INDEX('Lift Inputs'!$H:$H,MATCH(C507,'Lift Inputs'!$C:$C,0)),"YES","no"),""),"")</f>
        <v/>
      </c>
      <c r="BO507" s="44"/>
    </row>
    <row r="508" customFormat="false" ht="15" hidden="false" customHeight="false" outlineLevel="0" collapsed="false">
      <c r="A508" s="15" t="s">
        <v>110</v>
      </c>
      <c r="B508" s="15" t="s">
        <v>134</v>
      </c>
      <c r="C508" s="15" t="n">
        <v>42</v>
      </c>
      <c r="D508" s="15" t="s">
        <v>229</v>
      </c>
      <c r="E508" s="15" t="n">
        <v>1838</v>
      </c>
      <c r="F508" s="15" t="s">
        <v>307</v>
      </c>
      <c r="G508" s="15" t="s">
        <v>1000</v>
      </c>
      <c r="H508" s="15" t="s">
        <v>1001</v>
      </c>
      <c r="I508" s="15" t="s">
        <v>973</v>
      </c>
      <c r="J508" s="15" t="s">
        <v>177</v>
      </c>
      <c r="K508" s="35" t="n">
        <v>59.99</v>
      </c>
      <c r="L508" s="35"/>
      <c r="M508" s="23" t="str">
        <f aca="false">IF(AND(ISNUMBER(L508),ISNUMBER(K508),K508&gt;0),L508/K508-1,"")</f>
        <v/>
      </c>
      <c r="N508" s="36" t="str">
        <f aca="false">IF(M508="","No List Price",IF(M508&lt;=0,"At/below price",IF(M508&lt;=0.12,"&lt;=12% (STR zone)",IF(M508&lt;=0.25,"12-25%","&gt;25% (likely ignored)"))))</f>
        <v>No List Price</v>
      </c>
      <c r="O508" s="15"/>
      <c r="P508" s="35" t="n">
        <v>67.49</v>
      </c>
      <c r="Q508" s="22" t="n">
        <f aca="false">IF(AND(ISNUMBER(K508),ISNUMBER(P508),N(P508)&gt;0),K508/P508-1,"")</f>
        <v>-0.111127574455475</v>
      </c>
      <c r="R508" s="15" t="s">
        <v>353</v>
      </c>
      <c r="S508" s="37" t="n">
        <v>225567</v>
      </c>
      <c r="T508" s="37" t="n">
        <v>5</v>
      </c>
      <c r="U508" s="38" t="n">
        <f aca="false">IF(AND(ISNUMBER(K508),ISNUMBER(T508)),K508*T508*52/12,"")</f>
        <v>1299.78333333333</v>
      </c>
      <c r="V508" s="15" t="n">
        <v>4.4</v>
      </c>
      <c r="W508" s="37" t="n">
        <v>282</v>
      </c>
      <c r="X508" s="39" t="n">
        <v>46307</v>
      </c>
      <c r="Y508" s="15"/>
      <c r="Z508" s="40"/>
      <c r="AA508" s="41" t="str">
        <f aca="false">IF(ISNUMBER(Z508),(DATE(2026,10,13)-Z508)/365,"")</f>
        <v/>
      </c>
      <c r="AB508" s="37"/>
      <c r="AC508" s="15"/>
      <c r="AD508" s="15"/>
      <c r="AE508" s="15"/>
      <c r="AF508" s="42"/>
      <c r="AG508" s="42"/>
      <c r="AH508" s="15"/>
      <c r="AI508" s="37" t="n">
        <v>18504</v>
      </c>
      <c r="AJ508" s="37" t="n">
        <v>357</v>
      </c>
      <c r="AK508" s="15"/>
      <c r="AL508" s="43"/>
      <c r="AM508" s="43"/>
      <c r="AN508" s="25" t="str">
        <f aca="false">IF(AND(ISNUMBER(AM508),ISNUMBER(AL508),AL508&gt;=5),AM508/AL508,"")</f>
        <v/>
      </c>
      <c r="AO508" s="43"/>
      <c r="AP508" s="43"/>
      <c r="AQ508" s="25" t="str">
        <f aca="false">IF(AND(ISNUMBER(AP508),ISNUMBER(AO508),AO508&gt;=5),AP508/AO508,"")</f>
        <v/>
      </c>
      <c r="AR508" s="43"/>
      <c r="AS508" s="43"/>
      <c r="AT508" s="22" t="str">
        <f aca="false">IF(AND(ISNUMBER(AS508),ISNUMBER(AR508),AR508&gt;0),AS508/AR508-1,"")</f>
        <v/>
      </c>
      <c r="AU508" s="44"/>
      <c r="AV508" s="44"/>
      <c r="AW508" s="44"/>
      <c r="AX508" s="44"/>
      <c r="AY508" s="44"/>
      <c r="AZ508" s="45"/>
      <c r="BA508" s="45"/>
      <c r="BB508" s="46"/>
      <c r="BC508" s="46"/>
      <c r="BD508" s="23" t="str">
        <f aca="false">IF(AND(ISNUMBER(BB508),ISNUMBER(BC508),BB508&gt;0),1-BC508/BB508,"")</f>
        <v/>
      </c>
      <c r="BE508" s="47"/>
      <c r="BF508" s="48"/>
      <c r="BG508" s="48"/>
      <c r="BH508" s="27" t="str">
        <f aca="false">IF(AND(ISNUMBER(BF508),ISNUMBER(BG508),BG508&gt;0),BF508/BG508,"")</f>
        <v/>
      </c>
      <c r="BI508" s="48"/>
      <c r="BJ508" s="44"/>
      <c r="BK508" s="46"/>
      <c r="BL508" s="46"/>
      <c r="BM508" s="36" t="str">
        <f aca="false">IF(ISNUMBER(Q508),IF(Q508&lt;0,"YES","no"),"")</f>
        <v>YES</v>
      </c>
      <c r="BN508" s="36" t="str">
        <f aca="false">IFERROR(IF(AND(ISNUMBER(K508),ISNUMBER(INDEX('Lift Inputs'!$H:$H,MATCH(C508,'Lift Inputs'!$C:$C,0)))),IF(K508&lt;INDEX('Lift Inputs'!$H:$H,MATCH(C508,'Lift Inputs'!$C:$C,0)),"YES","no"),""),"")</f>
        <v/>
      </c>
      <c r="BO508" s="44"/>
    </row>
    <row r="509" customFormat="false" ht="15" hidden="false" customHeight="false" outlineLevel="0" collapsed="false">
      <c r="A509" s="15" t="s">
        <v>110</v>
      </c>
      <c r="B509" s="15" t="s">
        <v>134</v>
      </c>
      <c r="C509" s="15" t="n">
        <v>42</v>
      </c>
      <c r="D509" s="15" t="s">
        <v>229</v>
      </c>
      <c r="E509" s="15" t="n">
        <v>15</v>
      </c>
      <c r="F509" s="15" t="s">
        <v>1002</v>
      </c>
      <c r="G509" s="15" t="s">
        <v>1003</v>
      </c>
      <c r="H509" s="15" t="s">
        <v>1004</v>
      </c>
      <c r="I509" s="15" t="s">
        <v>978</v>
      </c>
      <c r="J509" s="15" t="s">
        <v>177</v>
      </c>
      <c r="K509" s="35" t="n">
        <v>44.99</v>
      </c>
      <c r="L509" s="35"/>
      <c r="M509" s="23" t="str">
        <f aca="false">IF(AND(ISNUMBER(L509),ISNUMBER(K509),K509&gt;0),L509/K509-1,"")</f>
        <v/>
      </c>
      <c r="N509" s="36" t="str">
        <f aca="false">IF(M509="","No List Price",IF(M509&lt;=0,"At/below price",IF(M509&lt;=0.12,"&lt;=12% (STR zone)",IF(M509&lt;=0.25,"12-25%","&gt;25% (likely ignored)"))))</f>
        <v>No List Price</v>
      </c>
      <c r="O509" s="15"/>
      <c r="P509" s="35" t="n">
        <v>67.49</v>
      </c>
      <c r="Q509" s="22" t="n">
        <f aca="false">IF(AND(ISNUMBER(K509),ISNUMBER(P509),N(P509)&gt;0),K509/P509-1,"")</f>
        <v>-0.333382723366425</v>
      </c>
      <c r="R509" s="15" t="s">
        <v>353</v>
      </c>
      <c r="S509" s="37" t="n">
        <v>2319142</v>
      </c>
      <c r="T509" s="37" t="n">
        <v>5</v>
      </c>
      <c r="U509" s="38" t="n">
        <f aca="false">IF(AND(ISNUMBER(K509),ISNUMBER(T509)),K509*T509*52/12,"")</f>
        <v>974.783333333333</v>
      </c>
      <c r="V509" s="15" t="n">
        <v>4.5</v>
      </c>
      <c r="W509" s="37" t="n">
        <v>12</v>
      </c>
      <c r="X509" s="39" t="n">
        <v>46307</v>
      </c>
      <c r="Y509" s="15"/>
      <c r="Z509" s="40"/>
      <c r="AA509" s="41" t="str">
        <f aca="false">IF(ISNUMBER(Z509),(DATE(2026,10,13)-Z509)/365,"")</f>
        <v/>
      </c>
      <c r="AB509" s="37"/>
      <c r="AC509" s="15"/>
      <c r="AD509" s="15"/>
      <c r="AE509" s="15"/>
      <c r="AF509" s="42"/>
      <c r="AG509" s="42"/>
      <c r="AH509" s="15"/>
      <c r="AI509" s="37" t="n">
        <v>178117</v>
      </c>
      <c r="AJ509" s="37" t="n">
        <v>2017</v>
      </c>
      <c r="AK509" s="15"/>
      <c r="AL509" s="43"/>
      <c r="AM509" s="43"/>
      <c r="AN509" s="25" t="str">
        <f aca="false">IF(AND(ISNUMBER(AM509),ISNUMBER(AL509),AL509&gt;=5),AM509/AL509,"")</f>
        <v/>
      </c>
      <c r="AO509" s="43"/>
      <c r="AP509" s="43"/>
      <c r="AQ509" s="25" t="str">
        <f aca="false">IF(AND(ISNUMBER(AP509),ISNUMBER(AO509),AO509&gt;=5),AP509/AO509,"")</f>
        <v/>
      </c>
      <c r="AR509" s="43"/>
      <c r="AS509" s="43"/>
      <c r="AT509" s="22" t="str">
        <f aca="false">IF(AND(ISNUMBER(AS509),ISNUMBER(AR509),AR509&gt;0),AS509/AR509-1,"")</f>
        <v/>
      </c>
      <c r="AU509" s="44"/>
      <c r="AV509" s="44"/>
      <c r="AW509" s="44"/>
      <c r="AX509" s="44"/>
      <c r="AY509" s="44"/>
      <c r="AZ509" s="45"/>
      <c r="BA509" s="45"/>
      <c r="BB509" s="46"/>
      <c r="BC509" s="46"/>
      <c r="BD509" s="23" t="str">
        <f aca="false">IF(AND(ISNUMBER(BB509),ISNUMBER(BC509),BB509&gt;0),1-BC509/BB509,"")</f>
        <v/>
      </c>
      <c r="BE509" s="47"/>
      <c r="BF509" s="48"/>
      <c r="BG509" s="48"/>
      <c r="BH509" s="27" t="str">
        <f aca="false">IF(AND(ISNUMBER(BF509),ISNUMBER(BG509),BG509&gt;0),BF509/BG509,"")</f>
        <v/>
      </c>
      <c r="BI509" s="48"/>
      <c r="BJ509" s="44"/>
      <c r="BK509" s="46"/>
      <c r="BL509" s="46"/>
      <c r="BM509" s="36" t="str">
        <f aca="false">IF(ISNUMBER(Q509),IF(Q509&lt;0,"YES","no"),"")</f>
        <v>YES</v>
      </c>
      <c r="BN509" s="36" t="str">
        <f aca="false">IFERROR(IF(AND(ISNUMBER(K509),ISNUMBER(INDEX('Lift Inputs'!$H:$H,MATCH(C509,'Lift Inputs'!$C:$C,0)))),IF(K509&lt;INDEX('Lift Inputs'!$H:$H,MATCH(C509,'Lift Inputs'!$C:$C,0)),"YES","no"),""),"")</f>
        <v/>
      </c>
      <c r="BO509" s="44"/>
    </row>
    <row r="510" customFormat="false" ht="15" hidden="false" customHeight="false" outlineLevel="0" collapsed="false">
      <c r="A510" s="15" t="s">
        <v>110</v>
      </c>
      <c r="B510" s="15" t="s">
        <v>134</v>
      </c>
      <c r="C510" s="15" t="n">
        <v>42</v>
      </c>
      <c r="D510" s="15" t="s">
        <v>229</v>
      </c>
      <c r="E510" s="15" t="n">
        <v>605</v>
      </c>
      <c r="F510" s="15" t="s">
        <v>307</v>
      </c>
      <c r="G510" s="15" t="s">
        <v>1005</v>
      </c>
      <c r="H510" s="15" t="s">
        <v>1006</v>
      </c>
      <c r="I510" s="15" t="s">
        <v>973</v>
      </c>
      <c r="J510" s="15"/>
      <c r="K510" s="35" t="n">
        <v>39.99</v>
      </c>
      <c r="L510" s="35"/>
      <c r="M510" s="23" t="str">
        <f aca="false">IF(AND(ISNUMBER(L510),ISNUMBER(K510),K510&gt;0),L510/K510-1,"")</f>
        <v/>
      </c>
      <c r="N510" s="36" t="str">
        <f aca="false">IF(M510="","No List Price",IF(M510&lt;=0,"At/below price",IF(M510&lt;=0.12,"&lt;=12% (STR zone)",IF(M510&lt;=0.25,"12-25%","&gt;25% (likely ignored)"))))</f>
        <v>No List Price</v>
      </c>
      <c r="O510" s="15"/>
      <c r="P510" s="35" t="n">
        <v>67.49</v>
      </c>
      <c r="Q510" s="22" t="n">
        <f aca="false">IF(AND(ISNUMBER(K510),ISNUMBER(P510),N(P510)&gt;0),K510/P510-1,"")</f>
        <v>-0.407467773003408</v>
      </c>
      <c r="R510" s="15" t="s">
        <v>353</v>
      </c>
      <c r="S510" s="37" t="n">
        <v>12115</v>
      </c>
      <c r="T510" s="37" t="n">
        <v>347</v>
      </c>
      <c r="U510" s="38" t="n">
        <f aca="false">IF(AND(ISNUMBER(K510),ISNUMBER(T510)),K510*T510*52/12,"")</f>
        <v>60131.63</v>
      </c>
      <c r="V510" s="15" t="n">
        <v>4.4</v>
      </c>
      <c r="W510" s="37" t="n">
        <v>3538</v>
      </c>
      <c r="X510" s="39" t="n">
        <v>46307</v>
      </c>
      <c r="Y510" s="15"/>
      <c r="Z510" s="40"/>
      <c r="AA510" s="41" t="str">
        <f aca="false">IF(ISNUMBER(Z510),(DATE(2026,10,13)-Z510)/365,"")</f>
        <v/>
      </c>
      <c r="AB510" s="37"/>
      <c r="AC510" s="15"/>
      <c r="AD510" s="15"/>
      <c r="AE510" s="15"/>
      <c r="AF510" s="42"/>
      <c r="AG510" s="42"/>
      <c r="AH510" s="15"/>
      <c r="AI510" s="37" t="n">
        <v>643949</v>
      </c>
      <c r="AJ510" s="37" t="n">
        <v>5481</v>
      </c>
      <c r="AK510" s="15" t="s">
        <v>531</v>
      </c>
      <c r="AL510" s="43" t="n">
        <v>1195</v>
      </c>
      <c r="AM510" s="43" t="n">
        <v>1275</v>
      </c>
      <c r="AN510" s="25" t="n">
        <f aca="false">IF(AND(ISNUMBER(AM510),ISNUMBER(AL510),AL510&gt;=5),AM510/AL510,"")</f>
        <v>1.06694560669456</v>
      </c>
      <c r="AO510" s="43" t="n">
        <v>44.8</v>
      </c>
      <c r="AP510" s="43" t="n">
        <v>146.2</v>
      </c>
      <c r="AQ510" s="25" t="n">
        <f aca="false">IF(AND(ISNUMBER(AP510),ISNUMBER(AO510),AO510&gt;=5),AP510/AO510,"")</f>
        <v>3.26339285714286</v>
      </c>
      <c r="AR510" s="43" t="n">
        <v>923.2</v>
      </c>
      <c r="AS510" s="43" t="n">
        <v>1213.3</v>
      </c>
      <c r="AT510" s="22" t="n">
        <f aca="false">IF(AND(ISNUMBER(AS510),ISNUMBER(AR510),AR510&gt;0),AS510/AR510-1,"")</f>
        <v>0.314233102253033</v>
      </c>
      <c r="AU510" s="44"/>
      <c r="AV510" s="44"/>
      <c r="AW510" s="44"/>
      <c r="AX510" s="44"/>
      <c r="AY510" s="44"/>
      <c r="AZ510" s="45"/>
      <c r="BA510" s="45"/>
      <c r="BB510" s="46"/>
      <c r="BC510" s="46"/>
      <c r="BD510" s="23" t="str">
        <f aca="false">IF(AND(ISNUMBER(BB510),ISNUMBER(BC510),BB510&gt;0),1-BC510/BB510,"")</f>
        <v/>
      </c>
      <c r="BE510" s="47"/>
      <c r="BF510" s="48"/>
      <c r="BG510" s="48"/>
      <c r="BH510" s="27" t="str">
        <f aca="false">IF(AND(ISNUMBER(BF510),ISNUMBER(BG510),BG510&gt;0),BF510/BG510,"")</f>
        <v/>
      </c>
      <c r="BI510" s="48"/>
      <c r="BJ510" s="44"/>
      <c r="BK510" s="46"/>
      <c r="BL510" s="46"/>
      <c r="BM510" s="36" t="str">
        <f aca="false">IF(ISNUMBER(Q510),IF(Q510&lt;0,"YES","no"),"")</f>
        <v>YES</v>
      </c>
      <c r="BN510" s="36" t="str">
        <f aca="false">IFERROR(IF(AND(ISNUMBER(K510),ISNUMBER(INDEX('Lift Inputs'!$H:$H,MATCH(C510,'Lift Inputs'!$C:$C,0)))),IF(K510&lt;INDEX('Lift Inputs'!$H:$H,MATCH(C510,'Lift Inputs'!$C:$C,0)),"YES","no"),""),"")</f>
        <v/>
      </c>
      <c r="BO510" s="44"/>
    </row>
    <row r="511" customFormat="false" ht="15" hidden="false" customHeight="false" outlineLevel="0" collapsed="false">
      <c r="A511" s="15" t="s">
        <v>110</v>
      </c>
      <c r="B511" s="15" t="s">
        <v>134</v>
      </c>
      <c r="C511" s="15" t="n">
        <v>42</v>
      </c>
      <c r="D511" s="15" t="s">
        <v>229</v>
      </c>
      <c r="E511" s="15" t="n">
        <v>607</v>
      </c>
      <c r="F511" s="15" t="s">
        <v>864</v>
      </c>
      <c r="G511" s="15" t="s">
        <v>1007</v>
      </c>
      <c r="H511" s="15" t="s">
        <v>1008</v>
      </c>
      <c r="I511" s="15" t="s">
        <v>973</v>
      </c>
      <c r="J511" s="15"/>
      <c r="K511" s="35" t="n">
        <v>31.99</v>
      </c>
      <c r="L511" s="35" t="n">
        <v>39.99</v>
      </c>
      <c r="M511" s="23" t="n">
        <f aca="false">IF(AND(ISNUMBER(L511),ISNUMBER(K511),K511&gt;0),L511/K511-1,"")</f>
        <v>0.250078149421694</v>
      </c>
      <c r="N511" s="36" t="str">
        <f aca="false">IF(M511="","No List Price",IF(M511&lt;=0,"At/below price",IF(M511&lt;=0.12,"&lt;=12% (STR zone)",IF(M511&lt;=0.25,"12-25%","&gt;25% (likely ignored)"))))</f>
        <v>&gt;25% (likely ignored)</v>
      </c>
      <c r="O511" s="15"/>
      <c r="P511" s="35" t="n">
        <v>67.49</v>
      </c>
      <c r="Q511" s="22" t="n">
        <f aca="false">IF(AND(ISNUMBER(K511),ISNUMBER(P511),N(P511)&gt;0),K511/P511-1,"")</f>
        <v>-0.526003852422581</v>
      </c>
      <c r="R511" s="15" t="s">
        <v>353</v>
      </c>
      <c r="S511" s="37" t="n">
        <v>14419</v>
      </c>
      <c r="T511" s="37" t="n">
        <v>104</v>
      </c>
      <c r="U511" s="38" t="n">
        <f aca="false">IF(AND(ISNUMBER(K511),ISNUMBER(T511)),K511*T511*52/12,"")</f>
        <v>14416.8266666667</v>
      </c>
      <c r="V511" s="15" t="n">
        <v>4.4</v>
      </c>
      <c r="W511" s="37" t="n">
        <v>904</v>
      </c>
      <c r="X511" s="39" t="n">
        <v>46307</v>
      </c>
      <c r="Y511" s="15"/>
      <c r="Z511" s="40"/>
      <c r="AA511" s="41" t="str">
        <f aca="false">IF(ISNUMBER(Z511),(DATE(2026,10,13)-Z511)/365,"")</f>
        <v/>
      </c>
      <c r="AB511" s="37"/>
      <c r="AC511" s="15"/>
      <c r="AD511" s="15"/>
      <c r="AE511" s="15"/>
      <c r="AF511" s="42"/>
      <c r="AG511" s="42"/>
      <c r="AH511" s="15"/>
      <c r="AI511" s="37"/>
      <c r="AJ511" s="37"/>
      <c r="AK511" s="15"/>
      <c r="AL511" s="43"/>
      <c r="AM511" s="43"/>
      <c r="AN511" s="25" t="str">
        <f aca="false">IF(AND(ISNUMBER(AM511),ISNUMBER(AL511),AL511&gt;=5),AM511/AL511,"")</f>
        <v/>
      </c>
      <c r="AO511" s="43"/>
      <c r="AP511" s="43"/>
      <c r="AQ511" s="25" t="str">
        <f aca="false">IF(AND(ISNUMBER(AP511),ISNUMBER(AO511),AO511&gt;=5),AP511/AO511,"")</f>
        <v/>
      </c>
      <c r="AR511" s="43"/>
      <c r="AS511" s="43"/>
      <c r="AT511" s="22" t="str">
        <f aca="false">IF(AND(ISNUMBER(AS511),ISNUMBER(AR511),AR511&gt;0),AS511/AR511-1,"")</f>
        <v/>
      </c>
      <c r="AU511" s="44"/>
      <c r="AV511" s="44"/>
      <c r="AW511" s="44"/>
      <c r="AX511" s="44"/>
      <c r="AY511" s="44"/>
      <c r="AZ511" s="45"/>
      <c r="BA511" s="45"/>
      <c r="BB511" s="46"/>
      <c r="BC511" s="46"/>
      <c r="BD511" s="23" t="str">
        <f aca="false">IF(AND(ISNUMBER(BB511),ISNUMBER(BC511),BB511&gt;0),1-BC511/BB511,"")</f>
        <v/>
      </c>
      <c r="BE511" s="47"/>
      <c r="BF511" s="48"/>
      <c r="BG511" s="48"/>
      <c r="BH511" s="27" t="str">
        <f aca="false">IF(AND(ISNUMBER(BF511),ISNUMBER(BG511),BG511&gt;0),BF511/BG511,"")</f>
        <v/>
      </c>
      <c r="BI511" s="48"/>
      <c r="BJ511" s="44"/>
      <c r="BK511" s="46"/>
      <c r="BL511" s="46"/>
      <c r="BM511" s="36" t="str">
        <f aca="false">IF(ISNUMBER(Q511),IF(Q511&lt;0,"YES","no"),"")</f>
        <v>YES</v>
      </c>
      <c r="BN511" s="36" t="str">
        <f aca="false">IFERROR(IF(AND(ISNUMBER(K511),ISNUMBER(INDEX('Lift Inputs'!$H:$H,MATCH(C511,'Lift Inputs'!$C:$C,0)))),IF(K511&lt;INDEX('Lift Inputs'!$H:$H,MATCH(C511,'Lift Inputs'!$C:$C,0)),"YES","no"),""),"")</f>
        <v/>
      </c>
      <c r="BO511" s="44"/>
    </row>
    <row r="512" customFormat="false" ht="15" hidden="false" customHeight="false" outlineLevel="0" collapsed="false">
      <c r="A512" s="15" t="s">
        <v>110</v>
      </c>
      <c r="B512" s="15" t="s">
        <v>134</v>
      </c>
      <c r="C512" s="15" t="n">
        <v>42</v>
      </c>
      <c r="D512" s="15" t="s">
        <v>229</v>
      </c>
      <c r="E512" s="15" t="n">
        <v>20</v>
      </c>
      <c r="F512" s="15" t="s">
        <v>1009</v>
      </c>
      <c r="G512" s="15" t="s">
        <v>1010</v>
      </c>
      <c r="H512" s="15" t="s">
        <v>1011</v>
      </c>
      <c r="I512" s="15" t="s">
        <v>978</v>
      </c>
      <c r="J512" s="15"/>
      <c r="K512" s="35" t="n">
        <v>40</v>
      </c>
      <c r="L512" s="35"/>
      <c r="M512" s="23" t="str">
        <f aca="false">IF(AND(ISNUMBER(L512),ISNUMBER(K512),K512&gt;0),L512/K512-1,"")</f>
        <v/>
      </c>
      <c r="N512" s="36" t="str">
        <f aca="false">IF(M512="","No List Price",IF(M512&lt;=0,"At/below price",IF(M512&lt;=0.12,"&lt;=12% (STR zone)",IF(M512&lt;=0.25,"12-25%","&gt;25% (likely ignored)"))))</f>
        <v>No List Price</v>
      </c>
      <c r="O512" s="15"/>
      <c r="P512" s="35" t="n">
        <v>67.49</v>
      </c>
      <c r="Q512" s="22" t="n">
        <f aca="false">IF(AND(ISNUMBER(K512),ISNUMBER(P512),N(P512)&gt;0),K512/P512-1,"")</f>
        <v>-0.407319602904134</v>
      </c>
      <c r="R512" s="15" t="s">
        <v>353</v>
      </c>
      <c r="S512" s="37" t="n">
        <v>764449</v>
      </c>
      <c r="T512" s="37" t="n">
        <v>5</v>
      </c>
      <c r="U512" s="38" t="n">
        <f aca="false">IF(AND(ISNUMBER(K512),ISNUMBER(T512)),K512*T512*52/12,"")</f>
        <v>866.666666666667</v>
      </c>
      <c r="V512" s="15" t="n">
        <v>4</v>
      </c>
      <c r="W512" s="37" t="n">
        <v>83</v>
      </c>
      <c r="X512" s="39" t="n">
        <v>46307</v>
      </c>
      <c r="Y512" s="15"/>
      <c r="Z512" s="40"/>
      <c r="AA512" s="41" t="str">
        <f aca="false">IF(ISNUMBER(Z512),(DATE(2026,10,13)-Z512)/365,"")</f>
        <v/>
      </c>
      <c r="AB512" s="37"/>
      <c r="AC512" s="15"/>
      <c r="AD512" s="15"/>
      <c r="AE512" s="15"/>
      <c r="AF512" s="42"/>
      <c r="AG512" s="42"/>
      <c r="AH512" s="15"/>
      <c r="AI512" s="37" t="n">
        <v>19888</v>
      </c>
      <c r="AJ512" s="37" t="n">
        <v>295</v>
      </c>
      <c r="AK512" s="15"/>
      <c r="AL512" s="43"/>
      <c r="AM512" s="43"/>
      <c r="AN512" s="25" t="str">
        <f aca="false">IF(AND(ISNUMBER(AM512),ISNUMBER(AL512),AL512&gt;=5),AM512/AL512,"")</f>
        <v/>
      </c>
      <c r="AO512" s="43"/>
      <c r="AP512" s="43"/>
      <c r="AQ512" s="25" t="str">
        <f aca="false">IF(AND(ISNUMBER(AP512),ISNUMBER(AO512),AO512&gt;=5),AP512/AO512,"")</f>
        <v/>
      </c>
      <c r="AR512" s="43"/>
      <c r="AS512" s="43"/>
      <c r="AT512" s="22" t="str">
        <f aca="false">IF(AND(ISNUMBER(AS512),ISNUMBER(AR512),AR512&gt;0),AS512/AR512-1,"")</f>
        <v/>
      </c>
      <c r="AU512" s="44"/>
      <c r="AV512" s="44"/>
      <c r="AW512" s="44"/>
      <c r="AX512" s="44"/>
      <c r="AY512" s="44"/>
      <c r="AZ512" s="45"/>
      <c r="BA512" s="45"/>
      <c r="BB512" s="46"/>
      <c r="BC512" s="46"/>
      <c r="BD512" s="23" t="str">
        <f aca="false">IF(AND(ISNUMBER(BB512),ISNUMBER(BC512),BB512&gt;0),1-BC512/BB512,"")</f>
        <v/>
      </c>
      <c r="BE512" s="47"/>
      <c r="BF512" s="48"/>
      <c r="BG512" s="48"/>
      <c r="BH512" s="27" t="str">
        <f aca="false">IF(AND(ISNUMBER(BF512),ISNUMBER(BG512),BG512&gt;0),BF512/BG512,"")</f>
        <v/>
      </c>
      <c r="BI512" s="48"/>
      <c r="BJ512" s="44"/>
      <c r="BK512" s="46"/>
      <c r="BL512" s="46"/>
      <c r="BM512" s="36" t="str">
        <f aca="false">IF(ISNUMBER(Q512),IF(Q512&lt;0,"YES","no"),"")</f>
        <v>YES</v>
      </c>
      <c r="BN512" s="36" t="str">
        <f aca="false">IFERROR(IF(AND(ISNUMBER(K512),ISNUMBER(INDEX('Lift Inputs'!$H:$H,MATCH(C512,'Lift Inputs'!$C:$C,0)))),IF(K512&lt;INDEX('Lift Inputs'!$H:$H,MATCH(C512,'Lift Inputs'!$C:$C,0)),"YES","no"),""),"")</f>
        <v/>
      </c>
      <c r="BO512" s="44"/>
    </row>
    <row r="513" customFormat="false" ht="15" hidden="false" customHeight="false" outlineLevel="0" collapsed="false">
      <c r="A513" s="15" t="s">
        <v>110</v>
      </c>
      <c r="B513" s="15" t="s">
        <v>134</v>
      </c>
      <c r="C513" s="15" t="n">
        <v>42</v>
      </c>
      <c r="D513" s="15" t="s">
        <v>229</v>
      </c>
      <c r="E513" s="15" t="n">
        <v>1840</v>
      </c>
      <c r="F513" s="15" t="s">
        <v>1012</v>
      </c>
      <c r="G513" s="15" t="s">
        <v>1013</v>
      </c>
      <c r="H513" s="15" t="s">
        <v>1014</v>
      </c>
      <c r="I513" s="15" t="s">
        <v>973</v>
      </c>
      <c r="J513" s="15"/>
      <c r="K513" s="35" t="n">
        <v>23.99</v>
      </c>
      <c r="L513" s="35"/>
      <c r="M513" s="23" t="str">
        <f aca="false">IF(AND(ISNUMBER(L513),ISNUMBER(K513),K513&gt;0),L513/K513-1,"")</f>
        <v/>
      </c>
      <c r="N513" s="36" t="str">
        <f aca="false">IF(M513="","No List Price",IF(M513&lt;=0,"At/below price",IF(M513&lt;=0.12,"&lt;=12% (STR zone)",IF(M513&lt;=0.25,"12-25%","&gt;25% (likely ignored)"))))</f>
        <v>No List Price</v>
      </c>
      <c r="O513" s="15"/>
      <c r="P513" s="35" t="n">
        <v>67.49</v>
      </c>
      <c r="Q513" s="22" t="n">
        <f aca="false">IF(AND(ISNUMBER(K513),ISNUMBER(P513),N(P513)&gt;0),K513/P513-1,"")</f>
        <v>-0.644539931841754</v>
      </c>
      <c r="R513" s="15" t="s">
        <v>353</v>
      </c>
      <c r="S513" s="37" t="n">
        <v>469677</v>
      </c>
      <c r="T513" s="37" t="n">
        <v>5</v>
      </c>
      <c r="U513" s="38" t="n">
        <f aca="false">IF(AND(ISNUMBER(K513),ISNUMBER(T513)),K513*T513*52/12,"")</f>
        <v>519.783333333333</v>
      </c>
      <c r="V513" s="15" t="n">
        <v>4.5</v>
      </c>
      <c r="W513" s="37" t="n">
        <v>204</v>
      </c>
      <c r="X513" s="39" t="n">
        <v>46307</v>
      </c>
      <c r="Y513" s="15"/>
      <c r="Z513" s="40"/>
      <c r="AA513" s="41" t="str">
        <f aca="false">IF(ISNUMBER(Z513),(DATE(2026,10,13)-Z513)/365,"")</f>
        <v/>
      </c>
      <c r="AB513" s="37"/>
      <c r="AC513" s="15"/>
      <c r="AD513" s="15"/>
      <c r="AE513" s="15"/>
      <c r="AF513" s="42"/>
      <c r="AG513" s="42"/>
      <c r="AH513" s="15"/>
      <c r="AI513" s="37"/>
      <c r="AJ513" s="37"/>
      <c r="AK513" s="15"/>
      <c r="AL513" s="43"/>
      <c r="AM513" s="43"/>
      <c r="AN513" s="25" t="str">
        <f aca="false">IF(AND(ISNUMBER(AM513),ISNUMBER(AL513),AL513&gt;=5),AM513/AL513,"")</f>
        <v/>
      </c>
      <c r="AO513" s="43"/>
      <c r="AP513" s="43"/>
      <c r="AQ513" s="25" t="str">
        <f aca="false">IF(AND(ISNUMBER(AP513),ISNUMBER(AO513),AO513&gt;=5),AP513/AO513,"")</f>
        <v/>
      </c>
      <c r="AR513" s="43"/>
      <c r="AS513" s="43"/>
      <c r="AT513" s="22" t="str">
        <f aca="false">IF(AND(ISNUMBER(AS513),ISNUMBER(AR513),AR513&gt;0),AS513/AR513-1,"")</f>
        <v/>
      </c>
      <c r="AU513" s="44"/>
      <c r="AV513" s="44"/>
      <c r="AW513" s="44"/>
      <c r="AX513" s="44"/>
      <c r="AY513" s="44"/>
      <c r="AZ513" s="45"/>
      <c r="BA513" s="45"/>
      <c r="BB513" s="46"/>
      <c r="BC513" s="46"/>
      <c r="BD513" s="23" t="str">
        <f aca="false">IF(AND(ISNUMBER(BB513),ISNUMBER(BC513),BB513&gt;0),1-BC513/BB513,"")</f>
        <v/>
      </c>
      <c r="BE513" s="47"/>
      <c r="BF513" s="48"/>
      <c r="BG513" s="48"/>
      <c r="BH513" s="27" t="str">
        <f aca="false">IF(AND(ISNUMBER(BF513),ISNUMBER(BG513),BG513&gt;0),BF513/BG513,"")</f>
        <v/>
      </c>
      <c r="BI513" s="48"/>
      <c r="BJ513" s="44"/>
      <c r="BK513" s="46"/>
      <c r="BL513" s="46"/>
      <c r="BM513" s="36" t="str">
        <f aca="false">IF(ISNUMBER(Q513),IF(Q513&lt;0,"YES","no"),"")</f>
        <v>YES</v>
      </c>
      <c r="BN513" s="36" t="str">
        <f aca="false">IFERROR(IF(AND(ISNUMBER(K513),ISNUMBER(INDEX('Lift Inputs'!$H:$H,MATCH(C513,'Lift Inputs'!$C:$C,0)))),IF(K513&lt;INDEX('Lift Inputs'!$H:$H,MATCH(C513,'Lift Inputs'!$C:$C,0)),"YES","no"),""),"")</f>
        <v/>
      </c>
      <c r="BO513" s="44"/>
    </row>
    <row r="514" customFormat="false" ht="15" hidden="false" customHeight="false" outlineLevel="0" collapsed="false">
      <c r="A514" s="15" t="s">
        <v>110</v>
      </c>
      <c r="B514" s="15" t="s">
        <v>134</v>
      </c>
      <c r="C514" s="15" t="n">
        <v>42</v>
      </c>
      <c r="D514" s="15" t="s">
        <v>229</v>
      </c>
      <c r="E514" s="15" t="n">
        <v>1836</v>
      </c>
      <c r="F514" s="15" t="s">
        <v>1015</v>
      </c>
      <c r="G514" s="15" t="s">
        <v>1016</v>
      </c>
      <c r="H514" s="15" t="s">
        <v>1017</v>
      </c>
      <c r="I514" s="15" t="s">
        <v>973</v>
      </c>
      <c r="J514" s="15"/>
      <c r="K514" s="35" t="n">
        <v>28.99</v>
      </c>
      <c r="L514" s="35"/>
      <c r="M514" s="23" t="str">
        <f aca="false">IF(AND(ISNUMBER(L514),ISNUMBER(K514),K514&gt;0),L514/K514-1,"")</f>
        <v/>
      </c>
      <c r="N514" s="36" t="str">
        <f aca="false">IF(M514="","No List Price",IF(M514&lt;=0,"At/below price",IF(M514&lt;=0.12,"&lt;=12% (STR zone)",IF(M514&lt;=0.25,"12-25%","&gt;25% (likely ignored)"))))</f>
        <v>No List Price</v>
      </c>
      <c r="O514" s="15"/>
      <c r="P514" s="35" t="n">
        <v>67.49</v>
      </c>
      <c r="Q514" s="22" t="n">
        <f aca="false">IF(AND(ISNUMBER(K514),ISNUMBER(P514),N(P514)&gt;0),K514/P514-1,"")</f>
        <v>-0.570454882204771</v>
      </c>
      <c r="R514" s="15" t="s">
        <v>353</v>
      </c>
      <c r="S514" s="37" t="n">
        <v>587105</v>
      </c>
      <c r="T514" s="37" t="n">
        <v>5</v>
      </c>
      <c r="U514" s="38" t="n">
        <f aca="false">IF(AND(ISNUMBER(K514),ISNUMBER(T514)),K514*T514*52/12,"")</f>
        <v>628.116666666667</v>
      </c>
      <c r="V514" s="15" t="n">
        <v>4.5</v>
      </c>
      <c r="W514" s="37" t="n">
        <v>384</v>
      </c>
      <c r="X514" s="39" t="n">
        <v>46307</v>
      </c>
      <c r="Y514" s="15"/>
      <c r="Z514" s="40"/>
      <c r="AA514" s="41" t="str">
        <f aca="false">IF(ISNUMBER(Z514),(DATE(2026,10,13)-Z514)/365,"")</f>
        <v/>
      </c>
      <c r="AB514" s="37"/>
      <c r="AC514" s="15"/>
      <c r="AD514" s="15"/>
      <c r="AE514" s="15"/>
      <c r="AF514" s="42"/>
      <c r="AG514" s="42"/>
      <c r="AH514" s="15"/>
      <c r="AI514" s="37"/>
      <c r="AJ514" s="37"/>
      <c r="AK514" s="15"/>
      <c r="AL514" s="43"/>
      <c r="AM514" s="43"/>
      <c r="AN514" s="25" t="str">
        <f aca="false">IF(AND(ISNUMBER(AM514),ISNUMBER(AL514),AL514&gt;=5),AM514/AL514,"")</f>
        <v/>
      </c>
      <c r="AO514" s="43"/>
      <c r="AP514" s="43"/>
      <c r="AQ514" s="25" t="str">
        <f aca="false">IF(AND(ISNUMBER(AP514),ISNUMBER(AO514),AO514&gt;=5),AP514/AO514,"")</f>
        <v/>
      </c>
      <c r="AR514" s="43"/>
      <c r="AS514" s="43"/>
      <c r="AT514" s="22" t="str">
        <f aca="false">IF(AND(ISNUMBER(AS514),ISNUMBER(AR514),AR514&gt;0),AS514/AR514-1,"")</f>
        <v/>
      </c>
      <c r="AU514" s="44"/>
      <c r="AV514" s="44"/>
      <c r="AW514" s="44"/>
      <c r="AX514" s="44"/>
      <c r="AY514" s="44"/>
      <c r="AZ514" s="45"/>
      <c r="BA514" s="45"/>
      <c r="BB514" s="46"/>
      <c r="BC514" s="46"/>
      <c r="BD514" s="23" t="str">
        <f aca="false">IF(AND(ISNUMBER(BB514),ISNUMBER(BC514),BB514&gt;0),1-BC514/BB514,"")</f>
        <v/>
      </c>
      <c r="BE514" s="47"/>
      <c r="BF514" s="48"/>
      <c r="BG514" s="48"/>
      <c r="BH514" s="27" t="str">
        <f aca="false">IF(AND(ISNUMBER(BF514),ISNUMBER(BG514),BG514&gt;0),BF514/BG514,"")</f>
        <v/>
      </c>
      <c r="BI514" s="48"/>
      <c r="BJ514" s="44"/>
      <c r="BK514" s="46"/>
      <c r="BL514" s="46"/>
      <c r="BM514" s="36" t="str">
        <f aca="false">IF(ISNUMBER(Q514),IF(Q514&lt;0,"YES","no"),"")</f>
        <v>YES</v>
      </c>
      <c r="BN514" s="36" t="str">
        <f aca="false">IFERROR(IF(AND(ISNUMBER(K514),ISNUMBER(INDEX('Lift Inputs'!$H:$H,MATCH(C514,'Lift Inputs'!$C:$C,0)))),IF(K514&lt;INDEX('Lift Inputs'!$H:$H,MATCH(C514,'Lift Inputs'!$C:$C,0)),"YES","no"),""),"")</f>
        <v/>
      </c>
      <c r="BO514" s="44"/>
    </row>
    <row r="515" customFormat="false" ht="15" hidden="false" customHeight="false" outlineLevel="0" collapsed="false">
      <c r="A515" s="15" t="s">
        <v>110</v>
      </c>
      <c r="B515" s="15" t="s">
        <v>140</v>
      </c>
      <c r="C515" s="15" t="n">
        <v>44</v>
      </c>
      <c r="D515" s="15" t="s">
        <v>227</v>
      </c>
      <c r="E515" s="15" t="n">
        <v>4</v>
      </c>
      <c r="F515" s="15" t="s">
        <v>316</v>
      </c>
      <c r="G515" s="15" t="s">
        <v>317</v>
      </c>
      <c r="H515" s="15" t="s">
        <v>318</v>
      </c>
      <c r="I515" s="15" t="s">
        <v>319</v>
      </c>
      <c r="J515" s="15" t="s">
        <v>176</v>
      </c>
      <c r="K515" s="35" t="n">
        <v>109.99</v>
      </c>
      <c r="L515" s="35"/>
      <c r="M515" s="23" t="str">
        <f aca="false">IF(AND(ISNUMBER(L515),ISNUMBER(K515),K515&gt;0),L515/K515-1,"")</f>
        <v/>
      </c>
      <c r="N515" s="36" t="str">
        <f aca="false">IF(M515="","No List Price",IF(M515&lt;=0,"At/below price",IF(M515&lt;=0.12,"&lt;=12% (STR zone)",IF(M515&lt;=0.25,"12-25%","&gt;25% (likely ignored)"))))</f>
        <v>No List Price</v>
      </c>
      <c r="O515" s="15" t="s">
        <v>320</v>
      </c>
      <c r="P515" s="35" t="n">
        <v>34.7266255144033</v>
      </c>
      <c r="Q515" s="22" t="n">
        <f aca="false">IF(AND(ISNUMBER(K515),ISNUMBER(P515),N(P515)&gt;0),K515/P515-1,"")</f>
        <v>2.16731033812601</v>
      </c>
      <c r="R515" s="15" t="s">
        <v>321</v>
      </c>
      <c r="S515" s="37" t="n">
        <v>304</v>
      </c>
      <c r="T515" s="37" t="n">
        <v>809</v>
      </c>
      <c r="U515" s="38" t="n">
        <f aca="false">IF(AND(ISNUMBER(K515),ISNUMBER(T515)),K515*T515*52/12,"")</f>
        <v>385588.276666667</v>
      </c>
      <c r="V515" s="15" t="n">
        <v>4.5</v>
      </c>
      <c r="W515" s="37" t="n">
        <v>21927</v>
      </c>
      <c r="X515" s="39" t="n">
        <v>46307</v>
      </c>
      <c r="Y515" s="15" t="n">
        <v>181</v>
      </c>
      <c r="Z515" s="40" t="n">
        <v>43281</v>
      </c>
      <c r="AA515" s="41" t="n">
        <f aca="false">IF(ISNUMBER(Z515),(DATE(2026,10,13)-Z515)/365,"")</f>
        <v>8.29315068493151</v>
      </c>
      <c r="AB515" s="37" t="n">
        <v>32356</v>
      </c>
      <c r="AC515" s="15" t="s">
        <v>313</v>
      </c>
      <c r="AD515" s="15" t="n">
        <v>2</v>
      </c>
      <c r="AE515" s="15" t="s">
        <v>314</v>
      </c>
      <c r="AF515" s="42" t="n">
        <v>0</v>
      </c>
      <c r="AG515" s="42" t="n">
        <v>0</v>
      </c>
      <c r="AH515" s="15" t="n">
        <v>268</v>
      </c>
      <c r="AI515" s="37" t="n">
        <v>2565055</v>
      </c>
      <c r="AJ515" s="37" t="n">
        <v>8283</v>
      </c>
      <c r="AK515" s="15" t="s">
        <v>315</v>
      </c>
      <c r="AL515" s="43" t="n">
        <v>556.9</v>
      </c>
      <c r="AM515" s="43" t="n">
        <v>657.2</v>
      </c>
      <c r="AN515" s="25" t="n">
        <f aca="false">IF(AND(ISNUMBER(AM515),ISNUMBER(AL515),AL515&gt;=5),AM515/AL515,"")</f>
        <v>1.18010414796193</v>
      </c>
      <c r="AO515" s="43" t="n">
        <v>102</v>
      </c>
      <c r="AP515" s="43" t="n">
        <v>151.8</v>
      </c>
      <c r="AQ515" s="25" t="n">
        <f aca="false">IF(AND(ISNUMBER(AP515),ISNUMBER(AO515),AO515&gt;=5),AP515/AO515,"")</f>
        <v>1.48823529411765</v>
      </c>
      <c r="AR515" s="43" t="n">
        <v>259.8</v>
      </c>
      <c r="AS515" s="43" t="n">
        <v>667.9</v>
      </c>
      <c r="AT515" s="22" t="n">
        <f aca="false">IF(AND(ISNUMBER(AS515),ISNUMBER(AR515),AR515&gt;0),AS515/AR515-1,"")</f>
        <v>1.57082371054657</v>
      </c>
      <c r="AU515" s="44"/>
      <c r="AV515" s="44"/>
      <c r="AW515" s="44"/>
      <c r="AX515" s="44"/>
      <c r="AY515" s="44"/>
      <c r="AZ515" s="45"/>
      <c r="BA515" s="45"/>
      <c r="BB515" s="46"/>
      <c r="BC515" s="46"/>
      <c r="BD515" s="23" t="str">
        <f aca="false">IF(AND(ISNUMBER(BB515),ISNUMBER(BC515),BB515&gt;0),1-BC515/BB515,"")</f>
        <v/>
      </c>
      <c r="BE515" s="47"/>
      <c r="BF515" s="48"/>
      <c r="BG515" s="48"/>
      <c r="BH515" s="27" t="str">
        <f aca="false">IF(AND(ISNUMBER(BF515),ISNUMBER(BG515),BG515&gt;0),BF515/BG515,"")</f>
        <v/>
      </c>
      <c r="BI515" s="48"/>
      <c r="BJ515" s="44"/>
      <c r="BK515" s="46"/>
      <c r="BL515" s="46"/>
      <c r="BM515" s="36" t="str">
        <f aca="false">IF(ISNUMBER(Q515),IF(Q515&lt;0,"YES","no"),"")</f>
        <v>no</v>
      </c>
      <c r="BN515" s="36" t="str">
        <f aca="false">IFERROR(IF(AND(ISNUMBER(K515),ISNUMBER(INDEX('Lift Inputs'!$H:$H,MATCH(C515,'Lift Inputs'!$C:$C,0)))),IF(K515&lt;INDEX('Lift Inputs'!$H:$H,MATCH(C515,'Lift Inputs'!$C:$C,0)),"YES","no"),""),"")</f>
        <v/>
      </c>
      <c r="BO515" s="44"/>
    </row>
    <row r="516" customFormat="false" ht="15" hidden="false" customHeight="false" outlineLevel="0" collapsed="false">
      <c r="A516" s="15" t="s">
        <v>110</v>
      </c>
      <c r="B516" s="15" t="s">
        <v>140</v>
      </c>
      <c r="C516" s="15" t="n">
        <v>44</v>
      </c>
      <c r="D516" s="15" t="s">
        <v>227</v>
      </c>
      <c r="E516" s="15" t="n">
        <v>6</v>
      </c>
      <c r="F516" s="15" t="s">
        <v>307</v>
      </c>
      <c r="G516" s="15" t="s">
        <v>346</v>
      </c>
      <c r="H516" s="15" t="s">
        <v>347</v>
      </c>
      <c r="I516" s="15" t="s">
        <v>348</v>
      </c>
      <c r="J516" s="15" t="s">
        <v>177</v>
      </c>
      <c r="K516" s="35" t="n">
        <v>89.99</v>
      </c>
      <c r="L516" s="35" t="n">
        <v>119.99</v>
      </c>
      <c r="M516" s="23" t="n">
        <f aca="false">IF(AND(ISNUMBER(L516),ISNUMBER(K516),K516&gt;0),L516/K516-1,"")</f>
        <v>0.333370374486054</v>
      </c>
      <c r="N516" s="36" t="str">
        <f aca="false">IF(M516="","No List Price",IF(M516&lt;=0,"At/below price",IF(M516&lt;=0.12,"&lt;=12% (STR zone)",IF(M516&lt;=0.25,"12-25%","&gt;25% (likely ignored)"))))</f>
        <v>&gt;25% (likely ignored)</v>
      </c>
      <c r="O516" s="15" t="s">
        <v>311</v>
      </c>
      <c r="P516" s="35" t="n">
        <v>31.8675510204082</v>
      </c>
      <c r="Q516" s="22" t="n">
        <f aca="false">IF(AND(ISNUMBER(K516),ISNUMBER(P516),N(P516)&gt;0),K516/P516-1,"")</f>
        <v>1.82387560758497</v>
      </c>
      <c r="R516" s="15" t="s">
        <v>312</v>
      </c>
      <c r="S516" s="37" t="n">
        <v>8938</v>
      </c>
      <c r="T516" s="37" t="n">
        <v>104</v>
      </c>
      <c r="U516" s="38" t="n">
        <f aca="false">IF(AND(ISNUMBER(K516),ISNUMBER(T516)),K516*T516*52/12,"")</f>
        <v>40555.4933333333</v>
      </c>
      <c r="V516" s="15" t="n">
        <v>4.5</v>
      </c>
      <c r="W516" s="37" t="n">
        <v>588</v>
      </c>
      <c r="X516" s="39" t="n">
        <v>46307</v>
      </c>
      <c r="Y516" s="15" t="n">
        <v>39</v>
      </c>
      <c r="Z516" s="40" t="n">
        <v>45936</v>
      </c>
      <c r="AA516" s="41" t="n">
        <f aca="false">IF(ISNUMBER(Z516),(DATE(2026,10,13)-Z516)/365,"")</f>
        <v>1.01917808219178</v>
      </c>
      <c r="AB516" s="37" t="n">
        <v>4014</v>
      </c>
      <c r="AC516" s="15" t="s">
        <v>313</v>
      </c>
      <c r="AD516" s="15" t="n">
        <v>4</v>
      </c>
      <c r="AE516" s="15" t="s">
        <v>314</v>
      </c>
      <c r="AF516" s="42" t="n">
        <v>0</v>
      </c>
      <c r="AG516" s="42" t="n">
        <v>0</v>
      </c>
      <c r="AH516" s="15" t="n">
        <v>313</v>
      </c>
      <c r="AI516" s="37" t="n">
        <v>840292</v>
      </c>
      <c r="AJ516" s="37" t="n">
        <v>3961</v>
      </c>
      <c r="AK516" s="15" t="s">
        <v>326</v>
      </c>
      <c r="AL516" s="43" t="n">
        <v>279.8</v>
      </c>
      <c r="AM516" s="43" t="n">
        <v>493.8</v>
      </c>
      <c r="AN516" s="25" t="n">
        <f aca="false">IF(AND(ISNUMBER(AM516),ISNUMBER(AL516),AL516&gt;=5),AM516/AL516,"")</f>
        <v>1.76483202287348</v>
      </c>
      <c r="AO516" s="43" t="n">
        <v>320.1</v>
      </c>
      <c r="AP516" s="43" t="n">
        <v>534.8</v>
      </c>
      <c r="AQ516" s="25" t="n">
        <f aca="false">IF(AND(ISNUMBER(AP516),ISNUMBER(AO516),AO516&gt;=5),AP516/AO516,"")</f>
        <v>1.67072789753202</v>
      </c>
      <c r="AR516" s="43" t="n">
        <v>248.7</v>
      </c>
      <c r="AS516" s="43" t="n">
        <v>226.2</v>
      </c>
      <c r="AT516" s="22" t="n">
        <f aca="false">IF(AND(ISNUMBER(AS516),ISNUMBER(AR516),AR516&gt;0),AS516/AR516-1,"")</f>
        <v>-0.0904704463208685</v>
      </c>
      <c r="AU516" s="44"/>
      <c r="AV516" s="44"/>
      <c r="AW516" s="44"/>
      <c r="AX516" s="44"/>
      <c r="AY516" s="44"/>
      <c r="AZ516" s="45"/>
      <c r="BA516" s="45"/>
      <c r="BB516" s="46"/>
      <c r="BC516" s="46"/>
      <c r="BD516" s="23" t="str">
        <f aca="false">IF(AND(ISNUMBER(BB516),ISNUMBER(BC516),BB516&gt;0),1-BC516/BB516,"")</f>
        <v/>
      </c>
      <c r="BE516" s="47"/>
      <c r="BF516" s="48"/>
      <c r="BG516" s="48"/>
      <c r="BH516" s="27" t="str">
        <f aca="false">IF(AND(ISNUMBER(BF516),ISNUMBER(BG516),BG516&gt;0),BF516/BG516,"")</f>
        <v/>
      </c>
      <c r="BI516" s="48"/>
      <c r="BJ516" s="44"/>
      <c r="BK516" s="46"/>
      <c r="BL516" s="46"/>
      <c r="BM516" s="36" t="str">
        <f aca="false">IF(ISNUMBER(Q516),IF(Q516&lt;0,"YES","no"),"")</f>
        <v>no</v>
      </c>
      <c r="BN516" s="36" t="str">
        <f aca="false">IFERROR(IF(AND(ISNUMBER(K516),ISNUMBER(INDEX('Lift Inputs'!$H:$H,MATCH(C516,'Lift Inputs'!$C:$C,0)))),IF(K516&lt;INDEX('Lift Inputs'!$H:$H,MATCH(C516,'Lift Inputs'!$C:$C,0)),"YES","no"),""),"")</f>
        <v/>
      </c>
      <c r="BO516" s="44"/>
    </row>
    <row r="517" customFormat="false" ht="15" hidden="false" customHeight="false" outlineLevel="0" collapsed="false">
      <c r="A517" s="15" t="s">
        <v>110</v>
      </c>
      <c r="B517" s="15" t="s">
        <v>140</v>
      </c>
      <c r="C517" s="15" t="n">
        <v>44</v>
      </c>
      <c r="D517" s="15" t="s">
        <v>227</v>
      </c>
      <c r="E517" s="15" t="n">
        <v>481</v>
      </c>
      <c r="F517" s="15" t="s">
        <v>521</v>
      </c>
      <c r="G517" s="15" t="s">
        <v>522</v>
      </c>
      <c r="H517" s="15" t="s">
        <v>523</v>
      </c>
      <c r="I517" s="15" t="s">
        <v>524</v>
      </c>
      <c r="J517" s="15" t="s">
        <v>177</v>
      </c>
      <c r="K517" s="35" t="n">
        <v>29.99</v>
      </c>
      <c r="L517" s="35"/>
      <c r="M517" s="23" t="str">
        <f aca="false">IF(AND(ISNUMBER(L517),ISNUMBER(K517),K517&gt;0),L517/K517-1,"")</f>
        <v/>
      </c>
      <c r="N517" s="36" t="str">
        <f aca="false">IF(M517="","No List Price",IF(M517&lt;=0,"At/below price",IF(M517&lt;=0.12,"&lt;=12% (STR zone)",IF(M517&lt;=0.25,"12-25%","&gt;25% (likely ignored)"))))</f>
        <v>No List Price</v>
      </c>
      <c r="O517" s="15" t="s">
        <v>320</v>
      </c>
      <c r="P517" s="35" t="n">
        <v>34.7266255144033</v>
      </c>
      <c r="Q517" s="22" t="n">
        <f aca="false">IF(AND(ISNUMBER(K517),ISNUMBER(P517),N(P517)&gt;0),K517/P517-1,"")</f>
        <v>-0.136397517588881</v>
      </c>
      <c r="R517" s="15" t="s">
        <v>321</v>
      </c>
      <c r="S517" s="37" t="n">
        <v>9600</v>
      </c>
      <c r="T517" s="37" t="n">
        <v>81</v>
      </c>
      <c r="U517" s="38" t="n">
        <f aca="false">IF(AND(ISNUMBER(K517),ISNUMBER(T517)),K517*T517*52/12,"")</f>
        <v>10526.49</v>
      </c>
      <c r="V517" s="15" t="n">
        <v>4.3</v>
      </c>
      <c r="W517" s="37" t="n">
        <v>1029</v>
      </c>
      <c r="X517" s="39" t="n">
        <v>46307</v>
      </c>
      <c r="Y517" s="15" t="n">
        <v>79</v>
      </c>
      <c r="Z517" s="40" t="n">
        <v>45362</v>
      </c>
      <c r="AA517" s="41" t="n">
        <f aca="false">IF(ISNUMBER(Z517),(DATE(2026,10,13)-Z517)/365,"")</f>
        <v>2.59178082191781</v>
      </c>
      <c r="AB517" s="37" t="n">
        <v>3822</v>
      </c>
      <c r="AC517" s="15" t="s">
        <v>313</v>
      </c>
      <c r="AD517" s="15" t="n">
        <v>1</v>
      </c>
      <c r="AE517" s="15" t="s">
        <v>331</v>
      </c>
      <c r="AF517" s="42" t="n">
        <v>0</v>
      </c>
      <c r="AG517" s="42" t="n">
        <v>0</v>
      </c>
      <c r="AH517" s="15" t="n">
        <v>93</v>
      </c>
      <c r="AI517" s="37" t="n">
        <v>80454</v>
      </c>
      <c r="AJ517" s="37" t="n">
        <v>892</v>
      </c>
      <c r="AK517" s="15" t="s">
        <v>315</v>
      </c>
      <c r="AL517" s="43" t="n">
        <v>57.9</v>
      </c>
      <c r="AM517" s="43" t="n">
        <v>56.8</v>
      </c>
      <c r="AN517" s="25" t="n">
        <f aca="false">IF(AND(ISNUMBER(AM517),ISNUMBER(AL517),AL517&gt;=5),AM517/AL517,"")</f>
        <v>0.981001727115717</v>
      </c>
      <c r="AO517" s="43" t="n">
        <v>0.2</v>
      </c>
      <c r="AP517" s="43" t="n">
        <v>0.2</v>
      </c>
      <c r="AQ517" s="25" t="str">
        <f aca="false">IF(AND(ISNUMBER(AP517),ISNUMBER(AO517),AO517&gt;=5),AP517/AO517,"")</f>
        <v/>
      </c>
      <c r="AR517" s="43" t="n">
        <v>59.7</v>
      </c>
      <c r="AS517" s="43" t="n">
        <v>55.4</v>
      </c>
      <c r="AT517" s="22" t="n">
        <f aca="false">IF(AND(ISNUMBER(AS517),ISNUMBER(AR517),AR517&gt;0),AS517/AR517-1,"")</f>
        <v>-0.0720268006700168</v>
      </c>
      <c r="AU517" s="44"/>
      <c r="AV517" s="44"/>
      <c r="AW517" s="44"/>
      <c r="AX517" s="44"/>
      <c r="AY517" s="44"/>
      <c r="AZ517" s="45"/>
      <c r="BA517" s="45"/>
      <c r="BB517" s="46"/>
      <c r="BC517" s="46"/>
      <c r="BD517" s="23" t="str">
        <f aca="false">IF(AND(ISNUMBER(BB517),ISNUMBER(BC517),BB517&gt;0),1-BC517/BB517,"")</f>
        <v/>
      </c>
      <c r="BE517" s="47"/>
      <c r="BF517" s="48"/>
      <c r="BG517" s="48"/>
      <c r="BH517" s="27" t="str">
        <f aca="false">IF(AND(ISNUMBER(BF517),ISNUMBER(BG517),BG517&gt;0),BF517/BG517,"")</f>
        <v/>
      </c>
      <c r="BI517" s="48"/>
      <c r="BJ517" s="44"/>
      <c r="BK517" s="46"/>
      <c r="BL517" s="46"/>
      <c r="BM517" s="36" t="str">
        <f aca="false">IF(ISNUMBER(Q517),IF(Q517&lt;0,"YES","no"),"")</f>
        <v>YES</v>
      </c>
      <c r="BN517" s="36" t="str">
        <f aca="false">IFERROR(IF(AND(ISNUMBER(K517),ISNUMBER(INDEX('Lift Inputs'!$H:$H,MATCH(C517,'Lift Inputs'!$C:$C,0)))),IF(K517&lt;INDEX('Lift Inputs'!$H:$H,MATCH(C517,'Lift Inputs'!$C:$C,0)),"YES","no"),""),"")</f>
        <v/>
      </c>
      <c r="BO517" s="44"/>
    </row>
    <row r="518" customFormat="false" ht="15" hidden="false" customHeight="false" outlineLevel="0" collapsed="false">
      <c r="A518" s="15" t="s">
        <v>110</v>
      </c>
      <c r="B518" s="15" t="s">
        <v>140</v>
      </c>
      <c r="C518" s="15" t="n">
        <v>44</v>
      </c>
      <c r="D518" s="15" t="s">
        <v>227</v>
      </c>
      <c r="E518" s="15" t="n">
        <v>697</v>
      </c>
      <c r="F518" s="15"/>
      <c r="G518" s="15" t="s">
        <v>525</v>
      </c>
      <c r="H518" s="15" t="s">
        <v>526</v>
      </c>
      <c r="I518" s="15" t="s">
        <v>527</v>
      </c>
      <c r="J518" s="15" t="s">
        <v>177</v>
      </c>
      <c r="K518" s="35" t="n">
        <v>44.99</v>
      </c>
      <c r="L518" s="35"/>
      <c r="M518" s="23" t="str">
        <f aca="false">IF(AND(ISNUMBER(L518),ISNUMBER(K518),K518&gt;0),L518/K518-1,"")</f>
        <v/>
      </c>
      <c r="N518" s="36" t="str">
        <f aca="false">IF(M518="","No List Price",IF(M518&lt;=0,"At/below price",IF(M518&lt;=0.12,"&lt;=12% (STR zone)",IF(M518&lt;=0.25,"12-25%","&gt;25% (likely ignored)"))))</f>
        <v>No List Price</v>
      </c>
      <c r="O518" s="15" t="s">
        <v>311</v>
      </c>
      <c r="P518" s="35" t="n">
        <v>31.8675510204082</v>
      </c>
      <c r="Q518" s="22" t="n">
        <f aca="false">IF(AND(ISNUMBER(K518),ISNUMBER(P518),N(P518)&gt;0),K518/P518-1,"")</f>
        <v>0.411780904381016</v>
      </c>
      <c r="R518" s="15" t="s">
        <v>312</v>
      </c>
      <c r="S518" s="37" t="n">
        <v>19075</v>
      </c>
      <c r="T518" s="37" t="n">
        <v>81</v>
      </c>
      <c r="U518" s="38" t="n">
        <f aca="false">IF(AND(ISNUMBER(K518),ISNUMBER(T518)),K518*T518*52/12,"")</f>
        <v>15791.49</v>
      </c>
      <c r="V518" s="15" t="n">
        <v>4.4</v>
      </c>
      <c r="W518" s="37" t="n">
        <v>168</v>
      </c>
      <c r="X518" s="39" t="n">
        <v>46307</v>
      </c>
      <c r="Y518" s="15" t="n">
        <v>24</v>
      </c>
      <c r="Z518" s="40" t="n">
        <v>46069</v>
      </c>
      <c r="AA518" s="41" t="n">
        <f aca="false">IF(ISNUMBER(Z518),(DATE(2026,10,13)-Z518)/365,"")</f>
        <v>0.654794520547945</v>
      </c>
      <c r="AB518" s="37" t="n">
        <v>1938</v>
      </c>
      <c r="AC518" s="15" t="s">
        <v>313</v>
      </c>
      <c r="AD518" s="15" t="n">
        <v>1</v>
      </c>
      <c r="AE518" s="15" t="s">
        <v>314</v>
      </c>
      <c r="AF518" s="42" t="n">
        <v>0</v>
      </c>
      <c r="AG518" s="42" t="n">
        <v>0</v>
      </c>
      <c r="AH518" s="15" t="n">
        <v>80</v>
      </c>
      <c r="AI518" s="37" t="n">
        <v>95724</v>
      </c>
      <c r="AJ518" s="37" t="n">
        <v>951</v>
      </c>
      <c r="AK518" s="15" t="s">
        <v>315</v>
      </c>
      <c r="AL518" s="43" t="n">
        <v>97</v>
      </c>
      <c r="AM518" s="43" t="n">
        <v>114.2</v>
      </c>
      <c r="AN518" s="25" t="n">
        <f aca="false">IF(AND(ISNUMBER(AM518),ISNUMBER(AL518),AL518&gt;=5),AM518/AL518,"")</f>
        <v>1.17731958762887</v>
      </c>
      <c r="AO518" s="43" t="n">
        <v>112.6</v>
      </c>
      <c r="AP518" s="43" t="n">
        <v>150.5</v>
      </c>
      <c r="AQ518" s="25" t="n">
        <f aca="false">IF(AND(ISNUMBER(AP518),ISNUMBER(AO518),AO518&gt;=5),AP518/AO518,"")</f>
        <v>1.33658969804618</v>
      </c>
      <c r="AR518" s="43" t="n">
        <v>70.3</v>
      </c>
      <c r="AS518" s="43" t="n">
        <v>72.2</v>
      </c>
      <c r="AT518" s="22" t="n">
        <f aca="false">IF(AND(ISNUMBER(AS518),ISNUMBER(AR518),AR518&gt;0),AS518/AR518-1,"")</f>
        <v>0.0270270270270272</v>
      </c>
      <c r="AU518" s="44"/>
      <c r="AV518" s="44"/>
      <c r="AW518" s="44"/>
      <c r="AX518" s="44"/>
      <c r="AY518" s="44"/>
      <c r="AZ518" s="45"/>
      <c r="BA518" s="45"/>
      <c r="BB518" s="46"/>
      <c r="BC518" s="46"/>
      <c r="BD518" s="23" t="str">
        <f aca="false">IF(AND(ISNUMBER(BB518),ISNUMBER(BC518),BB518&gt;0),1-BC518/BB518,"")</f>
        <v/>
      </c>
      <c r="BE518" s="47"/>
      <c r="BF518" s="48"/>
      <c r="BG518" s="48"/>
      <c r="BH518" s="27" t="str">
        <f aca="false">IF(AND(ISNUMBER(BF518),ISNUMBER(BG518),BG518&gt;0),BF518/BG518,"")</f>
        <v/>
      </c>
      <c r="BI518" s="48"/>
      <c r="BJ518" s="44"/>
      <c r="BK518" s="46"/>
      <c r="BL518" s="46"/>
      <c r="BM518" s="36" t="str">
        <f aca="false">IF(ISNUMBER(Q518),IF(Q518&lt;0,"YES","no"),"")</f>
        <v>no</v>
      </c>
      <c r="BN518" s="36" t="str">
        <f aca="false">IFERROR(IF(AND(ISNUMBER(K518),ISNUMBER(INDEX('Lift Inputs'!$H:$H,MATCH(C518,'Lift Inputs'!$C:$C,0)))),IF(K518&lt;INDEX('Lift Inputs'!$H:$H,MATCH(C518,'Lift Inputs'!$C:$C,0)),"YES","no"),""),"")</f>
        <v/>
      </c>
      <c r="BO518" s="44"/>
    </row>
    <row r="519" customFormat="false" ht="15" hidden="false" customHeight="false" outlineLevel="0" collapsed="false">
      <c r="A519" s="15" t="s">
        <v>110</v>
      </c>
      <c r="B519" s="15" t="s">
        <v>140</v>
      </c>
      <c r="C519" s="15" t="n">
        <v>44</v>
      </c>
      <c r="D519" s="15" t="s">
        <v>227</v>
      </c>
      <c r="E519" s="15" t="n">
        <v>1160</v>
      </c>
      <c r="F519" s="15" t="s">
        <v>516</v>
      </c>
      <c r="G519" s="15" t="s">
        <v>517</v>
      </c>
      <c r="H519" s="15" t="s">
        <v>518</v>
      </c>
      <c r="I519" s="15" t="s">
        <v>519</v>
      </c>
      <c r="J519" s="15" t="s">
        <v>177</v>
      </c>
      <c r="K519" s="35" t="n">
        <v>111.2</v>
      </c>
      <c r="L519" s="35" t="n">
        <v>139</v>
      </c>
      <c r="M519" s="23" t="n">
        <f aca="false">IF(AND(ISNUMBER(L519),ISNUMBER(K519),K519&gt;0),L519/K519-1,"")</f>
        <v>0.25</v>
      </c>
      <c r="N519" s="36" t="str">
        <f aca="false">IF(M519="","No List Price",IF(M519&lt;=0,"At/below price",IF(M519&lt;=0.12,"&lt;=12% (STR zone)",IF(M519&lt;=0.25,"12-25%","&gt;25% (likely ignored)"))))</f>
        <v>12-25%</v>
      </c>
      <c r="O519" s="15" t="s">
        <v>520</v>
      </c>
      <c r="P519" s="35" t="n">
        <v>29.99</v>
      </c>
      <c r="Q519" s="22" t="n">
        <f aca="false">IF(AND(ISNUMBER(K519),ISNUMBER(P519),N(P519)&gt;0),K519/P519-1,"")</f>
        <v>2.7079026342114</v>
      </c>
      <c r="R519" s="15" t="s">
        <v>623</v>
      </c>
      <c r="S519" s="37" t="n">
        <v>22651</v>
      </c>
      <c r="T519" s="37" t="n">
        <v>35</v>
      </c>
      <c r="U519" s="38" t="n">
        <f aca="false">IF(AND(ISNUMBER(K519),ISNUMBER(T519)),K519*T519*52/12,"")</f>
        <v>16865.3333333333</v>
      </c>
      <c r="V519" s="15" t="n">
        <v>4.4</v>
      </c>
      <c r="W519" s="37" t="n">
        <v>663</v>
      </c>
      <c r="X519" s="39" t="n">
        <v>46307</v>
      </c>
      <c r="Y519" s="15"/>
      <c r="Z519" s="40"/>
      <c r="AA519" s="41" t="str">
        <f aca="false">IF(ISNUMBER(Z519),(DATE(2026,10,13)-Z519)/365,"")</f>
        <v/>
      </c>
      <c r="AB519" s="37"/>
      <c r="AC519" s="15"/>
      <c r="AD519" s="15"/>
      <c r="AE519" s="15"/>
      <c r="AF519" s="42"/>
      <c r="AG519" s="42"/>
      <c r="AH519" s="15"/>
      <c r="AI519" s="37" t="n">
        <v>110996</v>
      </c>
      <c r="AJ519" s="37" t="n">
        <v>2646</v>
      </c>
      <c r="AK519" s="15"/>
      <c r="AL519" s="43"/>
      <c r="AM519" s="43"/>
      <c r="AN519" s="25" t="str">
        <f aca="false">IF(AND(ISNUMBER(AM519),ISNUMBER(AL519),AL519&gt;=5),AM519/AL519,"")</f>
        <v/>
      </c>
      <c r="AO519" s="43"/>
      <c r="AP519" s="43"/>
      <c r="AQ519" s="25" t="str">
        <f aca="false">IF(AND(ISNUMBER(AP519),ISNUMBER(AO519),AO519&gt;=5),AP519/AO519,"")</f>
        <v/>
      </c>
      <c r="AR519" s="43"/>
      <c r="AS519" s="43"/>
      <c r="AT519" s="22" t="str">
        <f aca="false">IF(AND(ISNUMBER(AS519),ISNUMBER(AR519),AR519&gt;0),AS519/AR519-1,"")</f>
        <v/>
      </c>
      <c r="AU519" s="44"/>
      <c r="AV519" s="44"/>
      <c r="AW519" s="44"/>
      <c r="AX519" s="44"/>
      <c r="AY519" s="44"/>
      <c r="AZ519" s="45"/>
      <c r="BA519" s="45"/>
      <c r="BB519" s="46"/>
      <c r="BC519" s="46"/>
      <c r="BD519" s="23" t="str">
        <f aca="false">IF(AND(ISNUMBER(BB519),ISNUMBER(BC519),BB519&gt;0),1-BC519/BB519,"")</f>
        <v/>
      </c>
      <c r="BE519" s="47"/>
      <c r="BF519" s="48"/>
      <c r="BG519" s="48"/>
      <c r="BH519" s="27" t="str">
        <f aca="false">IF(AND(ISNUMBER(BF519),ISNUMBER(BG519),BG519&gt;0),BF519/BG519,"")</f>
        <v/>
      </c>
      <c r="BI519" s="48"/>
      <c r="BJ519" s="44"/>
      <c r="BK519" s="46"/>
      <c r="BL519" s="46"/>
      <c r="BM519" s="36" t="str">
        <f aca="false">IF(ISNUMBER(Q519),IF(Q519&lt;0,"YES","no"),"")</f>
        <v>no</v>
      </c>
      <c r="BN519" s="36" t="str">
        <f aca="false">IFERROR(IF(AND(ISNUMBER(K519),ISNUMBER(INDEX('Lift Inputs'!$H:$H,MATCH(C519,'Lift Inputs'!$C:$C,0)))),IF(K519&lt;INDEX('Lift Inputs'!$H:$H,MATCH(C519,'Lift Inputs'!$C:$C,0)),"YES","no"),""),"")</f>
        <v/>
      </c>
      <c r="BO519" s="44"/>
    </row>
    <row r="520" customFormat="false" ht="15" hidden="false" customHeight="false" outlineLevel="0" collapsed="false">
      <c r="A520" s="15" t="s">
        <v>110</v>
      </c>
      <c r="B520" s="15" t="s">
        <v>140</v>
      </c>
      <c r="C520" s="15" t="n">
        <v>44</v>
      </c>
      <c r="D520" s="15" t="s">
        <v>227</v>
      </c>
      <c r="E520" s="15" t="n">
        <v>478</v>
      </c>
      <c r="F520" s="15" t="s">
        <v>532</v>
      </c>
      <c r="G520" s="15" t="s">
        <v>533</v>
      </c>
      <c r="H520" s="15" t="s">
        <v>534</v>
      </c>
      <c r="I520" s="15" t="s">
        <v>535</v>
      </c>
      <c r="J520" s="15" t="s">
        <v>177</v>
      </c>
      <c r="K520" s="35" t="n">
        <v>74.99</v>
      </c>
      <c r="L520" s="35"/>
      <c r="M520" s="23" t="str">
        <f aca="false">IF(AND(ISNUMBER(L520),ISNUMBER(K520),K520&gt;0),L520/K520-1,"")</f>
        <v/>
      </c>
      <c r="N520" s="36" t="str">
        <f aca="false">IF(M520="","No List Price",IF(M520&lt;=0,"At/below price",IF(M520&lt;=0.12,"&lt;=12% (STR zone)",IF(M520&lt;=0.25,"12-25%","&gt;25% (likely ignored)"))))</f>
        <v>No List Price</v>
      </c>
      <c r="O520" s="15"/>
      <c r="P520" s="35" t="n">
        <v>31.8675510204082</v>
      </c>
      <c r="Q520" s="22" t="n">
        <f aca="false">IF(AND(ISNUMBER(K520),ISNUMBER(P520),N(P520)&gt;0),K520/P520-1,"")</f>
        <v>1.35317737318365</v>
      </c>
      <c r="R520" s="15" t="s">
        <v>353</v>
      </c>
      <c r="S520" s="37" t="n">
        <v>100300</v>
      </c>
      <c r="T520" s="37" t="n">
        <v>5</v>
      </c>
      <c r="U520" s="38" t="n">
        <f aca="false">IF(AND(ISNUMBER(K520),ISNUMBER(T520)),K520*T520*52/12,"")</f>
        <v>1624.78333333333</v>
      </c>
      <c r="V520" s="15" t="n">
        <v>4.5</v>
      </c>
      <c r="W520" s="37" t="n">
        <v>456</v>
      </c>
      <c r="X520" s="39" t="n">
        <v>46307</v>
      </c>
      <c r="Y520" s="15"/>
      <c r="Z520" s="40"/>
      <c r="AA520" s="41" t="str">
        <f aca="false">IF(ISNUMBER(Z520),(DATE(2026,10,13)-Z520)/365,"")</f>
        <v/>
      </c>
      <c r="AB520" s="37"/>
      <c r="AC520" s="15"/>
      <c r="AD520" s="15"/>
      <c r="AE520" s="15"/>
      <c r="AF520" s="42"/>
      <c r="AG520" s="42"/>
      <c r="AH520" s="15"/>
      <c r="AI520" s="37" t="n">
        <v>14965</v>
      </c>
      <c r="AJ520" s="37" t="n">
        <v>410</v>
      </c>
      <c r="AK520" s="15" t="s">
        <v>315</v>
      </c>
      <c r="AL520" s="43" t="n">
        <v>1.4</v>
      </c>
      <c r="AM520" s="43" t="n">
        <v>0</v>
      </c>
      <c r="AN520" s="25" t="str">
        <f aca="false">IF(AND(ISNUMBER(AM520),ISNUMBER(AL520),AL520&gt;=5),AM520/AL520,"")</f>
        <v/>
      </c>
      <c r="AO520" s="43" t="n">
        <v>0</v>
      </c>
      <c r="AP520" s="43" t="n">
        <v>0</v>
      </c>
      <c r="AQ520" s="25" t="str">
        <f aca="false">IF(AND(ISNUMBER(AP520),ISNUMBER(AO520),AO520&gt;=5),AP520/AO520,"")</f>
        <v/>
      </c>
      <c r="AR520" s="43" t="n">
        <v>1.3</v>
      </c>
      <c r="AS520" s="43" t="n">
        <v>1.6</v>
      </c>
      <c r="AT520" s="22" t="n">
        <f aca="false">IF(AND(ISNUMBER(AS520),ISNUMBER(AR520),AR520&gt;0),AS520/AR520-1,"")</f>
        <v>0.230769230769231</v>
      </c>
      <c r="AU520" s="44"/>
      <c r="AV520" s="44"/>
      <c r="AW520" s="44"/>
      <c r="AX520" s="44"/>
      <c r="AY520" s="44"/>
      <c r="AZ520" s="45"/>
      <c r="BA520" s="45"/>
      <c r="BB520" s="46"/>
      <c r="BC520" s="46"/>
      <c r="BD520" s="23" t="str">
        <f aca="false">IF(AND(ISNUMBER(BB520),ISNUMBER(BC520),BB520&gt;0),1-BC520/BB520,"")</f>
        <v/>
      </c>
      <c r="BE520" s="47"/>
      <c r="BF520" s="48"/>
      <c r="BG520" s="48"/>
      <c r="BH520" s="27" t="str">
        <f aca="false">IF(AND(ISNUMBER(BF520),ISNUMBER(BG520),BG520&gt;0),BF520/BG520,"")</f>
        <v/>
      </c>
      <c r="BI520" s="48"/>
      <c r="BJ520" s="44"/>
      <c r="BK520" s="46"/>
      <c r="BL520" s="46"/>
      <c r="BM520" s="36" t="str">
        <f aca="false">IF(ISNUMBER(Q520),IF(Q520&lt;0,"YES","no"),"")</f>
        <v>no</v>
      </c>
      <c r="BN520" s="36" t="str">
        <f aca="false">IFERROR(IF(AND(ISNUMBER(K520),ISNUMBER(INDEX('Lift Inputs'!$H:$H,MATCH(C520,'Lift Inputs'!$C:$C,0)))),IF(K520&lt;INDEX('Lift Inputs'!$H:$H,MATCH(C520,'Lift Inputs'!$C:$C,0)),"YES","no"),""),"")</f>
        <v/>
      </c>
      <c r="BO520" s="44"/>
    </row>
    <row r="521" customFormat="false" ht="15" hidden="false" customHeight="false" outlineLevel="0" collapsed="false">
      <c r="A521" s="15" t="s">
        <v>110</v>
      </c>
      <c r="B521" s="15" t="s">
        <v>140</v>
      </c>
      <c r="C521" s="15" t="n">
        <v>44</v>
      </c>
      <c r="D521" s="15" t="s">
        <v>227</v>
      </c>
      <c r="E521" s="15" t="n">
        <v>1812</v>
      </c>
      <c r="F521" s="15" t="s">
        <v>870</v>
      </c>
      <c r="G521" s="15" t="s">
        <v>871</v>
      </c>
      <c r="H521" s="15" t="s">
        <v>872</v>
      </c>
      <c r="I521" s="15" t="s">
        <v>384</v>
      </c>
      <c r="J521" s="15" t="s">
        <v>177</v>
      </c>
      <c r="K521" s="35" t="n">
        <v>42.99</v>
      </c>
      <c r="L521" s="35" t="n">
        <v>59.99</v>
      </c>
      <c r="M521" s="23" t="n">
        <f aca="false">IF(AND(ISNUMBER(L521),ISNUMBER(K521),K521&gt;0),L521/K521-1,"")</f>
        <v>0.39544080018609</v>
      </c>
      <c r="N521" s="36" t="str">
        <f aca="false">IF(M521="","No List Price",IF(M521&lt;=0,"At/below price",IF(M521&lt;=0.12,"&lt;=12% (STR zone)",IF(M521&lt;=0.25,"12-25%","&gt;25% (likely ignored)"))))</f>
        <v>&gt;25% (likely ignored)</v>
      </c>
      <c r="O521" s="15"/>
      <c r="P521" s="35" t="n">
        <v>31.8675510204082</v>
      </c>
      <c r="Q521" s="22" t="n">
        <f aca="false">IF(AND(ISNUMBER(K521),ISNUMBER(P521),N(P521)&gt;0),K521/P521-1,"")</f>
        <v>0.349021139794174</v>
      </c>
      <c r="R521" s="15" t="s">
        <v>353</v>
      </c>
      <c r="S521" s="37" t="n">
        <v>115669</v>
      </c>
      <c r="T521" s="37" t="n">
        <v>5</v>
      </c>
      <c r="U521" s="38" t="n">
        <f aca="false">IF(AND(ISNUMBER(K521),ISNUMBER(T521)),K521*T521*52/12,"")</f>
        <v>931.45</v>
      </c>
      <c r="V521" s="15" t="n">
        <v>4.7</v>
      </c>
      <c r="W521" s="37" t="n">
        <v>4</v>
      </c>
      <c r="X521" s="39" t="n">
        <v>46307</v>
      </c>
      <c r="Y521" s="15"/>
      <c r="Z521" s="40"/>
      <c r="AA521" s="41" t="str">
        <f aca="false">IF(ISNUMBER(Z521),(DATE(2026,10,13)-Z521)/365,"")</f>
        <v/>
      </c>
      <c r="AB521" s="37"/>
      <c r="AC521" s="15"/>
      <c r="AD521" s="15"/>
      <c r="AE521" s="15"/>
      <c r="AF521" s="42"/>
      <c r="AG521" s="42"/>
      <c r="AH521" s="15"/>
      <c r="AI521" s="37" t="n">
        <v>13712</v>
      </c>
      <c r="AJ521" s="37" t="n">
        <v>332</v>
      </c>
      <c r="AK521" s="15"/>
      <c r="AL521" s="43"/>
      <c r="AM521" s="43"/>
      <c r="AN521" s="25" t="str">
        <f aca="false">IF(AND(ISNUMBER(AM521),ISNUMBER(AL521),AL521&gt;=5),AM521/AL521,"")</f>
        <v/>
      </c>
      <c r="AO521" s="43"/>
      <c r="AP521" s="43"/>
      <c r="AQ521" s="25" t="str">
        <f aca="false">IF(AND(ISNUMBER(AP521),ISNUMBER(AO521),AO521&gt;=5),AP521/AO521,"")</f>
        <v/>
      </c>
      <c r="AR521" s="43"/>
      <c r="AS521" s="43"/>
      <c r="AT521" s="22" t="str">
        <f aca="false">IF(AND(ISNUMBER(AS521),ISNUMBER(AR521),AR521&gt;0),AS521/AR521-1,"")</f>
        <v/>
      </c>
      <c r="AU521" s="44"/>
      <c r="AV521" s="44"/>
      <c r="AW521" s="44"/>
      <c r="AX521" s="44"/>
      <c r="AY521" s="44"/>
      <c r="AZ521" s="45"/>
      <c r="BA521" s="45"/>
      <c r="BB521" s="46"/>
      <c r="BC521" s="46"/>
      <c r="BD521" s="23" t="str">
        <f aca="false">IF(AND(ISNUMBER(BB521),ISNUMBER(BC521),BB521&gt;0),1-BC521/BB521,"")</f>
        <v/>
      </c>
      <c r="BE521" s="47"/>
      <c r="BF521" s="48"/>
      <c r="BG521" s="48"/>
      <c r="BH521" s="27" t="str">
        <f aca="false">IF(AND(ISNUMBER(BF521),ISNUMBER(BG521),BG521&gt;0),BF521/BG521,"")</f>
        <v/>
      </c>
      <c r="BI521" s="48"/>
      <c r="BJ521" s="44"/>
      <c r="BK521" s="46"/>
      <c r="BL521" s="46"/>
      <c r="BM521" s="36" t="str">
        <f aca="false">IF(ISNUMBER(Q521),IF(Q521&lt;0,"YES","no"),"")</f>
        <v>no</v>
      </c>
      <c r="BN521" s="36" t="str">
        <f aca="false">IFERROR(IF(AND(ISNUMBER(K521),ISNUMBER(INDEX('Lift Inputs'!$H:$H,MATCH(C521,'Lift Inputs'!$C:$C,0)))),IF(K521&lt;INDEX('Lift Inputs'!$H:$H,MATCH(C521,'Lift Inputs'!$C:$C,0)),"YES","no"),""),"")</f>
        <v/>
      </c>
      <c r="BO521" s="44"/>
    </row>
    <row r="522" customFormat="false" ht="15" hidden="false" customHeight="false" outlineLevel="0" collapsed="false">
      <c r="A522" s="15" t="s">
        <v>110</v>
      </c>
      <c r="B522" s="15" t="s">
        <v>140</v>
      </c>
      <c r="C522" s="15" t="n">
        <v>44</v>
      </c>
      <c r="D522" s="15" t="s">
        <v>227</v>
      </c>
      <c r="E522" s="15" t="n">
        <v>1497</v>
      </c>
      <c r="F522" s="15" t="s">
        <v>307</v>
      </c>
      <c r="G522" s="15" t="s">
        <v>1018</v>
      </c>
      <c r="H522" s="15" t="s">
        <v>1019</v>
      </c>
      <c r="I522" s="15" t="s">
        <v>535</v>
      </c>
      <c r="J522" s="15" t="s">
        <v>178</v>
      </c>
      <c r="K522" s="35" t="n">
        <v>29.99</v>
      </c>
      <c r="L522" s="35"/>
      <c r="M522" s="23" t="str">
        <f aca="false">IF(AND(ISNUMBER(L522),ISNUMBER(K522),K522&gt;0),L522/K522-1,"")</f>
        <v/>
      </c>
      <c r="N522" s="36" t="str">
        <f aca="false">IF(M522="","No List Price",IF(M522&lt;=0,"At/below price",IF(M522&lt;=0.12,"&lt;=12% (STR zone)",IF(M522&lt;=0.25,"12-25%","&gt;25% (likely ignored)"))))</f>
        <v>No List Price</v>
      </c>
      <c r="O522" s="15"/>
      <c r="P522" s="35" t="n">
        <v>31.8675510204082</v>
      </c>
      <c r="Q522" s="22" t="n">
        <f aca="false">IF(AND(ISNUMBER(K522),ISNUMBER(P522),N(P522)&gt;0),K522/P522-1,"")</f>
        <v>-0.0589173300203009</v>
      </c>
      <c r="R522" s="15" t="s">
        <v>353</v>
      </c>
      <c r="S522" s="37" t="n">
        <v>616342</v>
      </c>
      <c r="T522" s="37" t="n">
        <v>5</v>
      </c>
      <c r="U522" s="38" t="n">
        <f aca="false">IF(AND(ISNUMBER(K522),ISNUMBER(T522)),K522*T522*52/12,"")</f>
        <v>649.783333333333</v>
      </c>
      <c r="V522" s="15" t="n">
        <v>4.3</v>
      </c>
      <c r="W522" s="37" t="n">
        <v>111</v>
      </c>
      <c r="X522" s="39" t="n">
        <v>46307</v>
      </c>
      <c r="Y522" s="15"/>
      <c r="Z522" s="40"/>
      <c r="AA522" s="41" t="str">
        <f aca="false">IF(ISNUMBER(Z522),(DATE(2026,10,13)-Z522)/365,"")</f>
        <v/>
      </c>
      <c r="AB522" s="37"/>
      <c r="AC522" s="15"/>
      <c r="AD522" s="15"/>
      <c r="AE522" s="15"/>
      <c r="AF522" s="42"/>
      <c r="AG522" s="42"/>
      <c r="AH522" s="15"/>
      <c r="AI522" s="37"/>
      <c r="AJ522" s="37"/>
      <c r="AK522" s="15"/>
      <c r="AL522" s="43"/>
      <c r="AM522" s="43"/>
      <c r="AN522" s="25" t="str">
        <f aca="false">IF(AND(ISNUMBER(AM522),ISNUMBER(AL522),AL522&gt;=5),AM522/AL522,"")</f>
        <v/>
      </c>
      <c r="AO522" s="43"/>
      <c r="AP522" s="43"/>
      <c r="AQ522" s="25" t="str">
        <f aca="false">IF(AND(ISNUMBER(AP522),ISNUMBER(AO522),AO522&gt;=5),AP522/AO522,"")</f>
        <v/>
      </c>
      <c r="AR522" s="43"/>
      <c r="AS522" s="43"/>
      <c r="AT522" s="22" t="str">
        <f aca="false">IF(AND(ISNUMBER(AS522),ISNUMBER(AR522),AR522&gt;0),AS522/AR522-1,"")</f>
        <v/>
      </c>
      <c r="AU522" s="44"/>
      <c r="AV522" s="44"/>
      <c r="AW522" s="44"/>
      <c r="AX522" s="44"/>
      <c r="AY522" s="44"/>
      <c r="AZ522" s="45"/>
      <c r="BA522" s="45"/>
      <c r="BB522" s="46"/>
      <c r="BC522" s="46"/>
      <c r="BD522" s="23" t="str">
        <f aca="false">IF(AND(ISNUMBER(BB522),ISNUMBER(BC522),BB522&gt;0),1-BC522/BB522,"")</f>
        <v/>
      </c>
      <c r="BE522" s="47"/>
      <c r="BF522" s="48"/>
      <c r="BG522" s="48"/>
      <c r="BH522" s="27" t="str">
        <f aca="false">IF(AND(ISNUMBER(BF522),ISNUMBER(BG522),BG522&gt;0),BF522/BG522,"")</f>
        <v/>
      </c>
      <c r="BI522" s="48"/>
      <c r="BJ522" s="44"/>
      <c r="BK522" s="46"/>
      <c r="BL522" s="46"/>
      <c r="BM522" s="36" t="str">
        <f aca="false">IF(ISNUMBER(Q522),IF(Q522&lt;0,"YES","no"),"")</f>
        <v>YES</v>
      </c>
      <c r="BN522" s="36" t="str">
        <f aca="false">IFERROR(IF(AND(ISNUMBER(K522),ISNUMBER(INDEX('Lift Inputs'!$H:$H,MATCH(C522,'Lift Inputs'!$C:$C,0)))),IF(K522&lt;INDEX('Lift Inputs'!$H:$H,MATCH(C522,'Lift Inputs'!$C:$C,0)),"YES","no"),""),"")</f>
        <v/>
      </c>
      <c r="BO522" s="44"/>
    </row>
    <row r="523" customFormat="false" ht="15" hidden="false" customHeight="false" outlineLevel="0" collapsed="false">
      <c r="A523" s="15" t="s">
        <v>110</v>
      </c>
      <c r="B523" s="15" t="s">
        <v>140</v>
      </c>
      <c r="C523" s="15" t="n">
        <v>44</v>
      </c>
      <c r="D523" s="15" t="s">
        <v>227</v>
      </c>
      <c r="E523" s="15" t="n">
        <v>495</v>
      </c>
      <c r="F523" s="15" t="s">
        <v>307</v>
      </c>
      <c r="G523" s="15" t="s">
        <v>308</v>
      </c>
      <c r="H523" s="15" t="s">
        <v>309</v>
      </c>
      <c r="I523" s="15" t="s">
        <v>310</v>
      </c>
      <c r="J523" s="15"/>
      <c r="K523" s="35" t="n">
        <v>62.99</v>
      </c>
      <c r="L523" s="35" t="n">
        <v>69.99</v>
      </c>
      <c r="M523" s="23" t="n">
        <f aca="false">IF(AND(ISNUMBER(L523),ISNUMBER(K523),K523&gt;0),L523/K523-1,"")</f>
        <v>0.111128750595332</v>
      </c>
      <c r="N523" s="36" t="str">
        <f aca="false">IF(M523="","No List Price",IF(M523&lt;=0,"At/below price",IF(M523&lt;=0.12,"&lt;=12% (STR zone)",IF(M523&lt;=0.25,"12-25%","&gt;25% (likely ignored)"))))</f>
        <v>&lt;=12% (STR zone)</v>
      </c>
      <c r="O523" s="15" t="s">
        <v>311</v>
      </c>
      <c r="P523" s="35" t="n">
        <v>31.8675510204082</v>
      </c>
      <c r="Q523" s="22" t="n">
        <f aca="false">IF(AND(ISNUMBER(K523),ISNUMBER(P523),N(P523)&gt;0),K523/P523-1,"")</f>
        <v>0.976618785662596</v>
      </c>
      <c r="R523" s="15" t="s">
        <v>312</v>
      </c>
      <c r="S523" s="37" t="n">
        <v>256</v>
      </c>
      <c r="T523" s="37" t="n">
        <v>809</v>
      </c>
      <c r="U523" s="38" t="n">
        <f aca="false">IF(AND(ISNUMBER(K523),ISNUMBER(T523)),K523*T523*52/12,"")</f>
        <v>220821.943333333</v>
      </c>
      <c r="V523" s="15" t="n">
        <v>4.4</v>
      </c>
      <c r="W523" s="37" t="n">
        <v>65061</v>
      </c>
      <c r="X523" s="39" t="n">
        <v>46307</v>
      </c>
      <c r="Y523" s="15" t="n">
        <v>131</v>
      </c>
      <c r="Z523" s="40" t="n">
        <v>43348</v>
      </c>
      <c r="AA523" s="41" t="n">
        <f aca="false">IF(ISNUMBER(Z523),(DATE(2026,10,13)-Z523)/365,"")</f>
        <v>8.10958904109589</v>
      </c>
      <c r="AB523" s="37" t="n">
        <v>45362</v>
      </c>
      <c r="AC523" s="15" t="s">
        <v>313</v>
      </c>
      <c r="AD523" s="15" t="n">
        <v>2</v>
      </c>
      <c r="AE523" s="15" t="s">
        <v>314</v>
      </c>
      <c r="AF523" s="42" t="n">
        <v>0.0164948453608247</v>
      </c>
      <c r="AG523" s="42" t="n">
        <v>0.00101190492103934</v>
      </c>
      <c r="AH523" s="15" t="n">
        <v>343</v>
      </c>
      <c r="AI523" s="37" t="n">
        <v>2166046</v>
      </c>
      <c r="AJ523" s="37" t="n">
        <v>6935</v>
      </c>
      <c r="AK523" s="15" t="s">
        <v>315</v>
      </c>
      <c r="AL523" s="43" t="n">
        <v>924.6</v>
      </c>
      <c r="AM523" s="43" t="n">
        <v>986.2</v>
      </c>
      <c r="AN523" s="25" t="n">
        <f aca="false">IF(AND(ISNUMBER(AM523),ISNUMBER(AL523),AL523&gt;=5),AM523/AL523,"")</f>
        <v>1.06662340471555</v>
      </c>
      <c r="AO523" s="43" t="n">
        <v>371.8</v>
      </c>
      <c r="AP523" s="43" t="n">
        <v>574.2</v>
      </c>
      <c r="AQ523" s="25" t="n">
        <f aca="false">IF(AND(ISNUMBER(AP523),ISNUMBER(AO523),AO523&gt;=5),AP523/AO523,"")</f>
        <v>1.54437869822485</v>
      </c>
      <c r="AR523" s="43" t="n">
        <v>832.8</v>
      </c>
      <c r="AS523" s="43" t="n">
        <v>785.1</v>
      </c>
      <c r="AT523" s="22" t="n">
        <f aca="false">IF(AND(ISNUMBER(AS523),ISNUMBER(AR523),AR523&gt;0),AS523/AR523-1,"")</f>
        <v>-0.0572766570605187</v>
      </c>
      <c r="AU523" s="44"/>
      <c r="AV523" s="44"/>
      <c r="AW523" s="44"/>
      <c r="AX523" s="44"/>
      <c r="AY523" s="44"/>
      <c r="AZ523" s="45"/>
      <c r="BA523" s="45"/>
      <c r="BB523" s="46"/>
      <c r="BC523" s="46"/>
      <c r="BD523" s="23" t="str">
        <f aca="false">IF(AND(ISNUMBER(BB523),ISNUMBER(BC523),BB523&gt;0),1-BC523/BB523,"")</f>
        <v/>
      </c>
      <c r="BE523" s="47"/>
      <c r="BF523" s="48"/>
      <c r="BG523" s="48"/>
      <c r="BH523" s="27" t="str">
        <f aca="false">IF(AND(ISNUMBER(BF523),ISNUMBER(BG523),BG523&gt;0),BF523/BG523,"")</f>
        <v/>
      </c>
      <c r="BI523" s="48"/>
      <c r="BJ523" s="44"/>
      <c r="BK523" s="46"/>
      <c r="BL523" s="46"/>
      <c r="BM523" s="36" t="str">
        <f aca="false">IF(ISNUMBER(Q523),IF(Q523&lt;0,"YES","no"),"")</f>
        <v>no</v>
      </c>
      <c r="BN523" s="36" t="str">
        <f aca="false">IFERROR(IF(AND(ISNUMBER(K523),ISNUMBER(INDEX('Lift Inputs'!$H:$H,MATCH(C523,'Lift Inputs'!$C:$C,0)))),IF(K523&lt;INDEX('Lift Inputs'!$H:$H,MATCH(C523,'Lift Inputs'!$C:$C,0)),"YES","no"),""),"")</f>
        <v/>
      </c>
      <c r="BO523" s="44"/>
    </row>
    <row r="524" customFormat="false" ht="15" hidden="false" customHeight="false" outlineLevel="0" collapsed="false">
      <c r="A524" s="15" t="s">
        <v>110</v>
      </c>
      <c r="B524" s="15" t="s">
        <v>140</v>
      </c>
      <c r="C524" s="15" t="n">
        <v>44</v>
      </c>
      <c r="D524" s="15" t="s">
        <v>227</v>
      </c>
      <c r="E524" s="15" t="n">
        <v>1811</v>
      </c>
      <c r="F524" s="15" t="s">
        <v>516</v>
      </c>
      <c r="G524" s="15" t="s">
        <v>853</v>
      </c>
      <c r="H524" s="15" t="s">
        <v>854</v>
      </c>
      <c r="I524" s="15" t="s">
        <v>384</v>
      </c>
      <c r="J524" s="15"/>
      <c r="K524" s="35" t="n">
        <v>224.25</v>
      </c>
      <c r="L524" s="35" t="n">
        <v>299</v>
      </c>
      <c r="M524" s="23" t="n">
        <f aca="false">IF(AND(ISNUMBER(L524),ISNUMBER(K524),K524&gt;0),L524/K524-1,"")</f>
        <v>0.333333333333333</v>
      </c>
      <c r="N524" s="36" t="str">
        <f aca="false">IF(M524="","No List Price",IF(M524&lt;=0,"At/below price",IF(M524&lt;=0.12,"&lt;=12% (STR zone)",IF(M524&lt;=0.25,"12-25%","&gt;25% (likely ignored)"))))</f>
        <v>&gt;25% (likely ignored)</v>
      </c>
      <c r="O524" s="15"/>
      <c r="P524" s="35" t="n">
        <v>31.8675510204082</v>
      </c>
      <c r="Q524" s="22" t="n">
        <f aca="false">IF(AND(ISNUMBER(K524),ISNUMBER(P524),N(P524)&gt;0),K524/P524-1,"")</f>
        <v>6.03693860429969</v>
      </c>
      <c r="R524" s="15" t="s">
        <v>353</v>
      </c>
      <c r="S524" s="37" t="n">
        <v>5255</v>
      </c>
      <c r="T524" s="37" t="n">
        <v>81</v>
      </c>
      <c r="U524" s="38" t="n">
        <f aca="false">IF(AND(ISNUMBER(K524),ISNUMBER(T524)),K524*T524*52/12,"")</f>
        <v>78711.75</v>
      </c>
      <c r="V524" s="15" t="n">
        <v>4.3</v>
      </c>
      <c r="W524" s="37" t="n">
        <v>1149</v>
      </c>
      <c r="X524" s="39" t="n">
        <v>46307</v>
      </c>
      <c r="Y524" s="15"/>
      <c r="Z524" s="40"/>
      <c r="AA524" s="41" t="str">
        <f aca="false">IF(ISNUMBER(Z524),(DATE(2026,10,13)-Z524)/365,"")</f>
        <v/>
      </c>
      <c r="AB524" s="37"/>
      <c r="AC524" s="15"/>
      <c r="AD524" s="15"/>
      <c r="AE524" s="15"/>
      <c r="AF524" s="42"/>
      <c r="AG524" s="42"/>
      <c r="AH524" s="15"/>
      <c r="AI524" s="37" t="n">
        <v>522593</v>
      </c>
      <c r="AJ524" s="37" t="n">
        <v>7281</v>
      </c>
      <c r="AK524" s="15"/>
      <c r="AL524" s="43"/>
      <c r="AM524" s="43"/>
      <c r="AN524" s="25" t="str">
        <f aca="false">IF(AND(ISNUMBER(AM524),ISNUMBER(AL524),AL524&gt;=5),AM524/AL524,"")</f>
        <v/>
      </c>
      <c r="AO524" s="43"/>
      <c r="AP524" s="43"/>
      <c r="AQ524" s="25" t="str">
        <f aca="false">IF(AND(ISNUMBER(AP524),ISNUMBER(AO524),AO524&gt;=5),AP524/AO524,"")</f>
        <v/>
      </c>
      <c r="AR524" s="43"/>
      <c r="AS524" s="43"/>
      <c r="AT524" s="22" t="str">
        <f aca="false">IF(AND(ISNUMBER(AS524),ISNUMBER(AR524),AR524&gt;0),AS524/AR524-1,"")</f>
        <v/>
      </c>
      <c r="AU524" s="44"/>
      <c r="AV524" s="44"/>
      <c r="AW524" s="44"/>
      <c r="AX524" s="44"/>
      <c r="AY524" s="44"/>
      <c r="AZ524" s="45"/>
      <c r="BA524" s="45"/>
      <c r="BB524" s="46"/>
      <c r="BC524" s="46"/>
      <c r="BD524" s="23" t="str">
        <f aca="false">IF(AND(ISNUMBER(BB524),ISNUMBER(BC524),BB524&gt;0),1-BC524/BB524,"")</f>
        <v/>
      </c>
      <c r="BE524" s="47"/>
      <c r="BF524" s="48"/>
      <c r="BG524" s="48"/>
      <c r="BH524" s="27" t="str">
        <f aca="false">IF(AND(ISNUMBER(BF524),ISNUMBER(BG524),BG524&gt;0),BF524/BG524,"")</f>
        <v/>
      </c>
      <c r="BI524" s="48"/>
      <c r="BJ524" s="44"/>
      <c r="BK524" s="46"/>
      <c r="BL524" s="46"/>
      <c r="BM524" s="36" t="str">
        <f aca="false">IF(ISNUMBER(Q524),IF(Q524&lt;0,"YES","no"),"")</f>
        <v>no</v>
      </c>
      <c r="BN524" s="36" t="str">
        <f aca="false">IFERROR(IF(AND(ISNUMBER(K524),ISNUMBER(INDEX('Lift Inputs'!$H:$H,MATCH(C524,'Lift Inputs'!$C:$C,0)))),IF(K524&lt;INDEX('Lift Inputs'!$H:$H,MATCH(C524,'Lift Inputs'!$C:$C,0)),"YES","no"),""),"")</f>
        <v/>
      </c>
      <c r="BO524" s="44"/>
    </row>
    <row r="525" customFormat="false" ht="15" hidden="false" customHeight="false" outlineLevel="0" collapsed="false">
      <c r="A525" s="15" t="s">
        <v>110</v>
      </c>
      <c r="B525" s="15" t="s">
        <v>140</v>
      </c>
      <c r="C525" s="15" t="n">
        <v>44</v>
      </c>
      <c r="D525" s="15" t="s">
        <v>227</v>
      </c>
      <c r="E525" s="15" t="n">
        <v>698</v>
      </c>
      <c r="F525" s="15" t="s">
        <v>354</v>
      </c>
      <c r="G525" s="15" t="s">
        <v>528</v>
      </c>
      <c r="H525" s="15" t="s">
        <v>529</v>
      </c>
      <c r="I525" s="15" t="s">
        <v>530</v>
      </c>
      <c r="J525" s="15"/>
      <c r="K525" s="35" t="n">
        <v>54.99</v>
      </c>
      <c r="L525" s="35"/>
      <c r="M525" s="23" t="str">
        <f aca="false">IF(AND(ISNUMBER(L525),ISNUMBER(K525),K525&gt;0),L525/K525-1,"")</f>
        <v/>
      </c>
      <c r="N525" s="36" t="str">
        <f aca="false">IF(M525="","No List Price",IF(M525&lt;=0,"At/below price",IF(M525&lt;=0.12,"&lt;=12% (STR zone)",IF(M525&lt;=0.25,"12-25%","&gt;25% (likely ignored)"))))</f>
        <v>No List Price</v>
      </c>
      <c r="O525" s="15" t="s">
        <v>320</v>
      </c>
      <c r="P525" s="35" t="n">
        <v>34.7266255144033</v>
      </c>
      <c r="Q525" s="22" t="n">
        <f aca="false">IF(AND(ISNUMBER(K525),ISNUMBER(P525),N(P525)&gt;0),K525/P525-1,"")</f>
        <v>0.583511187322023</v>
      </c>
      <c r="R525" s="15" t="s">
        <v>321</v>
      </c>
      <c r="S525" s="37" t="n">
        <v>13383</v>
      </c>
      <c r="T525" s="37" t="n">
        <v>35</v>
      </c>
      <c r="U525" s="38" t="n">
        <f aca="false">IF(AND(ISNUMBER(K525),ISNUMBER(T525)),K525*T525*52/12,"")</f>
        <v>8340.15</v>
      </c>
      <c r="V525" s="15" t="n">
        <v>4.5</v>
      </c>
      <c r="W525" s="37" t="n">
        <v>331</v>
      </c>
      <c r="X525" s="39" t="n">
        <v>46307</v>
      </c>
      <c r="Y525" s="15" t="n">
        <v>126</v>
      </c>
      <c r="Z525" s="40" t="n">
        <v>45387</v>
      </c>
      <c r="AA525" s="41" t="n">
        <f aca="false">IF(ISNUMBER(Z525),(DATE(2026,10,13)-Z525)/365,"")</f>
        <v>2.52328767123288</v>
      </c>
      <c r="AB525" s="37" t="n">
        <v>3003</v>
      </c>
      <c r="AC525" s="15" t="s">
        <v>313</v>
      </c>
      <c r="AD525" s="15" t="n">
        <v>1</v>
      </c>
      <c r="AE525" s="15" t="s">
        <v>314</v>
      </c>
      <c r="AF525" s="42" t="n">
        <v>0.0119047619047619</v>
      </c>
      <c r="AG525" s="42" t="n">
        <v>0</v>
      </c>
      <c r="AH525" s="15" t="n">
        <v>125</v>
      </c>
      <c r="AI525" s="37" t="n">
        <v>157609</v>
      </c>
      <c r="AJ525" s="37" t="n">
        <v>2308</v>
      </c>
      <c r="AK525" s="15" t="s">
        <v>531</v>
      </c>
      <c r="AL525" s="43" t="n">
        <v>19.8</v>
      </c>
      <c r="AM525" s="43" t="n">
        <v>25.8</v>
      </c>
      <c r="AN525" s="25" t="n">
        <f aca="false">IF(AND(ISNUMBER(AM525),ISNUMBER(AL525),AL525&gt;=5),AM525/AL525,"")</f>
        <v>1.3030303030303</v>
      </c>
      <c r="AO525" s="43" t="n">
        <v>3.8</v>
      </c>
      <c r="AP525" s="43" t="n">
        <v>38.2</v>
      </c>
      <c r="AQ525" s="25" t="str">
        <f aca="false">IF(AND(ISNUMBER(AP525),ISNUMBER(AO525),AO525&gt;=5),AP525/AO525,"")</f>
        <v/>
      </c>
      <c r="AR525" s="43" t="n">
        <v>31.9</v>
      </c>
      <c r="AS525" s="43" t="n">
        <v>29.5</v>
      </c>
      <c r="AT525" s="22" t="n">
        <f aca="false">IF(AND(ISNUMBER(AS525),ISNUMBER(AR525),AR525&gt;0),AS525/AR525-1,"")</f>
        <v>-0.0752351097178683</v>
      </c>
      <c r="AU525" s="44"/>
      <c r="AV525" s="44"/>
      <c r="AW525" s="44"/>
      <c r="AX525" s="44"/>
      <c r="AY525" s="44"/>
      <c r="AZ525" s="45"/>
      <c r="BA525" s="45"/>
      <c r="BB525" s="46"/>
      <c r="BC525" s="46"/>
      <c r="BD525" s="23" t="str">
        <f aca="false">IF(AND(ISNUMBER(BB525),ISNUMBER(BC525),BB525&gt;0),1-BC525/BB525,"")</f>
        <v/>
      </c>
      <c r="BE525" s="47"/>
      <c r="BF525" s="48"/>
      <c r="BG525" s="48"/>
      <c r="BH525" s="27" t="str">
        <f aca="false">IF(AND(ISNUMBER(BF525),ISNUMBER(BG525),BG525&gt;0),BF525/BG525,"")</f>
        <v/>
      </c>
      <c r="BI525" s="48"/>
      <c r="BJ525" s="44"/>
      <c r="BK525" s="46"/>
      <c r="BL525" s="46"/>
      <c r="BM525" s="36" t="str">
        <f aca="false">IF(ISNUMBER(Q525),IF(Q525&lt;0,"YES","no"),"")</f>
        <v>no</v>
      </c>
      <c r="BN525" s="36" t="str">
        <f aca="false">IFERROR(IF(AND(ISNUMBER(K525),ISNUMBER(INDEX('Lift Inputs'!$H:$H,MATCH(C525,'Lift Inputs'!$C:$C,0)))),IF(K525&lt;INDEX('Lift Inputs'!$H:$H,MATCH(C525,'Lift Inputs'!$C:$C,0)),"YES","no"),""),"")</f>
        <v/>
      </c>
      <c r="BO525" s="44"/>
    </row>
    <row r="526" customFormat="false" ht="15" hidden="false" customHeight="false" outlineLevel="0" collapsed="false">
      <c r="A526" s="15" t="s">
        <v>144</v>
      </c>
      <c r="B526" s="15" t="s">
        <v>145</v>
      </c>
      <c r="C526" s="15" t="n">
        <v>46</v>
      </c>
      <c r="D526" s="15" t="s">
        <v>218</v>
      </c>
      <c r="E526" s="15" t="n">
        <v>1481</v>
      </c>
      <c r="F526" s="15" t="s">
        <v>327</v>
      </c>
      <c r="G526" s="15" t="s">
        <v>1020</v>
      </c>
      <c r="H526" s="15" t="s">
        <v>1021</v>
      </c>
      <c r="I526" s="15" t="s">
        <v>1022</v>
      </c>
      <c r="J526" s="15" t="s">
        <v>176</v>
      </c>
      <c r="K526" s="35" t="n">
        <v>25.99</v>
      </c>
      <c r="L526" s="35" t="n">
        <v>31.99</v>
      </c>
      <c r="M526" s="23" t="n">
        <f aca="false">IF(AND(ISNUMBER(L526),ISNUMBER(K526),K526&gt;0),L526/K526-1,"")</f>
        <v>0.230858022316276</v>
      </c>
      <c r="N526" s="36" t="str">
        <f aca="false">IF(M526="","No List Price",IF(M526&lt;=0,"At/below price",IF(M526&lt;=0.12,"&lt;=12% (STR zone)",IF(M526&lt;=0.25,"12-25%","&gt;25% (likely ignored)"))))</f>
        <v>12-25%</v>
      </c>
      <c r="O526" s="15" t="s">
        <v>311</v>
      </c>
      <c r="P526" s="35" t="n">
        <v>28.99</v>
      </c>
      <c r="Q526" s="22" t="n">
        <f aca="false">IF(AND(ISNUMBER(K526),ISNUMBER(P526),N(P526)&gt;0),K526/P526-1,"")</f>
        <v>-0.103483959986202</v>
      </c>
      <c r="R526" s="15" t="s">
        <v>312</v>
      </c>
      <c r="S526" s="37" t="n">
        <v>368</v>
      </c>
      <c r="T526" s="37" t="n">
        <v>809</v>
      </c>
      <c r="U526" s="38" t="n">
        <f aca="false">IF(AND(ISNUMBER(K526),ISNUMBER(T526)),K526*T526*52/12,"")</f>
        <v>91112.2766666667</v>
      </c>
      <c r="V526" s="15" t="n">
        <v>4.6</v>
      </c>
      <c r="W526" s="37" t="n">
        <v>9469</v>
      </c>
      <c r="X526" s="39" t="n">
        <v>46307</v>
      </c>
      <c r="Y526" s="15" t="n">
        <v>280</v>
      </c>
      <c r="Z526" s="40" t="n">
        <v>44123</v>
      </c>
      <c r="AA526" s="41" t="n">
        <f aca="false">IF(ISNUMBER(Z526),(DATE(2026,10,13)-Z526)/365,"")</f>
        <v>5.98630136986301</v>
      </c>
      <c r="AB526" s="37" t="n">
        <v>27722</v>
      </c>
      <c r="AC526" s="15" t="s">
        <v>313</v>
      </c>
      <c r="AD526" s="15" t="n">
        <v>5</v>
      </c>
      <c r="AE526" s="15" t="s">
        <v>331</v>
      </c>
      <c r="AF526" s="42" t="n">
        <v>0.264</v>
      </c>
      <c r="AG526" s="42" t="n">
        <v>0.0194351508251481</v>
      </c>
      <c r="AH526" s="15" t="n">
        <v>467</v>
      </c>
      <c r="AI526" s="37"/>
      <c r="AJ526" s="37"/>
      <c r="AK526" s="15" t="s">
        <v>326</v>
      </c>
      <c r="AL526" s="43" t="n">
        <v>2200.9</v>
      </c>
      <c r="AM526" s="43" t="n">
        <v>2056.2</v>
      </c>
      <c r="AN526" s="25" t="n">
        <f aca="false">IF(AND(ISNUMBER(AM526),ISNUMBER(AL526),AL526&gt;=5),AM526/AL526,"")</f>
        <v>0.934254168749148</v>
      </c>
      <c r="AO526" s="43" t="n">
        <v>88.8</v>
      </c>
      <c r="AP526" s="43" t="n">
        <v>32.8</v>
      </c>
      <c r="AQ526" s="25" t="n">
        <f aca="false">IF(AND(ISNUMBER(AP526),ISNUMBER(AO526),AO526&gt;=5),AP526/AO526,"")</f>
        <v>0.369369369369369</v>
      </c>
      <c r="AR526" s="43" t="n">
        <v>2141.5</v>
      </c>
      <c r="AS526" s="43" t="n">
        <v>2179.4</v>
      </c>
      <c r="AT526" s="22" t="n">
        <f aca="false">IF(AND(ISNUMBER(AS526),ISNUMBER(AR526),AR526&gt;0),AS526/AR526-1,"")</f>
        <v>0.0176978753210366</v>
      </c>
      <c r="AU526" s="44"/>
      <c r="AV526" s="44"/>
      <c r="AW526" s="44"/>
      <c r="AX526" s="44"/>
      <c r="AY526" s="44"/>
      <c r="AZ526" s="45"/>
      <c r="BA526" s="45"/>
      <c r="BB526" s="46"/>
      <c r="BC526" s="46"/>
      <c r="BD526" s="23" t="str">
        <f aca="false">IF(AND(ISNUMBER(BB526),ISNUMBER(BC526),BB526&gt;0),1-BC526/BB526,"")</f>
        <v/>
      </c>
      <c r="BE526" s="47"/>
      <c r="BF526" s="48"/>
      <c r="BG526" s="48"/>
      <c r="BH526" s="27" t="str">
        <f aca="false">IF(AND(ISNUMBER(BF526),ISNUMBER(BG526),BG526&gt;0),BF526/BG526,"")</f>
        <v/>
      </c>
      <c r="BI526" s="48"/>
      <c r="BJ526" s="44"/>
      <c r="BK526" s="46"/>
      <c r="BL526" s="46"/>
      <c r="BM526" s="36" t="str">
        <f aca="false">IF(ISNUMBER(Q526),IF(Q526&lt;0,"YES","no"),"")</f>
        <v>YES</v>
      </c>
      <c r="BN526" s="36" t="str">
        <f aca="false">IFERROR(IF(AND(ISNUMBER(K526),ISNUMBER(INDEX('Lift Inputs'!$H:$H,MATCH(C526,'Lift Inputs'!$C:$C,0)))),IF(K526&lt;INDEX('Lift Inputs'!$H:$H,MATCH(C526,'Lift Inputs'!$C:$C,0)),"YES","no"),""),"")</f>
        <v/>
      </c>
      <c r="BO526" s="44"/>
    </row>
    <row r="527" customFormat="false" ht="15" hidden="false" customHeight="false" outlineLevel="0" collapsed="false">
      <c r="A527" s="15" t="s">
        <v>144</v>
      </c>
      <c r="B527" s="15" t="s">
        <v>145</v>
      </c>
      <c r="C527" s="15" t="n">
        <v>46</v>
      </c>
      <c r="D527" s="15" t="s">
        <v>218</v>
      </c>
      <c r="E527" s="15" t="n">
        <v>334</v>
      </c>
      <c r="F527" s="15" t="s">
        <v>1023</v>
      </c>
      <c r="G527" s="15" t="s">
        <v>1024</v>
      </c>
      <c r="H527" s="15" t="s">
        <v>1025</v>
      </c>
      <c r="I527" s="15" t="s">
        <v>1026</v>
      </c>
      <c r="J527" s="15" t="s">
        <v>176</v>
      </c>
      <c r="K527" s="35" t="n">
        <v>27.99</v>
      </c>
      <c r="L527" s="35"/>
      <c r="M527" s="23" t="str">
        <f aca="false">IF(AND(ISNUMBER(L527),ISNUMBER(K527),K527&gt;0),L527/K527-1,"")</f>
        <v/>
      </c>
      <c r="N527" s="36" t="str">
        <f aca="false">IF(M527="","No List Price",IF(M527&lt;=0,"At/below price",IF(M527&lt;=0.12,"&lt;=12% (STR zone)",IF(M527&lt;=0.25,"12-25%","&gt;25% (likely ignored)"))))</f>
        <v>No List Price</v>
      </c>
      <c r="O527" s="15" t="s">
        <v>311</v>
      </c>
      <c r="P527" s="35" t="n">
        <v>28.99</v>
      </c>
      <c r="Q527" s="22" t="n">
        <f aca="false">IF(AND(ISNUMBER(K527),ISNUMBER(P527),N(P527)&gt;0),K527/P527-1,"")</f>
        <v>-0.034494653328734</v>
      </c>
      <c r="R527" s="15" t="s">
        <v>312</v>
      </c>
      <c r="S527" s="37" t="n">
        <v>9598</v>
      </c>
      <c r="T527" s="37" t="n">
        <v>347</v>
      </c>
      <c r="U527" s="38" t="n">
        <f aca="false">IF(AND(ISNUMBER(K527),ISNUMBER(T527)),K527*T527*52/12,"")</f>
        <v>42087.63</v>
      </c>
      <c r="V527" s="15" t="n">
        <v>4.3</v>
      </c>
      <c r="W527" s="37" t="n">
        <v>1454</v>
      </c>
      <c r="X527" s="39" t="n">
        <v>46307</v>
      </c>
      <c r="Y527" s="15" t="n">
        <v>113</v>
      </c>
      <c r="Z527" s="40" t="n">
        <v>45474</v>
      </c>
      <c r="AA527" s="41" t="n">
        <f aca="false">IF(ISNUMBER(Z527),(DATE(2026,10,13)-Z527)/365,"")</f>
        <v>2.28493150684932</v>
      </c>
      <c r="AB527" s="37" t="n">
        <v>3751</v>
      </c>
      <c r="AC527" s="15" t="s">
        <v>313</v>
      </c>
      <c r="AD527" s="15" t="n">
        <v>2</v>
      </c>
      <c r="AE527" s="15" t="s">
        <v>331</v>
      </c>
      <c r="AF527" s="42" t="n">
        <v>0</v>
      </c>
      <c r="AG527" s="42" t="n">
        <v>0</v>
      </c>
      <c r="AH527" s="15" t="n">
        <v>396</v>
      </c>
      <c r="AI527" s="37"/>
      <c r="AJ527" s="37"/>
      <c r="AK527" s="15" t="s">
        <v>326</v>
      </c>
      <c r="AL527" s="43" t="n">
        <v>571.1</v>
      </c>
      <c r="AM527" s="43" t="n">
        <v>646.5</v>
      </c>
      <c r="AN527" s="25" t="n">
        <f aca="false">IF(AND(ISNUMBER(AM527),ISNUMBER(AL527),AL527&gt;=5),AM527/AL527,"")</f>
        <v>1.13202591490107</v>
      </c>
      <c r="AO527" s="43" t="n">
        <v>14.4</v>
      </c>
      <c r="AP527" s="43" t="n">
        <v>20.5</v>
      </c>
      <c r="AQ527" s="25" t="n">
        <f aca="false">IF(AND(ISNUMBER(AP527),ISNUMBER(AO527),AO527&gt;=5),AP527/AO527,"")</f>
        <v>1.42361111111111</v>
      </c>
      <c r="AR527" s="43" t="n">
        <v>636.2</v>
      </c>
      <c r="AS527" s="43" t="n">
        <v>686.7</v>
      </c>
      <c r="AT527" s="22" t="n">
        <f aca="false">IF(AND(ISNUMBER(AS527),ISNUMBER(AR527),AR527&gt;0),AS527/AR527-1,"")</f>
        <v>0.07937755422823</v>
      </c>
      <c r="AU527" s="44"/>
      <c r="AV527" s="44"/>
      <c r="AW527" s="44"/>
      <c r="AX527" s="44"/>
      <c r="AY527" s="44"/>
      <c r="AZ527" s="45"/>
      <c r="BA527" s="45"/>
      <c r="BB527" s="46"/>
      <c r="BC527" s="46"/>
      <c r="BD527" s="23" t="str">
        <f aca="false">IF(AND(ISNUMBER(BB527),ISNUMBER(BC527),BB527&gt;0),1-BC527/BB527,"")</f>
        <v/>
      </c>
      <c r="BE527" s="47"/>
      <c r="BF527" s="48"/>
      <c r="BG527" s="48"/>
      <c r="BH527" s="27" t="str">
        <f aca="false">IF(AND(ISNUMBER(BF527),ISNUMBER(BG527),BG527&gt;0),BF527/BG527,"")</f>
        <v/>
      </c>
      <c r="BI527" s="48"/>
      <c r="BJ527" s="44"/>
      <c r="BK527" s="46"/>
      <c r="BL527" s="46"/>
      <c r="BM527" s="36" t="str">
        <f aca="false">IF(ISNUMBER(Q527),IF(Q527&lt;0,"YES","no"),"")</f>
        <v>YES</v>
      </c>
      <c r="BN527" s="36" t="str">
        <f aca="false">IFERROR(IF(AND(ISNUMBER(K527),ISNUMBER(INDEX('Lift Inputs'!$H:$H,MATCH(C527,'Lift Inputs'!$C:$C,0)))),IF(K527&lt;INDEX('Lift Inputs'!$H:$H,MATCH(C527,'Lift Inputs'!$C:$C,0)),"YES","no"),""),"")</f>
        <v/>
      </c>
      <c r="BO527" s="44"/>
    </row>
    <row r="528" customFormat="false" ht="15" hidden="false" customHeight="false" outlineLevel="0" collapsed="false">
      <c r="A528" s="15" t="s">
        <v>144</v>
      </c>
      <c r="B528" s="15" t="s">
        <v>145</v>
      </c>
      <c r="C528" s="15" t="n">
        <v>46</v>
      </c>
      <c r="D528" s="15" t="s">
        <v>218</v>
      </c>
      <c r="E528" s="15" t="n">
        <v>336</v>
      </c>
      <c r="F528" s="15" t="s">
        <v>1027</v>
      </c>
      <c r="G528" s="15" t="s">
        <v>1028</v>
      </c>
      <c r="H528" s="15" t="s">
        <v>1029</v>
      </c>
      <c r="I528" s="15" t="s">
        <v>1030</v>
      </c>
      <c r="J528" s="15" t="s">
        <v>176</v>
      </c>
      <c r="K528" s="35" t="n">
        <v>29.99</v>
      </c>
      <c r="L528" s="35"/>
      <c r="M528" s="23" t="str">
        <f aca="false">IF(AND(ISNUMBER(L528),ISNUMBER(K528),K528&gt;0),L528/K528-1,"")</f>
        <v/>
      </c>
      <c r="N528" s="36" t="str">
        <f aca="false">IF(M528="","No List Price",IF(M528&lt;=0,"At/below price",IF(M528&lt;=0.12,"&lt;=12% (STR zone)",IF(M528&lt;=0.25,"12-25%","&gt;25% (likely ignored)"))))</f>
        <v>No List Price</v>
      </c>
      <c r="O528" s="15" t="s">
        <v>311</v>
      </c>
      <c r="P528" s="35" t="n">
        <v>28.99</v>
      </c>
      <c r="Q528" s="22" t="n">
        <f aca="false">IF(AND(ISNUMBER(K528),ISNUMBER(P528),N(P528)&gt;0),K528/P528-1,"")</f>
        <v>0.034494653328734</v>
      </c>
      <c r="R528" s="15" t="s">
        <v>312</v>
      </c>
      <c r="S528" s="37" t="n">
        <v>5785</v>
      </c>
      <c r="T528" s="37" t="n">
        <v>185</v>
      </c>
      <c r="U528" s="38" t="n">
        <f aca="false">IF(AND(ISNUMBER(K528),ISNUMBER(T528)),K528*T528*52/12,"")</f>
        <v>24041.9833333333</v>
      </c>
      <c r="V528" s="15" t="n">
        <v>4.6</v>
      </c>
      <c r="W528" s="37" t="n">
        <v>9080</v>
      </c>
      <c r="X528" s="39" t="n">
        <v>46307</v>
      </c>
      <c r="Y528" s="15" t="n">
        <v>81</v>
      </c>
      <c r="Z528" s="40" t="n">
        <v>43893</v>
      </c>
      <c r="AA528" s="41" t="n">
        <f aca="false">IF(ISNUMBER(Z528),(DATE(2026,10,13)-Z528)/365,"")</f>
        <v>6.61643835616438</v>
      </c>
      <c r="AB528" s="37" t="n">
        <v>5360</v>
      </c>
      <c r="AC528" s="15" t="s">
        <v>313</v>
      </c>
      <c r="AD528" s="15" t="n">
        <v>1</v>
      </c>
      <c r="AE528" s="15" t="s">
        <v>331</v>
      </c>
      <c r="AF528" s="42" t="n">
        <v>0.004</v>
      </c>
      <c r="AG528" s="42" t="n">
        <v>0.00987062923918822</v>
      </c>
      <c r="AH528" s="15" t="n">
        <v>325</v>
      </c>
      <c r="AI528" s="37"/>
      <c r="AJ528" s="37"/>
      <c r="AK528" s="15" t="s">
        <v>326</v>
      </c>
      <c r="AL528" s="43" t="n">
        <v>239.3</v>
      </c>
      <c r="AM528" s="43" t="n">
        <v>272.5</v>
      </c>
      <c r="AN528" s="25" t="n">
        <f aca="false">IF(AND(ISNUMBER(AM528),ISNUMBER(AL528),AL528&gt;=5),AM528/AL528,"")</f>
        <v>1.13873798579189</v>
      </c>
      <c r="AO528" s="43" t="n">
        <v>8.3</v>
      </c>
      <c r="AP528" s="43" t="n">
        <v>3</v>
      </c>
      <c r="AQ528" s="25" t="n">
        <f aca="false">IF(AND(ISNUMBER(AP528),ISNUMBER(AO528),AO528&gt;=5),AP528/AO528,"")</f>
        <v>0.36144578313253</v>
      </c>
      <c r="AR528" s="43" t="n">
        <v>298.5</v>
      </c>
      <c r="AS528" s="43" t="n">
        <v>275.2</v>
      </c>
      <c r="AT528" s="22" t="n">
        <f aca="false">IF(AND(ISNUMBER(AS528),ISNUMBER(AR528),AR528&gt;0),AS528/AR528-1,"")</f>
        <v>-0.0780569514237857</v>
      </c>
      <c r="AU528" s="44"/>
      <c r="AV528" s="44"/>
      <c r="AW528" s="44"/>
      <c r="AX528" s="44"/>
      <c r="AY528" s="44"/>
      <c r="AZ528" s="45"/>
      <c r="BA528" s="45"/>
      <c r="BB528" s="46"/>
      <c r="BC528" s="46"/>
      <c r="BD528" s="23" t="str">
        <f aca="false">IF(AND(ISNUMBER(BB528),ISNUMBER(BC528),BB528&gt;0),1-BC528/BB528,"")</f>
        <v/>
      </c>
      <c r="BE528" s="47"/>
      <c r="BF528" s="48"/>
      <c r="BG528" s="48"/>
      <c r="BH528" s="27" t="str">
        <f aca="false">IF(AND(ISNUMBER(BF528),ISNUMBER(BG528),BG528&gt;0),BF528/BG528,"")</f>
        <v/>
      </c>
      <c r="BI528" s="48"/>
      <c r="BJ528" s="44"/>
      <c r="BK528" s="46"/>
      <c r="BL528" s="46"/>
      <c r="BM528" s="36" t="str">
        <f aca="false">IF(ISNUMBER(Q528),IF(Q528&lt;0,"YES","no"),"")</f>
        <v>no</v>
      </c>
      <c r="BN528" s="36" t="str">
        <f aca="false">IFERROR(IF(AND(ISNUMBER(K528),ISNUMBER(INDEX('Lift Inputs'!$H:$H,MATCH(C528,'Lift Inputs'!$C:$C,0)))),IF(K528&lt;INDEX('Lift Inputs'!$H:$H,MATCH(C528,'Lift Inputs'!$C:$C,0)),"YES","no"),""),"")</f>
        <v/>
      </c>
      <c r="BO528" s="44"/>
    </row>
    <row r="529" customFormat="false" ht="15" hidden="false" customHeight="false" outlineLevel="0" collapsed="false">
      <c r="A529" s="15" t="s">
        <v>144</v>
      </c>
      <c r="B529" s="15" t="s">
        <v>145</v>
      </c>
      <c r="C529" s="15" t="n">
        <v>46</v>
      </c>
      <c r="D529" s="15" t="s">
        <v>218</v>
      </c>
      <c r="E529" s="15" t="n">
        <v>335</v>
      </c>
      <c r="F529" s="15" t="s">
        <v>1031</v>
      </c>
      <c r="G529" s="15" t="s">
        <v>1032</v>
      </c>
      <c r="H529" s="15" t="s">
        <v>1033</v>
      </c>
      <c r="I529" s="15" t="s">
        <v>1034</v>
      </c>
      <c r="J529" s="15" t="s">
        <v>176</v>
      </c>
      <c r="K529" s="35" t="n">
        <v>25.19</v>
      </c>
      <c r="L529" s="35" t="n">
        <v>27.99</v>
      </c>
      <c r="M529" s="23" t="n">
        <f aca="false">IF(AND(ISNUMBER(L529),ISNUMBER(K529),K529&gt;0),L529/K529-1,"")</f>
        <v>0.111155220325526</v>
      </c>
      <c r="N529" s="36" t="str">
        <f aca="false">IF(M529="","No List Price",IF(M529&lt;=0,"At/below price",IF(M529&lt;=0.12,"&lt;=12% (STR zone)",IF(M529&lt;=0.25,"12-25%","&gt;25% (likely ignored)"))))</f>
        <v>&lt;=12% (STR zone)</v>
      </c>
      <c r="O529" s="15" t="s">
        <v>520</v>
      </c>
      <c r="P529" s="35" t="n">
        <v>28.99</v>
      </c>
      <c r="Q529" s="22" t="n">
        <f aca="false">IF(AND(ISNUMBER(K529),ISNUMBER(P529),N(P529)&gt;0),K529/P529-1,"")</f>
        <v>-0.131079682649189</v>
      </c>
      <c r="R529" s="15" t="s">
        <v>353</v>
      </c>
      <c r="S529" s="37" t="n">
        <v>6071</v>
      </c>
      <c r="T529" s="37" t="n">
        <v>104</v>
      </c>
      <c r="U529" s="38" t="n">
        <f aca="false">IF(AND(ISNUMBER(K529),ISNUMBER(T529)),K529*T529*52/12,"")</f>
        <v>11352.2933333333</v>
      </c>
      <c r="V529" s="15" t="n">
        <v>4.5</v>
      </c>
      <c r="W529" s="37" t="n">
        <v>17360</v>
      </c>
      <c r="X529" s="39" t="n">
        <v>46307</v>
      </c>
      <c r="Y529" s="15" t="n">
        <v>96</v>
      </c>
      <c r="Z529" s="40" t="n">
        <v>43612</v>
      </c>
      <c r="AA529" s="41" t="n">
        <f aca="false">IF(ISNUMBER(Z529),(DATE(2026,10,13)-Z529)/365,"")</f>
        <v>7.38630136986301</v>
      </c>
      <c r="AB529" s="37" t="n">
        <v>5190</v>
      </c>
      <c r="AC529" s="15" t="s">
        <v>313</v>
      </c>
      <c r="AD529" s="15" t="n">
        <v>2</v>
      </c>
      <c r="AE529" s="15" t="s">
        <v>331</v>
      </c>
      <c r="AF529" s="42" t="n">
        <v>0</v>
      </c>
      <c r="AG529" s="42" t="n">
        <v>0</v>
      </c>
      <c r="AH529" s="15" t="n">
        <v>470</v>
      </c>
      <c r="AI529" s="37"/>
      <c r="AJ529" s="37"/>
      <c r="AK529" s="15" t="s">
        <v>326</v>
      </c>
      <c r="AL529" s="43" t="n">
        <v>348.8</v>
      </c>
      <c r="AM529" s="43" t="n">
        <v>400.5</v>
      </c>
      <c r="AN529" s="25" t="n">
        <f aca="false">IF(AND(ISNUMBER(AM529),ISNUMBER(AL529),AL529&gt;=5),AM529/AL529,"")</f>
        <v>1.14822247706422</v>
      </c>
      <c r="AO529" s="43" t="n">
        <v>0.8</v>
      </c>
      <c r="AP529" s="43" t="n">
        <v>6.2</v>
      </c>
      <c r="AQ529" s="25" t="str">
        <f aca="false">IF(AND(ISNUMBER(AP529),ISNUMBER(AO529),AO529&gt;=5),AP529/AO529,"")</f>
        <v/>
      </c>
      <c r="AR529" s="43" t="n">
        <v>365.4</v>
      </c>
      <c r="AS529" s="43" t="n">
        <v>280.8</v>
      </c>
      <c r="AT529" s="22" t="n">
        <f aca="false">IF(AND(ISNUMBER(AS529),ISNUMBER(AR529),AR529&gt;0),AS529/AR529-1,"")</f>
        <v>-0.231527093596059</v>
      </c>
      <c r="AU529" s="44"/>
      <c r="AV529" s="44"/>
      <c r="AW529" s="44"/>
      <c r="AX529" s="44"/>
      <c r="AY529" s="44"/>
      <c r="AZ529" s="45"/>
      <c r="BA529" s="45"/>
      <c r="BB529" s="46"/>
      <c r="BC529" s="46"/>
      <c r="BD529" s="23" t="str">
        <f aca="false">IF(AND(ISNUMBER(BB529),ISNUMBER(BC529),BB529&gt;0),1-BC529/BB529,"")</f>
        <v/>
      </c>
      <c r="BE529" s="47"/>
      <c r="BF529" s="48"/>
      <c r="BG529" s="48"/>
      <c r="BH529" s="27" t="str">
        <f aca="false">IF(AND(ISNUMBER(BF529),ISNUMBER(BG529),BG529&gt;0),BF529/BG529,"")</f>
        <v/>
      </c>
      <c r="BI529" s="48"/>
      <c r="BJ529" s="44"/>
      <c r="BK529" s="46"/>
      <c r="BL529" s="46"/>
      <c r="BM529" s="36" t="str">
        <f aca="false">IF(ISNUMBER(Q529),IF(Q529&lt;0,"YES","no"),"")</f>
        <v>YES</v>
      </c>
      <c r="BN529" s="36" t="str">
        <f aca="false">IFERROR(IF(AND(ISNUMBER(K529),ISNUMBER(INDEX('Lift Inputs'!$H:$H,MATCH(C529,'Lift Inputs'!$C:$C,0)))),IF(K529&lt;INDEX('Lift Inputs'!$H:$H,MATCH(C529,'Lift Inputs'!$C:$C,0)),"YES","no"),""),"")</f>
        <v/>
      </c>
      <c r="BO529" s="44"/>
    </row>
    <row r="530" customFormat="false" ht="15" hidden="false" customHeight="false" outlineLevel="0" collapsed="false">
      <c r="A530" s="15" t="s">
        <v>144</v>
      </c>
      <c r="B530" s="15" t="s">
        <v>145</v>
      </c>
      <c r="C530" s="15" t="n">
        <v>46</v>
      </c>
      <c r="D530" s="15" t="s">
        <v>218</v>
      </c>
      <c r="E530" s="15" t="n">
        <v>339</v>
      </c>
      <c r="F530" s="15" t="s">
        <v>1035</v>
      </c>
      <c r="G530" s="15" t="s">
        <v>1036</v>
      </c>
      <c r="H530" s="15" t="s">
        <v>1037</v>
      </c>
      <c r="I530" s="15" t="s">
        <v>1038</v>
      </c>
      <c r="J530" s="15" t="s">
        <v>176</v>
      </c>
      <c r="K530" s="35" t="n">
        <v>29.99</v>
      </c>
      <c r="L530" s="35"/>
      <c r="M530" s="23" t="str">
        <f aca="false">IF(AND(ISNUMBER(L530),ISNUMBER(K530),K530&gt;0),L530/K530-1,"")</f>
        <v/>
      </c>
      <c r="N530" s="36" t="str">
        <f aca="false">IF(M530="","No List Price",IF(M530&lt;=0,"At/below price",IF(M530&lt;=0.12,"&lt;=12% (STR zone)",IF(M530&lt;=0.25,"12-25%","&gt;25% (likely ignored)"))))</f>
        <v>No List Price</v>
      </c>
      <c r="O530" s="15" t="s">
        <v>311</v>
      </c>
      <c r="P530" s="35" t="n">
        <v>28.99</v>
      </c>
      <c r="Q530" s="22" t="n">
        <f aca="false">IF(AND(ISNUMBER(K530),ISNUMBER(P530),N(P530)&gt;0),K530/P530-1,"")</f>
        <v>0.034494653328734</v>
      </c>
      <c r="R530" s="15" t="s">
        <v>312</v>
      </c>
      <c r="S530" s="37" t="n">
        <v>25352</v>
      </c>
      <c r="T530" s="37" t="n">
        <v>104</v>
      </c>
      <c r="U530" s="38" t="n">
        <f aca="false">IF(AND(ISNUMBER(K530),ISNUMBER(T530)),K530*T530*52/12,"")</f>
        <v>13515.4933333333</v>
      </c>
      <c r="V530" s="15" t="n">
        <v>4.4</v>
      </c>
      <c r="W530" s="37" t="n">
        <v>2762</v>
      </c>
      <c r="X530" s="39" t="n">
        <v>46307</v>
      </c>
      <c r="Y530" s="15" t="n">
        <v>63</v>
      </c>
      <c r="Z530" s="40" t="n">
        <v>44553</v>
      </c>
      <c r="AA530" s="41" t="n">
        <f aca="false">IF(ISNUMBER(Z530),(DATE(2026,10,13)-Z530)/365,"")</f>
        <v>4.80821917808219</v>
      </c>
      <c r="AB530" s="37" t="n">
        <v>1520</v>
      </c>
      <c r="AC530" s="15" t="s">
        <v>313</v>
      </c>
      <c r="AD530" s="15" t="n">
        <v>5</v>
      </c>
      <c r="AE530" s="15" t="s">
        <v>331</v>
      </c>
      <c r="AF530" s="42" t="n">
        <v>0</v>
      </c>
      <c r="AG530" s="42" t="n">
        <v>0</v>
      </c>
      <c r="AH530" s="15" t="n">
        <v>237</v>
      </c>
      <c r="AI530" s="37"/>
      <c r="AJ530" s="37"/>
      <c r="AK530" s="15" t="s">
        <v>326</v>
      </c>
      <c r="AL530" s="43" t="n">
        <v>296.6</v>
      </c>
      <c r="AM530" s="43" t="n">
        <v>314.2</v>
      </c>
      <c r="AN530" s="25" t="n">
        <f aca="false">IF(AND(ISNUMBER(AM530),ISNUMBER(AL530),AL530&gt;=5),AM530/AL530,"")</f>
        <v>1.05933917734322</v>
      </c>
      <c r="AO530" s="43" t="n">
        <v>12.3</v>
      </c>
      <c r="AP530" s="43" t="n">
        <v>12.8</v>
      </c>
      <c r="AQ530" s="25" t="n">
        <f aca="false">IF(AND(ISNUMBER(AP530),ISNUMBER(AO530),AO530&gt;=5),AP530/AO530,"")</f>
        <v>1.04065040650407</v>
      </c>
      <c r="AR530" s="43" t="n">
        <v>314.8</v>
      </c>
      <c r="AS530" s="43" t="n">
        <v>231.1</v>
      </c>
      <c r="AT530" s="22" t="n">
        <f aca="false">IF(AND(ISNUMBER(AS530),ISNUMBER(AR530),AR530&gt;0),AS530/AR530-1,"")</f>
        <v>-0.265883100381194</v>
      </c>
      <c r="AU530" s="44"/>
      <c r="AV530" s="44"/>
      <c r="AW530" s="44"/>
      <c r="AX530" s="44"/>
      <c r="AY530" s="44"/>
      <c r="AZ530" s="45"/>
      <c r="BA530" s="45"/>
      <c r="BB530" s="46"/>
      <c r="BC530" s="46"/>
      <c r="BD530" s="23" t="str">
        <f aca="false">IF(AND(ISNUMBER(BB530),ISNUMBER(BC530),BB530&gt;0),1-BC530/BB530,"")</f>
        <v/>
      </c>
      <c r="BE530" s="47"/>
      <c r="BF530" s="48"/>
      <c r="BG530" s="48"/>
      <c r="BH530" s="27" t="str">
        <f aca="false">IF(AND(ISNUMBER(BF530),ISNUMBER(BG530),BG530&gt;0),BF530/BG530,"")</f>
        <v/>
      </c>
      <c r="BI530" s="48"/>
      <c r="BJ530" s="44"/>
      <c r="BK530" s="46"/>
      <c r="BL530" s="46"/>
      <c r="BM530" s="36" t="str">
        <f aca="false">IF(ISNUMBER(Q530),IF(Q530&lt;0,"YES","no"),"")</f>
        <v>no</v>
      </c>
      <c r="BN530" s="36" t="str">
        <f aca="false">IFERROR(IF(AND(ISNUMBER(K530),ISNUMBER(INDEX('Lift Inputs'!$H:$H,MATCH(C530,'Lift Inputs'!$C:$C,0)))),IF(K530&lt;INDEX('Lift Inputs'!$H:$H,MATCH(C530,'Lift Inputs'!$C:$C,0)),"YES","no"),""),"")</f>
        <v/>
      </c>
      <c r="BO530" s="44"/>
    </row>
    <row r="531" customFormat="false" ht="15" hidden="false" customHeight="false" outlineLevel="0" collapsed="false">
      <c r="A531" s="15" t="s">
        <v>144</v>
      </c>
      <c r="B531" s="15" t="s">
        <v>145</v>
      </c>
      <c r="C531" s="15" t="n">
        <v>46</v>
      </c>
      <c r="D531" s="15" t="s">
        <v>218</v>
      </c>
      <c r="E531" s="15" t="n">
        <v>340</v>
      </c>
      <c r="F531" s="15" t="s">
        <v>1039</v>
      </c>
      <c r="G531" s="15" t="s">
        <v>1040</v>
      </c>
      <c r="H531" s="15" t="s">
        <v>1041</v>
      </c>
      <c r="I531" s="15" t="s">
        <v>1042</v>
      </c>
      <c r="J531" s="15" t="s">
        <v>176</v>
      </c>
      <c r="K531" s="35" t="n">
        <v>35.99</v>
      </c>
      <c r="L531" s="35"/>
      <c r="M531" s="23" t="str">
        <f aca="false">IF(AND(ISNUMBER(L531),ISNUMBER(K531),K531&gt;0),L531/K531-1,"")</f>
        <v/>
      </c>
      <c r="N531" s="36" t="str">
        <f aca="false">IF(M531="","No List Price",IF(M531&lt;=0,"At/below price",IF(M531&lt;=0.12,"&lt;=12% (STR zone)",IF(M531&lt;=0.25,"12-25%","&gt;25% (likely ignored)"))))</f>
        <v>No List Price</v>
      </c>
      <c r="O531" s="15" t="s">
        <v>311</v>
      </c>
      <c r="P531" s="35" t="n">
        <v>28.99</v>
      </c>
      <c r="Q531" s="22" t="n">
        <f aca="false">IF(AND(ISNUMBER(K531),ISNUMBER(P531),N(P531)&gt;0),K531/P531-1,"")</f>
        <v>0.241462573301138</v>
      </c>
      <c r="R531" s="15" t="s">
        <v>312</v>
      </c>
      <c r="S531" s="37" t="n">
        <v>7768</v>
      </c>
      <c r="T531" s="37" t="n">
        <v>92</v>
      </c>
      <c r="U531" s="38" t="n">
        <f aca="false">IF(AND(ISNUMBER(K531),ISNUMBER(T531)),K531*T531*52/12,"")</f>
        <v>14348.0133333333</v>
      </c>
      <c r="V531" s="15" t="n">
        <v>4.6</v>
      </c>
      <c r="W531" s="37" t="n">
        <v>4352</v>
      </c>
      <c r="X531" s="39" t="n">
        <v>46307</v>
      </c>
      <c r="Y531" s="15" t="n">
        <v>79</v>
      </c>
      <c r="Z531" s="40" t="n">
        <v>44833</v>
      </c>
      <c r="AA531" s="41" t="n">
        <f aca="false">IF(ISNUMBER(Z531),(DATE(2026,10,13)-Z531)/365,"")</f>
        <v>4.04109589041096</v>
      </c>
      <c r="AB531" s="37" t="n">
        <v>4439</v>
      </c>
      <c r="AC531" s="15" t="s">
        <v>313</v>
      </c>
      <c r="AD531" s="15" t="n">
        <v>1</v>
      </c>
      <c r="AE531" s="15" t="s">
        <v>331</v>
      </c>
      <c r="AF531" s="42" t="n">
        <v>0</v>
      </c>
      <c r="AG531" s="42" t="n">
        <v>0</v>
      </c>
      <c r="AH531" s="15" t="n">
        <v>300</v>
      </c>
      <c r="AI531" s="37"/>
      <c r="AJ531" s="37"/>
      <c r="AK531" s="15" t="s">
        <v>326</v>
      </c>
      <c r="AL531" s="43" t="n">
        <v>97.5</v>
      </c>
      <c r="AM531" s="43" t="n">
        <v>130.8</v>
      </c>
      <c r="AN531" s="25" t="n">
        <f aca="false">IF(AND(ISNUMBER(AM531),ISNUMBER(AL531),AL531&gt;=5),AM531/AL531,"")</f>
        <v>1.34153846153846</v>
      </c>
      <c r="AO531" s="43" t="n">
        <v>2.5</v>
      </c>
      <c r="AP531" s="43" t="n">
        <v>1</v>
      </c>
      <c r="AQ531" s="25" t="str">
        <f aca="false">IF(AND(ISNUMBER(AP531),ISNUMBER(AO531),AO531&gt;=5),AP531/AO531,"")</f>
        <v/>
      </c>
      <c r="AR531" s="43" t="n">
        <v>194.8</v>
      </c>
      <c r="AS531" s="43" t="n">
        <v>263.1</v>
      </c>
      <c r="AT531" s="22" t="n">
        <f aca="false">IF(AND(ISNUMBER(AS531),ISNUMBER(AR531),AR531&gt;0),AS531/AR531-1,"")</f>
        <v>0.350616016427105</v>
      </c>
      <c r="AU531" s="44"/>
      <c r="AV531" s="44"/>
      <c r="AW531" s="44"/>
      <c r="AX531" s="44"/>
      <c r="AY531" s="44"/>
      <c r="AZ531" s="45"/>
      <c r="BA531" s="45"/>
      <c r="BB531" s="46"/>
      <c r="BC531" s="46"/>
      <c r="BD531" s="23" t="str">
        <f aca="false">IF(AND(ISNUMBER(BB531),ISNUMBER(BC531),BB531&gt;0),1-BC531/BB531,"")</f>
        <v/>
      </c>
      <c r="BE531" s="47"/>
      <c r="BF531" s="48"/>
      <c r="BG531" s="48"/>
      <c r="BH531" s="27" t="str">
        <f aca="false">IF(AND(ISNUMBER(BF531),ISNUMBER(BG531),BG531&gt;0),BF531/BG531,"")</f>
        <v/>
      </c>
      <c r="BI531" s="48"/>
      <c r="BJ531" s="44"/>
      <c r="BK531" s="46"/>
      <c r="BL531" s="46"/>
      <c r="BM531" s="36" t="str">
        <f aca="false">IF(ISNUMBER(Q531),IF(Q531&lt;0,"YES","no"),"")</f>
        <v>no</v>
      </c>
      <c r="BN531" s="36" t="str">
        <f aca="false">IFERROR(IF(AND(ISNUMBER(K531),ISNUMBER(INDEX('Lift Inputs'!$H:$H,MATCH(C531,'Lift Inputs'!$C:$C,0)))),IF(K531&lt;INDEX('Lift Inputs'!$H:$H,MATCH(C531,'Lift Inputs'!$C:$C,0)),"YES","no"),""),"")</f>
        <v/>
      </c>
      <c r="BO531" s="44"/>
    </row>
    <row r="532" customFormat="false" ht="15" hidden="false" customHeight="false" outlineLevel="0" collapsed="false">
      <c r="A532" s="15" t="s">
        <v>144</v>
      </c>
      <c r="B532" s="15" t="s">
        <v>145</v>
      </c>
      <c r="C532" s="15" t="n">
        <v>46</v>
      </c>
      <c r="D532" s="15" t="s">
        <v>218</v>
      </c>
      <c r="E532" s="15" t="n">
        <v>1487</v>
      </c>
      <c r="F532" s="15" t="s">
        <v>1043</v>
      </c>
      <c r="G532" s="15" t="s">
        <v>1044</v>
      </c>
      <c r="H532" s="15" t="s">
        <v>1045</v>
      </c>
      <c r="I532" s="15" t="s">
        <v>352</v>
      </c>
      <c r="J532" s="15" t="s">
        <v>176</v>
      </c>
      <c r="K532" s="35" t="n">
        <v>36.99</v>
      </c>
      <c r="L532" s="35"/>
      <c r="M532" s="23" t="str">
        <f aca="false">IF(AND(ISNUMBER(L532),ISNUMBER(K532),K532&gt;0),L532/K532-1,"")</f>
        <v/>
      </c>
      <c r="N532" s="36" t="str">
        <f aca="false">IF(M532="","No List Price",IF(M532&lt;=0,"At/below price",IF(M532&lt;=0.12,"&lt;=12% (STR zone)",IF(M532&lt;=0.25,"12-25%","&gt;25% (likely ignored)"))))</f>
        <v>No List Price</v>
      </c>
      <c r="O532" s="15"/>
      <c r="P532" s="35" t="n">
        <v>28.99</v>
      </c>
      <c r="Q532" s="22" t="n">
        <f aca="false">IF(AND(ISNUMBER(K532),ISNUMBER(P532),N(P532)&gt;0),K532/P532-1,"")</f>
        <v>0.275957226629872</v>
      </c>
      <c r="R532" s="15" t="s">
        <v>353</v>
      </c>
      <c r="S532" s="37" t="n">
        <v>32750</v>
      </c>
      <c r="T532" s="37" t="n">
        <v>35</v>
      </c>
      <c r="U532" s="38" t="n">
        <f aca="false">IF(AND(ISNUMBER(K532),ISNUMBER(T532)),K532*T532*52/12,"")</f>
        <v>5610.15</v>
      </c>
      <c r="V532" s="15" t="n">
        <v>4.6</v>
      </c>
      <c r="W532" s="37" t="n">
        <v>5920</v>
      </c>
      <c r="X532" s="39" t="n">
        <v>46307</v>
      </c>
      <c r="Y532" s="15"/>
      <c r="Z532" s="40"/>
      <c r="AA532" s="41" t="str">
        <f aca="false">IF(ISNUMBER(Z532),(DATE(2026,10,13)-Z532)/365,"")</f>
        <v/>
      </c>
      <c r="AB532" s="37"/>
      <c r="AC532" s="15"/>
      <c r="AD532" s="15"/>
      <c r="AE532" s="15"/>
      <c r="AF532" s="42"/>
      <c r="AG532" s="42"/>
      <c r="AH532" s="15"/>
      <c r="AI532" s="37"/>
      <c r="AJ532" s="37"/>
      <c r="AK532" s="15"/>
      <c r="AL532" s="43"/>
      <c r="AM532" s="43"/>
      <c r="AN532" s="25" t="str">
        <f aca="false">IF(AND(ISNUMBER(AM532),ISNUMBER(AL532),AL532&gt;=5),AM532/AL532,"")</f>
        <v/>
      </c>
      <c r="AO532" s="43"/>
      <c r="AP532" s="43"/>
      <c r="AQ532" s="25" t="str">
        <f aca="false">IF(AND(ISNUMBER(AP532),ISNUMBER(AO532),AO532&gt;=5),AP532/AO532,"")</f>
        <v/>
      </c>
      <c r="AR532" s="43"/>
      <c r="AS532" s="43"/>
      <c r="AT532" s="22" t="str">
        <f aca="false">IF(AND(ISNUMBER(AS532),ISNUMBER(AR532),AR532&gt;0),AS532/AR532-1,"")</f>
        <v/>
      </c>
      <c r="AU532" s="44"/>
      <c r="AV532" s="44"/>
      <c r="AW532" s="44"/>
      <c r="AX532" s="44"/>
      <c r="AY532" s="44"/>
      <c r="AZ532" s="45"/>
      <c r="BA532" s="45"/>
      <c r="BB532" s="46"/>
      <c r="BC532" s="46"/>
      <c r="BD532" s="23" t="str">
        <f aca="false">IF(AND(ISNUMBER(BB532),ISNUMBER(BC532),BB532&gt;0),1-BC532/BB532,"")</f>
        <v/>
      </c>
      <c r="BE532" s="47"/>
      <c r="BF532" s="48"/>
      <c r="BG532" s="48"/>
      <c r="BH532" s="27" t="str">
        <f aca="false">IF(AND(ISNUMBER(BF532),ISNUMBER(BG532),BG532&gt;0),BF532/BG532,"")</f>
        <v/>
      </c>
      <c r="BI532" s="48"/>
      <c r="BJ532" s="44"/>
      <c r="BK532" s="46"/>
      <c r="BL532" s="46"/>
      <c r="BM532" s="36" t="str">
        <f aca="false">IF(ISNUMBER(Q532),IF(Q532&lt;0,"YES","no"),"")</f>
        <v>no</v>
      </c>
      <c r="BN532" s="36" t="str">
        <f aca="false">IFERROR(IF(AND(ISNUMBER(K532),ISNUMBER(INDEX('Lift Inputs'!$H:$H,MATCH(C532,'Lift Inputs'!$C:$C,0)))),IF(K532&lt;INDEX('Lift Inputs'!$H:$H,MATCH(C532,'Lift Inputs'!$C:$C,0)),"YES","no"),""),"")</f>
        <v/>
      </c>
      <c r="BO532" s="44"/>
    </row>
    <row r="533" customFormat="false" ht="15" hidden="false" customHeight="false" outlineLevel="0" collapsed="false">
      <c r="A533" s="15" t="s">
        <v>144</v>
      </c>
      <c r="B533" s="15" t="s">
        <v>145</v>
      </c>
      <c r="C533" s="15" t="n">
        <v>46</v>
      </c>
      <c r="D533" s="15" t="s">
        <v>218</v>
      </c>
      <c r="E533" s="15" t="n">
        <v>332</v>
      </c>
      <c r="F533" s="15" t="s">
        <v>1046</v>
      </c>
      <c r="G533" s="15" t="s">
        <v>1047</v>
      </c>
      <c r="H533" s="15" t="s">
        <v>1048</v>
      </c>
      <c r="I533" s="15" t="s">
        <v>352</v>
      </c>
      <c r="J533" s="15" t="s">
        <v>176</v>
      </c>
      <c r="K533" s="35" t="n">
        <v>27.99</v>
      </c>
      <c r="L533" s="35"/>
      <c r="M533" s="23" t="str">
        <f aca="false">IF(AND(ISNUMBER(L533),ISNUMBER(K533),K533&gt;0),L533/K533-1,"")</f>
        <v/>
      </c>
      <c r="N533" s="36" t="str">
        <f aca="false">IF(M533="","No List Price",IF(M533&lt;=0,"At/below price",IF(M533&lt;=0.12,"&lt;=12% (STR zone)",IF(M533&lt;=0.25,"12-25%","&gt;25% (likely ignored)"))))</f>
        <v>No List Price</v>
      </c>
      <c r="O533" s="15"/>
      <c r="P533" s="35" t="n">
        <v>28.99</v>
      </c>
      <c r="Q533" s="22" t="n">
        <f aca="false">IF(AND(ISNUMBER(K533),ISNUMBER(P533),N(P533)&gt;0),K533/P533-1,"")</f>
        <v>-0.034494653328734</v>
      </c>
      <c r="R533" s="15" t="s">
        <v>353</v>
      </c>
      <c r="S533" s="37" t="n">
        <v>32539</v>
      </c>
      <c r="T533" s="37" t="n">
        <v>18</v>
      </c>
      <c r="U533" s="38" t="n">
        <f aca="false">IF(AND(ISNUMBER(K533),ISNUMBER(T533)),K533*T533*52/12,"")</f>
        <v>2183.22</v>
      </c>
      <c r="V533" s="15" t="n">
        <v>4.6</v>
      </c>
      <c r="W533" s="37" t="n">
        <v>512</v>
      </c>
      <c r="X533" s="39" t="n">
        <v>46307</v>
      </c>
      <c r="Y533" s="15"/>
      <c r="Z533" s="40"/>
      <c r="AA533" s="41" t="str">
        <f aca="false">IF(ISNUMBER(Z533),(DATE(2026,10,13)-Z533)/365,"")</f>
        <v/>
      </c>
      <c r="AB533" s="37"/>
      <c r="AC533" s="15"/>
      <c r="AD533" s="15"/>
      <c r="AE533" s="15"/>
      <c r="AF533" s="42"/>
      <c r="AG533" s="42"/>
      <c r="AH533" s="15"/>
      <c r="AI533" s="37"/>
      <c r="AJ533" s="37"/>
      <c r="AK533" s="15"/>
      <c r="AL533" s="43"/>
      <c r="AM533" s="43"/>
      <c r="AN533" s="25" t="str">
        <f aca="false">IF(AND(ISNUMBER(AM533),ISNUMBER(AL533),AL533&gt;=5),AM533/AL533,"")</f>
        <v/>
      </c>
      <c r="AO533" s="43"/>
      <c r="AP533" s="43"/>
      <c r="AQ533" s="25" t="str">
        <f aca="false">IF(AND(ISNUMBER(AP533),ISNUMBER(AO533),AO533&gt;=5),AP533/AO533,"")</f>
        <v/>
      </c>
      <c r="AR533" s="43"/>
      <c r="AS533" s="43"/>
      <c r="AT533" s="22" t="str">
        <f aca="false">IF(AND(ISNUMBER(AS533),ISNUMBER(AR533),AR533&gt;0),AS533/AR533-1,"")</f>
        <v/>
      </c>
      <c r="AU533" s="44"/>
      <c r="AV533" s="44"/>
      <c r="AW533" s="44"/>
      <c r="AX533" s="44"/>
      <c r="AY533" s="44"/>
      <c r="AZ533" s="45"/>
      <c r="BA533" s="45"/>
      <c r="BB533" s="46"/>
      <c r="BC533" s="46"/>
      <c r="BD533" s="23" t="str">
        <f aca="false">IF(AND(ISNUMBER(BB533),ISNUMBER(BC533),BB533&gt;0),1-BC533/BB533,"")</f>
        <v/>
      </c>
      <c r="BE533" s="47"/>
      <c r="BF533" s="48"/>
      <c r="BG533" s="48"/>
      <c r="BH533" s="27" t="str">
        <f aca="false">IF(AND(ISNUMBER(BF533),ISNUMBER(BG533),BG533&gt;0),BF533/BG533,"")</f>
        <v/>
      </c>
      <c r="BI533" s="48"/>
      <c r="BJ533" s="44"/>
      <c r="BK533" s="46"/>
      <c r="BL533" s="46"/>
      <c r="BM533" s="36" t="str">
        <f aca="false">IF(ISNUMBER(Q533),IF(Q533&lt;0,"YES","no"),"")</f>
        <v>YES</v>
      </c>
      <c r="BN533" s="36" t="str">
        <f aca="false">IFERROR(IF(AND(ISNUMBER(K533),ISNUMBER(INDEX('Lift Inputs'!$H:$H,MATCH(C533,'Lift Inputs'!$C:$C,0)))),IF(K533&lt;INDEX('Lift Inputs'!$H:$H,MATCH(C533,'Lift Inputs'!$C:$C,0)),"YES","no"),""),"")</f>
        <v/>
      </c>
      <c r="BO533" s="44"/>
    </row>
    <row r="534" customFormat="false" ht="15" hidden="false" customHeight="false" outlineLevel="0" collapsed="false">
      <c r="A534" s="15" t="s">
        <v>144</v>
      </c>
      <c r="B534" s="15" t="s">
        <v>145</v>
      </c>
      <c r="C534" s="15" t="n">
        <v>46</v>
      </c>
      <c r="D534" s="15" t="s">
        <v>218</v>
      </c>
      <c r="E534" s="15" t="n">
        <v>1482</v>
      </c>
      <c r="F534" s="15" t="s">
        <v>1049</v>
      </c>
      <c r="G534" s="15" t="s">
        <v>1050</v>
      </c>
      <c r="H534" s="15" t="s">
        <v>1051</v>
      </c>
      <c r="I534" s="15" t="s">
        <v>1052</v>
      </c>
      <c r="J534" s="15" t="s">
        <v>177</v>
      </c>
      <c r="K534" s="35" t="n">
        <v>44.99</v>
      </c>
      <c r="L534" s="35"/>
      <c r="M534" s="23" t="str">
        <f aca="false">IF(AND(ISNUMBER(L534),ISNUMBER(K534),K534&gt;0),L534/K534-1,"")</f>
        <v/>
      </c>
      <c r="N534" s="36" t="str">
        <f aca="false">IF(M534="","No List Price",IF(M534&lt;=0,"At/below price",IF(M534&lt;=0.12,"&lt;=12% (STR zone)",IF(M534&lt;=0.25,"12-25%","&gt;25% (likely ignored)"))))</f>
        <v>No List Price</v>
      </c>
      <c r="O534" s="15" t="s">
        <v>311</v>
      </c>
      <c r="P534" s="35" t="n">
        <v>28.99</v>
      </c>
      <c r="Q534" s="22" t="n">
        <f aca="false">IF(AND(ISNUMBER(K534),ISNUMBER(P534),N(P534)&gt;0),K534/P534-1,"")</f>
        <v>0.551914453259745</v>
      </c>
      <c r="R534" s="15" t="s">
        <v>312</v>
      </c>
      <c r="S534" s="37" t="n">
        <v>479</v>
      </c>
      <c r="T534" s="37" t="n">
        <v>347</v>
      </c>
      <c r="U534" s="38" t="n">
        <f aca="false">IF(AND(ISNUMBER(K534),ISNUMBER(T534)),K534*T534*52/12,"")</f>
        <v>67649.9633333333</v>
      </c>
      <c r="V534" s="15" t="n">
        <v>4.4</v>
      </c>
      <c r="W534" s="37" t="n">
        <v>5513</v>
      </c>
      <c r="X534" s="39" t="n">
        <v>46307</v>
      </c>
      <c r="Y534" s="15" t="n">
        <v>79</v>
      </c>
      <c r="Z534" s="40" t="n">
        <v>45564</v>
      </c>
      <c r="AA534" s="41" t="n">
        <f aca="false">IF(ISNUMBER(Z534),(DATE(2026,10,13)-Z534)/365,"")</f>
        <v>2.03835616438356</v>
      </c>
      <c r="AB534" s="37" t="n">
        <v>29057</v>
      </c>
      <c r="AC534" s="15" t="s">
        <v>313</v>
      </c>
      <c r="AD534" s="15" t="n">
        <v>3</v>
      </c>
      <c r="AE534" s="15" t="s">
        <v>336</v>
      </c>
      <c r="AF534" s="42" t="n">
        <v>0</v>
      </c>
      <c r="AG534" s="42" t="n">
        <v>0</v>
      </c>
      <c r="AH534" s="15" t="n">
        <v>469</v>
      </c>
      <c r="AI534" s="37" t="n">
        <v>691328</v>
      </c>
      <c r="AJ534" s="37" t="n">
        <v>4114</v>
      </c>
      <c r="AK534" s="15"/>
      <c r="AL534" s="43"/>
      <c r="AM534" s="43"/>
      <c r="AN534" s="25" t="str">
        <f aca="false">IF(AND(ISNUMBER(AM534),ISNUMBER(AL534),AL534&gt;=5),AM534/AL534,"")</f>
        <v/>
      </c>
      <c r="AO534" s="43"/>
      <c r="AP534" s="43"/>
      <c r="AQ534" s="25" t="str">
        <f aca="false">IF(AND(ISNUMBER(AP534),ISNUMBER(AO534),AO534&gt;=5),AP534/AO534,"")</f>
        <v/>
      </c>
      <c r="AR534" s="43"/>
      <c r="AS534" s="43"/>
      <c r="AT534" s="22" t="str">
        <f aca="false">IF(AND(ISNUMBER(AS534),ISNUMBER(AR534),AR534&gt;0),AS534/AR534-1,"")</f>
        <v/>
      </c>
      <c r="AU534" s="44"/>
      <c r="AV534" s="44"/>
      <c r="AW534" s="44"/>
      <c r="AX534" s="44"/>
      <c r="AY534" s="44"/>
      <c r="AZ534" s="45"/>
      <c r="BA534" s="45"/>
      <c r="BB534" s="46"/>
      <c r="BC534" s="46"/>
      <c r="BD534" s="23" t="str">
        <f aca="false">IF(AND(ISNUMBER(BB534),ISNUMBER(BC534),BB534&gt;0),1-BC534/BB534,"")</f>
        <v/>
      </c>
      <c r="BE534" s="47"/>
      <c r="BF534" s="48"/>
      <c r="BG534" s="48"/>
      <c r="BH534" s="27" t="str">
        <f aca="false">IF(AND(ISNUMBER(BF534),ISNUMBER(BG534),BG534&gt;0),BF534/BG534,"")</f>
        <v/>
      </c>
      <c r="BI534" s="48"/>
      <c r="BJ534" s="44"/>
      <c r="BK534" s="46"/>
      <c r="BL534" s="46"/>
      <c r="BM534" s="36" t="str">
        <f aca="false">IF(ISNUMBER(Q534),IF(Q534&lt;0,"YES","no"),"")</f>
        <v>no</v>
      </c>
      <c r="BN534" s="36" t="str">
        <f aca="false">IFERROR(IF(AND(ISNUMBER(K534),ISNUMBER(INDEX('Lift Inputs'!$H:$H,MATCH(C534,'Lift Inputs'!$C:$C,0)))),IF(K534&lt;INDEX('Lift Inputs'!$H:$H,MATCH(C534,'Lift Inputs'!$C:$C,0)),"YES","no"),""),"")</f>
        <v/>
      </c>
      <c r="BO534" s="44"/>
    </row>
    <row r="535" customFormat="false" ht="15" hidden="false" customHeight="false" outlineLevel="0" collapsed="false">
      <c r="A535" s="15" t="s">
        <v>144</v>
      </c>
      <c r="B535" s="15" t="s">
        <v>145</v>
      </c>
      <c r="C535" s="15" t="n">
        <v>46</v>
      </c>
      <c r="D535" s="15" t="s">
        <v>218</v>
      </c>
      <c r="E535" s="15" t="n">
        <v>1486</v>
      </c>
      <c r="F535" s="15" t="s">
        <v>1053</v>
      </c>
      <c r="G535" s="15" t="s">
        <v>1054</v>
      </c>
      <c r="H535" s="15" t="s">
        <v>1055</v>
      </c>
      <c r="I535" s="15" t="s">
        <v>1056</v>
      </c>
      <c r="J535" s="15" t="s">
        <v>177</v>
      </c>
      <c r="K535" s="35" t="n">
        <v>39.99</v>
      </c>
      <c r="L535" s="35"/>
      <c r="M535" s="23" t="str">
        <f aca="false">IF(AND(ISNUMBER(L535),ISNUMBER(K535),K535&gt;0),L535/K535-1,"")</f>
        <v/>
      </c>
      <c r="N535" s="36" t="str">
        <f aca="false">IF(M535="","No List Price",IF(M535&lt;=0,"At/below price",IF(M535&lt;=0.12,"&lt;=12% (STR zone)",IF(M535&lt;=0.25,"12-25%","&gt;25% (likely ignored)"))))</f>
        <v>No List Price</v>
      </c>
      <c r="O535" s="15" t="s">
        <v>311</v>
      </c>
      <c r="P535" s="35" t="n">
        <v>28.99</v>
      </c>
      <c r="Q535" s="22" t="n">
        <f aca="false">IF(AND(ISNUMBER(K535),ISNUMBER(P535),N(P535)&gt;0),K535/P535-1,"")</f>
        <v>0.379441186616075</v>
      </c>
      <c r="R535" s="15" t="s">
        <v>312</v>
      </c>
      <c r="S535" s="37" t="n">
        <v>5766</v>
      </c>
      <c r="T535" s="37" t="n">
        <v>220</v>
      </c>
      <c r="U535" s="38" t="n">
        <f aca="false">IF(AND(ISNUMBER(K535),ISNUMBER(T535)),K535*T535*52/12,"")</f>
        <v>38123.8</v>
      </c>
      <c r="V535" s="15" t="n">
        <v>4.5</v>
      </c>
      <c r="W535" s="37" t="n">
        <v>942</v>
      </c>
      <c r="X535" s="39" t="n">
        <v>46307</v>
      </c>
      <c r="Y535" s="15" t="n">
        <v>73</v>
      </c>
      <c r="Z535" s="40" t="n">
        <v>45282</v>
      </c>
      <c r="AA535" s="41" t="n">
        <f aca="false">IF(ISNUMBER(Z535),(DATE(2026,10,13)-Z535)/365,"")</f>
        <v>2.81095890410959</v>
      </c>
      <c r="AB535" s="37" t="n">
        <v>5365</v>
      </c>
      <c r="AC535" s="15" t="s">
        <v>313</v>
      </c>
      <c r="AD535" s="15" t="n">
        <v>3</v>
      </c>
      <c r="AE535" s="15" t="s">
        <v>331</v>
      </c>
      <c r="AF535" s="42" t="n">
        <v>0</v>
      </c>
      <c r="AG535" s="42" t="n">
        <v>0</v>
      </c>
      <c r="AH535" s="15" t="n">
        <v>387</v>
      </c>
      <c r="AI535" s="37"/>
      <c r="AJ535" s="37"/>
      <c r="AK535" s="15" t="s">
        <v>326</v>
      </c>
      <c r="AL535" s="43" t="n">
        <v>464.2</v>
      </c>
      <c r="AM535" s="43" t="n">
        <v>469</v>
      </c>
      <c r="AN535" s="25" t="n">
        <f aca="false">IF(AND(ISNUMBER(AM535),ISNUMBER(AL535),AL535&gt;=5),AM535/AL535,"")</f>
        <v>1.01034037052994</v>
      </c>
      <c r="AO535" s="43" t="n">
        <v>108.3</v>
      </c>
      <c r="AP535" s="43" t="n">
        <v>85.5</v>
      </c>
      <c r="AQ535" s="25" t="n">
        <f aca="false">IF(AND(ISNUMBER(AP535),ISNUMBER(AO535),AO535&gt;=5),AP535/AO535,"")</f>
        <v>0.789473684210526</v>
      </c>
      <c r="AR535" s="43" t="n">
        <v>405.7</v>
      </c>
      <c r="AS535" s="43" t="n">
        <v>435.4</v>
      </c>
      <c r="AT535" s="22" t="n">
        <f aca="false">IF(AND(ISNUMBER(AS535),ISNUMBER(AR535),AR535&gt;0),AS535/AR535-1,"")</f>
        <v>0.0732068030564457</v>
      </c>
      <c r="AU535" s="44"/>
      <c r="AV535" s="44"/>
      <c r="AW535" s="44"/>
      <c r="AX535" s="44"/>
      <c r="AY535" s="44"/>
      <c r="AZ535" s="45"/>
      <c r="BA535" s="45"/>
      <c r="BB535" s="46"/>
      <c r="BC535" s="46"/>
      <c r="BD535" s="23" t="str">
        <f aca="false">IF(AND(ISNUMBER(BB535),ISNUMBER(BC535),BB535&gt;0),1-BC535/BB535,"")</f>
        <v/>
      </c>
      <c r="BE535" s="47"/>
      <c r="BF535" s="48"/>
      <c r="BG535" s="48"/>
      <c r="BH535" s="27" t="str">
        <f aca="false">IF(AND(ISNUMBER(BF535),ISNUMBER(BG535),BG535&gt;0),BF535/BG535,"")</f>
        <v/>
      </c>
      <c r="BI535" s="48"/>
      <c r="BJ535" s="44"/>
      <c r="BK535" s="46"/>
      <c r="BL535" s="46"/>
      <c r="BM535" s="36" t="str">
        <f aca="false">IF(ISNUMBER(Q535),IF(Q535&lt;0,"YES","no"),"")</f>
        <v>no</v>
      </c>
      <c r="BN535" s="36" t="str">
        <f aca="false">IFERROR(IF(AND(ISNUMBER(K535),ISNUMBER(INDEX('Lift Inputs'!$H:$H,MATCH(C535,'Lift Inputs'!$C:$C,0)))),IF(K535&lt;INDEX('Lift Inputs'!$H:$H,MATCH(C535,'Lift Inputs'!$C:$C,0)),"YES","no"),""),"")</f>
        <v/>
      </c>
      <c r="BO535" s="44"/>
    </row>
    <row r="536" customFormat="false" ht="15" hidden="false" customHeight="false" outlineLevel="0" collapsed="false">
      <c r="A536" s="15" t="s">
        <v>144</v>
      </c>
      <c r="B536" s="15" t="s">
        <v>145</v>
      </c>
      <c r="C536" s="15" t="n">
        <v>46</v>
      </c>
      <c r="D536" s="15" t="s">
        <v>218</v>
      </c>
      <c r="E536" s="15" t="n">
        <v>337</v>
      </c>
      <c r="F536" s="15" t="s">
        <v>1057</v>
      </c>
      <c r="G536" s="15" t="s">
        <v>1058</v>
      </c>
      <c r="H536" s="15" t="s">
        <v>1059</v>
      </c>
      <c r="I536" s="15" t="s">
        <v>1060</v>
      </c>
      <c r="J536" s="15" t="s">
        <v>177</v>
      </c>
      <c r="K536" s="35" t="n">
        <v>27.99</v>
      </c>
      <c r="L536" s="35"/>
      <c r="M536" s="23" t="str">
        <f aca="false">IF(AND(ISNUMBER(L536),ISNUMBER(K536),K536&gt;0),L536/K536-1,"")</f>
        <v/>
      </c>
      <c r="N536" s="36" t="str">
        <f aca="false">IF(M536="","No List Price",IF(M536&lt;=0,"At/below price",IF(M536&lt;=0.12,"&lt;=12% (STR zone)",IF(M536&lt;=0.25,"12-25%","&gt;25% (likely ignored)"))))</f>
        <v>No List Price</v>
      </c>
      <c r="O536" s="15" t="s">
        <v>520</v>
      </c>
      <c r="P536" s="35" t="n">
        <v>28.99</v>
      </c>
      <c r="Q536" s="22" t="n">
        <f aca="false">IF(AND(ISNUMBER(K536),ISNUMBER(P536),N(P536)&gt;0),K536/P536-1,"")</f>
        <v>-0.034494653328734</v>
      </c>
      <c r="R536" s="15" t="s">
        <v>353</v>
      </c>
      <c r="S536" s="37" t="n">
        <v>9638</v>
      </c>
      <c r="T536" s="37" t="n">
        <v>197</v>
      </c>
      <c r="U536" s="38" t="n">
        <f aca="false">IF(AND(ISNUMBER(K536),ISNUMBER(T536)),K536*T536*52/12,"")</f>
        <v>23894.13</v>
      </c>
      <c r="V536" s="15" t="n">
        <v>4.4</v>
      </c>
      <c r="W536" s="37" t="n">
        <v>1378</v>
      </c>
      <c r="X536" s="39" t="n">
        <v>46307</v>
      </c>
      <c r="Y536" s="15" t="n">
        <v>116</v>
      </c>
      <c r="Z536" s="40" t="n">
        <v>45518</v>
      </c>
      <c r="AA536" s="41" t="n">
        <f aca="false">IF(ISNUMBER(Z536),(DATE(2026,10,13)-Z536)/365,"")</f>
        <v>2.16438356164384</v>
      </c>
      <c r="AB536" s="37" t="n">
        <v>3807</v>
      </c>
      <c r="AC536" s="15" t="s">
        <v>313</v>
      </c>
      <c r="AD536" s="15" t="n">
        <v>1</v>
      </c>
      <c r="AE536" s="15" t="s">
        <v>331</v>
      </c>
      <c r="AF536" s="42" t="n">
        <v>0.002</v>
      </c>
      <c r="AG536" s="42" t="n">
        <v>0</v>
      </c>
      <c r="AH536" s="15" t="n">
        <v>403</v>
      </c>
      <c r="AI536" s="37"/>
      <c r="AJ536" s="37"/>
      <c r="AK536" s="15" t="s">
        <v>326</v>
      </c>
      <c r="AL536" s="43" t="n">
        <v>206.7</v>
      </c>
      <c r="AM536" s="43" t="n">
        <v>227.8</v>
      </c>
      <c r="AN536" s="25" t="n">
        <f aca="false">IF(AND(ISNUMBER(AM536),ISNUMBER(AL536),AL536&gt;=5),AM536/AL536,"")</f>
        <v>1.10208030962748</v>
      </c>
      <c r="AO536" s="43" t="n">
        <v>26</v>
      </c>
      <c r="AP536" s="43" t="n">
        <v>37</v>
      </c>
      <c r="AQ536" s="25" t="n">
        <f aca="false">IF(AND(ISNUMBER(AP536),ISNUMBER(AO536),AO536&gt;=5),AP536/AO536,"")</f>
        <v>1.42307692307692</v>
      </c>
      <c r="AR536" s="43" t="n">
        <v>224.4</v>
      </c>
      <c r="AS536" s="43" t="n">
        <v>428</v>
      </c>
      <c r="AT536" s="22" t="n">
        <f aca="false">IF(AND(ISNUMBER(AS536),ISNUMBER(AR536),AR536&gt;0),AS536/AR536-1,"")</f>
        <v>0.907308377896613</v>
      </c>
      <c r="AU536" s="44"/>
      <c r="AV536" s="44"/>
      <c r="AW536" s="44"/>
      <c r="AX536" s="44"/>
      <c r="AY536" s="44"/>
      <c r="AZ536" s="45"/>
      <c r="BA536" s="45"/>
      <c r="BB536" s="46"/>
      <c r="BC536" s="46"/>
      <c r="BD536" s="23" t="str">
        <f aca="false">IF(AND(ISNUMBER(BB536),ISNUMBER(BC536),BB536&gt;0),1-BC536/BB536,"")</f>
        <v/>
      </c>
      <c r="BE536" s="47"/>
      <c r="BF536" s="48"/>
      <c r="BG536" s="48"/>
      <c r="BH536" s="27" t="str">
        <f aca="false">IF(AND(ISNUMBER(BF536),ISNUMBER(BG536),BG536&gt;0),BF536/BG536,"")</f>
        <v/>
      </c>
      <c r="BI536" s="48"/>
      <c r="BJ536" s="44"/>
      <c r="BK536" s="46"/>
      <c r="BL536" s="46"/>
      <c r="BM536" s="36" t="str">
        <f aca="false">IF(ISNUMBER(Q536),IF(Q536&lt;0,"YES","no"),"")</f>
        <v>YES</v>
      </c>
      <c r="BN536" s="36" t="str">
        <f aca="false">IFERROR(IF(AND(ISNUMBER(K536),ISNUMBER(INDEX('Lift Inputs'!$H:$H,MATCH(C536,'Lift Inputs'!$C:$C,0)))),IF(K536&lt;INDEX('Lift Inputs'!$H:$H,MATCH(C536,'Lift Inputs'!$C:$C,0)),"YES","no"),""),"")</f>
        <v/>
      </c>
      <c r="BO536" s="44"/>
    </row>
    <row r="537" customFormat="false" ht="15" hidden="false" customHeight="false" outlineLevel="0" collapsed="false">
      <c r="A537" s="15" t="s">
        <v>144</v>
      </c>
      <c r="B537" s="15" t="s">
        <v>145</v>
      </c>
      <c r="C537" s="15" t="n">
        <v>46</v>
      </c>
      <c r="D537" s="15" t="s">
        <v>218</v>
      </c>
      <c r="E537" s="15" t="n">
        <v>1567</v>
      </c>
      <c r="F537" s="15" t="s">
        <v>1061</v>
      </c>
      <c r="G537" s="15" t="s">
        <v>1062</v>
      </c>
      <c r="H537" s="15" t="s">
        <v>1063</v>
      </c>
      <c r="I537" s="15" t="s">
        <v>1064</v>
      </c>
      <c r="J537" s="15" t="s">
        <v>177</v>
      </c>
      <c r="K537" s="35" t="n">
        <v>88.34</v>
      </c>
      <c r="L537" s="35" t="n">
        <v>92.99</v>
      </c>
      <c r="M537" s="23" t="n">
        <f aca="false">IF(AND(ISNUMBER(L537),ISNUMBER(K537),K537&gt;0),L537/K537-1,"")</f>
        <v>0.0526375367896761</v>
      </c>
      <c r="N537" s="36" t="str">
        <f aca="false">IF(M537="","No List Price",IF(M537&lt;=0,"At/below price",IF(M537&lt;=0.12,"&lt;=12% (STR zone)",IF(M537&lt;=0.25,"12-25%","&gt;25% (likely ignored)"))))</f>
        <v>&lt;=12% (STR zone)</v>
      </c>
      <c r="O537" s="15" t="s">
        <v>320</v>
      </c>
      <c r="P537" s="35" t="n">
        <v>30.99</v>
      </c>
      <c r="Q537" s="22" t="n">
        <f aca="false">IF(AND(ISNUMBER(K537),ISNUMBER(P537),N(P537)&gt;0),K537/P537-1,"")</f>
        <v>1.85059696676347</v>
      </c>
      <c r="R537" s="15" t="s">
        <v>321</v>
      </c>
      <c r="S537" s="37" t="n">
        <v>7973</v>
      </c>
      <c r="T537" s="37" t="n">
        <v>173</v>
      </c>
      <c r="U537" s="38" t="n">
        <f aca="false">IF(AND(ISNUMBER(K537),ISNUMBER(T537)),K537*T537*52/12,"")</f>
        <v>66225.5533333333</v>
      </c>
      <c r="V537" s="15" t="n">
        <v>4.5</v>
      </c>
      <c r="W537" s="37" t="n">
        <v>1097</v>
      </c>
      <c r="X537" s="39" t="n">
        <v>46307</v>
      </c>
      <c r="Y537" s="15" t="n">
        <v>30</v>
      </c>
      <c r="Z537" s="40" t="n">
        <v>45390</v>
      </c>
      <c r="AA537" s="41" t="n">
        <f aca="false">IF(ISNUMBER(Z537),(DATE(2026,10,13)-Z537)/365,"")</f>
        <v>2.51506849315069</v>
      </c>
      <c r="AB537" s="37" t="n">
        <v>3806</v>
      </c>
      <c r="AC537" s="15" t="s">
        <v>313</v>
      </c>
      <c r="AD537" s="15" t="n">
        <v>5</v>
      </c>
      <c r="AE537" s="15" t="s">
        <v>331</v>
      </c>
      <c r="AF537" s="42" t="n">
        <v>0</v>
      </c>
      <c r="AG537" s="42" t="n">
        <v>0</v>
      </c>
      <c r="AH537" s="15" t="n">
        <v>24</v>
      </c>
      <c r="AI537" s="37"/>
      <c r="AJ537" s="37"/>
      <c r="AK537" s="15" t="s">
        <v>326</v>
      </c>
      <c r="AL537" s="43" t="n">
        <v>54.8</v>
      </c>
      <c r="AM537" s="43" t="n">
        <v>94.8</v>
      </c>
      <c r="AN537" s="25" t="n">
        <f aca="false">IF(AND(ISNUMBER(AM537),ISNUMBER(AL537),AL537&gt;=5),AM537/AL537,"")</f>
        <v>1.72992700729927</v>
      </c>
      <c r="AO537" s="43" t="n">
        <v>5.9</v>
      </c>
      <c r="AP537" s="43" t="n">
        <v>3</v>
      </c>
      <c r="AQ537" s="25" t="n">
        <f aca="false">IF(AND(ISNUMBER(AP537),ISNUMBER(AO537),AO537&gt;=5),AP537/AO537,"")</f>
        <v>0.508474576271186</v>
      </c>
      <c r="AR537" s="43" t="n">
        <v>71.5</v>
      </c>
      <c r="AS537" s="43" t="n">
        <v>53.7</v>
      </c>
      <c r="AT537" s="22" t="n">
        <f aca="false">IF(AND(ISNUMBER(AS537),ISNUMBER(AR537),AR537&gt;0),AS537/AR537-1,"")</f>
        <v>-0.248951048951049</v>
      </c>
      <c r="AU537" s="44"/>
      <c r="AV537" s="44"/>
      <c r="AW537" s="44"/>
      <c r="AX537" s="44"/>
      <c r="AY537" s="44"/>
      <c r="AZ537" s="45"/>
      <c r="BA537" s="45"/>
      <c r="BB537" s="46"/>
      <c r="BC537" s="46"/>
      <c r="BD537" s="23" t="str">
        <f aca="false">IF(AND(ISNUMBER(BB537),ISNUMBER(BC537),BB537&gt;0),1-BC537/BB537,"")</f>
        <v/>
      </c>
      <c r="BE537" s="47"/>
      <c r="BF537" s="48"/>
      <c r="BG537" s="48"/>
      <c r="BH537" s="27" t="str">
        <f aca="false">IF(AND(ISNUMBER(BF537),ISNUMBER(BG537),BG537&gt;0),BF537/BG537,"")</f>
        <v/>
      </c>
      <c r="BI537" s="48"/>
      <c r="BJ537" s="44"/>
      <c r="BK537" s="46"/>
      <c r="BL537" s="46"/>
      <c r="BM537" s="36" t="str">
        <f aca="false">IF(ISNUMBER(Q537),IF(Q537&lt;0,"YES","no"),"")</f>
        <v>no</v>
      </c>
      <c r="BN537" s="36" t="str">
        <f aca="false">IFERROR(IF(AND(ISNUMBER(K537),ISNUMBER(INDEX('Lift Inputs'!$H:$H,MATCH(C537,'Lift Inputs'!$C:$C,0)))),IF(K537&lt;INDEX('Lift Inputs'!$H:$H,MATCH(C537,'Lift Inputs'!$C:$C,0)),"YES","no"),""),"")</f>
        <v/>
      </c>
      <c r="BO537" s="44"/>
    </row>
    <row r="538" customFormat="false" ht="15" hidden="false" customHeight="false" outlineLevel="0" collapsed="false">
      <c r="A538" s="15" t="s">
        <v>144</v>
      </c>
      <c r="B538" s="15" t="s">
        <v>145</v>
      </c>
      <c r="C538" s="15" t="n">
        <v>46</v>
      </c>
      <c r="D538" s="15" t="s">
        <v>218</v>
      </c>
      <c r="E538" s="15" t="n">
        <v>1490</v>
      </c>
      <c r="F538" s="15" t="s">
        <v>307</v>
      </c>
      <c r="G538" s="15" t="s">
        <v>1065</v>
      </c>
      <c r="H538" s="15" t="s">
        <v>1066</v>
      </c>
      <c r="I538" s="15" t="s">
        <v>352</v>
      </c>
      <c r="J538" s="15" t="s">
        <v>177</v>
      </c>
      <c r="K538" s="35" t="n">
        <v>46.99</v>
      </c>
      <c r="L538" s="35"/>
      <c r="M538" s="23" t="str">
        <f aca="false">IF(AND(ISNUMBER(L538),ISNUMBER(K538),K538&gt;0),L538/K538-1,"")</f>
        <v/>
      </c>
      <c r="N538" s="36" t="str">
        <f aca="false">IF(M538="","No List Price",IF(M538&lt;=0,"At/below price",IF(M538&lt;=0.12,"&lt;=12% (STR zone)",IF(M538&lt;=0.25,"12-25%","&gt;25% (likely ignored)"))))</f>
        <v>No List Price</v>
      </c>
      <c r="O538" s="15"/>
      <c r="P538" s="35" t="n">
        <v>28.99</v>
      </c>
      <c r="Q538" s="22" t="n">
        <f aca="false">IF(AND(ISNUMBER(K538),ISNUMBER(P538),N(P538)&gt;0),K538/P538-1,"")</f>
        <v>0.620903759917213</v>
      </c>
      <c r="R538" s="15" t="s">
        <v>353</v>
      </c>
      <c r="S538" s="37" t="n">
        <v>41764</v>
      </c>
      <c r="T538" s="37" t="n">
        <v>81</v>
      </c>
      <c r="U538" s="38" t="n">
        <f aca="false">IF(AND(ISNUMBER(K538),ISNUMBER(T538)),K538*T538*52/12,"")</f>
        <v>16493.49</v>
      </c>
      <c r="V538" s="15" t="n">
        <v>4.6</v>
      </c>
      <c r="W538" s="37" t="n">
        <v>1294</v>
      </c>
      <c r="X538" s="39" t="n">
        <v>46307</v>
      </c>
      <c r="Y538" s="15"/>
      <c r="Z538" s="40"/>
      <c r="AA538" s="41" t="str">
        <f aca="false">IF(ISNUMBER(Z538),(DATE(2026,10,13)-Z538)/365,"")</f>
        <v/>
      </c>
      <c r="AB538" s="37"/>
      <c r="AC538" s="15"/>
      <c r="AD538" s="15"/>
      <c r="AE538" s="15"/>
      <c r="AF538" s="42"/>
      <c r="AG538" s="42"/>
      <c r="AH538" s="15"/>
      <c r="AI538" s="37"/>
      <c r="AJ538" s="37"/>
      <c r="AK538" s="15" t="s">
        <v>326</v>
      </c>
      <c r="AL538" s="43" t="n">
        <v>198.2</v>
      </c>
      <c r="AM538" s="43" t="n">
        <v>197.8</v>
      </c>
      <c r="AN538" s="25" t="n">
        <f aca="false">IF(AND(ISNUMBER(AM538),ISNUMBER(AL538),AL538&gt;=5),AM538/AL538,"")</f>
        <v>0.997981836528759</v>
      </c>
      <c r="AO538" s="43" t="n">
        <v>80</v>
      </c>
      <c r="AP538" s="43" t="n">
        <v>89.2</v>
      </c>
      <c r="AQ538" s="25" t="n">
        <f aca="false">IF(AND(ISNUMBER(AP538),ISNUMBER(AO538),AO538&gt;=5),AP538/AO538,"")</f>
        <v>1.115</v>
      </c>
      <c r="AR538" s="43" t="n">
        <v>72.8</v>
      </c>
      <c r="AS538" s="43" t="n">
        <v>173.4</v>
      </c>
      <c r="AT538" s="22" t="n">
        <f aca="false">IF(AND(ISNUMBER(AS538),ISNUMBER(AR538),AR538&gt;0),AS538/AR538-1,"")</f>
        <v>1.38186813186813</v>
      </c>
      <c r="AU538" s="44"/>
      <c r="AV538" s="44"/>
      <c r="AW538" s="44"/>
      <c r="AX538" s="44"/>
      <c r="AY538" s="44"/>
      <c r="AZ538" s="45"/>
      <c r="BA538" s="45"/>
      <c r="BB538" s="46"/>
      <c r="BC538" s="46"/>
      <c r="BD538" s="23" t="str">
        <f aca="false">IF(AND(ISNUMBER(BB538),ISNUMBER(BC538),BB538&gt;0),1-BC538/BB538,"")</f>
        <v/>
      </c>
      <c r="BE538" s="47"/>
      <c r="BF538" s="48"/>
      <c r="BG538" s="48"/>
      <c r="BH538" s="27" t="str">
        <f aca="false">IF(AND(ISNUMBER(BF538),ISNUMBER(BG538),BG538&gt;0),BF538/BG538,"")</f>
        <v/>
      </c>
      <c r="BI538" s="48"/>
      <c r="BJ538" s="44"/>
      <c r="BK538" s="46"/>
      <c r="BL538" s="46"/>
      <c r="BM538" s="36" t="str">
        <f aca="false">IF(ISNUMBER(Q538),IF(Q538&lt;0,"YES","no"),"")</f>
        <v>no</v>
      </c>
      <c r="BN538" s="36" t="str">
        <f aca="false">IFERROR(IF(AND(ISNUMBER(K538),ISNUMBER(INDEX('Lift Inputs'!$H:$H,MATCH(C538,'Lift Inputs'!$C:$C,0)))),IF(K538&lt;INDEX('Lift Inputs'!$H:$H,MATCH(C538,'Lift Inputs'!$C:$C,0)),"YES","no"),""),"")</f>
        <v/>
      </c>
      <c r="BO538" s="44"/>
    </row>
    <row r="539" customFormat="false" ht="15" hidden="false" customHeight="false" outlineLevel="0" collapsed="false">
      <c r="A539" s="15" t="s">
        <v>144</v>
      </c>
      <c r="B539" s="15" t="s">
        <v>145</v>
      </c>
      <c r="C539" s="15" t="n">
        <v>46</v>
      </c>
      <c r="D539" s="15" t="s">
        <v>218</v>
      </c>
      <c r="E539" s="15" t="n">
        <v>1494</v>
      </c>
      <c r="F539" s="15" t="s">
        <v>1067</v>
      </c>
      <c r="G539" s="15" t="s">
        <v>1068</v>
      </c>
      <c r="H539" s="15" t="s">
        <v>1069</v>
      </c>
      <c r="I539" s="15" t="s">
        <v>352</v>
      </c>
      <c r="J539" s="15" t="s">
        <v>177</v>
      </c>
      <c r="K539" s="35" t="n">
        <v>29.99</v>
      </c>
      <c r="L539" s="35"/>
      <c r="M539" s="23" t="str">
        <f aca="false">IF(AND(ISNUMBER(L539),ISNUMBER(K539),K539&gt;0),L539/K539-1,"")</f>
        <v/>
      </c>
      <c r="N539" s="36" t="str">
        <f aca="false">IF(M539="","No List Price",IF(M539&lt;=0,"At/below price",IF(M539&lt;=0.12,"&lt;=12% (STR zone)",IF(M539&lt;=0.25,"12-25%","&gt;25% (likely ignored)"))))</f>
        <v>No List Price</v>
      </c>
      <c r="O539" s="15"/>
      <c r="P539" s="35" t="n">
        <v>28.99</v>
      </c>
      <c r="Q539" s="22" t="n">
        <f aca="false">IF(AND(ISNUMBER(K539),ISNUMBER(P539),N(P539)&gt;0),K539/P539-1,"")</f>
        <v>0.034494653328734</v>
      </c>
      <c r="R539" s="15" t="s">
        <v>353</v>
      </c>
      <c r="S539" s="37" t="n">
        <v>25190</v>
      </c>
      <c r="T539" s="37" t="n">
        <v>81</v>
      </c>
      <c r="U539" s="38" t="n">
        <f aca="false">IF(AND(ISNUMBER(K539),ISNUMBER(T539)),K539*T539*52/12,"")</f>
        <v>10526.49</v>
      </c>
      <c r="V539" s="15" t="n">
        <v>4.6</v>
      </c>
      <c r="W539" s="37" t="n">
        <v>1595</v>
      </c>
      <c r="X539" s="39" t="n">
        <v>46307</v>
      </c>
      <c r="Y539" s="15"/>
      <c r="Z539" s="40"/>
      <c r="AA539" s="41" t="str">
        <f aca="false">IF(ISNUMBER(Z539),(DATE(2026,10,13)-Z539)/365,"")</f>
        <v/>
      </c>
      <c r="AB539" s="37"/>
      <c r="AC539" s="15"/>
      <c r="AD539" s="15"/>
      <c r="AE539" s="15"/>
      <c r="AF539" s="42"/>
      <c r="AG539" s="42"/>
      <c r="AH539" s="15"/>
      <c r="AI539" s="37"/>
      <c r="AJ539" s="37"/>
      <c r="AK539" s="15" t="s">
        <v>326</v>
      </c>
      <c r="AL539" s="43" t="n">
        <v>14.7</v>
      </c>
      <c r="AM539" s="43" t="n">
        <v>15</v>
      </c>
      <c r="AN539" s="25" t="n">
        <f aca="false">IF(AND(ISNUMBER(AM539),ISNUMBER(AL539),AL539&gt;=5),AM539/AL539,"")</f>
        <v>1.02040816326531</v>
      </c>
      <c r="AO539" s="43" t="n">
        <v>0.2</v>
      </c>
      <c r="AP539" s="43" t="n">
        <v>0.2</v>
      </c>
      <c r="AQ539" s="25" t="str">
        <f aca="false">IF(AND(ISNUMBER(AP539),ISNUMBER(AO539),AO539&gt;=5),AP539/AO539,"")</f>
        <v/>
      </c>
      <c r="AR539" s="43" t="n">
        <v>14.7</v>
      </c>
      <c r="AS539" s="43" t="n">
        <v>45.2</v>
      </c>
      <c r="AT539" s="22" t="n">
        <f aca="false">IF(AND(ISNUMBER(AS539),ISNUMBER(AR539),AR539&gt;0),AS539/AR539-1,"")</f>
        <v>2.07482993197279</v>
      </c>
      <c r="AU539" s="44"/>
      <c r="AV539" s="44"/>
      <c r="AW539" s="44"/>
      <c r="AX539" s="44"/>
      <c r="AY539" s="44"/>
      <c r="AZ539" s="45"/>
      <c r="BA539" s="45"/>
      <c r="BB539" s="46"/>
      <c r="BC539" s="46"/>
      <c r="BD539" s="23" t="str">
        <f aca="false">IF(AND(ISNUMBER(BB539),ISNUMBER(BC539),BB539&gt;0),1-BC539/BB539,"")</f>
        <v/>
      </c>
      <c r="BE539" s="47"/>
      <c r="BF539" s="48"/>
      <c r="BG539" s="48"/>
      <c r="BH539" s="27" t="str">
        <f aca="false">IF(AND(ISNUMBER(BF539),ISNUMBER(BG539),BG539&gt;0),BF539/BG539,"")</f>
        <v/>
      </c>
      <c r="BI539" s="48"/>
      <c r="BJ539" s="44"/>
      <c r="BK539" s="46"/>
      <c r="BL539" s="46"/>
      <c r="BM539" s="36" t="str">
        <f aca="false">IF(ISNUMBER(Q539),IF(Q539&lt;0,"YES","no"),"")</f>
        <v>no</v>
      </c>
      <c r="BN539" s="36" t="str">
        <f aca="false">IFERROR(IF(AND(ISNUMBER(K539),ISNUMBER(INDEX('Lift Inputs'!$H:$H,MATCH(C539,'Lift Inputs'!$C:$C,0)))),IF(K539&lt;INDEX('Lift Inputs'!$H:$H,MATCH(C539,'Lift Inputs'!$C:$C,0)),"YES","no"),""),"")</f>
        <v/>
      </c>
      <c r="BO539" s="44"/>
    </row>
    <row r="540" customFormat="false" ht="15" hidden="false" customHeight="false" outlineLevel="0" collapsed="false">
      <c r="A540" s="15" t="s">
        <v>144</v>
      </c>
      <c r="B540" s="15" t="s">
        <v>145</v>
      </c>
      <c r="C540" s="15" t="n">
        <v>46</v>
      </c>
      <c r="D540" s="15" t="s">
        <v>218</v>
      </c>
      <c r="E540" s="15" t="n">
        <v>338</v>
      </c>
      <c r="F540" s="15" t="s">
        <v>1070</v>
      </c>
      <c r="G540" s="15" t="s">
        <v>1071</v>
      </c>
      <c r="H540" s="15" t="s">
        <v>1072</v>
      </c>
      <c r="I540" s="15" t="s">
        <v>1073</v>
      </c>
      <c r="J540" s="15" t="s">
        <v>177</v>
      </c>
      <c r="K540" s="35" t="n">
        <v>52.99</v>
      </c>
      <c r="L540" s="35"/>
      <c r="M540" s="23" t="str">
        <f aca="false">IF(AND(ISNUMBER(L540),ISNUMBER(K540),K540&gt;0),L540/K540-1,"")</f>
        <v/>
      </c>
      <c r="N540" s="36" t="str">
        <f aca="false">IF(M540="","No List Price",IF(M540&lt;=0,"At/below price",IF(M540&lt;=0.12,"&lt;=12% (STR zone)",IF(M540&lt;=0.25,"12-25%","&gt;25% (likely ignored)"))))</f>
        <v>No List Price</v>
      </c>
      <c r="O540" s="15" t="s">
        <v>320</v>
      </c>
      <c r="P540" s="35" t="n">
        <v>30.99</v>
      </c>
      <c r="Q540" s="22" t="n">
        <f aca="false">IF(AND(ISNUMBER(K540),ISNUMBER(P540),N(P540)&gt;0),K540/P540-1,"")</f>
        <v>0.709906421426267</v>
      </c>
      <c r="R540" s="15" t="s">
        <v>321</v>
      </c>
      <c r="S540" s="37" t="n">
        <v>18942</v>
      </c>
      <c r="T540" s="37" t="n">
        <v>81</v>
      </c>
      <c r="U540" s="38" t="n">
        <f aca="false">IF(AND(ISNUMBER(K540),ISNUMBER(T540)),K540*T540*52/12,"")</f>
        <v>18599.49</v>
      </c>
      <c r="V540" s="15" t="n">
        <v>4.7</v>
      </c>
      <c r="W540" s="37" t="n">
        <v>1849</v>
      </c>
      <c r="X540" s="39" t="n">
        <v>46307</v>
      </c>
      <c r="Y540" s="15" t="n">
        <v>23</v>
      </c>
      <c r="Z540" s="40" t="n">
        <v>45366</v>
      </c>
      <c r="AA540" s="41" t="n">
        <f aca="false">IF(ISNUMBER(Z540),(DATE(2026,10,13)-Z540)/365,"")</f>
        <v>2.58082191780822</v>
      </c>
      <c r="AB540" s="37" t="n">
        <v>2282</v>
      </c>
      <c r="AC540" s="15" t="s">
        <v>313</v>
      </c>
      <c r="AD540" s="15" t="n">
        <v>2</v>
      </c>
      <c r="AE540" s="15" t="s">
        <v>331</v>
      </c>
      <c r="AF540" s="42" t="n">
        <v>0</v>
      </c>
      <c r="AG540" s="42" t="n">
        <v>0</v>
      </c>
      <c r="AH540" s="15" t="n">
        <v>23</v>
      </c>
      <c r="AI540" s="37"/>
      <c r="AJ540" s="37"/>
      <c r="AK540" s="15"/>
      <c r="AL540" s="43"/>
      <c r="AM540" s="43"/>
      <c r="AN540" s="25" t="str">
        <f aca="false">IF(AND(ISNUMBER(AM540),ISNUMBER(AL540),AL540&gt;=5),AM540/AL540,"")</f>
        <v/>
      </c>
      <c r="AO540" s="43"/>
      <c r="AP540" s="43"/>
      <c r="AQ540" s="25" t="str">
        <f aca="false">IF(AND(ISNUMBER(AP540),ISNUMBER(AO540),AO540&gt;=5),AP540/AO540,"")</f>
        <v/>
      </c>
      <c r="AR540" s="43"/>
      <c r="AS540" s="43"/>
      <c r="AT540" s="22" t="str">
        <f aca="false">IF(AND(ISNUMBER(AS540),ISNUMBER(AR540),AR540&gt;0),AS540/AR540-1,"")</f>
        <v/>
      </c>
      <c r="AU540" s="44"/>
      <c r="AV540" s="44"/>
      <c r="AW540" s="44"/>
      <c r="AX540" s="44"/>
      <c r="AY540" s="44"/>
      <c r="AZ540" s="45"/>
      <c r="BA540" s="45"/>
      <c r="BB540" s="46"/>
      <c r="BC540" s="46"/>
      <c r="BD540" s="23" t="str">
        <f aca="false">IF(AND(ISNUMBER(BB540),ISNUMBER(BC540),BB540&gt;0),1-BC540/BB540,"")</f>
        <v/>
      </c>
      <c r="BE540" s="47"/>
      <c r="BF540" s="48"/>
      <c r="BG540" s="48"/>
      <c r="BH540" s="27" t="str">
        <f aca="false">IF(AND(ISNUMBER(BF540),ISNUMBER(BG540),BG540&gt;0),BF540/BG540,"")</f>
        <v/>
      </c>
      <c r="BI540" s="48"/>
      <c r="BJ540" s="44"/>
      <c r="BK540" s="46"/>
      <c r="BL540" s="46"/>
      <c r="BM540" s="36" t="str">
        <f aca="false">IF(ISNUMBER(Q540),IF(Q540&lt;0,"YES","no"),"")</f>
        <v>no</v>
      </c>
      <c r="BN540" s="36" t="str">
        <f aca="false">IFERROR(IF(AND(ISNUMBER(K540),ISNUMBER(INDEX('Lift Inputs'!$H:$H,MATCH(C540,'Lift Inputs'!$C:$C,0)))),IF(K540&lt;INDEX('Lift Inputs'!$H:$H,MATCH(C540,'Lift Inputs'!$C:$C,0)),"YES","no"),""),"")</f>
        <v/>
      </c>
      <c r="BO540" s="44"/>
    </row>
    <row r="541" customFormat="false" ht="15" hidden="false" customHeight="false" outlineLevel="0" collapsed="false">
      <c r="A541" s="15" t="s">
        <v>144</v>
      </c>
      <c r="B541" s="15" t="s">
        <v>145</v>
      </c>
      <c r="C541" s="15" t="n">
        <v>46</v>
      </c>
      <c r="D541" s="15" t="s">
        <v>218</v>
      </c>
      <c r="E541" s="15" t="n">
        <v>1827</v>
      </c>
      <c r="F541" s="15" t="s">
        <v>1074</v>
      </c>
      <c r="G541" s="15" t="s">
        <v>1075</v>
      </c>
      <c r="H541" s="15" t="s">
        <v>1076</v>
      </c>
      <c r="I541" s="15" t="s">
        <v>1077</v>
      </c>
      <c r="J541" s="15" t="s">
        <v>177</v>
      </c>
      <c r="K541" s="35" t="n">
        <v>33.99</v>
      </c>
      <c r="L541" s="35"/>
      <c r="M541" s="23" t="str">
        <f aca="false">IF(AND(ISNUMBER(L541),ISNUMBER(K541),K541&gt;0),L541/K541-1,"")</f>
        <v/>
      </c>
      <c r="N541" s="36" t="str">
        <f aca="false">IF(M541="","No List Price",IF(M541&lt;=0,"At/below price",IF(M541&lt;=0.12,"&lt;=12% (STR zone)",IF(M541&lt;=0.25,"12-25%","&gt;25% (likely ignored)"))))</f>
        <v>No List Price</v>
      </c>
      <c r="O541" s="15" t="s">
        <v>311</v>
      </c>
      <c r="P541" s="35" t="n">
        <v>28.99</v>
      </c>
      <c r="Q541" s="22" t="n">
        <f aca="false">IF(AND(ISNUMBER(K541),ISNUMBER(P541),N(P541)&gt;0),K541/P541-1,"")</f>
        <v>0.17247326664367</v>
      </c>
      <c r="R541" s="15" t="s">
        <v>312</v>
      </c>
      <c r="S541" s="37" t="n">
        <v>1652676</v>
      </c>
      <c r="T541" s="37" t="n">
        <v>5</v>
      </c>
      <c r="U541" s="38" t="n">
        <f aca="false">IF(AND(ISNUMBER(K541),ISNUMBER(T541)),K541*T541*52/12,"")</f>
        <v>736.45</v>
      </c>
      <c r="V541" s="15" t="n">
        <v>4.6</v>
      </c>
      <c r="W541" s="37" t="n">
        <v>40</v>
      </c>
      <c r="X541" s="39" t="n">
        <v>46307</v>
      </c>
      <c r="Y541" s="15" t="n">
        <v>2</v>
      </c>
      <c r="Z541" s="40" t="n">
        <v>45947</v>
      </c>
      <c r="AA541" s="41" t="n">
        <f aca="false">IF(ISNUMBER(Z541),(DATE(2026,10,13)-Z541)/365,"")</f>
        <v>0.989041095890411</v>
      </c>
      <c r="AB541" s="37" t="n">
        <v>9</v>
      </c>
      <c r="AC541" s="15" t="s">
        <v>465</v>
      </c>
      <c r="AD541" s="15" t="n">
        <v>0</v>
      </c>
      <c r="AE541" s="15" t="s">
        <v>466</v>
      </c>
      <c r="AF541" s="42" t="n">
        <v>0</v>
      </c>
      <c r="AG541" s="42" t="n">
        <v>0</v>
      </c>
      <c r="AH541" s="15" t="n">
        <v>0</v>
      </c>
      <c r="AI541" s="37"/>
      <c r="AJ541" s="37"/>
      <c r="AK541" s="15"/>
      <c r="AL541" s="43"/>
      <c r="AM541" s="43"/>
      <c r="AN541" s="25" t="str">
        <f aca="false">IF(AND(ISNUMBER(AM541),ISNUMBER(AL541),AL541&gt;=5),AM541/AL541,"")</f>
        <v/>
      </c>
      <c r="AO541" s="43"/>
      <c r="AP541" s="43"/>
      <c r="AQ541" s="25" t="str">
        <f aca="false">IF(AND(ISNUMBER(AP541),ISNUMBER(AO541),AO541&gt;=5),AP541/AO541,"")</f>
        <v/>
      </c>
      <c r="AR541" s="43"/>
      <c r="AS541" s="43"/>
      <c r="AT541" s="22" t="str">
        <f aca="false">IF(AND(ISNUMBER(AS541),ISNUMBER(AR541),AR541&gt;0),AS541/AR541-1,"")</f>
        <v/>
      </c>
      <c r="AU541" s="44"/>
      <c r="AV541" s="44"/>
      <c r="AW541" s="44"/>
      <c r="AX541" s="44"/>
      <c r="AY541" s="44"/>
      <c r="AZ541" s="45"/>
      <c r="BA541" s="45"/>
      <c r="BB541" s="46"/>
      <c r="BC541" s="46"/>
      <c r="BD541" s="23" t="str">
        <f aca="false">IF(AND(ISNUMBER(BB541),ISNUMBER(BC541),BB541&gt;0),1-BC541/BB541,"")</f>
        <v/>
      </c>
      <c r="BE541" s="47"/>
      <c r="BF541" s="48"/>
      <c r="BG541" s="48"/>
      <c r="BH541" s="27" t="str">
        <f aca="false">IF(AND(ISNUMBER(BF541),ISNUMBER(BG541),BG541&gt;0),BF541/BG541,"")</f>
        <v/>
      </c>
      <c r="BI541" s="48"/>
      <c r="BJ541" s="44"/>
      <c r="BK541" s="46"/>
      <c r="BL541" s="46"/>
      <c r="BM541" s="36" t="str">
        <f aca="false">IF(ISNUMBER(Q541),IF(Q541&lt;0,"YES","no"),"")</f>
        <v>no</v>
      </c>
      <c r="BN541" s="36" t="str">
        <f aca="false">IFERROR(IF(AND(ISNUMBER(K541),ISNUMBER(INDEX('Lift Inputs'!$H:$H,MATCH(C541,'Lift Inputs'!$C:$C,0)))),IF(K541&lt;INDEX('Lift Inputs'!$H:$H,MATCH(C541,'Lift Inputs'!$C:$C,0)),"YES","no"),""),"")</f>
        <v/>
      </c>
      <c r="BO541" s="44"/>
    </row>
    <row r="542" customFormat="false" ht="15" hidden="false" customHeight="false" outlineLevel="0" collapsed="false">
      <c r="A542" s="15" t="s">
        <v>144</v>
      </c>
      <c r="B542" s="15" t="s">
        <v>145</v>
      </c>
      <c r="C542" s="15" t="n">
        <v>46</v>
      </c>
      <c r="D542" s="15" t="s">
        <v>218</v>
      </c>
      <c r="E542" s="15" t="n">
        <v>333</v>
      </c>
      <c r="F542" s="15" t="s">
        <v>1078</v>
      </c>
      <c r="G542" s="15" t="s">
        <v>1079</v>
      </c>
      <c r="H542" s="15" t="s">
        <v>1080</v>
      </c>
      <c r="I542" s="15" t="s">
        <v>352</v>
      </c>
      <c r="J542" s="15" t="s">
        <v>177</v>
      </c>
      <c r="K542" s="35" t="n">
        <v>32.99</v>
      </c>
      <c r="L542" s="35"/>
      <c r="M542" s="23" t="str">
        <f aca="false">IF(AND(ISNUMBER(L542),ISNUMBER(K542),K542&gt;0),L542/K542-1,"")</f>
        <v/>
      </c>
      <c r="N542" s="36" t="str">
        <f aca="false">IF(M542="","No List Price",IF(M542&lt;=0,"At/below price",IF(M542&lt;=0.12,"&lt;=12% (STR zone)",IF(M542&lt;=0.25,"12-25%","&gt;25% (likely ignored)"))))</f>
        <v>No List Price</v>
      </c>
      <c r="O542" s="15"/>
      <c r="P542" s="35" t="n">
        <v>28.99</v>
      </c>
      <c r="Q542" s="22" t="n">
        <f aca="false">IF(AND(ISNUMBER(K542),ISNUMBER(P542),N(P542)&gt;0),K542/P542-1,"")</f>
        <v>0.137978613314936</v>
      </c>
      <c r="R542" s="15" t="s">
        <v>353</v>
      </c>
      <c r="S542" s="37" t="n">
        <v>642294</v>
      </c>
      <c r="T542" s="37" t="n">
        <v>5</v>
      </c>
      <c r="U542" s="38" t="n">
        <f aca="false">IF(AND(ISNUMBER(K542),ISNUMBER(T542)),K542*T542*52/12,"")</f>
        <v>714.783333333333</v>
      </c>
      <c r="V542" s="15" t="n">
        <v>4.5</v>
      </c>
      <c r="W542" s="37" t="n">
        <v>1264</v>
      </c>
      <c r="X542" s="39" t="n">
        <v>46307</v>
      </c>
      <c r="Y542" s="15"/>
      <c r="Z542" s="40"/>
      <c r="AA542" s="41" t="str">
        <f aca="false">IF(ISNUMBER(Z542),(DATE(2026,10,13)-Z542)/365,"")</f>
        <v/>
      </c>
      <c r="AB542" s="37"/>
      <c r="AC542" s="15"/>
      <c r="AD542" s="15"/>
      <c r="AE542" s="15"/>
      <c r="AF542" s="42"/>
      <c r="AG542" s="42"/>
      <c r="AH542" s="15"/>
      <c r="AI542" s="37"/>
      <c r="AJ542" s="37"/>
      <c r="AK542" s="15"/>
      <c r="AL542" s="43"/>
      <c r="AM542" s="43"/>
      <c r="AN542" s="25" t="str">
        <f aca="false">IF(AND(ISNUMBER(AM542),ISNUMBER(AL542),AL542&gt;=5),AM542/AL542,"")</f>
        <v/>
      </c>
      <c r="AO542" s="43"/>
      <c r="AP542" s="43"/>
      <c r="AQ542" s="25" t="str">
        <f aca="false">IF(AND(ISNUMBER(AP542),ISNUMBER(AO542),AO542&gt;=5),AP542/AO542,"")</f>
        <v/>
      </c>
      <c r="AR542" s="43"/>
      <c r="AS542" s="43"/>
      <c r="AT542" s="22" t="str">
        <f aca="false">IF(AND(ISNUMBER(AS542),ISNUMBER(AR542),AR542&gt;0),AS542/AR542-1,"")</f>
        <v/>
      </c>
      <c r="AU542" s="44"/>
      <c r="AV542" s="44"/>
      <c r="AW542" s="44"/>
      <c r="AX542" s="44"/>
      <c r="AY542" s="44"/>
      <c r="AZ542" s="45"/>
      <c r="BA542" s="45"/>
      <c r="BB542" s="46"/>
      <c r="BC542" s="46"/>
      <c r="BD542" s="23" t="str">
        <f aca="false">IF(AND(ISNUMBER(BB542),ISNUMBER(BC542),BB542&gt;0),1-BC542/BB542,"")</f>
        <v/>
      </c>
      <c r="BE542" s="47"/>
      <c r="BF542" s="48"/>
      <c r="BG542" s="48"/>
      <c r="BH542" s="27" t="str">
        <f aca="false">IF(AND(ISNUMBER(BF542),ISNUMBER(BG542),BG542&gt;0),BF542/BG542,"")</f>
        <v/>
      </c>
      <c r="BI542" s="48"/>
      <c r="BJ542" s="44"/>
      <c r="BK542" s="46"/>
      <c r="BL542" s="46"/>
      <c r="BM542" s="36" t="str">
        <f aca="false">IF(ISNUMBER(Q542),IF(Q542&lt;0,"YES","no"),"")</f>
        <v>no</v>
      </c>
      <c r="BN542" s="36" t="str">
        <f aca="false">IFERROR(IF(AND(ISNUMBER(K542),ISNUMBER(INDEX('Lift Inputs'!$H:$H,MATCH(C542,'Lift Inputs'!$C:$C,0)))),IF(K542&lt;INDEX('Lift Inputs'!$H:$H,MATCH(C542,'Lift Inputs'!$C:$C,0)),"YES","no"),""),"")</f>
        <v/>
      </c>
      <c r="BO542" s="44"/>
    </row>
    <row r="543" customFormat="false" ht="15" hidden="false" customHeight="false" outlineLevel="0" collapsed="false">
      <c r="A543" s="15" t="s">
        <v>144</v>
      </c>
      <c r="B543" s="15" t="s">
        <v>145</v>
      </c>
      <c r="C543" s="15" t="n">
        <v>46</v>
      </c>
      <c r="D543" s="15" t="s">
        <v>218</v>
      </c>
      <c r="E543" s="15" t="n">
        <v>1496</v>
      </c>
      <c r="F543" s="15" t="s">
        <v>1081</v>
      </c>
      <c r="G543" s="15" t="s">
        <v>1082</v>
      </c>
      <c r="H543" s="15" t="s">
        <v>1083</v>
      </c>
      <c r="I543" s="15" t="s">
        <v>352</v>
      </c>
      <c r="J543" s="15" t="s">
        <v>178</v>
      </c>
      <c r="K543" s="35" t="n">
        <v>35.88</v>
      </c>
      <c r="L543" s="35"/>
      <c r="M543" s="23" t="str">
        <f aca="false">IF(AND(ISNUMBER(L543),ISNUMBER(K543),K543&gt;0),L543/K543-1,"")</f>
        <v/>
      </c>
      <c r="N543" s="36" t="str">
        <f aca="false">IF(M543="","No List Price",IF(M543&lt;=0,"At/below price",IF(M543&lt;=0.12,"&lt;=12% (STR zone)",IF(M543&lt;=0.25,"12-25%","&gt;25% (likely ignored)"))))</f>
        <v>No List Price</v>
      </c>
      <c r="O543" s="15"/>
      <c r="P543" s="35" t="n">
        <v>28.99</v>
      </c>
      <c r="Q543" s="22" t="n">
        <f aca="false">IF(AND(ISNUMBER(K543),ISNUMBER(P543),N(P543)&gt;0),K543/P543-1,"")</f>
        <v>0.237668161434978</v>
      </c>
      <c r="R543" s="15" t="s">
        <v>353</v>
      </c>
      <c r="S543" s="37" t="n">
        <v>55055</v>
      </c>
      <c r="T543" s="37" t="n">
        <v>35</v>
      </c>
      <c r="U543" s="38" t="n">
        <f aca="false">IF(AND(ISNUMBER(K543),ISNUMBER(T543)),K543*T543*52/12,"")</f>
        <v>5441.8</v>
      </c>
      <c r="V543" s="15" t="n">
        <v>4.6</v>
      </c>
      <c r="W543" s="37" t="n">
        <v>361</v>
      </c>
      <c r="X543" s="39" t="n">
        <v>46307</v>
      </c>
      <c r="Y543" s="15"/>
      <c r="Z543" s="40"/>
      <c r="AA543" s="41" t="str">
        <f aca="false">IF(ISNUMBER(Z543),(DATE(2026,10,13)-Z543)/365,"")</f>
        <v/>
      </c>
      <c r="AB543" s="37"/>
      <c r="AC543" s="15"/>
      <c r="AD543" s="15"/>
      <c r="AE543" s="15"/>
      <c r="AF543" s="42"/>
      <c r="AG543" s="42"/>
      <c r="AH543" s="15"/>
      <c r="AI543" s="37"/>
      <c r="AJ543" s="37"/>
      <c r="AK543" s="15"/>
      <c r="AL543" s="43"/>
      <c r="AM543" s="43"/>
      <c r="AN543" s="25" t="str">
        <f aca="false">IF(AND(ISNUMBER(AM543),ISNUMBER(AL543),AL543&gt;=5),AM543/AL543,"")</f>
        <v/>
      </c>
      <c r="AO543" s="43"/>
      <c r="AP543" s="43"/>
      <c r="AQ543" s="25" t="str">
        <f aca="false">IF(AND(ISNUMBER(AP543),ISNUMBER(AO543),AO543&gt;=5),AP543/AO543,"")</f>
        <v/>
      </c>
      <c r="AR543" s="43"/>
      <c r="AS543" s="43"/>
      <c r="AT543" s="22" t="str">
        <f aca="false">IF(AND(ISNUMBER(AS543),ISNUMBER(AR543),AR543&gt;0),AS543/AR543-1,"")</f>
        <v/>
      </c>
      <c r="AU543" s="44"/>
      <c r="AV543" s="44"/>
      <c r="AW543" s="44"/>
      <c r="AX543" s="44"/>
      <c r="AY543" s="44"/>
      <c r="AZ543" s="45"/>
      <c r="BA543" s="45"/>
      <c r="BB543" s="46"/>
      <c r="BC543" s="46"/>
      <c r="BD543" s="23" t="str">
        <f aca="false">IF(AND(ISNUMBER(BB543),ISNUMBER(BC543),BB543&gt;0),1-BC543/BB543,"")</f>
        <v/>
      </c>
      <c r="BE543" s="47"/>
      <c r="BF543" s="48"/>
      <c r="BG543" s="48"/>
      <c r="BH543" s="27" t="str">
        <f aca="false">IF(AND(ISNUMBER(BF543),ISNUMBER(BG543),BG543&gt;0),BF543/BG543,"")</f>
        <v/>
      </c>
      <c r="BI543" s="48"/>
      <c r="BJ543" s="44"/>
      <c r="BK543" s="46"/>
      <c r="BL543" s="46"/>
      <c r="BM543" s="36" t="str">
        <f aca="false">IF(ISNUMBER(Q543),IF(Q543&lt;0,"YES","no"),"")</f>
        <v>no</v>
      </c>
      <c r="BN543" s="36" t="str">
        <f aca="false">IFERROR(IF(AND(ISNUMBER(K543),ISNUMBER(INDEX('Lift Inputs'!$H:$H,MATCH(C543,'Lift Inputs'!$C:$C,0)))),IF(K543&lt;INDEX('Lift Inputs'!$H:$H,MATCH(C543,'Lift Inputs'!$C:$C,0)),"YES","no"),""),"")</f>
        <v/>
      </c>
      <c r="BO543" s="44"/>
    </row>
    <row r="544" customFormat="false" ht="15" hidden="false" customHeight="false" outlineLevel="0" collapsed="false">
      <c r="A544" s="15" t="s">
        <v>144</v>
      </c>
      <c r="B544" s="15" t="s">
        <v>145</v>
      </c>
      <c r="C544" s="15" t="n">
        <v>46</v>
      </c>
      <c r="D544" s="15" t="s">
        <v>218</v>
      </c>
      <c r="E544" s="15" t="n">
        <v>1566</v>
      </c>
      <c r="F544" s="15" t="s">
        <v>1084</v>
      </c>
      <c r="G544" s="15" t="s">
        <v>1085</v>
      </c>
      <c r="H544" s="15" t="s">
        <v>1086</v>
      </c>
      <c r="I544" s="15" t="s">
        <v>352</v>
      </c>
      <c r="J544" s="15" t="s">
        <v>178</v>
      </c>
      <c r="K544" s="35" t="n">
        <v>36.98</v>
      </c>
      <c r="L544" s="35"/>
      <c r="M544" s="23" t="str">
        <f aca="false">IF(AND(ISNUMBER(L544),ISNUMBER(K544),K544&gt;0),L544/K544-1,"")</f>
        <v/>
      </c>
      <c r="N544" s="36" t="str">
        <f aca="false">IF(M544="","No List Price",IF(M544&lt;=0,"At/below price",IF(M544&lt;=0.12,"&lt;=12% (STR zone)",IF(M544&lt;=0.25,"12-25%","&gt;25% (likely ignored)"))))</f>
        <v>No List Price</v>
      </c>
      <c r="O544" s="15"/>
      <c r="P544" s="35" t="n">
        <v>28.99</v>
      </c>
      <c r="Q544" s="22" t="n">
        <f aca="false">IF(AND(ISNUMBER(K544),ISNUMBER(P544),N(P544)&gt;0),K544/P544-1,"")</f>
        <v>0.275612280096585</v>
      </c>
      <c r="R544" s="15" t="s">
        <v>353</v>
      </c>
      <c r="S544" s="37" t="n">
        <v>159647</v>
      </c>
      <c r="T544" s="37" t="n">
        <v>5</v>
      </c>
      <c r="U544" s="38" t="n">
        <f aca="false">IF(AND(ISNUMBER(K544),ISNUMBER(T544)),K544*T544*52/12,"")</f>
        <v>801.233333333333</v>
      </c>
      <c r="V544" s="15" t="n">
        <v>4.6</v>
      </c>
      <c r="W544" s="37" t="n">
        <v>424</v>
      </c>
      <c r="X544" s="39" t="n">
        <v>46307</v>
      </c>
      <c r="Y544" s="15"/>
      <c r="Z544" s="40"/>
      <c r="AA544" s="41" t="str">
        <f aca="false">IF(ISNUMBER(Z544),(DATE(2026,10,13)-Z544)/365,"")</f>
        <v/>
      </c>
      <c r="AB544" s="37"/>
      <c r="AC544" s="15"/>
      <c r="AD544" s="15"/>
      <c r="AE544" s="15"/>
      <c r="AF544" s="42"/>
      <c r="AG544" s="42"/>
      <c r="AH544" s="15"/>
      <c r="AI544" s="37"/>
      <c r="AJ544" s="37"/>
      <c r="AK544" s="15"/>
      <c r="AL544" s="43"/>
      <c r="AM544" s="43"/>
      <c r="AN544" s="25" t="str">
        <f aca="false">IF(AND(ISNUMBER(AM544),ISNUMBER(AL544),AL544&gt;=5),AM544/AL544,"")</f>
        <v/>
      </c>
      <c r="AO544" s="43"/>
      <c r="AP544" s="43"/>
      <c r="AQ544" s="25" t="str">
        <f aca="false">IF(AND(ISNUMBER(AP544),ISNUMBER(AO544),AO544&gt;=5),AP544/AO544,"")</f>
        <v/>
      </c>
      <c r="AR544" s="43"/>
      <c r="AS544" s="43"/>
      <c r="AT544" s="22" t="str">
        <f aca="false">IF(AND(ISNUMBER(AS544),ISNUMBER(AR544),AR544&gt;0),AS544/AR544-1,"")</f>
        <v/>
      </c>
      <c r="AU544" s="44"/>
      <c r="AV544" s="44"/>
      <c r="AW544" s="44"/>
      <c r="AX544" s="44"/>
      <c r="AY544" s="44"/>
      <c r="AZ544" s="45"/>
      <c r="BA544" s="45"/>
      <c r="BB544" s="46"/>
      <c r="BC544" s="46"/>
      <c r="BD544" s="23" t="str">
        <f aca="false">IF(AND(ISNUMBER(BB544),ISNUMBER(BC544),BB544&gt;0),1-BC544/BB544,"")</f>
        <v/>
      </c>
      <c r="BE544" s="47"/>
      <c r="BF544" s="48"/>
      <c r="BG544" s="48"/>
      <c r="BH544" s="27" t="str">
        <f aca="false">IF(AND(ISNUMBER(BF544),ISNUMBER(BG544),BG544&gt;0),BF544/BG544,"")</f>
        <v/>
      </c>
      <c r="BI544" s="48"/>
      <c r="BJ544" s="44"/>
      <c r="BK544" s="46"/>
      <c r="BL544" s="46"/>
      <c r="BM544" s="36" t="str">
        <f aca="false">IF(ISNUMBER(Q544),IF(Q544&lt;0,"YES","no"),"")</f>
        <v>no</v>
      </c>
      <c r="BN544" s="36" t="str">
        <f aca="false">IFERROR(IF(AND(ISNUMBER(K544),ISNUMBER(INDEX('Lift Inputs'!$H:$H,MATCH(C544,'Lift Inputs'!$C:$C,0)))),IF(K544&lt;INDEX('Lift Inputs'!$H:$H,MATCH(C544,'Lift Inputs'!$C:$C,0)),"YES","no"),""),"")</f>
        <v/>
      </c>
      <c r="BO544" s="44"/>
    </row>
    <row r="545" customFormat="false" ht="15" hidden="false" customHeight="false" outlineLevel="0" collapsed="false">
      <c r="A545" s="15" t="s">
        <v>144</v>
      </c>
      <c r="B545" s="15" t="s">
        <v>148</v>
      </c>
      <c r="C545" s="15" t="n">
        <v>53</v>
      </c>
      <c r="D545" s="15" t="s">
        <v>218</v>
      </c>
      <c r="E545" s="15" t="n">
        <v>1585</v>
      </c>
      <c r="F545" s="15" t="s">
        <v>1087</v>
      </c>
      <c r="G545" s="15" t="s">
        <v>1088</v>
      </c>
      <c r="H545" s="15" t="s">
        <v>1089</v>
      </c>
      <c r="I545" s="15" t="s">
        <v>1090</v>
      </c>
      <c r="J545" s="15" t="s">
        <v>176</v>
      </c>
      <c r="K545" s="35" t="n">
        <v>25.95</v>
      </c>
      <c r="L545" s="35"/>
      <c r="M545" s="23" t="str">
        <f aca="false">IF(AND(ISNUMBER(L545),ISNUMBER(K545),K545&gt;0),L545/K545-1,"")</f>
        <v/>
      </c>
      <c r="N545" s="36" t="str">
        <f aca="false">IF(M545="","No List Price",IF(M545&lt;=0,"At/below price",IF(M545&lt;=0.12,"&lt;=12% (STR zone)",IF(M545&lt;=0.25,"12-25%","&gt;25% (likely ignored)"))))</f>
        <v>No List Price</v>
      </c>
      <c r="O545" s="15"/>
      <c r="P545" s="35" t="n">
        <v>29.8233333333333</v>
      </c>
      <c r="Q545" s="22" t="n">
        <f aca="false">IF(AND(ISNUMBER(K545),ISNUMBER(P545),N(P545)&gt;0),K545/P545-1,"")</f>
        <v>-0.129875936067956</v>
      </c>
      <c r="R545" s="15" t="s">
        <v>512</v>
      </c>
      <c r="S545" s="37" t="n">
        <v>143</v>
      </c>
      <c r="T545" s="37" t="n">
        <v>3464</v>
      </c>
      <c r="U545" s="38" t="n">
        <f aca="false">IF(AND(ISNUMBER(K545),ISNUMBER(T545)),K545*T545*52/12,"")</f>
        <v>389526.8</v>
      </c>
      <c r="V545" s="15" t="n">
        <v>4.6</v>
      </c>
      <c r="W545" s="37" t="n">
        <v>10414</v>
      </c>
      <c r="X545" s="39" t="n">
        <v>46307</v>
      </c>
      <c r="Y545" s="15" t="n">
        <v>487</v>
      </c>
      <c r="Z545" s="40" t="n">
        <v>44284</v>
      </c>
      <c r="AA545" s="41" t="n">
        <f aca="false">IF(ISNUMBER(Z545),(DATE(2026,10,13)-Z545)/365,"")</f>
        <v>5.54520547945206</v>
      </c>
      <c r="AB545" s="37" t="n">
        <v>40753</v>
      </c>
      <c r="AC545" s="15" t="s">
        <v>313</v>
      </c>
      <c r="AD545" s="15" t="n">
        <v>13</v>
      </c>
      <c r="AE545" s="15" t="s">
        <v>331</v>
      </c>
      <c r="AF545" s="42" t="n">
        <v>0.004</v>
      </c>
      <c r="AG545" s="42" t="n">
        <v>0.00247032441535385</v>
      </c>
      <c r="AH545" s="15" t="n">
        <v>462</v>
      </c>
      <c r="AI545" s="37"/>
      <c r="AJ545" s="37"/>
      <c r="AK545" s="15" t="s">
        <v>326</v>
      </c>
      <c r="AL545" s="43" t="n">
        <v>6139.4</v>
      </c>
      <c r="AM545" s="43" t="n">
        <v>5096.8</v>
      </c>
      <c r="AN545" s="25" t="n">
        <f aca="false">IF(AND(ISNUMBER(AM545),ISNUMBER(AL545),AL545&gt;=5),AM545/AL545,"")</f>
        <v>0.830178844838258</v>
      </c>
      <c r="AO545" s="43" t="n">
        <v>525.6</v>
      </c>
      <c r="AP545" s="43" t="n">
        <v>665</v>
      </c>
      <c r="AQ545" s="25" t="n">
        <f aca="false">IF(AND(ISNUMBER(AP545),ISNUMBER(AO545),AO545&gt;=5),AP545/AO545,"")</f>
        <v>1.26522070015221</v>
      </c>
      <c r="AR545" s="43" t="n">
        <v>4540.5</v>
      </c>
      <c r="AS545" s="43" t="n">
        <v>6593.4</v>
      </c>
      <c r="AT545" s="22" t="n">
        <f aca="false">IF(AND(ISNUMBER(AS545),ISNUMBER(AR545),AR545&gt;0),AS545/AR545-1,"")</f>
        <v>0.45213082259663</v>
      </c>
      <c r="AU545" s="44"/>
      <c r="AV545" s="44"/>
      <c r="AW545" s="44"/>
      <c r="AX545" s="44"/>
      <c r="AY545" s="44"/>
      <c r="AZ545" s="45"/>
      <c r="BA545" s="45"/>
      <c r="BB545" s="46"/>
      <c r="BC545" s="46"/>
      <c r="BD545" s="23" t="str">
        <f aca="false">IF(AND(ISNUMBER(BB545),ISNUMBER(BC545),BB545&gt;0),1-BC545/BB545,"")</f>
        <v/>
      </c>
      <c r="BE545" s="47"/>
      <c r="BF545" s="48"/>
      <c r="BG545" s="48"/>
      <c r="BH545" s="27" t="str">
        <f aca="false">IF(AND(ISNUMBER(BF545),ISNUMBER(BG545),BG545&gt;0),BF545/BG545,"")</f>
        <v/>
      </c>
      <c r="BI545" s="48"/>
      <c r="BJ545" s="44"/>
      <c r="BK545" s="46"/>
      <c r="BL545" s="46"/>
      <c r="BM545" s="36" t="str">
        <f aca="false">IF(ISNUMBER(Q545),IF(Q545&lt;0,"YES","no"),"")</f>
        <v>YES</v>
      </c>
      <c r="BN545" s="36" t="str">
        <f aca="false">IFERROR(IF(AND(ISNUMBER(K545),ISNUMBER(INDEX('Lift Inputs'!$H:$H,MATCH(C545,'Lift Inputs'!$C:$C,0)))),IF(K545&lt;INDEX('Lift Inputs'!$H:$H,MATCH(C545,'Lift Inputs'!$C:$C,0)),"YES","no"),""),"")</f>
        <v/>
      </c>
      <c r="BO545" s="44"/>
    </row>
    <row r="546" customFormat="false" ht="15" hidden="false" customHeight="false" outlineLevel="0" collapsed="false">
      <c r="A546" s="15" t="s">
        <v>144</v>
      </c>
      <c r="B546" s="15" t="s">
        <v>148</v>
      </c>
      <c r="C546" s="15" t="n">
        <v>53</v>
      </c>
      <c r="D546" s="15" t="s">
        <v>218</v>
      </c>
      <c r="E546" s="15" t="n">
        <v>42</v>
      </c>
      <c r="F546" s="15" t="s">
        <v>1091</v>
      </c>
      <c r="G546" s="15" t="s">
        <v>1092</v>
      </c>
      <c r="H546" s="15" t="s">
        <v>1093</v>
      </c>
      <c r="I546" s="15" t="s">
        <v>1094</v>
      </c>
      <c r="J546" s="15" t="s">
        <v>176</v>
      </c>
      <c r="K546" s="35" t="n">
        <v>32.97</v>
      </c>
      <c r="L546" s="35" t="n">
        <v>39.99</v>
      </c>
      <c r="M546" s="23" t="n">
        <f aca="false">IF(AND(ISNUMBER(L546),ISNUMBER(K546),K546&gt;0),L546/K546-1,"")</f>
        <v>0.212920837124659</v>
      </c>
      <c r="N546" s="36" t="str">
        <f aca="false">IF(M546="","No List Price",IF(M546&lt;=0,"At/below price",IF(M546&lt;=0.12,"&lt;=12% (STR zone)",IF(M546&lt;=0.25,"12-25%","&gt;25% (likely ignored)"))))</f>
        <v>12-25%</v>
      </c>
      <c r="O546" s="15"/>
      <c r="P546" s="35" t="n">
        <v>29.8233333333333</v>
      </c>
      <c r="Q546" s="22" t="n">
        <f aca="false">IF(AND(ISNUMBER(K546),ISNUMBER(P546),N(P546)&gt;0),K546/P546-1,"")</f>
        <v>0.105510226891696</v>
      </c>
      <c r="R546" s="15" t="s">
        <v>512</v>
      </c>
      <c r="S546" s="37" t="n">
        <v>84</v>
      </c>
      <c r="T546" s="37" t="n">
        <v>2079</v>
      </c>
      <c r="U546" s="38" t="n">
        <f aca="false">IF(AND(ISNUMBER(K546),ISNUMBER(T546)),K546*T546*52/12,"")</f>
        <v>297026.73</v>
      </c>
      <c r="V546" s="15" t="n">
        <v>4.5</v>
      </c>
      <c r="W546" s="37" t="n">
        <v>9093</v>
      </c>
      <c r="X546" s="39" t="n">
        <v>46307</v>
      </c>
      <c r="Y546" s="15" t="n">
        <v>286</v>
      </c>
      <c r="Z546" s="40" t="n">
        <v>44921</v>
      </c>
      <c r="AA546" s="41" t="n">
        <f aca="false">IF(ISNUMBER(Z546),(DATE(2026,10,13)-Z546)/365,"")</f>
        <v>3.8</v>
      </c>
      <c r="AB546" s="37" t="n">
        <v>42898</v>
      </c>
      <c r="AC546" s="15" t="s">
        <v>313</v>
      </c>
      <c r="AD546" s="15" t="n">
        <v>2</v>
      </c>
      <c r="AE546" s="15" t="s">
        <v>331</v>
      </c>
      <c r="AF546" s="42" t="n">
        <v>0.174</v>
      </c>
      <c r="AG546" s="42" t="n">
        <v>0.0169295232696434</v>
      </c>
      <c r="AH546" s="15" t="n">
        <v>461</v>
      </c>
      <c r="AI546" s="37"/>
      <c r="AJ546" s="37"/>
      <c r="AK546" s="15" t="s">
        <v>326</v>
      </c>
      <c r="AL546" s="43" t="n">
        <v>3767.7</v>
      </c>
      <c r="AM546" s="43" t="n">
        <v>3275.2</v>
      </c>
      <c r="AN546" s="25" t="n">
        <f aca="false">IF(AND(ISNUMBER(AM546),ISNUMBER(AL546),AL546&gt;=5),AM546/AL546,"")</f>
        <v>0.86928364784882</v>
      </c>
      <c r="AO546" s="43" t="n">
        <v>1556.3</v>
      </c>
      <c r="AP546" s="43" t="n">
        <v>1176.2</v>
      </c>
      <c r="AQ546" s="25" t="n">
        <f aca="false">IF(AND(ISNUMBER(AP546),ISNUMBER(AO546),AO546&gt;=5),AP546/AO546,"")</f>
        <v>0.755766882991711</v>
      </c>
      <c r="AR546" s="43" t="n">
        <v>3101.4</v>
      </c>
      <c r="AS546" s="43" t="n">
        <v>2881.4</v>
      </c>
      <c r="AT546" s="22" t="n">
        <f aca="false">IF(AND(ISNUMBER(AS546),ISNUMBER(AR546),AR546&gt;0),AS546/AR546-1,"")</f>
        <v>-0.0709357064551492</v>
      </c>
      <c r="AU546" s="44"/>
      <c r="AV546" s="44"/>
      <c r="AW546" s="44"/>
      <c r="AX546" s="44"/>
      <c r="AY546" s="44"/>
      <c r="AZ546" s="45"/>
      <c r="BA546" s="45"/>
      <c r="BB546" s="46"/>
      <c r="BC546" s="46"/>
      <c r="BD546" s="23" t="str">
        <f aca="false">IF(AND(ISNUMBER(BB546),ISNUMBER(BC546),BB546&gt;0),1-BC546/BB546,"")</f>
        <v/>
      </c>
      <c r="BE546" s="47"/>
      <c r="BF546" s="48"/>
      <c r="BG546" s="48"/>
      <c r="BH546" s="27" t="str">
        <f aca="false">IF(AND(ISNUMBER(BF546),ISNUMBER(BG546),BG546&gt;0),BF546/BG546,"")</f>
        <v/>
      </c>
      <c r="BI546" s="48"/>
      <c r="BJ546" s="44"/>
      <c r="BK546" s="46"/>
      <c r="BL546" s="46"/>
      <c r="BM546" s="36" t="str">
        <f aca="false">IF(ISNUMBER(Q546),IF(Q546&lt;0,"YES","no"),"")</f>
        <v>no</v>
      </c>
      <c r="BN546" s="36" t="str">
        <f aca="false">IFERROR(IF(AND(ISNUMBER(K546),ISNUMBER(INDEX('Lift Inputs'!$H:$H,MATCH(C546,'Lift Inputs'!$C:$C,0)))),IF(K546&lt;INDEX('Lift Inputs'!$H:$H,MATCH(C546,'Lift Inputs'!$C:$C,0)),"YES","no"),""),"")</f>
        <v/>
      </c>
      <c r="BO546" s="44"/>
    </row>
    <row r="547" customFormat="false" ht="15" hidden="false" customHeight="false" outlineLevel="0" collapsed="false">
      <c r="A547" s="15" t="s">
        <v>144</v>
      </c>
      <c r="B547" s="15" t="s">
        <v>148</v>
      </c>
      <c r="C547" s="15" t="n">
        <v>53</v>
      </c>
      <c r="D547" s="15" t="s">
        <v>218</v>
      </c>
      <c r="E547" s="15" t="n">
        <v>1587</v>
      </c>
      <c r="F547" s="15" t="s">
        <v>1095</v>
      </c>
      <c r="G547" s="15" t="s">
        <v>1096</v>
      </c>
      <c r="H547" s="15" t="s">
        <v>1097</v>
      </c>
      <c r="I547" s="15" t="s">
        <v>1098</v>
      </c>
      <c r="J547" s="15" t="s">
        <v>176</v>
      </c>
      <c r="K547" s="35" t="n">
        <v>13.98</v>
      </c>
      <c r="L547" s="35"/>
      <c r="M547" s="23" t="str">
        <f aca="false">IF(AND(ISNUMBER(L547),ISNUMBER(K547),K547&gt;0),L547/K547-1,"")</f>
        <v/>
      </c>
      <c r="N547" s="36" t="str">
        <f aca="false">IF(M547="","No List Price",IF(M547&lt;=0,"At/below price",IF(M547&lt;=0.12,"&lt;=12% (STR zone)",IF(M547&lt;=0.25,"12-25%","&gt;25% (likely ignored)"))))</f>
        <v>No List Price</v>
      </c>
      <c r="O547" s="15"/>
      <c r="P547" s="35" t="n">
        <v>29.8233333333333</v>
      </c>
      <c r="Q547" s="22" t="n">
        <f aca="false">IF(AND(ISNUMBER(K547),ISNUMBER(P547),N(P547)&gt;0),K547/P547-1,"")</f>
        <v>-0.531239521627361</v>
      </c>
      <c r="R547" s="15" t="s">
        <v>512</v>
      </c>
      <c r="S547" s="37" t="n">
        <v>278</v>
      </c>
      <c r="T547" s="37" t="n">
        <v>2079</v>
      </c>
      <c r="U547" s="38" t="n">
        <f aca="false">IF(AND(ISNUMBER(K547),ISNUMBER(T547)),K547*T547*52/12,"")</f>
        <v>125945.82</v>
      </c>
      <c r="V547" s="15" t="n">
        <v>4.7</v>
      </c>
      <c r="W547" s="37" t="n">
        <v>7261</v>
      </c>
      <c r="X547" s="39" t="n">
        <v>46307</v>
      </c>
      <c r="Y547" s="15"/>
      <c r="Z547" s="40"/>
      <c r="AA547" s="41" t="str">
        <f aca="false">IF(ISNUMBER(Z547),(DATE(2026,10,13)-Z547)/365,"")</f>
        <v/>
      </c>
      <c r="AB547" s="37"/>
      <c r="AC547" s="15"/>
      <c r="AD547" s="15"/>
      <c r="AE547" s="15"/>
      <c r="AF547" s="42"/>
      <c r="AG547" s="42"/>
      <c r="AH547" s="15"/>
      <c r="AI547" s="37"/>
      <c r="AJ547" s="37"/>
      <c r="AK547" s="15"/>
      <c r="AL547" s="43"/>
      <c r="AM547" s="43"/>
      <c r="AN547" s="25" t="str">
        <f aca="false">IF(AND(ISNUMBER(AM547),ISNUMBER(AL547),AL547&gt;=5),AM547/AL547,"")</f>
        <v/>
      </c>
      <c r="AO547" s="43"/>
      <c r="AP547" s="43"/>
      <c r="AQ547" s="25" t="str">
        <f aca="false">IF(AND(ISNUMBER(AP547),ISNUMBER(AO547),AO547&gt;=5),AP547/AO547,"")</f>
        <v/>
      </c>
      <c r="AR547" s="43"/>
      <c r="AS547" s="43"/>
      <c r="AT547" s="22" t="str">
        <f aca="false">IF(AND(ISNUMBER(AS547),ISNUMBER(AR547),AR547&gt;0),AS547/AR547-1,"")</f>
        <v/>
      </c>
      <c r="AU547" s="44"/>
      <c r="AV547" s="44"/>
      <c r="AW547" s="44"/>
      <c r="AX547" s="44"/>
      <c r="AY547" s="44"/>
      <c r="AZ547" s="45"/>
      <c r="BA547" s="45"/>
      <c r="BB547" s="46"/>
      <c r="BC547" s="46"/>
      <c r="BD547" s="23" t="str">
        <f aca="false">IF(AND(ISNUMBER(BB547),ISNUMBER(BC547),BB547&gt;0),1-BC547/BB547,"")</f>
        <v/>
      </c>
      <c r="BE547" s="47"/>
      <c r="BF547" s="48"/>
      <c r="BG547" s="48"/>
      <c r="BH547" s="27" t="str">
        <f aca="false">IF(AND(ISNUMBER(BF547),ISNUMBER(BG547),BG547&gt;0),BF547/BG547,"")</f>
        <v/>
      </c>
      <c r="BI547" s="48"/>
      <c r="BJ547" s="44"/>
      <c r="BK547" s="46"/>
      <c r="BL547" s="46"/>
      <c r="BM547" s="36" t="str">
        <f aca="false">IF(ISNUMBER(Q547),IF(Q547&lt;0,"YES","no"),"")</f>
        <v>YES</v>
      </c>
      <c r="BN547" s="36" t="str">
        <f aca="false">IFERROR(IF(AND(ISNUMBER(K547),ISNUMBER(INDEX('Lift Inputs'!$H:$H,MATCH(C547,'Lift Inputs'!$C:$C,0)))),IF(K547&lt;INDEX('Lift Inputs'!$H:$H,MATCH(C547,'Lift Inputs'!$C:$C,0)),"YES","no"),""),"")</f>
        <v/>
      </c>
      <c r="BO547" s="44"/>
    </row>
    <row r="548" customFormat="false" ht="15" hidden="false" customHeight="false" outlineLevel="0" collapsed="false">
      <c r="A548" s="15" t="s">
        <v>144</v>
      </c>
      <c r="B548" s="15" t="s">
        <v>148</v>
      </c>
      <c r="C548" s="15" t="n">
        <v>53</v>
      </c>
      <c r="D548" s="15" t="s">
        <v>218</v>
      </c>
      <c r="E548" s="15" t="n">
        <v>44</v>
      </c>
      <c r="F548" s="15" t="s">
        <v>1099</v>
      </c>
      <c r="G548" s="15" t="s">
        <v>1100</v>
      </c>
      <c r="H548" s="15" t="s">
        <v>1101</v>
      </c>
      <c r="I548" s="15" t="s">
        <v>1102</v>
      </c>
      <c r="J548" s="15" t="s">
        <v>176</v>
      </c>
      <c r="K548" s="35" t="n">
        <v>27.95</v>
      </c>
      <c r="L548" s="35"/>
      <c r="M548" s="23" t="str">
        <f aca="false">IF(AND(ISNUMBER(L548),ISNUMBER(K548),K548&gt;0),L548/K548-1,"")</f>
        <v/>
      </c>
      <c r="N548" s="36" t="str">
        <f aca="false">IF(M548="","No List Price",IF(M548&lt;=0,"At/below price",IF(M548&lt;=0.12,"&lt;=12% (STR zone)",IF(M548&lt;=0.25,"12-25%","&gt;25% (likely ignored)"))))</f>
        <v>No List Price</v>
      </c>
      <c r="O548" s="15"/>
      <c r="P548" s="35" t="n">
        <v>29.8233333333333</v>
      </c>
      <c r="Q548" s="22" t="n">
        <f aca="false">IF(AND(ISNUMBER(K548),ISNUMBER(P548),N(P548)&gt;0),K548/P548-1,"")</f>
        <v>-0.0628143511791661</v>
      </c>
      <c r="R548" s="15" t="s">
        <v>512</v>
      </c>
      <c r="S548" s="37" t="n">
        <v>358</v>
      </c>
      <c r="T548" s="37" t="n">
        <v>809</v>
      </c>
      <c r="U548" s="38" t="n">
        <f aca="false">IF(AND(ISNUMBER(K548),ISNUMBER(T548)),K548*T548*52/12,"")</f>
        <v>97983.3833333333</v>
      </c>
      <c r="V548" s="15" t="n">
        <v>4.6</v>
      </c>
      <c r="W548" s="37" t="n">
        <v>25977</v>
      </c>
      <c r="X548" s="39" t="n">
        <v>46307</v>
      </c>
      <c r="Y548" s="15" t="n">
        <v>381</v>
      </c>
      <c r="Z548" s="40" t="n">
        <v>43186</v>
      </c>
      <c r="AA548" s="41" t="n">
        <f aca="false">IF(ISNUMBER(Z548),(DATE(2026,10,13)-Z548)/365,"")</f>
        <v>8.55342465753425</v>
      </c>
      <c r="AB548" s="37" t="n">
        <v>25567</v>
      </c>
      <c r="AC548" s="15" t="s">
        <v>313</v>
      </c>
      <c r="AD548" s="15" t="n">
        <v>16</v>
      </c>
      <c r="AE548" s="15" t="s">
        <v>331</v>
      </c>
      <c r="AF548" s="42" t="n">
        <v>0.01</v>
      </c>
      <c r="AG548" s="42" t="n">
        <v>0.000201201422776846</v>
      </c>
      <c r="AH548" s="15" t="n">
        <v>452</v>
      </c>
      <c r="AI548" s="37"/>
      <c r="AJ548" s="37"/>
      <c r="AK548" s="15" t="s">
        <v>326</v>
      </c>
      <c r="AL548" s="43" t="n">
        <v>2466.4</v>
      </c>
      <c r="AM548" s="43" t="n">
        <v>2386.5</v>
      </c>
      <c r="AN548" s="25" t="n">
        <f aca="false">IF(AND(ISNUMBER(AM548),ISNUMBER(AL548),AL548&gt;=5),AM548/AL548,"")</f>
        <v>0.967604605903341</v>
      </c>
      <c r="AO548" s="43" t="n">
        <v>152.1</v>
      </c>
      <c r="AP548" s="43" t="n">
        <v>41.8</v>
      </c>
      <c r="AQ548" s="25" t="n">
        <f aca="false">IF(AND(ISNUMBER(AP548),ISNUMBER(AO548),AO548&gt;=5),AP548/AO548,"")</f>
        <v>0.274819197896121</v>
      </c>
      <c r="AR548" s="43" t="n">
        <v>1719</v>
      </c>
      <c r="AS548" s="43" t="n">
        <v>2030</v>
      </c>
      <c r="AT548" s="22" t="n">
        <f aca="false">IF(AND(ISNUMBER(AS548),ISNUMBER(AR548),AR548&gt;0),AS548/AR548-1,"")</f>
        <v>0.180919139034322</v>
      </c>
      <c r="AU548" s="44"/>
      <c r="AV548" s="44"/>
      <c r="AW548" s="44"/>
      <c r="AX548" s="44"/>
      <c r="AY548" s="44"/>
      <c r="AZ548" s="45"/>
      <c r="BA548" s="45"/>
      <c r="BB548" s="46"/>
      <c r="BC548" s="46"/>
      <c r="BD548" s="23" t="str">
        <f aca="false">IF(AND(ISNUMBER(BB548),ISNUMBER(BC548),BB548&gt;0),1-BC548/BB548,"")</f>
        <v/>
      </c>
      <c r="BE548" s="47"/>
      <c r="BF548" s="48"/>
      <c r="BG548" s="48"/>
      <c r="BH548" s="27" t="str">
        <f aca="false">IF(AND(ISNUMBER(BF548),ISNUMBER(BG548),BG548&gt;0),BF548/BG548,"")</f>
        <v/>
      </c>
      <c r="BI548" s="48"/>
      <c r="BJ548" s="44"/>
      <c r="BK548" s="46"/>
      <c r="BL548" s="46"/>
      <c r="BM548" s="36" t="str">
        <f aca="false">IF(ISNUMBER(Q548),IF(Q548&lt;0,"YES","no"),"")</f>
        <v>YES</v>
      </c>
      <c r="BN548" s="36" t="str">
        <f aca="false">IFERROR(IF(AND(ISNUMBER(K548),ISNUMBER(INDEX('Lift Inputs'!$H:$H,MATCH(C548,'Lift Inputs'!$C:$C,0)))),IF(K548&lt;INDEX('Lift Inputs'!$H:$H,MATCH(C548,'Lift Inputs'!$C:$C,0)),"YES","no"),""),"")</f>
        <v/>
      </c>
      <c r="BO548" s="44"/>
    </row>
    <row r="549" customFormat="false" ht="15" hidden="false" customHeight="false" outlineLevel="0" collapsed="false">
      <c r="A549" s="15" t="s">
        <v>144</v>
      </c>
      <c r="B549" s="15" t="s">
        <v>148</v>
      </c>
      <c r="C549" s="15" t="n">
        <v>53</v>
      </c>
      <c r="D549" s="15" t="s">
        <v>218</v>
      </c>
      <c r="E549" s="15" t="n">
        <v>39</v>
      </c>
      <c r="F549" s="15" t="s">
        <v>1103</v>
      </c>
      <c r="G549" s="15" t="s">
        <v>1104</v>
      </c>
      <c r="H549" s="15" t="s">
        <v>1105</v>
      </c>
      <c r="I549" s="15" t="s">
        <v>1106</v>
      </c>
      <c r="J549" s="15" t="s">
        <v>176</v>
      </c>
      <c r="K549" s="35" t="n">
        <v>28.33</v>
      </c>
      <c r="L549" s="35" t="n">
        <v>34.95</v>
      </c>
      <c r="M549" s="23" t="n">
        <f aca="false">IF(AND(ISNUMBER(L549),ISNUMBER(K549),K549&gt;0),L549/K549-1,"")</f>
        <v>0.233674549947053</v>
      </c>
      <c r="N549" s="36" t="str">
        <f aca="false">IF(M549="","No List Price",IF(M549&lt;=0,"At/below price",IF(M549&lt;=0.12,"&lt;=12% (STR zone)",IF(M549&lt;=0.25,"12-25%","&gt;25% (likely ignored)"))))</f>
        <v>12-25%</v>
      </c>
      <c r="O549" s="15"/>
      <c r="P549" s="35" t="n">
        <v>29.8233333333333</v>
      </c>
      <c r="Q549" s="22" t="n">
        <f aca="false">IF(AND(ISNUMBER(K549),ISNUMBER(P549),N(P549)&gt;0),K549/P549-1,"")</f>
        <v>-0.0500726500502962</v>
      </c>
      <c r="R549" s="15" t="s">
        <v>512</v>
      </c>
      <c r="S549" s="37" t="n">
        <v>1543</v>
      </c>
      <c r="T549" s="37" t="n">
        <v>347</v>
      </c>
      <c r="U549" s="38" t="n">
        <f aca="false">IF(AND(ISNUMBER(K549),ISNUMBER(T549)),K549*T549*52/12,"")</f>
        <v>42598.8766666667</v>
      </c>
      <c r="V549" s="15" t="n">
        <v>4.5</v>
      </c>
      <c r="W549" s="37" t="n">
        <v>5371</v>
      </c>
      <c r="X549" s="39" t="n">
        <v>46307</v>
      </c>
      <c r="Y549" s="15" t="n">
        <v>194</v>
      </c>
      <c r="Z549" s="40" t="n">
        <v>44531</v>
      </c>
      <c r="AA549" s="41" t="n">
        <f aca="false">IF(ISNUMBER(Z549),(DATE(2026,10,13)-Z549)/365,"")</f>
        <v>4.86849315068493</v>
      </c>
      <c r="AB549" s="37" t="n">
        <v>12836</v>
      </c>
      <c r="AC549" s="15" t="s">
        <v>313</v>
      </c>
      <c r="AD549" s="15" t="n">
        <v>2</v>
      </c>
      <c r="AE549" s="15" t="s">
        <v>331</v>
      </c>
      <c r="AF549" s="42" t="n">
        <v>0</v>
      </c>
      <c r="AG549" s="42" t="n">
        <v>0</v>
      </c>
      <c r="AH549" s="15" t="n">
        <v>325</v>
      </c>
      <c r="AI549" s="37"/>
      <c r="AJ549" s="37"/>
      <c r="AK549" s="15" t="s">
        <v>326</v>
      </c>
      <c r="AL549" s="43" t="n">
        <v>2112.1</v>
      </c>
      <c r="AM549" s="43" t="n">
        <v>1021</v>
      </c>
      <c r="AN549" s="25" t="n">
        <f aca="false">IF(AND(ISNUMBER(AM549),ISNUMBER(AL549),AL549&gt;=5),AM549/AL549,"")</f>
        <v>0.483405141801998</v>
      </c>
      <c r="AO549" s="43" t="n">
        <v>517.9</v>
      </c>
      <c r="AP549" s="43" t="n">
        <v>148.8</v>
      </c>
      <c r="AQ549" s="25" t="n">
        <f aca="false">IF(AND(ISNUMBER(AP549),ISNUMBER(AO549),AO549&gt;=5),AP549/AO549,"")</f>
        <v>0.28731415331145</v>
      </c>
      <c r="AR549" s="43" t="n">
        <v>1454</v>
      </c>
      <c r="AS549" s="43" t="n">
        <v>1646</v>
      </c>
      <c r="AT549" s="22" t="n">
        <f aca="false">IF(AND(ISNUMBER(AS549),ISNUMBER(AR549),AR549&gt;0),AS549/AR549-1,"")</f>
        <v>0.132049518569463</v>
      </c>
      <c r="AU549" s="44"/>
      <c r="AV549" s="44"/>
      <c r="AW549" s="44"/>
      <c r="AX549" s="44"/>
      <c r="AY549" s="44"/>
      <c r="AZ549" s="45"/>
      <c r="BA549" s="45"/>
      <c r="BB549" s="46"/>
      <c r="BC549" s="46"/>
      <c r="BD549" s="23" t="str">
        <f aca="false">IF(AND(ISNUMBER(BB549),ISNUMBER(BC549),BB549&gt;0),1-BC549/BB549,"")</f>
        <v/>
      </c>
      <c r="BE549" s="47"/>
      <c r="BF549" s="48"/>
      <c r="BG549" s="48"/>
      <c r="BH549" s="27" t="str">
        <f aca="false">IF(AND(ISNUMBER(BF549),ISNUMBER(BG549),BG549&gt;0),BF549/BG549,"")</f>
        <v/>
      </c>
      <c r="BI549" s="48"/>
      <c r="BJ549" s="44"/>
      <c r="BK549" s="46"/>
      <c r="BL549" s="46"/>
      <c r="BM549" s="36" t="str">
        <f aca="false">IF(ISNUMBER(Q549),IF(Q549&lt;0,"YES","no"),"")</f>
        <v>YES</v>
      </c>
      <c r="BN549" s="36" t="str">
        <f aca="false">IFERROR(IF(AND(ISNUMBER(K549),ISNUMBER(INDEX('Lift Inputs'!$H:$H,MATCH(C549,'Lift Inputs'!$C:$C,0)))),IF(K549&lt;INDEX('Lift Inputs'!$H:$H,MATCH(C549,'Lift Inputs'!$C:$C,0)),"YES","no"),""),"")</f>
        <v/>
      </c>
      <c r="BO549" s="44"/>
    </row>
    <row r="550" customFormat="false" ht="15" hidden="false" customHeight="false" outlineLevel="0" collapsed="false">
      <c r="A550" s="15" t="s">
        <v>144</v>
      </c>
      <c r="B550" s="15" t="s">
        <v>148</v>
      </c>
      <c r="C550" s="15" t="n">
        <v>53</v>
      </c>
      <c r="D550" s="15" t="s">
        <v>218</v>
      </c>
      <c r="E550" s="15" t="n">
        <v>1588</v>
      </c>
      <c r="F550" s="15" t="s">
        <v>1107</v>
      </c>
      <c r="G550" s="15" t="s">
        <v>1108</v>
      </c>
      <c r="H550" s="15" t="s">
        <v>1109</v>
      </c>
      <c r="I550" s="15" t="s">
        <v>1110</v>
      </c>
      <c r="J550" s="15" t="s">
        <v>176</v>
      </c>
      <c r="K550" s="35" t="n">
        <v>18.88</v>
      </c>
      <c r="L550" s="35" t="n">
        <v>27.29</v>
      </c>
      <c r="M550" s="23" t="n">
        <f aca="false">IF(AND(ISNUMBER(L550),ISNUMBER(K550),K550&gt;0),L550/K550-1,"")</f>
        <v>0.445444915254237</v>
      </c>
      <c r="N550" s="36" t="str">
        <f aca="false">IF(M550="","No List Price",IF(M550&lt;=0,"At/below price",IF(M550&lt;=0.12,"&lt;=12% (STR zone)",IF(M550&lt;=0.25,"12-25%","&gt;25% (likely ignored)"))))</f>
        <v>&gt;25% (likely ignored)</v>
      </c>
      <c r="O550" s="15"/>
      <c r="P550" s="35" t="n">
        <v>29.8233333333333</v>
      </c>
      <c r="Q550" s="22" t="n">
        <f aca="false">IF(AND(ISNUMBER(K550),ISNUMBER(P550),N(P550)&gt;0),K550/P550-1,"")</f>
        <v>-0.366938638649827</v>
      </c>
      <c r="R550" s="15" t="s">
        <v>512</v>
      </c>
      <c r="S550" s="37" t="n">
        <v>2750</v>
      </c>
      <c r="T550" s="37" t="n">
        <v>347</v>
      </c>
      <c r="U550" s="38" t="n">
        <f aca="false">IF(AND(ISNUMBER(K550),ISNUMBER(T550)),K550*T550*52/12,"")</f>
        <v>28389.2266666667</v>
      </c>
      <c r="V550" s="15" t="n">
        <v>4.5</v>
      </c>
      <c r="W550" s="37" t="n">
        <v>4378</v>
      </c>
      <c r="X550" s="39" t="n">
        <v>46307</v>
      </c>
      <c r="Y550" s="15" t="n">
        <v>537</v>
      </c>
      <c r="Z550" s="40" t="n">
        <v>44765</v>
      </c>
      <c r="AA550" s="41" t="n">
        <f aca="false">IF(ISNUMBER(Z550),(DATE(2026,10,13)-Z550)/365,"")</f>
        <v>4.22739726027397</v>
      </c>
      <c r="AB550" s="37" t="n">
        <v>8526</v>
      </c>
      <c r="AC550" s="15" t="s">
        <v>313</v>
      </c>
      <c r="AD550" s="15" t="n">
        <v>20</v>
      </c>
      <c r="AE550" s="15" t="s">
        <v>314</v>
      </c>
      <c r="AF550" s="42" t="n">
        <v>0</v>
      </c>
      <c r="AG550" s="42" t="n">
        <v>0</v>
      </c>
      <c r="AH550" s="15" t="n">
        <v>437</v>
      </c>
      <c r="AI550" s="37"/>
      <c r="AJ550" s="37"/>
      <c r="AK550" s="15" t="s">
        <v>326</v>
      </c>
      <c r="AL550" s="43" t="n">
        <v>1485.8</v>
      </c>
      <c r="AM550" s="43" t="n">
        <v>1544.5</v>
      </c>
      <c r="AN550" s="25" t="n">
        <f aca="false">IF(AND(ISNUMBER(AM550),ISNUMBER(AL550),AL550&gt;=5),AM550/AL550,"")</f>
        <v>1.03950733611522</v>
      </c>
      <c r="AO550" s="43" t="n">
        <v>84.5</v>
      </c>
      <c r="AP550" s="43" t="n">
        <v>210</v>
      </c>
      <c r="AQ550" s="25" t="n">
        <f aca="false">IF(AND(ISNUMBER(AP550),ISNUMBER(AO550),AO550&gt;=5),AP550/AO550,"")</f>
        <v>2.48520710059172</v>
      </c>
      <c r="AR550" s="43" t="n">
        <v>1547.2</v>
      </c>
      <c r="AS550" s="43" t="n">
        <v>2096.3</v>
      </c>
      <c r="AT550" s="22" t="n">
        <f aca="false">IF(AND(ISNUMBER(AS550),ISNUMBER(AR550),AR550&gt;0),AS550/AR550-1,"")</f>
        <v>0.354899172699069</v>
      </c>
      <c r="AU550" s="44"/>
      <c r="AV550" s="44"/>
      <c r="AW550" s="44"/>
      <c r="AX550" s="44"/>
      <c r="AY550" s="44"/>
      <c r="AZ550" s="45"/>
      <c r="BA550" s="45"/>
      <c r="BB550" s="46"/>
      <c r="BC550" s="46"/>
      <c r="BD550" s="23" t="str">
        <f aca="false">IF(AND(ISNUMBER(BB550),ISNUMBER(BC550),BB550&gt;0),1-BC550/BB550,"")</f>
        <v/>
      </c>
      <c r="BE550" s="47"/>
      <c r="BF550" s="48"/>
      <c r="BG550" s="48"/>
      <c r="BH550" s="27" t="str">
        <f aca="false">IF(AND(ISNUMBER(BF550),ISNUMBER(BG550),BG550&gt;0),BF550/BG550,"")</f>
        <v/>
      </c>
      <c r="BI550" s="48"/>
      <c r="BJ550" s="44"/>
      <c r="BK550" s="46"/>
      <c r="BL550" s="46"/>
      <c r="BM550" s="36" t="str">
        <f aca="false">IF(ISNUMBER(Q550),IF(Q550&lt;0,"YES","no"),"")</f>
        <v>YES</v>
      </c>
      <c r="BN550" s="36" t="str">
        <f aca="false">IFERROR(IF(AND(ISNUMBER(K550),ISNUMBER(INDEX('Lift Inputs'!$H:$H,MATCH(C550,'Lift Inputs'!$C:$C,0)))),IF(K550&lt;INDEX('Lift Inputs'!$H:$H,MATCH(C550,'Lift Inputs'!$C:$C,0)),"YES","no"),""),"")</f>
        <v/>
      </c>
      <c r="BO550" s="44"/>
    </row>
    <row r="551" customFormat="false" ht="15" hidden="false" customHeight="false" outlineLevel="0" collapsed="false">
      <c r="A551" s="15" t="s">
        <v>144</v>
      </c>
      <c r="B551" s="15" t="s">
        <v>148</v>
      </c>
      <c r="C551" s="15" t="n">
        <v>53</v>
      </c>
      <c r="D551" s="15" t="s">
        <v>218</v>
      </c>
      <c r="E551" s="15" t="n">
        <v>1600</v>
      </c>
      <c r="F551" s="15" t="s">
        <v>1111</v>
      </c>
      <c r="G551" s="15" t="s">
        <v>1112</v>
      </c>
      <c r="H551" s="15" t="s">
        <v>1113</v>
      </c>
      <c r="I551" s="15" t="s">
        <v>1114</v>
      </c>
      <c r="J551" s="15" t="s">
        <v>176</v>
      </c>
      <c r="K551" s="35" t="n">
        <v>23.99</v>
      </c>
      <c r="L551" s="35"/>
      <c r="M551" s="23" t="str">
        <f aca="false">IF(AND(ISNUMBER(L551),ISNUMBER(K551),K551&gt;0),L551/K551-1,"")</f>
        <v/>
      </c>
      <c r="N551" s="36" t="str">
        <f aca="false">IF(M551="","No List Price",IF(M551&lt;=0,"At/below price",IF(M551&lt;=0.12,"&lt;=12% (STR zone)",IF(M551&lt;=0.25,"12-25%","&gt;25% (likely ignored)"))))</f>
        <v>No List Price</v>
      </c>
      <c r="O551" s="15"/>
      <c r="P551" s="35" t="n">
        <v>29.8233333333333</v>
      </c>
      <c r="Q551" s="22" t="n">
        <f aca="false">IF(AND(ISNUMBER(K551),ISNUMBER(P551),N(P551)&gt;0),K551/P551-1,"")</f>
        <v>-0.195596289258969</v>
      </c>
      <c r="R551" s="15" t="s">
        <v>512</v>
      </c>
      <c r="S551" s="37" t="n">
        <v>4776</v>
      </c>
      <c r="T551" s="37" t="n">
        <v>35</v>
      </c>
      <c r="U551" s="38" t="n">
        <f aca="false">IF(AND(ISNUMBER(K551),ISNUMBER(T551)),K551*T551*52/12,"")</f>
        <v>3638.48333333333</v>
      </c>
      <c r="V551" s="15" t="n">
        <v>4.7</v>
      </c>
      <c r="W551" s="37" t="n">
        <v>22765</v>
      </c>
      <c r="X551" s="39" t="n">
        <v>46307</v>
      </c>
      <c r="Y551" s="15" t="n">
        <v>428</v>
      </c>
      <c r="Z551" s="40" t="n">
        <v>45300</v>
      </c>
      <c r="AA551" s="41" t="n">
        <f aca="false">IF(ISNUMBER(Z551),(DATE(2026,10,13)-Z551)/365,"")</f>
        <v>2.76164383561644</v>
      </c>
      <c r="AB551" s="37" t="n">
        <v>6025</v>
      </c>
      <c r="AC551" s="15" t="s">
        <v>313</v>
      </c>
      <c r="AD551" s="15" t="n">
        <v>3</v>
      </c>
      <c r="AE551" s="15" t="s">
        <v>331</v>
      </c>
      <c r="AF551" s="42" t="n">
        <v>0</v>
      </c>
      <c r="AG551" s="42" t="n">
        <v>0</v>
      </c>
      <c r="AH551" s="15" t="n">
        <v>55</v>
      </c>
      <c r="AI551" s="37"/>
      <c r="AJ551" s="37"/>
      <c r="AK551" s="15"/>
      <c r="AL551" s="43"/>
      <c r="AM551" s="43"/>
      <c r="AN551" s="25" t="str">
        <f aca="false">IF(AND(ISNUMBER(AM551),ISNUMBER(AL551),AL551&gt;=5),AM551/AL551,"")</f>
        <v/>
      </c>
      <c r="AO551" s="43"/>
      <c r="AP551" s="43"/>
      <c r="AQ551" s="25" t="str">
        <f aca="false">IF(AND(ISNUMBER(AP551),ISNUMBER(AO551),AO551&gt;=5),AP551/AO551,"")</f>
        <v/>
      </c>
      <c r="AR551" s="43"/>
      <c r="AS551" s="43"/>
      <c r="AT551" s="22" t="str">
        <f aca="false">IF(AND(ISNUMBER(AS551),ISNUMBER(AR551),AR551&gt;0),AS551/AR551-1,"")</f>
        <v/>
      </c>
      <c r="AU551" s="44"/>
      <c r="AV551" s="44"/>
      <c r="AW551" s="44"/>
      <c r="AX551" s="44"/>
      <c r="AY551" s="44"/>
      <c r="AZ551" s="45"/>
      <c r="BA551" s="45"/>
      <c r="BB551" s="46"/>
      <c r="BC551" s="46"/>
      <c r="BD551" s="23" t="str">
        <f aca="false">IF(AND(ISNUMBER(BB551),ISNUMBER(BC551),BB551&gt;0),1-BC551/BB551,"")</f>
        <v/>
      </c>
      <c r="BE551" s="47"/>
      <c r="BF551" s="48"/>
      <c r="BG551" s="48"/>
      <c r="BH551" s="27" t="str">
        <f aca="false">IF(AND(ISNUMBER(BF551),ISNUMBER(BG551),BG551&gt;0),BF551/BG551,"")</f>
        <v/>
      </c>
      <c r="BI551" s="48"/>
      <c r="BJ551" s="44"/>
      <c r="BK551" s="46"/>
      <c r="BL551" s="46"/>
      <c r="BM551" s="36" t="str">
        <f aca="false">IF(ISNUMBER(Q551),IF(Q551&lt;0,"YES","no"),"")</f>
        <v>YES</v>
      </c>
      <c r="BN551" s="36" t="str">
        <f aca="false">IFERROR(IF(AND(ISNUMBER(K551),ISNUMBER(INDEX('Lift Inputs'!$H:$H,MATCH(C551,'Lift Inputs'!$C:$C,0)))),IF(K551&lt;INDEX('Lift Inputs'!$H:$H,MATCH(C551,'Lift Inputs'!$C:$C,0)),"YES","no"),""),"")</f>
        <v/>
      </c>
      <c r="BO551" s="44"/>
    </row>
    <row r="552" customFormat="false" ht="15" hidden="false" customHeight="false" outlineLevel="0" collapsed="false">
      <c r="A552" s="15" t="s">
        <v>144</v>
      </c>
      <c r="B552" s="15" t="s">
        <v>148</v>
      </c>
      <c r="C552" s="15" t="n">
        <v>53</v>
      </c>
      <c r="D552" s="15" t="s">
        <v>218</v>
      </c>
      <c r="E552" s="15" t="n">
        <v>43</v>
      </c>
      <c r="F552" s="15" t="s">
        <v>1115</v>
      </c>
      <c r="G552" s="15" t="s">
        <v>1116</v>
      </c>
      <c r="H552" s="15" t="s">
        <v>1117</v>
      </c>
      <c r="I552" s="15" t="s">
        <v>1118</v>
      </c>
      <c r="J552" s="15" t="s">
        <v>177</v>
      </c>
      <c r="K552" s="35" t="n">
        <v>17.86</v>
      </c>
      <c r="L552" s="35" t="n">
        <v>18.8</v>
      </c>
      <c r="M552" s="23" t="n">
        <f aca="false">IF(AND(ISNUMBER(L552),ISNUMBER(K552),K552&gt;0),L552/K552-1,"")</f>
        <v>0.0526315789473686</v>
      </c>
      <c r="N552" s="36" t="str">
        <f aca="false">IF(M552="","No List Price",IF(M552&lt;=0,"At/below price",IF(M552&lt;=0.12,"&lt;=12% (STR zone)",IF(M552&lt;=0.25,"12-25%","&gt;25% (likely ignored)"))))</f>
        <v>&lt;=12% (STR zone)</v>
      </c>
      <c r="O552" s="15"/>
      <c r="P552" s="35" t="n">
        <v>29.8233333333333</v>
      </c>
      <c r="Q552" s="22" t="n">
        <f aca="false">IF(AND(ISNUMBER(K552),ISNUMBER(P552),N(P552)&gt;0),K552/P552-1,"")</f>
        <v>-0.401140046943109</v>
      </c>
      <c r="R552" s="15" t="s">
        <v>512</v>
      </c>
      <c r="S552" s="37" t="n">
        <v>983</v>
      </c>
      <c r="T552" s="37" t="n">
        <v>2079</v>
      </c>
      <c r="U552" s="38" t="n">
        <f aca="false">IF(AND(ISNUMBER(K552),ISNUMBER(T552)),K552*T552*52/12,"")</f>
        <v>160900.74</v>
      </c>
      <c r="V552" s="15" t="n">
        <v>4.5</v>
      </c>
      <c r="W552" s="37" t="n">
        <v>2791</v>
      </c>
      <c r="X552" s="39" t="n">
        <v>46307</v>
      </c>
      <c r="Y552" s="15" t="n">
        <v>379</v>
      </c>
      <c r="Z552" s="40" t="n">
        <v>45371</v>
      </c>
      <c r="AA552" s="41" t="n">
        <f aca="false">IF(ISNUMBER(Z552),(DATE(2026,10,13)-Z552)/365,"")</f>
        <v>2.56712328767123</v>
      </c>
      <c r="AB552" s="37" t="n">
        <v>15862</v>
      </c>
      <c r="AC552" s="15" t="s">
        <v>313</v>
      </c>
      <c r="AD552" s="15" t="n">
        <v>1</v>
      </c>
      <c r="AE552" s="15" t="s">
        <v>331</v>
      </c>
      <c r="AF552" s="42" t="n">
        <v>0</v>
      </c>
      <c r="AG552" s="42" t="n">
        <v>0</v>
      </c>
      <c r="AH552" s="15" t="n">
        <v>473</v>
      </c>
      <c r="AI552" s="37"/>
      <c r="AJ552" s="37"/>
      <c r="AK552" s="15" t="s">
        <v>326</v>
      </c>
      <c r="AL552" s="43" t="n">
        <v>3655.4</v>
      </c>
      <c r="AM552" s="43" t="n">
        <v>1620.2</v>
      </c>
      <c r="AN552" s="25" t="n">
        <f aca="false">IF(AND(ISNUMBER(AM552),ISNUMBER(AL552),AL552&gt;=5),AM552/AL552,"")</f>
        <v>0.443234666520764</v>
      </c>
      <c r="AO552" s="43" t="n">
        <v>86.3</v>
      </c>
      <c r="AP552" s="43" t="n">
        <v>5</v>
      </c>
      <c r="AQ552" s="25" t="n">
        <f aca="false">IF(AND(ISNUMBER(AP552),ISNUMBER(AO552),AO552&gt;=5),AP552/AO552,"")</f>
        <v>0.0579374275782155</v>
      </c>
      <c r="AR552" s="43" t="n">
        <v>2218.8</v>
      </c>
      <c r="AS552" s="43" t="n">
        <v>3160</v>
      </c>
      <c r="AT552" s="22" t="n">
        <f aca="false">IF(AND(ISNUMBER(AS552),ISNUMBER(AR552),AR552&gt;0),AS552/AR552-1,"")</f>
        <v>0.42419325761673</v>
      </c>
      <c r="AU552" s="44"/>
      <c r="AV552" s="44"/>
      <c r="AW552" s="44"/>
      <c r="AX552" s="44"/>
      <c r="AY552" s="44"/>
      <c r="AZ552" s="45"/>
      <c r="BA552" s="45"/>
      <c r="BB552" s="46"/>
      <c r="BC552" s="46"/>
      <c r="BD552" s="23" t="str">
        <f aca="false">IF(AND(ISNUMBER(BB552),ISNUMBER(BC552),BB552&gt;0),1-BC552/BB552,"")</f>
        <v/>
      </c>
      <c r="BE552" s="47"/>
      <c r="BF552" s="48"/>
      <c r="BG552" s="48"/>
      <c r="BH552" s="27" t="str">
        <f aca="false">IF(AND(ISNUMBER(BF552),ISNUMBER(BG552),BG552&gt;0),BF552/BG552,"")</f>
        <v/>
      </c>
      <c r="BI552" s="48"/>
      <c r="BJ552" s="44"/>
      <c r="BK552" s="46"/>
      <c r="BL552" s="46"/>
      <c r="BM552" s="36" t="str">
        <f aca="false">IF(ISNUMBER(Q552),IF(Q552&lt;0,"YES","no"),"")</f>
        <v>YES</v>
      </c>
      <c r="BN552" s="36" t="str">
        <f aca="false">IFERROR(IF(AND(ISNUMBER(K552),ISNUMBER(INDEX('Lift Inputs'!$H:$H,MATCH(C552,'Lift Inputs'!$C:$C,0)))),IF(K552&lt;INDEX('Lift Inputs'!$H:$H,MATCH(C552,'Lift Inputs'!$C:$C,0)),"YES","no"),""),"")</f>
        <v/>
      </c>
      <c r="BO552" s="44"/>
    </row>
    <row r="553" customFormat="false" ht="15" hidden="false" customHeight="false" outlineLevel="0" collapsed="false">
      <c r="A553" s="15" t="s">
        <v>144</v>
      </c>
      <c r="B553" s="15" t="s">
        <v>148</v>
      </c>
      <c r="C553" s="15" t="n">
        <v>53</v>
      </c>
      <c r="D553" s="15" t="s">
        <v>218</v>
      </c>
      <c r="E553" s="15" t="n">
        <v>35</v>
      </c>
      <c r="F553" s="15" t="s">
        <v>1119</v>
      </c>
      <c r="G553" s="15" t="s">
        <v>1120</v>
      </c>
      <c r="H553" s="15" t="s">
        <v>1121</v>
      </c>
      <c r="I553" s="15" t="s">
        <v>1122</v>
      </c>
      <c r="J553" s="15" t="s">
        <v>177</v>
      </c>
      <c r="K553" s="35" t="n">
        <v>21.29</v>
      </c>
      <c r="L553" s="35"/>
      <c r="M553" s="23" t="str">
        <f aca="false">IF(AND(ISNUMBER(L553),ISNUMBER(K553),K553&gt;0),L553/K553-1,"")</f>
        <v/>
      </c>
      <c r="N553" s="36" t="str">
        <f aca="false">IF(M553="","No List Price",IF(M553&lt;=0,"At/below price",IF(M553&lt;=0.12,"&lt;=12% (STR zone)",IF(M553&lt;=0.25,"12-25%","&gt;25% (likely ignored)"))))</f>
        <v>No List Price</v>
      </c>
      <c r="O553" s="15"/>
      <c r="P553" s="35" t="n">
        <v>29.8233333333333</v>
      </c>
      <c r="Q553" s="22" t="n">
        <f aca="false">IF(AND(ISNUMBER(K553),ISNUMBER(P553),N(P553)&gt;0),K553/P553-1,"")</f>
        <v>-0.286129428858835</v>
      </c>
      <c r="R553" s="15" t="s">
        <v>512</v>
      </c>
      <c r="S553" s="37" t="n">
        <v>10367</v>
      </c>
      <c r="T553" s="37" t="n">
        <v>347</v>
      </c>
      <c r="U553" s="38" t="n">
        <f aca="false">IF(AND(ISNUMBER(K553),ISNUMBER(T553)),K553*T553*52/12,"")</f>
        <v>32013.0633333333</v>
      </c>
      <c r="V553" s="15" t="n">
        <v>4.6</v>
      </c>
      <c r="W553" s="37" t="n">
        <v>718</v>
      </c>
      <c r="X553" s="39" t="n">
        <v>46307</v>
      </c>
      <c r="Y553" s="15" t="n">
        <v>93</v>
      </c>
      <c r="Z553" s="40" t="n">
        <v>45359</v>
      </c>
      <c r="AA553" s="41" t="n">
        <f aca="false">IF(ISNUMBER(Z553),(DATE(2026,10,13)-Z553)/365,"")</f>
        <v>2.6</v>
      </c>
      <c r="AB553" s="37" t="n">
        <v>3608</v>
      </c>
      <c r="AC553" s="15" t="s">
        <v>313</v>
      </c>
      <c r="AD553" s="15" t="n">
        <v>1</v>
      </c>
      <c r="AE553" s="15" t="s">
        <v>331</v>
      </c>
      <c r="AF553" s="42" t="n">
        <v>0</v>
      </c>
      <c r="AG553" s="42" t="n">
        <v>0</v>
      </c>
      <c r="AH553" s="15" t="n">
        <v>120</v>
      </c>
      <c r="AI553" s="37"/>
      <c r="AJ553" s="37"/>
      <c r="AK553" s="15" t="s">
        <v>326</v>
      </c>
      <c r="AL553" s="43" t="n">
        <v>166.8</v>
      </c>
      <c r="AM553" s="43" t="n">
        <v>130.2</v>
      </c>
      <c r="AN553" s="25" t="n">
        <f aca="false">IF(AND(ISNUMBER(AM553),ISNUMBER(AL553),AL553&gt;=5),AM553/AL553,"")</f>
        <v>0.780575539568345</v>
      </c>
      <c r="AO553" s="43" t="n">
        <v>14.8</v>
      </c>
      <c r="AP553" s="43" t="n">
        <v>4.8</v>
      </c>
      <c r="AQ553" s="25" t="n">
        <f aca="false">IF(AND(ISNUMBER(AP553),ISNUMBER(AO553),AO553&gt;=5),AP553/AO553,"")</f>
        <v>0.324324324324324</v>
      </c>
      <c r="AR553" s="43" t="n">
        <v>136.8</v>
      </c>
      <c r="AS553" s="43" t="n">
        <v>131.9</v>
      </c>
      <c r="AT553" s="22" t="n">
        <f aca="false">IF(AND(ISNUMBER(AS553),ISNUMBER(AR553),AR553&gt;0),AS553/AR553-1,"")</f>
        <v>-0.0358187134502924</v>
      </c>
      <c r="AU553" s="44"/>
      <c r="AV553" s="44"/>
      <c r="AW553" s="44"/>
      <c r="AX553" s="44"/>
      <c r="AY553" s="44"/>
      <c r="AZ553" s="45"/>
      <c r="BA553" s="45"/>
      <c r="BB553" s="46"/>
      <c r="BC553" s="46"/>
      <c r="BD553" s="23" t="str">
        <f aca="false">IF(AND(ISNUMBER(BB553),ISNUMBER(BC553),BB553&gt;0),1-BC553/BB553,"")</f>
        <v/>
      </c>
      <c r="BE553" s="47"/>
      <c r="BF553" s="48"/>
      <c r="BG553" s="48"/>
      <c r="BH553" s="27" t="str">
        <f aca="false">IF(AND(ISNUMBER(BF553),ISNUMBER(BG553),BG553&gt;0),BF553/BG553,"")</f>
        <v/>
      </c>
      <c r="BI553" s="48"/>
      <c r="BJ553" s="44"/>
      <c r="BK553" s="46"/>
      <c r="BL553" s="46"/>
      <c r="BM553" s="36" t="str">
        <f aca="false">IF(ISNUMBER(Q553),IF(Q553&lt;0,"YES","no"),"")</f>
        <v>YES</v>
      </c>
      <c r="BN553" s="36" t="str">
        <f aca="false">IFERROR(IF(AND(ISNUMBER(K553),ISNUMBER(INDEX('Lift Inputs'!$H:$H,MATCH(C553,'Lift Inputs'!$C:$C,0)))),IF(K553&lt;INDEX('Lift Inputs'!$H:$H,MATCH(C553,'Lift Inputs'!$C:$C,0)),"YES","no"),""),"")</f>
        <v/>
      </c>
      <c r="BO553" s="44"/>
    </row>
    <row r="554" customFormat="false" ht="15" hidden="false" customHeight="false" outlineLevel="0" collapsed="false">
      <c r="A554" s="15" t="s">
        <v>144</v>
      </c>
      <c r="B554" s="15" t="s">
        <v>148</v>
      </c>
      <c r="C554" s="15" t="n">
        <v>53</v>
      </c>
      <c r="D554" s="15" t="s">
        <v>218</v>
      </c>
      <c r="E554" s="15" t="n">
        <v>1592</v>
      </c>
      <c r="F554" s="15" t="s">
        <v>1123</v>
      </c>
      <c r="G554" s="15" t="s">
        <v>1124</v>
      </c>
      <c r="H554" s="15" t="s">
        <v>1125</v>
      </c>
      <c r="I554" s="15" t="s">
        <v>1126</v>
      </c>
      <c r="J554" s="15" t="s">
        <v>177</v>
      </c>
      <c r="K554" s="35" t="n">
        <v>23.98</v>
      </c>
      <c r="L554" s="35" t="n">
        <v>26.98</v>
      </c>
      <c r="M554" s="23" t="n">
        <f aca="false">IF(AND(ISNUMBER(L554),ISNUMBER(K554),K554&gt;0),L554/K554-1,"")</f>
        <v>0.125104253544621</v>
      </c>
      <c r="N554" s="36" t="str">
        <f aca="false">IF(M554="","No List Price",IF(M554&lt;=0,"At/below price",IF(M554&lt;=0.12,"&lt;=12% (STR zone)",IF(M554&lt;=0.25,"12-25%","&gt;25% (likely ignored)"))))</f>
        <v>12-25%</v>
      </c>
      <c r="O554" s="15"/>
      <c r="P554" s="35" t="n">
        <v>29.8233333333333</v>
      </c>
      <c r="Q554" s="22" t="n">
        <f aca="false">IF(AND(ISNUMBER(K554),ISNUMBER(P554),N(P554)&gt;0),K554/P554-1,"")</f>
        <v>-0.195931597183413</v>
      </c>
      <c r="R554" s="15" t="s">
        <v>512</v>
      </c>
      <c r="S554" s="37" t="n">
        <v>4498</v>
      </c>
      <c r="T554" s="37" t="n">
        <v>347</v>
      </c>
      <c r="U554" s="38" t="n">
        <f aca="false">IF(AND(ISNUMBER(K554),ISNUMBER(T554)),K554*T554*52/12,"")</f>
        <v>36057.9266666667</v>
      </c>
      <c r="V554" s="15" t="n">
        <v>4.4</v>
      </c>
      <c r="W554" s="37" t="n">
        <v>1608</v>
      </c>
      <c r="X554" s="39" t="n">
        <v>46307</v>
      </c>
      <c r="Y554" s="15" t="n">
        <v>210</v>
      </c>
      <c r="Z554" s="40" t="n">
        <v>45541</v>
      </c>
      <c r="AA554" s="41" t="n">
        <f aca="false">IF(ISNUMBER(Z554),(DATE(2026,10,13)-Z554)/365,"")</f>
        <v>2.1013698630137</v>
      </c>
      <c r="AB554" s="37" t="n">
        <v>6327</v>
      </c>
      <c r="AC554" s="15" t="s">
        <v>313</v>
      </c>
      <c r="AD554" s="15" t="n">
        <v>2</v>
      </c>
      <c r="AE554" s="15" t="s">
        <v>331</v>
      </c>
      <c r="AF554" s="42" t="n">
        <v>0</v>
      </c>
      <c r="AG554" s="42" t="n">
        <v>0</v>
      </c>
      <c r="AH554" s="15" t="n">
        <v>341</v>
      </c>
      <c r="AI554" s="37"/>
      <c r="AJ554" s="37"/>
      <c r="AK554" s="15" t="s">
        <v>326</v>
      </c>
      <c r="AL554" s="43" t="n">
        <v>1611</v>
      </c>
      <c r="AM554" s="43" t="n">
        <v>2019.8</v>
      </c>
      <c r="AN554" s="25" t="n">
        <f aca="false">IF(AND(ISNUMBER(AM554),ISNUMBER(AL554),AL554&gt;=5),AM554/AL554,"")</f>
        <v>1.25375543140906</v>
      </c>
      <c r="AO554" s="43" t="n">
        <v>105.3</v>
      </c>
      <c r="AP554" s="43" t="n">
        <v>113.8</v>
      </c>
      <c r="AQ554" s="25" t="n">
        <f aca="false">IF(AND(ISNUMBER(AP554),ISNUMBER(AO554),AO554&gt;=5),AP554/AO554,"")</f>
        <v>1.08072174738841</v>
      </c>
      <c r="AR554" s="43" t="n">
        <v>1430.2</v>
      </c>
      <c r="AS554" s="43" t="n">
        <v>987.8</v>
      </c>
      <c r="AT554" s="22" t="n">
        <f aca="false">IF(AND(ISNUMBER(AS554),ISNUMBER(AR554),AR554&gt;0),AS554/AR554-1,"")</f>
        <v>-0.309327366801846</v>
      </c>
      <c r="AU554" s="44"/>
      <c r="AV554" s="44"/>
      <c r="AW554" s="44"/>
      <c r="AX554" s="44"/>
      <c r="AY554" s="44"/>
      <c r="AZ554" s="45"/>
      <c r="BA554" s="45"/>
      <c r="BB554" s="46"/>
      <c r="BC554" s="46"/>
      <c r="BD554" s="23" t="str">
        <f aca="false">IF(AND(ISNUMBER(BB554),ISNUMBER(BC554),BB554&gt;0),1-BC554/BB554,"")</f>
        <v/>
      </c>
      <c r="BE554" s="47"/>
      <c r="BF554" s="48"/>
      <c r="BG554" s="48"/>
      <c r="BH554" s="27" t="str">
        <f aca="false">IF(AND(ISNUMBER(BF554),ISNUMBER(BG554),BG554&gt;0),BF554/BG554,"")</f>
        <v/>
      </c>
      <c r="BI554" s="48"/>
      <c r="BJ554" s="44"/>
      <c r="BK554" s="46"/>
      <c r="BL554" s="46"/>
      <c r="BM554" s="36" t="str">
        <f aca="false">IF(ISNUMBER(Q554),IF(Q554&lt;0,"YES","no"),"")</f>
        <v>YES</v>
      </c>
      <c r="BN554" s="36" t="str">
        <f aca="false">IFERROR(IF(AND(ISNUMBER(K554),ISNUMBER(INDEX('Lift Inputs'!$H:$H,MATCH(C554,'Lift Inputs'!$C:$C,0)))),IF(K554&lt;INDEX('Lift Inputs'!$H:$H,MATCH(C554,'Lift Inputs'!$C:$C,0)),"YES","no"),""),"")</f>
        <v/>
      </c>
      <c r="BO554" s="44"/>
    </row>
    <row r="555" customFormat="false" ht="15" hidden="false" customHeight="false" outlineLevel="0" collapsed="false">
      <c r="A555" s="15" t="s">
        <v>144</v>
      </c>
      <c r="B555" s="15" t="s">
        <v>148</v>
      </c>
      <c r="C555" s="15" t="n">
        <v>53</v>
      </c>
      <c r="D555" s="15" t="s">
        <v>218</v>
      </c>
      <c r="E555" s="15" t="n">
        <v>1593</v>
      </c>
      <c r="F555" s="15" t="s">
        <v>1127</v>
      </c>
      <c r="G555" s="15" t="s">
        <v>1128</v>
      </c>
      <c r="H555" s="15" t="s">
        <v>1129</v>
      </c>
      <c r="I555" s="15" t="s">
        <v>1130</v>
      </c>
      <c r="J555" s="15" t="s">
        <v>177</v>
      </c>
      <c r="K555" s="35" t="n">
        <v>28.04</v>
      </c>
      <c r="L555" s="35" t="n">
        <v>32.99</v>
      </c>
      <c r="M555" s="23" t="n">
        <f aca="false">IF(AND(ISNUMBER(L555),ISNUMBER(K555),K555&gt;0),L555/K555-1,"")</f>
        <v>0.176533523537803</v>
      </c>
      <c r="N555" s="36" t="str">
        <f aca="false">IF(M555="","No List Price",IF(M555&lt;=0,"At/below price",IF(M555&lt;=0.12,"&lt;=12% (STR zone)",IF(M555&lt;=0.25,"12-25%","&gt;25% (likely ignored)"))))</f>
        <v>12-25%</v>
      </c>
      <c r="O555" s="15"/>
      <c r="P555" s="35" t="n">
        <v>29.8233333333333</v>
      </c>
      <c r="Q555" s="22" t="n">
        <f aca="false">IF(AND(ISNUMBER(K555),ISNUMBER(P555),N(P555)&gt;0),K555/P555-1,"")</f>
        <v>-0.0597965798591706</v>
      </c>
      <c r="R555" s="15" t="s">
        <v>512</v>
      </c>
      <c r="S555" s="37" t="n">
        <v>2135</v>
      </c>
      <c r="T555" s="37" t="n">
        <v>347</v>
      </c>
      <c r="U555" s="38" t="n">
        <f aca="false">IF(AND(ISNUMBER(K555),ISNUMBER(T555)),K555*T555*52/12,"")</f>
        <v>42162.8133333333</v>
      </c>
      <c r="V555" s="15" t="n">
        <v>4.3</v>
      </c>
      <c r="W555" s="37" t="n">
        <v>1639</v>
      </c>
      <c r="X555" s="39" t="n">
        <v>46307</v>
      </c>
      <c r="Y555" s="15"/>
      <c r="Z555" s="40"/>
      <c r="AA555" s="41" t="str">
        <f aca="false">IF(ISNUMBER(Z555),(DATE(2026,10,13)-Z555)/365,"")</f>
        <v/>
      </c>
      <c r="AB555" s="37"/>
      <c r="AC555" s="15"/>
      <c r="AD555" s="15"/>
      <c r="AE555" s="15"/>
      <c r="AF555" s="42"/>
      <c r="AG555" s="42"/>
      <c r="AH555" s="15"/>
      <c r="AI555" s="37"/>
      <c r="AJ555" s="37"/>
      <c r="AK555" s="15"/>
      <c r="AL555" s="43"/>
      <c r="AM555" s="43"/>
      <c r="AN555" s="25" t="str">
        <f aca="false">IF(AND(ISNUMBER(AM555),ISNUMBER(AL555),AL555&gt;=5),AM555/AL555,"")</f>
        <v/>
      </c>
      <c r="AO555" s="43"/>
      <c r="AP555" s="43"/>
      <c r="AQ555" s="25" t="str">
        <f aca="false">IF(AND(ISNUMBER(AP555),ISNUMBER(AO555),AO555&gt;=5),AP555/AO555,"")</f>
        <v/>
      </c>
      <c r="AR555" s="43"/>
      <c r="AS555" s="43"/>
      <c r="AT555" s="22" t="str">
        <f aca="false">IF(AND(ISNUMBER(AS555),ISNUMBER(AR555),AR555&gt;0),AS555/AR555-1,"")</f>
        <v/>
      </c>
      <c r="AU555" s="44"/>
      <c r="AV555" s="44"/>
      <c r="AW555" s="44"/>
      <c r="AX555" s="44"/>
      <c r="AY555" s="44"/>
      <c r="AZ555" s="45"/>
      <c r="BA555" s="45"/>
      <c r="BB555" s="46"/>
      <c r="BC555" s="46"/>
      <c r="BD555" s="23" t="str">
        <f aca="false">IF(AND(ISNUMBER(BB555),ISNUMBER(BC555),BB555&gt;0),1-BC555/BB555,"")</f>
        <v/>
      </c>
      <c r="BE555" s="47"/>
      <c r="BF555" s="48"/>
      <c r="BG555" s="48"/>
      <c r="BH555" s="27" t="str">
        <f aca="false">IF(AND(ISNUMBER(BF555),ISNUMBER(BG555),BG555&gt;0),BF555/BG555,"")</f>
        <v/>
      </c>
      <c r="BI555" s="48"/>
      <c r="BJ555" s="44"/>
      <c r="BK555" s="46"/>
      <c r="BL555" s="46"/>
      <c r="BM555" s="36" t="str">
        <f aca="false">IF(ISNUMBER(Q555),IF(Q555&lt;0,"YES","no"),"")</f>
        <v>YES</v>
      </c>
      <c r="BN555" s="36" t="str">
        <f aca="false">IFERROR(IF(AND(ISNUMBER(K555),ISNUMBER(INDEX('Lift Inputs'!$H:$H,MATCH(C555,'Lift Inputs'!$C:$C,0)))),IF(K555&lt;INDEX('Lift Inputs'!$H:$H,MATCH(C555,'Lift Inputs'!$C:$C,0)),"YES","no"),""),"")</f>
        <v/>
      </c>
      <c r="BO555" s="44"/>
    </row>
    <row r="556" customFormat="false" ht="15" hidden="false" customHeight="false" outlineLevel="0" collapsed="false">
      <c r="A556" s="15" t="s">
        <v>144</v>
      </c>
      <c r="B556" s="15" t="s">
        <v>148</v>
      </c>
      <c r="C556" s="15" t="n">
        <v>53</v>
      </c>
      <c r="D556" s="15" t="s">
        <v>218</v>
      </c>
      <c r="E556" s="15" t="n">
        <v>36</v>
      </c>
      <c r="F556" s="15" t="s">
        <v>1131</v>
      </c>
      <c r="G556" s="15" t="s">
        <v>1132</v>
      </c>
      <c r="H556" s="15" t="s">
        <v>1133</v>
      </c>
      <c r="I556" s="15" t="s">
        <v>1134</v>
      </c>
      <c r="J556" s="15" t="s">
        <v>177</v>
      </c>
      <c r="K556" s="35" t="n">
        <v>19.58</v>
      </c>
      <c r="L556" s="35"/>
      <c r="M556" s="23" t="str">
        <f aca="false">IF(AND(ISNUMBER(L556),ISNUMBER(K556),K556&gt;0),L556/K556-1,"")</f>
        <v/>
      </c>
      <c r="N556" s="36" t="str">
        <f aca="false">IF(M556="","No List Price",IF(M556&lt;=0,"At/below price",IF(M556&lt;=0.12,"&lt;=12% (STR zone)",IF(M556&lt;=0.25,"12-25%","&gt;25% (likely ignored)"))))</f>
        <v>No List Price</v>
      </c>
      <c r="O556" s="15"/>
      <c r="P556" s="35" t="n">
        <v>29.8233333333333</v>
      </c>
      <c r="Q556" s="22" t="n">
        <f aca="false">IF(AND(ISNUMBER(K556),ISNUMBER(P556),N(P556)&gt;0),K556/P556-1,"")</f>
        <v>-0.34346708393875</v>
      </c>
      <c r="R556" s="15" t="s">
        <v>512</v>
      </c>
      <c r="S556" s="37" t="n">
        <v>5384</v>
      </c>
      <c r="T556" s="37" t="n">
        <v>208</v>
      </c>
      <c r="U556" s="38" t="n">
        <f aca="false">IF(AND(ISNUMBER(K556),ISNUMBER(T556)),K556*T556*52/12,"")</f>
        <v>17648.1066666667</v>
      </c>
      <c r="V556" s="15" t="n">
        <v>4.7</v>
      </c>
      <c r="W556" s="37" t="n">
        <v>2019</v>
      </c>
      <c r="X556" s="39" t="n">
        <v>46307</v>
      </c>
      <c r="Y556" s="15"/>
      <c r="Z556" s="40"/>
      <c r="AA556" s="41" t="str">
        <f aca="false">IF(ISNUMBER(Z556),(DATE(2026,10,13)-Z556)/365,"")</f>
        <v/>
      </c>
      <c r="AB556" s="37"/>
      <c r="AC556" s="15"/>
      <c r="AD556" s="15"/>
      <c r="AE556" s="15"/>
      <c r="AF556" s="42"/>
      <c r="AG556" s="42"/>
      <c r="AH556" s="15"/>
      <c r="AI556" s="37"/>
      <c r="AJ556" s="37"/>
      <c r="AK556" s="15" t="s">
        <v>326</v>
      </c>
      <c r="AL556" s="43" t="n">
        <v>557.2</v>
      </c>
      <c r="AM556" s="43" t="n">
        <v>430.2</v>
      </c>
      <c r="AN556" s="25" t="n">
        <f aca="false">IF(AND(ISNUMBER(AM556),ISNUMBER(AL556),AL556&gt;=5),AM556/AL556,"")</f>
        <v>0.772074659009332</v>
      </c>
      <c r="AO556" s="43" t="n">
        <v>28</v>
      </c>
      <c r="AP556" s="43" t="n">
        <v>22</v>
      </c>
      <c r="AQ556" s="25" t="n">
        <f aca="false">IF(AND(ISNUMBER(AP556),ISNUMBER(AO556),AO556&gt;=5),AP556/AO556,"")</f>
        <v>0.785714285714286</v>
      </c>
      <c r="AR556" s="43" t="n">
        <v>397</v>
      </c>
      <c r="AS556" s="43" t="n">
        <v>419.1</v>
      </c>
      <c r="AT556" s="22" t="n">
        <f aca="false">IF(AND(ISNUMBER(AS556),ISNUMBER(AR556),AR556&gt;0),AS556/AR556-1,"")</f>
        <v>0.0556675062972294</v>
      </c>
      <c r="AU556" s="44"/>
      <c r="AV556" s="44"/>
      <c r="AW556" s="44"/>
      <c r="AX556" s="44"/>
      <c r="AY556" s="44"/>
      <c r="AZ556" s="45"/>
      <c r="BA556" s="45"/>
      <c r="BB556" s="46"/>
      <c r="BC556" s="46"/>
      <c r="BD556" s="23" t="str">
        <f aca="false">IF(AND(ISNUMBER(BB556),ISNUMBER(BC556),BB556&gt;0),1-BC556/BB556,"")</f>
        <v/>
      </c>
      <c r="BE556" s="47"/>
      <c r="BF556" s="48"/>
      <c r="BG556" s="48"/>
      <c r="BH556" s="27" t="str">
        <f aca="false">IF(AND(ISNUMBER(BF556),ISNUMBER(BG556),BG556&gt;0),BF556/BG556,"")</f>
        <v/>
      </c>
      <c r="BI556" s="48"/>
      <c r="BJ556" s="44"/>
      <c r="BK556" s="46"/>
      <c r="BL556" s="46"/>
      <c r="BM556" s="36" t="str">
        <f aca="false">IF(ISNUMBER(Q556),IF(Q556&lt;0,"YES","no"),"")</f>
        <v>YES</v>
      </c>
      <c r="BN556" s="36" t="str">
        <f aca="false">IFERROR(IF(AND(ISNUMBER(K556),ISNUMBER(INDEX('Lift Inputs'!$H:$H,MATCH(C556,'Lift Inputs'!$C:$C,0)))),IF(K556&lt;INDEX('Lift Inputs'!$H:$H,MATCH(C556,'Lift Inputs'!$C:$C,0)),"YES","no"),""),"")</f>
        <v/>
      </c>
      <c r="BO556" s="44"/>
    </row>
    <row r="557" customFormat="false" ht="15" hidden="false" customHeight="false" outlineLevel="0" collapsed="false">
      <c r="A557" s="15" t="s">
        <v>144</v>
      </c>
      <c r="B557" s="15" t="s">
        <v>148</v>
      </c>
      <c r="C557" s="15" t="n">
        <v>53</v>
      </c>
      <c r="D557" s="15" t="s">
        <v>218</v>
      </c>
      <c r="E557" s="15" t="n">
        <v>38</v>
      </c>
      <c r="F557" s="15" t="s">
        <v>1135</v>
      </c>
      <c r="G557" s="15" t="s">
        <v>1136</v>
      </c>
      <c r="H557" s="15" t="s">
        <v>1137</v>
      </c>
      <c r="I557" s="15" t="s">
        <v>1138</v>
      </c>
      <c r="J557" s="15" t="s">
        <v>177</v>
      </c>
      <c r="K557" s="35" t="n">
        <v>23.99</v>
      </c>
      <c r="L557" s="35" t="n">
        <v>27.99</v>
      </c>
      <c r="M557" s="23" t="n">
        <f aca="false">IF(AND(ISNUMBER(L557),ISNUMBER(K557),K557&gt;0),L557/K557-1,"")</f>
        <v>0.166736140058358</v>
      </c>
      <c r="N557" s="36" t="str">
        <f aca="false">IF(M557="","No List Price",IF(M557&lt;=0,"At/below price",IF(M557&lt;=0.12,"&lt;=12% (STR zone)",IF(M557&lt;=0.25,"12-25%","&gt;25% (likely ignored)"))))</f>
        <v>12-25%</v>
      </c>
      <c r="O557" s="15"/>
      <c r="P557" s="35" t="n">
        <v>29.8233333333333</v>
      </c>
      <c r="Q557" s="22" t="n">
        <f aca="false">IF(AND(ISNUMBER(K557),ISNUMBER(P557),N(P557)&gt;0),K557/P557-1,"")</f>
        <v>-0.195596289258969</v>
      </c>
      <c r="R557" s="15" t="s">
        <v>512</v>
      </c>
      <c r="S557" s="37" t="n">
        <v>26182</v>
      </c>
      <c r="T557" s="37" t="n">
        <v>173</v>
      </c>
      <c r="U557" s="38" t="n">
        <f aca="false">IF(AND(ISNUMBER(K557),ISNUMBER(T557)),K557*T557*52/12,"")</f>
        <v>17984.5033333333</v>
      </c>
      <c r="V557" s="15" t="n">
        <v>4.7</v>
      </c>
      <c r="W557" s="37" t="n">
        <v>2808</v>
      </c>
      <c r="X557" s="39" t="n">
        <v>46307</v>
      </c>
      <c r="Y557" s="15" t="n">
        <v>86</v>
      </c>
      <c r="Z557" s="40" t="n">
        <v>44228</v>
      </c>
      <c r="AA557" s="41" t="n">
        <f aca="false">IF(ISNUMBER(Z557),(DATE(2026,10,13)-Z557)/365,"")</f>
        <v>5.6986301369863</v>
      </c>
      <c r="AB557" s="37" t="n">
        <v>1882</v>
      </c>
      <c r="AC557" s="15" t="s">
        <v>313</v>
      </c>
      <c r="AD557" s="15" t="n">
        <v>2</v>
      </c>
      <c r="AE557" s="15" t="s">
        <v>331</v>
      </c>
      <c r="AF557" s="42" t="n">
        <v>0</v>
      </c>
      <c r="AG557" s="42" t="n">
        <v>0</v>
      </c>
      <c r="AH557" s="15" t="n">
        <v>93</v>
      </c>
      <c r="AI557" s="37"/>
      <c r="AJ557" s="37"/>
      <c r="AK557" s="15" t="s">
        <v>326</v>
      </c>
      <c r="AL557" s="43" t="n">
        <v>133.3</v>
      </c>
      <c r="AM557" s="43" t="n">
        <v>91.5</v>
      </c>
      <c r="AN557" s="25" t="n">
        <f aca="false">IF(AND(ISNUMBER(AM557),ISNUMBER(AL557),AL557&gt;=5),AM557/AL557,"")</f>
        <v>0.68642160540135</v>
      </c>
      <c r="AO557" s="43" t="n">
        <v>61.6</v>
      </c>
      <c r="AP557" s="43" t="n">
        <v>0.2</v>
      </c>
      <c r="AQ557" s="25" t="n">
        <f aca="false">IF(AND(ISNUMBER(AP557),ISNUMBER(AO557),AO557&gt;=5),AP557/AO557,"")</f>
        <v>0.00324675324675325</v>
      </c>
      <c r="AR557" s="43" t="n">
        <v>395.4</v>
      </c>
      <c r="AS557" s="43" t="n">
        <v>224.9</v>
      </c>
      <c r="AT557" s="22" t="n">
        <f aca="false">IF(AND(ISNUMBER(AS557),ISNUMBER(AR557),AR557&gt;0),AS557/AR557-1,"")</f>
        <v>-0.431208902377339</v>
      </c>
      <c r="AU557" s="44"/>
      <c r="AV557" s="44"/>
      <c r="AW557" s="44"/>
      <c r="AX557" s="44"/>
      <c r="AY557" s="44"/>
      <c r="AZ557" s="45"/>
      <c r="BA557" s="45"/>
      <c r="BB557" s="46"/>
      <c r="BC557" s="46"/>
      <c r="BD557" s="23" t="str">
        <f aca="false">IF(AND(ISNUMBER(BB557),ISNUMBER(BC557),BB557&gt;0),1-BC557/BB557,"")</f>
        <v/>
      </c>
      <c r="BE557" s="47"/>
      <c r="BF557" s="48"/>
      <c r="BG557" s="48"/>
      <c r="BH557" s="27" t="str">
        <f aca="false">IF(AND(ISNUMBER(BF557),ISNUMBER(BG557),BG557&gt;0),BF557/BG557,"")</f>
        <v/>
      </c>
      <c r="BI557" s="48"/>
      <c r="BJ557" s="44"/>
      <c r="BK557" s="46"/>
      <c r="BL557" s="46"/>
      <c r="BM557" s="36" t="str">
        <f aca="false">IF(ISNUMBER(Q557),IF(Q557&lt;0,"YES","no"),"")</f>
        <v>YES</v>
      </c>
      <c r="BN557" s="36" t="str">
        <f aca="false">IFERROR(IF(AND(ISNUMBER(K557),ISNUMBER(INDEX('Lift Inputs'!$H:$H,MATCH(C557,'Lift Inputs'!$C:$C,0)))),IF(K557&lt;INDEX('Lift Inputs'!$H:$H,MATCH(C557,'Lift Inputs'!$C:$C,0)),"YES","no"),""),"")</f>
        <v/>
      </c>
      <c r="BO557" s="44"/>
    </row>
    <row r="558" customFormat="false" ht="15" hidden="false" customHeight="false" outlineLevel="0" collapsed="false">
      <c r="A558" s="15" t="s">
        <v>144</v>
      </c>
      <c r="B558" s="15" t="s">
        <v>148</v>
      </c>
      <c r="C558" s="15" t="n">
        <v>53</v>
      </c>
      <c r="D558" s="15" t="s">
        <v>218</v>
      </c>
      <c r="E558" s="15" t="n">
        <v>1599</v>
      </c>
      <c r="F558" s="15" t="s">
        <v>1139</v>
      </c>
      <c r="G558" s="15" t="s">
        <v>1140</v>
      </c>
      <c r="H558" s="15" t="s">
        <v>1141</v>
      </c>
      <c r="I558" s="15" t="s">
        <v>1142</v>
      </c>
      <c r="J558" s="15" t="s">
        <v>177</v>
      </c>
      <c r="K558" s="35" t="n">
        <v>29.94</v>
      </c>
      <c r="L558" s="35"/>
      <c r="M558" s="23" t="str">
        <f aca="false">IF(AND(ISNUMBER(L558),ISNUMBER(K558),K558&gt;0),L558/K558-1,"")</f>
        <v/>
      </c>
      <c r="N558" s="36" t="str">
        <f aca="false">IF(M558="","No List Price",IF(M558&lt;=0,"At/below price",IF(M558&lt;=0.12,"&lt;=12% (STR zone)",IF(M558&lt;=0.25,"12-25%","&gt;25% (likely ignored)"))))</f>
        <v>No List Price</v>
      </c>
      <c r="O558" s="15"/>
      <c r="P558" s="35" t="n">
        <v>29.8233333333333</v>
      </c>
      <c r="Q558" s="22" t="n">
        <f aca="false">IF(AND(ISNUMBER(K558),ISNUMBER(P558),N(P558)&gt;0),K558/P558-1,"")</f>
        <v>0.00391192578517963</v>
      </c>
      <c r="R558" s="15" t="s">
        <v>512</v>
      </c>
      <c r="S558" s="37" t="n">
        <v>13252</v>
      </c>
      <c r="T558" s="37" t="n">
        <v>92</v>
      </c>
      <c r="U558" s="38" t="n">
        <f aca="false">IF(AND(ISNUMBER(K558),ISNUMBER(T558)),K558*T558*52/12,"")</f>
        <v>11936.08</v>
      </c>
      <c r="V558" s="15" t="n">
        <v>4.6</v>
      </c>
      <c r="W558" s="37" t="n">
        <v>1408</v>
      </c>
      <c r="X558" s="39" t="n">
        <v>46307</v>
      </c>
      <c r="Y558" s="15" t="n">
        <v>130</v>
      </c>
      <c r="Z558" s="40" t="n">
        <v>45434</v>
      </c>
      <c r="AA558" s="41" t="n">
        <f aca="false">IF(ISNUMBER(Z558),(DATE(2026,10,13)-Z558)/365,"")</f>
        <v>2.39452054794521</v>
      </c>
      <c r="AB558" s="37" t="n">
        <v>3029</v>
      </c>
      <c r="AC558" s="15" t="s">
        <v>313</v>
      </c>
      <c r="AD558" s="15" t="n">
        <v>4</v>
      </c>
      <c r="AE558" s="15" t="s">
        <v>314</v>
      </c>
      <c r="AF558" s="42" t="n">
        <v>0</v>
      </c>
      <c r="AG558" s="42" t="n">
        <v>0</v>
      </c>
      <c r="AH558" s="15" t="n">
        <v>57</v>
      </c>
      <c r="AI558" s="37"/>
      <c r="AJ558" s="37"/>
      <c r="AK558" s="15" t="s">
        <v>326</v>
      </c>
      <c r="AL558" s="43" t="n">
        <v>161.1</v>
      </c>
      <c r="AM558" s="43" t="n">
        <v>221.2</v>
      </c>
      <c r="AN558" s="25" t="n">
        <f aca="false">IF(AND(ISNUMBER(AM558),ISNUMBER(AL558),AL558&gt;=5),AM558/AL558,"")</f>
        <v>1.37306021104904</v>
      </c>
      <c r="AO558" s="43" t="n">
        <v>252.4</v>
      </c>
      <c r="AP558" s="43" t="n">
        <v>226.5</v>
      </c>
      <c r="AQ558" s="25" t="n">
        <f aca="false">IF(AND(ISNUMBER(AP558),ISNUMBER(AO558),AO558&gt;=5),AP558/AO558,"")</f>
        <v>0.897385103011094</v>
      </c>
      <c r="AR558" s="43" t="n">
        <v>132.7</v>
      </c>
      <c r="AS558" s="43" t="n">
        <v>73</v>
      </c>
      <c r="AT558" s="22" t="n">
        <f aca="false">IF(AND(ISNUMBER(AS558),ISNUMBER(AR558),AR558&gt;0),AS558/AR558-1,"")</f>
        <v>-0.449886963074604</v>
      </c>
      <c r="AU558" s="44"/>
      <c r="AV558" s="44"/>
      <c r="AW558" s="44"/>
      <c r="AX558" s="44"/>
      <c r="AY558" s="44"/>
      <c r="AZ558" s="45"/>
      <c r="BA558" s="45"/>
      <c r="BB558" s="46"/>
      <c r="BC558" s="46"/>
      <c r="BD558" s="23" t="str">
        <f aca="false">IF(AND(ISNUMBER(BB558),ISNUMBER(BC558),BB558&gt;0),1-BC558/BB558,"")</f>
        <v/>
      </c>
      <c r="BE558" s="47"/>
      <c r="BF558" s="48"/>
      <c r="BG558" s="48"/>
      <c r="BH558" s="27" t="str">
        <f aca="false">IF(AND(ISNUMBER(BF558),ISNUMBER(BG558),BG558&gt;0),BF558/BG558,"")</f>
        <v/>
      </c>
      <c r="BI558" s="48"/>
      <c r="BJ558" s="44"/>
      <c r="BK558" s="46"/>
      <c r="BL558" s="46"/>
      <c r="BM558" s="36" t="str">
        <f aca="false">IF(ISNUMBER(Q558),IF(Q558&lt;0,"YES","no"),"")</f>
        <v>no</v>
      </c>
      <c r="BN558" s="36" t="str">
        <f aca="false">IFERROR(IF(AND(ISNUMBER(K558),ISNUMBER(INDEX('Lift Inputs'!$H:$H,MATCH(C558,'Lift Inputs'!$C:$C,0)))),IF(K558&lt;INDEX('Lift Inputs'!$H:$H,MATCH(C558,'Lift Inputs'!$C:$C,0)),"YES","no"),""),"")</f>
        <v/>
      </c>
      <c r="BO558" s="44"/>
    </row>
    <row r="559" customFormat="false" ht="15" hidden="false" customHeight="false" outlineLevel="0" collapsed="false">
      <c r="A559" s="15" t="s">
        <v>144</v>
      </c>
      <c r="B559" s="15" t="s">
        <v>148</v>
      </c>
      <c r="C559" s="15" t="n">
        <v>53</v>
      </c>
      <c r="D559" s="15" t="s">
        <v>218</v>
      </c>
      <c r="E559" s="15" t="n">
        <v>1604</v>
      </c>
      <c r="F559" s="15" t="s">
        <v>1143</v>
      </c>
      <c r="G559" s="15" t="s">
        <v>1144</v>
      </c>
      <c r="H559" s="15" t="s">
        <v>1145</v>
      </c>
      <c r="I559" s="15" t="s">
        <v>1146</v>
      </c>
      <c r="J559" s="15" t="s">
        <v>177</v>
      </c>
      <c r="K559" s="35" t="n">
        <v>36.29</v>
      </c>
      <c r="L559" s="35" t="n">
        <v>44.99</v>
      </c>
      <c r="M559" s="23" t="n">
        <f aca="false">IF(AND(ISNUMBER(L559),ISNUMBER(K559),K559&gt;0),L559/K559-1,"")</f>
        <v>0.239735464315239</v>
      </c>
      <c r="N559" s="36" t="str">
        <f aca="false">IF(M559="","No List Price",IF(M559&lt;=0,"At/below price",IF(M559&lt;=0.12,"&lt;=12% (STR zone)",IF(M559&lt;=0.25,"12-25%","&gt;25% (likely ignored)"))))</f>
        <v>12-25%</v>
      </c>
      <c r="O559" s="15"/>
      <c r="P559" s="35" t="n">
        <v>29.8233333333333</v>
      </c>
      <c r="Q559" s="22" t="n">
        <f aca="false">IF(AND(ISNUMBER(K559),ISNUMBER(P559),N(P559)&gt;0),K559/P559-1,"")</f>
        <v>0.216832457807086</v>
      </c>
      <c r="R559" s="15" t="s">
        <v>512</v>
      </c>
      <c r="S559" s="37" t="n">
        <v>16354</v>
      </c>
      <c r="T559" s="37" t="n">
        <v>92</v>
      </c>
      <c r="U559" s="38" t="n">
        <f aca="false">IF(AND(ISNUMBER(K559),ISNUMBER(T559)),K559*T559*52/12,"")</f>
        <v>14467.6133333333</v>
      </c>
      <c r="V559" s="15" t="n">
        <v>4.5</v>
      </c>
      <c r="W559" s="37" t="n">
        <v>2281</v>
      </c>
      <c r="X559" s="39" t="n">
        <v>46307</v>
      </c>
      <c r="Y559" s="15" t="n">
        <v>32</v>
      </c>
      <c r="Z559" s="40" t="n">
        <v>44146</v>
      </c>
      <c r="AA559" s="41" t="n">
        <f aca="false">IF(ISNUMBER(Z559),(DATE(2026,10,13)-Z559)/365,"")</f>
        <v>5.92328767123288</v>
      </c>
      <c r="AB559" s="37" t="n">
        <v>2604</v>
      </c>
      <c r="AC559" s="15" t="s">
        <v>582</v>
      </c>
      <c r="AD559" s="15" t="n">
        <v>1</v>
      </c>
      <c r="AE559" s="15" t="s">
        <v>583</v>
      </c>
      <c r="AF559" s="42" t="n">
        <v>0</v>
      </c>
      <c r="AG559" s="42" t="n">
        <v>0</v>
      </c>
      <c r="AH559" s="15" t="n">
        <v>17</v>
      </c>
      <c r="AI559" s="37"/>
      <c r="AJ559" s="37"/>
      <c r="AK559" s="15"/>
      <c r="AL559" s="43"/>
      <c r="AM559" s="43"/>
      <c r="AN559" s="25" t="str">
        <f aca="false">IF(AND(ISNUMBER(AM559),ISNUMBER(AL559),AL559&gt;=5),AM559/AL559,"")</f>
        <v/>
      </c>
      <c r="AO559" s="43"/>
      <c r="AP559" s="43"/>
      <c r="AQ559" s="25" t="str">
        <f aca="false">IF(AND(ISNUMBER(AP559),ISNUMBER(AO559),AO559&gt;=5),AP559/AO559,"")</f>
        <v/>
      </c>
      <c r="AR559" s="43"/>
      <c r="AS559" s="43"/>
      <c r="AT559" s="22" t="str">
        <f aca="false">IF(AND(ISNUMBER(AS559),ISNUMBER(AR559),AR559&gt;0),AS559/AR559-1,"")</f>
        <v/>
      </c>
      <c r="AU559" s="44"/>
      <c r="AV559" s="44"/>
      <c r="AW559" s="44"/>
      <c r="AX559" s="44"/>
      <c r="AY559" s="44"/>
      <c r="AZ559" s="45"/>
      <c r="BA559" s="45"/>
      <c r="BB559" s="46"/>
      <c r="BC559" s="46"/>
      <c r="BD559" s="23" t="str">
        <f aca="false">IF(AND(ISNUMBER(BB559),ISNUMBER(BC559),BB559&gt;0),1-BC559/BB559,"")</f>
        <v/>
      </c>
      <c r="BE559" s="47"/>
      <c r="BF559" s="48"/>
      <c r="BG559" s="48"/>
      <c r="BH559" s="27" t="str">
        <f aca="false">IF(AND(ISNUMBER(BF559),ISNUMBER(BG559),BG559&gt;0),BF559/BG559,"")</f>
        <v/>
      </c>
      <c r="BI559" s="48"/>
      <c r="BJ559" s="44"/>
      <c r="BK559" s="46"/>
      <c r="BL559" s="46"/>
      <c r="BM559" s="36" t="str">
        <f aca="false">IF(ISNUMBER(Q559),IF(Q559&lt;0,"YES","no"),"")</f>
        <v>no</v>
      </c>
      <c r="BN559" s="36" t="str">
        <f aca="false">IFERROR(IF(AND(ISNUMBER(K559),ISNUMBER(INDEX('Lift Inputs'!$H:$H,MATCH(C559,'Lift Inputs'!$C:$C,0)))),IF(K559&lt;INDEX('Lift Inputs'!$H:$H,MATCH(C559,'Lift Inputs'!$C:$C,0)),"YES","no"),""),"")</f>
        <v/>
      </c>
      <c r="BO559" s="44"/>
    </row>
    <row r="560" customFormat="false" ht="15" hidden="false" customHeight="false" outlineLevel="0" collapsed="false">
      <c r="A560" s="15" t="s">
        <v>144</v>
      </c>
      <c r="B560" s="15" t="s">
        <v>148</v>
      </c>
      <c r="C560" s="15" t="n">
        <v>53</v>
      </c>
      <c r="D560" s="15" t="s">
        <v>218</v>
      </c>
      <c r="E560" s="15" t="n">
        <v>41</v>
      </c>
      <c r="F560" s="15" t="s">
        <v>1147</v>
      </c>
      <c r="G560" s="15" t="s">
        <v>1148</v>
      </c>
      <c r="H560" s="15" t="s">
        <v>1149</v>
      </c>
      <c r="I560" s="15" t="s">
        <v>1150</v>
      </c>
      <c r="J560" s="15" t="s">
        <v>178</v>
      </c>
      <c r="K560" s="35" t="n">
        <v>32.28</v>
      </c>
      <c r="L560" s="35" t="n">
        <v>42.99</v>
      </c>
      <c r="M560" s="23" t="n">
        <f aca="false">IF(AND(ISNUMBER(L560),ISNUMBER(K560),K560&gt;0),L560/K560-1,"")</f>
        <v>0.3317843866171</v>
      </c>
      <c r="N560" s="36" t="str">
        <f aca="false">IF(M560="","No List Price",IF(M560&lt;=0,"At/below price",IF(M560&lt;=0.12,"&lt;=12% (STR zone)",IF(M560&lt;=0.25,"12-25%","&gt;25% (likely ignored)"))))</f>
        <v>&gt;25% (likely ignored)</v>
      </c>
      <c r="O560" s="15"/>
      <c r="P560" s="35" t="n">
        <v>29.8233333333333</v>
      </c>
      <c r="Q560" s="22" t="n">
        <f aca="false">IF(AND(ISNUMBER(K560),ISNUMBER(P560),N(P560)&gt;0),K560/P560-1,"")</f>
        <v>0.0823739801050634</v>
      </c>
      <c r="R560" s="15" t="s">
        <v>512</v>
      </c>
      <c r="S560" s="37" t="n">
        <v>5349</v>
      </c>
      <c r="T560" s="37" t="n">
        <v>347</v>
      </c>
      <c r="U560" s="38" t="n">
        <f aca="false">IF(AND(ISNUMBER(K560),ISNUMBER(T560)),K560*T560*52/12,"")</f>
        <v>48538.36</v>
      </c>
      <c r="V560" s="15" t="n">
        <v>4.7</v>
      </c>
      <c r="W560" s="37" t="n">
        <v>1430</v>
      </c>
      <c r="X560" s="39" t="n">
        <v>46307</v>
      </c>
      <c r="Y560" s="15" t="n">
        <v>126</v>
      </c>
      <c r="Z560" s="40" t="n">
        <v>44999</v>
      </c>
      <c r="AA560" s="41" t="n">
        <f aca="false">IF(ISNUMBER(Z560),(DATE(2026,10,13)-Z560)/365,"")</f>
        <v>3.58630136986301</v>
      </c>
      <c r="AB560" s="37" t="n">
        <v>5611</v>
      </c>
      <c r="AC560" s="15" t="s">
        <v>313</v>
      </c>
      <c r="AD560" s="15" t="n">
        <v>22</v>
      </c>
      <c r="AE560" s="15" t="s">
        <v>331</v>
      </c>
      <c r="AF560" s="42" t="n">
        <v>0</v>
      </c>
      <c r="AG560" s="42" t="n">
        <v>0</v>
      </c>
      <c r="AH560" s="15" t="n">
        <v>125</v>
      </c>
      <c r="AI560" s="37"/>
      <c r="AJ560" s="37"/>
      <c r="AK560" s="15"/>
      <c r="AL560" s="43"/>
      <c r="AM560" s="43"/>
      <c r="AN560" s="25" t="str">
        <f aca="false">IF(AND(ISNUMBER(AM560),ISNUMBER(AL560),AL560&gt;=5),AM560/AL560,"")</f>
        <v/>
      </c>
      <c r="AO560" s="43"/>
      <c r="AP560" s="43"/>
      <c r="AQ560" s="25" t="str">
        <f aca="false">IF(AND(ISNUMBER(AP560),ISNUMBER(AO560),AO560&gt;=5),AP560/AO560,"")</f>
        <v/>
      </c>
      <c r="AR560" s="43"/>
      <c r="AS560" s="43"/>
      <c r="AT560" s="22" t="str">
        <f aca="false">IF(AND(ISNUMBER(AS560),ISNUMBER(AR560),AR560&gt;0),AS560/AR560-1,"")</f>
        <v/>
      </c>
      <c r="AU560" s="44"/>
      <c r="AV560" s="44"/>
      <c r="AW560" s="44"/>
      <c r="AX560" s="44"/>
      <c r="AY560" s="44"/>
      <c r="AZ560" s="45"/>
      <c r="BA560" s="45"/>
      <c r="BB560" s="46"/>
      <c r="BC560" s="46"/>
      <c r="BD560" s="23" t="str">
        <f aca="false">IF(AND(ISNUMBER(BB560),ISNUMBER(BC560),BB560&gt;0),1-BC560/BB560,"")</f>
        <v/>
      </c>
      <c r="BE560" s="47"/>
      <c r="BF560" s="48"/>
      <c r="BG560" s="48"/>
      <c r="BH560" s="27" t="str">
        <f aca="false">IF(AND(ISNUMBER(BF560),ISNUMBER(BG560),BG560&gt;0),BF560/BG560,"")</f>
        <v/>
      </c>
      <c r="BI560" s="48"/>
      <c r="BJ560" s="44"/>
      <c r="BK560" s="46"/>
      <c r="BL560" s="46"/>
      <c r="BM560" s="36" t="str">
        <f aca="false">IF(ISNUMBER(Q560),IF(Q560&lt;0,"YES","no"),"")</f>
        <v>no</v>
      </c>
      <c r="BN560" s="36" t="str">
        <f aca="false">IFERROR(IF(AND(ISNUMBER(K560),ISNUMBER(INDEX('Lift Inputs'!$H:$H,MATCH(C560,'Lift Inputs'!$C:$C,0)))),IF(K560&lt;INDEX('Lift Inputs'!$H:$H,MATCH(C560,'Lift Inputs'!$C:$C,0)),"YES","no"),""),"")</f>
        <v/>
      </c>
      <c r="BO560" s="44"/>
    </row>
    <row r="561" customFormat="false" ht="15" hidden="false" customHeight="false" outlineLevel="0" collapsed="false">
      <c r="A561" s="15" t="s">
        <v>144</v>
      </c>
      <c r="B561" s="15" t="s">
        <v>148</v>
      </c>
      <c r="C561" s="15" t="n">
        <v>53</v>
      </c>
      <c r="D561" s="15" t="s">
        <v>218</v>
      </c>
      <c r="E561" s="15" t="n">
        <v>1601</v>
      </c>
      <c r="F561" s="15" t="s">
        <v>1151</v>
      </c>
      <c r="G561" s="15" t="s">
        <v>1152</v>
      </c>
      <c r="H561" s="15" t="s">
        <v>1153</v>
      </c>
      <c r="I561" s="15" t="s">
        <v>1154</v>
      </c>
      <c r="J561" s="15" t="s">
        <v>178</v>
      </c>
      <c r="K561" s="35" t="n">
        <v>21.33</v>
      </c>
      <c r="L561" s="35" t="n">
        <v>29.85</v>
      </c>
      <c r="M561" s="23" t="n">
        <f aca="false">IF(AND(ISNUMBER(L561),ISNUMBER(K561),K561&gt;0),L561/K561-1,"")</f>
        <v>0.39943741209564</v>
      </c>
      <c r="N561" s="36" t="str">
        <f aca="false">IF(M561="","No List Price",IF(M561&lt;=0,"At/below price",IF(M561&lt;=0.12,"&lt;=12% (STR zone)",IF(M561&lt;=0.25,"12-25%","&gt;25% (likely ignored)"))))</f>
        <v>&gt;25% (likely ignored)</v>
      </c>
      <c r="O561" s="15"/>
      <c r="P561" s="35" t="n">
        <v>29.8233333333333</v>
      </c>
      <c r="Q561" s="22" t="n">
        <f aca="false">IF(AND(ISNUMBER(K561),ISNUMBER(P561),N(P561)&gt;0),K561/P561-1,"")</f>
        <v>-0.28478819716106</v>
      </c>
      <c r="R561" s="15" t="s">
        <v>512</v>
      </c>
      <c r="S561" s="37" t="n">
        <v>3194</v>
      </c>
      <c r="T561" s="37" t="n">
        <v>347</v>
      </c>
      <c r="U561" s="38" t="n">
        <f aca="false">IF(AND(ISNUMBER(K561),ISNUMBER(T561)),K561*T561*52/12,"")</f>
        <v>32073.21</v>
      </c>
      <c r="V561" s="15" t="n">
        <v>4.5</v>
      </c>
      <c r="W561" s="37" t="n">
        <v>1072</v>
      </c>
      <c r="X561" s="39" t="n">
        <v>46307</v>
      </c>
      <c r="Y561" s="15" t="n">
        <v>140</v>
      </c>
      <c r="Z561" s="40" t="n">
        <v>45085</v>
      </c>
      <c r="AA561" s="41" t="n">
        <f aca="false">IF(ISNUMBER(Z561),(DATE(2026,10,13)-Z561)/365,"")</f>
        <v>3.35068493150685</v>
      </c>
      <c r="AB561" s="37" t="n">
        <v>8225</v>
      </c>
      <c r="AC561" s="15" t="s">
        <v>313</v>
      </c>
      <c r="AD561" s="15" t="n">
        <v>2</v>
      </c>
      <c r="AE561" s="15" t="s">
        <v>331</v>
      </c>
      <c r="AF561" s="42" t="n">
        <v>0</v>
      </c>
      <c r="AG561" s="42" t="n">
        <v>0</v>
      </c>
      <c r="AH561" s="15" t="n">
        <v>310</v>
      </c>
      <c r="AI561" s="37"/>
      <c r="AJ561" s="37"/>
      <c r="AK561" s="15"/>
      <c r="AL561" s="43"/>
      <c r="AM561" s="43"/>
      <c r="AN561" s="25" t="str">
        <f aca="false">IF(AND(ISNUMBER(AM561),ISNUMBER(AL561),AL561&gt;=5),AM561/AL561,"")</f>
        <v/>
      </c>
      <c r="AO561" s="43"/>
      <c r="AP561" s="43"/>
      <c r="AQ561" s="25" t="str">
        <f aca="false">IF(AND(ISNUMBER(AP561),ISNUMBER(AO561),AO561&gt;=5),AP561/AO561,"")</f>
        <v/>
      </c>
      <c r="AR561" s="43"/>
      <c r="AS561" s="43"/>
      <c r="AT561" s="22" t="str">
        <f aca="false">IF(AND(ISNUMBER(AS561),ISNUMBER(AR561),AR561&gt;0),AS561/AR561-1,"")</f>
        <v/>
      </c>
      <c r="AU561" s="44"/>
      <c r="AV561" s="44"/>
      <c r="AW561" s="44"/>
      <c r="AX561" s="44"/>
      <c r="AY561" s="44"/>
      <c r="AZ561" s="45"/>
      <c r="BA561" s="45"/>
      <c r="BB561" s="46"/>
      <c r="BC561" s="46"/>
      <c r="BD561" s="23" t="str">
        <f aca="false">IF(AND(ISNUMBER(BB561),ISNUMBER(BC561),BB561&gt;0),1-BC561/BB561,"")</f>
        <v/>
      </c>
      <c r="BE561" s="47"/>
      <c r="BF561" s="48"/>
      <c r="BG561" s="48"/>
      <c r="BH561" s="27" t="str">
        <f aca="false">IF(AND(ISNUMBER(BF561),ISNUMBER(BG561),BG561&gt;0),BF561/BG561,"")</f>
        <v/>
      </c>
      <c r="BI561" s="48"/>
      <c r="BJ561" s="44"/>
      <c r="BK561" s="46"/>
      <c r="BL561" s="46"/>
      <c r="BM561" s="36" t="str">
        <f aca="false">IF(ISNUMBER(Q561),IF(Q561&lt;0,"YES","no"),"")</f>
        <v>YES</v>
      </c>
      <c r="BN561" s="36" t="str">
        <f aca="false">IFERROR(IF(AND(ISNUMBER(K561),ISNUMBER(INDEX('Lift Inputs'!$H:$H,MATCH(C561,'Lift Inputs'!$C:$C,0)))),IF(K561&lt;INDEX('Lift Inputs'!$H:$H,MATCH(C561,'Lift Inputs'!$C:$C,0)),"YES","no"),""),"")</f>
        <v/>
      </c>
      <c r="BO561" s="44"/>
    </row>
    <row r="562" customFormat="false" ht="15" hidden="false" customHeight="false" outlineLevel="0" collapsed="false">
      <c r="A562" s="15" t="s">
        <v>144</v>
      </c>
      <c r="B562" s="15" t="s">
        <v>148</v>
      </c>
      <c r="C562" s="15" t="n">
        <v>53</v>
      </c>
      <c r="D562" s="15" t="s">
        <v>218</v>
      </c>
      <c r="E562" s="15" t="n">
        <v>1597</v>
      </c>
      <c r="F562" s="15" t="s">
        <v>1155</v>
      </c>
      <c r="G562" s="15" t="s">
        <v>1156</v>
      </c>
      <c r="H562" s="15" t="s">
        <v>1157</v>
      </c>
      <c r="I562" s="15" t="s">
        <v>1158</v>
      </c>
      <c r="J562" s="15" t="s">
        <v>178</v>
      </c>
      <c r="K562" s="35" t="n">
        <v>20.99</v>
      </c>
      <c r="L562" s="35"/>
      <c r="M562" s="23" t="str">
        <f aca="false">IF(AND(ISNUMBER(L562),ISNUMBER(K562),K562&gt;0),L562/K562-1,"")</f>
        <v/>
      </c>
      <c r="N562" s="36" t="str">
        <f aca="false">IF(M562="","No List Price",IF(M562&lt;=0,"At/below price",IF(M562&lt;=0.12,"&lt;=12% (STR zone)",IF(M562&lt;=0.25,"12-25%","&gt;25% (likely ignored)"))))</f>
        <v>No List Price</v>
      </c>
      <c r="O562" s="15"/>
      <c r="P562" s="35" t="n">
        <v>29.8233333333333</v>
      </c>
      <c r="Q562" s="22" t="n">
        <f aca="false">IF(AND(ISNUMBER(K562),ISNUMBER(P562),N(P562)&gt;0),K562/P562-1,"")</f>
        <v>-0.296188666592154</v>
      </c>
      <c r="R562" s="15" t="s">
        <v>512</v>
      </c>
      <c r="S562" s="37" t="n">
        <v>4213</v>
      </c>
      <c r="T562" s="37" t="n">
        <v>197</v>
      </c>
      <c r="U562" s="38" t="n">
        <f aca="false">IF(AND(ISNUMBER(K562),ISNUMBER(T562)),K562*T562*52/12,"")</f>
        <v>17918.4633333333</v>
      </c>
      <c r="V562" s="15" t="n">
        <v>4.6</v>
      </c>
      <c r="W562" s="37" t="n">
        <v>1089</v>
      </c>
      <c r="X562" s="39" t="n">
        <v>46307</v>
      </c>
      <c r="Y562" s="15" t="n">
        <v>483</v>
      </c>
      <c r="Z562" s="40" t="n">
        <v>45353</v>
      </c>
      <c r="AA562" s="41" t="n">
        <f aca="false">IF(ISNUMBER(Z562),(DATE(2026,10,13)-Z562)/365,"")</f>
        <v>2.61643835616438</v>
      </c>
      <c r="AB562" s="37" t="n">
        <v>6739</v>
      </c>
      <c r="AC562" s="15" t="s">
        <v>313</v>
      </c>
      <c r="AD562" s="15" t="n">
        <v>1</v>
      </c>
      <c r="AE562" s="15" t="s">
        <v>331</v>
      </c>
      <c r="AF562" s="42" t="n">
        <v>0</v>
      </c>
      <c r="AG562" s="42" t="n">
        <v>0</v>
      </c>
      <c r="AH562" s="15" t="n">
        <v>66</v>
      </c>
      <c r="AI562" s="37"/>
      <c r="AJ562" s="37"/>
      <c r="AK562" s="15"/>
      <c r="AL562" s="43"/>
      <c r="AM562" s="43"/>
      <c r="AN562" s="25" t="str">
        <f aca="false">IF(AND(ISNUMBER(AM562),ISNUMBER(AL562),AL562&gt;=5),AM562/AL562,"")</f>
        <v/>
      </c>
      <c r="AO562" s="43"/>
      <c r="AP562" s="43"/>
      <c r="AQ562" s="25" t="str">
        <f aca="false">IF(AND(ISNUMBER(AP562),ISNUMBER(AO562),AO562&gt;=5),AP562/AO562,"")</f>
        <v/>
      </c>
      <c r="AR562" s="43"/>
      <c r="AS562" s="43"/>
      <c r="AT562" s="22" t="str">
        <f aca="false">IF(AND(ISNUMBER(AS562),ISNUMBER(AR562),AR562&gt;0),AS562/AR562-1,"")</f>
        <v/>
      </c>
      <c r="AU562" s="44"/>
      <c r="AV562" s="44"/>
      <c r="AW562" s="44"/>
      <c r="AX562" s="44"/>
      <c r="AY562" s="44"/>
      <c r="AZ562" s="45"/>
      <c r="BA562" s="45"/>
      <c r="BB562" s="46"/>
      <c r="BC562" s="46"/>
      <c r="BD562" s="23" t="str">
        <f aca="false">IF(AND(ISNUMBER(BB562),ISNUMBER(BC562),BB562&gt;0),1-BC562/BB562,"")</f>
        <v/>
      </c>
      <c r="BE562" s="47"/>
      <c r="BF562" s="48"/>
      <c r="BG562" s="48"/>
      <c r="BH562" s="27" t="str">
        <f aca="false">IF(AND(ISNUMBER(BF562),ISNUMBER(BG562),BG562&gt;0),BF562/BG562,"")</f>
        <v/>
      </c>
      <c r="BI562" s="48"/>
      <c r="BJ562" s="44"/>
      <c r="BK562" s="46"/>
      <c r="BL562" s="46"/>
      <c r="BM562" s="36" t="str">
        <f aca="false">IF(ISNUMBER(Q562),IF(Q562&lt;0,"YES","no"),"")</f>
        <v>YES</v>
      </c>
      <c r="BN562" s="36" t="str">
        <f aca="false">IFERROR(IF(AND(ISNUMBER(K562),ISNUMBER(INDEX('Lift Inputs'!$H:$H,MATCH(C562,'Lift Inputs'!$C:$C,0)))),IF(K562&lt;INDEX('Lift Inputs'!$H:$H,MATCH(C562,'Lift Inputs'!$C:$C,0)),"YES","no"),""),"")</f>
        <v/>
      </c>
      <c r="BO562" s="44"/>
    </row>
    <row r="563" customFormat="false" ht="15" hidden="false" customHeight="false" outlineLevel="0" collapsed="false">
      <c r="A563" s="15" t="s">
        <v>144</v>
      </c>
      <c r="B563" s="15" t="s">
        <v>148</v>
      </c>
      <c r="C563" s="15" t="n">
        <v>53</v>
      </c>
      <c r="D563" s="15" t="s">
        <v>218</v>
      </c>
      <c r="E563" s="15" t="n">
        <v>316</v>
      </c>
      <c r="F563" s="15" t="s">
        <v>1159</v>
      </c>
      <c r="G563" s="15" t="s">
        <v>1160</v>
      </c>
      <c r="H563" s="15" t="s">
        <v>1161</v>
      </c>
      <c r="I563" s="15" t="s">
        <v>1162</v>
      </c>
      <c r="J563" s="15" t="s">
        <v>178</v>
      </c>
      <c r="K563" s="35" t="n">
        <v>23.99</v>
      </c>
      <c r="L563" s="35"/>
      <c r="M563" s="23" t="str">
        <f aca="false">IF(AND(ISNUMBER(L563),ISNUMBER(K563),K563&gt;0),L563/K563-1,"")</f>
        <v/>
      </c>
      <c r="N563" s="36" t="str">
        <f aca="false">IF(M563="","No List Price",IF(M563&lt;=0,"At/below price",IF(M563&lt;=0.12,"&lt;=12% (STR zone)",IF(M563&lt;=0.25,"12-25%","&gt;25% (likely ignored)"))))</f>
        <v>No List Price</v>
      </c>
      <c r="O563" s="15"/>
      <c r="P563" s="35" t="n">
        <v>29.8233333333333</v>
      </c>
      <c r="Q563" s="22" t="n">
        <f aca="false">IF(AND(ISNUMBER(K563),ISNUMBER(P563),N(P563)&gt;0),K563/P563-1,"")</f>
        <v>-0.195596289258969</v>
      </c>
      <c r="R563" s="15" t="s">
        <v>512</v>
      </c>
      <c r="S563" s="37" t="n">
        <v>40931</v>
      </c>
      <c r="T563" s="37" t="n">
        <v>92</v>
      </c>
      <c r="U563" s="38" t="n">
        <f aca="false">IF(AND(ISNUMBER(K563),ISNUMBER(T563)),K563*T563*52/12,"")</f>
        <v>9564.01333333333</v>
      </c>
      <c r="V563" s="15" t="n">
        <v>4.8</v>
      </c>
      <c r="W563" s="37" t="n">
        <v>767</v>
      </c>
      <c r="X563" s="39" t="n">
        <v>46307</v>
      </c>
      <c r="Y563" s="15" t="n">
        <v>97</v>
      </c>
      <c r="Z563" s="40" t="n">
        <v>45763</v>
      </c>
      <c r="AA563" s="41" t="n">
        <f aca="false">IF(ISNUMBER(Z563),(DATE(2026,10,13)-Z563)/365,"")</f>
        <v>1.49315068493151</v>
      </c>
      <c r="AB563" s="37" t="n">
        <v>1118</v>
      </c>
      <c r="AC563" s="15" t="s">
        <v>313</v>
      </c>
      <c r="AD563" s="15" t="n">
        <v>2</v>
      </c>
      <c r="AE563" s="15" t="s">
        <v>331</v>
      </c>
      <c r="AF563" s="42" t="n">
        <v>0</v>
      </c>
      <c r="AG563" s="42" t="n">
        <v>0</v>
      </c>
      <c r="AH563" s="15" t="n">
        <v>108</v>
      </c>
      <c r="AI563" s="37"/>
      <c r="AJ563" s="37"/>
      <c r="AK563" s="15"/>
      <c r="AL563" s="43"/>
      <c r="AM563" s="43"/>
      <c r="AN563" s="25" t="str">
        <f aca="false">IF(AND(ISNUMBER(AM563),ISNUMBER(AL563),AL563&gt;=5),AM563/AL563,"")</f>
        <v/>
      </c>
      <c r="AO563" s="43"/>
      <c r="AP563" s="43"/>
      <c r="AQ563" s="25" t="str">
        <f aca="false">IF(AND(ISNUMBER(AP563),ISNUMBER(AO563),AO563&gt;=5),AP563/AO563,"")</f>
        <v/>
      </c>
      <c r="AR563" s="43"/>
      <c r="AS563" s="43"/>
      <c r="AT563" s="22" t="str">
        <f aca="false">IF(AND(ISNUMBER(AS563),ISNUMBER(AR563),AR563&gt;0),AS563/AR563-1,"")</f>
        <v/>
      </c>
      <c r="AU563" s="44"/>
      <c r="AV563" s="44"/>
      <c r="AW563" s="44"/>
      <c r="AX563" s="44"/>
      <c r="AY563" s="44"/>
      <c r="AZ563" s="45"/>
      <c r="BA563" s="45"/>
      <c r="BB563" s="46"/>
      <c r="BC563" s="46"/>
      <c r="BD563" s="23" t="str">
        <f aca="false">IF(AND(ISNUMBER(BB563),ISNUMBER(BC563),BB563&gt;0),1-BC563/BB563,"")</f>
        <v/>
      </c>
      <c r="BE563" s="47"/>
      <c r="BF563" s="48"/>
      <c r="BG563" s="48"/>
      <c r="BH563" s="27" t="str">
        <f aca="false">IF(AND(ISNUMBER(BF563),ISNUMBER(BG563),BG563&gt;0),BF563/BG563,"")</f>
        <v/>
      </c>
      <c r="BI563" s="48"/>
      <c r="BJ563" s="44"/>
      <c r="BK563" s="46"/>
      <c r="BL563" s="46"/>
      <c r="BM563" s="36" t="str">
        <f aca="false">IF(ISNUMBER(Q563),IF(Q563&lt;0,"YES","no"),"")</f>
        <v>YES</v>
      </c>
      <c r="BN563" s="36" t="str">
        <f aca="false">IFERROR(IF(AND(ISNUMBER(K563),ISNUMBER(INDEX('Lift Inputs'!$H:$H,MATCH(C563,'Lift Inputs'!$C:$C,0)))),IF(K563&lt;INDEX('Lift Inputs'!$H:$H,MATCH(C563,'Lift Inputs'!$C:$C,0)),"YES","no"),""),"")</f>
        <v/>
      </c>
      <c r="BO563" s="44"/>
    </row>
    <row r="564" customFormat="false" ht="15" hidden="false" customHeight="false" outlineLevel="0" collapsed="false">
      <c r="A564" s="15" t="s">
        <v>144</v>
      </c>
      <c r="B564" s="15" t="s">
        <v>148</v>
      </c>
      <c r="C564" s="15" t="n">
        <v>53</v>
      </c>
      <c r="D564" s="15" t="s">
        <v>218</v>
      </c>
      <c r="E564" s="15" t="n">
        <v>40</v>
      </c>
      <c r="F564" s="15" t="s">
        <v>1163</v>
      </c>
      <c r="G564" s="15" t="s">
        <v>1164</v>
      </c>
      <c r="H564" s="15" t="s">
        <v>1165</v>
      </c>
      <c r="I564" s="15" t="s">
        <v>1166</v>
      </c>
      <c r="J564" s="15" t="s">
        <v>178</v>
      </c>
      <c r="K564" s="35" t="n">
        <v>22.97</v>
      </c>
      <c r="L564" s="35"/>
      <c r="M564" s="23" t="str">
        <f aca="false">IF(AND(ISNUMBER(L564),ISNUMBER(K564),K564&gt;0),L564/K564-1,"")</f>
        <v/>
      </c>
      <c r="N564" s="36" t="str">
        <f aca="false">IF(M564="","No List Price",IF(M564&lt;=0,"At/below price",IF(M564&lt;=0.12,"&lt;=12% (STR zone)",IF(M564&lt;=0.25,"12-25%","&gt;25% (likely ignored)"))))</f>
        <v>No List Price</v>
      </c>
      <c r="O564" s="15"/>
      <c r="P564" s="35" t="n">
        <v>29.8233333333333</v>
      </c>
      <c r="Q564" s="22" t="n">
        <f aca="false">IF(AND(ISNUMBER(K564),ISNUMBER(P564),N(P564)&gt;0),K564/P564-1,"")</f>
        <v>-0.229797697552252</v>
      </c>
      <c r="R564" s="15" t="s">
        <v>512</v>
      </c>
      <c r="S564" s="37" t="n">
        <v>71182</v>
      </c>
      <c r="T564" s="37" t="n">
        <v>81</v>
      </c>
      <c r="U564" s="38" t="n">
        <f aca="false">IF(AND(ISNUMBER(K564),ISNUMBER(T564)),K564*T564*52/12,"")</f>
        <v>8062.47</v>
      </c>
      <c r="V564" s="15" t="n">
        <v>4.8</v>
      </c>
      <c r="W564" s="37" t="n">
        <v>267</v>
      </c>
      <c r="X564" s="39" t="n">
        <v>46307</v>
      </c>
      <c r="Y564" s="15" t="n">
        <v>83</v>
      </c>
      <c r="Z564" s="40" t="n">
        <v>45673</v>
      </c>
      <c r="AA564" s="41" t="n">
        <f aca="false">IF(ISNUMBER(Z564),(DATE(2026,10,13)-Z564)/365,"")</f>
        <v>1.73972602739726</v>
      </c>
      <c r="AB564" s="37" t="n">
        <v>673</v>
      </c>
      <c r="AC564" s="15" t="s">
        <v>313</v>
      </c>
      <c r="AD564" s="15" t="n">
        <v>2</v>
      </c>
      <c r="AE564" s="15" t="s">
        <v>331</v>
      </c>
      <c r="AF564" s="42" t="n">
        <v>0</v>
      </c>
      <c r="AG564" s="42" t="n">
        <v>0</v>
      </c>
      <c r="AH564" s="15" t="n">
        <v>88</v>
      </c>
      <c r="AI564" s="37"/>
      <c r="AJ564" s="37"/>
      <c r="AK564" s="15"/>
      <c r="AL564" s="43"/>
      <c r="AM564" s="43"/>
      <c r="AN564" s="25" t="str">
        <f aca="false">IF(AND(ISNUMBER(AM564),ISNUMBER(AL564),AL564&gt;=5),AM564/AL564,"")</f>
        <v/>
      </c>
      <c r="AO564" s="43"/>
      <c r="AP564" s="43"/>
      <c r="AQ564" s="25" t="str">
        <f aca="false">IF(AND(ISNUMBER(AP564),ISNUMBER(AO564),AO564&gt;=5),AP564/AO564,"")</f>
        <v/>
      </c>
      <c r="AR564" s="43"/>
      <c r="AS564" s="43"/>
      <c r="AT564" s="22" t="str">
        <f aca="false">IF(AND(ISNUMBER(AS564),ISNUMBER(AR564),AR564&gt;0),AS564/AR564-1,"")</f>
        <v/>
      </c>
      <c r="AU564" s="44"/>
      <c r="AV564" s="44"/>
      <c r="AW564" s="44"/>
      <c r="AX564" s="44"/>
      <c r="AY564" s="44"/>
      <c r="AZ564" s="45"/>
      <c r="BA564" s="45"/>
      <c r="BB564" s="46"/>
      <c r="BC564" s="46"/>
      <c r="BD564" s="23" t="str">
        <f aca="false">IF(AND(ISNUMBER(BB564),ISNUMBER(BC564),BB564&gt;0),1-BC564/BB564,"")</f>
        <v/>
      </c>
      <c r="BE564" s="47"/>
      <c r="BF564" s="48"/>
      <c r="BG564" s="48"/>
      <c r="BH564" s="27" t="str">
        <f aca="false">IF(AND(ISNUMBER(BF564),ISNUMBER(BG564),BG564&gt;0),BF564/BG564,"")</f>
        <v/>
      </c>
      <c r="BI564" s="48"/>
      <c r="BJ564" s="44"/>
      <c r="BK564" s="46"/>
      <c r="BL564" s="46"/>
      <c r="BM564" s="36" t="str">
        <f aca="false">IF(ISNUMBER(Q564),IF(Q564&lt;0,"YES","no"),"")</f>
        <v>YES</v>
      </c>
      <c r="BN564" s="36" t="str">
        <f aca="false">IFERROR(IF(AND(ISNUMBER(K564),ISNUMBER(INDEX('Lift Inputs'!$H:$H,MATCH(C564,'Lift Inputs'!$C:$C,0)))),IF(K564&lt;INDEX('Lift Inputs'!$H:$H,MATCH(C564,'Lift Inputs'!$C:$C,0)),"YES","no"),""),"")</f>
        <v/>
      </c>
      <c r="BO564" s="44"/>
    </row>
    <row r="565" customFormat="false" ht="15" hidden="false" customHeight="false" outlineLevel="0" collapsed="false">
      <c r="A565" s="15" t="s">
        <v>144</v>
      </c>
      <c r="B565" s="15" t="s">
        <v>148</v>
      </c>
      <c r="C565" s="15" t="n">
        <v>53</v>
      </c>
      <c r="D565" s="15" t="s">
        <v>218</v>
      </c>
      <c r="E565" s="15" t="n">
        <v>37</v>
      </c>
      <c r="F565" s="15" t="s">
        <v>1167</v>
      </c>
      <c r="G565" s="15" t="s">
        <v>1168</v>
      </c>
      <c r="H565" s="15" t="s">
        <v>1169</v>
      </c>
      <c r="I565" s="15" t="s">
        <v>1134</v>
      </c>
      <c r="J565" s="15" t="s">
        <v>178</v>
      </c>
      <c r="K565" s="35" t="n">
        <v>42.99</v>
      </c>
      <c r="L565" s="35"/>
      <c r="M565" s="23" t="str">
        <f aca="false">IF(AND(ISNUMBER(L565),ISNUMBER(K565),K565&gt;0),L565/K565-1,"")</f>
        <v/>
      </c>
      <c r="N565" s="36" t="str">
        <f aca="false">IF(M565="","No List Price",IF(M565&lt;=0,"At/below price",IF(M565&lt;=0.12,"&lt;=12% (STR zone)",IF(M565&lt;=0.25,"12-25%","&gt;25% (likely ignored)"))))</f>
        <v>No List Price</v>
      </c>
      <c r="O565" s="15"/>
      <c r="P565" s="35" t="n">
        <v>29.8233333333333</v>
      </c>
      <c r="Q565" s="22" t="n">
        <f aca="false">IF(AND(ISNUMBER(K565),ISNUMBER(P565),N(P565)&gt;0),K565/P565-1,"")</f>
        <v>0.441488767184531</v>
      </c>
      <c r="R565" s="15" t="s">
        <v>512</v>
      </c>
      <c r="S565" s="37" t="n">
        <v>5171084</v>
      </c>
      <c r="T565" s="37" t="n">
        <v>5</v>
      </c>
      <c r="U565" s="38" t="n">
        <f aca="false">IF(AND(ISNUMBER(K565),ISNUMBER(T565)),K565*T565*52/12,"")</f>
        <v>931.45</v>
      </c>
      <c r="V565" s="15" t="n">
        <v>4.7</v>
      </c>
      <c r="W565" s="37" t="n">
        <v>4</v>
      </c>
      <c r="X565" s="39" t="n">
        <v>46307</v>
      </c>
      <c r="Y565" s="15"/>
      <c r="Z565" s="40"/>
      <c r="AA565" s="41" t="str">
        <f aca="false">IF(ISNUMBER(Z565),(DATE(2026,10,13)-Z565)/365,"")</f>
        <v/>
      </c>
      <c r="AB565" s="37"/>
      <c r="AC565" s="15"/>
      <c r="AD565" s="15"/>
      <c r="AE565" s="15"/>
      <c r="AF565" s="42"/>
      <c r="AG565" s="42"/>
      <c r="AH565" s="15"/>
      <c r="AI565" s="37"/>
      <c r="AJ565" s="37"/>
      <c r="AK565" s="15"/>
      <c r="AL565" s="43"/>
      <c r="AM565" s="43"/>
      <c r="AN565" s="25" t="str">
        <f aca="false">IF(AND(ISNUMBER(AM565),ISNUMBER(AL565),AL565&gt;=5),AM565/AL565,"")</f>
        <v/>
      </c>
      <c r="AO565" s="43"/>
      <c r="AP565" s="43"/>
      <c r="AQ565" s="25" t="str">
        <f aca="false">IF(AND(ISNUMBER(AP565),ISNUMBER(AO565),AO565&gt;=5),AP565/AO565,"")</f>
        <v/>
      </c>
      <c r="AR565" s="43"/>
      <c r="AS565" s="43"/>
      <c r="AT565" s="22" t="str">
        <f aca="false">IF(AND(ISNUMBER(AS565),ISNUMBER(AR565),AR565&gt;0),AS565/AR565-1,"")</f>
        <v/>
      </c>
      <c r="AU565" s="44"/>
      <c r="AV565" s="44"/>
      <c r="AW565" s="44"/>
      <c r="AX565" s="44"/>
      <c r="AY565" s="44"/>
      <c r="AZ565" s="45"/>
      <c r="BA565" s="45"/>
      <c r="BB565" s="46"/>
      <c r="BC565" s="46"/>
      <c r="BD565" s="23" t="str">
        <f aca="false">IF(AND(ISNUMBER(BB565),ISNUMBER(BC565),BB565&gt;0),1-BC565/BB565,"")</f>
        <v/>
      </c>
      <c r="BE565" s="47"/>
      <c r="BF565" s="48"/>
      <c r="BG565" s="48"/>
      <c r="BH565" s="27" t="str">
        <f aca="false">IF(AND(ISNUMBER(BF565),ISNUMBER(BG565),BG565&gt;0),BF565/BG565,"")</f>
        <v/>
      </c>
      <c r="BI565" s="48"/>
      <c r="BJ565" s="44"/>
      <c r="BK565" s="46"/>
      <c r="BL565" s="46"/>
      <c r="BM565" s="36" t="str">
        <f aca="false">IF(ISNUMBER(Q565),IF(Q565&lt;0,"YES","no"),"")</f>
        <v>no</v>
      </c>
      <c r="BN565" s="36" t="str">
        <f aca="false">IFERROR(IF(AND(ISNUMBER(K565),ISNUMBER(INDEX('Lift Inputs'!$H:$H,MATCH(C565,'Lift Inputs'!$C:$C,0)))),IF(K565&lt;INDEX('Lift Inputs'!$H:$H,MATCH(C565,'Lift Inputs'!$C:$C,0)),"YES","no"),""),"")</f>
        <v/>
      </c>
      <c r="BO565" s="44"/>
    </row>
    <row r="566" customFormat="false" ht="15" hidden="false" customHeight="false" outlineLevel="0" collapsed="false">
      <c r="A566" s="15" t="s">
        <v>144</v>
      </c>
      <c r="B566" s="15" t="s">
        <v>151</v>
      </c>
      <c r="C566" s="15" t="n">
        <v>49</v>
      </c>
      <c r="D566" s="15" t="s">
        <v>144</v>
      </c>
      <c r="E566" s="15" t="n">
        <v>245</v>
      </c>
      <c r="F566" s="15" t="s">
        <v>1170</v>
      </c>
      <c r="G566" s="15" t="s">
        <v>1171</v>
      </c>
      <c r="H566" s="15" t="s">
        <v>1172</v>
      </c>
      <c r="I566" s="15" t="s">
        <v>1173</v>
      </c>
      <c r="J566" s="15" t="s">
        <v>176</v>
      </c>
      <c r="K566" s="35" t="n">
        <v>23.99</v>
      </c>
      <c r="L566" s="35"/>
      <c r="M566" s="23" t="str">
        <f aca="false">IF(AND(ISNUMBER(L566),ISNUMBER(K566),K566&gt;0),L566/K566-1,"")</f>
        <v/>
      </c>
      <c r="N566" s="36" t="str">
        <f aca="false">IF(M566="","No List Price",IF(M566&lt;=0,"At/below price",IF(M566&lt;=0.12,"&lt;=12% (STR zone)",IF(M566&lt;=0.25,"12-25%","&gt;25% (likely ignored)"))))</f>
        <v>No List Price</v>
      </c>
      <c r="O566" s="15"/>
      <c r="P566" s="35" t="n">
        <v>21.45</v>
      </c>
      <c r="Q566" s="22" t="n">
        <f aca="false">IF(AND(ISNUMBER(K566),ISNUMBER(P566),N(P566)&gt;0),K566/P566-1,"")</f>
        <v>0.118414918414918</v>
      </c>
      <c r="R566" s="15" t="s">
        <v>512</v>
      </c>
      <c r="S566" s="37" t="n">
        <v>17159</v>
      </c>
      <c r="T566" s="37" t="n">
        <v>81</v>
      </c>
      <c r="U566" s="38" t="n">
        <f aca="false">IF(AND(ISNUMBER(K566),ISNUMBER(T566)),K566*T566*52/12,"")</f>
        <v>8420.49</v>
      </c>
      <c r="V566" s="15" t="n">
        <v>4.6</v>
      </c>
      <c r="W566" s="37" t="n">
        <v>13408</v>
      </c>
      <c r="X566" s="39" t="n">
        <v>46307</v>
      </c>
      <c r="Y566" s="15" t="n">
        <v>38</v>
      </c>
      <c r="Z566" s="40" t="n">
        <v>43290</v>
      </c>
      <c r="AA566" s="41" t="n">
        <f aca="false">IF(ISNUMBER(Z566),(DATE(2026,10,13)-Z566)/365,"")</f>
        <v>8.26849315068493</v>
      </c>
      <c r="AB566" s="37" t="n">
        <v>2472</v>
      </c>
      <c r="AC566" s="15" t="s">
        <v>313</v>
      </c>
      <c r="AD566" s="15" t="n">
        <v>4</v>
      </c>
      <c r="AE566" s="15" t="s">
        <v>314</v>
      </c>
      <c r="AF566" s="42" t="n">
        <v>0.00612244897959184</v>
      </c>
      <c r="AG566" s="42" t="n">
        <v>0.000449709038252251</v>
      </c>
      <c r="AH566" s="15" t="n">
        <v>240</v>
      </c>
      <c r="AI566" s="37"/>
      <c r="AJ566" s="37"/>
      <c r="AK566" s="15"/>
      <c r="AL566" s="43"/>
      <c r="AM566" s="43"/>
      <c r="AN566" s="25" t="str">
        <f aca="false">IF(AND(ISNUMBER(AM566),ISNUMBER(AL566),AL566&gt;=5),AM566/AL566,"")</f>
        <v/>
      </c>
      <c r="AO566" s="43"/>
      <c r="AP566" s="43"/>
      <c r="AQ566" s="25" t="str">
        <f aca="false">IF(AND(ISNUMBER(AP566),ISNUMBER(AO566),AO566&gt;=5),AP566/AO566,"")</f>
        <v/>
      </c>
      <c r="AR566" s="43"/>
      <c r="AS566" s="43"/>
      <c r="AT566" s="22" t="str">
        <f aca="false">IF(AND(ISNUMBER(AS566),ISNUMBER(AR566),AR566&gt;0),AS566/AR566-1,"")</f>
        <v/>
      </c>
      <c r="AU566" s="44"/>
      <c r="AV566" s="44"/>
      <c r="AW566" s="44"/>
      <c r="AX566" s="44"/>
      <c r="AY566" s="44"/>
      <c r="AZ566" s="45"/>
      <c r="BA566" s="45"/>
      <c r="BB566" s="46"/>
      <c r="BC566" s="46"/>
      <c r="BD566" s="23" t="str">
        <f aca="false">IF(AND(ISNUMBER(BB566),ISNUMBER(BC566),BB566&gt;0),1-BC566/BB566,"")</f>
        <v/>
      </c>
      <c r="BE566" s="47"/>
      <c r="BF566" s="48"/>
      <c r="BG566" s="48"/>
      <c r="BH566" s="27" t="str">
        <f aca="false">IF(AND(ISNUMBER(BF566),ISNUMBER(BG566),BG566&gt;0),BF566/BG566,"")</f>
        <v/>
      </c>
      <c r="BI566" s="48"/>
      <c r="BJ566" s="44"/>
      <c r="BK566" s="46"/>
      <c r="BL566" s="46"/>
      <c r="BM566" s="36" t="str">
        <f aca="false">IF(ISNUMBER(Q566),IF(Q566&lt;0,"YES","no"),"")</f>
        <v>no</v>
      </c>
      <c r="BN566" s="36" t="str">
        <f aca="false">IFERROR(IF(AND(ISNUMBER(K566),ISNUMBER(INDEX('Lift Inputs'!$H:$H,MATCH(C566,'Lift Inputs'!$C:$C,0)))),IF(K566&lt;INDEX('Lift Inputs'!$H:$H,MATCH(C566,'Lift Inputs'!$C:$C,0)),"YES","no"),""),"")</f>
        <v/>
      </c>
      <c r="BO566" s="44"/>
    </row>
    <row r="567" customFormat="false" ht="15" hidden="false" customHeight="false" outlineLevel="0" collapsed="false">
      <c r="A567" s="15" t="s">
        <v>144</v>
      </c>
      <c r="B567" s="15" t="s">
        <v>151</v>
      </c>
      <c r="C567" s="15" t="n">
        <v>49</v>
      </c>
      <c r="D567" s="15" t="s">
        <v>144</v>
      </c>
      <c r="E567" s="15" t="n">
        <v>246</v>
      </c>
      <c r="F567" s="15" t="s">
        <v>1174</v>
      </c>
      <c r="G567" s="15" t="s">
        <v>1175</v>
      </c>
      <c r="H567" s="15" t="s">
        <v>1176</v>
      </c>
      <c r="I567" s="15" t="s">
        <v>1177</v>
      </c>
      <c r="J567" s="15" t="s">
        <v>176</v>
      </c>
      <c r="K567" s="35" t="n">
        <v>19.99</v>
      </c>
      <c r="L567" s="35" t="n">
        <v>19.99</v>
      </c>
      <c r="M567" s="23" t="n">
        <f aca="false">IF(AND(ISNUMBER(L567),ISNUMBER(K567),K567&gt;0),L567/K567-1,"")</f>
        <v>0</v>
      </c>
      <c r="N567" s="36" t="str">
        <f aca="false">IF(M567="","No List Price",IF(M567&lt;=0,"At/below price",IF(M567&lt;=0.12,"&lt;=12% (STR zone)",IF(M567&lt;=0.25,"12-25%","&gt;25% (likely ignored)"))))</f>
        <v>At/below price</v>
      </c>
      <c r="O567" s="15"/>
      <c r="P567" s="35" t="n">
        <v>21.45</v>
      </c>
      <c r="Q567" s="22" t="n">
        <f aca="false">IF(AND(ISNUMBER(K567),ISNUMBER(P567),N(P567)&gt;0),K567/P567-1,"")</f>
        <v>-0.0680652680652681</v>
      </c>
      <c r="R567" s="15" t="s">
        <v>512</v>
      </c>
      <c r="S567" s="37" t="n">
        <v>356269</v>
      </c>
      <c r="T567" s="37" t="n">
        <v>5</v>
      </c>
      <c r="U567" s="38" t="n">
        <f aca="false">IF(AND(ISNUMBER(K567),ISNUMBER(T567)),K567*T567*52/12,"")</f>
        <v>433.116666666667</v>
      </c>
      <c r="V567" s="15" t="n">
        <v>4.5</v>
      </c>
      <c r="W567" s="37" t="n">
        <v>2252</v>
      </c>
      <c r="X567" s="39" t="n">
        <v>46307</v>
      </c>
      <c r="Y567" s="15"/>
      <c r="Z567" s="40"/>
      <c r="AA567" s="41" t="str">
        <f aca="false">IF(ISNUMBER(Z567),(DATE(2026,10,13)-Z567)/365,"")</f>
        <v/>
      </c>
      <c r="AB567" s="37"/>
      <c r="AC567" s="15"/>
      <c r="AD567" s="15"/>
      <c r="AE567" s="15"/>
      <c r="AF567" s="42"/>
      <c r="AG567" s="42"/>
      <c r="AH567" s="15"/>
      <c r="AI567" s="37"/>
      <c r="AJ567" s="37"/>
      <c r="AK567" s="15"/>
      <c r="AL567" s="43"/>
      <c r="AM567" s="43"/>
      <c r="AN567" s="25" t="str">
        <f aca="false">IF(AND(ISNUMBER(AM567),ISNUMBER(AL567),AL567&gt;=5),AM567/AL567,"")</f>
        <v/>
      </c>
      <c r="AO567" s="43"/>
      <c r="AP567" s="43"/>
      <c r="AQ567" s="25" t="str">
        <f aca="false">IF(AND(ISNUMBER(AP567),ISNUMBER(AO567),AO567&gt;=5),AP567/AO567,"")</f>
        <v/>
      </c>
      <c r="AR567" s="43"/>
      <c r="AS567" s="43"/>
      <c r="AT567" s="22" t="str">
        <f aca="false">IF(AND(ISNUMBER(AS567),ISNUMBER(AR567),AR567&gt;0),AS567/AR567-1,"")</f>
        <v/>
      </c>
      <c r="AU567" s="44"/>
      <c r="AV567" s="44"/>
      <c r="AW567" s="44"/>
      <c r="AX567" s="44"/>
      <c r="AY567" s="44"/>
      <c r="AZ567" s="45"/>
      <c r="BA567" s="45"/>
      <c r="BB567" s="46"/>
      <c r="BC567" s="46"/>
      <c r="BD567" s="23" t="str">
        <f aca="false">IF(AND(ISNUMBER(BB567),ISNUMBER(BC567),BB567&gt;0),1-BC567/BB567,"")</f>
        <v/>
      </c>
      <c r="BE567" s="47"/>
      <c r="BF567" s="48"/>
      <c r="BG567" s="48"/>
      <c r="BH567" s="27" t="str">
        <f aca="false">IF(AND(ISNUMBER(BF567),ISNUMBER(BG567),BG567&gt;0),BF567/BG567,"")</f>
        <v/>
      </c>
      <c r="BI567" s="48"/>
      <c r="BJ567" s="44"/>
      <c r="BK567" s="46"/>
      <c r="BL567" s="46"/>
      <c r="BM567" s="36" t="str">
        <f aca="false">IF(ISNUMBER(Q567),IF(Q567&lt;0,"YES","no"),"")</f>
        <v>YES</v>
      </c>
      <c r="BN567" s="36" t="str">
        <f aca="false">IFERROR(IF(AND(ISNUMBER(K567),ISNUMBER(INDEX('Lift Inputs'!$H:$H,MATCH(C567,'Lift Inputs'!$C:$C,0)))),IF(K567&lt;INDEX('Lift Inputs'!$H:$H,MATCH(C567,'Lift Inputs'!$C:$C,0)),"YES","no"),""),"")</f>
        <v/>
      </c>
      <c r="BO567" s="44"/>
    </row>
    <row r="568" customFormat="false" ht="15" hidden="false" customHeight="false" outlineLevel="0" collapsed="false">
      <c r="A568" s="15" t="s">
        <v>144</v>
      </c>
      <c r="B568" s="15" t="s">
        <v>151</v>
      </c>
      <c r="C568" s="15" t="n">
        <v>49</v>
      </c>
      <c r="D568" s="15" t="s">
        <v>144</v>
      </c>
      <c r="E568" s="15" t="n">
        <v>1717</v>
      </c>
      <c r="F568" s="15" t="s">
        <v>1178</v>
      </c>
      <c r="G568" s="15" t="s">
        <v>1179</v>
      </c>
      <c r="H568" s="15" t="s">
        <v>1180</v>
      </c>
      <c r="I568" s="15" t="s">
        <v>1177</v>
      </c>
      <c r="J568" s="15" t="s">
        <v>176</v>
      </c>
      <c r="K568" s="35" t="n">
        <v>13.99</v>
      </c>
      <c r="L568" s="35" t="n">
        <v>17.99</v>
      </c>
      <c r="M568" s="23" t="n">
        <f aca="false">IF(AND(ISNUMBER(L568),ISNUMBER(K568),K568&gt;0),L568/K568-1,"")</f>
        <v>0.285918513223731</v>
      </c>
      <c r="N568" s="36" t="str">
        <f aca="false">IF(M568="","No List Price",IF(M568&lt;=0,"At/below price",IF(M568&lt;=0.12,"&lt;=12% (STR zone)",IF(M568&lt;=0.25,"12-25%","&gt;25% (likely ignored)"))))</f>
        <v>&gt;25% (likely ignored)</v>
      </c>
      <c r="O568" s="15"/>
      <c r="P568" s="35" t="n">
        <v>21.45</v>
      </c>
      <c r="Q568" s="22" t="n">
        <f aca="false">IF(AND(ISNUMBER(K568),ISNUMBER(P568),N(P568)&gt;0),K568/P568-1,"")</f>
        <v>-0.347785547785548</v>
      </c>
      <c r="R568" s="15" t="s">
        <v>512</v>
      </c>
      <c r="S568" s="37" t="n">
        <v>408785</v>
      </c>
      <c r="T568" s="37" t="n">
        <v>5</v>
      </c>
      <c r="U568" s="38" t="n">
        <f aca="false">IF(AND(ISNUMBER(K568),ISNUMBER(T568)),K568*T568*52/12,"")</f>
        <v>303.116666666667</v>
      </c>
      <c r="V568" s="15" t="n">
        <v>4.6</v>
      </c>
      <c r="W568" s="37" t="n">
        <v>1901</v>
      </c>
      <c r="X568" s="39" t="n">
        <v>46307</v>
      </c>
      <c r="Y568" s="15"/>
      <c r="Z568" s="40"/>
      <c r="AA568" s="41" t="str">
        <f aca="false">IF(ISNUMBER(Z568),(DATE(2026,10,13)-Z568)/365,"")</f>
        <v/>
      </c>
      <c r="AB568" s="37"/>
      <c r="AC568" s="15"/>
      <c r="AD568" s="15"/>
      <c r="AE568" s="15"/>
      <c r="AF568" s="42"/>
      <c r="AG568" s="42"/>
      <c r="AH568" s="15"/>
      <c r="AI568" s="37"/>
      <c r="AJ568" s="37"/>
      <c r="AK568" s="15"/>
      <c r="AL568" s="43"/>
      <c r="AM568" s="43"/>
      <c r="AN568" s="25" t="str">
        <f aca="false">IF(AND(ISNUMBER(AM568),ISNUMBER(AL568),AL568&gt;=5),AM568/AL568,"")</f>
        <v/>
      </c>
      <c r="AO568" s="43"/>
      <c r="AP568" s="43"/>
      <c r="AQ568" s="25" t="str">
        <f aca="false">IF(AND(ISNUMBER(AP568),ISNUMBER(AO568),AO568&gt;=5),AP568/AO568,"")</f>
        <v/>
      </c>
      <c r="AR568" s="43"/>
      <c r="AS568" s="43"/>
      <c r="AT568" s="22" t="str">
        <f aca="false">IF(AND(ISNUMBER(AS568),ISNUMBER(AR568),AR568&gt;0),AS568/AR568-1,"")</f>
        <v/>
      </c>
      <c r="AU568" s="44"/>
      <c r="AV568" s="44"/>
      <c r="AW568" s="44"/>
      <c r="AX568" s="44"/>
      <c r="AY568" s="44"/>
      <c r="AZ568" s="45"/>
      <c r="BA568" s="45"/>
      <c r="BB568" s="46"/>
      <c r="BC568" s="46"/>
      <c r="BD568" s="23" t="str">
        <f aca="false">IF(AND(ISNUMBER(BB568),ISNUMBER(BC568),BB568&gt;0),1-BC568/BB568,"")</f>
        <v/>
      </c>
      <c r="BE568" s="47"/>
      <c r="BF568" s="48"/>
      <c r="BG568" s="48"/>
      <c r="BH568" s="27" t="str">
        <f aca="false">IF(AND(ISNUMBER(BF568),ISNUMBER(BG568),BG568&gt;0),BF568/BG568,"")</f>
        <v/>
      </c>
      <c r="BI568" s="48"/>
      <c r="BJ568" s="44"/>
      <c r="BK568" s="46"/>
      <c r="BL568" s="46"/>
      <c r="BM568" s="36" t="str">
        <f aca="false">IF(ISNUMBER(Q568),IF(Q568&lt;0,"YES","no"),"")</f>
        <v>YES</v>
      </c>
      <c r="BN568" s="36" t="str">
        <f aca="false">IFERROR(IF(AND(ISNUMBER(K568),ISNUMBER(INDEX('Lift Inputs'!$H:$H,MATCH(C568,'Lift Inputs'!$C:$C,0)))),IF(K568&lt;INDEX('Lift Inputs'!$H:$H,MATCH(C568,'Lift Inputs'!$C:$C,0)),"YES","no"),""),"")</f>
        <v/>
      </c>
      <c r="BO568" s="44"/>
    </row>
    <row r="569" customFormat="false" ht="15" hidden="false" customHeight="false" outlineLevel="0" collapsed="false">
      <c r="A569" s="15" t="s">
        <v>144</v>
      </c>
      <c r="B569" s="15" t="s">
        <v>151</v>
      </c>
      <c r="C569" s="15" t="n">
        <v>49</v>
      </c>
      <c r="D569" s="15" t="s">
        <v>144</v>
      </c>
      <c r="E569" s="15" t="n">
        <v>252</v>
      </c>
      <c r="F569" s="15" t="s">
        <v>1181</v>
      </c>
      <c r="G569" s="15" t="s">
        <v>1182</v>
      </c>
      <c r="H569" s="15" t="s">
        <v>1183</v>
      </c>
      <c r="I569" s="15" t="s">
        <v>1184</v>
      </c>
      <c r="J569" s="15" t="s">
        <v>176</v>
      </c>
      <c r="K569" s="35" t="n">
        <v>7.99</v>
      </c>
      <c r="L569" s="35"/>
      <c r="M569" s="23" t="str">
        <f aca="false">IF(AND(ISNUMBER(L569),ISNUMBER(K569),K569&gt;0),L569/K569-1,"")</f>
        <v/>
      </c>
      <c r="N569" s="36" t="str">
        <f aca="false">IF(M569="","No List Price",IF(M569&lt;=0,"At/below price",IF(M569&lt;=0.12,"&lt;=12% (STR zone)",IF(M569&lt;=0.25,"12-25%","&gt;25% (likely ignored)"))))</f>
        <v>No List Price</v>
      </c>
      <c r="O569" s="15"/>
      <c r="P569" s="35" t="n">
        <v>21.45</v>
      </c>
      <c r="Q569" s="22" t="n">
        <f aca="false">IF(AND(ISNUMBER(K569),ISNUMBER(P569),N(P569)&gt;0),K569/P569-1,"")</f>
        <v>-0.627505827505828</v>
      </c>
      <c r="R569" s="15" t="s">
        <v>512</v>
      </c>
      <c r="S569" s="37" t="n">
        <v>1066252</v>
      </c>
      <c r="T569" s="37" t="n">
        <v>5</v>
      </c>
      <c r="U569" s="38" t="n">
        <f aca="false">IF(AND(ISNUMBER(K569),ISNUMBER(T569)),K569*T569*52/12,"")</f>
        <v>173.116666666667</v>
      </c>
      <c r="V569" s="15" t="n">
        <v>4.5</v>
      </c>
      <c r="W569" s="37" t="n">
        <v>4592</v>
      </c>
      <c r="X569" s="39" t="n">
        <v>46307</v>
      </c>
      <c r="Y569" s="15" t="n">
        <v>7</v>
      </c>
      <c r="Z569" s="40" t="n">
        <v>45642</v>
      </c>
      <c r="AA569" s="41" t="n">
        <f aca="false">IF(ISNUMBER(Z569),(DATE(2026,10,13)-Z569)/365,"")</f>
        <v>1.82465753424658</v>
      </c>
      <c r="AB569" s="37" t="n">
        <v>19</v>
      </c>
      <c r="AC569" s="15" t="s">
        <v>465</v>
      </c>
      <c r="AD569" s="15" t="n">
        <v>0</v>
      </c>
      <c r="AE569" s="15" t="s">
        <v>466</v>
      </c>
      <c r="AF569" s="42" t="n">
        <v>0</v>
      </c>
      <c r="AG569" s="42" t="n">
        <v>0</v>
      </c>
      <c r="AH569" s="15" t="n">
        <v>0</v>
      </c>
      <c r="AI569" s="37"/>
      <c r="AJ569" s="37"/>
      <c r="AK569" s="15"/>
      <c r="AL569" s="43"/>
      <c r="AM569" s="43"/>
      <c r="AN569" s="25" t="str">
        <f aca="false">IF(AND(ISNUMBER(AM569),ISNUMBER(AL569),AL569&gt;=5),AM569/AL569,"")</f>
        <v/>
      </c>
      <c r="AO569" s="43"/>
      <c r="AP569" s="43"/>
      <c r="AQ569" s="25" t="str">
        <f aca="false">IF(AND(ISNUMBER(AP569),ISNUMBER(AO569),AO569&gt;=5),AP569/AO569,"")</f>
        <v/>
      </c>
      <c r="AR569" s="43"/>
      <c r="AS569" s="43"/>
      <c r="AT569" s="22" t="str">
        <f aca="false">IF(AND(ISNUMBER(AS569),ISNUMBER(AR569),AR569&gt;0),AS569/AR569-1,"")</f>
        <v/>
      </c>
      <c r="AU569" s="44"/>
      <c r="AV569" s="44"/>
      <c r="AW569" s="44"/>
      <c r="AX569" s="44"/>
      <c r="AY569" s="44"/>
      <c r="AZ569" s="45"/>
      <c r="BA569" s="45"/>
      <c r="BB569" s="46"/>
      <c r="BC569" s="46"/>
      <c r="BD569" s="23" t="str">
        <f aca="false">IF(AND(ISNUMBER(BB569),ISNUMBER(BC569),BB569&gt;0),1-BC569/BB569,"")</f>
        <v/>
      </c>
      <c r="BE569" s="47"/>
      <c r="BF569" s="48"/>
      <c r="BG569" s="48"/>
      <c r="BH569" s="27" t="str">
        <f aca="false">IF(AND(ISNUMBER(BF569),ISNUMBER(BG569),BG569&gt;0),BF569/BG569,"")</f>
        <v/>
      </c>
      <c r="BI569" s="48"/>
      <c r="BJ569" s="44"/>
      <c r="BK569" s="46"/>
      <c r="BL569" s="46"/>
      <c r="BM569" s="36" t="str">
        <f aca="false">IF(ISNUMBER(Q569),IF(Q569&lt;0,"YES","no"),"")</f>
        <v>YES</v>
      </c>
      <c r="BN569" s="36" t="str">
        <f aca="false">IFERROR(IF(AND(ISNUMBER(K569),ISNUMBER(INDEX('Lift Inputs'!$H:$H,MATCH(C569,'Lift Inputs'!$C:$C,0)))),IF(K569&lt;INDEX('Lift Inputs'!$H:$H,MATCH(C569,'Lift Inputs'!$C:$C,0)),"YES","no"),""),"")</f>
        <v/>
      </c>
      <c r="BO569" s="44"/>
    </row>
    <row r="570" customFormat="false" ht="15" hidden="false" customHeight="false" outlineLevel="0" collapsed="false">
      <c r="A570" s="15" t="s">
        <v>144</v>
      </c>
      <c r="B570" s="15" t="s">
        <v>151</v>
      </c>
      <c r="C570" s="15" t="n">
        <v>49</v>
      </c>
      <c r="D570" s="15" t="s">
        <v>144</v>
      </c>
      <c r="E570" s="15" t="n">
        <v>1713</v>
      </c>
      <c r="F570" s="15" t="s">
        <v>1185</v>
      </c>
      <c r="G570" s="15" t="s">
        <v>1186</v>
      </c>
      <c r="H570" s="15" t="s">
        <v>1187</v>
      </c>
      <c r="I570" s="15" t="s">
        <v>1177</v>
      </c>
      <c r="J570" s="15" t="s">
        <v>177</v>
      </c>
      <c r="K570" s="35" t="n">
        <v>19.99</v>
      </c>
      <c r="L570" s="35"/>
      <c r="M570" s="23" t="str">
        <f aca="false">IF(AND(ISNUMBER(L570),ISNUMBER(K570),K570&gt;0),L570/K570-1,"")</f>
        <v/>
      </c>
      <c r="N570" s="36" t="str">
        <f aca="false">IF(M570="","No List Price",IF(M570&lt;=0,"At/below price",IF(M570&lt;=0.12,"&lt;=12% (STR zone)",IF(M570&lt;=0.25,"12-25%","&gt;25% (likely ignored)"))))</f>
        <v>No List Price</v>
      </c>
      <c r="O570" s="15"/>
      <c r="P570" s="35" t="n">
        <v>21.45</v>
      </c>
      <c r="Q570" s="22" t="n">
        <f aca="false">IF(AND(ISNUMBER(K570),ISNUMBER(P570),N(P570)&gt;0),K570/P570-1,"")</f>
        <v>-0.0680652680652681</v>
      </c>
      <c r="R570" s="15" t="s">
        <v>512</v>
      </c>
      <c r="S570" s="37" t="n">
        <v>258092</v>
      </c>
      <c r="T570" s="37" t="n">
        <v>5</v>
      </c>
      <c r="U570" s="38" t="n">
        <f aca="false">IF(AND(ISNUMBER(K570),ISNUMBER(T570)),K570*T570*52/12,"")</f>
        <v>433.116666666667</v>
      </c>
      <c r="V570" s="15" t="n">
        <v>4.5</v>
      </c>
      <c r="W570" s="37" t="n">
        <v>444</v>
      </c>
      <c r="X570" s="39" t="n">
        <v>46307</v>
      </c>
      <c r="Y570" s="15"/>
      <c r="Z570" s="40"/>
      <c r="AA570" s="41" t="str">
        <f aca="false">IF(ISNUMBER(Z570),(DATE(2026,10,13)-Z570)/365,"")</f>
        <v/>
      </c>
      <c r="AB570" s="37"/>
      <c r="AC570" s="15"/>
      <c r="AD570" s="15"/>
      <c r="AE570" s="15"/>
      <c r="AF570" s="42"/>
      <c r="AG570" s="42"/>
      <c r="AH570" s="15"/>
      <c r="AI570" s="37"/>
      <c r="AJ570" s="37"/>
      <c r="AK570" s="15"/>
      <c r="AL570" s="43"/>
      <c r="AM570" s="43"/>
      <c r="AN570" s="25" t="str">
        <f aca="false">IF(AND(ISNUMBER(AM570),ISNUMBER(AL570),AL570&gt;=5),AM570/AL570,"")</f>
        <v/>
      </c>
      <c r="AO570" s="43"/>
      <c r="AP570" s="43"/>
      <c r="AQ570" s="25" t="str">
        <f aca="false">IF(AND(ISNUMBER(AP570),ISNUMBER(AO570),AO570&gt;=5),AP570/AO570,"")</f>
        <v/>
      </c>
      <c r="AR570" s="43"/>
      <c r="AS570" s="43"/>
      <c r="AT570" s="22" t="str">
        <f aca="false">IF(AND(ISNUMBER(AS570),ISNUMBER(AR570),AR570&gt;0),AS570/AR570-1,"")</f>
        <v/>
      </c>
      <c r="AU570" s="44"/>
      <c r="AV570" s="44"/>
      <c r="AW570" s="44"/>
      <c r="AX570" s="44"/>
      <c r="AY570" s="44"/>
      <c r="AZ570" s="45"/>
      <c r="BA570" s="45"/>
      <c r="BB570" s="46"/>
      <c r="BC570" s="46"/>
      <c r="BD570" s="23" t="str">
        <f aca="false">IF(AND(ISNUMBER(BB570),ISNUMBER(BC570),BB570&gt;0),1-BC570/BB570,"")</f>
        <v/>
      </c>
      <c r="BE570" s="47"/>
      <c r="BF570" s="48"/>
      <c r="BG570" s="48"/>
      <c r="BH570" s="27" t="str">
        <f aca="false">IF(AND(ISNUMBER(BF570),ISNUMBER(BG570),BG570&gt;0),BF570/BG570,"")</f>
        <v/>
      </c>
      <c r="BI570" s="48"/>
      <c r="BJ570" s="44"/>
      <c r="BK570" s="46"/>
      <c r="BL570" s="46"/>
      <c r="BM570" s="36" t="str">
        <f aca="false">IF(ISNUMBER(Q570),IF(Q570&lt;0,"YES","no"),"")</f>
        <v>YES</v>
      </c>
      <c r="BN570" s="36" t="str">
        <f aca="false">IFERROR(IF(AND(ISNUMBER(K570),ISNUMBER(INDEX('Lift Inputs'!$H:$H,MATCH(C570,'Lift Inputs'!$C:$C,0)))),IF(K570&lt;INDEX('Lift Inputs'!$H:$H,MATCH(C570,'Lift Inputs'!$C:$C,0)),"YES","no"),""),"")</f>
        <v/>
      </c>
      <c r="BO570" s="44"/>
    </row>
    <row r="571" customFormat="false" ht="15" hidden="false" customHeight="false" outlineLevel="0" collapsed="false">
      <c r="A571" s="15" t="s">
        <v>144</v>
      </c>
      <c r="B571" s="15" t="s">
        <v>151</v>
      </c>
      <c r="C571" s="15" t="n">
        <v>49</v>
      </c>
      <c r="D571" s="15" t="s">
        <v>144</v>
      </c>
      <c r="E571" s="15" t="n">
        <v>249</v>
      </c>
      <c r="F571" s="15" t="s">
        <v>1188</v>
      </c>
      <c r="G571" s="15" t="s">
        <v>1189</v>
      </c>
      <c r="H571" s="15" t="s">
        <v>1190</v>
      </c>
      <c r="I571" s="15" t="s">
        <v>1191</v>
      </c>
      <c r="J571" s="15" t="s">
        <v>177</v>
      </c>
      <c r="K571" s="35" t="n">
        <v>14.99</v>
      </c>
      <c r="L571" s="35"/>
      <c r="M571" s="23" t="str">
        <f aca="false">IF(AND(ISNUMBER(L571),ISNUMBER(K571),K571&gt;0),L571/K571-1,"")</f>
        <v/>
      </c>
      <c r="N571" s="36" t="str">
        <f aca="false">IF(M571="","No List Price",IF(M571&lt;=0,"At/below price",IF(M571&lt;=0.12,"&lt;=12% (STR zone)",IF(M571&lt;=0.25,"12-25%","&gt;25% (likely ignored)"))))</f>
        <v>No List Price</v>
      </c>
      <c r="O571" s="15"/>
      <c r="P571" s="35" t="n">
        <v>21.45</v>
      </c>
      <c r="Q571" s="22" t="n">
        <f aca="false">IF(AND(ISNUMBER(K571),ISNUMBER(P571),N(P571)&gt;0),K571/P571-1,"")</f>
        <v>-0.301165501165501</v>
      </c>
      <c r="R571" s="15" t="s">
        <v>512</v>
      </c>
      <c r="S571" s="37" t="n">
        <v>1836471</v>
      </c>
      <c r="T571" s="37" t="n">
        <v>5</v>
      </c>
      <c r="U571" s="38" t="n">
        <f aca="false">IF(AND(ISNUMBER(K571),ISNUMBER(T571)),K571*T571*52/12,"")</f>
        <v>324.783333333333</v>
      </c>
      <c r="V571" s="15" t="n">
        <v>4.4</v>
      </c>
      <c r="W571" s="37" t="n">
        <v>120</v>
      </c>
      <c r="X571" s="39" t="n">
        <v>46307</v>
      </c>
      <c r="Y571" s="15" t="n">
        <v>1</v>
      </c>
      <c r="Z571" s="40" t="n">
        <v>45038</v>
      </c>
      <c r="AA571" s="41" t="n">
        <f aca="false">IF(ISNUMBER(Z571),(DATE(2026,10,13)-Z571)/365,"")</f>
        <v>3.47945205479452</v>
      </c>
      <c r="AB571" s="37" t="n">
        <v>9</v>
      </c>
      <c r="AC571" s="15" t="s">
        <v>465</v>
      </c>
      <c r="AD571" s="15" t="n">
        <v>0</v>
      </c>
      <c r="AE571" s="15" t="s">
        <v>466</v>
      </c>
      <c r="AF571" s="42" t="n">
        <v>0</v>
      </c>
      <c r="AG571" s="42" t="n">
        <v>0</v>
      </c>
      <c r="AH571" s="15" t="n">
        <v>0</v>
      </c>
      <c r="AI571" s="37"/>
      <c r="AJ571" s="37"/>
      <c r="AK571" s="15"/>
      <c r="AL571" s="43"/>
      <c r="AM571" s="43"/>
      <c r="AN571" s="25" t="str">
        <f aca="false">IF(AND(ISNUMBER(AM571),ISNUMBER(AL571),AL571&gt;=5),AM571/AL571,"")</f>
        <v/>
      </c>
      <c r="AO571" s="43"/>
      <c r="AP571" s="43"/>
      <c r="AQ571" s="25" t="str">
        <f aca="false">IF(AND(ISNUMBER(AP571),ISNUMBER(AO571),AO571&gt;=5),AP571/AO571,"")</f>
        <v/>
      </c>
      <c r="AR571" s="43"/>
      <c r="AS571" s="43"/>
      <c r="AT571" s="22" t="str">
        <f aca="false">IF(AND(ISNUMBER(AS571),ISNUMBER(AR571),AR571&gt;0),AS571/AR571-1,"")</f>
        <v/>
      </c>
      <c r="AU571" s="44"/>
      <c r="AV571" s="44"/>
      <c r="AW571" s="44"/>
      <c r="AX571" s="44"/>
      <c r="AY571" s="44"/>
      <c r="AZ571" s="45"/>
      <c r="BA571" s="45"/>
      <c r="BB571" s="46"/>
      <c r="BC571" s="46"/>
      <c r="BD571" s="23" t="str">
        <f aca="false">IF(AND(ISNUMBER(BB571),ISNUMBER(BC571),BB571&gt;0),1-BC571/BB571,"")</f>
        <v/>
      </c>
      <c r="BE571" s="47"/>
      <c r="BF571" s="48"/>
      <c r="BG571" s="48"/>
      <c r="BH571" s="27" t="str">
        <f aca="false">IF(AND(ISNUMBER(BF571),ISNUMBER(BG571),BG571&gt;0),BF571/BG571,"")</f>
        <v/>
      </c>
      <c r="BI571" s="48"/>
      <c r="BJ571" s="44"/>
      <c r="BK571" s="46"/>
      <c r="BL571" s="46"/>
      <c r="BM571" s="36" t="str">
        <f aca="false">IF(ISNUMBER(Q571),IF(Q571&lt;0,"YES","no"),"")</f>
        <v>YES</v>
      </c>
      <c r="BN571" s="36" t="str">
        <f aca="false">IFERROR(IF(AND(ISNUMBER(K571),ISNUMBER(INDEX('Lift Inputs'!$H:$H,MATCH(C571,'Lift Inputs'!$C:$C,0)))),IF(K571&lt;INDEX('Lift Inputs'!$H:$H,MATCH(C571,'Lift Inputs'!$C:$C,0)),"YES","no"),""),"")</f>
        <v/>
      </c>
      <c r="BO571" s="44"/>
    </row>
    <row r="572" customFormat="false" ht="15" hidden="false" customHeight="false" outlineLevel="0" collapsed="false">
      <c r="A572" s="15" t="s">
        <v>144</v>
      </c>
      <c r="B572" s="15" t="s">
        <v>151</v>
      </c>
      <c r="C572" s="15" t="n">
        <v>49</v>
      </c>
      <c r="D572" s="15" t="s">
        <v>144</v>
      </c>
      <c r="E572" s="15" t="n">
        <v>1714</v>
      </c>
      <c r="F572" s="15" t="s">
        <v>1192</v>
      </c>
      <c r="G572" s="15" t="s">
        <v>1193</v>
      </c>
      <c r="H572" s="15" t="s">
        <v>1194</v>
      </c>
      <c r="I572" s="15" t="s">
        <v>1195</v>
      </c>
      <c r="J572" s="15" t="s">
        <v>177</v>
      </c>
      <c r="K572" s="35" t="n">
        <v>14.99</v>
      </c>
      <c r="L572" s="35"/>
      <c r="M572" s="23" t="str">
        <f aca="false">IF(AND(ISNUMBER(L572),ISNUMBER(K572),K572&gt;0),L572/K572-1,"")</f>
        <v/>
      </c>
      <c r="N572" s="36" t="str">
        <f aca="false">IF(M572="","No List Price",IF(M572&lt;=0,"At/below price",IF(M572&lt;=0.12,"&lt;=12% (STR zone)",IF(M572&lt;=0.25,"12-25%","&gt;25% (likely ignored)"))))</f>
        <v>No List Price</v>
      </c>
      <c r="O572" s="15"/>
      <c r="P572" s="35" t="n">
        <v>21.45</v>
      </c>
      <c r="Q572" s="22" t="n">
        <f aca="false">IF(AND(ISNUMBER(K572),ISNUMBER(P572),N(P572)&gt;0),K572/P572-1,"")</f>
        <v>-0.301165501165501</v>
      </c>
      <c r="R572" s="15" t="s">
        <v>512</v>
      </c>
      <c r="S572" s="37" t="n">
        <v>843146</v>
      </c>
      <c r="T572" s="37" t="n">
        <v>5</v>
      </c>
      <c r="U572" s="38" t="n">
        <f aca="false">IF(AND(ISNUMBER(K572),ISNUMBER(T572)),K572*T572*52/12,"")</f>
        <v>324.783333333333</v>
      </c>
      <c r="V572" s="15" t="n">
        <v>4.4</v>
      </c>
      <c r="W572" s="37" t="n">
        <v>500</v>
      </c>
      <c r="X572" s="39" t="n">
        <v>46307</v>
      </c>
      <c r="Y572" s="15" t="n">
        <v>34</v>
      </c>
      <c r="Z572" s="40" t="n">
        <v>44465</v>
      </c>
      <c r="AA572" s="41" t="n">
        <f aca="false">IF(ISNUMBER(Z572),(DATE(2026,10,13)-Z572)/365,"")</f>
        <v>5.04931506849315</v>
      </c>
      <c r="AB572" s="37" t="n">
        <v>20</v>
      </c>
      <c r="AC572" s="15" t="s">
        <v>465</v>
      </c>
      <c r="AD572" s="15" t="n">
        <v>0</v>
      </c>
      <c r="AE572" s="15" t="s">
        <v>466</v>
      </c>
      <c r="AF572" s="42" t="n">
        <v>0</v>
      </c>
      <c r="AG572" s="42" t="n">
        <v>0</v>
      </c>
      <c r="AH572" s="15" t="n">
        <v>0</v>
      </c>
      <c r="AI572" s="37"/>
      <c r="AJ572" s="37"/>
      <c r="AK572" s="15"/>
      <c r="AL572" s="43"/>
      <c r="AM572" s="43"/>
      <c r="AN572" s="25" t="str">
        <f aca="false">IF(AND(ISNUMBER(AM572),ISNUMBER(AL572),AL572&gt;=5),AM572/AL572,"")</f>
        <v/>
      </c>
      <c r="AO572" s="43"/>
      <c r="AP572" s="43"/>
      <c r="AQ572" s="25" t="str">
        <f aca="false">IF(AND(ISNUMBER(AP572),ISNUMBER(AO572),AO572&gt;=5),AP572/AO572,"")</f>
        <v/>
      </c>
      <c r="AR572" s="43"/>
      <c r="AS572" s="43"/>
      <c r="AT572" s="22" t="str">
        <f aca="false">IF(AND(ISNUMBER(AS572),ISNUMBER(AR572),AR572&gt;0),AS572/AR572-1,"")</f>
        <v/>
      </c>
      <c r="AU572" s="44"/>
      <c r="AV572" s="44"/>
      <c r="AW572" s="44"/>
      <c r="AX572" s="44"/>
      <c r="AY572" s="44"/>
      <c r="AZ572" s="45"/>
      <c r="BA572" s="45"/>
      <c r="BB572" s="46"/>
      <c r="BC572" s="46"/>
      <c r="BD572" s="23" t="str">
        <f aca="false">IF(AND(ISNUMBER(BB572),ISNUMBER(BC572),BB572&gt;0),1-BC572/BB572,"")</f>
        <v/>
      </c>
      <c r="BE572" s="47"/>
      <c r="BF572" s="48"/>
      <c r="BG572" s="48"/>
      <c r="BH572" s="27" t="str">
        <f aca="false">IF(AND(ISNUMBER(BF572),ISNUMBER(BG572),BG572&gt;0),BF572/BG572,"")</f>
        <v/>
      </c>
      <c r="BI572" s="48"/>
      <c r="BJ572" s="44"/>
      <c r="BK572" s="46"/>
      <c r="BL572" s="46"/>
      <c r="BM572" s="36" t="str">
        <f aca="false">IF(ISNUMBER(Q572),IF(Q572&lt;0,"YES","no"),"")</f>
        <v>YES</v>
      </c>
      <c r="BN572" s="36" t="str">
        <f aca="false">IFERROR(IF(AND(ISNUMBER(K572),ISNUMBER(INDEX('Lift Inputs'!$H:$H,MATCH(C572,'Lift Inputs'!$C:$C,0)))),IF(K572&lt;INDEX('Lift Inputs'!$H:$H,MATCH(C572,'Lift Inputs'!$C:$C,0)),"YES","no"),""),"")</f>
        <v/>
      </c>
      <c r="BO572" s="44"/>
    </row>
    <row r="573" customFormat="false" ht="15" hidden="false" customHeight="false" outlineLevel="0" collapsed="false">
      <c r="A573" s="15" t="s">
        <v>144</v>
      </c>
      <c r="B573" s="15" t="s">
        <v>151</v>
      </c>
      <c r="C573" s="15" t="n">
        <v>49</v>
      </c>
      <c r="D573" s="15" t="s">
        <v>144</v>
      </c>
      <c r="E573" s="15" t="n">
        <v>1715</v>
      </c>
      <c r="F573" s="15" t="s">
        <v>1196</v>
      </c>
      <c r="G573" s="15" t="s">
        <v>1197</v>
      </c>
      <c r="H573" s="15" t="s">
        <v>1198</v>
      </c>
      <c r="I573" s="15" t="s">
        <v>1199</v>
      </c>
      <c r="J573" s="15" t="s">
        <v>177</v>
      </c>
      <c r="K573" s="35" t="n">
        <v>14.99</v>
      </c>
      <c r="L573" s="35"/>
      <c r="M573" s="23" t="str">
        <f aca="false">IF(AND(ISNUMBER(L573),ISNUMBER(K573),K573&gt;0),L573/K573-1,"")</f>
        <v/>
      </c>
      <c r="N573" s="36" t="str">
        <f aca="false">IF(M573="","No List Price",IF(M573&lt;=0,"At/below price",IF(M573&lt;=0.12,"&lt;=12% (STR zone)",IF(M573&lt;=0.25,"12-25%","&gt;25% (likely ignored)"))))</f>
        <v>No List Price</v>
      </c>
      <c r="O573" s="15"/>
      <c r="P573" s="35" t="n">
        <v>21.45</v>
      </c>
      <c r="Q573" s="22" t="n">
        <f aca="false">IF(AND(ISNUMBER(K573),ISNUMBER(P573),N(P573)&gt;0),K573/P573-1,"")</f>
        <v>-0.301165501165501</v>
      </c>
      <c r="R573" s="15" t="s">
        <v>512</v>
      </c>
      <c r="S573" s="37" t="n">
        <v>2046442</v>
      </c>
      <c r="T573" s="37" t="n">
        <v>5</v>
      </c>
      <c r="U573" s="38" t="n">
        <f aca="false">IF(AND(ISNUMBER(K573),ISNUMBER(T573)),K573*T573*52/12,"")</f>
        <v>324.783333333333</v>
      </c>
      <c r="V573" s="15" t="n">
        <v>4.4</v>
      </c>
      <c r="W573" s="37" t="n">
        <v>206</v>
      </c>
      <c r="X573" s="39" t="n">
        <v>46307</v>
      </c>
      <c r="Y573" s="15" t="n">
        <v>17</v>
      </c>
      <c r="Z573" s="40" t="n">
        <v>44743</v>
      </c>
      <c r="AA573" s="41" t="n">
        <f aca="false">IF(ISNUMBER(Z573),(DATE(2026,10,13)-Z573)/365,"")</f>
        <v>4.28767123287671</v>
      </c>
      <c r="AB573" s="37" t="n">
        <v>5</v>
      </c>
      <c r="AC573" s="15" t="s">
        <v>465</v>
      </c>
      <c r="AD573" s="15" t="n">
        <v>1</v>
      </c>
      <c r="AE573" s="15" t="s">
        <v>466</v>
      </c>
      <c r="AF573" s="42" t="n">
        <v>0.0204081632653061</v>
      </c>
      <c r="AG573" s="42" t="n">
        <v>0</v>
      </c>
      <c r="AH573" s="15" t="n">
        <v>0</v>
      </c>
      <c r="AI573" s="37"/>
      <c r="AJ573" s="37"/>
      <c r="AK573" s="15"/>
      <c r="AL573" s="43"/>
      <c r="AM573" s="43"/>
      <c r="AN573" s="25" t="str">
        <f aca="false">IF(AND(ISNUMBER(AM573),ISNUMBER(AL573),AL573&gt;=5),AM573/AL573,"")</f>
        <v/>
      </c>
      <c r="AO573" s="43"/>
      <c r="AP573" s="43"/>
      <c r="AQ573" s="25" t="str">
        <f aca="false">IF(AND(ISNUMBER(AP573),ISNUMBER(AO573),AO573&gt;=5),AP573/AO573,"")</f>
        <v/>
      </c>
      <c r="AR573" s="43"/>
      <c r="AS573" s="43"/>
      <c r="AT573" s="22" t="str">
        <f aca="false">IF(AND(ISNUMBER(AS573),ISNUMBER(AR573),AR573&gt;0),AS573/AR573-1,"")</f>
        <v/>
      </c>
      <c r="AU573" s="44"/>
      <c r="AV573" s="44"/>
      <c r="AW573" s="44"/>
      <c r="AX573" s="44"/>
      <c r="AY573" s="44"/>
      <c r="AZ573" s="45"/>
      <c r="BA573" s="45"/>
      <c r="BB573" s="46"/>
      <c r="BC573" s="46"/>
      <c r="BD573" s="23" t="str">
        <f aca="false">IF(AND(ISNUMBER(BB573),ISNUMBER(BC573),BB573&gt;0),1-BC573/BB573,"")</f>
        <v/>
      </c>
      <c r="BE573" s="47"/>
      <c r="BF573" s="48"/>
      <c r="BG573" s="48"/>
      <c r="BH573" s="27" t="str">
        <f aca="false">IF(AND(ISNUMBER(BF573),ISNUMBER(BG573),BG573&gt;0),BF573/BG573,"")</f>
        <v/>
      </c>
      <c r="BI573" s="48"/>
      <c r="BJ573" s="44"/>
      <c r="BK573" s="46"/>
      <c r="BL573" s="46"/>
      <c r="BM573" s="36" t="str">
        <f aca="false">IF(ISNUMBER(Q573),IF(Q573&lt;0,"YES","no"),"")</f>
        <v>YES</v>
      </c>
      <c r="BN573" s="36" t="str">
        <f aca="false">IFERROR(IF(AND(ISNUMBER(K573),ISNUMBER(INDEX('Lift Inputs'!$H:$H,MATCH(C573,'Lift Inputs'!$C:$C,0)))),IF(K573&lt;INDEX('Lift Inputs'!$H:$H,MATCH(C573,'Lift Inputs'!$C:$C,0)),"YES","no"),""),"")</f>
        <v/>
      </c>
      <c r="BO573" s="44"/>
    </row>
    <row r="574" customFormat="false" ht="15" hidden="false" customHeight="false" outlineLevel="0" collapsed="false">
      <c r="A574" s="15" t="s">
        <v>144</v>
      </c>
      <c r="B574" s="15" t="s">
        <v>151</v>
      </c>
      <c r="C574" s="15" t="n">
        <v>49</v>
      </c>
      <c r="D574" s="15" t="s">
        <v>144</v>
      </c>
      <c r="E574" s="15" t="n">
        <v>1712</v>
      </c>
      <c r="F574" s="15" t="s">
        <v>1200</v>
      </c>
      <c r="G574" s="15" t="s">
        <v>1201</v>
      </c>
      <c r="H574" s="15" t="s">
        <v>1202</v>
      </c>
      <c r="I574" s="15" t="s">
        <v>1177</v>
      </c>
      <c r="J574" s="15" t="s">
        <v>177</v>
      </c>
      <c r="K574" s="35" t="n">
        <v>19.99</v>
      </c>
      <c r="L574" s="35"/>
      <c r="M574" s="23" t="str">
        <f aca="false">IF(AND(ISNUMBER(L574),ISNUMBER(K574),K574&gt;0),L574/K574-1,"")</f>
        <v/>
      </c>
      <c r="N574" s="36" t="str">
        <f aca="false">IF(M574="","No List Price",IF(M574&lt;=0,"At/below price",IF(M574&lt;=0.12,"&lt;=12% (STR zone)",IF(M574&lt;=0.25,"12-25%","&gt;25% (likely ignored)"))))</f>
        <v>No List Price</v>
      </c>
      <c r="O574" s="15"/>
      <c r="P574" s="35" t="n">
        <v>21.45</v>
      </c>
      <c r="Q574" s="22" t="n">
        <f aca="false">IF(AND(ISNUMBER(K574),ISNUMBER(P574),N(P574)&gt;0),K574/P574-1,"")</f>
        <v>-0.0680652680652681</v>
      </c>
      <c r="R574" s="15" t="s">
        <v>512</v>
      </c>
      <c r="S574" s="37" t="n">
        <v>1082549</v>
      </c>
      <c r="T574" s="37" t="n">
        <v>5</v>
      </c>
      <c r="U574" s="38" t="n">
        <f aca="false">IF(AND(ISNUMBER(K574),ISNUMBER(T574)),K574*T574*52/12,"")</f>
        <v>433.116666666667</v>
      </c>
      <c r="V574" s="15" t="n">
        <v>4.4</v>
      </c>
      <c r="W574" s="37" t="n">
        <v>72</v>
      </c>
      <c r="X574" s="39" t="n">
        <v>46307</v>
      </c>
      <c r="Y574" s="15"/>
      <c r="Z574" s="40"/>
      <c r="AA574" s="41" t="str">
        <f aca="false">IF(ISNUMBER(Z574),(DATE(2026,10,13)-Z574)/365,"")</f>
        <v/>
      </c>
      <c r="AB574" s="37"/>
      <c r="AC574" s="15"/>
      <c r="AD574" s="15"/>
      <c r="AE574" s="15"/>
      <c r="AF574" s="42"/>
      <c r="AG574" s="42"/>
      <c r="AH574" s="15"/>
      <c r="AI574" s="37"/>
      <c r="AJ574" s="37"/>
      <c r="AK574" s="15"/>
      <c r="AL574" s="43"/>
      <c r="AM574" s="43"/>
      <c r="AN574" s="25" t="str">
        <f aca="false">IF(AND(ISNUMBER(AM574),ISNUMBER(AL574),AL574&gt;=5),AM574/AL574,"")</f>
        <v/>
      </c>
      <c r="AO574" s="43"/>
      <c r="AP574" s="43"/>
      <c r="AQ574" s="25" t="str">
        <f aca="false">IF(AND(ISNUMBER(AP574),ISNUMBER(AO574),AO574&gt;=5),AP574/AO574,"")</f>
        <v/>
      </c>
      <c r="AR574" s="43"/>
      <c r="AS574" s="43"/>
      <c r="AT574" s="22" t="str">
        <f aca="false">IF(AND(ISNUMBER(AS574),ISNUMBER(AR574),AR574&gt;0),AS574/AR574-1,"")</f>
        <v/>
      </c>
      <c r="AU574" s="44"/>
      <c r="AV574" s="44"/>
      <c r="AW574" s="44"/>
      <c r="AX574" s="44"/>
      <c r="AY574" s="44"/>
      <c r="AZ574" s="45"/>
      <c r="BA574" s="45"/>
      <c r="BB574" s="46"/>
      <c r="BC574" s="46"/>
      <c r="BD574" s="23" t="str">
        <f aca="false">IF(AND(ISNUMBER(BB574),ISNUMBER(BC574),BB574&gt;0),1-BC574/BB574,"")</f>
        <v/>
      </c>
      <c r="BE574" s="47"/>
      <c r="BF574" s="48"/>
      <c r="BG574" s="48"/>
      <c r="BH574" s="27" t="str">
        <f aca="false">IF(AND(ISNUMBER(BF574),ISNUMBER(BG574),BG574&gt;0),BF574/BG574,"")</f>
        <v/>
      </c>
      <c r="BI574" s="48"/>
      <c r="BJ574" s="44"/>
      <c r="BK574" s="46"/>
      <c r="BL574" s="46"/>
      <c r="BM574" s="36" t="str">
        <f aca="false">IF(ISNUMBER(Q574),IF(Q574&lt;0,"YES","no"),"")</f>
        <v>YES</v>
      </c>
      <c r="BN574" s="36" t="str">
        <f aca="false">IFERROR(IF(AND(ISNUMBER(K574),ISNUMBER(INDEX('Lift Inputs'!$H:$H,MATCH(C574,'Lift Inputs'!$C:$C,0)))),IF(K574&lt;INDEX('Lift Inputs'!$H:$H,MATCH(C574,'Lift Inputs'!$C:$C,0)),"YES","no"),""),"")</f>
        <v/>
      </c>
      <c r="BO574" s="44"/>
    </row>
    <row r="575" customFormat="false" ht="15" hidden="false" customHeight="false" outlineLevel="0" collapsed="false">
      <c r="A575" s="15" t="s">
        <v>144</v>
      </c>
      <c r="B575" s="15" t="s">
        <v>151</v>
      </c>
      <c r="C575" s="15" t="n">
        <v>49</v>
      </c>
      <c r="D575" s="15" t="s">
        <v>144</v>
      </c>
      <c r="E575" s="15" t="n">
        <v>253</v>
      </c>
      <c r="F575" s="15" t="s">
        <v>1203</v>
      </c>
      <c r="G575" s="15" t="s">
        <v>1204</v>
      </c>
      <c r="H575" s="15" t="s">
        <v>1205</v>
      </c>
      <c r="I575" s="15" t="s">
        <v>1177</v>
      </c>
      <c r="J575" s="15" t="s">
        <v>177</v>
      </c>
      <c r="K575" s="35" t="n">
        <v>14.99</v>
      </c>
      <c r="L575" s="35"/>
      <c r="M575" s="23" t="str">
        <f aca="false">IF(AND(ISNUMBER(L575),ISNUMBER(K575),K575&gt;0),L575/K575-1,"")</f>
        <v/>
      </c>
      <c r="N575" s="36" t="str">
        <f aca="false">IF(M575="","No List Price",IF(M575&lt;=0,"At/below price",IF(M575&lt;=0.12,"&lt;=12% (STR zone)",IF(M575&lt;=0.25,"12-25%","&gt;25% (likely ignored)"))))</f>
        <v>No List Price</v>
      </c>
      <c r="O575" s="15"/>
      <c r="P575" s="35" t="n">
        <v>21.45</v>
      </c>
      <c r="Q575" s="22" t="n">
        <f aca="false">IF(AND(ISNUMBER(K575),ISNUMBER(P575),N(P575)&gt;0),K575/P575-1,"")</f>
        <v>-0.301165501165501</v>
      </c>
      <c r="R575" s="15" t="s">
        <v>512</v>
      </c>
      <c r="S575" s="37" t="n">
        <v>491392</v>
      </c>
      <c r="T575" s="37" t="n">
        <v>5</v>
      </c>
      <c r="U575" s="38" t="n">
        <f aca="false">IF(AND(ISNUMBER(K575),ISNUMBER(T575)),K575*T575*52/12,"")</f>
        <v>324.783333333333</v>
      </c>
      <c r="V575" s="15" t="n">
        <v>4.4</v>
      </c>
      <c r="W575" s="37" t="n">
        <v>290</v>
      </c>
      <c r="X575" s="39" t="n">
        <v>46307</v>
      </c>
      <c r="Y575" s="15"/>
      <c r="Z575" s="40"/>
      <c r="AA575" s="41" t="str">
        <f aca="false">IF(ISNUMBER(Z575),(DATE(2026,10,13)-Z575)/365,"")</f>
        <v/>
      </c>
      <c r="AB575" s="37"/>
      <c r="AC575" s="15"/>
      <c r="AD575" s="15"/>
      <c r="AE575" s="15"/>
      <c r="AF575" s="42"/>
      <c r="AG575" s="42"/>
      <c r="AH575" s="15"/>
      <c r="AI575" s="37"/>
      <c r="AJ575" s="37"/>
      <c r="AK575" s="15"/>
      <c r="AL575" s="43"/>
      <c r="AM575" s="43"/>
      <c r="AN575" s="25" t="str">
        <f aca="false">IF(AND(ISNUMBER(AM575),ISNUMBER(AL575),AL575&gt;=5),AM575/AL575,"")</f>
        <v/>
      </c>
      <c r="AO575" s="43"/>
      <c r="AP575" s="43"/>
      <c r="AQ575" s="25" t="str">
        <f aca="false">IF(AND(ISNUMBER(AP575),ISNUMBER(AO575),AO575&gt;=5),AP575/AO575,"")</f>
        <v/>
      </c>
      <c r="AR575" s="43"/>
      <c r="AS575" s="43"/>
      <c r="AT575" s="22" t="str">
        <f aca="false">IF(AND(ISNUMBER(AS575),ISNUMBER(AR575),AR575&gt;0),AS575/AR575-1,"")</f>
        <v/>
      </c>
      <c r="AU575" s="44"/>
      <c r="AV575" s="44"/>
      <c r="AW575" s="44"/>
      <c r="AX575" s="44"/>
      <c r="AY575" s="44"/>
      <c r="AZ575" s="45"/>
      <c r="BA575" s="45"/>
      <c r="BB575" s="46"/>
      <c r="BC575" s="46"/>
      <c r="BD575" s="23" t="str">
        <f aca="false">IF(AND(ISNUMBER(BB575),ISNUMBER(BC575),BB575&gt;0),1-BC575/BB575,"")</f>
        <v/>
      </c>
      <c r="BE575" s="47"/>
      <c r="BF575" s="48"/>
      <c r="BG575" s="48"/>
      <c r="BH575" s="27" t="str">
        <f aca="false">IF(AND(ISNUMBER(BF575),ISNUMBER(BG575),BG575&gt;0),BF575/BG575,"")</f>
        <v/>
      </c>
      <c r="BI575" s="48"/>
      <c r="BJ575" s="44"/>
      <c r="BK575" s="46"/>
      <c r="BL575" s="46"/>
      <c r="BM575" s="36" t="str">
        <f aca="false">IF(ISNUMBER(Q575),IF(Q575&lt;0,"YES","no"),"")</f>
        <v>YES</v>
      </c>
      <c r="BN575" s="36" t="str">
        <f aca="false">IFERROR(IF(AND(ISNUMBER(K575),ISNUMBER(INDEX('Lift Inputs'!$H:$H,MATCH(C575,'Lift Inputs'!$C:$C,0)))),IF(K575&lt;INDEX('Lift Inputs'!$H:$H,MATCH(C575,'Lift Inputs'!$C:$C,0)),"YES","no"),""),"")</f>
        <v/>
      </c>
      <c r="BO575" s="44"/>
    </row>
    <row r="576" customFormat="false" ht="15" hidden="false" customHeight="false" outlineLevel="0" collapsed="false">
      <c r="A576" s="15" t="s">
        <v>144</v>
      </c>
      <c r="B576" s="15" t="s">
        <v>151</v>
      </c>
      <c r="C576" s="15" t="n">
        <v>49</v>
      </c>
      <c r="D576" s="15" t="s">
        <v>144</v>
      </c>
      <c r="E576" s="15" t="n">
        <v>247</v>
      </c>
      <c r="F576" s="15" t="s">
        <v>1206</v>
      </c>
      <c r="G576" s="15" t="s">
        <v>1207</v>
      </c>
      <c r="H576" s="15" t="s">
        <v>1208</v>
      </c>
      <c r="I576" s="15" t="s">
        <v>1209</v>
      </c>
      <c r="J576" s="15" t="s">
        <v>177</v>
      </c>
      <c r="K576" s="35" t="n">
        <v>17.99</v>
      </c>
      <c r="L576" s="35"/>
      <c r="M576" s="23" t="str">
        <f aca="false">IF(AND(ISNUMBER(L576),ISNUMBER(K576),K576&gt;0),L576/K576-1,"")</f>
        <v/>
      </c>
      <c r="N576" s="36" t="str">
        <f aca="false">IF(M576="","No List Price",IF(M576&lt;=0,"At/below price",IF(M576&lt;=0.12,"&lt;=12% (STR zone)",IF(M576&lt;=0.25,"12-25%","&gt;25% (likely ignored)"))))</f>
        <v>No List Price</v>
      </c>
      <c r="O576" s="15"/>
      <c r="P576" s="35" t="n">
        <v>21.45</v>
      </c>
      <c r="Q576" s="22" t="n">
        <f aca="false">IF(AND(ISNUMBER(K576),ISNUMBER(P576),N(P576)&gt;0),K576/P576-1,"")</f>
        <v>-0.161305361305361</v>
      </c>
      <c r="R576" s="15" t="s">
        <v>512</v>
      </c>
      <c r="S576" s="37" t="n">
        <v>1308648</v>
      </c>
      <c r="T576" s="37" t="n">
        <v>5</v>
      </c>
      <c r="U576" s="38" t="n">
        <f aca="false">IF(AND(ISNUMBER(K576),ISNUMBER(T576)),K576*T576*52/12,"")</f>
        <v>389.783333333333</v>
      </c>
      <c r="V576" s="15" t="n">
        <v>4.5</v>
      </c>
      <c r="W576" s="37" t="n">
        <v>315</v>
      </c>
      <c r="X576" s="39" t="n">
        <v>46307</v>
      </c>
      <c r="Y576" s="15" t="n">
        <v>1</v>
      </c>
      <c r="Z576" s="40" t="n">
        <v>44631</v>
      </c>
      <c r="AA576" s="41" t="n">
        <f aca="false">IF(ISNUMBER(Z576),(DATE(2026,10,13)-Z576)/365,"")</f>
        <v>4.59452054794521</v>
      </c>
      <c r="AB576" s="37" t="n">
        <v>23</v>
      </c>
      <c r="AC576" s="15" t="s">
        <v>313</v>
      </c>
      <c r="AD576" s="15" t="n">
        <v>1</v>
      </c>
      <c r="AE576" s="15" t="s">
        <v>314</v>
      </c>
      <c r="AF576" s="42" t="n">
        <v>0</v>
      </c>
      <c r="AG576" s="42" t="n">
        <v>0</v>
      </c>
      <c r="AH576" s="15" t="n">
        <v>5</v>
      </c>
      <c r="AI576" s="37"/>
      <c r="AJ576" s="37"/>
      <c r="AK576" s="15"/>
      <c r="AL576" s="43"/>
      <c r="AM576" s="43"/>
      <c r="AN576" s="25" t="str">
        <f aca="false">IF(AND(ISNUMBER(AM576),ISNUMBER(AL576),AL576&gt;=5),AM576/AL576,"")</f>
        <v/>
      </c>
      <c r="AO576" s="43"/>
      <c r="AP576" s="43"/>
      <c r="AQ576" s="25" t="str">
        <f aca="false">IF(AND(ISNUMBER(AP576),ISNUMBER(AO576),AO576&gt;=5),AP576/AO576,"")</f>
        <v/>
      </c>
      <c r="AR576" s="43"/>
      <c r="AS576" s="43"/>
      <c r="AT576" s="22" t="str">
        <f aca="false">IF(AND(ISNUMBER(AS576),ISNUMBER(AR576),AR576&gt;0),AS576/AR576-1,"")</f>
        <v/>
      </c>
      <c r="AU576" s="44"/>
      <c r="AV576" s="44"/>
      <c r="AW576" s="44"/>
      <c r="AX576" s="44"/>
      <c r="AY576" s="44"/>
      <c r="AZ576" s="45"/>
      <c r="BA576" s="45"/>
      <c r="BB576" s="46"/>
      <c r="BC576" s="46"/>
      <c r="BD576" s="23" t="str">
        <f aca="false">IF(AND(ISNUMBER(BB576),ISNUMBER(BC576),BB576&gt;0),1-BC576/BB576,"")</f>
        <v/>
      </c>
      <c r="BE576" s="47"/>
      <c r="BF576" s="48"/>
      <c r="BG576" s="48"/>
      <c r="BH576" s="27" t="str">
        <f aca="false">IF(AND(ISNUMBER(BF576),ISNUMBER(BG576),BG576&gt;0),BF576/BG576,"")</f>
        <v/>
      </c>
      <c r="BI576" s="48"/>
      <c r="BJ576" s="44"/>
      <c r="BK576" s="46"/>
      <c r="BL576" s="46"/>
      <c r="BM576" s="36" t="str">
        <f aca="false">IF(ISNUMBER(Q576),IF(Q576&lt;0,"YES","no"),"")</f>
        <v>YES</v>
      </c>
      <c r="BN576" s="36" t="str">
        <f aca="false">IFERROR(IF(AND(ISNUMBER(K576),ISNUMBER(INDEX('Lift Inputs'!$H:$H,MATCH(C576,'Lift Inputs'!$C:$C,0)))),IF(K576&lt;INDEX('Lift Inputs'!$H:$H,MATCH(C576,'Lift Inputs'!$C:$C,0)),"YES","no"),""),"")</f>
        <v/>
      </c>
      <c r="BO576" s="44"/>
    </row>
    <row r="577" customFormat="false" ht="15" hidden="false" customHeight="false" outlineLevel="0" collapsed="false">
      <c r="A577" s="15" t="s">
        <v>144</v>
      </c>
      <c r="B577" s="15" t="s">
        <v>151</v>
      </c>
      <c r="C577" s="15" t="n">
        <v>49</v>
      </c>
      <c r="D577" s="15" t="s">
        <v>144</v>
      </c>
      <c r="E577" s="15" t="n">
        <v>251</v>
      </c>
      <c r="F577" s="15" t="s">
        <v>1210</v>
      </c>
      <c r="G577" s="15" t="s">
        <v>1211</v>
      </c>
      <c r="H577" s="15" t="s">
        <v>1212</v>
      </c>
      <c r="I577" s="15" t="s">
        <v>1213</v>
      </c>
      <c r="J577" s="15"/>
      <c r="K577" s="35" t="n">
        <v>24.95</v>
      </c>
      <c r="L577" s="35"/>
      <c r="M577" s="23" t="str">
        <f aca="false">IF(AND(ISNUMBER(L577),ISNUMBER(K577),K577&gt;0),L577/K577-1,"")</f>
        <v/>
      </c>
      <c r="N577" s="36" t="str">
        <f aca="false">IF(M577="","No List Price",IF(M577&lt;=0,"At/below price",IF(M577&lt;=0.12,"&lt;=12% (STR zone)",IF(M577&lt;=0.25,"12-25%","&gt;25% (likely ignored)"))))</f>
        <v>No List Price</v>
      </c>
      <c r="O577" s="15"/>
      <c r="P577" s="35" t="n">
        <v>21.45</v>
      </c>
      <c r="Q577" s="22" t="n">
        <f aca="false">IF(AND(ISNUMBER(K577),ISNUMBER(P577),N(P577)&gt;0),K577/P577-1,"")</f>
        <v>0.163170163170163</v>
      </c>
      <c r="R577" s="15" t="s">
        <v>512</v>
      </c>
      <c r="S577" s="37" t="n">
        <v>47829</v>
      </c>
      <c r="T577" s="37" t="n">
        <v>18</v>
      </c>
      <c r="U577" s="38" t="n">
        <f aca="false">IF(AND(ISNUMBER(K577),ISNUMBER(T577)),K577*T577*52/12,"")</f>
        <v>1946.1</v>
      </c>
      <c r="V577" s="15" t="n">
        <v>4.4</v>
      </c>
      <c r="W577" s="37" t="n">
        <v>488</v>
      </c>
      <c r="X577" s="39" t="n">
        <v>46307</v>
      </c>
      <c r="Y577" s="15"/>
      <c r="Z577" s="40"/>
      <c r="AA577" s="41" t="str">
        <f aca="false">IF(ISNUMBER(Z577),(DATE(2026,10,13)-Z577)/365,"")</f>
        <v/>
      </c>
      <c r="AB577" s="37"/>
      <c r="AC577" s="15"/>
      <c r="AD577" s="15"/>
      <c r="AE577" s="15"/>
      <c r="AF577" s="42"/>
      <c r="AG577" s="42"/>
      <c r="AH577" s="15"/>
      <c r="AI577" s="37"/>
      <c r="AJ577" s="37"/>
      <c r="AK577" s="15"/>
      <c r="AL577" s="43"/>
      <c r="AM577" s="43"/>
      <c r="AN577" s="25" t="str">
        <f aca="false">IF(AND(ISNUMBER(AM577),ISNUMBER(AL577),AL577&gt;=5),AM577/AL577,"")</f>
        <v/>
      </c>
      <c r="AO577" s="43"/>
      <c r="AP577" s="43"/>
      <c r="AQ577" s="25" t="str">
        <f aca="false">IF(AND(ISNUMBER(AP577),ISNUMBER(AO577),AO577&gt;=5),AP577/AO577,"")</f>
        <v/>
      </c>
      <c r="AR577" s="43"/>
      <c r="AS577" s="43"/>
      <c r="AT577" s="22" t="str">
        <f aca="false">IF(AND(ISNUMBER(AS577),ISNUMBER(AR577),AR577&gt;0),AS577/AR577-1,"")</f>
        <v/>
      </c>
      <c r="AU577" s="44"/>
      <c r="AV577" s="44"/>
      <c r="AW577" s="44"/>
      <c r="AX577" s="44"/>
      <c r="AY577" s="44"/>
      <c r="AZ577" s="45"/>
      <c r="BA577" s="45"/>
      <c r="BB577" s="46"/>
      <c r="BC577" s="46"/>
      <c r="BD577" s="23" t="str">
        <f aca="false">IF(AND(ISNUMBER(BB577),ISNUMBER(BC577),BB577&gt;0),1-BC577/BB577,"")</f>
        <v/>
      </c>
      <c r="BE577" s="47"/>
      <c r="BF577" s="48"/>
      <c r="BG577" s="48"/>
      <c r="BH577" s="27" t="str">
        <f aca="false">IF(AND(ISNUMBER(BF577),ISNUMBER(BG577),BG577&gt;0),BF577/BG577,"")</f>
        <v/>
      </c>
      <c r="BI577" s="48"/>
      <c r="BJ577" s="44"/>
      <c r="BK577" s="46"/>
      <c r="BL577" s="46"/>
      <c r="BM577" s="36" t="str">
        <f aca="false">IF(ISNUMBER(Q577),IF(Q577&lt;0,"YES","no"),"")</f>
        <v>no</v>
      </c>
      <c r="BN577" s="36" t="str">
        <f aca="false">IFERROR(IF(AND(ISNUMBER(K577),ISNUMBER(INDEX('Lift Inputs'!$H:$H,MATCH(C577,'Lift Inputs'!$C:$C,0)))),IF(K577&lt;INDEX('Lift Inputs'!$H:$H,MATCH(C577,'Lift Inputs'!$C:$C,0)),"YES","no"),""),"")</f>
        <v/>
      </c>
      <c r="BO577" s="44"/>
    </row>
    <row r="578" customFormat="false" ht="15" hidden="false" customHeight="false" outlineLevel="0" collapsed="false">
      <c r="A578" s="15" t="s">
        <v>144</v>
      </c>
      <c r="B578" s="15" t="s">
        <v>151</v>
      </c>
      <c r="C578" s="15" t="n">
        <v>49</v>
      </c>
      <c r="D578" s="15" t="s">
        <v>144</v>
      </c>
      <c r="E578" s="15" t="n">
        <v>1716</v>
      </c>
      <c r="F578" s="15" t="s">
        <v>1214</v>
      </c>
      <c r="G578" s="15" t="s">
        <v>1215</v>
      </c>
      <c r="H578" s="15" t="s">
        <v>1216</v>
      </c>
      <c r="I578" s="15" t="s">
        <v>1217</v>
      </c>
      <c r="J578" s="15"/>
      <c r="K578" s="35" t="n">
        <v>14.99</v>
      </c>
      <c r="L578" s="35"/>
      <c r="M578" s="23" t="str">
        <f aca="false">IF(AND(ISNUMBER(L578),ISNUMBER(K578),K578&gt;0),L578/K578-1,"")</f>
        <v/>
      </c>
      <c r="N578" s="36" t="str">
        <f aca="false">IF(M578="","No List Price",IF(M578&lt;=0,"At/below price",IF(M578&lt;=0.12,"&lt;=12% (STR zone)",IF(M578&lt;=0.25,"12-25%","&gt;25% (likely ignored)"))))</f>
        <v>No List Price</v>
      </c>
      <c r="O578" s="15"/>
      <c r="P578" s="35" t="n">
        <v>21.45</v>
      </c>
      <c r="Q578" s="22" t="n">
        <f aca="false">IF(AND(ISNUMBER(K578),ISNUMBER(P578),N(P578)&gt;0),K578/P578-1,"")</f>
        <v>-0.301165501165501</v>
      </c>
      <c r="R578" s="15" t="s">
        <v>512</v>
      </c>
      <c r="S578" s="37" t="n">
        <v>1938053</v>
      </c>
      <c r="T578" s="37" t="n">
        <v>5</v>
      </c>
      <c r="U578" s="38" t="n">
        <f aca="false">IF(AND(ISNUMBER(K578),ISNUMBER(T578)),K578*T578*52/12,"")</f>
        <v>324.783333333333</v>
      </c>
      <c r="V578" s="15" t="n">
        <v>4.4</v>
      </c>
      <c r="W578" s="37" t="n">
        <v>745</v>
      </c>
      <c r="X578" s="39" t="n">
        <v>46307</v>
      </c>
      <c r="Y578" s="15" t="n">
        <v>1</v>
      </c>
      <c r="Z578" s="40" t="n">
        <v>44022</v>
      </c>
      <c r="AA578" s="41" t="n">
        <f aca="false">IF(ISNUMBER(Z578),(DATE(2026,10,13)-Z578)/365,"")</f>
        <v>6.26301369863014</v>
      </c>
      <c r="AB578" s="37" t="n">
        <v>6</v>
      </c>
      <c r="AC578" s="15" t="s">
        <v>465</v>
      </c>
      <c r="AD578" s="15" t="n">
        <v>0</v>
      </c>
      <c r="AE578" s="15" t="s">
        <v>466</v>
      </c>
      <c r="AF578" s="42" t="n">
        <v>0</v>
      </c>
      <c r="AG578" s="42" t="n">
        <v>0</v>
      </c>
      <c r="AH578" s="15" t="n">
        <v>0</v>
      </c>
      <c r="AI578" s="37"/>
      <c r="AJ578" s="37"/>
      <c r="AK578" s="15"/>
      <c r="AL578" s="43"/>
      <c r="AM578" s="43"/>
      <c r="AN578" s="25" t="str">
        <f aca="false">IF(AND(ISNUMBER(AM578),ISNUMBER(AL578),AL578&gt;=5),AM578/AL578,"")</f>
        <v/>
      </c>
      <c r="AO578" s="43"/>
      <c r="AP578" s="43"/>
      <c r="AQ578" s="25" t="str">
        <f aca="false">IF(AND(ISNUMBER(AP578),ISNUMBER(AO578),AO578&gt;=5),AP578/AO578,"")</f>
        <v/>
      </c>
      <c r="AR578" s="43"/>
      <c r="AS578" s="43"/>
      <c r="AT578" s="22" t="str">
        <f aca="false">IF(AND(ISNUMBER(AS578),ISNUMBER(AR578),AR578&gt;0),AS578/AR578-1,"")</f>
        <v/>
      </c>
      <c r="AU578" s="44"/>
      <c r="AV578" s="44"/>
      <c r="AW578" s="44"/>
      <c r="AX578" s="44"/>
      <c r="AY578" s="44"/>
      <c r="AZ578" s="45"/>
      <c r="BA578" s="45"/>
      <c r="BB578" s="46"/>
      <c r="BC578" s="46"/>
      <c r="BD578" s="23" t="str">
        <f aca="false">IF(AND(ISNUMBER(BB578),ISNUMBER(BC578),BB578&gt;0),1-BC578/BB578,"")</f>
        <v/>
      </c>
      <c r="BE578" s="47"/>
      <c r="BF578" s="48"/>
      <c r="BG578" s="48"/>
      <c r="BH578" s="27" t="str">
        <f aca="false">IF(AND(ISNUMBER(BF578),ISNUMBER(BG578),BG578&gt;0),BF578/BG578,"")</f>
        <v/>
      </c>
      <c r="BI578" s="48"/>
      <c r="BJ578" s="44"/>
      <c r="BK578" s="46"/>
      <c r="BL578" s="46"/>
      <c r="BM578" s="36" t="str">
        <f aca="false">IF(ISNUMBER(Q578),IF(Q578&lt;0,"YES","no"),"")</f>
        <v>YES</v>
      </c>
      <c r="BN578" s="36" t="str">
        <f aca="false">IFERROR(IF(AND(ISNUMBER(K578),ISNUMBER(INDEX('Lift Inputs'!$H:$H,MATCH(C578,'Lift Inputs'!$C:$C,0)))),IF(K578&lt;INDEX('Lift Inputs'!$H:$H,MATCH(C578,'Lift Inputs'!$C:$C,0)),"YES","no"),""),"")</f>
        <v/>
      </c>
      <c r="BO578" s="44"/>
    </row>
    <row r="579" customFormat="false" ht="15" hidden="false" customHeight="false" outlineLevel="0" collapsed="false">
      <c r="A579" s="15" t="s">
        <v>144</v>
      </c>
      <c r="B579" s="15" t="s">
        <v>154</v>
      </c>
      <c r="C579" s="15" t="n">
        <v>58</v>
      </c>
      <c r="D579" s="15" t="s">
        <v>144</v>
      </c>
      <c r="E579" s="15" t="n">
        <v>407</v>
      </c>
      <c r="F579" s="15" t="s">
        <v>1218</v>
      </c>
      <c r="G579" s="15" t="s">
        <v>1219</v>
      </c>
      <c r="H579" s="15" t="s">
        <v>1220</v>
      </c>
      <c r="I579" s="15" t="s">
        <v>1221</v>
      </c>
      <c r="J579" s="15" t="s">
        <v>176</v>
      </c>
      <c r="K579" s="35" t="n">
        <v>34.99</v>
      </c>
      <c r="L579" s="35"/>
      <c r="M579" s="23" t="str">
        <f aca="false">IF(AND(ISNUMBER(L579),ISNUMBER(K579),K579&gt;0),L579/K579-1,"")</f>
        <v/>
      </c>
      <c r="N579" s="36" t="str">
        <f aca="false">IF(M579="","No List Price",IF(M579&lt;=0,"At/below price",IF(M579&lt;=0.12,"&lt;=12% (STR zone)",IF(M579&lt;=0.25,"12-25%","&gt;25% (likely ignored)"))))</f>
        <v>No List Price</v>
      </c>
      <c r="O579" s="15"/>
      <c r="P579" s="35" t="n">
        <v>37.95</v>
      </c>
      <c r="Q579" s="22" t="n">
        <f aca="false">IF(AND(ISNUMBER(K579),ISNUMBER(P579),N(P579)&gt;0),K579/P579-1,"")</f>
        <v>-0.0779973649538868</v>
      </c>
      <c r="R579" s="15" t="s">
        <v>512</v>
      </c>
      <c r="S579" s="37" t="n">
        <v>44319</v>
      </c>
      <c r="T579" s="37" t="n">
        <v>104</v>
      </c>
      <c r="U579" s="38" t="n">
        <f aca="false">IF(AND(ISNUMBER(K579),ISNUMBER(T579)),K579*T579*52/12,"")</f>
        <v>15768.8266666667</v>
      </c>
      <c r="V579" s="15" t="n">
        <v>4.5</v>
      </c>
      <c r="W579" s="37" t="n">
        <v>1039</v>
      </c>
      <c r="X579" s="39" t="n">
        <v>46307</v>
      </c>
      <c r="Y579" s="15" t="n">
        <v>4</v>
      </c>
      <c r="Z579" s="40" t="n">
        <v>44652</v>
      </c>
      <c r="AA579" s="41" t="n">
        <f aca="false">IF(ISNUMBER(Z579),(DATE(2026,10,13)-Z579)/365,"")</f>
        <v>4.53698630136986</v>
      </c>
      <c r="AB579" s="37" t="n">
        <v>1070</v>
      </c>
      <c r="AC579" s="15" t="s">
        <v>313</v>
      </c>
      <c r="AD579" s="15" t="n">
        <v>1</v>
      </c>
      <c r="AE579" s="15" t="s">
        <v>336</v>
      </c>
      <c r="AF579" s="42" t="n">
        <v>0.054</v>
      </c>
      <c r="AG579" s="42" t="n">
        <v>0.00395393444622317</v>
      </c>
      <c r="AH579" s="15" t="n">
        <v>344</v>
      </c>
      <c r="AI579" s="37"/>
      <c r="AJ579" s="37"/>
      <c r="AK579" s="15"/>
      <c r="AL579" s="43"/>
      <c r="AM579" s="43"/>
      <c r="AN579" s="25" t="str">
        <f aca="false">IF(AND(ISNUMBER(AM579),ISNUMBER(AL579),AL579&gt;=5),AM579/AL579,"")</f>
        <v/>
      </c>
      <c r="AO579" s="43"/>
      <c r="AP579" s="43"/>
      <c r="AQ579" s="25" t="str">
        <f aca="false">IF(AND(ISNUMBER(AP579),ISNUMBER(AO579),AO579&gt;=5),AP579/AO579,"")</f>
        <v/>
      </c>
      <c r="AR579" s="43"/>
      <c r="AS579" s="43"/>
      <c r="AT579" s="22" t="str">
        <f aca="false">IF(AND(ISNUMBER(AS579),ISNUMBER(AR579),AR579&gt;0),AS579/AR579-1,"")</f>
        <v/>
      </c>
      <c r="AU579" s="44"/>
      <c r="AV579" s="44"/>
      <c r="AW579" s="44"/>
      <c r="AX579" s="44"/>
      <c r="AY579" s="44"/>
      <c r="AZ579" s="45"/>
      <c r="BA579" s="45"/>
      <c r="BB579" s="46"/>
      <c r="BC579" s="46"/>
      <c r="BD579" s="23" t="str">
        <f aca="false">IF(AND(ISNUMBER(BB579),ISNUMBER(BC579),BB579&gt;0),1-BC579/BB579,"")</f>
        <v/>
      </c>
      <c r="BE579" s="47"/>
      <c r="BF579" s="48"/>
      <c r="BG579" s="48"/>
      <c r="BH579" s="27" t="str">
        <f aca="false">IF(AND(ISNUMBER(BF579),ISNUMBER(BG579),BG579&gt;0),BF579/BG579,"")</f>
        <v/>
      </c>
      <c r="BI579" s="48"/>
      <c r="BJ579" s="44"/>
      <c r="BK579" s="46"/>
      <c r="BL579" s="46"/>
      <c r="BM579" s="36" t="str">
        <f aca="false">IF(ISNUMBER(Q579),IF(Q579&lt;0,"YES","no"),"")</f>
        <v>YES</v>
      </c>
      <c r="BN579" s="36" t="str">
        <f aca="false">IFERROR(IF(AND(ISNUMBER(K579),ISNUMBER(INDEX('Lift Inputs'!$H:$H,MATCH(C579,'Lift Inputs'!$C:$C,0)))),IF(K579&lt;INDEX('Lift Inputs'!$H:$H,MATCH(C579,'Lift Inputs'!$C:$C,0)),"YES","no"),""),"")</f>
        <v/>
      </c>
      <c r="BO579" s="44"/>
    </row>
    <row r="580" customFormat="false" ht="15" hidden="false" customHeight="false" outlineLevel="0" collapsed="false">
      <c r="A580" s="15" t="s">
        <v>144</v>
      </c>
      <c r="B580" s="15" t="s">
        <v>154</v>
      </c>
      <c r="C580" s="15" t="n">
        <v>58</v>
      </c>
      <c r="D580" s="15" t="s">
        <v>144</v>
      </c>
      <c r="E580" s="15" t="n">
        <v>406</v>
      </c>
      <c r="F580" s="15" t="s">
        <v>1222</v>
      </c>
      <c r="G580" s="15" t="s">
        <v>1223</v>
      </c>
      <c r="H580" s="15" t="s">
        <v>1224</v>
      </c>
      <c r="I580" s="15" t="s">
        <v>1225</v>
      </c>
      <c r="J580" s="15" t="s">
        <v>176</v>
      </c>
      <c r="K580" s="35" t="n">
        <v>33.99</v>
      </c>
      <c r="L580" s="35"/>
      <c r="M580" s="23" t="str">
        <f aca="false">IF(AND(ISNUMBER(L580),ISNUMBER(K580),K580&gt;0),L580/K580-1,"")</f>
        <v/>
      </c>
      <c r="N580" s="36" t="str">
        <f aca="false">IF(M580="","No List Price",IF(M580&lt;=0,"At/below price",IF(M580&lt;=0.12,"&lt;=12% (STR zone)",IF(M580&lt;=0.25,"12-25%","&gt;25% (likely ignored)"))))</f>
        <v>No List Price</v>
      </c>
      <c r="O580" s="15"/>
      <c r="P580" s="35" t="n">
        <v>37.95</v>
      </c>
      <c r="Q580" s="22" t="n">
        <f aca="false">IF(AND(ISNUMBER(K580),ISNUMBER(P580),N(P580)&gt;0),K580/P580-1,"")</f>
        <v>-0.104347826086957</v>
      </c>
      <c r="R580" s="15" t="s">
        <v>512</v>
      </c>
      <c r="S580" s="37" t="n">
        <v>137133</v>
      </c>
      <c r="T580" s="37" t="n">
        <v>35</v>
      </c>
      <c r="U580" s="38" t="n">
        <f aca="false">IF(AND(ISNUMBER(K580),ISNUMBER(T580)),K580*T580*52/12,"")</f>
        <v>5155.15</v>
      </c>
      <c r="V580" s="15" t="n">
        <v>4.5</v>
      </c>
      <c r="W580" s="37" t="n">
        <v>498</v>
      </c>
      <c r="X580" s="39" t="n">
        <v>46307</v>
      </c>
      <c r="Y580" s="15" t="n">
        <v>2</v>
      </c>
      <c r="Z580" s="40" t="n">
        <v>44874</v>
      </c>
      <c r="AA580" s="41" t="n">
        <f aca="false">IF(ISNUMBER(Z580),(DATE(2026,10,13)-Z580)/365,"")</f>
        <v>3.92876712328767</v>
      </c>
      <c r="AB580" s="37" t="n">
        <v>308</v>
      </c>
      <c r="AC580" s="15" t="s">
        <v>313</v>
      </c>
      <c r="AD580" s="15" t="n">
        <v>1</v>
      </c>
      <c r="AE580" s="15" t="s">
        <v>331</v>
      </c>
      <c r="AF580" s="42" t="n">
        <v>0</v>
      </c>
      <c r="AG580" s="42" t="n">
        <v>0</v>
      </c>
      <c r="AH580" s="15" t="n">
        <v>138</v>
      </c>
      <c r="AI580" s="37"/>
      <c r="AJ580" s="37"/>
      <c r="AK580" s="15"/>
      <c r="AL580" s="43"/>
      <c r="AM580" s="43"/>
      <c r="AN580" s="25" t="str">
        <f aca="false">IF(AND(ISNUMBER(AM580),ISNUMBER(AL580),AL580&gt;=5),AM580/AL580,"")</f>
        <v/>
      </c>
      <c r="AO580" s="43"/>
      <c r="AP580" s="43"/>
      <c r="AQ580" s="25" t="str">
        <f aca="false">IF(AND(ISNUMBER(AP580),ISNUMBER(AO580),AO580&gt;=5),AP580/AO580,"")</f>
        <v/>
      </c>
      <c r="AR580" s="43"/>
      <c r="AS580" s="43"/>
      <c r="AT580" s="22" t="str">
        <f aca="false">IF(AND(ISNUMBER(AS580),ISNUMBER(AR580),AR580&gt;0),AS580/AR580-1,"")</f>
        <v/>
      </c>
      <c r="AU580" s="44"/>
      <c r="AV580" s="44"/>
      <c r="AW580" s="44"/>
      <c r="AX580" s="44"/>
      <c r="AY580" s="44"/>
      <c r="AZ580" s="45"/>
      <c r="BA580" s="45"/>
      <c r="BB580" s="46"/>
      <c r="BC580" s="46"/>
      <c r="BD580" s="23" t="str">
        <f aca="false">IF(AND(ISNUMBER(BB580),ISNUMBER(BC580),BB580&gt;0),1-BC580/BB580,"")</f>
        <v/>
      </c>
      <c r="BE580" s="47"/>
      <c r="BF580" s="48"/>
      <c r="BG580" s="48"/>
      <c r="BH580" s="27" t="str">
        <f aca="false">IF(AND(ISNUMBER(BF580),ISNUMBER(BG580),BG580&gt;0),BF580/BG580,"")</f>
        <v/>
      </c>
      <c r="BI580" s="48"/>
      <c r="BJ580" s="44"/>
      <c r="BK580" s="46"/>
      <c r="BL580" s="46"/>
      <c r="BM580" s="36" t="str">
        <f aca="false">IF(ISNUMBER(Q580),IF(Q580&lt;0,"YES","no"),"")</f>
        <v>YES</v>
      </c>
      <c r="BN580" s="36" t="str">
        <f aca="false">IFERROR(IF(AND(ISNUMBER(K580),ISNUMBER(INDEX('Lift Inputs'!$H:$H,MATCH(C580,'Lift Inputs'!$C:$C,0)))),IF(K580&lt;INDEX('Lift Inputs'!$H:$H,MATCH(C580,'Lift Inputs'!$C:$C,0)),"YES","no"),""),"")</f>
        <v/>
      </c>
      <c r="BO580" s="44"/>
    </row>
    <row r="581" customFormat="false" ht="15" hidden="false" customHeight="false" outlineLevel="0" collapsed="false">
      <c r="A581" s="15" t="s">
        <v>144</v>
      </c>
      <c r="B581" s="15" t="s">
        <v>154</v>
      </c>
      <c r="C581" s="15" t="n">
        <v>58</v>
      </c>
      <c r="D581" s="15" t="s">
        <v>144</v>
      </c>
      <c r="E581" s="15" t="n">
        <v>411</v>
      </c>
      <c r="F581" s="15" t="s">
        <v>1226</v>
      </c>
      <c r="G581" s="15" t="s">
        <v>1227</v>
      </c>
      <c r="H581" s="15" t="s">
        <v>1228</v>
      </c>
      <c r="I581" s="15" t="s">
        <v>1229</v>
      </c>
      <c r="J581" s="15" t="s">
        <v>176</v>
      </c>
      <c r="K581" s="35" t="n">
        <v>40.99</v>
      </c>
      <c r="L581" s="35"/>
      <c r="M581" s="23" t="str">
        <f aca="false">IF(AND(ISNUMBER(L581),ISNUMBER(K581),K581&gt;0),L581/K581-1,"")</f>
        <v/>
      </c>
      <c r="N581" s="36" t="str">
        <f aca="false">IF(M581="","No List Price",IF(M581&lt;=0,"At/below price",IF(M581&lt;=0.12,"&lt;=12% (STR zone)",IF(M581&lt;=0.25,"12-25%","&gt;25% (likely ignored)"))))</f>
        <v>No List Price</v>
      </c>
      <c r="O581" s="15"/>
      <c r="P581" s="35" t="n">
        <v>37.95</v>
      </c>
      <c r="Q581" s="22" t="n">
        <f aca="false">IF(AND(ISNUMBER(K581),ISNUMBER(P581),N(P581)&gt;0),K581/P581-1,"")</f>
        <v>0.0801054018445322</v>
      </c>
      <c r="R581" s="15" t="s">
        <v>512</v>
      </c>
      <c r="S581" s="37" t="n">
        <v>146388</v>
      </c>
      <c r="T581" s="37" t="n">
        <v>35</v>
      </c>
      <c r="U581" s="38" t="n">
        <f aca="false">IF(AND(ISNUMBER(K581),ISNUMBER(T581)),K581*T581*52/12,"")</f>
        <v>6216.81666666667</v>
      </c>
      <c r="V581" s="15" t="n">
        <v>4.4</v>
      </c>
      <c r="W581" s="37" t="n">
        <v>574</v>
      </c>
      <c r="X581" s="39" t="n">
        <v>46307</v>
      </c>
      <c r="Y581" s="15" t="n">
        <v>8</v>
      </c>
      <c r="Z581" s="40" t="n">
        <v>45226</v>
      </c>
      <c r="AA581" s="41" t="n">
        <f aca="false">IF(ISNUMBER(Z581),(DATE(2026,10,13)-Z581)/365,"")</f>
        <v>2.96438356164384</v>
      </c>
      <c r="AB581" s="37" t="n">
        <v>265</v>
      </c>
      <c r="AC581" s="15" t="s">
        <v>313</v>
      </c>
      <c r="AD581" s="15" t="n">
        <v>1</v>
      </c>
      <c r="AE581" s="15" t="s">
        <v>331</v>
      </c>
      <c r="AF581" s="42" t="n">
        <v>0</v>
      </c>
      <c r="AG581" s="42" t="n">
        <v>0</v>
      </c>
      <c r="AH581" s="15" t="n">
        <v>106</v>
      </c>
      <c r="AI581" s="37"/>
      <c r="AJ581" s="37"/>
      <c r="AK581" s="15"/>
      <c r="AL581" s="43"/>
      <c r="AM581" s="43"/>
      <c r="AN581" s="25" t="str">
        <f aca="false">IF(AND(ISNUMBER(AM581),ISNUMBER(AL581),AL581&gt;=5),AM581/AL581,"")</f>
        <v/>
      </c>
      <c r="AO581" s="43"/>
      <c r="AP581" s="43"/>
      <c r="AQ581" s="25" t="str">
        <f aca="false">IF(AND(ISNUMBER(AP581),ISNUMBER(AO581),AO581&gt;=5),AP581/AO581,"")</f>
        <v/>
      </c>
      <c r="AR581" s="43"/>
      <c r="AS581" s="43"/>
      <c r="AT581" s="22" t="str">
        <f aca="false">IF(AND(ISNUMBER(AS581),ISNUMBER(AR581),AR581&gt;0),AS581/AR581-1,"")</f>
        <v/>
      </c>
      <c r="AU581" s="44"/>
      <c r="AV581" s="44"/>
      <c r="AW581" s="44"/>
      <c r="AX581" s="44"/>
      <c r="AY581" s="44"/>
      <c r="AZ581" s="45"/>
      <c r="BA581" s="45"/>
      <c r="BB581" s="46"/>
      <c r="BC581" s="46"/>
      <c r="BD581" s="23" t="str">
        <f aca="false">IF(AND(ISNUMBER(BB581),ISNUMBER(BC581),BB581&gt;0),1-BC581/BB581,"")</f>
        <v/>
      </c>
      <c r="BE581" s="47"/>
      <c r="BF581" s="48"/>
      <c r="BG581" s="48"/>
      <c r="BH581" s="27" t="str">
        <f aca="false">IF(AND(ISNUMBER(BF581),ISNUMBER(BG581),BG581&gt;0),BF581/BG581,"")</f>
        <v/>
      </c>
      <c r="BI581" s="48"/>
      <c r="BJ581" s="44"/>
      <c r="BK581" s="46"/>
      <c r="BL581" s="46"/>
      <c r="BM581" s="36" t="str">
        <f aca="false">IF(ISNUMBER(Q581),IF(Q581&lt;0,"YES","no"),"")</f>
        <v>no</v>
      </c>
      <c r="BN581" s="36" t="str">
        <f aca="false">IFERROR(IF(AND(ISNUMBER(K581),ISNUMBER(INDEX('Lift Inputs'!$H:$H,MATCH(C581,'Lift Inputs'!$C:$C,0)))),IF(K581&lt;INDEX('Lift Inputs'!$H:$H,MATCH(C581,'Lift Inputs'!$C:$C,0)),"YES","no"),""),"")</f>
        <v/>
      </c>
      <c r="BO581" s="44"/>
    </row>
    <row r="582" customFormat="false" ht="15" hidden="false" customHeight="false" outlineLevel="0" collapsed="false">
      <c r="A582" s="15" t="s">
        <v>144</v>
      </c>
      <c r="B582" s="15" t="s">
        <v>154</v>
      </c>
      <c r="C582" s="15" t="n">
        <v>58</v>
      </c>
      <c r="D582" s="15" t="s">
        <v>144</v>
      </c>
      <c r="E582" s="15" t="n">
        <v>414</v>
      </c>
      <c r="F582" s="15" t="s">
        <v>1230</v>
      </c>
      <c r="G582" s="15" t="s">
        <v>1231</v>
      </c>
      <c r="H582" s="15" t="s">
        <v>1232</v>
      </c>
      <c r="I582" s="15" t="s">
        <v>1233</v>
      </c>
      <c r="J582" s="15" t="s">
        <v>177</v>
      </c>
      <c r="K582" s="35" t="n">
        <v>23.99</v>
      </c>
      <c r="L582" s="35"/>
      <c r="M582" s="23" t="str">
        <f aca="false">IF(AND(ISNUMBER(L582),ISNUMBER(K582),K582&gt;0),L582/K582-1,"")</f>
        <v/>
      </c>
      <c r="N582" s="36" t="str">
        <f aca="false">IF(M582="","No List Price",IF(M582&lt;=0,"At/below price",IF(M582&lt;=0.12,"&lt;=12% (STR zone)",IF(M582&lt;=0.25,"12-25%","&gt;25% (likely ignored)"))))</f>
        <v>No List Price</v>
      </c>
      <c r="O582" s="15"/>
      <c r="P582" s="35" t="n">
        <v>37.95</v>
      </c>
      <c r="Q582" s="22" t="n">
        <f aca="false">IF(AND(ISNUMBER(K582),ISNUMBER(P582),N(P582)&gt;0),K582/P582-1,"")</f>
        <v>-0.367852437417655</v>
      </c>
      <c r="R582" s="15" t="s">
        <v>512</v>
      </c>
      <c r="S582" s="37" t="n">
        <v>8978</v>
      </c>
      <c r="T582" s="37" t="n">
        <v>104</v>
      </c>
      <c r="U582" s="38" t="n">
        <f aca="false">IF(AND(ISNUMBER(K582),ISNUMBER(T582)),K582*T582*52/12,"")</f>
        <v>10811.4933333333</v>
      </c>
      <c r="V582" s="15" t="n">
        <v>3.9</v>
      </c>
      <c r="W582" s="37" t="n">
        <v>299</v>
      </c>
      <c r="X582" s="39" t="n">
        <v>46307</v>
      </c>
      <c r="Y582" s="15"/>
      <c r="Z582" s="40"/>
      <c r="AA582" s="41" t="str">
        <f aca="false">IF(ISNUMBER(Z582),(DATE(2026,10,13)-Z582)/365,"")</f>
        <v/>
      </c>
      <c r="AB582" s="37"/>
      <c r="AC582" s="15"/>
      <c r="AD582" s="15"/>
      <c r="AE582" s="15"/>
      <c r="AF582" s="42"/>
      <c r="AG582" s="42"/>
      <c r="AH582" s="15"/>
      <c r="AI582" s="37"/>
      <c r="AJ582" s="37"/>
      <c r="AK582" s="15"/>
      <c r="AL582" s="43"/>
      <c r="AM582" s="43"/>
      <c r="AN582" s="25" t="str">
        <f aca="false">IF(AND(ISNUMBER(AM582),ISNUMBER(AL582),AL582&gt;=5),AM582/AL582,"")</f>
        <v/>
      </c>
      <c r="AO582" s="43"/>
      <c r="AP582" s="43"/>
      <c r="AQ582" s="25" t="str">
        <f aca="false">IF(AND(ISNUMBER(AP582),ISNUMBER(AO582),AO582&gt;=5),AP582/AO582,"")</f>
        <v/>
      </c>
      <c r="AR582" s="43"/>
      <c r="AS582" s="43"/>
      <c r="AT582" s="22" t="str">
        <f aca="false">IF(AND(ISNUMBER(AS582),ISNUMBER(AR582),AR582&gt;0),AS582/AR582-1,"")</f>
        <v/>
      </c>
      <c r="AU582" s="44"/>
      <c r="AV582" s="44"/>
      <c r="AW582" s="44"/>
      <c r="AX582" s="44"/>
      <c r="AY582" s="44"/>
      <c r="AZ582" s="45"/>
      <c r="BA582" s="45"/>
      <c r="BB582" s="46"/>
      <c r="BC582" s="46"/>
      <c r="BD582" s="23" t="str">
        <f aca="false">IF(AND(ISNUMBER(BB582),ISNUMBER(BC582),BB582&gt;0),1-BC582/BB582,"")</f>
        <v/>
      </c>
      <c r="BE582" s="47"/>
      <c r="BF582" s="48"/>
      <c r="BG582" s="48"/>
      <c r="BH582" s="27" t="str">
        <f aca="false">IF(AND(ISNUMBER(BF582),ISNUMBER(BG582),BG582&gt;0),BF582/BG582,"")</f>
        <v/>
      </c>
      <c r="BI582" s="48"/>
      <c r="BJ582" s="44"/>
      <c r="BK582" s="46"/>
      <c r="BL582" s="46"/>
      <c r="BM582" s="36" t="str">
        <f aca="false">IF(ISNUMBER(Q582),IF(Q582&lt;0,"YES","no"),"")</f>
        <v>YES</v>
      </c>
      <c r="BN582" s="36" t="str">
        <f aca="false">IFERROR(IF(AND(ISNUMBER(K582),ISNUMBER(INDEX('Lift Inputs'!$H:$H,MATCH(C582,'Lift Inputs'!$C:$C,0)))),IF(K582&lt;INDEX('Lift Inputs'!$H:$H,MATCH(C582,'Lift Inputs'!$C:$C,0)),"YES","no"),""),"")</f>
        <v/>
      </c>
      <c r="BO582" s="44"/>
    </row>
    <row r="583" customFormat="false" ht="15" hidden="false" customHeight="false" outlineLevel="0" collapsed="false">
      <c r="A583" s="15" t="s">
        <v>144</v>
      </c>
      <c r="B583" s="15" t="s">
        <v>154</v>
      </c>
      <c r="C583" s="15" t="n">
        <v>58</v>
      </c>
      <c r="D583" s="15" t="s">
        <v>144</v>
      </c>
      <c r="E583" s="15" t="n">
        <v>1719</v>
      </c>
      <c r="F583" s="15" t="s">
        <v>1234</v>
      </c>
      <c r="G583" s="15" t="s">
        <v>1235</v>
      </c>
      <c r="H583" s="15" t="s">
        <v>1236</v>
      </c>
      <c r="I583" s="15" t="s">
        <v>1237</v>
      </c>
      <c r="J583" s="15" t="s">
        <v>177</v>
      </c>
      <c r="K583" s="35" t="n">
        <v>24.99</v>
      </c>
      <c r="L583" s="35"/>
      <c r="M583" s="23" t="str">
        <f aca="false">IF(AND(ISNUMBER(L583),ISNUMBER(K583),K583&gt;0),L583/K583-1,"")</f>
        <v/>
      </c>
      <c r="N583" s="36" t="str">
        <f aca="false">IF(M583="","No List Price",IF(M583&lt;=0,"At/below price",IF(M583&lt;=0.12,"&lt;=12% (STR zone)",IF(M583&lt;=0.25,"12-25%","&gt;25% (likely ignored)"))))</f>
        <v>No List Price</v>
      </c>
      <c r="O583" s="15"/>
      <c r="P583" s="35" t="n">
        <v>37.95</v>
      </c>
      <c r="Q583" s="22" t="n">
        <f aca="false">IF(AND(ISNUMBER(K583),ISNUMBER(P583),N(P583)&gt;0),K583/P583-1,"")</f>
        <v>-0.341501976284585</v>
      </c>
      <c r="R583" s="15" t="s">
        <v>512</v>
      </c>
      <c r="S583" s="37" t="n">
        <v>65913</v>
      </c>
      <c r="T583" s="37" t="n">
        <v>81</v>
      </c>
      <c r="U583" s="38" t="n">
        <f aca="false">IF(AND(ISNUMBER(K583),ISNUMBER(T583)),K583*T583*52/12,"")</f>
        <v>8771.49</v>
      </c>
      <c r="V583" s="15" t="n">
        <v>3.6</v>
      </c>
      <c r="W583" s="37" t="n">
        <v>139</v>
      </c>
      <c r="X583" s="39" t="n">
        <v>46307</v>
      </c>
      <c r="Y583" s="15" t="n">
        <v>3</v>
      </c>
      <c r="Z583" s="40" t="n">
        <v>45963</v>
      </c>
      <c r="AA583" s="41" t="n">
        <f aca="false">IF(ISNUMBER(Z583),(DATE(2026,10,13)-Z583)/365,"")</f>
        <v>0.945205479452055</v>
      </c>
      <c r="AB583" s="37" t="n">
        <v>715</v>
      </c>
      <c r="AC583" s="15" t="s">
        <v>313</v>
      </c>
      <c r="AD583" s="15" t="n">
        <v>4</v>
      </c>
      <c r="AE583" s="15" t="s">
        <v>331</v>
      </c>
      <c r="AF583" s="42" t="n">
        <v>0.034</v>
      </c>
      <c r="AG583" s="42" t="n">
        <v>0.00588399347379069</v>
      </c>
      <c r="AH583" s="15" t="n">
        <v>138</v>
      </c>
      <c r="AI583" s="37"/>
      <c r="AJ583" s="37"/>
      <c r="AK583" s="15"/>
      <c r="AL583" s="43"/>
      <c r="AM583" s="43"/>
      <c r="AN583" s="25" t="str">
        <f aca="false">IF(AND(ISNUMBER(AM583),ISNUMBER(AL583),AL583&gt;=5),AM583/AL583,"")</f>
        <v/>
      </c>
      <c r="AO583" s="43"/>
      <c r="AP583" s="43"/>
      <c r="AQ583" s="25" t="str">
        <f aca="false">IF(AND(ISNUMBER(AP583),ISNUMBER(AO583),AO583&gt;=5),AP583/AO583,"")</f>
        <v/>
      </c>
      <c r="AR583" s="43"/>
      <c r="AS583" s="43"/>
      <c r="AT583" s="22" t="str">
        <f aca="false">IF(AND(ISNUMBER(AS583),ISNUMBER(AR583),AR583&gt;0),AS583/AR583-1,"")</f>
        <v/>
      </c>
      <c r="AU583" s="44"/>
      <c r="AV583" s="44"/>
      <c r="AW583" s="44"/>
      <c r="AX583" s="44"/>
      <c r="AY583" s="44"/>
      <c r="AZ583" s="45"/>
      <c r="BA583" s="45"/>
      <c r="BB583" s="46"/>
      <c r="BC583" s="46"/>
      <c r="BD583" s="23" t="str">
        <f aca="false">IF(AND(ISNUMBER(BB583),ISNUMBER(BC583),BB583&gt;0),1-BC583/BB583,"")</f>
        <v/>
      </c>
      <c r="BE583" s="47"/>
      <c r="BF583" s="48"/>
      <c r="BG583" s="48"/>
      <c r="BH583" s="27" t="str">
        <f aca="false">IF(AND(ISNUMBER(BF583),ISNUMBER(BG583),BG583&gt;0),BF583/BG583,"")</f>
        <v/>
      </c>
      <c r="BI583" s="48"/>
      <c r="BJ583" s="44"/>
      <c r="BK583" s="46"/>
      <c r="BL583" s="46"/>
      <c r="BM583" s="36" t="str">
        <f aca="false">IF(ISNUMBER(Q583),IF(Q583&lt;0,"YES","no"),"")</f>
        <v>YES</v>
      </c>
      <c r="BN583" s="36" t="str">
        <f aca="false">IFERROR(IF(AND(ISNUMBER(K583),ISNUMBER(INDEX('Lift Inputs'!$H:$H,MATCH(C583,'Lift Inputs'!$C:$C,0)))),IF(K583&lt;INDEX('Lift Inputs'!$H:$H,MATCH(C583,'Lift Inputs'!$C:$C,0)),"YES","no"),""),"")</f>
        <v/>
      </c>
      <c r="BO583" s="44"/>
    </row>
    <row r="584" customFormat="false" ht="15" hidden="false" customHeight="false" outlineLevel="0" collapsed="false">
      <c r="A584" s="15" t="s">
        <v>144</v>
      </c>
      <c r="B584" s="15" t="s">
        <v>154</v>
      </c>
      <c r="C584" s="15" t="n">
        <v>58</v>
      </c>
      <c r="D584" s="15" t="s">
        <v>144</v>
      </c>
      <c r="E584" s="15" t="n">
        <v>1734</v>
      </c>
      <c r="F584" s="15" t="s">
        <v>1238</v>
      </c>
      <c r="G584" s="15" t="s">
        <v>1239</v>
      </c>
      <c r="H584" s="15" t="s">
        <v>1240</v>
      </c>
      <c r="I584" s="15" t="s">
        <v>1241</v>
      </c>
      <c r="J584" s="15" t="s">
        <v>177</v>
      </c>
      <c r="K584" s="35" t="n">
        <v>34.99</v>
      </c>
      <c r="L584" s="35"/>
      <c r="M584" s="23" t="str">
        <f aca="false">IF(AND(ISNUMBER(L584),ISNUMBER(K584),K584&gt;0),L584/K584-1,"")</f>
        <v/>
      </c>
      <c r="N584" s="36" t="str">
        <f aca="false">IF(M584="","No List Price",IF(M584&lt;=0,"At/below price",IF(M584&lt;=0.12,"&lt;=12% (STR zone)",IF(M584&lt;=0.25,"12-25%","&gt;25% (likely ignored)"))))</f>
        <v>No List Price</v>
      </c>
      <c r="O584" s="15"/>
      <c r="P584" s="35" t="n">
        <v>37.95</v>
      </c>
      <c r="Q584" s="22" t="n">
        <f aca="false">IF(AND(ISNUMBER(K584),ISNUMBER(P584),N(P584)&gt;0),K584/P584-1,"")</f>
        <v>-0.0779973649538868</v>
      </c>
      <c r="R584" s="15" t="s">
        <v>512</v>
      </c>
      <c r="S584" s="37" t="n">
        <v>202496</v>
      </c>
      <c r="T584" s="37" t="n">
        <v>35</v>
      </c>
      <c r="U584" s="38" t="n">
        <f aca="false">IF(AND(ISNUMBER(K584),ISNUMBER(T584)),K584*T584*52/12,"")</f>
        <v>5306.81666666667</v>
      </c>
      <c r="V584" s="15" t="n">
        <v>3.8</v>
      </c>
      <c r="W584" s="37" t="n">
        <v>221</v>
      </c>
      <c r="X584" s="39" t="n">
        <v>46307</v>
      </c>
      <c r="Y584" s="15" t="n">
        <v>3</v>
      </c>
      <c r="Z584" s="40" t="n">
        <v>45442</v>
      </c>
      <c r="AA584" s="41" t="n">
        <f aca="false">IF(ISNUMBER(Z584),(DATE(2026,10,13)-Z584)/365,"")</f>
        <v>2.37260273972603</v>
      </c>
      <c r="AB584" s="37" t="n">
        <v>184</v>
      </c>
      <c r="AC584" s="15" t="s">
        <v>313</v>
      </c>
      <c r="AD584" s="15" t="n">
        <v>1</v>
      </c>
      <c r="AE584" s="15" t="s">
        <v>331</v>
      </c>
      <c r="AF584" s="42" t="n">
        <v>0</v>
      </c>
      <c r="AG584" s="42" t="n">
        <v>0</v>
      </c>
      <c r="AH584" s="15" t="n">
        <v>77</v>
      </c>
      <c r="AI584" s="37"/>
      <c r="AJ584" s="37"/>
      <c r="AK584" s="15"/>
      <c r="AL584" s="43"/>
      <c r="AM584" s="43"/>
      <c r="AN584" s="25" t="str">
        <f aca="false">IF(AND(ISNUMBER(AM584),ISNUMBER(AL584),AL584&gt;=5),AM584/AL584,"")</f>
        <v/>
      </c>
      <c r="AO584" s="43"/>
      <c r="AP584" s="43"/>
      <c r="AQ584" s="25" t="str">
        <f aca="false">IF(AND(ISNUMBER(AP584),ISNUMBER(AO584),AO584&gt;=5),AP584/AO584,"")</f>
        <v/>
      </c>
      <c r="AR584" s="43"/>
      <c r="AS584" s="43"/>
      <c r="AT584" s="22" t="str">
        <f aca="false">IF(AND(ISNUMBER(AS584),ISNUMBER(AR584),AR584&gt;0),AS584/AR584-1,"")</f>
        <v/>
      </c>
      <c r="AU584" s="44"/>
      <c r="AV584" s="44"/>
      <c r="AW584" s="44"/>
      <c r="AX584" s="44"/>
      <c r="AY584" s="44"/>
      <c r="AZ584" s="45"/>
      <c r="BA584" s="45"/>
      <c r="BB584" s="46"/>
      <c r="BC584" s="46"/>
      <c r="BD584" s="23" t="str">
        <f aca="false">IF(AND(ISNUMBER(BB584),ISNUMBER(BC584),BB584&gt;0),1-BC584/BB584,"")</f>
        <v/>
      </c>
      <c r="BE584" s="47"/>
      <c r="BF584" s="48"/>
      <c r="BG584" s="48"/>
      <c r="BH584" s="27" t="str">
        <f aca="false">IF(AND(ISNUMBER(BF584),ISNUMBER(BG584),BG584&gt;0),BF584/BG584,"")</f>
        <v/>
      </c>
      <c r="BI584" s="48"/>
      <c r="BJ584" s="44"/>
      <c r="BK584" s="46"/>
      <c r="BL584" s="46"/>
      <c r="BM584" s="36" t="str">
        <f aca="false">IF(ISNUMBER(Q584),IF(Q584&lt;0,"YES","no"),"")</f>
        <v>YES</v>
      </c>
      <c r="BN584" s="36" t="str">
        <f aca="false">IFERROR(IF(AND(ISNUMBER(K584),ISNUMBER(INDEX('Lift Inputs'!$H:$H,MATCH(C584,'Lift Inputs'!$C:$C,0)))),IF(K584&lt;INDEX('Lift Inputs'!$H:$H,MATCH(C584,'Lift Inputs'!$C:$C,0)),"YES","no"),""),"")</f>
        <v/>
      </c>
      <c r="BO584" s="44"/>
    </row>
    <row r="585" customFormat="false" ht="15" hidden="false" customHeight="false" outlineLevel="0" collapsed="false">
      <c r="A585" s="15" t="s">
        <v>144</v>
      </c>
      <c r="B585" s="15" t="s">
        <v>154</v>
      </c>
      <c r="C585" s="15" t="n">
        <v>58</v>
      </c>
      <c r="D585" s="15" t="s">
        <v>144</v>
      </c>
      <c r="E585" s="15" t="n">
        <v>409</v>
      </c>
      <c r="F585" s="15" t="s">
        <v>1242</v>
      </c>
      <c r="G585" s="15" t="s">
        <v>1243</v>
      </c>
      <c r="H585" s="15" t="s">
        <v>1244</v>
      </c>
      <c r="I585" s="15" t="s">
        <v>1245</v>
      </c>
      <c r="J585" s="15" t="s">
        <v>177</v>
      </c>
      <c r="K585" s="35" t="n">
        <v>35.69</v>
      </c>
      <c r="L585" s="35" t="n">
        <v>39.89</v>
      </c>
      <c r="M585" s="23" t="n">
        <f aca="false">IF(AND(ISNUMBER(L585),ISNUMBER(K585),K585&gt;0),L585/K585-1,"")</f>
        <v>0.117680022415243</v>
      </c>
      <c r="N585" s="36" t="str">
        <f aca="false">IF(M585="","No List Price",IF(M585&lt;=0,"At/below price",IF(M585&lt;=0.12,"&lt;=12% (STR zone)",IF(M585&lt;=0.25,"12-25%","&gt;25% (likely ignored)"))))</f>
        <v>&lt;=12% (STR zone)</v>
      </c>
      <c r="O585" s="15"/>
      <c r="P585" s="35" t="n">
        <v>37.95</v>
      </c>
      <c r="Q585" s="22" t="n">
        <f aca="false">IF(AND(ISNUMBER(K585),ISNUMBER(P585),N(P585)&gt;0),K585/P585-1,"")</f>
        <v>-0.059552042160738</v>
      </c>
      <c r="R585" s="15" t="s">
        <v>512</v>
      </c>
      <c r="S585" s="37" t="n">
        <v>62615</v>
      </c>
      <c r="T585" s="37" t="n">
        <v>18</v>
      </c>
      <c r="U585" s="38" t="n">
        <f aca="false">IF(AND(ISNUMBER(K585),ISNUMBER(T585)),K585*T585*52/12,"")</f>
        <v>2783.82</v>
      </c>
      <c r="V585" s="15" t="n">
        <v>4.2</v>
      </c>
      <c r="W585" s="37" t="n">
        <v>263</v>
      </c>
      <c r="X585" s="39" t="n">
        <v>46307</v>
      </c>
      <c r="Y585" s="15" t="n">
        <v>3</v>
      </c>
      <c r="Z585" s="40" t="n">
        <v>45258</v>
      </c>
      <c r="AA585" s="41" t="n">
        <f aca="false">IF(ISNUMBER(Z585),(DATE(2026,10,13)-Z585)/365,"")</f>
        <v>2.87671232876712</v>
      </c>
      <c r="AB585" s="37" t="n">
        <v>84</v>
      </c>
      <c r="AC585" s="15" t="s">
        <v>313</v>
      </c>
      <c r="AD585" s="15" t="n">
        <v>1</v>
      </c>
      <c r="AE585" s="15" t="s">
        <v>331</v>
      </c>
      <c r="AF585" s="42" t="n">
        <v>0</v>
      </c>
      <c r="AG585" s="42" t="n">
        <v>0</v>
      </c>
      <c r="AH585" s="15" t="n">
        <v>56</v>
      </c>
      <c r="AI585" s="37"/>
      <c r="AJ585" s="37"/>
      <c r="AK585" s="15"/>
      <c r="AL585" s="43"/>
      <c r="AM585" s="43"/>
      <c r="AN585" s="25" t="str">
        <f aca="false">IF(AND(ISNUMBER(AM585),ISNUMBER(AL585),AL585&gt;=5),AM585/AL585,"")</f>
        <v/>
      </c>
      <c r="AO585" s="43"/>
      <c r="AP585" s="43"/>
      <c r="AQ585" s="25" t="str">
        <f aca="false">IF(AND(ISNUMBER(AP585),ISNUMBER(AO585),AO585&gt;=5),AP585/AO585,"")</f>
        <v/>
      </c>
      <c r="AR585" s="43"/>
      <c r="AS585" s="43"/>
      <c r="AT585" s="22" t="str">
        <f aca="false">IF(AND(ISNUMBER(AS585),ISNUMBER(AR585),AR585&gt;0),AS585/AR585-1,"")</f>
        <v/>
      </c>
      <c r="AU585" s="44"/>
      <c r="AV585" s="44"/>
      <c r="AW585" s="44"/>
      <c r="AX585" s="44"/>
      <c r="AY585" s="44"/>
      <c r="AZ585" s="45"/>
      <c r="BA585" s="45"/>
      <c r="BB585" s="46"/>
      <c r="BC585" s="46"/>
      <c r="BD585" s="23" t="str">
        <f aca="false">IF(AND(ISNUMBER(BB585),ISNUMBER(BC585),BB585&gt;0),1-BC585/BB585,"")</f>
        <v/>
      </c>
      <c r="BE585" s="47"/>
      <c r="BF585" s="48"/>
      <c r="BG585" s="48"/>
      <c r="BH585" s="27" t="str">
        <f aca="false">IF(AND(ISNUMBER(BF585),ISNUMBER(BG585),BG585&gt;0),BF585/BG585,"")</f>
        <v/>
      </c>
      <c r="BI585" s="48"/>
      <c r="BJ585" s="44"/>
      <c r="BK585" s="46"/>
      <c r="BL585" s="46"/>
      <c r="BM585" s="36" t="str">
        <f aca="false">IF(ISNUMBER(Q585),IF(Q585&lt;0,"YES","no"),"")</f>
        <v>YES</v>
      </c>
      <c r="BN585" s="36" t="str">
        <f aca="false">IFERROR(IF(AND(ISNUMBER(K585),ISNUMBER(INDEX('Lift Inputs'!$H:$H,MATCH(C585,'Lift Inputs'!$C:$C,0)))),IF(K585&lt;INDEX('Lift Inputs'!$H:$H,MATCH(C585,'Lift Inputs'!$C:$C,0)),"YES","no"),""),"")</f>
        <v/>
      </c>
      <c r="BO585" s="44"/>
    </row>
    <row r="586" customFormat="false" ht="15" hidden="false" customHeight="false" outlineLevel="0" collapsed="false">
      <c r="A586" s="15" t="s">
        <v>144</v>
      </c>
      <c r="B586" s="15" t="s">
        <v>154</v>
      </c>
      <c r="C586" s="15" t="n">
        <v>58</v>
      </c>
      <c r="D586" s="15" t="s">
        <v>144</v>
      </c>
      <c r="E586" s="15" t="n">
        <v>1720</v>
      </c>
      <c r="F586" s="15" t="s">
        <v>1246</v>
      </c>
      <c r="G586" s="15" t="s">
        <v>1247</v>
      </c>
      <c r="H586" s="15" t="s">
        <v>1248</v>
      </c>
      <c r="I586" s="15" t="s">
        <v>1233</v>
      </c>
      <c r="J586" s="15" t="s">
        <v>177</v>
      </c>
      <c r="K586" s="35" t="n">
        <v>24.99</v>
      </c>
      <c r="L586" s="35"/>
      <c r="M586" s="23" t="str">
        <f aca="false">IF(AND(ISNUMBER(L586),ISNUMBER(K586),K586&gt;0),L586/K586-1,"")</f>
        <v/>
      </c>
      <c r="N586" s="36" t="str">
        <f aca="false">IF(M586="","No List Price",IF(M586&lt;=0,"At/below price",IF(M586&lt;=0.12,"&lt;=12% (STR zone)",IF(M586&lt;=0.25,"12-25%","&gt;25% (likely ignored)"))))</f>
        <v>No List Price</v>
      </c>
      <c r="O586" s="15"/>
      <c r="P586" s="35" t="n">
        <v>37.95</v>
      </c>
      <c r="Q586" s="22" t="n">
        <f aca="false">IF(AND(ISNUMBER(K586),ISNUMBER(P586),N(P586)&gt;0),K586/P586-1,"")</f>
        <v>-0.341501976284585</v>
      </c>
      <c r="R586" s="15" t="s">
        <v>512</v>
      </c>
      <c r="S586" s="37" t="n">
        <v>176481</v>
      </c>
      <c r="T586" s="37" t="n">
        <v>18</v>
      </c>
      <c r="U586" s="38" t="n">
        <f aca="false">IF(AND(ISNUMBER(K586),ISNUMBER(T586)),K586*T586*52/12,"")</f>
        <v>1949.22</v>
      </c>
      <c r="V586" s="15" t="n">
        <v>4</v>
      </c>
      <c r="W586" s="37" t="n">
        <v>115</v>
      </c>
      <c r="X586" s="39" t="n">
        <v>46307</v>
      </c>
      <c r="Y586" s="15"/>
      <c r="Z586" s="40"/>
      <c r="AA586" s="41" t="str">
        <f aca="false">IF(ISNUMBER(Z586),(DATE(2026,10,13)-Z586)/365,"")</f>
        <v/>
      </c>
      <c r="AB586" s="37"/>
      <c r="AC586" s="15"/>
      <c r="AD586" s="15"/>
      <c r="AE586" s="15"/>
      <c r="AF586" s="42"/>
      <c r="AG586" s="42"/>
      <c r="AH586" s="15"/>
      <c r="AI586" s="37"/>
      <c r="AJ586" s="37"/>
      <c r="AK586" s="15"/>
      <c r="AL586" s="43"/>
      <c r="AM586" s="43"/>
      <c r="AN586" s="25" t="str">
        <f aca="false">IF(AND(ISNUMBER(AM586),ISNUMBER(AL586),AL586&gt;=5),AM586/AL586,"")</f>
        <v/>
      </c>
      <c r="AO586" s="43"/>
      <c r="AP586" s="43"/>
      <c r="AQ586" s="25" t="str">
        <f aca="false">IF(AND(ISNUMBER(AP586),ISNUMBER(AO586),AO586&gt;=5),AP586/AO586,"")</f>
        <v/>
      </c>
      <c r="AR586" s="43"/>
      <c r="AS586" s="43"/>
      <c r="AT586" s="22" t="str">
        <f aca="false">IF(AND(ISNUMBER(AS586),ISNUMBER(AR586),AR586&gt;0),AS586/AR586-1,"")</f>
        <v/>
      </c>
      <c r="AU586" s="44"/>
      <c r="AV586" s="44"/>
      <c r="AW586" s="44"/>
      <c r="AX586" s="44"/>
      <c r="AY586" s="44"/>
      <c r="AZ586" s="45"/>
      <c r="BA586" s="45"/>
      <c r="BB586" s="46"/>
      <c r="BC586" s="46"/>
      <c r="BD586" s="23" t="str">
        <f aca="false">IF(AND(ISNUMBER(BB586),ISNUMBER(BC586),BB586&gt;0),1-BC586/BB586,"")</f>
        <v/>
      </c>
      <c r="BE586" s="47"/>
      <c r="BF586" s="48"/>
      <c r="BG586" s="48"/>
      <c r="BH586" s="27" t="str">
        <f aca="false">IF(AND(ISNUMBER(BF586),ISNUMBER(BG586),BG586&gt;0),BF586/BG586,"")</f>
        <v/>
      </c>
      <c r="BI586" s="48"/>
      <c r="BJ586" s="44"/>
      <c r="BK586" s="46"/>
      <c r="BL586" s="46"/>
      <c r="BM586" s="36" t="str">
        <f aca="false">IF(ISNUMBER(Q586),IF(Q586&lt;0,"YES","no"),"")</f>
        <v>YES</v>
      </c>
      <c r="BN586" s="36" t="str">
        <f aca="false">IFERROR(IF(AND(ISNUMBER(K586),ISNUMBER(INDEX('Lift Inputs'!$H:$H,MATCH(C586,'Lift Inputs'!$C:$C,0)))),IF(K586&lt;INDEX('Lift Inputs'!$H:$H,MATCH(C586,'Lift Inputs'!$C:$C,0)),"YES","no"),""),"")</f>
        <v/>
      </c>
      <c r="BO586" s="44"/>
    </row>
    <row r="587" customFormat="false" ht="15" hidden="false" customHeight="false" outlineLevel="0" collapsed="false">
      <c r="A587" s="15" t="s">
        <v>144</v>
      </c>
      <c r="B587" s="15" t="s">
        <v>154</v>
      </c>
      <c r="C587" s="15" t="n">
        <v>58</v>
      </c>
      <c r="D587" s="15" t="s">
        <v>144</v>
      </c>
      <c r="E587" s="15" t="n">
        <v>412</v>
      </c>
      <c r="F587" s="15" t="s">
        <v>1249</v>
      </c>
      <c r="G587" s="15" t="s">
        <v>1250</v>
      </c>
      <c r="H587" s="15" t="s">
        <v>1251</v>
      </c>
      <c r="I587" s="15" t="s">
        <v>1252</v>
      </c>
      <c r="J587" s="15" t="s">
        <v>177</v>
      </c>
      <c r="K587" s="35" t="n">
        <v>43.99</v>
      </c>
      <c r="L587" s="35"/>
      <c r="M587" s="23" t="str">
        <f aca="false">IF(AND(ISNUMBER(L587),ISNUMBER(K587),K587&gt;0),L587/K587-1,"")</f>
        <v/>
      </c>
      <c r="N587" s="36" t="str">
        <f aca="false">IF(M587="","No List Price",IF(M587&lt;=0,"At/below price",IF(M587&lt;=0.12,"&lt;=12% (STR zone)",IF(M587&lt;=0.25,"12-25%","&gt;25% (likely ignored)"))))</f>
        <v>No List Price</v>
      </c>
      <c r="O587" s="15"/>
      <c r="P587" s="35" t="n">
        <v>37.95</v>
      </c>
      <c r="Q587" s="22" t="n">
        <f aca="false">IF(AND(ISNUMBER(K587),ISNUMBER(P587),N(P587)&gt;0),K587/P587-1,"")</f>
        <v>0.159156785243742</v>
      </c>
      <c r="R587" s="15" t="s">
        <v>512</v>
      </c>
      <c r="S587" s="37" t="n">
        <v>216901</v>
      </c>
      <c r="T587" s="37" t="n">
        <v>18</v>
      </c>
      <c r="U587" s="38" t="n">
        <f aca="false">IF(AND(ISNUMBER(K587),ISNUMBER(T587)),K587*T587*52/12,"")</f>
        <v>3431.22</v>
      </c>
      <c r="V587" s="15" t="n">
        <v>4.4</v>
      </c>
      <c r="W587" s="37" t="n">
        <v>312</v>
      </c>
      <c r="X587" s="39" t="n">
        <v>46307</v>
      </c>
      <c r="Y587" s="15" t="n">
        <v>3</v>
      </c>
      <c r="Z587" s="40" t="n">
        <v>45640</v>
      </c>
      <c r="AA587" s="41" t="n">
        <f aca="false">IF(ISNUMBER(Z587),(DATE(2026,10,13)-Z587)/365,"")</f>
        <v>1.83013698630137</v>
      </c>
      <c r="AB587" s="37" t="n">
        <v>168</v>
      </c>
      <c r="AC587" s="15" t="s">
        <v>313</v>
      </c>
      <c r="AD587" s="15" t="n">
        <v>5</v>
      </c>
      <c r="AE587" s="15" t="s">
        <v>331</v>
      </c>
      <c r="AF587" s="42" t="n">
        <v>0</v>
      </c>
      <c r="AG587" s="42" t="n">
        <v>0</v>
      </c>
      <c r="AH587" s="15" t="n">
        <v>64</v>
      </c>
      <c r="AI587" s="37"/>
      <c r="AJ587" s="37"/>
      <c r="AK587" s="15"/>
      <c r="AL587" s="43"/>
      <c r="AM587" s="43"/>
      <c r="AN587" s="25" t="str">
        <f aca="false">IF(AND(ISNUMBER(AM587),ISNUMBER(AL587),AL587&gt;=5),AM587/AL587,"")</f>
        <v/>
      </c>
      <c r="AO587" s="43"/>
      <c r="AP587" s="43"/>
      <c r="AQ587" s="25" t="str">
        <f aca="false">IF(AND(ISNUMBER(AP587),ISNUMBER(AO587),AO587&gt;=5),AP587/AO587,"")</f>
        <v/>
      </c>
      <c r="AR587" s="43"/>
      <c r="AS587" s="43"/>
      <c r="AT587" s="22" t="str">
        <f aca="false">IF(AND(ISNUMBER(AS587),ISNUMBER(AR587),AR587&gt;0),AS587/AR587-1,"")</f>
        <v/>
      </c>
      <c r="AU587" s="44"/>
      <c r="AV587" s="44"/>
      <c r="AW587" s="44"/>
      <c r="AX587" s="44"/>
      <c r="AY587" s="44"/>
      <c r="AZ587" s="45"/>
      <c r="BA587" s="45"/>
      <c r="BB587" s="46"/>
      <c r="BC587" s="46"/>
      <c r="BD587" s="23" t="str">
        <f aca="false">IF(AND(ISNUMBER(BB587),ISNUMBER(BC587),BB587&gt;0),1-BC587/BB587,"")</f>
        <v/>
      </c>
      <c r="BE587" s="47"/>
      <c r="BF587" s="48"/>
      <c r="BG587" s="48"/>
      <c r="BH587" s="27" t="str">
        <f aca="false">IF(AND(ISNUMBER(BF587),ISNUMBER(BG587),BG587&gt;0),BF587/BG587,"")</f>
        <v/>
      </c>
      <c r="BI587" s="48"/>
      <c r="BJ587" s="44"/>
      <c r="BK587" s="46"/>
      <c r="BL587" s="46"/>
      <c r="BM587" s="36" t="str">
        <f aca="false">IF(ISNUMBER(Q587),IF(Q587&lt;0,"YES","no"),"")</f>
        <v>no</v>
      </c>
      <c r="BN587" s="36" t="str">
        <f aca="false">IFERROR(IF(AND(ISNUMBER(K587),ISNUMBER(INDEX('Lift Inputs'!$H:$H,MATCH(C587,'Lift Inputs'!$C:$C,0)))),IF(K587&lt;INDEX('Lift Inputs'!$H:$H,MATCH(C587,'Lift Inputs'!$C:$C,0)),"YES","no"),""),"")</f>
        <v/>
      </c>
      <c r="BO587" s="44"/>
    </row>
    <row r="588" customFormat="false" ht="15" hidden="false" customHeight="false" outlineLevel="0" collapsed="false">
      <c r="A588" s="15" t="s">
        <v>144</v>
      </c>
      <c r="B588" s="15" t="s">
        <v>154</v>
      </c>
      <c r="C588" s="15" t="n">
        <v>58</v>
      </c>
      <c r="D588" s="15" t="s">
        <v>144</v>
      </c>
      <c r="E588" s="15" t="n">
        <v>1730</v>
      </c>
      <c r="F588" s="15" t="s">
        <v>1253</v>
      </c>
      <c r="G588" s="15" t="s">
        <v>1254</v>
      </c>
      <c r="H588" s="15" t="s">
        <v>1255</v>
      </c>
      <c r="I588" s="15" t="s">
        <v>1233</v>
      </c>
      <c r="J588" s="15" t="s">
        <v>177</v>
      </c>
      <c r="K588" s="35" t="n">
        <v>40.89</v>
      </c>
      <c r="L588" s="35"/>
      <c r="M588" s="23" t="str">
        <f aca="false">IF(AND(ISNUMBER(L588),ISNUMBER(K588),K588&gt;0),L588/K588-1,"")</f>
        <v/>
      </c>
      <c r="N588" s="36" t="str">
        <f aca="false">IF(M588="","No List Price",IF(M588&lt;=0,"At/below price",IF(M588&lt;=0.12,"&lt;=12% (STR zone)",IF(M588&lt;=0.25,"12-25%","&gt;25% (likely ignored)"))))</f>
        <v>No List Price</v>
      </c>
      <c r="O588" s="15"/>
      <c r="P588" s="35" t="n">
        <v>37.95</v>
      </c>
      <c r="Q588" s="22" t="n">
        <f aca="false">IF(AND(ISNUMBER(K588),ISNUMBER(P588),N(P588)&gt;0),K588/P588-1,"")</f>
        <v>0.0774703557312253</v>
      </c>
      <c r="R588" s="15" t="s">
        <v>512</v>
      </c>
      <c r="S588" s="37" t="n">
        <v>119925</v>
      </c>
      <c r="T588" s="37" t="n">
        <v>18</v>
      </c>
      <c r="U588" s="38" t="n">
        <f aca="false">IF(AND(ISNUMBER(K588),ISNUMBER(T588)),K588*T588*52/12,"")</f>
        <v>3189.42</v>
      </c>
      <c r="V588" s="15" t="n">
        <v>3.9</v>
      </c>
      <c r="W588" s="37" t="n">
        <v>23</v>
      </c>
      <c r="X588" s="39" t="n">
        <v>46307</v>
      </c>
      <c r="Y588" s="15"/>
      <c r="Z588" s="40"/>
      <c r="AA588" s="41" t="str">
        <f aca="false">IF(ISNUMBER(Z588),(DATE(2026,10,13)-Z588)/365,"")</f>
        <v/>
      </c>
      <c r="AB588" s="37"/>
      <c r="AC588" s="15"/>
      <c r="AD588" s="15"/>
      <c r="AE588" s="15"/>
      <c r="AF588" s="42"/>
      <c r="AG588" s="42"/>
      <c r="AH588" s="15"/>
      <c r="AI588" s="37"/>
      <c r="AJ588" s="37"/>
      <c r="AK588" s="15"/>
      <c r="AL588" s="43"/>
      <c r="AM588" s="43"/>
      <c r="AN588" s="25" t="str">
        <f aca="false">IF(AND(ISNUMBER(AM588),ISNUMBER(AL588),AL588&gt;=5),AM588/AL588,"")</f>
        <v/>
      </c>
      <c r="AO588" s="43"/>
      <c r="AP588" s="43"/>
      <c r="AQ588" s="25" t="str">
        <f aca="false">IF(AND(ISNUMBER(AP588),ISNUMBER(AO588),AO588&gt;=5),AP588/AO588,"")</f>
        <v/>
      </c>
      <c r="AR588" s="43"/>
      <c r="AS588" s="43"/>
      <c r="AT588" s="22" t="str">
        <f aca="false">IF(AND(ISNUMBER(AS588),ISNUMBER(AR588),AR588&gt;0),AS588/AR588-1,"")</f>
        <v/>
      </c>
      <c r="AU588" s="44"/>
      <c r="AV588" s="44"/>
      <c r="AW588" s="44"/>
      <c r="AX588" s="44"/>
      <c r="AY588" s="44"/>
      <c r="AZ588" s="45"/>
      <c r="BA588" s="45"/>
      <c r="BB588" s="46"/>
      <c r="BC588" s="46"/>
      <c r="BD588" s="23" t="str">
        <f aca="false">IF(AND(ISNUMBER(BB588),ISNUMBER(BC588),BB588&gt;0),1-BC588/BB588,"")</f>
        <v/>
      </c>
      <c r="BE588" s="47"/>
      <c r="BF588" s="48"/>
      <c r="BG588" s="48"/>
      <c r="BH588" s="27" t="str">
        <f aca="false">IF(AND(ISNUMBER(BF588),ISNUMBER(BG588),BG588&gt;0),BF588/BG588,"")</f>
        <v/>
      </c>
      <c r="BI588" s="48"/>
      <c r="BJ588" s="44"/>
      <c r="BK588" s="46"/>
      <c r="BL588" s="46"/>
      <c r="BM588" s="36" t="str">
        <f aca="false">IF(ISNUMBER(Q588),IF(Q588&lt;0,"YES","no"),"")</f>
        <v>no</v>
      </c>
      <c r="BN588" s="36" t="str">
        <f aca="false">IFERROR(IF(AND(ISNUMBER(K588),ISNUMBER(INDEX('Lift Inputs'!$H:$H,MATCH(C588,'Lift Inputs'!$C:$C,0)))),IF(K588&lt;INDEX('Lift Inputs'!$H:$H,MATCH(C588,'Lift Inputs'!$C:$C,0)),"YES","no"),""),"")</f>
        <v/>
      </c>
      <c r="BO588" s="44"/>
    </row>
    <row r="589" customFormat="false" ht="15" hidden="false" customHeight="false" outlineLevel="0" collapsed="false">
      <c r="A589" s="15" t="s">
        <v>144</v>
      </c>
      <c r="B589" s="15" t="s">
        <v>154</v>
      </c>
      <c r="C589" s="15" t="n">
        <v>58</v>
      </c>
      <c r="D589" s="15" t="s">
        <v>144</v>
      </c>
      <c r="E589" s="15" t="n">
        <v>1718</v>
      </c>
      <c r="F589" s="15" t="s">
        <v>1256</v>
      </c>
      <c r="G589" s="15" t="s">
        <v>1257</v>
      </c>
      <c r="H589" s="15" t="s">
        <v>1258</v>
      </c>
      <c r="I589" s="15" t="s">
        <v>1259</v>
      </c>
      <c r="J589" s="15" t="s">
        <v>177</v>
      </c>
      <c r="K589" s="35" t="n">
        <v>39.99</v>
      </c>
      <c r="L589" s="35"/>
      <c r="M589" s="23" t="str">
        <f aca="false">IF(AND(ISNUMBER(L589),ISNUMBER(K589),K589&gt;0),L589/K589-1,"")</f>
        <v/>
      </c>
      <c r="N589" s="36" t="str">
        <f aca="false">IF(M589="","No List Price",IF(M589&lt;=0,"At/below price",IF(M589&lt;=0.12,"&lt;=12% (STR zone)",IF(M589&lt;=0.25,"12-25%","&gt;25% (likely ignored)"))))</f>
        <v>No List Price</v>
      </c>
      <c r="O589" s="15"/>
      <c r="P589" s="35" t="n">
        <v>37.95</v>
      </c>
      <c r="Q589" s="22" t="n">
        <f aca="false">IF(AND(ISNUMBER(K589),ISNUMBER(P589),N(P589)&gt;0),K589/P589-1,"")</f>
        <v>0.0537549407114624</v>
      </c>
      <c r="R589" s="15" t="s">
        <v>512</v>
      </c>
      <c r="S589" s="37" t="n">
        <v>245605</v>
      </c>
      <c r="T589" s="37" t="n">
        <v>18</v>
      </c>
      <c r="U589" s="38" t="n">
        <f aca="false">IF(AND(ISNUMBER(K589),ISNUMBER(T589)),K589*T589*52/12,"")</f>
        <v>3119.22</v>
      </c>
      <c r="V589" s="15" t="n">
        <v>3.8</v>
      </c>
      <c r="W589" s="37" t="n">
        <v>51</v>
      </c>
      <c r="X589" s="39" t="n">
        <v>46307</v>
      </c>
      <c r="Y589" s="15" t="n">
        <v>2</v>
      </c>
      <c r="Z589" s="40" t="n">
        <v>45819</v>
      </c>
      <c r="AA589" s="41" t="n">
        <f aca="false">IF(ISNUMBER(Z589),(DATE(2026,10,13)-Z589)/365,"")</f>
        <v>1.33972602739726</v>
      </c>
      <c r="AB589" s="37" t="n">
        <v>141</v>
      </c>
      <c r="AC589" s="15" t="s">
        <v>313</v>
      </c>
      <c r="AD589" s="15" t="n">
        <v>1</v>
      </c>
      <c r="AE589" s="15" t="s">
        <v>331</v>
      </c>
      <c r="AF589" s="42" t="n">
        <v>0</v>
      </c>
      <c r="AG589" s="42" t="n">
        <v>0</v>
      </c>
      <c r="AH589" s="15" t="n">
        <v>56</v>
      </c>
      <c r="AI589" s="37"/>
      <c r="AJ589" s="37"/>
      <c r="AK589" s="15"/>
      <c r="AL589" s="43"/>
      <c r="AM589" s="43"/>
      <c r="AN589" s="25" t="str">
        <f aca="false">IF(AND(ISNUMBER(AM589),ISNUMBER(AL589),AL589&gt;=5),AM589/AL589,"")</f>
        <v/>
      </c>
      <c r="AO589" s="43"/>
      <c r="AP589" s="43"/>
      <c r="AQ589" s="25" t="str">
        <f aca="false">IF(AND(ISNUMBER(AP589),ISNUMBER(AO589),AO589&gt;=5),AP589/AO589,"")</f>
        <v/>
      </c>
      <c r="AR589" s="43"/>
      <c r="AS589" s="43"/>
      <c r="AT589" s="22" t="str">
        <f aca="false">IF(AND(ISNUMBER(AS589),ISNUMBER(AR589),AR589&gt;0),AS589/AR589-1,"")</f>
        <v/>
      </c>
      <c r="AU589" s="44"/>
      <c r="AV589" s="44"/>
      <c r="AW589" s="44"/>
      <c r="AX589" s="44"/>
      <c r="AY589" s="44"/>
      <c r="AZ589" s="45"/>
      <c r="BA589" s="45"/>
      <c r="BB589" s="46"/>
      <c r="BC589" s="46"/>
      <c r="BD589" s="23" t="str">
        <f aca="false">IF(AND(ISNUMBER(BB589),ISNUMBER(BC589),BB589&gt;0),1-BC589/BB589,"")</f>
        <v/>
      </c>
      <c r="BE589" s="47"/>
      <c r="BF589" s="48"/>
      <c r="BG589" s="48"/>
      <c r="BH589" s="27" t="str">
        <f aca="false">IF(AND(ISNUMBER(BF589),ISNUMBER(BG589),BG589&gt;0),BF589/BG589,"")</f>
        <v/>
      </c>
      <c r="BI589" s="48"/>
      <c r="BJ589" s="44"/>
      <c r="BK589" s="46"/>
      <c r="BL589" s="46"/>
      <c r="BM589" s="36" t="str">
        <f aca="false">IF(ISNUMBER(Q589),IF(Q589&lt;0,"YES","no"),"")</f>
        <v>no</v>
      </c>
      <c r="BN589" s="36" t="str">
        <f aca="false">IFERROR(IF(AND(ISNUMBER(K589),ISNUMBER(INDEX('Lift Inputs'!$H:$H,MATCH(C589,'Lift Inputs'!$C:$C,0)))),IF(K589&lt;INDEX('Lift Inputs'!$H:$H,MATCH(C589,'Lift Inputs'!$C:$C,0)),"YES","no"),""),"")</f>
        <v/>
      </c>
      <c r="BO589" s="44"/>
    </row>
    <row r="590" customFormat="false" ht="15" hidden="false" customHeight="false" outlineLevel="0" collapsed="false">
      <c r="A590" s="15" t="s">
        <v>144</v>
      </c>
      <c r="B590" s="15" t="s">
        <v>154</v>
      </c>
      <c r="C590" s="15" t="n">
        <v>58</v>
      </c>
      <c r="D590" s="15" t="s">
        <v>144</v>
      </c>
      <c r="E590" s="15" t="n">
        <v>405</v>
      </c>
      <c r="F590" s="15" t="s">
        <v>1260</v>
      </c>
      <c r="G590" s="15" t="s">
        <v>1261</v>
      </c>
      <c r="H590" s="15" t="s">
        <v>1262</v>
      </c>
      <c r="I590" s="15" t="s">
        <v>1263</v>
      </c>
      <c r="J590" s="15" t="s">
        <v>177</v>
      </c>
      <c r="K590" s="35" t="n">
        <v>31.99</v>
      </c>
      <c r="L590" s="35"/>
      <c r="M590" s="23" t="str">
        <f aca="false">IF(AND(ISNUMBER(L590),ISNUMBER(K590),K590&gt;0),L590/K590-1,"")</f>
        <v/>
      </c>
      <c r="N590" s="36" t="str">
        <f aca="false">IF(M590="","No List Price",IF(M590&lt;=0,"At/below price",IF(M590&lt;=0.12,"&lt;=12% (STR zone)",IF(M590&lt;=0.25,"12-25%","&gt;25% (likely ignored)"))))</f>
        <v>No List Price</v>
      </c>
      <c r="O590" s="15"/>
      <c r="P590" s="35" t="n">
        <v>37.95</v>
      </c>
      <c r="Q590" s="22" t="n">
        <f aca="false">IF(AND(ISNUMBER(K590),ISNUMBER(P590),N(P590)&gt;0),K590/P590-1,"")</f>
        <v>-0.157048748353096</v>
      </c>
      <c r="R590" s="15" t="s">
        <v>512</v>
      </c>
      <c r="S590" s="37" t="n">
        <v>736260</v>
      </c>
      <c r="T590" s="37" t="n">
        <v>5</v>
      </c>
      <c r="U590" s="38" t="n">
        <f aca="false">IF(AND(ISNUMBER(K590),ISNUMBER(T590)),K590*T590*52/12,"")</f>
        <v>693.116666666667</v>
      </c>
      <c r="V590" s="15" t="n">
        <v>3.5</v>
      </c>
      <c r="W590" s="37" t="n">
        <v>198</v>
      </c>
      <c r="X590" s="39" t="n">
        <v>46307</v>
      </c>
      <c r="Y590" s="15" t="n">
        <v>1</v>
      </c>
      <c r="Z590" s="40" t="n">
        <v>45246</v>
      </c>
      <c r="AA590" s="41" t="n">
        <f aca="false">IF(ISNUMBER(Z590),(DATE(2026,10,13)-Z590)/365,"")</f>
        <v>2.90958904109589</v>
      </c>
      <c r="AB590" s="37" t="n">
        <v>26</v>
      </c>
      <c r="AC590" s="15" t="s">
        <v>465</v>
      </c>
      <c r="AD590" s="15" t="n">
        <v>0</v>
      </c>
      <c r="AE590" s="15" t="s">
        <v>466</v>
      </c>
      <c r="AF590" s="42" t="n">
        <v>0</v>
      </c>
      <c r="AG590" s="42" t="n">
        <v>0</v>
      </c>
      <c r="AH590" s="15" t="n">
        <v>0</v>
      </c>
      <c r="AI590" s="37"/>
      <c r="AJ590" s="37"/>
      <c r="AK590" s="15"/>
      <c r="AL590" s="43"/>
      <c r="AM590" s="43"/>
      <c r="AN590" s="25" t="str">
        <f aca="false">IF(AND(ISNUMBER(AM590),ISNUMBER(AL590),AL590&gt;=5),AM590/AL590,"")</f>
        <v/>
      </c>
      <c r="AO590" s="43"/>
      <c r="AP590" s="43"/>
      <c r="AQ590" s="25" t="str">
        <f aca="false">IF(AND(ISNUMBER(AP590),ISNUMBER(AO590),AO590&gt;=5),AP590/AO590,"")</f>
        <v/>
      </c>
      <c r="AR590" s="43"/>
      <c r="AS590" s="43"/>
      <c r="AT590" s="22" t="str">
        <f aca="false">IF(AND(ISNUMBER(AS590),ISNUMBER(AR590),AR590&gt;0),AS590/AR590-1,"")</f>
        <v/>
      </c>
      <c r="AU590" s="44"/>
      <c r="AV590" s="44"/>
      <c r="AW590" s="44"/>
      <c r="AX590" s="44"/>
      <c r="AY590" s="44"/>
      <c r="AZ590" s="45"/>
      <c r="BA590" s="45"/>
      <c r="BB590" s="46"/>
      <c r="BC590" s="46"/>
      <c r="BD590" s="23" t="str">
        <f aca="false">IF(AND(ISNUMBER(BB590),ISNUMBER(BC590),BB590&gt;0),1-BC590/BB590,"")</f>
        <v/>
      </c>
      <c r="BE590" s="47"/>
      <c r="BF590" s="48"/>
      <c r="BG590" s="48"/>
      <c r="BH590" s="27" t="str">
        <f aca="false">IF(AND(ISNUMBER(BF590),ISNUMBER(BG590),BG590&gt;0),BF590/BG590,"")</f>
        <v/>
      </c>
      <c r="BI590" s="48"/>
      <c r="BJ590" s="44"/>
      <c r="BK590" s="46"/>
      <c r="BL590" s="46"/>
      <c r="BM590" s="36" t="str">
        <f aca="false">IF(ISNUMBER(Q590),IF(Q590&lt;0,"YES","no"),"")</f>
        <v>YES</v>
      </c>
      <c r="BN590" s="36" t="str">
        <f aca="false">IFERROR(IF(AND(ISNUMBER(K590),ISNUMBER(INDEX('Lift Inputs'!$H:$H,MATCH(C590,'Lift Inputs'!$C:$C,0)))),IF(K590&lt;INDEX('Lift Inputs'!$H:$H,MATCH(C590,'Lift Inputs'!$C:$C,0)),"YES","no"),""),"")</f>
        <v/>
      </c>
      <c r="BO590" s="44"/>
    </row>
    <row r="591" customFormat="false" ht="15" hidden="false" customHeight="false" outlineLevel="0" collapsed="false">
      <c r="A591" s="15" t="s">
        <v>144</v>
      </c>
      <c r="B591" s="15" t="s">
        <v>154</v>
      </c>
      <c r="C591" s="15" t="n">
        <v>58</v>
      </c>
      <c r="D591" s="15" t="s">
        <v>144</v>
      </c>
      <c r="E591" s="15" t="n">
        <v>1733</v>
      </c>
      <c r="F591" s="15" t="s">
        <v>1264</v>
      </c>
      <c r="G591" s="15" t="s">
        <v>1265</v>
      </c>
      <c r="H591" s="15" t="s">
        <v>1266</v>
      </c>
      <c r="I591" s="15" t="s">
        <v>1233</v>
      </c>
      <c r="J591" s="15" t="s">
        <v>177</v>
      </c>
      <c r="K591" s="35" t="n">
        <v>40.99</v>
      </c>
      <c r="L591" s="35"/>
      <c r="M591" s="23" t="str">
        <f aca="false">IF(AND(ISNUMBER(L591),ISNUMBER(K591),K591&gt;0),L591/K591-1,"")</f>
        <v/>
      </c>
      <c r="N591" s="36" t="str">
        <f aca="false">IF(M591="","No List Price",IF(M591&lt;=0,"At/below price",IF(M591&lt;=0.12,"&lt;=12% (STR zone)",IF(M591&lt;=0.25,"12-25%","&gt;25% (likely ignored)"))))</f>
        <v>No List Price</v>
      </c>
      <c r="O591" s="15"/>
      <c r="P591" s="35" t="n">
        <v>37.95</v>
      </c>
      <c r="Q591" s="22" t="n">
        <f aca="false">IF(AND(ISNUMBER(K591),ISNUMBER(P591),N(P591)&gt;0),K591/P591-1,"")</f>
        <v>0.0801054018445322</v>
      </c>
      <c r="R591" s="15" t="s">
        <v>512</v>
      </c>
      <c r="S591" s="37" t="n">
        <v>203350</v>
      </c>
      <c r="T591" s="37" t="n">
        <v>5</v>
      </c>
      <c r="U591" s="38" t="n">
        <f aca="false">IF(AND(ISNUMBER(K591),ISNUMBER(T591)),K591*T591*52/12,"")</f>
        <v>888.116666666667</v>
      </c>
      <c r="V591" s="15" t="n">
        <v>4.5</v>
      </c>
      <c r="W591" s="37" t="n">
        <v>557</v>
      </c>
      <c r="X591" s="39" t="n">
        <v>46307</v>
      </c>
      <c r="Y591" s="15"/>
      <c r="Z591" s="40"/>
      <c r="AA591" s="41" t="str">
        <f aca="false">IF(ISNUMBER(Z591),(DATE(2026,10,13)-Z591)/365,"")</f>
        <v/>
      </c>
      <c r="AB591" s="37"/>
      <c r="AC591" s="15"/>
      <c r="AD591" s="15"/>
      <c r="AE591" s="15"/>
      <c r="AF591" s="42"/>
      <c r="AG591" s="42"/>
      <c r="AH591" s="15"/>
      <c r="AI591" s="37"/>
      <c r="AJ591" s="37"/>
      <c r="AK591" s="15"/>
      <c r="AL591" s="43"/>
      <c r="AM591" s="43"/>
      <c r="AN591" s="25" t="str">
        <f aca="false">IF(AND(ISNUMBER(AM591),ISNUMBER(AL591),AL591&gt;=5),AM591/AL591,"")</f>
        <v/>
      </c>
      <c r="AO591" s="43"/>
      <c r="AP591" s="43"/>
      <c r="AQ591" s="25" t="str">
        <f aca="false">IF(AND(ISNUMBER(AP591),ISNUMBER(AO591),AO591&gt;=5),AP591/AO591,"")</f>
        <v/>
      </c>
      <c r="AR591" s="43"/>
      <c r="AS591" s="43"/>
      <c r="AT591" s="22" t="str">
        <f aca="false">IF(AND(ISNUMBER(AS591),ISNUMBER(AR591),AR591&gt;0),AS591/AR591-1,"")</f>
        <v/>
      </c>
      <c r="AU591" s="44"/>
      <c r="AV591" s="44"/>
      <c r="AW591" s="44"/>
      <c r="AX591" s="44"/>
      <c r="AY591" s="44"/>
      <c r="AZ591" s="45"/>
      <c r="BA591" s="45"/>
      <c r="BB591" s="46"/>
      <c r="BC591" s="46"/>
      <c r="BD591" s="23" t="str">
        <f aca="false">IF(AND(ISNUMBER(BB591),ISNUMBER(BC591),BB591&gt;0),1-BC591/BB591,"")</f>
        <v/>
      </c>
      <c r="BE591" s="47"/>
      <c r="BF591" s="48"/>
      <c r="BG591" s="48"/>
      <c r="BH591" s="27" t="str">
        <f aca="false">IF(AND(ISNUMBER(BF591),ISNUMBER(BG591),BG591&gt;0),BF591/BG591,"")</f>
        <v/>
      </c>
      <c r="BI591" s="48"/>
      <c r="BJ591" s="44"/>
      <c r="BK591" s="46"/>
      <c r="BL591" s="46"/>
      <c r="BM591" s="36" t="str">
        <f aca="false">IF(ISNUMBER(Q591),IF(Q591&lt;0,"YES","no"),"")</f>
        <v>no</v>
      </c>
      <c r="BN591" s="36" t="str">
        <f aca="false">IFERROR(IF(AND(ISNUMBER(K591),ISNUMBER(INDEX('Lift Inputs'!$H:$H,MATCH(C591,'Lift Inputs'!$C:$C,0)))),IF(K591&lt;INDEX('Lift Inputs'!$H:$H,MATCH(C591,'Lift Inputs'!$C:$C,0)),"YES","no"),""),"")</f>
        <v/>
      </c>
      <c r="BO591" s="44"/>
    </row>
    <row r="592" customFormat="false" ht="15" hidden="false" customHeight="false" outlineLevel="0" collapsed="false">
      <c r="A592" s="15" t="s">
        <v>144</v>
      </c>
      <c r="B592" s="15" t="s">
        <v>154</v>
      </c>
      <c r="C592" s="15" t="n">
        <v>58</v>
      </c>
      <c r="D592" s="15" t="s">
        <v>144</v>
      </c>
      <c r="E592" s="15" t="n">
        <v>1731</v>
      </c>
      <c r="F592" s="15" t="s">
        <v>1267</v>
      </c>
      <c r="G592" s="15" t="s">
        <v>1268</v>
      </c>
      <c r="H592" s="15" t="s">
        <v>1269</v>
      </c>
      <c r="I592" s="15" t="s">
        <v>1270</v>
      </c>
      <c r="J592" s="15" t="s">
        <v>177</v>
      </c>
      <c r="K592" s="35" t="n">
        <v>23.99</v>
      </c>
      <c r="L592" s="35" t="n">
        <v>26.99</v>
      </c>
      <c r="M592" s="23" t="n">
        <f aca="false">IF(AND(ISNUMBER(L592),ISNUMBER(K592),K592&gt;0),L592/K592-1,"")</f>
        <v>0.125052105043768</v>
      </c>
      <c r="N592" s="36" t="str">
        <f aca="false">IF(M592="","No List Price",IF(M592&lt;=0,"At/below price",IF(M592&lt;=0.12,"&lt;=12% (STR zone)",IF(M592&lt;=0.25,"12-25%","&gt;25% (likely ignored)"))))</f>
        <v>12-25%</v>
      </c>
      <c r="O592" s="15"/>
      <c r="P592" s="35" t="n">
        <v>37.95</v>
      </c>
      <c r="Q592" s="22" t="n">
        <f aca="false">IF(AND(ISNUMBER(K592),ISNUMBER(P592),N(P592)&gt;0),K592/P592-1,"")</f>
        <v>-0.367852437417655</v>
      </c>
      <c r="R592" s="15" t="s">
        <v>512</v>
      </c>
      <c r="S592" s="37" t="n">
        <v>854564</v>
      </c>
      <c r="T592" s="37" t="n">
        <v>5</v>
      </c>
      <c r="U592" s="38" t="n">
        <f aca="false">IF(AND(ISNUMBER(K592),ISNUMBER(T592)),K592*T592*52/12,"")</f>
        <v>519.783333333333</v>
      </c>
      <c r="V592" s="15" t="n">
        <v>4</v>
      </c>
      <c r="W592" s="37" t="n">
        <v>54</v>
      </c>
      <c r="X592" s="39" t="n">
        <v>46307</v>
      </c>
      <c r="Y592" s="15" t="n">
        <v>1</v>
      </c>
      <c r="Z592" s="40" t="n">
        <v>45868</v>
      </c>
      <c r="AA592" s="41" t="n">
        <f aca="false">IF(ISNUMBER(Z592),(DATE(2026,10,13)-Z592)/365,"")</f>
        <v>1.20547945205479</v>
      </c>
      <c r="AB592" s="37" t="n">
        <v>19</v>
      </c>
      <c r="AC592" s="15" t="s">
        <v>313</v>
      </c>
      <c r="AD592" s="15" t="n">
        <v>1</v>
      </c>
      <c r="AE592" s="15" t="s">
        <v>331</v>
      </c>
      <c r="AF592" s="42" t="n">
        <v>0</v>
      </c>
      <c r="AG592" s="42" t="n">
        <v>0</v>
      </c>
      <c r="AH592" s="15" t="n">
        <v>9</v>
      </c>
      <c r="AI592" s="37"/>
      <c r="AJ592" s="37"/>
      <c r="AK592" s="15"/>
      <c r="AL592" s="43"/>
      <c r="AM592" s="43"/>
      <c r="AN592" s="25" t="str">
        <f aca="false">IF(AND(ISNUMBER(AM592),ISNUMBER(AL592),AL592&gt;=5),AM592/AL592,"")</f>
        <v/>
      </c>
      <c r="AO592" s="43"/>
      <c r="AP592" s="43"/>
      <c r="AQ592" s="25" t="str">
        <f aca="false">IF(AND(ISNUMBER(AP592),ISNUMBER(AO592),AO592&gt;=5),AP592/AO592,"")</f>
        <v/>
      </c>
      <c r="AR592" s="43"/>
      <c r="AS592" s="43"/>
      <c r="AT592" s="22" t="str">
        <f aca="false">IF(AND(ISNUMBER(AS592),ISNUMBER(AR592),AR592&gt;0),AS592/AR592-1,"")</f>
        <v/>
      </c>
      <c r="AU592" s="44"/>
      <c r="AV592" s="44"/>
      <c r="AW592" s="44"/>
      <c r="AX592" s="44"/>
      <c r="AY592" s="44"/>
      <c r="AZ592" s="45"/>
      <c r="BA592" s="45"/>
      <c r="BB592" s="46"/>
      <c r="BC592" s="46"/>
      <c r="BD592" s="23" t="str">
        <f aca="false">IF(AND(ISNUMBER(BB592),ISNUMBER(BC592),BB592&gt;0),1-BC592/BB592,"")</f>
        <v/>
      </c>
      <c r="BE592" s="47"/>
      <c r="BF592" s="48"/>
      <c r="BG592" s="48"/>
      <c r="BH592" s="27" t="str">
        <f aca="false">IF(AND(ISNUMBER(BF592),ISNUMBER(BG592),BG592&gt;0),BF592/BG592,"")</f>
        <v/>
      </c>
      <c r="BI592" s="48"/>
      <c r="BJ592" s="44"/>
      <c r="BK592" s="46"/>
      <c r="BL592" s="46"/>
      <c r="BM592" s="36" t="str">
        <f aca="false">IF(ISNUMBER(Q592),IF(Q592&lt;0,"YES","no"),"")</f>
        <v>YES</v>
      </c>
      <c r="BN592" s="36" t="str">
        <f aca="false">IFERROR(IF(AND(ISNUMBER(K592),ISNUMBER(INDEX('Lift Inputs'!$H:$H,MATCH(C592,'Lift Inputs'!$C:$C,0)))),IF(K592&lt;INDEX('Lift Inputs'!$H:$H,MATCH(C592,'Lift Inputs'!$C:$C,0)),"YES","no"),""),"")</f>
        <v/>
      </c>
      <c r="BO592" s="44"/>
    </row>
    <row r="593" customFormat="false" ht="15" hidden="false" customHeight="false" outlineLevel="0" collapsed="false">
      <c r="A593" s="15" t="s">
        <v>144</v>
      </c>
      <c r="B593" s="15" t="s">
        <v>154</v>
      </c>
      <c r="C593" s="15" t="n">
        <v>58</v>
      </c>
      <c r="D593" s="15" t="s">
        <v>144</v>
      </c>
      <c r="E593" s="15" t="n">
        <v>1721</v>
      </c>
      <c r="F593" s="15" t="s">
        <v>1271</v>
      </c>
      <c r="G593" s="15" t="s">
        <v>1272</v>
      </c>
      <c r="H593" s="15" t="s">
        <v>1273</v>
      </c>
      <c r="I593" s="15" t="s">
        <v>1233</v>
      </c>
      <c r="J593" s="15" t="s">
        <v>177</v>
      </c>
      <c r="K593" s="35" t="n">
        <v>25.99</v>
      </c>
      <c r="L593" s="35"/>
      <c r="M593" s="23" t="str">
        <f aca="false">IF(AND(ISNUMBER(L593),ISNUMBER(K593),K593&gt;0),L593/K593-1,"")</f>
        <v/>
      </c>
      <c r="N593" s="36" t="str">
        <f aca="false">IF(M593="","No List Price",IF(M593&lt;=0,"At/below price",IF(M593&lt;=0.12,"&lt;=12% (STR zone)",IF(M593&lt;=0.25,"12-25%","&gt;25% (likely ignored)"))))</f>
        <v>No List Price</v>
      </c>
      <c r="O593" s="15"/>
      <c r="P593" s="35" t="n">
        <v>37.95</v>
      </c>
      <c r="Q593" s="22" t="n">
        <f aca="false">IF(AND(ISNUMBER(K593),ISNUMBER(P593),N(P593)&gt;0),K593/P593-1,"")</f>
        <v>-0.315151515151515</v>
      </c>
      <c r="R593" s="15" t="s">
        <v>512</v>
      </c>
      <c r="S593" s="37" t="n">
        <v>89173</v>
      </c>
      <c r="T593" s="37" t="n">
        <v>5</v>
      </c>
      <c r="U593" s="38" t="n">
        <f aca="false">IF(AND(ISNUMBER(K593),ISNUMBER(T593)),K593*T593*52/12,"")</f>
        <v>563.116666666667</v>
      </c>
      <c r="V593" s="15" t="n">
        <v>4</v>
      </c>
      <c r="W593" s="37" t="n">
        <v>129</v>
      </c>
      <c r="X593" s="39" t="n">
        <v>46307</v>
      </c>
      <c r="Y593" s="15"/>
      <c r="Z593" s="40"/>
      <c r="AA593" s="41" t="str">
        <f aca="false">IF(ISNUMBER(Z593),(DATE(2026,10,13)-Z593)/365,"")</f>
        <v/>
      </c>
      <c r="AB593" s="37"/>
      <c r="AC593" s="15"/>
      <c r="AD593" s="15"/>
      <c r="AE593" s="15"/>
      <c r="AF593" s="42"/>
      <c r="AG593" s="42"/>
      <c r="AH593" s="15"/>
      <c r="AI593" s="37"/>
      <c r="AJ593" s="37"/>
      <c r="AK593" s="15"/>
      <c r="AL593" s="43"/>
      <c r="AM593" s="43"/>
      <c r="AN593" s="25" t="str">
        <f aca="false">IF(AND(ISNUMBER(AM593),ISNUMBER(AL593),AL593&gt;=5),AM593/AL593,"")</f>
        <v/>
      </c>
      <c r="AO593" s="43"/>
      <c r="AP593" s="43"/>
      <c r="AQ593" s="25" t="str">
        <f aca="false">IF(AND(ISNUMBER(AP593),ISNUMBER(AO593),AO593&gt;=5),AP593/AO593,"")</f>
        <v/>
      </c>
      <c r="AR593" s="43"/>
      <c r="AS593" s="43"/>
      <c r="AT593" s="22" t="str">
        <f aca="false">IF(AND(ISNUMBER(AS593),ISNUMBER(AR593),AR593&gt;0),AS593/AR593-1,"")</f>
        <v/>
      </c>
      <c r="AU593" s="44"/>
      <c r="AV593" s="44"/>
      <c r="AW593" s="44"/>
      <c r="AX593" s="44"/>
      <c r="AY593" s="44"/>
      <c r="AZ593" s="45"/>
      <c r="BA593" s="45"/>
      <c r="BB593" s="46"/>
      <c r="BC593" s="46"/>
      <c r="BD593" s="23" t="str">
        <f aca="false">IF(AND(ISNUMBER(BB593),ISNUMBER(BC593),BB593&gt;0),1-BC593/BB593,"")</f>
        <v/>
      </c>
      <c r="BE593" s="47"/>
      <c r="BF593" s="48"/>
      <c r="BG593" s="48"/>
      <c r="BH593" s="27" t="str">
        <f aca="false">IF(AND(ISNUMBER(BF593),ISNUMBER(BG593),BG593&gt;0),BF593/BG593,"")</f>
        <v/>
      </c>
      <c r="BI593" s="48"/>
      <c r="BJ593" s="44"/>
      <c r="BK593" s="46"/>
      <c r="BL593" s="46"/>
      <c r="BM593" s="36" t="str">
        <f aca="false">IF(ISNUMBER(Q593),IF(Q593&lt;0,"YES","no"),"")</f>
        <v>YES</v>
      </c>
      <c r="BN593" s="36" t="str">
        <f aca="false">IFERROR(IF(AND(ISNUMBER(K593),ISNUMBER(INDEX('Lift Inputs'!$H:$H,MATCH(C593,'Lift Inputs'!$C:$C,0)))),IF(K593&lt;INDEX('Lift Inputs'!$H:$H,MATCH(C593,'Lift Inputs'!$C:$C,0)),"YES","no"),""),"")</f>
        <v/>
      </c>
      <c r="BO593" s="44"/>
    </row>
    <row r="594" customFormat="false" ht="15" hidden="false" customHeight="false" outlineLevel="0" collapsed="false">
      <c r="A594" s="15" t="s">
        <v>144</v>
      </c>
      <c r="B594" s="15" t="s">
        <v>154</v>
      </c>
      <c r="C594" s="15" t="n">
        <v>58</v>
      </c>
      <c r="D594" s="15" t="s">
        <v>144</v>
      </c>
      <c r="E594" s="15" t="n">
        <v>1732</v>
      </c>
      <c r="F594" s="15" t="s">
        <v>1274</v>
      </c>
      <c r="G594" s="15" t="s">
        <v>1275</v>
      </c>
      <c r="H594" s="15" t="s">
        <v>1276</v>
      </c>
      <c r="I594" s="15" t="s">
        <v>1233</v>
      </c>
      <c r="J594" s="15" t="s">
        <v>177</v>
      </c>
      <c r="K594" s="35" t="n">
        <v>25.49</v>
      </c>
      <c r="L594" s="35" t="n">
        <v>29.99</v>
      </c>
      <c r="M594" s="23" t="n">
        <f aca="false">IF(AND(ISNUMBER(L594),ISNUMBER(K594),K594&gt;0),L594/K594-1,"")</f>
        <v>0.176539819537073</v>
      </c>
      <c r="N594" s="36" t="str">
        <f aca="false">IF(M594="","No List Price",IF(M594&lt;=0,"At/below price",IF(M594&lt;=0.12,"&lt;=12% (STR zone)",IF(M594&lt;=0.25,"12-25%","&gt;25% (likely ignored)"))))</f>
        <v>12-25%</v>
      </c>
      <c r="O594" s="15"/>
      <c r="P594" s="35" t="n">
        <v>37.95</v>
      </c>
      <c r="Q594" s="22" t="n">
        <f aca="false">IF(AND(ISNUMBER(K594),ISNUMBER(P594),N(P594)&gt;0),K594/P594-1,"")</f>
        <v>-0.32832674571805</v>
      </c>
      <c r="R594" s="15" t="s">
        <v>512</v>
      </c>
      <c r="S594" s="37" t="n">
        <v>111258</v>
      </c>
      <c r="T594" s="37" t="n">
        <v>5</v>
      </c>
      <c r="U594" s="38" t="n">
        <f aca="false">IF(AND(ISNUMBER(K594),ISNUMBER(T594)),K594*T594*52/12,"")</f>
        <v>552.283333333333</v>
      </c>
      <c r="V594" s="15" t="n">
        <v>3.8</v>
      </c>
      <c r="W594" s="37" t="n">
        <v>233</v>
      </c>
      <c r="X594" s="39" t="n">
        <v>46307</v>
      </c>
      <c r="Y594" s="15"/>
      <c r="Z594" s="40"/>
      <c r="AA594" s="41" t="str">
        <f aca="false">IF(ISNUMBER(Z594),(DATE(2026,10,13)-Z594)/365,"")</f>
        <v/>
      </c>
      <c r="AB594" s="37"/>
      <c r="AC594" s="15"/>
      <c r="AD594" s="15"/>
      <c r="AE594" s="15"/>
      <c r="AF594" s="42"/>
      <c r="AG594" s="42"/>
      <c r="AH594" s="15"/>
      <c r="AI594" s="37"/>
      <c r="AJ594" s="37"/>
      <c r="AK594" s="15"/>
      <c r="AL594" s="43"/>
      <c r="AM594" s="43"/>
      <c r="AN594" s="25" t="str">
        <f aca="false">IF(AND(ISNUMBER(AM594),ISNUMBER(AL594),AL594&gt;=5),AM594/AL594,"")</f>
        <v/>
      </c>
      <c r="AO594" s="43"/>
      <c r="AP594" s="43"/>
      <c r="AQ594" s="25" t="str">
        <f aca="false">IF(AND(ISNUMBER(AP594),ISNUMBER(AO594),AO594&gt;=5),AP594/AO594,"")</f>
        <v/>
      </c>
      <c r="AR594" s="43"/>
      <c r="AS594" s="43"/>
      <c r="AT594" s="22" t="str">
        <f aca="false">IF(AND(ISNUMBER(AS594),ISNUMBER(AR594),AR594&gt;0),AS594/AR594-1,"")</f>
        <v/>
      </c>
      <c r="AU594" s="44"/>
      <c r="AV594" s="44"/>
      <c r="AW594" s="44"/>
      <c r="AX594" s="44"/>
      <c r="AY594" s="44"/>
      <c r="AZ594" s="45"/>
      <c r="BA594" s="45"/>
      <c r="BB594" s="46"/>
      <c r="BC594" s="46"/>
      <c r="BD594" s="23" t="str">
        <f aca="false">IF(AND(ISNUMBER(BB594),ISNUMBER(BC594),BB594&gt;0),1-BC594/BB594,"")</f>
        <v/>
      </c>
      <c r="BE594" s="47"/>
      <c r="BF594" s="48"/>
      <c r="BG594" s="48"/>
      <c r="BH594" s="27" t="str">
        <f aca="false">IF(AND(ISNUMBER(BF594),ISNUMBER(BG594),BG594&gt;0),BF594/BG594,"")</f>
        <v/>
      </c>
      <c r="BI594" s="48"/>
      <c r="BJ594" s="44"/>
      <c r="BK594" s="46"/>
      <c r="BL594" s="46"/>
      <c r="BM594" s="36" t="str">
        <f aca="false">IF(ISNUMBER(Q594),IF(Q594&lt;0,"YES","no"),"")</f>
        <v>YES</v>
      </c>
      <c r="BN594" s="36" t="str">
        <f aca="false">IFERROR(IF(AND(ISNUMBER(K594),ISNUMBER(INDEX('Lift Inputs'!$H:$H,MATCH(C594,'Lift Inputs'!$C:$C,0)))),IF(K594&lt;INDEX('Lift Inputs'!$H:$H,MATCH(C594,'Lift Inputs'!$C:$C,0)),"YES","no"),""),"")</f>
        <v/>
      </c>
      <c r="BO594" s="44"/>
    </row>
    <row r="595" customFormat="false" ht="15" hidden="false" customHeight="false" outlineLevel="0" collapsed="false">
      <c r="A595" s="15" t="s">
        <v>144</v>
      </c>
      <c r="B595" s="15" t="s">
        <v>154</v>
      </c>
      <c r="C595" s="15" t="n">
        <v>58</v>
      </c>
      <c r="D595" s="15" t="s">
        <v>144</v>
      </c>
      <c r="E595" s="15" t="n">
        <v>410</v>
      </c>
      <c r="F595" s="15" t="s">
        <v>1277</v>
      </c>
      <c r="G595" s="15" t="s">
        <v>1278</v>
      </c>
      <c r="H595" s="15" t="s">
        <v>1279</v>
      </c>
      <c r="I595" s="15" t="s">
        <v>1280</v>
      </c>
      <c r="J595" s="15"/>
      <c r="K595" s="35" t="n">
        <v>17.99</v>
      </c>
      <c r="L595" s="35"/>
      <c r="M595" s="23" t="str">
        <f aca="false">IF(AND(ISNUMBER(L595),ISNUMBER(K595),K595&gt;0),L595/K595-1,"")</f>
        <v/>
      </c>
      <c r="N595" s="36" t="str">
        <f aca="false">IF(M595="","No List Price",IF(M595&lt;=0,"At/below price",IF(M595&lt;=0.12,"&lt;=12% (STR zone)",IF(M595&lt;=0.25,"12-25%","&gt;25% (likely ignored)"))))</f>
        <v>No List Price</v>
      </c>
      <c r="O595" s="15"/>
      <c r="P595" s="35" t="n">
        <v>37.95</v>
      </c>
      <c r="Q595" s="22" t="n">
        <f aca="false">IF(AND(ISNUMBER(K595),ISNUMBER(P595),N(P595)&gt;0),K595/P595-1,"")</f>
        <v>-0.525955204216074</v>
      </c>
      <c r="R595" s="15" t="s">
        <v>512</v>
      </c>
      <c r="S595" s="37" t="n">
        <v>1671691</v>
      </c>
      <c r="T595" s="37" t="n">
        <v>5</v>
      </c>
      <c r="U595" s="38" t="n">
        <f aca="false">IF(AND(ISNUMBER(K595),ISNUMBER(T595)),K595*T595*52/12,"")</f>
        <v>389.783333333333</v>
      </c>
      <c r="V595" s="15" t="n">
        <v>3.9</v>
      </c>
      <c r="W595" s="37" t="n">
        <v>17</v>
      </c>
      <c r="X595" s="39" t="n">
        <v>46307</v>
      </c>
      <c r="Y595" s="15" t="n">
        <v>1</v>
      </c>
      <c r="Z595" s="40" t="n">
        <v>46037</v>
      </c>
      <c r="AA595" s="41" t="n">
        <f aca="false">IF(ISNUMBER(Z595),(DATE(2026,10,13)-Z595)/365,"")</f>
        <v>0.742465753424658</v>
      </c>
      <c r="AB595" s="37" t="n">
        <v>9</v>
      </c>
      <c r="AC595" s="15" t="s">
        <v>465</v>
      </c>
      <c r="AD595" s="15" t="n">
        <v>0</v>
      </c>
      <c r="AE595" s="15" t="s">
        <v>466</v>
      </c>
      <c r="AF595" s="42" t="n">
        <v>0</v>
      </c>
      <c r="AG595" s="42" t="n">
        <v>0</v>
      </c>
      <c r="AH595" s="15" t="n">
        <v>0</v>
      </c>
      <c r="AI595" s="37"/>
      <c r="AJ595" s="37"/>
      <c r="AK595" s="15"/>
      <c r="AL595" s="43"/>
      <c r="AM595" s="43"/>
      <c r="AN595" s="25" t="str">
        <f aca="false">IF(AND(ISNUMBER(AM595),ISNUMBER(AL595),AL595&gt;=5),AM595/AL595,"")</f>
        <v/>
      </c>
      <c r="AO595" s="43"/>
      <c r="AP595" s="43"/>
      <c r="AQ595" s="25" t="str">
        <f aca="false">IF(AND(ISNUMBER(AP595),ISNUMBER(AO595),AO595&gt;=5),AP595/AO595,"")</f>
        <v/>
      </c>
      <c r="AR595" s="43"/>
      <c r="AS595" s="43"/>
      <c r="AT595" s="22" t="str">
        <f aca="false">IF(AND(ISNUMBER(AS595),ISNUMBER(AR595),AR595&gt;0),AS595/AR595-1,"")</f>
        <v/>
      </c>
      <c r="AU595" s="44"/>
      <c r="AV595" s="44"/>
      <c r="AW595" s="44"/>
      <c r="AX595" s="44"/>
      <c r="AY595" s="44"/>
      <c r="AZ595" s="45"/>
      <c r="BA595" s="45"/>
      <c r="BB595" s="46"/>
      <c r="BC595" s="46"/>
      <c r="BD595" s="23" t="str">
        <f aca="false">IF(AND(ISNUMBER(BB595),ISNUMBER(BC595),BB595&gt;0),1-BC595/BB595,"")</f>
        <v/>
      </c>
      <c r="BE595" s="47"/>
      <c r="BF595" s="48"/>
      <c r="BG595" s="48"/>
      <c r="BH595" s="27" t="str">
        <f aca="false">IF(AND(ISNUMBER(BF595),ISNUMBER(BG595),BG595&gt;0),BF595/BG595,"")</f>
        <v/>
      </c>
      <c r="BI595" s="48"/>
      <c r="BJ595" s="44"/>
      <c r="BK595" s="46"/>
      <c r="BL595" s="46"/>
      <c r="BM595" s="36" t="str">
        <f aca="false">IF(ISNUMBER(Q595),IF(Q595&lt;0,"YES","no"),"")</f>
        <v>YES</v>
      </c>
      <c r="BN595" s="36" t="str">
        <f aca="false">IFERROR(IF(AND(ISNUMBER(K595),ISNUMBER(INDEX('Lift Inputs'!$H:$H,MATCH(C595,'Lift Inputs'!$C:$C,0)))),IF(K595&lt;INDEX('Lift Inputs'!$H:$H,MATCH(C595,'Lift Inputs'!$C:$C,0)),"YES","no"),""),"")</f>
        <v/>
      </c>
      <c r="BO595" s="44"/>
    </row>
    <row r="596" customFormat="false" ht="15" hidden="false" customHeight="false" outlineLevel="0" collapsed="false">
      <c r="A596" s="15" t="s">
        <v>144</v>
      </c>
      <c r="B596" s="15" t="s">
        <v>157</v>
      </c>
      <c r="C596" s="15" t="n">
        <v>33</v>
      </c>
      <c r="D596" s="15" t="s">
        <v>144</v>
      </c>
      <c r="E596" s="15" t="n">
        <v>1760</v>
      </c>
      <c r="F596" s="15" t="s">
        <v>1281</v>
      </c>
      <c r="G596" s="15" t="s">
        <v>1282</v>
      </c>
      <c r="H596" s="15" t="s">
        <v>1283</v>
      </c>
      <c r="I596" s="15" t="s">
        <v>1284</v>
      </c>
      <c r="J596" s="15" t="s">
        <v>176</v>
      </c>
      <c r="K596" s="35" t="n">
        <v>20.99</v>
      </c>
      <c r="L596" s="35"/>
      <c r="M596" s="23" t="str">
        <f aca="false">IF(AND(ISNUMBER(L596),ISNUMBER(K596),K596&gt;0),L596/K596-1,"")</f>
        <v/>
      </c>
      <c r="N596" s="36" t="str">
        <f aca="false">IF(M596="","No List Price",IF(M596&lt;=0,"At/below price",IF(M596&lt;=0.12,"&lt;=12% (STR zone)",IF(M596&lt;=0.25,"12-25%","&gt;25% (likely ignored)"))))</f>
        <v>No List Price</v>
      </c>
      <c r="O596" s="15"/>
      <c r="P596" s="35" t="n">
        <v>25.24</v>
      </c>
      <c r="Q596" s="22" t="n">
        <f aca="false">IF(AND(ISNUMBER(K596),ISNUMBER(P596),N(P596)&gt;0),K596/P596-1,"")</f>
        <v>-0.16838351822504</v>
      </c>
      <c r="R596" s="15" t="s">
        <v>512</v>
      </c>
      <c r="S596" s="37" t="n">
        <v>11189</v>
      </c>
      <c r="T596" s="37" t="n">
        <v>347</v>
      </c>
      <c r="U596" s="38" t="n">
        <f aca="false">IF(AND(ISNUMBER(K596),ISNUMBER(T596)),K596*T596*52/12,"")</f>
        <v>31561.9633333333</v>
      </c>
      <c r="V596" s="15" t="n">
        <v>4.6</v>
      </c>
      <c r="W596" s="37" t="n">
        <v>1765</v>
      </c>
      <c r="X596" s="39" t="n">
        <v>46307</v>
      </c>
      <c r="Y596" s="15"/>
      <c r="Z596" s="40"/>
      <c r="AA596" s="41" t="str">
        <f aca="false">IF(ISNUMBER(Z596),(DATE(2026,10,13)-Z596)/365,"")</f>
        <v/>
      </c>
      <c r="AB596" s="37"/>
      <c r="AC596" s="15"/>
      <c r="AD596" s="15"/>
      <c r="AE596" s="15"/>
      <c r="AF596" s="42"/>
      <c r="AG596" s="42"/>
      <c r="AH596" s="15"/>
      <c r="AI596" s="37"/>
      <c r="AJ596" s="37"/>
      <c r="AK596" s="15"/>
      <c r="AL596" s="43"/>
      <c r="AM596" s="43"/>
      <c r="AN596" s="25" t="str">
        <f aca="false">IF(AND(ISNUMBER(AM596),ISNUMBER(AL596),AL596&gt;=5),AM596/AL596,"")</f>
        <v/>
      </c>
      <c r="AO596" s="43"/>
      <c r="AP596" s="43"/>
      <c r="AQ596" s="25" t="str">
        <f aca="false">IF(AND(ISNUMBER(AP596),ISNUMBER(AO596),AO596&gt;=5),AP596/AO596,"")</f>
        <v/>
      </c>
      <c r="AR596" s="43"/>
      <c r="AS596" s="43"/>
      <c r="AT596" s="22" t="str">
        <f aca="false">IF(AND(ISNUMBER(AS596),ISNUMBER(AR596),AR596&gt;0),AS596/AR596-1,"")</f>
        <v/>
      </c>
      <c r="AU596" s="44"/>
      <c r="AV596" s="44"/>
      <c r="AW596" s="44"/>
      <c r="AX596" s="44"/>
      <c r="AY596" s="44"/>
      <c r="AZ596" s="45"/>
      <c r="BA596" s="45"/>
      <c r="BB596" s="46"/>
      <c r="BC596" s="46"/>
      <c r="BD596" s="23" t="str">
        <f aca="false">IF(AND(ISNUMBER(BB596),ISNUMBER(BC596),BB596&gt;0),1-BC596/BB596,"")</f>
        <v/>
      </c>
      <c r="BE596" s="47"/>
      <c r="BF596" s="48"/>
      <c r="BG596" s="48"/>
      <c r="BH596" s="27" t="str">
        <f aca="false">IF(AND(ISNUMBER(BF596),ISNUMBER(BG596),BG596&gt;0),BF596/BG596,"")</f>
        <v/>
      </c>
      <c r="BI596" s="48"/>
      <c r="BJ596" s="44"/>
      <c r="BK596" s="46"/>
      <c r="BL596" s="46"/>
      <c r="BM596" s="36" t="str">
        <f aca="false">IF(ISNUMBER(Q596),IF(Q596&lt;0,"YES","no"),"")</f>
        <v>YES</v>
      </c>
      <c r="BN596" s="36" t="str">
        <f aca="false">IFERROR(IF(AND(ISNUMBER(K596),ISNUMBER(INDEX('Lift Inputs'!$H:$H,MATCH(C596,'Lift Inputs'!$C:$C,0)))),IF(K596&lt;INDEX('Lift Inputs'!$H:$H,MATCH(C596,'Lift Inputs'!$C:$C,0)),"YES","no"),""),"")</f>
        <v/>
      </c>
      <c r="BO596" s="44"/>
    </row>
    <row r="597" customFormat="false" ht="15" hidden="false" customHeight="false" outlineLevel="0" collapsed="false">
      <c r="A597" s="15" t="s">
        <v>144</v>
      </c>
      <c r="B597" s="15" t="s">
        <v>157</v>
      </c>
      <c r="C597" s="15" t="n">
        <v>33</v>
      </c>
      <c r="D597" s="15" t="s">
        <v>144</v>
      </c>
      <c r="E597" s="15" t="n">
        <v>1763</v>
      </c>
      <c r="F597" s="15" t="s">
        <v>1285</v>
      </c>
      <c r="G597" s="15" t="s">
        <v>1286</v>
      </c>
      <c r="H597" s="15" t="s">
        <v>1287</v>
      </c>
      <c r="I597" s="15" t="s">
        <v>1288</v>
      </c>
      <c r="J597" s="15" t="s">
        <v>176</v>
      </c>
      <c r="K597" s="35" t="n">
        <v>19.88</v>
      </c>
      <c r="L597" s="35"/>
      <c r="M597" s="23" t="str">
        <f aca="false">IF(AND(ISNUMBER(L597),ISNUMBER(K597),K597&gt;0),L597/K597-1,"")</f>
        <v/>
      </c>
      <c r="N597" s="36" t="str">
        <f aca="false">IF(M597="","No List Price",IF(M597&lt;=0,"At/below price",IF(M597&lt;=0.12,"&lt;=12% (STR zone)",IF(M597&lt;=0.25,"12-25%","&gt;25% (likely ignored)"))))</f>
        <v>No List Price</v>
      </c>
      <c r="O597" s="15"/>
      <c r="P597" s="35" t="n">
        <v>25.24</v>
      </c>
      <c r="Q597" s="22" t="n">
        <f aca="false">IF(AND(ISNUMBER(K597),ISNUMBER(P597),N(P597)&gt;0),K597/P597-1,"")</f>
        <v>-0.212361331220285</v>
      </c>
      <c r="R597" s="15" t="s">
        <v>512</v>
      </c>
      <c r="S597" s="37" t="n">
        <v>18955</v>
      </c>
      <c r="T597" s="37" t="n">
        <v>173</v>
      </c>
      <c r="U597" s="38" t="n">
        <f aca="false">IF(AND(ISNUMBER(K597),ISNUMBER(T597)),K597*T597*52/12,"")</f>
        <v>14903.3733333333</v>
      </c>
      <c r="V597" s="15" t="n">
        <v>4.6</v>
      </c>
      <c r="W597" s="37" t="n">
        <v>2227</v>
      </c>
      <c r="X597" s="39" t="n">
        <v>46307</v>
      </c>
      <c r="Y597" s="15" t="n">
        <v>71</v>
      </c>
      <c r="Z597" s="40" t="n">
        <v>45274</v>
      </c>
      <c r="AA597" s="41" t="n">
        <f aca="false">IF(ISNUMBER(Z597),(DATE(2026,10,13)-Z597)/365,"")</f>
        <v>2.83287671232877</v>
      </c>
      <c r="AB597" s="37" t="n">
        <v>2462</v>
      </c>
      <c r="AC597" s="15" t="s">
        <v>313</v>
      </c>
      <c r="AD597" s="15" t="n">
        <v>1</v>
      </c>
      <c r="AE597" s="15" t="s">
        <v>331</v>
      </c>
      <c r="AF597" s="42" t="n">
        <v>0</v>
      </c>
      <c r="AG597" s="42" t="n">
        <v>0</v>
      </c>
      <c r="AH597" s="15" t="n">
        <v>288</v>
      </c>
      <c r="AI597" s="37"/>
      <c r="AJ597" s="37"/>
      <c r="AK597" s="15"/>
      <c r="AL597" s="43"/>
      <c r="AM597" s="43"/>
      <c r="AN597" s="25" t="str">
        <f aca="false">IF(AND(ISNUMBER(AM597),ISNUMBER(AL597),AL597&gt;=5),AM597/AL597,"")</f>
        <v/>
      </c>
      <c r="AO597" s="43"/>
      <c r="AP597" s="43"/>
      <c r="AQ597" s="25" t="str">
        <f aca="false">IF(AND(ISNUMBER(AP597),ISNUMBER(AO597),AO597&gt;=5),AP597/AO597,"")</f>
        <v/>
      </c>
      <c r="AR597" s="43"/>
      <c r="AS597" s="43"/>
      <c r="AT597" s="22" t="str">
        <f aca="false">IF(AND(ISNUMBER(AS597),ISNUMBER(AR597),AR597&gt;0),AS597/AR597-1,"")</f>
        <v/>
      </c>
      <c r="AU597" s="44"/>
      <c r="AV597" s="44"/>
      <c r="AW597" s="44"/>
      <c r="AX597" s="44"/>
      <c r="AY597" s="44"/>
      <c r="AZ597" s="45"/>
      <c r="BA597" s="45"/>
      <c r="BB597" s="46"/>
      <c r="BC597" s="46"/>
      <c r="BD597" s="23" t="str">
        <f aca="false">IF(AND(ISNUMBER(BB597),ISNUMBER(BC597),BB597&gt;0),1-BC597/BB597,"")</f>
        <v/>
      </c>
      <c r="BE597" s="47"/>
      <c r="BF597" s="48"/>
      <c r="BG597" s="48"/>
      <c r="BH597" s="27" t="str">
        <f aca="false">IF(AND(ISNUMBER(BF597),ISNUMBER(BG597),BG597&gt;0),BF597/BG597,"")</f>
        <v/>
      </c>
      <c r="BI597" s="48"/>
      <c r="BJ597" s="44"/>
      <c r="BK597" s="46"/>
      <c r="BL597" s="46"/>
      <c r="BM597" s="36" t="str">
        <f aca="false">IF(ISNUMBER(Q597),IF(Q597&lt;0,"YES","no"),"")</f>
        <v>YES</v>
      </c>
      <c r="BN597" s="36" t="str">
        <f aca="false">IFERROR(IF(AND(ISNUMBER(K597),ISNUMBER(INDEX('Lift Inputs'!$H:$H,MATCH(C597,'Lift Inputs'!$C:$C,0)))),IF(K597&lt;INDEX('Lift Inputs'!$H:$H,MATCH(C597,'Lift Inputs'!$C:$C,0)),"YES","no"),""),"")</f>
        <v/>
      </c>
      <c r="BO597" s="44"/>
    </row>
    <row r="598" customFormat="false" ht="15" hidden="false" customHeight="false" outlineLevel="0" collapsed="false">
      <c r="A598" s="15" t="s">
        <v>144</v>
      </c>
      <c r="B598" s="15" t="s">
        <v>157</v>
      </c>
      <c r="C598" s="15" t="n">
        <v>33</v>
      </c>
      <c r="D598" s="15" t="s">
        <v>144</v>
      </c>
      <c r="E598" s="15" t="n">
        <v>1764</v>
      </c>
      <c r="F598" s="15" t="s">
        <v>1289</v>
      </c>
      <c r="G598" s="15" t="s">
        <v>1290</v>
      </c>
      <c r="H598" s="15" t="s">
        <v>1291</v>
      </c>
      <c r="I598" s="15" t="s">
        <v>1292</v>
      </c>
      <c r="J598" s="15" t="s">
        <v>176</v>
      </c>
      <c r="K598" s="35" t="n">
        <v>22.07</v>
      </c>
      <c r="L598" s="35"/>
      <c r="M598" s="23" t="str">
        <f aca="false">IF(AND(ISNUMBER(L598),ISNUMBER(K598),K598&gt;0),L598/K598-1,"")</f>
        <v/>
      </c>
      <c r="N598" s="36" t="str">
        <f aca="false">IF(M598="","No List Price",IF(M598&lt;=0,"At/below price",IF(M598&lt;=0.12,"&lt;=12% (STR zone)",IF(M598&lt;=0.25,"12-25%","&gt;25% (likely ignored)"))))</f>
        <v>No List Price</v>
      </c>
      <c r="O598" s="15"/>
      <c r="P598" s="35" t="n">
        <v>25.24</v>
      </c>
      <c r="Q598" s="22" t="n">
        <f aca="false">IF(AND(ISNUMBER(K598),ISNUMBER(P598),N(P598)&gt;0),K598/P598-1,"")</f>
        <v>-0.125594294770206</v>
      </c>
      <c r="R598" s="15" t="s">
        <v>512</v>
      </c>
      <c r="S598" s="37" t="n">
        <v>15013</v>
      </c>
      <c r="T598" s="37" t="n">
        <v>173</v>
      </c>
      <c r="U598" s="38" t="n">
        <f aca="false">IF(AND(ISNUMBER(K598),ISNUMBER(T598)),K598*T598*52/12,"")</f>
        <v>16545.1433333333</v>
      </c>
      <c r="V598" s="15" t="n">
        <v>4.7</v>
      </c>
      <c r="W598" s="37" t="n">
        <v>2930</v>
      </c>
      <c r="X598" s="39" t="n">
        <v>46307</v>
      </c>
      <c r="Y598" s="15" t="n">
        <v>57</v>
      </c>
      <c r="Z598" s="40" t="n">
        <v>44692</v>
      </c>
      <c r="AA598" s="41" t="n">
        <f aca="false">IF(ISNUMBER(Z598),(DATE(2026,10,13)-Z598)/365,"")</f>
        <v>4.42739726027397</v>
      </c>
      <c r="AB598" s="37" t="n">
        <v>2746</v>
      </c>
      <c r="AC598" s="15" t="s">
        <v>313</v>
      </c>
      <c r="AD598" s="15" t="n">
        <v>1</v>
      </c>
      <c r="AE598" s="15" t="s">
        <v>331</v>
      </c>
      <c r="AF598" s="42" t="n">
        <v>0</v>
      </c>
      <c r="AG598" s="42" t="n">
        <v>0</v>
      </c>
      <c r="AH598" s="15" t="n">
        <v>348</v>
      </c>
      <c r="AI598" s="37"/>
      <c r="AJ598" s="37"/>
      <c r="AK598" s="15"/>
      <c r="AL598" s="43"/>
      <c r="AM598" s="43"/>
      <c r="AN598" s="25" t="str">
        <f aca="false">IF(AND(ISNUMBER(AM598),ISNUMBER(AL598),AL598&gt;=5),AM598/AL598,"")</f>
        <v/>
      </c>
      <c r="AO598" s="43"/>
      <c r="AP598" s="43"/>
      <c r="AQ598" s="25" t="str">
        <f aca="false">IF(AND(ISNUMBER(AP598),ISNUMBER(AO598),AO598&gt;=5),AP598/AO598,"")</f>
        <v/>
      </c>
      <c r="AR598" s="43"/>
      <c r="AS598" s="43"/>
      <c r="AT598" s="22" t="str">
        <f aca="false">IF(AND(ISNUMBER(AS598),ISNUMBER(AR598),AR598&gt;0),AS598/AR598-1,"")</f>
        <v/>
      </c>
      <c r="AU598" s="44"/>
      <c r="AV598" s="44"/>
      <c r="AW598" s="44"/>
      <c r="AX598" s="44"/>
      <c r="AY598" s="44"/>
      <c r="AZ598" s="45"/>
      <c r="BA598" s="45"/>
      <c r="BB598" s="46"/>
      <c r="BC598" s="46"/>
      <c r="BD598" s="23" t="str">
        <f aca="false">IF(AND(ISNUMBER(BB598),ISNUMBER(BC598),BB598&gt;0),1-BC598/BB598,"")</f>
        <v/>
      </c>
      <c r="BE598" s="47"/>
      <c r="BF598" s="48"/>
      <c r="BG598" s="48"/>
      <c r="BH598" s="27" t="str">
        <f aca="false">IF(AND(ISNUMBER(BF598),ISNUMBER(BG598),BG598&gt;0),BF598/BG598,"")</f>
        <v/>
      </c>
      <c r="BI598" s="48"/>
      <c r="BJ598" s="44"/>
      <c r="BK598" s="46"/>
      <c r="BL598" s="46"/>
      <c r="BM598" s="36" t="str">
        <f aca="false">IF(ISNUMBER(Q598),IF(Q598&lt;0,"YES","no"),"")</f>
        <v>YES</v>
      </c>
      <c r="BN598" s="36" t="str">
        <f aca="false">IFERROR(IF(AND(ISNUMBER(K598),ISNUMBER(INDEX('Lift Inputs'!$H:$H,MATCH(C598,'Lift Inputs'!$C:$C,0)))),IF(K598&lt;INDEX('Lift Inputs'!$H:$H,MATCH(C598,'Lift Inputs'!$C:$C,0)),"YES","no"),""),"")</f>
        <v/>
      </c>
      <c r="BO598" s="44"/>
    </row>
    <row r="599" customFormat="false" ht="15" hidden="false" customHeight="false" outlineLevel="0" collapsed="false">
      <c r="A599" s="15" t="s">
        <v>144</v>
      </c>
      <c r="B599" s="15" t="s">
        <v>157</v>
      </c>
      <c r="C599" s="15" t="n">
        <v>33</v>
      </c>
      <c r="D599" s="15" t="s">
        <v>144</v>
      </c>
      <c r="E599" s="15" t="n">
        <v>1774</v>
      </c>
      <c r="F599" s="15" t="s">
        <v>1293</v>
      </c>
      <c r="G599" s="15" t="s">
        <v>1294</v>
      </c>
      <c r="H599" s="15" t="s">
        <v>1295</v>
      </c>
      <c r="I599" s="15" t="s">
        <v>1296</v>
      </c>
      <c r="J599" s="15" t="s">
        <v>176</v>
      </c>
      <c r="K599" s="35" t="n">
        <v>23.99</v>
      </c>
      <c r="L599" s="35"/>
      <c r="M599" s="23" t="str">
        <f aca="false">IF(AND(ISNUMBER(L599),ISNUMBER(K599),K599&gt;0),L599/K599-1,"")</f>
        <v/>
      </c>
      <c r="N599" s="36" t="str">
        <f aca="false">IF(M599="","No List Price",IF(M599&lt;=0,"At/below price",IF(M599&lt;=0.12,"&lt;=12% (STR zone)",IF(M599&lt;=0.25,"12-25%","&gt;25% (likely ignored)"))))</f>
        <v>No List Price</v>
      </c>
      <c r="O599" s="15"/>
      <c r="P599" s="35" t="n">
        <v>25.24</v>
      </c>
      <c r="Q599" s="22" t="n">
        <f aca="false">IF(AND(ISNUMBER(K599),ISNUMBER(P599),N(P599)&gt;0),K599/P599-1,"")</f>
        <v>-0.0495245641838352</v>
      </c>
      <c r="R599" s="15" t="s">
        <v>512</v>
      </c>
      <c r="S599" s="37" t="n">
        <v>39894</v>
      </c>
      <c r="T599" s="37" t="n">
        <v>92</v>
      </c>
      <c r="U599" s="38" t="n">
        <f aca="false">IF(AND(ISNUMBER(K599),ISNUMBER(T599)),K599*T599*52/12,"")</f>
        <v>9564.01333333333</v>
      </c>
      <c r="V599" s="15" t="n">
        <v>4.5</v>
      </c>
      <c r="W599" s="37" t="n">
        <v>4016</v>
      </c>
      <c r="X599" s="39" t="n">
        <v>46307</v>
      </c>
      <c r="Y599" s="15" t="n">
        <v>19</v>
      </c>
      <c r="Z599" s="40" t="n">
        <v>43985</v>
      </c>
      <c r="AA599" s="41" t="n">
        <f aca="false">IF(ISNUMBER(Z599),(DATE(2026,10,13)-Z599)/365,"")</f>
        <v>6.36438356164384</v>
      </c>
      <c r="AB599" s="37" t="n">
        <v>1531</v>
      </c>
      <c r="AC599" s="15" t="s">
        <v>313</v>
      </c>
      <c r="AD599" s="15" t="n">
        <v>1</v>
      </c>
      <c r="AE599" s="15" t="s">
        <v>331</v>
      </c>
      <c r="AF599" s="42" t="n">
        <v>0</v>
      </c>
      <c r="AG599" s="42" t="n">
        <v>0</v>
      </c>
      <c r="AH599" s="15" t="n">
        <v>73</v>
      </c>
      <c r="AI599" s="37"/>
      <c r="AJ599" s="37"/>
      <c r="AK599" s="15"/>
      <c r="AL599" s="43"/>
      <c r="AM599" s="43"/>
      <c r="AN599" s="25" t="str">
        <f aca="false">IF(AND(ISNUMBER(AM599),ISNUMBER(AL599),AL599&gt;=5),AM599/AL599,"")</f>
        <v/>
      </c>
      <c r="AO599" s="43"/>
      <c r="AP599" s="43"/>
      <c r="AQ599" s="25" t="str">
        <f aca="false">IF(AND(ISNUMBER(AP599),ISNUMBER(AO599),AO599&gt;=5),AP599/AO599,"")</f>
        <v/>
      </c>
      <c r="AR599" s="43"/>
      <c r="AS599" s="43"/>
      <c r="AT599" s="22" t="str">
        <f aca="false">IF(AND(ISNUMBER(AS599),ISNUMBER(AR599),AR599&gt;0),AS599/AR599-1,"")</f>
        <v/>
      </c>
      <c r="AU599" s="44"/>
      <c r="AV599" s="44"/>
      <c r="AW599" s="44"/>
      <c r="AX599" s="44"/>
      <c r="AY599" s="44"/>
      <c r="AZ599" s="45"/>
      <c r="BA599" s="45"/>
      <c r="BB599" s="46"/>
      <c r="BC599" s="46"/>
      <c r="BD599" s="23" t="str">
        <f aca="false">IF(AND(ISNUMBER(BB599),ISNUMBER(BC599),BB599&gt;0),1-BC599/BB599,"")</f>
        <v/>
      </c>
      <c r="BE599" s="47"/>
      <c r="BF599" s="48"/>
      <c r="BG599" s="48"/>
      <c r="BH599" s="27" t="str">
        <f aca="false">IF(AND(ISNUMBER(BF599),ISNUMBER(BG599),BG599&gt;0),BF599/BG599,"")</f>
        <v/>
      </c>
      <c r="BI599" s="48"/>
      <c r="BJ599" s="44"/>
      <c r="BK599" s="46"/>
      <c r="BL599" s="46"/>
      <c r="BM599" s="36" t="str">
        <f aca="false">IF(ISNUMBER(Q599),IF(Q599&lt;0,"YES","no"),"")</f>
        <v>YES</v>
      </c>
      <c r="BN599" s="36" t="str">
        <f aca="false">IFERROR(IF(AND(ISNUMBER(K599),ISNUMBER(INDEX('Lift Inputs'!$H:$H,MATCH(C599,'Lift Inputs'!$C:$C,0)))),IF(K599&lt;INDEX('Lift Inputs'!$H:$H,MATCH(C599,'Lift Inputs'!$C:$C,0)),"YES","no"),""),"")</f>
        <v/>
      </c>
      <c r="BO599" s="44"/>
    </row>
    <row r="600" customFormat="false" ht="15" hidden="false" customHeight="false" outlineLevel="0" collapsed="false">
      <c r="A600" s="15" t="s">
        <v>144</v>
      </c>
      <c r="B600" s="15" t="s">
        <v>157</v>
      </c>
      <c r="C600" s="15" t="n">
        <v>33</v>
      </c>
      <c r="D600" s="15" t="s">
        <v>144</v>
      </c>
      <c r="E600" s="15" t="n">
        <v>448</v>
      </c>
      <c r="F600" s="15" t="s">
        <v>1297</v>
      </c>
      <c r="G600" s="15" t="s">
        <v>1298</v>
      </c>
      <c r="H600" s="15" t="s">
        <v>1299</v>
      </c>
      <c r="I600" s="15" t="s">
        <v>1300</v>
      </c>
      <c r="J600" s="15" t="s">
        <v>176</v>
      </c>
      <c r="K600" s="35" t="n">
        <v>25.99</v>
      </c>
      <c r="L600" s="35"/>
      <c r="M600" s="23" t="str">
        <f aca="false">IF(AND(ISNUMBER(L600),ISNUMBER(K600),K600&gt;0),L600/K600-1,"")</f>
        <v/>
      </c>
      <c r="N600" s="36" t="str">
        <f aca="false">IF(M600="","No List Price",IF(M600&lt;=0,"At/below price",IF(M600&lt;=0.12,"&lt;=12% (STR zone)",IF(M600&lt;=0.25,"12-25%","&gt;25% (likely ignored)"))))</f>
        <v>No List Price</v>
      </c>
      <c r="O600" s="15"/>
      <c r="P600" s="35" t="n">
        <v>25.24</v>
      </c>
      <c r="Q600" s="22" t="n">
        <f aca="false">IF(AND(ISNUMBER(K600),ISNUMBER(P600),N(P600)&gt;0),K600/P600-1,"")</f>
        <v>0.0297147385103012</v>
      </c>
      <c r="R600" s="15" t="s">
        <v>512</v>
      </c>
      <c r="S600" s="37" t="n">
        <v>25992</v>
      </c>
      <c r="T600" s="37" t="n">
        <v>92</v>
      </c>
      <c r="U600" s="38" t="n">
        <f aca="false">IF(AND(ISNUMBER(K600),ISNUMBER(T600)),K600*T600*52/12,"")</f>
        <v>10361.3466666667</v>
      </c>
      <c r="V600" s="15" t="n">
        <v>4.6</v>
      </c>
      <c r="W600" s="37" t="n">
        <v>4711</v>
      </c>
      <c r="X600" s="39" t="n">
        <v>46307</v>
      </c>
      <c r="Y600" s="15" t="n">
        <v>74</v>
      </c>
      <c r="Z600" s="40" t="n">
        <v>44219</v>
      </c>
      <c r="AA600" s="41" t="n">
        <f aca="false">IF(ISNUMBER(Z600),(DATE(2026,10,13)-Z600)/365,"")</f>
        <v>5.72328767123288</v>
      </c>
      <c r="AB600" s="37" t="n">
        <v>1687</v>
      </c>
      <c r="AC600" s="15" t="s">
        <v>313</v>
      </c>
      <c r="AD600" s="15" t="n">
        <v>1</v>
      </c>
      <c r="AE600" s="15" t="s">
        <v>336</v>
      </c>
      <c r="AF600" s="42" t="n">
        <v>0.00200803212851406</v>
      </c>
      <c r="AG600" s="42" t="n">
        <v>0.00017797369121707</v>
      </c>
      <c r="AH600" s="15" t="n">
        <v>250</v>
      </c>
      <c r="AI600" s="37"/>
      <c r="AJ600" s="37"/>
      <c r="AK600" s="15"/>
      <c r="AL600" s="43"/>
      <c r="AM600" s="43"/>
      <c r="AN600" s="25" t="str">
        <f aca="false">IF(AND(ISNUMBER(AM600),ISNUMBER(AL600),AL600&gt;=5),AM600/AL600,"")</f>
        <v/>
      </c>
      <c r="AO600" s="43"/>
      <c r="AP600" s="43"/>
      <c r="AQ600" s="25" t="str">
        <f aca="false">IF(AND(ISNUMBER(AP600),ISNUMBER(AO600),AO600&gt;=5),AP600/AO600,"")</f>
        <v/>
      </c>
      <c r="AR600" s="43"/>
      <c r="AS600" s="43"/>
      <c r="AT600" s="22" t="str">
        <f aca="false">IF(AND(ISNUMBER(AS600),ISNUMBER(AR600),AR600&gt;0),AS600/AR600-1,"")</f>
        <v/>
      </c>
      <c r="AU600" s="44"/>
      <c r="AV600" s="44"/>
      <c r="AW600" s="44"/>
      <c r="AX600" s="44"/>
      <c r="AY600" s="44"/>
      <c r="AZ600" s="45"/>
      <c r="BA600" s="45"/>
      <c r="BB600" s="46"/>
      <c r="BC600" s="46"/>
      <c r="BD600" s="23" t="str">
        <f aca="false">IF(AND(ISNUMBER(BB600),ISNUMBER(BC600),BB600&gt;0),1-BC600/BB600,"")</f>
        <v/>
      </c>
      <c r="BE600" s="47"/>
      <c r="BF600" s="48"/>
      <c r="BG600" s="48"/>
      <c r="BH600" s="27" t="str">
        <f aca="false">IF(AND(ISNUMBER(BF600),ISNUMBER(BG600),BG600&gt;0),BF600/BG600,"")</f>
        <v/>
      </c>
      <c r="BI600" s="48"/>
      <c r="BJ600" s="44"/>
      <c r="BK600" s="46"/>
      <c r="BL600" s="46"/>
      <c r="BM600" s="36" t="str">
        <f aca="false">IF(ISNUMBER(Q600),IF(Q600&lt;0,"YES","no"),"")</f>
        <v>no</v>
      </c>
      <c r="BN600" s="36" t="str">
        <f aca="false">IFERROR(IF(AND(ISNUMBER(K600),ISNUMBER(INDEX('Lift Inputs'!$H:$H,MATCH(C600,'Lift Inputs'!$C:$C,0)))),IF(K600&lt;INDEX('Lift Inputs'!$H:$H,MATCH(C600,'Lift Inputs'!$C:$C,0)),"YES","no"),""),"")</f>
        <v/>
      </c>
      <c r="BO600" s="44"/>
    </row>
    <row r="601" customFormat="false" ht="15" hidden="false" customHeight="false" outlineLevel="0" collapsed="false">
      <c r="A601" s="15" t="s">
        <v>144</v>
      </c>
      <c r="B601" s="15" t="s">
        <v>157</v>
      </c>
      <c r="C601" s="15" t="n">
        <v>33</v>
      </c>
      <c r="D601" s="15" t="s">
        <v>144</v>
      </c>
      <c r="E601" s="15" t="n">
        <v>445</v>
      </c>
      <c r="F601" s="15" t="s">
        <v>1289</v>
      </c>
      <c r="G601" s="15" t="s">
        <v>1301</v>
      </c>
      <c r="H601" s="15" t="s">
        <v>1302</v>
      </c>
      <c r="I601" s="15" t="s">
        <v>1284</v>
      </c>
      <c r="J601" s="15" t="s">
        <v>176</v>
      </c>
      <c r="K601" s="35" t="n">
        <v>29.99</v>
      </c>
      <c r="L601" s="35"/>
      <c r="M601" s="23" t="str">
        <f aca="false">IF(AND(ISNUMBER(L601),ISNUMBER(K601),K601&gt;0),L601/K601-1,"")</f>
        <v/>
      </c>
      <c r="N601" s="36" t="str">
        <f aca="false">IF(M601="","No List Price",IF(M601&lt;=0,"At/below price",IF(M601&lt;=0.12,"&lt;=12% (STR zone)",IF(M601&lt;=0.25,"12-25%","&gt;25% (likely ignored)"))))</f>
        <v>No List Price</v>
      </c>
      <c r="O601" s="15"/>
      <c r="P601" s="35" t="n">
        <v>25.24</v>
      </c>
      <c r="Q601" s="22" t="n">
        <f aca="false">IF(AND(ISNUMBER(K601),ISNUMBER(P601),N(P601)&gt;0),K601/P601-1,"")</f>
        <v>0.188193343898574</v>
      </c>
      <c r="R601" s="15" t="s">
        <v>512</v>
      </c>
      <c r="S601" s="37" t="n">
        <v>36868</v>
      </c>
      <c r="T601" s="37" t="n">
        <v>92</v>
      </c>
      <c r="U601" s="38" t="n">
        <f aca="false">IF(AND(ISNUMBER(K601),ISNUMBER(T601)),K601*T601*52/12,"")</f>
        <v>11956.0133333333</v>
      </c>
      <c r="V601" s="15" t="n">
        <v>4.6</v>
      </c>
      <c r="W601" s="37" t="n">
        <v>2729</v>
      </c>
      <c r="X601" s="39" t="n">
        <v>46307</v>
      </c>
      <c r="Y601" s="15"/>
      <c r="Z601" s="40"/>
      <c r="AA601" s="41" t="str">
        <f aca="false">IF(ISNUMBER(Z601),(DATE(2026,10,13)-Z601)/365,"")</f>
        <v/>
      </c>
      <c r="AB601" s="37"/>
      <c r="AC601" s="15"/>
      <c r="AD601" s="15"/>
      <c r="AE601" s="15"/>
      <c r="AF601" s="42"/>
      <c r="AG601" s="42"/>
      <c r="AH601" s="15"/>
      <c r="AI601" s="37"/>
      <c r="AJ601" s="37"/>
      <c r="AK601" s="15"/>
      <c r="AL601" s="43"/>
      <c r="AM601" s="43"/>
      <c r="AN601" s="25" t="str">
        <f aca="false">IF(AND(ISNUMBER(AM601),ISNUMBER(AL601),AL601&gt;=5),AM601/AL601,"")</f>
        <v/>
      </c>
      <c r="AO601" s="43"/>
      <c r="AP601" s="43"/>
      <c r="AQ601" s="25" t="str">
        <f aca="false">IF(AND(ISNUMBER(AP601),ISNUMBER(AO601),AO601&gt;=5),AP601/AO601,"")</f>
        <v/>
      </c>
      <c r="AR601" s="43"/>
      <c r="AS601" s="43"/>
      <c r="AT601" s="22" t="str">
        <f aca="false">IF(AND(ISNUMBER(AS601),ISNUMBER(AR601),AR601&gt;0),AS601/AR601-1,"")</f>
        <v/>
      </c>
      <c r="AU601" s="44"/>
      <c r="AV601" s="44"/>
      <c r="AW601" s="44"/>
      <c r="AX601" s="44"/>
      <c r="AY601" s="44"/>
      <c r="AZ601" s="45"/>
      <c r="BA601" s="45"/>
      <c r="BB601" s="46"/>
      <c r="BC601" s="46"/>
      <c r="BD601" s="23" t="str">
        <f aca="false">IF(AND(ISNUMBER(BB601),ISNUMBER(BC601),BB601&gt;0),1-BC601/BB601,"")</f>
        <v/>
      </c>
      <c r="BE601" s="47"/>
      <c r="BF601" s="48"/>
      <c r="BG601" s="48"/>
      <c r="BH601" s="27" t="str">
        <f aca="false">IF(AND(ISNUMBER(BF601),ISNUMBER(BG601),BG601&gt;0),BF601/BG601,"")</f>
        <v/>
      </c>
      <c r="BI601" s="48"/>
      <c r="BJ601" s="44"/>
      <c r="BK601" s="46"/>
      <c r="BL601" s="46"/>
      <c r="BM601" s="36" t="str">
        <f aca="false">IF(ISNUMBER(Q601),IF(Q601&lt;0,"YES","no"),"")</f>
        <v>no</v>
      </c>
      <c r="BN601" s="36" t="str">
        <f aca="false">IFERROR(IF(AND(ISNUMBER(K601),ISNUMBER(INDEX('Lift Inputs'!$H:$H,MATCH(C601,'Lift Inputs'!$C:$C,0)))),IF(K601&lt;INDEX('Lift Inputs'!$H:$H,MATCH(C601,'Lift Inputs'!$C:$C,0)),"YES","no"),""),"")</f>
        <v/>
      </c>
      <c r="BO601" s="44"/>
    </row>
    <row r="602" customFormat="false" ht="15" hidden="false" customHeight="false" outlineLevel="0" collapsed="false">
      <c r="A602" s="15" t="s">
        <v>144</v>
      </c>
      <c r="B602" s="15" t="s">
        <v>157</v>
      </c>
      <c r="C602" s="15" t="n">
        <v>33</v>
      </c>
      <c r="D602" s="15" t="s">
        <v>144</v>
      </c>
      <c r="E602" s="15" t="n">
        <v>1761</v>
      </c>
      <c r="F602" s="15" t="s">
        <v>1303</v>
      </c>
      <c r="G602" s="15" t="s">
        <v>1304</v>
      </c>
      <c r="H602" s="15" t="s">
        <v>1305</v>
      </c>
      <c r="I602" s="15" t="s">
        <v>1284</v>
      </c>
      <c r="J602" s="15" t="s">
        <v>176</v>
      </c>
      <c r="K602" s="35" t="n">
        <v>29.99</v>
      </c>
      <c r="L602" s="35" t="n">
        <v>34.99</v>
      </c>
      <c r="M602" s="23" t="n">
        <f aca="false">IF(AND(ISNUMBER(L602),ISNUMBER(K602),K602&gt;0),L602/K602-1,"")</f>
        <v>0.166722240746916</v>
      </c>
      <c r="N602" s="36" t="str">
        <f aca="false">IF(M602="","No List Price",IF(M602&lt;=0,"At/below price",IF(M602&lt;=0.12,"&lt;=12% (STR zone)",IF(M602&lt;=0.25,"12-25%","&gt;25% (likely ignored)"))))</f>
        <v>12-25%</v>
      </c>
      <c r="O602" s="15"/>
      <c r="P602" s="35" t="n">
        <v>25.24</v>
      </c>
      <c r="Q602" s="22" t="n">
        <f aca="false">IF(AND(ISNUMBER(K602),ISNUMBER(P602),N(P602)&gt;0),K602/P602-1,"")</f>
        <v>0.188193343898574</v>
      </c>
      <c r="R602" s="15" t="s">
        <v>512</v>
      </c>
      <c r="S602" s="37" t="n">
        <v>10321</v>
      </c>
      <c r="T602" s="37" t="n">
        <v>92</v>
      </c>
      <c r="U602" s="38" t="n">
        <f aca="false">IF(AND(ISNUMBER(K602),ISNUMBER(T602)),K602*T602*52/12,"")</f>
        <v>11956.0133333333</v>
      </c>
      <c r="V602" s="15" t="n">
        <v>4.6</v>
      </c>
      <c r="W602" s="37" t="n">
        <v>10643</v>
      </c>
      <c r="X602" s="39" t="n">
        <v>46307</v>
      </c>
      <c r="Y602" s="15"/>
      <c r="Z602" s="40"/>
      <c r="AA602" s="41" t="str">
        <f aca="false">IF(ISNUMBER(Z602),(DATE(2026,10,13)-Z602)/365,"")</f>
        <v/>
      </c>
      <c r="AB602" s="37"/>
      <c r="AC602" s="15"/>
      <c r="AD602" s="15"/>
      <c r="AE602" s="15"/>
      <c r="AF602" s="42"/>
      <c r="AG602" s="42"/>
      <c r="AH602" s="15"/>
      <c r="AI602" s="37"/>
      <c r="AJ602" s="37"/>
      <c r="AK602" s="15"/>
      <c r="AL602" s="43"/>
      <c r="AM602" s="43"/>
      <c r="AN602" s="25" t="str">
        <f aca="false">IF(AND(ISNUMBER(AM602),ISNUMBER(AL602),AL602&gt;=5),AM602/AL602,"")</f>
        <v/>
      </c>
      <c r="AO602" s="43"/>
      <c r="AP602" s="43"/>
      <c r="AQ602" s="25" t="str">
        <f aca="false">IF(AND(ISNUMBER(AP602),ISNUMBER(AO602),AO602&gt;=5),AP602/AO602,"")</f>
        <v/>
      </c>
      <c r="AR602" s="43"/>
      <c r="AS602" s="43"/>
      <c r="AT602" s="22" t="str">
        <f aca="false">IF(AND(ISNUMBER(AS602),ISNUMBER(AR602),AR602&gt;0),AS602/AR602-1,"")</f>
        <v/>
      </c>
      <c r="AU602" s="44"/>
      <c r="AV602" s="44"/>
      <c r="AW602" s="44"/>
      <c r="AX602" s="44"/>
      <c r="AY602" s="44"/>
      <c r="AZ602" s="45"/>
      <c r="BA602" s="45"/>
      <c r="BB602" s="46"/>
      <c r="BC602" s="46"/>
      <c r="BD602" s="23" t="str">
        <f aca="false">IF(AND(ISNUMBER(BB602),ISNUMBER(BC602),BB602&gt;0),1-BC602/BB602,"")</f>
        <v/>
      </c>
      <c r="BE602" s="47"/>
      <c r="BF602" s="48"/>
      <c r="BG602" s="48"/>
      <c r="BH602" s="27" t="str">
        <f aca="false">IF(AND(ISNUMBER(BF602),ISNUMBER(BG602),BG602&gt;0),BF602/BG602,"")</f>
        <v/>
      </c>
      <c r="BI602" s="48"/>
      <c r="BJ602" s="44"/>
      <c r="BK602" s="46"/>
      <c r="BL602" s="46"/>
      <c r="BM602" s="36" t="str">
        <f aca="false">IF(ISNUMBER(Q602),IF(Q602&lt;0,"YES","no"),"")</f>
        <v>no</v>
      </c>
      <c r="BN602" s="36" t="str">
        <f aca="false">IFERROR(IF(AND(ISNUMBER(K602),ISNUMBER(INDEX('Lift Inputs'!$H:$H,MATCH(C602,'Lift Inputs'!$C:$C,0)))),IF(K602&lt;INDEX('Lift Inputs'!$H:$H,MATCH(C602,'Lift Inputs'!$C:$C,0)),"YES","no"),""),"")</f>
        <v/>
      </c>
      <c r="BO602" s="44"/>
    </row>
    <row r="603" customFormat="false" ht="15" hidden="false" customHeight="false" outlineLevel="0" collapsed="false">
      <c r="A603" s="15" t="s">
        <v>144</v>
      </c>
      <c r="B603" s="15" t="s">
        <v>157</v>
      </c>
      <c r="C603" s="15" t="n">
        <v>33</v>
      </c>
      <c r="D603" s="15" t="s">
        <v>144</v>
      </c>
      <c r="E603" s="15" t="n">
        <v>1766</v>
      </c>
      <c r="F603" s="15" t="s">
        <v>1289</v>
      </c>
      <c r="G603" s="15" t="s">
        <v>1306</v>
      </c>
      <c r="H603" s="15" t="s">
        <v>1307</v>
      </c>
      <c r="I603" s="15" t="s">
        <v>1308</v>
      </c>
      <c r="J603" s="15" t="s">
        <v>176</v>
      </c>
      <c r="K603" s="35" t="n">
        <v>19.99</v>
      </c>
      <c r="L603" s="35" t="n">
        <v>23.99</v>
      </c>
      <c r="M603" s="23" t="n">
        <f aca="false">IF(AND(ISNUMBER(L603),ISNUMBER(K603),K603&gt;0),L603/K603-1,"")</f>
        <v>0.200100050025013</v>
      </c>
      <c r="N603" s="36" t="str">
        <f aca="false">IF(M603="","No List Price",IF(M603&lt;=0,"At/below price",IF(M603&lt;=0.12,"&lt;=12% (STR zone)",IF(M603&lt;=0.25,"12-25%","&gt;25% (likely ignored)"))))</f>
        <v>12-25%</v>
      </c>
      <c r="O603" s="15"/>
      <c r="P603" s="35" t="n">
        <v>25.24</v>
      </c>
      <c r="Q603" s="22" t="n">
        <f aca="false">IF(AND(ISNUMBER(K603),ISNUMBER(P603),N(P603)&gt;0),K603/P603-1,"")</f>
        <v>-0.208003169572108</v>
      </c>
      <c r="R603" s="15" t="s">
        <v>512</v>
      </c>
      <c r="S603" s="37" t="n">
        <v>36704</v>
      </c>
      <c r="T603" s="37" t="n">
        <v>81</v>
      </c>
      <c r="U603" s="38" t="n">
        <f aca="false">IF(AND(ISNUMBER(K603),ISNUMBER(T603)),K603*T603*52/12,"")</f>
        <v>7016.49</v>
      </c>
      <c r="V603" s="15" t="n">
        <v>4.7</v>
      </c>
      <c r="W603" s="37" t="n">
        <v>1655</v>
      </c>
      <c r="X603" s="39" t="n">
        <v>46307</v>
      </c>
      <c r="Y603" s="15" t="n">
        <v>71</v>
      </c>
      <c r="Z603" s="40" t="n">
        <v>44692</v>
      </c>
      <c r="AA603" s="41" t="n">
        <f aca="false">IF(ISNUMBER(Z603),(DATE(2026,10,13)-Z603)/365,"")</f>
        <v>4.42739726027397</v>
      </c>
      <c r="AB603" s="37" t="n">
        <v>1257</v>
      </c>
      <c r="AC603" s="15" t="s">
        <v>313</v>
      </c>
      <c r="AD603" s="15" t="n">
        <v>1</v>
      </c>
      <c r="AE603" s="15" t="s">
        <v>331</v>
      </c>
      <c r="AF603" s="42" t="n">
        <v>0</v>
      </c>
      <c r="AG603" s="42" t="n">
        <v>0</v>
      </c>
      <c r="AH603" s="15" t="n">
        <v>151</v>
      </c>
      <c r="AI603" s="37"/>
      <c r="AJ603" s="37"/>
      <c r="AK603" s="15"/>
      <c r="AL603" s="43"/>
      <c r="AM603" s="43"/>
      <c r="AN603" s="25" t="str">
        <f aca="false">IF(AND(ISNUMBER(AM603),ISNUMBER(AL603),AL603&gt;=5),AM603/AL603,"")</f>
        <v/>
      </c>
      <c r="AO603" s="43"/>
      <c r="AP603" s="43"/>
      <c r="AQ603" s="25" t="str">
        <f aca="false">IF(AND(ISNUMBER(AP603),ISNUMBER(AO603),AO603&gt;=5),AP603/AO603,"")</f>
        <v/>
      </c>
      <c r="AR603" s="43"/>
      <c r="AS603" s="43"/>
      <c r="AT603" s="22" t="str">
        <f aca="false">IF(AND(ISNUMBER(AS603),ISNUMBER(AR603),AR603&gt;0),AS603/AR603-1,"")</f>
        <v/>
      </c>
      <c r="AU603" s="44"/>
      <c r="AV603" s="44"/>
      <c r="AW603" s="44"/>
      <c r="AX603" s="44"/>
      <c r="AY603" s="44"/>
      <c r="AZ603" s="45"/>
      <c r="BA603" s="45"/>
      <c r="BB603" s="46"/>
      <c r="BC603" s="46"/>
      <c r="BD603" s="23" t="str">
        <f aca="false">IF(AND(ISNUMBER(BB603),ISNUMBER(BC603),BB603&gt;0),1-BC603/BB603,"")</f>
        <v/>
      </c>
      <c r="BE603" s="47"/>
      <c r="BF603" s="48"/>
      <c r="BG603" s="48"/>
      <c r="BH603" s="27" t="str">
        <f aca="false">IF(AND(ISNUMBER(BF603),ISNUMBER(BG603),BG603&gt;0),BF603/BG603,"")</f>
        <v/>
      </c>
      <c r="BI603" s="48"/>
      <c r="BJ603" s="44"/>
      <c r="BK603" s="46"/>
      <c r="BL603" s="46"/>
      <c r="BM603" s="36" t="str">
        <f aca="false">IF(ISNUMBER(Q603),IF(Q603&lt;0,"YES","no"),"")</f>
        <v>YES</v>
      </c>
      <c r="BN603" s="36" t="str">
        <f aca="false">IFERROR(IF(AND(ISNUMBER(K603),ISNUMBER(INDEX('Lift Inputs'!$H:$H,MATCH(C603,'Lift Inputs'!$C:$C,0)))),IF(K603&lt;INDEX('Lift Inputs'!$H:$H,MATCH(C603,'Lift Inputs'!$C:$C,0)),"YES","no"),""),"")</f>
        <v/>
      </c>
      <c r="BO603" s="44"/>
    </row>
    <row r="604" customFormat="false" ht="15" hidden="false" customHeight="false" outlineLevel="0" collapsed="false">
      <c r="A604" s="15" t="s">
        <v>144</v>
      </c>
      <c r="B604" s="15" t="s">
        <v>157</v>
      </c>
      <c r="C604" s="15" t="n">
        <v>33</v>
      </c>
      <c r="D604" s="15" t="s">
        <v>144</v>
      </c>
      <c r="E604" s="15" t="n">
        <v>1769</v>
      </c>
      <c r="F604" s="15" t="s">
        <v>1289</v>
      </c>
      <c r="G604" s="15" t="s">
        <v>1309</v>
      </c>
      <c r="H604" s="15" t="s">
        <v>1310</v>
      </c>
      <c r="I604" s="15" t="s">
        <v>1311</v>
      </c>
      <c r="J604" s="15" t="s">
        <v>176</v>
      </c>
      <c r="K604" s="35" t="n">
        <v>19.99</v>
      </c>
      <c r="L604" s="35"/>
      <c r="M604" s="23" t="str">
        <f aca="false">IF(AND(ISNUMBER(L604),ISNUMBER(K604),K604&gt;0),L604/K604-1,"")</f>
        <v/>
      </c>
      <c r="N604" s="36" t="str">
        <f aca="false">IF(M604="","No List Price",IF(M604&lt;=0,"At/below price",IF(M604&lt;=0.12,"&lt;=12% (STR zone)",IF(M604&lt;=0.25,"12-25%","&gt;25% (likely ignored)"))))</f>
        <v>No List Price</v>
      </c>
      <c r="O604" s="15"/>
      <c r="P604" s="35" t="n">
        <v>25.24</v>
      </c>
      <c r="Q604" s="22" t="n">
        <f aca="false">IF(AND(ISNUMBER(K604),ISNUMBER(P604),N(P604)&gt;0),K604/P604-1,"")</f>
        <v>-0.208003169572108</v>
      </c>
      <c r="R604" s="15" t="s">
        <v>512</v>
      </c>
      <c r="S604" s="37" t="n">
        <v>28582</v>
      </c>
      <c r="T604" s="37" t="n">
        <v>81</v>
      </c>
      <c r="U604" s="38" t="n">
        <f aca="false">IF(AND(ISNUMBER(K604),ISNUMBER(T604)),K604*T604*52/12,"")</f>
        <v>7016.49</v>
      </c>
      <c r="V604" s="15" t="n">
        <v>4.5</v>
      </c>
      <c r="W604" s="37" t="n">
        <v>1786</v>
      </c>
      <c r="X604" s="39" t="n">
        <v>46307</v>
      </c>
      <c r="Y604" s="15" t="n">
        <v>50</v>
      </c>
      <c r="Z604" s="40" t="n">
        <v>44271</v>
      </c>
      <c r="AA604" s="41" t="n">
        <f aca="false">IF(ISNUMBER(Z604),(DATE(2026,10,13)-Z604)/365,"")</f>
        <v>5.58082191780822</v>
      </c>
      <c r="AB604" s="37" t="n">
        <v>1604</v>
      </c>
      <c r="AC604" s="15" t="s">
        <v>313</v>
      </c>
      <c r="AD604" s="15" t="n">
        <v>2</v>
      </c>
      <c r="AE604" s="15" t="s">
        <v>331</v>
      </c>
      <c r="AF604" s="42" t="n">
        <v>0</v>
      </c>
      <c r="AG604" s="42" t="n">
        <v>0</v>
      </c>
      <c r="AH604" s="15" t="n">
        <v>191</v>
      </c>
      <c r="AI604" s="37"/>
      <c r="AJ604" s="37"/>
      <c r="AK604" s="15"/>
      <c r="AL604" s="43"/>
      <c r="AM604" s="43"/>
      <c r="AN604" s="25" t="str">
        <f aca="false">IF(AND(ISNUMBER(AM604),ISNUMBER(AL604),AL604&gt;=5),AM604/AL604,"")</f>
        <v/>
      </c>
      <c r="AO604" s="43"/>
      <c r="AP604" s="43"/>
      <c r="AQ604" s="25" t="str">
        <f aca="false">IF(AND(ISNUMBER(AP604),ISNUMBER(AO604),AO604&gt;=5),AP604/AO604,"")</f>
        <v/>
      </c>
      <c r="AR604" s="43"/>
      <c r="AS604" s="43"/>
      <c r="AT604" s="22" t="str">
        <f aca="false">IF(AND(ISNUMBER(AS604),ISNUMBER(AR604),AR604&gt;0),AS604/AR604-1,"")</f>
        <v/>
      </c>
      <c r="AU604" s="44"/>
      <c r="AV604" s="44"/>
      <c r="AW604" s="44"/>
      <c r="AX604" s="44"/>
      <c r="AY604" s="44"/>
      <c r="AZ604" s="45"/>
      <c r="BA604" s="45"/>
      <c r="BB604" s="46"/>
      <c r="BC604" s="46"/>
      <c r="BD604" s="23" t="str">
        <f aca="false">IF(AND(ISNUMBER(BB604),ISNUMBER(BC604),BB604&gt;0),1-BC604/BB604,"")</f>
        <v/>
      </c>
      <c r="BE604" s="47"/>
      <c r="BF604" s="48"/>
      <c r="BG604" s="48"/>
      <c r="BH604" s="27" t="str">
        <f aca="false">IF(AND(ISNUMBER(BF604),ISNUMBER(BG604),BG604&gt;0),BF604/BG604,"")</f>
        <v/>
      </c>
      <c r="BI604" s="48"/>
      <c r="BJ604" s="44"/>
      <c r="BK604" s="46"/>
      <c r="BL604" s="46"/>
      <c r="BM604" s="36" t="str">
        <f aca="false">IF(ISNUMBER(Q604),IF(Q604&lt;0,"YES","no"),"")</f>
        <v>YES</v>
      </c>
      <c r="BN604" s="36" t="str">
        <f aca="false">IFERROR(IF(AND(ISNUMBER(K604),ISNUMBER(INDEX('Lift Inputs'!$H:$H,MATCH(C604,'Lift Inputs'!$C:$C,0)))),IF(K604&lt;INDEX('Lift Inputs'!$H:$H,MATCH(C604,'Lift Inputs'!$C:$C,0)),"YES","no"),""),"")</f>
        <v/>
      </c>
      <c r="BO604" s="44"/>
    </row>
    <row r="605" customFormat="false" ht="15" hidden="false" customHeight="false" outlineLevel="0" collapsed="false">
      <c r="A605" s="15" t="s">
        <v>144</v>
      </c>
      <c r="B605" s="15" t="s">
        <v>157</v>
      </c>
      <c r="C605" s="15" t="n">
        <v>33</v>
      </c>
      <c r="D605" s="15" t="s">
        <v>144</v>
      </c>
      <c r="E605" s="15" t="n">
        <v>1762</v>
      </c>
      <c r="F605" s="15" t="s">
        <v>1099</v>
      </c>
      <c r="G605" s="15" t="s">
        <v>1312</v>
      </c>
      <c r="H605" s="15" t="s">
        <v>1313</v>
      </c>
      <c r="I605" s="15" t="s">
        <v>1314</v>
      </c>
      <c r="J605" s="15" t="s">
        <v>176</v>
      </c>
      <c r="K605" s="35" t="n">
        <v>31.99</v>
      </c>
      <c r="L605" s="35"/>
      <c r="M605" s="23" t="str">
        <f aca="false">IF(AND(ISNUMBER(L605),ISNUMBER(K605),K605&gt;0),L605/K605-1,"")</f>
        <v/>
      </c>
      <c r="N605" s="36" t="str">
        <f aca="false">IF(M605="","No List Price",IF(M605&lt;=0,"At/below price",IF(M605&lt;=0.12,"&lt;=12% (STR zone)",IF(M605&lt;=0.25,"12-25%","&gt;25% (likely ignored)"))))</f>
        <v>No List Price</v>
      </c>
      <c r="O605" s="15"/>
      <c r="P605" s="35" t="n">
        <v>25.24</v>
      </c>
      <c r="Q605" s="22" t="n">
        <f aca="false">IF(AND(ISNUMBER(K605),ISNUMBER(P605),N(P605)&gt;0),K605/P605-1,"")</f>
        <v>0.26743264659271</v>
      </c>
      <c r="R605" s="15" t="s">
        <v>512</v>
      </c>
      <c r="S605" s="37" t="n">
        <v>16732</v>
      </c>
      <c r="T605" s="37" t="n">
        <v>81</v>
      </c>
      <c r="U605" s="38" t="n">
        <f aca="false">IF(AND(ISNUMBER(K605),ISNUMBER(T605)),K605*T605*52/12,"")</f>
        <v>11228.49</v>
      </c>
      <c r="V605" s="15" t="n">
        <v>4.5</v>
      </c>
      <c r="W605" s="37" t="n">
        <v>5385</v>
      </c>
      <c r="X605" s="39" t="n">
        <v>46307</v>
      </c>
      <c r="Y605" s="15" t="n">
        <v>37</v>
      </c>
      <c r="Z605" s="40" t="n">
        <v>43677</v>
      </c>
      <c r="AA605" s="41" t="n">
        <f aca="false">IF(ISNUMBER(Z605),(DATE(2026,10,13)-Z605)/365,"")</f>
        <v>7.20821917808219</v>
      </c>
      <c r="AB605" s="37" t="n">
        <v>2522</v>
      </c>
      <c r="AC605" s="15" t="s">
        <v>313</v>
      </c>
      <c r="AD605" s="15" t="n">
        <v>1</v>
      </c>
      <c r="AE605" s="15" t="s">
        <v>331</v>
      </c>
      <c r="AF605" s="42" t="n">
        <v>0</v>
      </c>
      <c r="AG605" s="42" t="n">
        <v>0</v>
      </c>
      <c r="AH605" s="15" t="n">
        <v>307</v>
      </c>
      <c r="AI605" s="37"/>
      <c r="AJ605" s="37"/>
      <c r="AK605" s="15"/>
      <c r="AL605" s="43"/>
      <c r="AM605" s="43"/>
      <c r="AN605" s="25" t="str">
        <f aca="false">IF(AND(ISNUMBER(AM605),ISNUMBER(AL605),AL605&gt;=5),AM605/AL605,"")</f>
        <v/>
      </c>
      <c r="AO605" s="43"/>
      <c r="AP605" s="43"/>
      <c r="AQ605" s="25" t="str">
        <f aca="false">IF(AND(ISNUMBER(AP605),ISNUMBER(AO605),AO605&gt;=5),AP605/AO605,"")</f>
        <v/>
      </c>
      <c r="AR605" s="43"/>
      <c r="AS605" s="43"/>
      <c r="AT605" s="22" t="str">
        <f aca="false">IF(AND(ISNUMBER(AS605),ISNUMBER(AR605),AR605&gt;0),AS605/AR605-1,"")</f>
        <v/>
      </c>
      <c r="AU605" s="44"/>
      <c r="AV605" s="44"/>
      <c r="AW605" s="44"/>
      <c r="AX605" s="44"/>
      <c r="AY605" s="44"/>
      <c r="AZ605" s="45"/>
      <c r="BA605" s="45"/>
      <c r="BB605" s="46"/>
      <c r="BC605" s="46"/>
      <c r="BD605" s="23" t="str">
        <f aca="false">IF(AND(ISNUMBER(BB605),ISNUMBER(BC605),BB605&gt;0),1-BC605/BB605,"")</f>
        <v/>
      </c>
      <c r="BE605" s="47"/>
      <c r="BF605" s="48"/>
      <c r="BG605" s="48"/>
      <c r="BH605" s="27" t="str">
        <f aca="false">IF(AND(ISNUMBER(BF605),ISNUMBER(BG605),BG605&gt;0),BF605/BG605,"")</f>
        <v/>
      </c>
      <c r="BI605" s="48"/>
      <c r="BJ605" s="44"/>
      <c r="BK605" s="46"/>
      <c r="BL605" s="46"/>
      <c r="BM605" s="36" t="str">
        <f aca="false">IF(ISNUMBER(Q605),IF(Q605&lt;0,"YES","no"),"")</f>
        <v>no</v>
      </c>
      <c r="BN605" s="36" t="str">
        <f aca="false">IFERROR(IF(AND(ISNUMBER(K605),ISNUMBER(INDEX('Lift Inputs'!$H:$H,MATCH(C605,'Lift Inputs'!$C:$C,0)))),IF(K605&lt;INDEX('Lift Inputs'!$H:$H,MATCH(C605,'Lift Inputs'!$C:$C,0)),"YES","no"),""),"")</f>
        <v/>
      </c>
      <c r="BO605" s="44"/>
    </row>
    <row r="606" customFormat="false" ht="15" hidden="false" customHeight="false" outlineLevel="0" collapsed="false">
      <c r="A606" s="15" t="s">
        <v>144</v>
      </c>
      <c r="B606" s="15" t="s">
        <v>157</v>
      </c>
      <c r="C606" s="15" t="n">
        <v>33</v>
      </c>
      <c r="D606" s="15" t="s">
        <v>144</v>
      </c>
      <c r="E606" s="15" t="n">
        <v>1768</v>
      </c>
      <c r="F606" s="15" t="s">
        <v>1315</v>
      </c>
      <c r="G606" s="15" t="s">
        <v>1316</v>
      </c>
      <c r="H606" s="15" t="s">
        <v>1317</v>
      </c>
      <c r="I606" s="15" t="s">
        <v>1318</v>
      </c>
      <c r="J606" s="15" t="s">
        <v>176</v>
      </c>
      <c r="K606" s="35" t="n">
        <v>16.99</v>
      </c>
      <c r="L606" s="35"/>
      <c r="M606" s="23" t="str">
        <f aca="false">IF(AND(ISNUMBER(L606),ISNUMBER(K606),K606&gt;0),L606/K606-1,"")</f>
        <v/>
      </c>
      <c r="N606" s="36" t="str">
        <f aca="false">IF(M606="","No List Price",IF(M606&lt;=0,"At/below price",IF(M606&lt;=0.12,"&lt;=12% (STR zone)",IF(M606&lt;=0.25,"12-25%","&gt;25% (likely ignored)"))))</f>
        <v>No List Price</v>
      </c>
      <c r="O606" s="15"/>
      <c r="P606" s="35" t="n">
        <v>25.24</v>
      </c>
      <c r="Q606" s="22" t="n">
        <f aca="false">IF(AND(ISNUMBER(K606),ISNUMBER(P606),N(P606)&gt;0),K606/P606-1,"")</f>
        <v>-0.326862123613312</v>
      </c>
      <c r="R606" s="15" t="s">
        <v>512</v>
      </c>
      <c r="S606" s="37" t="n">
        <v>59347</v>
      </c>
      <c r="T606" s="37" t="n">
        <v>81</v>
      </c>
      <c r="U606" s="38" t="n">
        <f aca="false">IF(AND(ISNUMBER(K606),ISNUMBER(T606)),K606*T606*52/12,"")</f>
        <v>5963.49</v>
      </c>
      <c r="V606" s="15" t="n">
        <v>4.6</v>
      </c>
      <c r="W606" s="37" t="n">
        <v>2070</v>
      </c>
      <c r="X606" s="39" t="n">
        <v>46307</v>
      </c>
      <c r="Y606" s="15" t="n">
        <v>85</v>
      </c>
      <c r="Z606" s="40" t="n">
        <v>44546</v>
      </c>
      <c r="AA606" s="41" t="n">
        <f aca="false">IF(ISNUMBER(Z606),(DATE(2026,10,13)-Z606)/365,"")</f>
        <v>4.82739726027397</v>
      </c>
      <c r="AB606" s="37" t="n">
        <v>738</v>
      </c>
      <c r="AC606" s="15" t="s">
        <v>313</v>
      </c>
      <c r="AD606" s="15" t="n">
        <v>1</v>
      </c>
      <c r="AE606" s="15" t="s">
        <v>331</v>
      </c>
      <c r="AF606" s="42" t="n">
        <v>0</v>
      </c>
      <c r="AG606" s="42" t="n">
        <v>0</v>
      </c>
      <c r="AH606" s="15" t="n">
        <v>93</v>
      </c>
      <c r="AI606" s="37"/>
      <c r="AJ606" s="37"/>
      <c r="AK606" s="15"/>
      <c r="AL606" s="43"/>
      <c r="AM606" s="43"/>
      <c r="AN606" s="25" t="str">
        <f aca="false">IF(AND(ISNUMBER(AM606),ISNUMBER(AL606),AL606&gt;=5),AM606/AL606,"")</f>
        <v/>
      </c>
      <c r="AO606" s="43"/>
      <c r="AP606" s="43"/>
      <c r="AQ606" s="25" t="str">
        <f aca="false">IF(AND(ISNUMBER(AP606),ISNUMBER(AO606),AO606&gt;=5),AP606/AO606,"")</f>
        <v/>
      </c>
      <c r="AR606" s="43"/>
      <c r="AS606" s="43"/>
      <c r="AT606" s="22" t="str">
        <f aca="false">IF(AND(ISNUMBER(AS606),ISNUMBER(AR606),AR606&gt;0),AS606/AR606-1,"")</f>
        <v/>
      </c>
      <c r="AU606" s="44"/>
      <c r="AV606" s="44"/>
      <c r="AW606" s="44"/>
      <c r="AX606" s="44"/>
      <c r="AY606" s="44"/>
      <c r="AZ606" s="45"/>
      <c r="BA606" s="45"/>
      <c r="BB606" s="46"/>
      <c r="BC606" s="46"/>
      <c r="BD606" s="23" t="str">
        <f aca="false">IF(AND(ISNUMBER(BB606),ISNUMBER(BC606),BB606&gt;0),1-BC606/BB606,"")</f>
        <v/>
      </c>
      <c r="BE606" s="47"/>
      <c r="BF606" s="48"/>
      <c r="BG606" s="48"/>
      <c r="BH606" s="27" t="str">
        <f aca="false">IF(AND(ISNUMBER(BF606),ISNUMBER(BG606),BG606&gt;0),BF606/BG606,"")</f>
        <v/>
      </c>
      <c r="BI606" s="48"/>
      <c r="BJ606" s="44"/>
      <c r="BK606" s="46"/>
      <c r="BL606" s="46"/>
      <c r="BM606" s="36" t="str">
        <f aca="false">IF(ISNUMBER(Q606),IF(Q606&lt;0,"YES","no"),"")</f>
        <v>YES</v>
      </c>
      <c r="BN606" s="36" t="str">
        <f aca="false">IFERROR(IF(AND(ISNUMBER(K606),ISNUMBER(INDEX('Lift Inputs'!$H:$H,MATCH(C606,'Lift Inputs'!$C:$C,0)))),IF(K606&lt;INDEX('Lift Inputs'!$H:$H,MATCH(C606,'Lift Inputs'!$C:$C,0)),"YES","no"),""),"")</f>
        <v/>
      </c>
      <c r="BO606" s="44"/>
    </row>
    <row r="607" customFormat="false" ht="15" hidden="false" customHeight="false" outlineLevel="0" collapsed="false">
      <c r="A607" s="15" t="s">
        <v>144</v>
      </c>
      <c r="B607" s="15" t="s">
        <v>157</v>
      </c>
      <c r="C607" s="15" t="n">
        <v>33</v>
      </c>
      <c r="D607" s="15" t="s">
        <v>144</v>
      </c>
      <c r="E607" s="15" t="n">
        <v>1771</v>
      </c>
      <c r="F607" s="15" t="s">
        <v>1319</v>
      </c>
      <c r="G607" s="15" t="s">
        <v>1320</v>
      </c>
      <c r="H607" s="15" t="s">
        <v>1321</v>
      </c>
      <c r="I607" s="15" t="s">
        <v>1322</v>
      </c>
      <c r="J607" s="15" t="s">
        <v>176</v>
      </c>
      <c r="K607" s="35" t="n">
        <v>29.99</v>
      </c>
      <c r="L607" s="35"/>
      <c r="M607" s="23" t="str">
        <f aca="false">IF(AND(ISNUMBER(L607),ISNUMBER(K607),K607&gt;0),L607/K607-1,"")</f>
        <v/>
      </c>
      <c r="N607" s="36" t="str">
        <f aca="false">IF(M607="","No List Price",IF(M607&lt;=0,"At/below price",IF(M607&lt;=0.12,"&lt;=12% (STR zone)",IF(M607&lt;=0.25,"12-25%","&gt;25% (likely ignored)"))))</f>
        <v>No List Price</v>
      </c>
      <c r="O607" s="15"/>
      <c r="P607" s="35" t="n">
        <v>25.24</v>
      </c>
      <c r="Q607" s="22" t="n">
        <f aca="false">IF(AND(ISNUMBER(K607),ISNUMBER(P607),N(P607)&gt;0),K607/P607-1,"")</f>
        <v>0.188193343898574</v>
      </c>
      <c r="R607" s="15" t="s">
        <v>512</v>
      </c>
      <c r="S607" s="37" t="n">
        <v>33484</v>
      </c>
      <c r="T607" s="37" t="n">
        <v>81</v>
      </c>
      <c r="U607" s="38" t="n">
        <f aca="false">IF(AND(ISNUMBER(K607),ISNUMBER(T607)),K607*T607*52/12,"")</f>
        <v>10526.49</v>
      </c>
      <c r="V607" s="15" t="n">
        <v>4.6</v>
      </c>
      <c r="W607" s="37" t="n">
        <v>1526</v>
      </c>
      <c r="X607" s="39" t="n">
        <v>46307</v>
      </c>
      <c r="Y607" s="15" t="n">
        <v>38</v>
      </c>
      <c r="Z607" s="40" t="n">
        <v>44999</v>
      </c>
      <c r="AA607" s="41" t="n">
        <f aca="false">IF(ISNUMBER(Z607),(DATE(2026,10,13)-Z607)/365,"")</f>
        <v>3.58630136986301</v>
      </c>
      <c r="AB607" s="37" t="n">
        <v>1184</v>
      </c>
      <c r="AC607" s="15" t="s">
        <v>313</v>
      </c>
      <c r="AD607" s="15" t="n">
        <v>1</v>
      </c>
      <c r="AE607" s="15" t="s">
        <v>331</v>
      </c>
      <c r="AF607" s="42" t="n">
        <v>0</v>
      </c>
      <c r="AG607" s="42" t="n">
        <v>0</v>
      </c>
      <c r="AH607" s="15" t="n">
        <v>101</v>
      </c>
      <c r="AI607" s="37"/>
      <c r="AJ607" s="37"/>
      <c r="AK607" s="15"/>
      <c r="AL607" s="43"/>
      <c r="AM607" s="43"/>
      <c r="AN607" s="25" t="str">
        <f aca="false">IF(AND(ISNUMBER(AM607),ISNUMBER(AL607),AL607&gt;=5),AM607/AL607,"")</f>
        <v/>
      </c>
      <c r="AO607" s="43"/>
      <c r="AP607" s="43"/>
      <c r="AQ607" s="25" t="str">
        <f aca="false">IF(AND(ISNUMBER(AP607),ISNUMBER(AO607),AO607&gt;=5),AP607/AO607,"")</f>
        <v/>
      </c>
      <c r="AR607" s="43"/>
      <c r="AS607" s="43"/>
      <c r="AT607" s="22" t="str">
        <f aca="false">IF(AND(ISNUMBER(AS607),ISNUMBER(AR607),AR607&gt;0),AS607/AR607-1,"")</f>
        <v/>
      </c>
      <c r="AU607" s="44"/>
      <c r="AV607" s="44"/>
      <c r="AW607" s="44"/>
      <c r="AX607" s="44"/>
      <c r="AY607" s="44"/>
      <c r="AZ607" s="45"/>
      <c r="BA607" s="45"/>
      <c r="BB607" s="46"/>
      <c r="BC607" s="46"/>
      <c r="BD607" s="23" t="str">
        <f aca="false">IF(AND(ISNUMBER(BB607),ISNUMBER(BC607),BB607&gt;0),1-BC607/BB607,"")</f>
        <v/>
      </c>
      <c r="BE607" s="47"/>
      <c r="BF607" s="48"/>
      <c r="BG607" s="48"/>
      <c r="BH607" s="27" t="str">
        <f aca="false">IF(AND(ISNUMBER(BF607),ISNUMBER(BG607),BG607&gt;0),BF607/BG607,"")</f>
        <v/>
      </c>
      <c r="BI607" s="48"/>
      <c r="BJ607" s="44"/>
      <c r="BK607" s="46"/>
      <c r="BL607" s="46"/>
      <c r="BM607" s="36" t="str">
        <f aca="false">IF(ISNUMBER(Q607),IF(Q607&lt;0,"YES","no"),"")</f>
        <v>no</v>
      </c>
      <c r="BN607" s="36" t="str">
        <f aca="false">IFERROR(IF(AND(ISNUMBER(K607),ISNUMBER(INDEX('Lift Inputs'!$H:$H,MATCH(C607,'Lift Inputs'!$C:$C,0)))),IF(K607&lt;INDEX('Lift Inputs'!$H:$H,MATCH(C607,'Lift Inputs'!$C:$C,0)),"YES","no"),""),"")</f>
        <v/>
      </c>
      <c r="BO607" s="44"/>
    </row>
    <row r="608" customFormat="false" ht="15" hidden="false" customHeight="false" outlineLevel="0" collapsed="false">
      <c r="A608" s="15" t="s">
        <v>144</v>
      </c>
      <c r="B608" s="15" t="s">
        <v>157</v>
      </c>
      <c r="C608" s="15" t="n">
        <v>33</v>
      </c>
      <c r="D608" s="15" t="s">
        <v>144</v>
      </c>
      <c r="E608" s="15" t="n">
        <v>1777</v>
      </c>
      <c r="F608" s="15" t="s">
        <v>1323</v>
      </c>
      <c r="G608" s="15" t="s">
        <v>1324</v>
      </c>
      <c r="H608" s="15" t="s">
        <v>1325</v>
      </c>
      <c r="I608" s="15" t="s">
        <v>1284</v>
      </c>
      <c r="J608" s="15" t="s">
        <v>176</v>
      </c>
      <c r="K608" s="35" t="n">
        <v>32.99</v>
      </c>
      <c r="L608" s="35"/>
      <c r="M608" s="23" t="str">
        <f aca="false">IF(AND(ISNUMBER(L608),ISNUMBER(K608),K608&gt;0),L608/K608-1,"")</f>
        <v/>
      </c>
      <c r="N608" s="36" t="str">
        <f aca="false">IF(M608="","No List Price",IF(M608&lt;=0,"At/below price",IF(M608&lt;=0.12,"&lt;=12% (STR zone)",IF(M608&lt;=0.25,"12-25%","&gt;25% (likely ignored)"))))</f>
        <v>No List Price</v>
      </c>
      <c r="O608" s="15"/>
      <c r="P608" s="35" t="n">
        <v>25.24</v>
      </c>
      <c r="Q608" s="22" t="n">
        <f aca="false">IF(AND(ISNUMBER(K608),ISNUMBER(P608),N(P608)&gt;0),K608/P608-1,"")</f>
        <v>0.307052297939778</v>
      </c>
      <c r="R608" s="15" t="s">
        <v>512</v>
      </c>
      <c r="S608" s="37" t="n">
        <v>26195</v>
      </c>
      <c r="T608" s="37" t="n">
        <v>35</v>
      </c>
      <c r="U608" s="38" t="n">
        <f aca="false">IF(AND(ISNUMBER(K608),ISNUMBER(T608)),K608*T608*52/12,"")</f>
        <v>5003.48333333333</v>
      </c>
      <c r="V608" s="15" t="n">
        <v>4.6</v>
      </c>
      <c r="W608" s="37" t="n">
        <v>8870</v>
      </c>
      <c r="X608" s="39" t="n">
        <v>46307</v>
      </c>
      <c r="Y608" s="15"/>
      <c r="Z608" s="40"/>
      <c r="AA608" s="41" t="str">
        <f aca="false">IF(ISNUMBER(Z608),(DATE(2026,10,13)-Z608)/365,"")</f>
        <v/>
      </c>
      <c r="AB608" s="37"/>
      <c r="AC608" s="15"/>
      <c r="AD608" s="15"/>
      <c r="AE608" s="15"/>
      <c r="AF608" s="42"/>
      <c r="AG608" s="42"/>
      <c r="AH608" s="15"/>
      <c r="AI608" s="37"/>
      <c r="AJ608" s="37"/>
      <c r="AK608" s="15"/>
      <c r="AL608" s="43"/>
      <c r="AM608" s="43"/>
      <c r="AN608" s="25" t="str">
        <f aca="false">IF(AND(ISNUMBER(AM608),ISNUMBER(AL608),AL608&gt;=5),AM608/AL608,"")</f>
        <v/>
      </c>
      <c r="AO608" s="43"/>
      <c r="AP608" s="43"/>
      <c r="AQ608" s="25" t="str">
        <f aca="false">IF(AND(ISNUMBER(AP608),ISNUMBER(AO608),AO608&gt;=5),AP608/AO608,"")</f>
        <v/>
      </c>
      <c r="AR608" s="43"/>
      <c r="AS608" s="43"/>
      <c r="AT608" s="22" t="str">
        <f aca="false">IF(AND(ISNUMBER(AS608),ISNUMBER(AR608),AR608&gt;0),AS608/AR608-1,"")</f>
        <v/>
      </c>
      <c r="AU608" s="44"/>
      <c r="AV608" s="44"/>
      <c r="AW608" s="44"/>
      <c r="AX608" s="44"/>
      <c r="AY608" s="44"/>
      <c r="AZ608" s="45"/>
      <c r="BA608" s="45"/>
      <c r="BB608" s="46"/>
      <c r="BC608" s="46"/>
      <c r="BD608" s="23" t="str">
        <f aca="false">IF(AND(ISNUMBER(BB608),ISNUMBER(BC608),BB608&gt;0),1-BC608/BB608,"")</f>
        <v/>
      </c>
      <c r="BE608" s="47"/>
      <c r="BF608" s="48"/>
      <c r="BG608" s="48"/>
      <c r="BH608" s="27" t="str">
        <f aca="false">IF(AND(ISNUMBER(BF608),ISNUMBER(BG608),BG608&gt;0),BF608/BG608,"")</f>
        <v/>
      </c>
      <c r="BI608" s="48"/>
      <c r="BJ608" s="44"/>
      <c r="BK608" s="46"/>
      <c r="BL608" s="46"/>
      <c r="BM608" s="36" t="str">
        <f aca="false">IF(ISNUMBER(Q608),IF(Q608&lt;0,"YES","no"),"")</f>
        <v>no</v>
      </c>
      <c r="BN608" s="36" t="str">
        <f aca="false">IFERROR(IF(AND(ISNUMBER(K608),ISNUMBER(INDEX('Lift Inputs'!$H:$H,MATCH(C608,'Lift Inputs'!$C:$C,0)))),IF(K608&lt;INDEX('Lift Inputs'!$H:$H,MATCH(C608,'Lift Inputs'!$C:$C,0)),"YES","no"),""),"")</f>
        <v/>
      </c>
      <c r="BO608" s="44"/>
    </row>
    <row r="609" customFormat="false" ht="15" hidden="false" customHeight="false" outlineLevel="0" collapsed="false">
      <c r="A609" s="15" t="s">
        <v>144</v>
      </c>
      <c r="B609" s="15" t="s">
        <v>157</v>
      </c>
      <c r="C609" s="15" t="n">
        <v>33</v>
      </c>
      <c r="D609" s="15" t="s">
        <v>144</v>
      </c>
      <c r="E609" s="15" t="n">
        <v>1767</v>
      </c>
      <c r="F609" s="15" t="s">
        <v>1326</v>
      </c>
      <c r="G609" s="15" t="s">
        <v>1327</v>
      </c>
      <c r="H609" s="15" t="s">
        <v>1328</v>
      </c>
      <c r="I609" s="15" t="s">
        <v>1329</v>
      </c>
      <c r="J609" s="15" t="s">
        <v>176</v>
      </c>
      <c r="K609" s="35" t="n">
        <v>17.99</v>
      </c>
      <c r="L609" s="35"/>
      <c r="M609" s="23" t="str">
        <f aca="false">IF(AND(ISNUMBER(L609),ISNUMBER(K609),K609&gt;0),L609/K609-1,"")</f>
        <v/>
      </c>
      <c r="N609" s="36" t="str">
        <f aca="false">IF(M609="","No List Price",IF(M609&lt;=0,"At/below price",IF(M609&lt;=0.12,"&lt;=12% (STR zone)",IF(M609&lt;=0.25,"12-25%","&gt;25% (likely ignored)"))))</f>
        <v>No List Price</v>
      </c>
      <c r="O609" s="15"/>
      <c r="P609" s="35" t="n">
        <v>25.24</v>
      </c>
      <c r="Q609" s="22" t="n">
        <f aca="false">IF(AND(ISNUMBER(K609),ISNUMBER(P609),N(P609)&gt;0),K609/P609-1,"")</f>
        <v>-0.287242472266244</v>
      </c>
      <c r="R609" s="15" t="s">
        <v>512</v>
      </c>
      <c r="S609" s="37" t="n">
        <v>59235</v>
      </c>
      <c r="T609" s="37" t="n">
        <v>18</v>
      </c>
      <c r="U609" s="38" t="n">
        <f aca="false">IF(AND(ISNUMBER(K609),ISNUMBER(T609)),K609*T609*52/12,"")</f>
        <v>1403.22</v>
      </c>
      <c r="V609" s="15" t="n">
        <v>4.6</v>
      </c>
      <c r="W609" s="37" t="n">
        <v>3594</v>
      </c>
      <c r="X609" s="39" t="n">
        <v>46307</v>
      </c>
      <c r="Y609" s="15" t="n">
        <v>81</v>
      </c>
      <c r="Z609" s="40" t="n">
        <v>44058</v>
      </c>
      <c r="AA609" s="41" t="n">
        <f aca="false">IF(ISNUMBER(Z609),(DATE(2026,10,13)-Z609)/365,"")</f>
        <v>6.16438356164384</v>
      </c>
      <c r="AB609" s="37" t="n">
        <v>800</v>
      </c>
      <c r="AC609" s="15" t="s">
        <v>313</v>
      </c>
      <c r="AD609" s="15" t="n">
        <v>1</v>
      </c>
      <c r="AE609" s="15" t="s">
        <v>1330</v>
      </c>
      <c r="AF609" s="42" t="n">
        <v>0</v>
      </c>
      <c r="AG609" s="42" t="n">
        <v>0</v>
      </c>
      <c r="AH609" s="15" t="n">
        <v>105</v>
      </c>
      <c r="AI609" s="37"/>
      <c r="AJ609" s="37"/>
      <c r="AK609" s="15"/>
      <c r="AL609" s="43"/>
      <c r="AM609" s="43"/>
      <c r="AN609" s="25" t="str">
        <f aca="false">IF(AND(ISNUMBER(AM609),ISNUMBER(AL609),AL609&gt;=5),AM609/AL609,"")</f>
        <v/>
      </c>
      <c r="AO609" s="43"/>
      <c r="AP609" s="43"/>
      <c r="AQ609" s="25" t="str">
        <f aca="false">IF(AND(ISNUMBER(AP609),ISNUMBER(AO609),AO609&gt;=5),AP609/AO609,"")</f>
        <v/>
      </c>
      <c r="AR609" s="43"/>
      <c r="AS609" s="43"/>
      <c r="AT609" s="22" t="str">
        <f aca="false">IF(AND(ISNUMBER(AS609),ISNUMBER(AR609),AR609&gt;0),AS609/AR609-1,"")</f>
        <v/>
      </c>
      <c r="AU609" s="44"/>
      <c r="AV609" s="44"/>
      <c r="AW609" s="44"/>
      <c r="AX609" s="44"/>
      <c r="AY609" s="44"/>
      <c r="AZ609" s="45"/>
      <c r="BA609" s="45"/>
      <c r="BB609" s="46"/>
      <c r="BC609" s="46"/>
      <c r="BD609" s="23" t="str">
        <f aca="false">IF(AND(ISNUMBER(BB609),ISNUMBER(BC609),BB609&gt;0),1-BC609/BB609,"")</f>
        <v/>
      </c>
      <c r="BE609" s="47"/>
      <c r="BF609" s="48"/>
      <c r="BG609" s="48"/>
      <c r="BH609" s="27" t="str">
        <f aca="false">IF(AND(ISNUMBER(BF609),ISNUMBER(BG609),BG609&gt;0),BF609/BG609,"")</f>
        <v/>
      </c>
      <c r="BI609" s="48"/>
      <c r="BJ609" s="44"/>
      <c r="BK609" s="46"/>
      <c r="BL609" s="46"/>
      <c r="BM609" s="36" t="str">
        <f aca="false">IF(ISNUMBER(Q609),IF(Q609&lt;0,"YES","no"),"")</f>
        <v>YES</v>
      </c>
      <c r="BN609" s="36" t="str">
        <f aca="false">IFERROR(IF(AND(ISNUMBER(K609),ISNUMBER(INDEX('Lift Inputs'!$H:$H,MATCH(C609,'Lift Inputs'!$C:$C,0)))),IF(K609&lt;INDEX('Lift Inputs'!$H:$H,MATCH(C609,'Lift Inputs'!$C:$C,0)),"YES","no"),""),"")</f>
        <v/>
      </c>
      <c r="BO609" s="44"/>
    </row>
    <row r="610" customFormat="false" ht="15" hidden="false" customHeight="false" outlineLevel="0" collapsed="false">
      <c r="A610" s="15" t="s">
        <v>144</v>
      </c>
      <c r="B610" s="15" t="s">
        <v>157</v>
      </c>
      <c r="C610" s="15" t="n">
        <v>33</v>
      </c>
      <c r="D610" s="15" t="s">
        <v>144</v>
      </c>
      <c r="E610" s="15" t="n">
        <v>1765</v>
      </c>
      <c r="F610" s="15" t="s">
        <v>1303</v>
      </c>
      <c r="G610" s="15" t="s">
        <v>1331</v>
      </c>
      <c r="H610" s="15" t="s">
        <v>1332</v>
      </c>
      <c r="I610" s="15" t="s">
        <v>1284</v>
      </c>
      <c r="J610" s="15" t="s">
        <v>176</v>
      </c>
      <c r="K610" s="35" t="n">
        <v>22.94</v>
      </c>
      <c r="L610" s="35" t="n">
        <v>26.99</v>
      </c>
      <c r="M610" s="23" t="n">
        <f aca="false">IF(AND(ISNUMBER(L610),ISNUMBER(K610),K610&gt;0),L610/K610-1,"")</f>
        <v>0.176547515257192</v>
      </c>
      <c r="N610" s="36" t="str">
        <f aca="false">IF(M610="","No List Price",IF(M610&lt;=0,"At/below price",IF(M610&lt;=0.12,"&lt;=12% (STR zone)",IF(M610&lt;=0.25,"12-25%","&gt;25% (likely ignored)"))))</f>
        <v>12-25%</v>
      </c>
      <c r="O610" s="15"/>
      <c r="P610" s="35" t="n">
        <v>25.24</v>
      </c>
      <c r="Q610" s="22" t="n">
        <f aca="false">IF(AND(ISNUMBER(K610),ISNUMBER(P610),N(P610)&gt;0),K610/P610-1,"")</f>
        <v>-0.0911251980982566</v>
      </c>
      <c r="R610" s="15" t="s">
        <v>512</v>
      </c>
      <c r="S610" s="37" t="n">
        <v>23786</v>
      </c>
      <c r="T610" s="37" t="n">
        <v>18</v>
      </c>
      <c r="U610" s="38" t="n">
        <f aca="false">IF(AND(ISNUMBER(K610),ISNUMBER(T610)),K610*T610*52/12,"")</f>
        <v>1789.32</v>
      </c>
      <c r="V610" s="15" t="n">
        <v>4.6</v>
      </c>
      <c r="W610" s="37" t="n">
        <v>5341</v>
      </c>
      <c r="X610" s="39" t="n">
        <v>46307</v>
      </c>
      <c r="Y610" s="15"/>
      <c r="Z610" s="40"/>
      <c r="AA610" s="41" t="str">
        <f aca="false">IF(ISNUMBER(Z610),(DATE(2026,10,13)-Z610)/365,"")</f>
        <v/>
      </c>
      <c r="AB610" s="37"/>
      <c r="AC610" s="15"/>
      <c r="AD610" s="15"/>
      <c r="AE610" s="15"/>
      <c r="AF610" s="42"/>
      <c r="AG610" s="42"/>
      <c r="AH610" s="15"/>
      <c r="AI610" s="37"/>
      <c r="AJ610" s="37"/>
      <c r="AK610" s="15"/>
      <c r="AL610" s="43"/>
      <c r="AM610" s="43"/>
      <c r="AN610" s="25" t="str">
        <f aca="false">IF(AND(ISNUMBER(AM610),ISNUMBER(AL610),AL610&gt;=5),AM610/AL610,"")</f>
        <v/>
      </c>
      <c r="AO610" s="43"/>
      <c r="AP610" s="43"/>
      <c r="AQ610" s="25" t="str">
        <f aca="false">IF(AND(ISNUMBER(AP610),ISNUMBER(AO610),AO610&gt;=5),AP610/AO610,"")</f>
        <v/>
      </c>
      <c r="AR610" s="43"/>
      <c r="AS610" s="43"/>
      <c r="AT610" s="22" t="str">
        <f aca="false">IF(AND(ISNUMBER(AS610),ISNUMBER(AR610),AR610&gt;0),AS610/AR610-1,"")</f>
        <v/>
      </c>
      <c r="AU610" s="44"/>
      <c r="AV610" s="44"/>
      <c r="AW610" s="44"/>
      <c r="AX610" s="44"/>
      <c r="AY610" s="44"/>
      <c r="AZ610" s="45"/>
      <c r="BA610" s="45"/>
      <c r="BB610" s="46"/>
      <c r="BC610" s="46"/>
      <c r="BD610" s="23" t="str">
        <f aca="false">IF(AND(ISNUMBER(BB610),ISNUMBER(BC610),BB610&gt;0),1-BC610/BB610,"")</f>
        <v/>
      </c>
      <c r="BE610" s="47"/>
      <c r="BF610" s="48"/>
      <c r="BG610" s="48"/>
      <c r="BH610" s="27" t="str">
        <f aca="false">IF(AND(ISNUMBER(BF610),ISNUMBER(BG610),BG610&gt;0),BF610/BG610,"")</f>
        <v/>
      </c>
      <c r="BI610" s="48"/>
      <c r="BJ610" s="44"/>
      <c r="BK610" s="46"/>
      <c r="BL610" s="46"/>
      <c r="BM610" s="36" t="str">
        <f aca="false">IF(ISNUMBER(Q610),IF(Q610&lt;0,"YES","no"),"")</f>
        <v>YES</v>
      </c>
      <c r="BN610" s="36" t="str">
        <f aca="false">IFERROR(IF(AND(ISNUMBER(K610),ISNUMBER(INDEX('Lift Inputs'!$H:$H,MATCH(C610,'Lift Inputs'!$C:$C,0)))),IF(K610&lt;INDEX('Lift Inputs'!$H:$H,MATCH(C610,'Lift Inputs'!$C:$C,0)),"YES","no"),""),"")</f>
        <v/>
      </c>
      <c r="BO610" s="44"/>
    </row>
    <row r="611" customFormat="false" ht="15" hidden="false" customHeight="false" outlineLevel="0" collapsed="false">
      <c r="A611" s="15" t="s">
        <v>144</v>
      </c>
      <c r="B611" s="15" t="s">
        <v>157</v>
      </c>
      <c r="C611" s="15" t="n">
        <v>33</v>
      </c>
      <c r="D611" s="15" t="s">
        <v>144</v>
      </c>
      <c r="E611" s="15" t="n">
        <v>1776</v>
      </c>
      <c r="F611" s="15" t="s">
        <v>1333</v>
      </c>
      <c r="G611" s="15" t="s">
        <v>1334</v>
      </c>
      <c r="H611" s="15" t="s">
        <v>1335</v>
      </c>
      <c r="I611" s="15" t="s">
        <v>1336</v>
      </c>
      <c r="J611" s="15" t="s">
        <v>176</v>
      </c>
      <c r="K611" s="35" t="n">
        <v>26.99</v>
      </c>
      <c r="L611" s="35" t="n">
        <v>31.99</v>
      </c>
      <c r="M611" s="23" t="n">
        <f aca="false">IF(AND(ISNUMBER(L611),ISNUMBER(K611),K611&gt;0),L611/K611-1,"")</f>
        <v>0.185253797702853</v>
      </c>
      <c r="N611" s="36" t="str">
        <f aca="false">IF(M611="","No List Price",IF(M611&lt;=0,"At/below price",IF(M611&lt;=0.12,"&lt;=12% (STR zone)",IF(M611&lt;=0.25,"12-25%","&gt;25% (likely ignored)"))))</f>
        <v>12-25%</v>
      </c>
      <c r="O611" s="15"/>
      <c r="P611" s="35" t="n">
        <v>25.24</v>
      </c>
      <c r="Q611" s="22" t="n">
        <f aca="false">IF(AND(ISNUMBER(K611),ISNUMBER(P611),N(P611)&gt;0),K611/P611-1,"")</f>
        <v>0.0693343898573693</v>
      </c>
      <c r="R611" s="15" t="s">
        <v>512</v>
      </c>
      <c r="S611" s="37" t="n">
        <v>25653</v>
      </c>
      <c r="T611" s="37" t="n">
        <v>18</v>
      </c>
      <c r="U611" s="38" t="n">
        <f aca="false">IF(AND(ISNUMBER(K611),ISNUMBER(T611)),K611*T611*52/12,"")</f>
        <v>2105.22</v>
      </c>
      <c r="V611" s="15" t="n">
        <v>4.6</v>
      </c>
      <c r="W611" s="37" t="n">
        <v>7521</v>
      </c>
      <c r="X611" s="39" t="n">
        <v>46307</v>
      </c>
      <c r="Y611" s="15" t="n">
        <v>66</v>
      </c>
      <c r="Z611" s="40" t="n">
        <v>43074</v>
      </c>
      <c r="AA611" s="41" t="n">
        <f aca="false">IF(ISNUMBER(Z611),(DATE(2026,10,13)-Z611)/365,"")</f>
        <v>8.86027397260274</v>
      </c>
      <c r="AB611" s="37" t="n">
        <v>1769</v>
      </c>
      <c r="AC611" s="15" t="s">
        <v>313</v>
      </c>
      <c r="AD611" s="15" t="n">
        <v>1</v>
      </c>
      <c r="AE611" s="15" t="s">
        <v>331</v>
      </c>
      <c r="AF611" s="42" t="n">
        <v>0.00401606425702811</v>
      </c>
      <c r="AG611" s="42" t="n">
        <v>0.00017797369121707</v>
      </c>
      <c r="AH611" s="15" t="n">
        <v>40</v>
      </c>
      <c r="AI611" s="37"/>
      <c r="AJ611" s="37"/>
      <c r="AK611" s="15"/>
      <c r="AL611" s="43"/>
      <c r="AM611" s="43"/>
      <c r="AN611" s="25" t="str">
        <f aca="false">IF(AND(ISNUMBER(AM611),ISNUMBER(AL611),AL611&gt;=5),AM611/AL611,"")</f>
        <v/>
      </c>
      <c r="AO611" s="43"/>
      <c r="AP611" s="43"/>
      <c r="AQ611" s="25" t="str">
        <f aca="false">IF(AND(ISNUMBER(AP611),ISNUMBER(AO611),AO611&gt;=5),AP611/AO611,"")</f>
        <v/>
      </c>
      <c r="AR611" s="43"/>
      <c r="AS611" s="43"/>
      <c r="AT611" s="22" t="str">
        <f aca="false">IF(AND(ISNUMBER(AS611),ISNUMBER(AR611),AR611&gt;0),AS611/AR611-1,"")</f>
        <v/>
      </c>
      <c r="AU611" s="44"/>
      <c r="AV611" s="44"/>
      <c r="AW611" s="44"/>
      <c r="AX611" s="44"/>
      <c r="AY611" s="44"/>
      <c r="AZ611" s="45"/>
      <c r="BA611" s="45"/>
      <c r="BB611" s="46"/>
      <c r="BC611" s="46"/>
      <c r="BD611" s="23" t="str">
        <f aca="false">IF(AND(ISNUMBER(BB611),ISNUMBER(BC611),BB611&gt;0),1-BC611/BB611,"")</f>
        <v/>
      </c>
      <c r="BE611" s="47"/>
      <c r="BF611" s="48"/>
      <c r="BG611" s="48"/>
      <c r="BH611" s="27" t="str">
        <f aca="false">IF(AND(ISNUMBER(BF611),ISNUMBER(BG611),BG611&gt;0),BF611/BG611,"")</f>
        <v/>
      </c>
      <c r="BI611" s="48"/>
      <c r="BJ611" s="44"/>
      <c r="BK611" s="46"/>
      <c r="BL611" s="46"/>
      <c r="BM611" s="36" t="str">
        <f aca="false">IF(ISNUMBER(Q611),IF(Q611&lt;0,"YES","no"),"")</f>
        <v>no</v>
      </c>
      <c r="BN611" s="36" t="str">
        <f aca="false">IFERROR(IF(AND(ISNUMBER(K611),ISNUMBER(INDEX('Lift Inputs'!$H:$H,MATCH(C611,'Lift Inputs'!$C:$C,0)))),IF(K611&lt;INDEX('Lift Inputs'!$H:$H,MATCH(C611,'Lift Inputs'!$C:$C,0)),"YES","no"),""),"")</f>
        <v/>
      </c>
      <c r="BO611" s="44"/>
    </row>
    <row r="612" customFormat="false" ht="15" hidden="false" customHeight="false" outlineLevel="0" collapsed="false">
      <c r="A612" s="15" t="s">
        <v>144</v>
      </c>
      <c r="B612" s="15" t="s">
        <v>157</v>
      </c>
      <c r="C612" s="15" t="n">
        <v>33</v>
      </c>
      <c r="D612" s="15" t="s">
        <v>144</v>
      </c>
      <c r="E612" s="15" t="n">
        <v>1772</v>
      </c>
      <c r="F612" s="15" t="s">
        <v>1337</v>
      </c>
      <c r="G612" s="15" t="s">
        <v>1338</v>
      </c>
      <c r="H612" s="15" t="s">
        <v>1339</v>
      </c>
      <c r="I612" s="15" t="s">
        <v>1284</v>
      </c>
      <c r="J612" s="15" t="s">
        <v>176</v>
      </c>
      <c r="K612" s="35" t="n">
        <v>25.49</v>
      </c>
      <c r="L612" s="35"/>
      <c r="M612" s="23" t="str">
        <f aca="false">IF(AND(ISNUMBER(L612),ISNUMBER(K612),K612&gt;0),L612/K612-1,"")</f>
        <v/>
      </c>
      <c r="N612" s="36" t="str">
        <f aca="false">IF(M612="","No List Price",IF(M612&lt;=0,"At/below price",IF(M612&lt;=0.12,"&lt;=12% (STR zone)",IF(M612&lt;=0.25,"12-25%","&gt;25% (likely ignored)"))))</f>
        <v>No List Price</v>
      </c>
      <c r="O612" s="15"/>
      <c r="P612" s="35" t="n">
        <v>25.24</v>
      </c>
      <c r="Q612" s="22" t="n">
        <f aca="false">IF(AND(ISNUMBER(K612),ISNUMBER(P612),N(P612)&gt;0),K612/P612-1,"")</f>
        <v>0.00990491283676698</v>
      </c>
      <c r="R612" s="15" t="s">
        <v>512</v>
      </c>
      <c r="S612" s="37" t="n">
        <v>24520</v>
      </c>
      <c r="T612" s="37" t="n">
        <v>18</v>
      </c>
      <c r="U612" s="38" t="n">
        <f aca="false">IF(AND(ISNUMBER(K612),ISNUMBER(T612)),K612*T612*52/12,"")</f>
        <v>1988.22</v>
      </c>
      <c r="V612" s="15" t="n">
        <v>4.7</v>
      </c>
      <c r="W612" s="37" t="n">
        <v>6302</v>
      </c>
      <c r="X612" s="39" t="n">
        <v>46307</v>
      </c>
      <c r="Y612" s="15"/>
      <c r="Z612" s="40"/>
      <c r="AA612" s="41" t="str">
        <f aca="false">IF(ISNUMBER(Z612),(DATE(2026,10,13)-Z612)/365,"")</f>
        <v/>
      </c>
      <c r="AB612" s="37"/>
      <c r="AC612" s="15"/>
      <c r="AD612" s="15"/>
      <c r="AE612" s="15"/>
      <c r="AF612" s="42"/>
      <c r="AG612" s="42"/>
      <c r="AH612" s="15"/>
      <c r="AI612" s="37"/>
      <c r="AJ612" s="37"/>
      <c r="AK612" s="15"/>
      <c r="AL612" s="43"/>
      <c r="AM612" s="43"/>
      <c r="AN612" s="25" t="str">
        <f aca="false">IF(AND(ISNUMBER(AM612),ISNUMBER(AL612),AL612&gt;=5),AM612/AL612,"")</f>
        <v/>
      </c>
      <c r="AO612" s="43"/>
      <c r="AP612" s="43"/>
      <c r="AQ612" s="25" t="str">
        <f aca="false">IF(AND(ISNUMBER(AP612),ISNUMBER(AO612),AO612&gt;=5),AP612/AO612,"")</f>
        <v/>
      </c>
      <c r="AR612" s="43"/>
      <c r="AS612" s="43"/>
      <c r="AT612" s="22" t="str">
        <f aca="false">IF(AND(ISNUMBER(AS612),ISNUMBER(AR612),AR612&gt;0),AS612/AR612-1,"")</f>
        <v/>
      </c>
      <c r="AU612" s="44"/>
      <c r="AV612" s="44"/>
      <c r="AW612" s="44"/>
      <c r="AX612" s="44"/>
      <c r="AY612" s="44"/>
      <c r="AZ612" s="45"/>
      <c r="BA612" s="45"/>
      <c r="BB612" s="46"/>
      <c r="BC612" s="46"/>
      <c r="BD612" s="23" t="str">
        <f aca="false">IF(AND(ISNUMBER(BB612),ISNUMBER(BC612),BB612&gt;0),1-BC612/BB612,"")</f>
        <v/>
      </c>
      <c r="BE612" s="47"/>
      <c r="BF612" s="48"/>
      <c r="BG612" s="48"/>
      <c r="BH612" s="27" t="str">
        <f aca="false">IF(AND(ISNUMBER(BF612),ISNUMBER(BG612),BG612&gt;0),BF612/BG612,"")</f>
        <v/>
      </c>
      <c r="BI612" s="48"/>
      <c r="BJ612" s="44"/>
      <c r="BK612" s="46"/>
      <c r="BL612" s="46"/>
      <c r="BM612" s="36" t="str">
        <f aca="false">IF(ISNUMBER(Q612),IF(Q612&lt;0,"YES","no"),"")</f>
        <v>no</v>
      </c>
      <c r="BN612" s="36" t="str">
        <f aca="false">IFERROR(IF(AND(ISNUMBER(K612),ISNUMBER(INDEX('Lift Inputs'!$H:$H,MATCH(C612,'Lift Inputs'!$C:$C,0)))),IF(K612&lt;INDEX('Lift Inputs'!$H:$H,MATCH(C612,'Lift Inputs'!$C:$C,0)),"YES","no"),""),"")</f>
        <v/>
      </c>
      <c r="BO612" s="44"/>
    </row>
    <row r="613" customFormat="false" ht="15" hidden="false" customHeight="false" outlineLevel="0" collapsed="false">
      <c r="A613" s="15" t="s">
        <v>144</v>
      </c>
      <c r="B613" s="15" t="s">
        <v>157</v>
      </c>
      <c r="C613" s="15" t="n">
        <v>33</v>
      </c>
      <c r="D613" s="15" t="s">
        <v>144</v>
      </c>
      <c r="E613" s="15" t="n">
        <v>1780</v>
      </c>
      <c r="F613" s="15" t="s">
        <v>1340</v>
      </c>
      <c r="G613" s="15" t="s">
        <v>1341</v>
      </c>
      <c r="H613" s="15" t="s">
        <v>1342</v>
      </c>
      <c r="I613" s="15" t="s">
        <v>1343</v>
      </c>
      <c r="J613" s="15" t="s">
        <v>177</v>
      </c>
      <c r="K613" s="35" t="n">
        <v>19.1</v>
      </c>
      <c r="L613" s="35" t="n">
        <v>23.88</v>
      </c>
      <c r="M613" s="23" t="n">
        <f aca="false">IF(AND(ISNUMBER(L613),ISNUMBER(K613),K613&gt;0),L613/K613-1,"")</f>
        <v>0.250261780104712</v>
      </c>
      <c r="N613" s="36" t="str">
        <f aca="false">IF(M613="","No List Price",IF(M613&lt;=0,"At/below price",IF(M613&lt;=0.12,"&lt;=12% (STR zone)",IF(M613&lt;=0.25,"12-25%","&gt;25% (likely ignored)"))))</f>
        <v>&gt;25% (likely ignored)</v>
      </c>
      <c r="O613" s="15"/>
      <c r="P613" s="35" t="n">
        <v>25.24</v>
      </c>
      <c r="Q613" s="22" t="n">
        <f aca="false">IF(AND(ISNUMBER(K613),ISNUMBER(P613),N(P613)&gt;0),K613/P613-1,"")</f>
        <v>-0.243264659270998</v>
      </c>
      <c r="R613" s="15" t="s">
        <v>512</v>
      </c>
      <c r="S613" s="37" t="n">
        <v>60827</v>
      </c>
      <c r="T613" s="37" t="n">
        <v>35</v>
      </c>
      <c r="U613" s="38" t="n">
        <f aca="false">IF(AND(ISNUMBER(K613),ISNUMBER(T613)),K613*T613*52/12,"")</f>
        <v>2896.83333333333</v>
      </c>
      <c r="V613" s="15" t="n">
        <v>4.6</v>
      </c>
      <c r="W613" s="37" t="n">
        <v>865</v>
      </c>
      <c r="X613" s="39" t="n">
        <v>46307</v>
      </c>
      <c r="Y613" s="15" t="n">
        <v>107</v>
      </c>
      <c r="Z613" s="40" t="n">
        <v>45439</v>
      </c>
      <c r="AA613" s="41" t="n">
        <f aca="false">IF(ISNUMBER(Z613),(DATE(2026,10,13)-Z613)/365,"")</f>
        <v>2.38082191780822</v>
      </c>
      <c r="AB613" s="37" t="n">
        <v>780</v>
      </c>
      <c r="AC613" s="15" t="s">
        <v>313</v>
      </c>
      <c r="AD613" s="15" t="n">
        <v>1</v>
      </c>
      <c r="AE613" s="15" t="s">
        <v>331</v>
      </c>
      <c r="AF613" s="42" t="n">
        <v>0.00200803212851406</v>
      </c>
      <c r="AG613" s="42" t="n">
        <v>0</v>
      </c>
      <c r="AH613" s="15" t="n">
        <v>103</v>
      </c>
      <c r="AI613" s="37"/>
      <c r="AJ613" s="37"/>
      <c r="AK613" s="15"/>
      <c r="AL613" s="43"/>
      <c r="AM613" s="43"/>
      <c r="AN613" s="25" t="str">
        <f aca="false">IF(AND(ISNUMBER(AM613),ISNUMBER(AL613),AL613&gt;=5),AM613/AL613,"")</f>
        <v/>
      </c>
      <c r="AO613" s="43"/>
      <c r="AP613" s="43"/>
      <c r="AQ613" s="25" t="str">
        <f aca="false">IF(AND(ISNUMBER(AP613),ISNUMBER(AO613),AO613&gt;=5),AP613/AO613,"")</f>
        <v/>
      </c>
      <c r="AR613" s="43"/>
      <c r="AS613" s="43"/>
      <c r="AT613" s="22" t="str">
        <f aca="false">IF(AND(ISNUMBER(AS613),ISNUMBER(AR613),AR613&gt;0),AS613/AR613-1,"")</f>
        <v/>
      </c>
      <c r="AU613" s="44"/>
      <c r="AV613" s="44"/>
      <c r="AW613" s="44"/>
      <c r="AX613" s="44"/>
      <c r="AY613" s="44"/>
      <c r="AZ613" s="45"/>
      <c r="BA613" s="45"/>
      <c r="BB613" s="46"/>
      <c r="BC613" s="46"/>
      <c r="BD613" s="23" t="str">
        <f aca="false">IF(AND(ISNUMBER(BB613),ISNUMBER(BC613),BB613&gt;0),1-BC613/BB613,"")</f>
        <v/>
      </c>
      <c r="BE613" s="47"/>
      <c r="BF613" s="48"/>
      <c r="BG613" s="48"/>
      <c r="BH613" s="27" t="str">
        <f aca="false">IF(AND(ISNUMBER(BF613),ISNUMBER(BG613),BG613&gt;0),BF613/BG613,"")</f>
        <v/>
      </c>
      <c r="BI613" s="48"/>
      <c r="BJ613" s="44"/>
      <c r="BK613" s="46"/>
      <c r="BL613" s="46"/>
      <c r="BM613" s="36" t="str">
        <f aca="false">IF(ISNUMBER(Q613),IF(Q613&lt;0,"YES","no"),"")</f>
        <v>YES</v>
      </c>
      <c r="BN613" s="36" t="str">
        <f aca="false">IFERROR(IF(AND(ISNUMBER(K613),ISNUMBER(INDEX('Lift Inputs'!$H:$H,MATCH(C613,'Lift Inputs'!$C:$C,0)))),IF(K613&lt;INDEX('Lift Inputs'!$H:$H,MATCH(C613,'Lift Inputs'!$C:$C,0)),"YES","no"),""),"")</f>
        <v/>
      </c>
      <c r="BO613" s="44"/>
    </row>
    <row r="614" customFormat="false" ht="15" hidden="false" customHeight="false" outlineLevel="0" collapsed="false">
      <c r="A614" s="15" t="s">
        <v>144</v>
      </c>
      <c r="B614" s="15" t="s">
        <v>157</v>
      </c>
      <c r="C614" s="15" t="n">
        <v>33</v>
      </c>
      <c r="D614" s="15" t="s">
        <v>144</v>
      </c>
      <c r="E614" s="15" t="n">
        <v>1770</v>
      </c>
      <c r="F614" s="15" t="s">
        <v>1297</v>
      </c>
      <c r="G614" s="15" t="s">
        <v>1344</v>
      </c>
      <c r="H614" s="15" t="s">
        <v>1345</v>
      </c>
      <c r="I614" s="15" t="s">
        <v>1284</v>
      </c>
      <c r="J614" s="15" t="s">
        <v>177</v>
      </c>
      <c r="K614" s="35" t="n">
        <v>24.99</v>
      </c>
      <c r="L614" s="35"/>
      <c r="M614" s="23" t="str">
        <f aca="false">IF(AND(ISNUMBER(L614),ISNUMBER(K614),K614&gt;0),L614/K614-1,"")</f>
        <v/>
      </c>
      <c r="N614" s="36" t="str">
        <f aca="false">IF(M614="","No List Price",IF(M614&lt;=0,"At/below price",IF(M614&lt;=0.12,"&lt;=12% (STR zone)",IF(M614&lt;=0.25,"12-25%","&gt;25% (likely ignored)"))))</f>
        <v>No List Price</v>
      </c>
      <c r="O614" s="15"/>
      <c r="P614" s="35" t="n">
        <v>25.24</v>
      </c>
      <c r="Q614" s="22" t="n">
        <f aca="false">IF(AND(ISNUMBER(K614),ISNUMBER(P614),N(P614)&gt;0),K614/P614-1,"")</f>
        <v>-0.00990491283676709</v>
      </c>
      <c r="R614" s="15" t="s">
        <v>512</v>
      </c>
      <c r="S614" s="37" t="n">
        <v>48182</v>
      </c>
      <c r="T614" s="37" t="n">
        <v>18</v>
      </c>
      <c r="U614" s="38" t="n">
        <f aca="false">IF(AND(ISNUMBER(K614),ISNUMBER(T614)),K614*T614*52/12,"")</f>
        <v>1949.22</v>
      </c>
      <c r="V614" s="15" t="n">
        <v>4.6</v>
      </c>
      <c r="W614" s="37" t="n">
        <v>1034</v>
      </c>
      <c r="X614" s="39" t="n">
        <v>46307</v>
      </c>
      <c r="Y614" s="15"/>
      <c r="Z614" s="40"/>
      <c r="AA614" s="41" t="str">
        <f aca="false">IF(ISNUMBER(Z614),(DATE(2026,10,13)-Z614)/365,"")</f>
        <v/>
      </c>
      <c r="AB614" s="37"/>
      <c r="AC614" s="15"/>
      <c r="AD614" s="15"/>
      <c r="AE614" s="15"/>
      <c r="AF614" s="42"/>
      <c r="AG614" s="42"/>
      <c r="AH614" s="15"/>
      <c r="AI614" s="37"/>
      <c r="AJ614" s="37"/>
      <c r="AK614" s="15"/>
      <c r="AL614" s="43"/>
      <c r="AM614" s="43"/>
      <c r="AN614" s="25" t="str">
        <f aca="false">IF(AND(ISNUMBER(AM614),ISNUMBER(AL614),AL614&gt;=5),AM614/AL614,"")</f>
        <v/>
      </c>
      <c r="AO614" s="43"/>
      <c r="AP614" s="43"/>
      <c r="AQ614" s="25" t="str">
        <f aca="false">IF(AND(ISNUMBER(AP614),ISNUMBER(AO614),AO614&gt;=5),AP614/AO614,"")</f>
        <v/>
      </c>
      <c r="AR614" s="43"/>
      <c r="AS614" s="43"/>
      <c r="AT614" s="22" t="str">
        <f aca="false">IF(AND(ISNUMBER(AS614),ISNUMBER(AR614),AR614&gt;0),AS614/AR614-1,"")</f>
        <v/>
      </c>
      <c r="AU614" s="44"/>
      <c r="AV614" s="44"/>
      <c r="AW614" s="44"/>
      <c r="AX614" s="44"/>
      <c r="AY614" s="44"/>
      <c r="AZ614" s="45"/>
      <c r="BA614" s="45"/>
      <c r="BB614" s="46"/>
      <c r="BC614" s="46"/>
      <c r="BD614" s="23" t="str">
        <f aca="false">IF(AND(ISNUMBER(BB614),ISNUMBER(BC614),BB614&gt;0),1-BC614/BB614,"")</f>
        <v/>
      </c>
      <c r="BE614" s="47"/>
      <c r="BF614" s="48"/>
      <c r="BG614" s="48"/>
      <c r="BH614" s="27" t="str">
        <f aca="false">IF(AND(ISNUMBER(BF614),ISNUMBER(BG614),BG614&gt;0),BF614/BG614,"")</f>
        <v/>
      </c>
      <c r="BI614" s="48"/>
      <c r="BJ614" s="44"/>
      <c r="BK614" s="46"/>
      <c r="BL614" s="46"/>
      <c r="BM614" s="36" t="str">
        <f aca="false">IF(ISNUMBER(Q614),IF(Q614&lt;0,"YES","no"),"")</f>
        <v>YES</v>
      </c>
      <c r="BN614" s="36" t="str">
        <f aca="false">IFERROR(IF(AND(ISNUMBER(K614),ISNUMBER(INDEX('Lift Inputs'!$H:$H,MATCH(C614,'Lift Inputs'!$C:$C,0)))),IF(K614&lt;INDEX('Lift Inputs'!$H:$H,MATCH(C614,'Lift Inputs'!$C:$C,0)),"YES","no"),""),"")</f>
        <v/>
      </c>
      <c r="BO614" s="44"/>
    </row>
    <row r="615" customFormat="false" ht="15" hidden="false" customHeight="false" outlineLevel="0" collapsed="false">
      <c r="A615" s="15" t="s">
        <v>144</v>
      </c>
      <c r="B615" s="15" t="s">
        <v>157</v>
      </c>
      <c r="C615" s="15" t="n">
        <v>33</v>
      </c>
      <c r="D615" s="15" t="s">
        <v>144</v>
      </c>
      <c r="E615" s="15" t="n">
        <v>1779</v>
      </c>
      <c r="F615" s="15" t="s">
        <v>1337</v>
      </c>
      <c r="G615" s="15" t="s">
        <v>1346</v>
      </c>
      <c r="H615" s="15" t="s">
        <v>1347</v>
      </c>
      <c r="I615" s="15" t="s">
        <v>1284</v>
      </c>
      <c r="J615" s="15" t="s">
        <v>177</v>
      </c>
      <c r="K615" s="35" t="n">
        <v>29.89</v>
      </c>
      <c r="L615" s="35"/>
      <c r="M615" s="23" t="str">
        <f aca="false">IF(AND(ISNUMBER(L615),ISNUMBER(K615),K615&gt;0),L615/K615-1,"")</f>
        <v/>
      </c>
      <c r="N615" s="36" t="str">
        <f aca="false">IF(M615="","No List Price",IF(M615&lt;=0,"At/below price",IF(M615&lt;=0.12,"&lt;=12% (STR zone)",IF(M615&lt;=0.25,"12-25%","&gt;25% (likely ignored)"))))</f>
        <v>No List Price</v>
      </c>
      <c r="O615" s="15"/>
      <c r="P615" s="35" t="n">
        <v>25.24</v>
      </c>
      <c r="Q615" s="22" t="n">
        <f aca="false">IF(AND(ISNUMBER(K615),ISNUMBER(P615),N(P615)&gt;0),K615/P615-1,"")</f>
        <v>0.184231378763867</v>
      </c>
      <c r="R615" s="15" t="s">
        <v>512</v>
      </c>
      <c r="S615" s="37" t="n">
        <v>50244</v>
      </c>
      <c r="T615" s="37" t="n">
        <v>18</v>
      </c>
      <c r="U615" s="38" t="n">
        <f aca="false">IF(AND(ISNUMBER(K615),ISNUMBER(T615)),K615*T615*52/12,"")</f>
        <v>2331.42</v>
      </c>
      <c r="V615" s="15" t="n">
        <v>4.7</v>
      </c>
      <c r="W615" s="37" t="n">
        <v>1526</v>
      </c>
      <c r="X615" s="39" t="n">
        <v>46307</v>
      </c>
      <c r="Y615" s="15"/>
      <c r="Z615" s="40"/>
      <c r="AA615" s="41" t="str">
        <f aca="false">IF(ISNUMBER(Z615),(DATE(2026,10,13)-Z615)/365,"")</f>
        <v/>
      </c>
      <c r="AB615" s="37"/>
      <c r="AC615" s="15"/>
      <c r="AD615" s="15"/>
      <c r="AE615" s="15"/>
      <c r="AF615" s="42"/>
      <c r="AG615" s="42"/>
      <c r="AH615" s="15"/>
      <c r="AI615" s="37"/>
      <c r="AJ615" s="37"/>
      <c r="AK615" s="15"/>
      <c r="AL615" s="43"/>
      <c r="AM615" s="43"/>
      <c r="AN615" s="25" t="str">
        <f aca="false">IF(AND(ISNUMBER(AM615),ISNUMBER(AL615),AL615&gt;=5),AM615/AL615,"")</f>
        <v/>
      </c>
      <c r="AO615" s="43"/>
      <c r="AP615" s="43"/>
      <c r="AQ615" s="25" t="str">
        <f aca="false">IF(AND(ISNUMBER(AP615),ISNUMBER(AO615),AO615&gt;=5),AP615/AO615,"")</f>
        <v/>
      </c>
      <c r="AR615" s="43"/>
      <c r="AS615" s="43"/>
      <c r="AT615" s="22" t="str">
        <f aca="false">IF(AND(ISNUMBER(AS615),ISNUMBER(AR615),AR615&gt;0),AS615/AR615-1,"")</f>
        <v/>
      </c>
      <c r="AU615" s="44"/>
      <c r="AV615" s="44"/>
      <c r="AW615" s="44"/>
      <c r="AX615" s="44"/>
      <c r="AY615" s="44"/>
      <c r="AZ615" s="45"/>
      <c r="BA615" s="45"/>
      <c r="BB615" s="46"/>
      <c r="BC615" s="46"/>
      <c r="BD615" s="23" t="str">
        <f aca="false">IF(AND(ISNUMBER(BB615),ISNUMBER(BC615),BB615&gt;0),1-BC615/BB615,"")</f>
        <v/>
      </c>
      <c r="BE615" s="47"/>
      <c r="BF615" s="48"/>
      <c r="BG615" s="48"/>
      <c r="BH615" s="27" t="str">
        <f aca="false">IF(AND(ISNUMBER(BF615),ISNUMBER(BG615),BG615&gt;0),BF615/BG615,"")</f>
        <v/>
      </c>
      <c r="BI615" s="48"/>
      <c r="BJ615" s="44"/>
      <c r="BK615" s="46"/>
      <c r="BL615" s="46"/>
      <c r="BM615" s="36" t="str">
        <f aca="false">IF(ISNUMBER(Q615),IF(Q615&lt;0,"YES","no"),"")</f>
        <v>no</v>
      </c>
      <c r="BN615" s="36" t="str">
        <f aca="false">IFERROR(IF(AND(ISNUMBER(K615),ISNUMBER(INDEX('Lift Inputs'!$H:$H,MATCH(C615,'Lift Inputs'!$C:$C,0)))),IF(K615&lt;INDEX('Lift Inputs'!$H:$H,MATCH(C615,'Lift Inputs'!$C:$C,0)),"YES","no"),""),"")</f>
        <v/>
      </c>
      <c r="BO615" s="44"/>
    </row>
    <row r="616" customFormat="false" ht="15" hidden="false" customHeight="false" outlineLevel="0" collapsed="false">
      <c r="A616" s="15" t="s">
        <v>144</v>
      </c>
      <c r="B616" s="15" t="s">
        <v>157</v>
      </c>
      <c r="C616" s="15" t="n">
        <v>33</v>
      </c>
      <c r="D616" s="15" t="s">
        <v>144</v>
      </c>
      <c r="E616" s="15" t="n">
        <v>1775</v>
      </c>
      <c r="F616" s="15" t="s">
        <v>1348</v>
      </c>
      <c r="G616" s="15" t="s">
        <v>1349</v>
      </c>
      <c r="H616" s="15" t="s">
        <v>1350</v>
      </c>
      <c r="I616" s="15" t="s">
        <v>1284</v>
      </c>
      <c r="J616" s="15" t="s">
        <v>177</v>
      </c>
      <c r="K616" s="35" t="n">
        <v>9.99</v>
      </c>
      <c r="L616" s="35"/>
      <c r="M616" s="23" t="str">
        <f aca="false">IF(AND(ISNUMBER(L616),ISNUMBER(K616),K616&gt;0),L616/K616-1,"")</f>
        <v/>
      </c>
      <c r="N616" s="36" t="str">
        <f aca="false">IF(M616="","No List Price",IF(M616&lt;=0,"At/below price",IF(M616&lt;=0.12,"&lt;=12% (STR zone)",IF(M616&lt;=0.25,"12-25%","&gt;25% (likely ignored)"))))</f>
        <v>No List Price</v>
      </c>
      <c r="O616" s="15"/>
      <c r="P616" s="35" t="n">
        <v>25.24</v>
      </c>
      <c r="Q616" s="22" t="n">
        <f aca="false">IF(AND(ISNUMBER(K616),ISNUMBER(P616),N(P616)&gt;0),K616/P616-1,"")</f>
        <v>-0.604199683042789</v>
      </c>
      <c r="R616" s="15" t="s">
        <v>512</v>
      </c>
      <c r="S616" s="37" t="n">
        <v>49521</v>
      </c>
      <c r="T616" s="37" t="n">
        <v>18</v>
      </c>
      <c r="U616" s="38" t="n">
        <f aca="false">IF(AND(ISNUMBER(K616),ISNUMBER(T616)),K616*T616*52/12,"")</f>
        <v>779.22</v>
      </c>
      <c r="V616" s="15" t="n">
        <v>4.6</v>
      </c>
      <c r="W616" s="37" t="n">
        <v>1638</v>
      </c>
      <c r="X616" s="39" t="n">
        <v>46307</v>
      </c>
      <c r="Y616" s="15"/>
      <c r="Z616" s="40"/>
      <c r="AA616" s="41" t="str">
        <f aca="false">IF(ISNUMBER(Z616),(DATE(2026,10,13)-Z616)/365,"")</f>
        <v/>
      </c>
      <c r="AB616" s="37"/>
      <c r="AC616" s="15"/>
      <c r="AD616" s="15"/>
      <c r="AE616" s="15"/>
      <c r="AF616" s="42"/>
      <c r="AG616" s="42"/>
      <c r="AH616" s="15"/>
      <c r="AI616" s="37"/>
      <c r="AJ616" s="37"/>
      <c r="AK616" s="15"/>
      <c r="AL616" s="43"/>
      <c r="AM616" s="43"/>
      <c r="AN616" s="25" t="str">
        <f aca="false">IF(AND(ISNUMBER(AM616),ISNUMBER(AL616),AL616&gt;=5),AM616/AL616,"")</f>
        <v/>
      </c>
      <c r="AO616" s="43"/>
      <c r="AP616" s="43"/>
      <c r="AQ616" s="25" t="str">
        <f aca="false">IF(AND(ISNUMBER(AP616),ISNUMBER(AO616),AO616&gt;=5),AP616/AO616,"")</f>
        <v/>
      </c>
      <c r="AR616" s="43"/>
      <c r="AS616" s="43"/>
      <c r="AT616" s="22" t="str">
        <f aca="false">IF(AND(ISNUMBER(AS616),ISNUMBER(AR616),AR616&gt;0),AS616/AR616-1,"")</f>
        <v/>
      </c>
      <c r="AU616" s="44"/>
      <c r="AV616" s="44"/>
      <c r="AW616" s="44"/>
      <c r="AX616" s="44"/>
      <c r="AY616" s="44"/>
      <c r="AZ616" s="45"/>
      <c r="BA616" s="45"/>
      <c r="BB616" s="46"/>
      <c r="BC616" s="46"/>
      <c r="BD616" s="23" t="str">
        <f aca="false">IF(AND(ISNUMBER(BB616),ISNUMBER(BC616),BB616&gt;0),1-BC616/BB616,"")</f>
        <v/>
      </c>
      <c r="BE616" s="47"/>
      <c r="BF616" s="48"/>
      <c r="BG616" s="48"/>
      <c r="BH616" s="27" t="str">
        <f aca="false">IF(AND(ISNUMBER(BF616),ISNUMBER(BG616),BG616&gt;0),BF616/BG616,"")</f>
        <v/>
      </c>
      <c r="BI616" s="48"/>
      <c r="BJ616" s="44"/>
      <c r="BK616" s="46"/>
      <c r="BL616" s="46"/>
      <c r="BM616" s="36" t="str">
        <f aca="false">IF(ISNUMBER(Q616),IF(Q616&lt;0,"YES","no"),"")</f>
        <v>YES</v>
      </c>
      <c r="BN616" s="36" t="str">
        <f aca="false">IFERROR(IF(AND(ISNUMBER(K616),ISNUMBER(INDEX('Lift Inputs'!$H:$H,MATCH(C616,'Lift Inputs'!$C:$C,0)))),IF(K616&lt;INDEX('Lift Inputs'!$H:$H,MATCH(C616,'Lift Inputs'!$C:$C,0)),"YES","no"),""),"")</f>
        <v/>
      </c>
      <c r="BO616" s="44"/>
    </row>
    <row r="617" customFormat="false" ht="15" hidden="false" customHeight="false" outlineLevel="0" collapsed="false">
      <c r="A617" s="15" t="s">
        <v>144</v>
      </c>
      <c r="B617" s="15" t="s">
        <v>157</v>
      </c>
      <c r="C617" s="15" t="n">
        <v>33</v>
      </c>
      <c r="D617" s="15" t="s">
        <v>144</v>
      </c>
      <c r="E617" s="15" t="n">
        <v>1773</v>
      </c>
      <c r="F617" s="15" t="s">
        <v>1351</v>
      </c>
      <c r="G617" s="15" t="s">
        <v>1352</v>
      </c>
      <c r="H617" s="15" t="s">
        <v>1353</v>
      </c>
      <c r="I617" s="15" t="s">
        <v>1284</v>
      </c>
      <c r="J617" s="15" t="s">
        <v>177</v>
      </c>
      <c r="K617" s="35" t="n">
        <v>16.99</v>
      </c>
      <c r="L617" s="35"/>
      <c r="M617" s="23" t="str">
        <f aca="false">IF(AND(ISNUMBER(L617),ISNUMBER(K617),K617&gt;0),L617/K617-1,"")</f>
        <v/>
      </c>
      <c r="N617" s="36" t="str">
        <f aca="false">IF(M617="","No List Price",IF(M617&lt;=0,"At/below price",IF(M617&lt;=0.12,"&lt;=12% (STR zone)",IF(M617&lt;=0.25,"12-25%","&gt;25% (likely ignored)"))))</f>
        <v>No List Price</v>
      </c>
      <c r="O617" s="15"/>
      <c r="P617" s="35" t="n">
        <v>25.24</v>
      </c>
      <c r="Q617" s="22" t="n">
        <f aca="false">IF(AND(ISNUMBER(K617),ISNUMBER(P617),N(P617)&gt;0),K617/P617-1,"")</f>
        <v>-0.326862123613312</v>
      </c>
      <c r="R617" s="15" t="s">
        <v>512</v>
      </c>
      <c r="S617" s="37" t="n">
        <v>183734</v>
      </c>
      <c r="T617" s="37" t="n">
        <v>5</v>
      </c>
      <c r="U617" s="38" t="n">
        <f aca="false">IF(AND(ISNUMBER(K617),ISNUMBER(T617)),K617*T617*52/12,"")</f>
        <v>368.116666666667</v>
      </c>
      <c r="V617" s="15" t="n">
        <v>4.6</v>
      </c>
      <c r="W617" s="37" t="n">
        <v>1385</v>
      </c>
      <c r="X617" s="39" t="n">
        <v>46307</v>
      </c>
      <c r="Y617" s="15"/>
      <c r="Z617" s="40"/>
      <c r="AA617" s="41" t="str">
        <f aca="false">IF(ISNUMBER(Z617),(DATE(2026,10,13)-Z617)/365,"")</f>
        <v/>
      </c>
      <c r="AB617" s="37"/>
      <c r="AC617" s="15"/>
      <c r="AD617" s="15"/>
      <c r="AE617" s="15"/>
      <c r="AF617" s="42"/>
      <c r="AG617" s="42"/>
      <c r="AH617" s="15"/>
      <c r="AI617" s="37"/>
      <c r="AJ617" s="37"/>
      <c r="AK617" s="15"/>
      <c r="AL617" s="43"/>
      <c r="AM617" s="43"/>
      <c r="AN617" s="25" t="str">
        <f aca="false">IF(AND(ISNUMBER(AM617),ISNUMBER(AL617),AL617&gt;=5),AM617/AL617,"")</f>
        <v/>
      </c>
      <c r="AO617" s="43"/>
      <c r="AP617" s="43"/>
      <c r="AQ617" s="25" t="str">
        <f aca="false">IF(AND(ISNUMBER(AP617),ISNUMBER(AO617),AO617&gt;=5),AP617/AO617,"")</f>
        <v/>
      </c>
      <c r="AR617" s="43"/>
      <c r="AS617" s="43"/>
      <c r="AT617" s="22" t="str">
        <f aca="false">IF(AND(ISNUMBER(AS617),ISNUMBER(AR617),AR617&gt;0),AS617/AR617-1,"")</f>
        <v/>
      </c>
      <c r="AU617" s="44"/>
      <c r="AV617" s="44"/>
      <c r="AW617" s="44"/>
      <c r="AX617" s="44"/>
      <c r="AY617" s="44"/>
      <c r="AZ617" s="45"/>
      <c r="BA617" s="45"/>
      <c r="BB617" s="46"/>
      <c r="BC617" s="46"/>
      <c r="BD617" s="23" t="str">
        <f aca="false">IF(AND(ISNUMBER(BB617),ISNUMBER(BC617),BB617&gt;0),1-BC617/BB617,"")</f>
        <v/>
      </c>
      <c r="BE617" s="47"/>
      <c r="BF617" s="48"/>
      <c r="BG617" s="48"/>
      <c r="BH617" s="27" t="str">
        <f aca="false">IF(AND(ISNUMBER(BF617),ISNUMBER(BG617),BG617&gt;0),BF617/BG617,"")</f>
        <v/>
      </c>
      <c r="BI617" s="48"/>
      <c r="BJ617" s="44"/>
      <c r="BK617" s="46"/>
      <c r="BL617" s="46"/>
      <c r="BM617" s="36" t="str">
        <f aca="false">IF(ISNUMBER(Q617),IF(Q617&lt;0,"YES","no"),"")</f>
        <v>YES</v>
      </c>
      <c r="BN617" s="36" t="str">
        <f aca="false">IFERROR(IF(AND(ISNUMBER(K617),ISNUMBER(INDEX('Lift Inputs'!$H:$H,MATCH(C617,'Lift Inputs'!$C:$C,0)))),IF(K617&lt;INDEX('Lift Inputs'!$H:$H,MATCH(C617,'Lift Inputs'!$C:$C,0)),"YES","no"),""),"")</f>
        <v/>
      </c>
      <c r="BO617" s="44"/>
    </row>
    <row r="618" customFormat="false" ht="15" hidden="false" customHeight="false" outlineLevel="0" collapsed="false">
      <c r="A618" s="15" t="s">
        <v>144</v>
      </c>
      <c r="B618" s="15" t="s">
        <v>157</v>
      </c>
      <c r="C618" s="15" t="n">
        <v>33</v>
      </c>
      <c r="D618" s="15" t="s">
        <v>144</v>
      </c>
      <c r="E618" s="15" t="n">
        <v>1778</v>
      </c>
      <c r="F618" s="15" t="s">
        <v>1354</v>
      </c>
      <c r="G618" s="15" t="s">
        <v>1355</v>
      </c>
      <c r="H618" s="15" t="s">
        <v>1356</v>
      </c>
      <c r="I618" s="15" t="s">
        <v>1284</v>
      </c>
      <c r="J618" s="15" t="s">
        <v>177</v>
      </c>
      <c r="K618" s="35" t="n">
        <v>9.48</v>
      </c>
      <c r="L618" s="35"/>
      <c r="M618" s="23" t="str">
        <f aca="false">IF(AND(ISNUMBER(L618),ISNUMBER(K618),K618&gt;0),L618/K618-1,"")</f>
        <v/>
      </c>
      <c r="N618" s="36" t="str">
        <f aca="false">IF(M618="","No List Price",IF(M618&lt;=0,"At/below price",IF(M618&lt;=0.12,"&lt;=12% (STR zone)",IF(M618&lt;=0.25,"12-25%","&gt;25% (likely ignored)"))))</f>
        <v>No List Price</v>
      </c>
      <c r="O618" s="15"/>
      <c r="P618" s="35" t="n">
        <v>25.24</v>
      </c>
      <c r="Q618" s="22" t="n">
        <f aca="false">IF(AND(ISNUMBER(K618),ISNUMBER(P618),N(P618)&gt;0),K618/P618-1,"")</f>
        <v>-0.624405705229794</v>
      </c>
      <c r="R618" s="15" t="s">
        <v>512</v>
      </c>
      <c r="S618" s="37" t="n">
        <v>146727</v>
      </c>
      <c r="T618" s="37" t="n">
        <v>5</v>
      </c>
      <c r="U618" s="38" t="n">
        <f aca="false">IF(AND(ISNUMBER(K618),ISNUMBER(T618)),K618*T618*52/12,"")</f>
        <v>205.4</v>
      </c>
      <c r="V618" s="15" t="n">
        <v>4.6</v>
      </c>
      <c r="W618" s="37" t="n">
        <v>837</v>
      </c>
      <c r="X618" s="39" t="n">
        <v>46307</v>
      </c>
      <c r="Y618" s="15"/>
      <c r="Z618" s="40"/>
      <c r="AA618" s="41" t="str">
        <f aca="false">IF(ISNUMBER(Z618),(DATE(2026,10,13)-Z618)/365,"")</f>
        <v/>
      </c>
      <c r="AB618" s="37"/>
      <c r="AC618" s="15"/>
      <c r="AD618" s="15"/>
      <c r="AE618" s="15"/>
      <c r="AF618" s="42"/>
      <c r="AG618" s="42"/>
      <c r="AH618" s="15"/>
      <c r="AI618" s="37"/>
      <c r="AJ618" s="37"/>
      <c r="AK618" s="15"/>
      <c r="AL618" s="43"/>
      <c r="AM618" s="43"/>
      <c r="AN618" s="25" t="str">
        <f aca="false">IF(AND(ISNUMBER(AM618),ISNUMBER(AL618),AL618&gt;=5),AM618/AL618,"")</f>
        <v/>
      </c>
      <c r="AO618" s="43"/>
      <c r="AP618" s="43"/>
      <c r="AQ618" s="25" t="str">
        <f aca="false">IF(AND(ISNUMBER(AP618),ISNUMBER(AO618),AO618&gt;=5),AP618/AO618,"")</f>
        <v/>
      </c>
      <c r="AR618" s="43"/>
      <c r="AS618" s="43"/>
      <c r="AT618" s="22" t="str">
        <f aca="false">IF(AND(ISNUMBER(AS618),ISNUMBER(AR618),AR618&gt;0),AS618/AR618-1,"")</f>
        <v/>
      </c>
      <c r="AU618" s="44"/>
      <c r="AV618" s="44"/>
      <c r="AW618" s="44"/>
      <c r="AX618" s="44"/>
      <c r="AY618" s="44"/>
      <c r="AZ618" s="45"/>
      <c r="BA618" s="45"/>
      <c r="BB618" s="46"/>
      <c r="BC618" s="46"/>
      <c r="BD618" s="23" t="str">
        <f aca="false">IF(AND(ISNUMBER(BB618),ISNUMBER(BC618),BB618&gt;0),1-BC618/BB618,"")</f>
        <v/>
      </c>
      <c r="BE618" s="47"/>
      <c r="BF618" s="48"/>
      <c r="BG618" s="48"/>
      <c r="BH618" s="27" t="str">
        <f aca="false">IF(AND(ISNUMBER(BF618),ISNUMBER(BG618),BG618&gt;0),BF618/BG618,"")</f>
        <v/>
      </c>
      <c r="BI618" s="48"/>
      <c r="BJ618" s="44"/>
      <c r="BK618" s="46"/>
      <c r="BL618" s="46"/>
      <c r="BM618" s="36" t="str">
        <f aca="false">IF(ISNUMBER(Q618),IF(Q618&lt;0,"YES","no"),"")</f>
        <v>YES</v>
      </c>
      <c r="BN618" s="36" t="str">
        <f aca="false">IFERROR(IF(AND(ISNUMBER(K618),ISNUMBER(INDEX('Lift Inputs'!$H:$H,MATCH(C618,'Lift Inputs'!$C:$C,0)))),IF(K618&lt;INDEX('Lift Inputs'!$H:$H,MATCH(C618,'Lift Inputs'!$C:$C,0)),"YES","no"),""),"")</f>
        <v/>
      </c>
      <c r="BO618" s="44"/>
    </row>
  </sheetData>
  <autoFilter ref="A2:BO618"/>
  <mergeCells count="16">
    <mergeCell ref="A1:J1"/>
    <mergeCell ref="K1:L1"/>
    <mergeCell ref="M1:R1"/>
    <mergeCell ref="S1:T1"/>
    <mergeCell ref="V1:X1"/>
    <mergeCell ref="Y1:Z1"/>
    <mergeCell ref="AB1:AH1"/>
    <mergeCell ref="AI1:AJ1"/>
    <mergeCell ref="AK1:AM1"/>
    <mergeCell ref="AO1:AP1"/>
    <mergeCell ref="AR1:AS1"/>
    <mergeCell ref="AU1:AX1"/>
    <mergeCell ref="AY1:BC1"/>
    <mergeCell ref="BE1:BG1"/>
    <mergeCell ref="BI1:BL1"/>
    <mergeCell ref="BM1:BN1"/>
  </mergeCells>
  <conditionalFormatting sqref="BM3:BM618">
    <cfRule type="expression" priority="2" aboveAverage="0" equalAverage="0" bottom="0" percent="0" rank="0" text="" dxfId="9">
      <formula>BM3="YES"</formula>
    </cfRule>
  </conditionalFormatting>
  <conditionalFormatting sqref="BN3:BN618">
    <cfRule type="expression" priority="3" aboveAverage="0" equalAverage="0" bottom="0" percent="0" rank="0" text="" dxfId="9">
      <formula>BN3="YES"</formula>
    </cfRule>
  </conditionalFormatting>
  <conditionalFormatting sqref="N3:N618">
    <cfRule type="expression" priority="4" aboveAverage="0" equalAverage="0" bottom="0" percent="0" rank="0" text="" dxfId="10">
      <formula>N3="&lt;=12% (STR zone)"</formula>
    </cfRule>
  </conditionalFormatting>
  <dataValidations count="4">
    <dataValidation allowBlank="true" errorStyle="stop" operator="between" showDropDown="false" showErrorMessage="false" showInputMessage="false" sqref="AU3:AU618 AW3:AW618 BJ3:BJ618" type="list">
      <formula1>"Y,N"</formula1>
      <formula2>0</formula2>
    </dataValidation>
    <dataValidation allowBlank="true" errorStyle="stop" operator="between" showDropDown="false" showErrorMessage="false" showInputMessage="false" sqref="AV3:AV618" type="list">
      <formula1>"List Price,Typical price,Was price,None"</formula1>
      <formula2>0</formula2>
    </dataValidation>
    <dataValidation allowBlank="true" errorStyle="stop" operator="between" showDropDown="false" showErrorMessage="false" showInputMessage="false" sqref="AY3:AY618" type="list">
      <formula1>"Lightning Deal,Best Deal,Prime Exclusive Discount,Coupon only,Price cut only,None,Not live in 2025,Unknown"</formula1>
      <formula2>0</formula2>
    </dataValidation>
    <dataValidation allowBlank="true" errorStyle="stop" operator="between" showDropDown="false" showErrorMessage="false" showInputMessage="false" sqref="AX3:AX618" type="list">
      <formula1>"None,Coupon,Lightning Deal,Best Deal,Prime Exclusive Discount,Price cut"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
    <col collapsed="false" customWidth="true" hidden="false" outlineLevel="0" max="4" min="4" style="0" width="4"/>
    <col collapsed="false" customWidth="true" hidden="false" outlineLevel="0" max="6" min="5" style="0" width="9"/>
    <col collapsed="false" customWidth="true" hidden="false" outlineLevel="0" max="8" min="7" style="0" width="7"/>
    <col collapsed="false" customWidth="true" hidden="false" outlineLevel="0" max="9" min="9" style="0" width="10"/>
    <col collapsed="false" customWidth="true" hidden="false" outlineLevel="0" max="10" min="10" style="0" width="7"/>
    <col collapsed="false" customWidth="true" hidden="false" outlineLevel="0" max="11" min="11" style="0" width="6"/>
    <col collapsed="false" customWidth="true" hidden="false" outlineLevel="0" max="12" min="12" style="0" width="9"/>
    <col collapsed="false" customWidth="true" hidden="false" outlineLevel="0" max="13" min="13" style="0" width="7"/>
    <col collapsed="false" customWidth="true" hidden="false" outlineLevel="0" max="14" min="14" style="0" width="10"/>
    <col collapsed="false" customWidth="true" hidden="false" outlineLevel="0" max="15" min="15" style="0" width="7"/>
    <col collapsed="false" customWidth="true" hidden="false" outlineLevel="0" max="16" min="16" style="0" width="10"/>
    <col collapsed="false" customWidth="true" hidden="false" outlineLevel="0" max="18" min="17" style="0" width="9"/>
    <col collapsed="false" customWidth="true" hidden="false" outlineLevel="0" max="19" min="19" style="0" width="7"/>
    <col collapsed="false" customWidth="true" hidden="false" outlineLevel="0" max="20" min="20" style="0" width="9"/>
    <col collapsed="false" customWidth="true" hidden="false" outlineLevel="0" max="22" min="21" style="0" width="7"/>
    <col collapsed="false" customWidth="true" hidden="false" outlineLevel="0" max="23" min="23" style="0" width="60"/>
  </cols>
  <sheetData>
    <row r="1" customFormat="false" ht="60" hidden="false" customHeight="true" outlineLevel="0" collapsed="false">
      <c r="A1" s="14" t="s">
        <v>25</v>
      </c>
      <c r="B1" s="14" t="s">
        <v>26</v>
      </c>
      <c r="C1" s="14" t="s">
        <v>164</v>
      </c>
      <c r="D1" s="14" t="s">
        <v>1357</v>
      </c>
      <c r="E1" s="14" t="s">
        <v>1358</v>
      </c>
      <c r="F1" s="14" t="s">
        <v>1359</v>
      </c>
      <c r="G1" s="14" t="s">
        <v>1360</v>
      </c>
      <c r="H1" s="14" t="s">
        <v>1361</v>
      </c>
      <c r="I1" s="14" t="s">
        <v>1362</v>
      </c>
      <c r="J1" s="14" t="s">
        <v>1363</v>
      </c>
      <c r="K1" s="14" t="s">
        <v>1364</v>
      </c>
      <c r="L1" s="14" t="s">
        <v>1365</v>
      </c>
      <c r="M1" s="14" t="s">
        <v>1366</v>
      </c>
      <c r="N1" s="14" t="s">
        <v>1367</v>
      </c>
      <c r="O1" s="14" t="s">
        <v>1368</v>
      </c>
      <c r="P1" s="14" t="s">
        <v>1369</v>
      </c>
      <c r="Q1" s="14" t="s">
        <v>1370</v>
      </c>
      <c r="R1" s="14" t="s">
        <v>1371</v>
      </c>
      <c r="S1" s="14" t="s">
        <v>1372</v>
      </c>
      <c r="T1" s="14" t="s">
        <v>1373</v>
      </c>
      <c r="U1" s="14" t="s">
        <v>1374</v>
      </c>
      <c r="V1" s="14" t="s">
        <v>1375</v>
      </c>
      <c r="W1" s="14" t="s">
        <v>1376</v>
      </c>
    </row>
    <row r="2" customFormat="false" ht="15" hidden="false" customHeight="false" outlineLevel="0" collapsed="false">
      <c r="A2" s="15" t="s">
        <v>37</v>
      </c>
      <c r="B2" s="15" t="s">
        <v>38</v>
      </c>
      <c r="C2" s="15" t="n">
        <v>59</v>
      </c>
      <c r="D2" s="15" t="s">
        <v>314</v>
      </c>
      <c r="E2" s="49" t="n">
        <v>21098.97</v>
      </c>
      <c r="F2" s="49" t="n">
        <v>106756.38</v>
      </c>
      <c r="G2" s="50" t="n">
        <v>0.198</v>
      </c>
      <c r="H2" s="50" t="n">
        <v>0.0625285893332814</v>
      </c>
      <c r="I2" s="49" t="n">
        <v>337429.17</v>
      </c>
      <c r="J2" s="37" t="n">
        <v>1543</v>
      </c>
      <c r="K2" s="50" t="n">
        <v>0.1931</v>
      </c>
      <c r="L2" s="49" t="n">
        <v>22152.31</v>
      </c>
      <c r="M2" s="50" t="n">
        <v>0.111736687243241</v>
      </c>
      <c r="N2" s="49" t="n">
        <v>198254.58</v>
      </c>
      <c r="O2" s="50" t="n">
        <v>0.0939173429935213</v>
      </c>
      <c r="P2" s="49" t="n">
        <v>369105.31</v>
      </c>
      <c r="Q2" s="38" t="n">
        <f aca="false">IF(ISNUMBER(I2),I2/12,"")</f>
        <v>28119.0975</v>
      </c>
      <c r="R2" s="38" t="n">
        <f aca="false">IF(ISNUMBER(N2),N2/30,"")</f>
        <v>6608.486</v>
      </c>
      <c r="S2" s="25" t="n">
        <f aca="false">IF(AND(ISNUMBER(Q2),ISNUMBER(R2),N(R2)&gt;0),Q2/R2,"")</f>
        <v>4.25499842172625</v>
      </c>
      <c r="T2" s="38" t="n">
        <f aca="false">IF(ISNUMBER(P2),P2/30,"")</f>
        <v>12303.5103333333</v>
      </c>
      <c r="U2" s="25" t="n">
        <f aca="false">IF(AND(ISNUMBER(T2),ISNUMBER(R2),N(R2)&gt;0),T2/R2,"")</f>
        <v>1.86177444173043</v>
      </c>
      <c r="V2" s="25" t="n">
        <v>2.6810398648686</v>
      </c>
      <c r="W2" s="7"/>
    </row>
    <row r="3" customFormat="false" ht="15" hidden="false" customHeight="false" outlineLevel="0" collapsed="false">
      <c r="A3" s="15" t="s">
        <v>37</v>
      </c>
      <c r="B3" s="15" t="s">
        <v>38</v>
      </c>
      <c r="C3" s="15" t="n">
        <v>59</v>
      </c>
      <c r="D3" s="15" t="s">
        <v>1377</v>
      </c>
      <c r="E3" s="49" t="n">
        <v>7633.49</v>
      </c>
      <c r="F3" s="49" t="n">
        <v>44669.15</v>
      </c>
      <c r="G3" s="50" t="n">
        <v>0.171</v>
      </c>
      <c r="H3" s="50" t="n">
        <v>0.115026554766711</v>
      </c>
      <c r="I3" s="49" t="n">
        <v>66362.85</v>
      </c>
      <c r="J3" s="37" t="n">
        <v>617</v>
      </c>
      <c r="K3" s="50" t="n">
        <v>0.1519</v>
      </c>
      <c r="L3" s="49" t="n">
        <v>6820.55</v>
      </c>
      <c r="M3" s="50" t="n">
        <v>0.12662797584237</v>
      </c>
      <c r="N3" s="49" t="n">
        <v>53862.9</v>
      </c>
      <c r="O3" s="50" t="n">
        <v>0.139388931173613</v>
      </c>
      <c r="P3" s="49" t="n">
        <v>107617.01</v>
      </c>
      <c r="Q3" s="38" t="n">
        <f aca="false">IF(ISNUMBER(I3),I3/12,"")</f>
        <v>5530.2375</v>
      </c>
      <c r="R3" s="38" t="n">
        <f aca="false">IF(ISNUMBER(N3),N3/30,"")</f>
        <v>1795.43</v>
      </c>
      <c r="S3" s="25" t="n">
        <f aca="false">IF(AND(ISNUMBER(Q3),ISNUMBER(R3),N(R3)&gt;0),Q3/R3,"")</f>
        <v>3.08017438719415</v>
      </c>
      <c r="T3" s="38" t="n">
        <f aca="false">IF(ISNUMBER(P3),P3/30,"")</f>
        <v>3587.23366666667</v>
      </c>
      <c r="U3" s="25" t="n">
        <f aca="false">IF(AND(ISNUMBER(T3),ISNUMBER(R3),N(R3)&gt;0),T3/R3,"")</f>
        <v>1.99798024243032</v>
      </c>
      <c r="V3" s="25" t="n">
        <v>3.16576388352432</v>
      </c>
      <c r="W3" s="7"/>
    </row>
    <row r="4" customFormat="false" ht="15" hidden="false" customHeight="false" outlineLevel="0" collapsed="false">
      <c r="A4" s="15" t="s">
        <v>37</v>
      </c>
      <c r="B4" s="15" t="s">
        <v>49</v>
      </c>
      <c r="C4" s="15" t="n">
        <v>30</v>
      </c>
      <c r="D4" s="15" t="s">
        <v>314</v>
      </c>
      <c r="E4" s="49" t="n">
        <v>16802.87</v>
      </c>
      <c r="F4" s="49" t="n">
        <v>85287.08</v>
      </c>
      <c r="G4" s="50" t="n">
        <v>0.197</v>
      </c>
      <c r="H4" s="50" t="n">
        <v>0.0640323652709055</v>
      </c>
      <c r="I4" s="49" t="n">
        <v>262412.14</v>
      </c>
      <c r="J4" s="37" t="n">
        <v>1125</v>
      </c>
      <c r="K4" s="50" t="n">
        <v>0.2005</v>
      </c>
      <c r="L4" s="49" t="n">
        <v>19609.33</v>
      </c>
      <c r="M4" s="50" t="n">
        <v>0.0743775691434434</v>
      </c>
      <c r="N4" s="49" t="n">
        <v>263645.75</v>
      </c>
      <c r="O4" s="50" t="n">
        <v>0.0809964792391108</v>
      </c>
      <c r="P4" s="49" t="n">
        <v>357240.96</v>
      </c>
      <c r="Q4" s="38" t="n">
        <f aca="false">IF(ISNUMBER(I4),I4/12,"")</f>
        <v>21867.6783333333</v>
      </c>
      <c r="R4" s="38" t="n">
        <f aca="false">IF(ISNUMBER(N4),N4/30,"")</f>
        <v>8788.19166666667</v>
      </c>
      <c r="S4" s="25" t="n">
        <f aca="false">IF(AND(ISNUMBER(Q4),ISNUMBER(R4),N(R4)&gt;0),Q4/R4,"")</f>
        <v>2.48830239061316</v>
      </c>
      <c r="T4" s="38" t="n">
        <f aca="false">IF(ISNUMBER(P4),P4/30,"")</f>
        <v>11908.032</v>
      </c>
      <c r="U4" s="25" t="n">
        <f aca="false">IF(AND(ISNUMBER(T4),ISNUMBER(R4),N(R4)&gt;0),T4/R4,"")</f>
        <v>1.35500367443814</v>
      </c>
      <c r="V4" s="25" t="n">
        <v>2.57162611394964</v>
      </c>
      <c r="W4" s="7"/>
    </row>
    <row r="5" customFormat="false" ht="15" hidden="false" customHeight="false" outlineLevel="0" collapsed="false">
      <c r="A5" s="15" t="s">
        <v>37</v>
      </c>
      <c r="B5" s="15" t="s">
        <v>49</v>
      </c>
      <c r="C5" s="15" t="n">
        <v>30</v>
      </c>
      <c r="D5" s="15" t="s">
        <v>1377</v>
      </c>
      <c r="E5" s="49" t="n">
        <v>8130.23</v>
      </c>
      <c r="F5" s="49" t="n">
        <v>50932.02</v>
      </c>
      <c r="G5" s="50" t="n">
        <v>0.16</v>
      </c>
      <c r="H5" s="50" t="n">
        <v>0.0608884078865707</v>
      </c>
      <c r="I5" s="49" t="n">
        <v>133526.73</v>
      </c>
      <c r="J5" s="37" t="n">
        <v>723</v>
      </c>
      <c r="K5" s="50" t="n">
        <v>0.1665</v>
      </c>
      <c r="L5" s="49" t="n">
        <v>13504.03</v>
      </c>
      <c r="M5" s="50" t="n">
        <v>0.1249687324373</v>
      </c>
      <c r="N5" s="49" t="n">
        <v>108059.27</v>
      </c>
      <c r="O5" s="50" t="n">
        <v>0.0964839364066202</v>
      </c>
      <c r="P5" s="49" t="n">
        <v>125810.58</v>
      </c>
      <c r="Q5" s="38" t="n">
        <f aca="false">IF(ISNUMBER(I5),I5/12,"")</f>
        <v>11127.2275</v>
      </c>
      <c r="R5" s="38" t="n">
        <f aca="false">IF(ISNUMBER(N5),N5/30,"")</f>
        <v>3601.97566666667</v>
      </c>
      <c r="S5" s="25" t="n">
        <f aca="false">IF(AND(ISNUMBER(Q5),ISNUMBER(R5),N(R5)&gt;0),Q5/R5,"")</f>
        <v>3.0892011856086</v>
      </c>
      <c r="T5" s="38" t="n">
        <f aca="false">IF(ISNUMBER(P5),P5/30,"")</f>
        <v>4193.686</v>
      </c>
      <c r="U5" s="25" t="n">
        <f aca="false">IF(AND(ISNUMBER(T5),ISNUMBER(R5),N(R5)&gt;0),T5/R5,"")</f>
        <v>1.16427382861276</v>
      </c>
      <c r="V5" s="25" t="n">
        <v>2.25798631784607</v>
      </c>
      <c r="W5" s="7"/>
    </row>
    <row r="6" customFormat="false" ht="15" hidden="false" customHeight="false" outlineLevel="0" collapsed="false">
      <c r="A6" s="15" t="s">
        <v>37</v>
      </c>
      <c r="B6" s="15" t="s">
        <v>55</v>
      </c>
      <c r="C6" s="15" t="n">
        <v>32</v>
      </c>
      <c r="D6" s="15" t="s">
        <v>314</v>
      </c>
      <c r="E6" s="49" t="n">
        <v>2505.4</v>
      </c>
      <c r="F6" s="49" t="n">
        <v>6125.46</v>
      </c>
      <c r="G6" s="50" t="n">
        <v>0.409</v>
      </c>
      <c r="H6" s="50" t="n">
        <v>0.18701620548344</v>
      </c>
      <c r="I6" s="49" t="n">
        <v>13396.7</v>
      </c>
      <c r="J6" s="37" t="n">
        <v>105</v>
      </c>
      <c r="K6" s="50" t="n">
        <v>0.2043</v>
      </c>
      <c r="L6" s="49" t="n">
        <v>9894.26</v>
      </c>
      <c r="M6" s="50" t="n">
        <v>0.354889665715202</v>
      </c>
      <c r="N6" s="49" t="n">
        <v>27879.82</v>
      </c>
      <c r="O6" s="50" t="n">
        <v>0.240067751752838</v>
      </c>
      <c r="P6" s="49" t="n">
        <v>63130.47</v>
      </c>
      <c r="Q6" s="38" t="n">
        <f aca="false">IF(ISNUMBER(I6),I6/12,"")</f>
        <v>1116.39166666667</v>
      </c>
      <c r="R6" s="38" t="n">
        <f aca="false">IF(ISNUMBER(N6),N6/30,"")</f>
        <v>929.327333333333</v>
      </c>
      <c r="S6" s="25" t="n">
        <f aca="false">IF(AND(ISNUMBER(Q6),ISNUMBER(R6),N(R6)&gt;0),Q6/R6,"")</f>
        <v>1.20129003702319</v>
      </c>
      <c r="T6" s="38" t="n">
        <f aca="false">IF(ISNUMBER(P6),P6/30,"")</f>
        <v>2104.349</v>
      </c>
      <c r="U6" s="25" t="n">
        <f aca="false">IF(AND(ISNUMBER(T6),ISNUMBER(R6),N(R6)&gt;0),T6/R6,"")</f>
        <v>2.2643786796328</v>
      </c>
      <c r="V6" s="25" t="n">
        <v>1.20752492735681</v>
      </c>
      <c r="W6" s="7"/>
    </row>
    <row r="7" customFormat="false" ht="15" hidden="false" customHeight="false" outlineLevel="0" collapsed="false">
      <c r="A7" s="15" t="s">
        <v>37</v>
      </c>
      <c r="B7" s="15" t="s">
        <v>65</v>
      </c>
      <c r="C7" s="15" t="n">
        <v>73</v>
      </c>
      <c r="D7" s="15" t="s">
        <v>314</v>
      </c>
      <c r="E7" s="49"/>
      <c r="F7" s="49"/>
      <c r="G7" s="50"/>
      <c r="H7" s="50"/>
      <c r="I7" s="49"/>
      <c r="J7" s="37"/>
      <c r="K7" s="50"/>
      <c r="L7" s="49"/>
      <c r="M7" s="50"/>
      <c r="N7" s="49"/>
      <c r="O7" s="50"/>
      <c r="P7" s="49"/>
      <c r="Q7" s="38" t="str">
        <f aca="false">IF(ISNUMBER(I7),I7/12,"")</f>
        <v/>
      </c>
      <c r="R7" s="38" t="str">
        <f aca="false">IF(ISNUMBER(N7),N7/30,"")</f>
        <v/>
      </c>
      <c r="S7" s="25" t="str">
        <f aca="false">IF(AND(ISNUMBER(Q7),ISNUMBER(R7),N(R7)&gt;0),Q7/R7,"")</f>
        <v/>
      </c>
      <c r="T7" s="38" t="str">
        <f aca="false">IF(ISNUMBER(P7),P7/30,"")</f>
        <v/>
      </c>
      <c r="U7" s="25" t="str">
        <f aca="false">IF(AND(ISNUMBER(T7),ISNUMBER(R7),N(R7)&gt;0),T7/R7,"")</f>
        <v/>
      </c>
      <c r="V7" s="25"/>
      <c r="W7" s="7"/>
    </row>
    <row r="8" customFormat="false" ht="15" hidden="false" customHeight="false" outlineLevel="0" collapsed="false">
      <c r="A8" s="15" t="s">
        <v>71</v>
      </c>
      <c r="B8" s="15" t="s">
        <v>72</v>
      </c>
      <c r="C8" s="15" t="n">
        <v>37</v>
      </c>
      <c r="D8" s="15" t="s">
        <v>314</v>
      </c>
      <c r="E8" s="49" t="n">
        <v>7096.91</v>
      </c>
      <c r="F8" s="49" t="n">
        <v>33533.42</v>
      </c>
      <c r="G8" s="50" t="n">
        <v>0.212</v>
      </c>
      <c r="H8" s="50" t="n">
        <v>0.0486052539678985</v>
      </c>
      <c r="I8" s="49" t="n">
        <v>146011.17</v>
      </c>
      <c r="J8" s="37" t="n">
        <v>1116</v>
      </c>
      <c r="K8" s="50" t="n">
        <v>0.1892</v>
      </c>
      <c r="L8" s="49" t="n">
        <v>14432.27</v>
      </c>
      <c r="M8" s="50" t="n">
        <v>0.104225984166786</v>
      </c>
      <c r="N8" s="49" t="n">
        <v>138470.94</v>
      </c>
      <c r="O8" s="50" t="n">
        <v>0.0824784854445485</v>
      </c>
      <c r="P8" s="49" t="n">
        <v>268005.77</v>
      </c>
      <c r="Q8" s="38" t="n">
        <f aca="false">IF(ISNUMBER(I8),I8/12,"")</f>
        <v>12167.5975</v>
      </c>
      <c r="R8" s="38" t="n">
        <f aca="false">IF(ISNUMBER(N8),N8/30,"")</f>
        <v>4615.698</v>
      </c>
      <c r="S8" s="25" t="n">
        <f aca="false">IF(AND(ISNUMBER(Q8),ISNUMBER(R8),N(R8)&gt;0),Q8/R8,"")</f>
        <v>2.63613379818177</v>
      </c>
      <c r="T8" s="38" t="n">
        <f aca="false">IF(ISNUMBER(P8),P8/30,"")</f>
        <v>8933.52566666667</v>
      </c>
      <c r="U8" s="25" t="n">
        <f aca="false">IF(AND(ISNUMBER(T8),ISNUMBER(R8),N(R8)&gt;0),T8/R8,"")</f>
        <v>1.9354658096493</v>
      </c>
      <c r="V8" s="25" t="n">
        <v>1.75124423318157</v>
      </c>
      <c r="W8" s="7"/>
    </row>
    <row r="9" customFormat="false" ht="15" hidden="false" customHeight="false" outlineLevel="0" collapsed="false">
      <c r="A9" s="15" t="s">
        <v>71</v>
      </c>
      <c r="B9" s="15" t="s">
        <v>72</v>
      </c>
      <c r="C9" s="15" t="n">
        <v>37</v>
      </c>
      <c r="D9" s="15" t="s">
        <v>1377</v>
      </c>
      <c r="E9" s="49" t="n">
        <v>8728.68</v>
      </c>
      <c r="F9" s="49" t="n">
        <v>39244.06</v>
      </c>
      <c r="G9" s="50" t="n">
        <v>0.222</v>
      </c>
      <c r="H9" s="50" t="n">
        <v>0.100564282045628</v>
      </c>
      <c r="I9" s="49" t="n">
        <v>86797.02</v>
      </c>
      <c r="J9" s="37" t="n">
        <v>1163</v>
      </c>
      <c r="K9" s="50" t="n">
        <v>0.2172</v>
      </c>
      <c r="L9" s="49" t="n">
        <v>9724.07</v>
      </c>
      <c r="M9" s="50" t="n">
        <v>0.146644542461463</v>
      </c>
      <c r="N9" s="49" t="n">
        <v>66310.48</v>
      </c>
      <c r="O9" s="50" t="n">
        <v>0.134395945297</v>
      </c>
      <c r="P9" s="49" t="n">
        <v>128711.77</v>
      </c>
      <c r="Q9" s="38" t="n">
        <f aca="false">IF(ISNUMBER(I9),I9/12,"")</f>
        <v>7233.085</v>
      </c>
      <c r="R9" s="38" t="n">
        <f aca="false">IF(ISNUMBER(N9),N9/30,"")</f>
        <v>2210.34933333333</v>
      </c>
      <c r="S9" s="25" t="n">
        <f aca="false">IF(AND(ISNUMBER(Q9),ISNUMBER(R9),N(R9)&gt;0),Q9/R9,"")</f>
        <v>3.2723718784723</v>
      </c>
      <c r="T9" s="38" t="n">
        <f aca="false">IF(ISNUMBER(P9),P9/30,"")</f>
        <v>4290.39233333333</v>
      </c>
      <c r="U9" s="25" t="n">
        <f aca="false">IF(AND(ISNUMBER(T9),ISNUMBER(R9),N(R9)&gt;0),T9/R9,"")</f>
        <v>1.94104717685651</v>
      </c>
      <c r="V9" s="25" t="n">
        <v>2.46872330387192</v>
      </c>
      <c r="W9" s="7"/>
    </row>
    <row r="10" customFormat="false" ht="15" hidden="false" customHeight="false" outlineLevel="0" collapsed="false">
      <c r="A10" s="15" t="s">
        <v>71</v>
      </c>
      <c r="B10" s="15" t="s">
        <v>78</v>
      </c>
      <c r="C10" s="15" t="n">
        <v>31</v>
      </c>
      <c r="D10" s="15" t="s">
        <v>314</v>
      </c>
      <c r="E10" s="49" t="n">
        <v>4785.81</v>
      </c>
      <c r="F10" s="49" t="n">
        <v>19198.22</v>
      </c>
      <c r="G10" s="50" t="n">
        <v>0.249</v>
      </c>
      <c r="H10" s="50" t="n">
        <v>0.148449224069209</v>
      </c>
      <c r="I10" s="49" t="n">
        <v>32238.7</v>
      </c>
      <c r="J10" s="37" t="n">
        <v>618</v>
      </c>
      <c r="K10" s="50" t="n">
        <v>0.1849</v>
      </c>
      <c r="L10" s="49" t="n">
        <v>5199.1</v>
      </c>
      <c r="M10" s="50" t="n">
        <v>0.198989189571927</v>
      </c>
      <c r="N10" s="49" t="n">
        <v>26127.55</v>
      </c>
      <c r="O10" s="50" t="n">
        <v>0.167518607856755</v>
      </c>
      <c r="P10" s="49" t="n">
        <v>65974.82</v>
      </c>
      <c r="Q10" s="38" t="n">
        <f aca="false">IF(ISNUMBER(I10),I10/12,"")</f>
        <v>2686.55833333333</v>
      </c>
      <c r="R10" s="38" t="n">
        <f aca="false">IF(ISNUMBER(N10),N10/30,"")</f>
        <v>870.918333333333</v>
      </c>
      <c r="S10" s="25" t="n">
        <f aca="false">IF(AND(ISNUMBER(Q10),ISNUMBER(R10),N(R10)&gt;0),Q10/R10,"")</f>
        <v>3.08474196776965</v>
      </c>
      <c r="T10" s="38" t="n">
        <f aca="false">IF(ISNUMBER(P10),P10/30,"")</f>
        <v>2199.16066666667</v>
      </c>
      <c r="U10" s="25" t="n">
        <f aca="false">IF(AND(ISNUMBER(T10),ISNUMBER(R10),N(R10)&gt;0),T10/R10,"")</f>
        <v>2.52510549209551</v>
      </c>
      <c r="V10" s="25" t="n">
        <v>2.72945856454133</v>
      </c>
      <c r="W10" s="7"/>
    </row>
    <row r="11" customFormat="false" ht="15" hidden="false" customHeight="false" outlineLevel="0" collapsed="false">
      <c r="A11" s="15" t="s">
        <v>71</v>
      </c>
      <c r="B11" s="15" t="s">
        <v>78</v>
      </c>
      <c r="C11" s="15" t="n">
        <v>31</v>
      </c>
      <c r="D11" s="15" t="s">
        <v>1377</v>
      </c>
      <c r="E11" s="49" t="n">
        <v>5517.68</v>
      </c>
      <c r="F11" s="49" t="n">
        <v>28935.21</v>
      </c>
      <c r="G11" s="50" t="n">
        <v>0.191</v>
      </c>
      <c r="H11" s="50" t="n">
        <v>0.135011507719201</v>
      </c>
      <c r="I11" s="49" t="n">
        <v>40868.22</v>
      </c>
      <c r="J11" s="37" t="n">
        <v>817</v>
      </c>
      <c r="K11" s="50" t="n">
        <v>0.1675</v>
      </c>
      <c r="L11" s="49" t="n">
        <v>5846.89</v>
      </c>
      <c r="M11" s="50" t="n">
        <v>0.168044598904169</v>
      </c>
      <c r="N11" s="49" t="n">
        <v>34793.68</v>
      </c>
      <c r="O11" s="50" t="n">
        <v>0.161760188059675</v>
      </c>
      <c r="P11" s="49" t="n">
        <v>65264.39</v>
      </c>
      <c r="Q11" s="38" t="n">
        <f aca="false">IF(ISNUMBER(I11),I11/12,"")</f>
        <v>3405.685</v>
      </c>
      <c r="R11" s="38" t="n">
        <f aca="false">IF(ISNUMBER(N11),N11/30,"")</f>
        <v>1159.78933333333</v>
      </c>
      <c r="S11" s="25" t="n">
        <f aca="false">IF(AND(ISNUMBER(Q11),ISNUMBER(R11),N(R11)&gt;0),Q11/R11,"")</f>
        <v>2.93646863453363</v>
      </c>
      <c r="T11" s="38" t="n">
        <f aca="false">IF(ISNUMBER(P11),P11/30,"")</f>
        <v>2175.47966666667</v>
      </c>
      <c r="U11" s="25" t="n">
        <f aca="false">IF(AND(ISNUMBER(T11),ISNUMBER(R11),N(R11)&gt;0),T11/R11,"")</f>
        <v>1.87575415995089</v>
      </c>
      <c r="V11" s="25" t="n">
        <v>2.88478586839051</v>
      </c>
      <c r="W11" s="7"/>
    </row>
    <row r="12" customFormat="false" ht="15" hidden="false" customHeight="false" outlineLevel="0" collapsed="false">
      <c r="A12" s="15" t="s">
        <v>71</v>
      </c>
      <c r="B12" s="15" t="s">
        <v>83</v>
      </c>
      <c r="C12" s="15" t="n">
        <v>39</v>
      </c>
      <c r="D12" s="15" t="s">
        <v>314</v>
      </c>
      <c r="E12" s="49" t="n">
        <v>5730.2</v>
      </c>
      <c r="F12" s="49" t="n">
        <v>18026.72</v>
      </c>
      <c r="G12" s="50" t="n">
        <v>0.318</v>
      </c>
      <c r="H12" s="50" t="n">
        <v>0.157655488833264</v>
      </c>
      <c r="I12" s="49" t="n">
        <v>36346.34</v>
      </c>
      <c r="J12" s="37" t="n">
        <v>589</v>
      </c>
      <c r="K12" s="50" t="n">
        <v>0.2098</v>
      </c>
      <c r="L12" s="49" t="n">
        <v>6434.68</v>
      </c>
      <c r="M12" s="50" t="n">
        <v>0.183391616862038</v>
      </c>
      <c r="N12" s="49" t="n">
        <v>35087.1</v>
      </c>
      <c r="O12" s="50" t="n">
        <v>0.152276599595044</v>
      </c>
      <c r="P12" s="49" t="n">
        <v>175722.6</v>
      </c>
      <c r="Q12" s="38" t="n">
        <f aca="false">IF(ISNUMBER(I12),I12/12,"")</f>
        <v>3028.86166666667</v>
      </c>
      <c r="R12" s="38" t="n">
        <f aca="false">IF(ISNUMBER(N12),N12/30,"")</f>
        <v>1169.57</v>
      </c>
      <c r="S12" s="25" t="n">
        <f aca="false">IF(AND(ISNUMBER(Q12),ISNUMBER(R12),N(R12)&gt;0),Q12/R12,"")</f>
        <v>2.58972243360095</v>
      </c>
      <c r="T12" s="38" t="n">
        <f aca="false">IF(ISNUMBER(P12),P12/30,"")</f>
        <v>5857.42</v>
      </c>
      <c r="U12" s="25" t="n">
        <f aca="false">IF(AND(ISNUMBER(T12),ISNUMBER(R12),N(R12)&gt;0),T12/R12,"")</f>
        <v>5.00818249442103</v>
      </c>
      <c r="V12" s="25" t="n">
        <v>3.0837256404642</v>
      </c>
      <c r="W12" s="7"/>
    </row>
    <row r="13" customFormat="false" ht="15" hidden="false" customHeight="false" outlineLevel="0" collapsed="false">
      <c r="A13" s="15" t="s">
        <v>71</v>
      </c>
      <c r="B13" s="15" t="s">
        <v>83</v>
      </c>
      <c r="C13" s="15" t="n">
        <v>39</v>
      </c>
      <c r="D13" s="15" t="s">
        <v>1377</v>
      </c>
      <c r="E13" s="49" t="n">
        <v>0</v>
      </c>
      <c r="F13" s="49" t="n">
        <v>0</v>
      </c>
      <c r="G13" s="50"/>
      <c r="H13" s="50"/>
      <c r="I13" s="49"/>
      <c r="J13" s="37" t="n">
        <v>0</v>
      </c>
      <c r="K13" s="50"/>
      <c r="L13" s="49" t="n">
        <v>0</v>
      </c>
      <c r="M13" s="50"/>
      <c r="N13" s="49"/>
      <c r="O13" s="50"/>
      <c r="P13" s="49"/>
      <c r="Q13" s="38" t="str">
        <f aca="false">IF(ISNUMBER(I13),I13/12,"")</f>
        <v/>
      </c>
      <c r="R13" s="38" t="str">
        <f aca="false">IF(ISNUMBER(N13),N13/30,"")</f>
        <v/>
      </c>
      <c r="S13" s="25" t="str">
        <f aca="false">IF(AND(ISNUMBER(Q13),ISNUMBER(R13),N(R13)&gt;0),Q13/R13,"")</f>
        <v/>
      </c>
      <c r="T13" s="38" t="str">
        <f aca="false">IF(ISNUMBER(P13),P13/30,"")</f>
        <v/>
      </c>
      <c r="U13" s="25" t="str">
        <f aca="false">IF(AND(ISNUMBER(T13),ISNUMBER(R13),N(R13)&gt;0),T13/R13,"")</f>
        <v/>
      </c>
      <c r="V13" s="25"/>
      <c r="W13" s="7"/>
    </row>
    <row r="14" customFormat="false" ht="15" hidden="false" customHeight="false" outlineLevel="0" collapsed="false">
      <c r="A14" s="15" t="s">
        <v>71</v>
      </c>
      <c r="B14" s="15" t="s">
        <v>92</v>
      </c>
      <c r="C14" s="15" t="n">
        <v>38</v>
      </c>
      <c r="D14" s="15" t="s">
        <v>314</v>
      </c>
      <c r="E14" s="49" t="n">
        <v>2307.02</v>
      </c>
      <c r="F14" s="49" t="n">
        <v>6578.82</v>
      </c>
      <c r="G14" s="50" t="n">
        <v>0.351</v>
      </c>
      <c r="H14" s="50" t="n">
        <v>0.0778377816660717</v>
      </c>
      <c r="I14" s="49" t="n">
        <v>29638.82</v>
      </c>
      <c r="J14" s="37" t="n">
        <v>387</v>
      </c>
      <c r="K14" s="50" t="n">
        <v>0.2107</v>
      </c>
      <c r="L14" s="49" t="n">
        <v>3357.95</v>
      </c>
      <c r="M14" s="50" t="n">
        <v>0.111905928303157</v>
      </c>
      <c r="N14" s="49" t="n">
        <v>30006.9</v>
      </c>
      <c r="O14" s="50" t="n">
        <v>0.120383677001432</v>
      </c>
      <c r="P14" s="49" t="n">
        <v>45438.22</v>
      </c>
      <c r="Q14" s="38" t="n">
        <f aca="false">IF(ISNUMBER(I14),I14/12,"")</f>
        <v>2469.90166666667</v>
      </c>
      <c r="R14" s="38" t="n">
        <f aca="false">IF(ISNUMBER(N14),N14/30,"")</f>
        <v>1000.23</v>
      </c>
      <c r="S14" s="25" t="n">
        <f aca="false">IF(AND(ISNUMBER(Q14),ISNUMBER(R14),N(R14)&gt;0),Q14/R14,"")</f>
        <v>2.46933371991109</v>
      </c>
      <c r="T14" s="38" t="n">
        <f aca="false">IF(ISNUMBER(P14),P14/30,"")</f>
        <v>1514.60733333333</v>
      </c>
      <c r="U14" s="25" t="n">
        <f aca="false">IF(AND(ISNUMBER(T14),ISNUMBER(R14),N(R14)&gt;0),T14/R14,"")</f>
        <v>1.51425905375097</v>
      </c>
      <c r="V14" s="25" t="n">
        <v>1.9736834999865</v>
      </c>
      <c r="W14" s="7"/>
    </row>
    <row r="15" customFormat="false" ht="15" hidden="false" customHeight="false" outlineLevel="0" collapsed="false">
      <c r="A15" s="15" t="s">
        <v>71</v>
      </c>
      <c r="B15" s="15" t="s">
        <v>92</v>
      </c>
      <c r="C15" s="15" t="n">
        <v>38</v>
      </c>
      <c r="D15" s="15" t="s">
        <v>1377</v>
      </c>
      <c r="E15" s="49" t="n">
        <v>50.85</v>
      </c>
      <c r="F15" s="49" t="n">
        <v>588.6</v>
      </c>
      <c r="G15" s="50" t="n">
        <v>0.086</v>
      </c>
      <c r="H15" s="50" t="n">
        <v>0.0129633406414113</v>
      </c>
      <c r="I15" s="49" t="n">
        <v>3922.6</v>
      </c>
      <c r="J15" s="37" t="n">
        <v>20</v>
      </c>
      <c r="K15" s="50" t="n">
        <v>0.1653</v>
      </c>
      <c r="L15" s="49" t="n">
        <v>0</v>
      </c>
      <c r="M15" s="50"/>
      <c r="N15" s="49"/>
      <c r="O15" s="50" t="n">
        <v>0.000433629955403933</v>
      </c>
      <c r="P15" s="49" t="n">
        <v>9731.8</v>
      </c>
      <c r="Q15" s="38" t="n">
        <f aca="false">IF(ISNUMBER(I15),I15/12,"")</f>
        <v>326.883333333333</v>
      </c>
      <c r="R15" s="38" t="str">
        <f aca="false">IF(ISNUMBER(N15),N15/30,"")</f>
        <v/>
      </c>
      <c r="S15" s="25" t="str">
        <f aca="false">IF(AND(ISNUMBER(Q15),ISNUMBER(R15),N(R15)&gt;0),Q15/R15,"")</f>
        <v/>
      </c>
      <c r="T15" s="38" t="n">
        <f aca="false">IF(ISNUMBER(P15),P15/30,"")</f>
        <v>324.393333333333</v>
      </c>
      <c r="U15" s="25" t="str">
        <f aca="false">IF(AND(ISNUMBER(T15),ISNUMBER(R15),N(R15)&gt;0),T15/R15,"")</f>
        <v/>
      </c>
      <c r="V15" s="25"/>
      <c r="W15" s="7"/>
    </row>
    <row r="16" customFormat="false" ht="15" hidden="false" customHeight="false" outlineLevel="0" collapsed="false">
      <c r="A16" s="15" t="s">
        <v>98</v>
      </c>
      <c r="B16" s="15" t="s">
        <v>99</v>
      </c>
      <c r="C16" s="15" t="n">
        <v>55</v>
      </c>
      <c r="D16" s="15" t="s">
        <v>314</v>
      </c>
      <c r="E16" s="49" t="n">
        <v>1726.4</v>
      </c>
      <c r="F16" s="49" t="n">
        <v>3131.57</v>
      </c>
      <c r="G16" s="50" t="n">
        <v>0.551</v>
      </c>
      <c r="H16" s="50" t="n">
        <v>0.335716119196335</v>
      </c>
      <c r="I16" s="49" t="n">
        <v>5142.44</v>
      </c>
      <c r="J16" s="37" t="n">
        <v>56</v>
      </c>
      <c r="K16" s="50" t="n">
        <v>0.0826</v>
      </c>
      <c r="L16" s="49" t="n">
        <v>3005.58</v>
      </c>
      <c r="M16" s="50" t="n">
        <v>0.316277297987265</v>
      </c>
      <c r="N16" s="49" t="n">
        <v>9502.99</v>
      </c>
      <c r="O16" s="50" t="n">
        <v>0.144381726165704</v>
      </c>
      <c r="P16" s="49" t="n">
        <v>28402.14</v>
      </c>
      <c r="Q16" s="38" t="n">
        <f aca="false">IF(ISNUMBER(I16),I16/12,"")</f>
        <v>428.536666666667</v>
      </c>
      <c r="R16" s="38" t="n">
        <f aca="false">IF(ISNUMBER(N16),N16/30,"")</f>
        <v>316.766333333333</v>
      </c>
      <c r="S16" s="25" t="n">
        <f aca="false">IF(AND(ISNUMBER(Q16),ISNUMBER(R16),N(R16)&gt;0),Q16/R16,"")</f>
        <v>1.35284789313679</v>
      </c>
      <c r="T16" s="38" t="n">
        <f aca="false">IF(ISNUMBER(P16),P16/30,"")</f>
        <v>946.738</v>
      </c>
      <c r="U16" s="25" t="n">
        <f aca="false">IF(AND(ISNUMBER(T16),ISNUMBER(R16),N(R16)&gt;0),T16/R16,"")</f>
        <v>2.98875827502712</v>
      </c>
      <c r="V16" s="25" t="n">
        <v>1.45017018222233</v>
      </c>
      <c r="W16" s="7"/>
    </row>
    <row r="17" customFormat="false" ht="15" hidden="false" customHeight="false" outlineLevel="0" collapsed="false">
      <c r="A17" s="15" t="s">
        <v>110</v>
      </c>
      <c r="B17" s="15" t="s">
        <v>111</v>
      </c>
      <c r="C17" s="15" t="n">
        <v>48</v>
      </c>
      <c r="D17" s="15" t="s">
        <v>314</v>
      </c>
      <c r="E17" s="49" t="n">
        <v>215.53</v>
      </c>
      <c r="F17" s="49" t="n">
        <v>634.46</v>
      </c>
      <c r="G17" s="50" t="n">
        <v>0.34</v>
      </c>
      <c r="H17" s="50" t="n">
        <v>0.0684689550010325</v>
      </c>
      <c r="I17" s="49" t="n">
        <v>3147.85</v>
      </c>
      <c r="J17" s="37" t="n">
        <v>14</v>
      </c>
      <c r="K17" s="50" t="n">
        <v>0.1296</v>
      </c>
      <c r="L17" s="49" t="n">
        <v>247.96</v>
      </c>
      <c r="M17" s="50" t="n">
        <v>0.0513081551742689</v>
      </c>
      <c r="N17" s="49" t="n">
        <v>4832.76</v>
      </c>
      <c r="O17" s="50" t="n">
        <v>0.0618694574371247</v>
      </c>
      <c r="P17" s="49" t="n">
        <v>8733.55</v>
      </c>
      <c r="Q17" s="38" t="n">
        <f aca="false">IF(ISNUMBER(I17),I17/12,"")</f>
        <v>262.320833333333</v>
      </c>
      <c r="R17" s="38" t="n">
        <f aca="false">IF(ISNUMBER(N17),N17/30,"")</f>
        <v>161.092</v>
      </c>
      <c r="S17" s="25" t="n">
        <f aca="false">IF(AND(ISNUMBER(Q17),ISNUMBER(R17),N(R17)&gt;0),Q17/R17,"")</f>
        <v>1.62839143677733</v>
      </c>
      <c r="T17" s="38" t="n">
        <f aca="false">IF(ISNUMBER(P17),P17/30,"")</f>
        <v>291.118333333333</v>
      </c>
      <c r="U17" s="25" t="n">
        <f aca="false">IF(AND(ISNUMBER(T17),ISNUMBER(R17),N(R17)&gt;0),T17/R17,"")</f>
        <v>1.80715574537117</v>
      </c>
      <c r="V17" s="25" t="n">
        <v>2.08142510333968</v>
      </c>
      <c r="W17" s="7"/>
    </row>
    <row r="18" customFormat="false" ht="15" hidden="false" customHeight="false" outlineLevel="0" collapsed="false">
      <c r="A18" s="15" t="s">
        <v>110</v>
      </c>
      <c r="B18" s="15" t="s">
        <v>116</v>
      </c>
      <c r="C18" s="15" t="n">
        <v>45</v>
      </c>
      <c r="D18" s="15" t="s">
        <v>314</v>
      </c>
      <c r="E18" s="49" t="n">
        <v>476.56</v>
      </c>
      <c r="F18" s="49" t="n">
        <v>2310.61</v>
      </c>
      <c r="G18" s="50" t="n">
        <v>0.206</v>
      </c>
      <c r="H18" s="50" t="n">
        <v>0.0160618097914486</v>
      </c>
      <c r="I18" s="49" t="n">
        <v>29670.38</v>
      </c>
      <c r="J18" s="37" t="n">
        <v>39</v>
      </c>
      <c r="K18" s="50" t="n">
        <v>0.2</v>
      </c>
      <c r="L18" s="49" t="n">
        <v>2846.91</v>
      </c>
      <c r="M18" s="50" t="n">
        <v>0.0439237033342184</v>
      </c>
      <c r="N18" s="49" t="n">
        <v>64814.89</v>
      </c>
      <c r="O18" s="50" t="n">
        <v>0.0289607372796742</v>
      </c>
      <c r="P18" s="49" t="n">
        <v>49346.81</v>
      </c>
      <c r="Q18" s="38" t="n">
        <f aca="false">IF(ISNUMBER(I18),I18/12,"")</f>
        <v>2472.53166666667</v>
      </c>
      <c r="R18" s="38" t="n">
        <f aca="false">IF(ISNUMBER(N18),N18/30,"")</f>
        <v>2160.49633333333</v>
      </c>
      <c r="S18" s="25" t="n">
        <f aca="false">IF(AND(ISNUMBER(Q18),ISNUMBER(R18),N(R18)&gt;0),Q18/R18,"")</f>
        <v>1.14442761532111</v>
      </c>
      <c r="T18" s="38" t="n">
        <f aca="false">IF(ISNUMBER(P18),P18/30,"")</f>
        <v>1644.89366666667</v>
      </c>
      <c r="U18" s="25" t="n">
        <f aca="false">IF(AND(ISNUMBER(T18),ISNUMBER(R18),N(R18)&gt;0),T18/R18,"")</f>
        <v>0.761349899691259</v>
      </c>
      <c r="V18" s="25" t="n">
        <v>0.788472235018717</v>
      </c>
      <c r="W18" s="7"/>
    </row>
    <row r="19" customFormat="false" ht="15" hidden="false" customHeight="false" outlineLevel="0" collapsed="false">
      <c r="A19" s="15" t="s">
        <v>110</v>
      </c>
      <c r="B19" s="15" t="s">
        <v>127</v>
      </c>
      <c r="C19" s="15" t="n">
        <v>70</v>
      </c>
      <c r="D19" s="15" t="s">
        <v>314</v>
      </c>
      <c r="E19" s="49"/>
      <c r="F19" s="49"/>
      <c r="G19" s="50"/>
      <c r="H19" s="50"/>
      <c r="I19" s="49"/>
      <c r="J19" s="37"/>
      <c r="K19" s="50"/>
      <c r="L19" s="49"/>
      <c r="M19" s="50"/>
      <c r="N19" s="49"/>
      <c r="O19" s="50"/>
      <c r="P19" s="49"/>
      <c r="Q19" s="38" t="str">
        <f aca="false">IF(ISNUMBER(I19),I19/12,"")</f>
        <v/>
      </c>
      <c r="R19" s="38" t="str">
        <f aca="false">IF(ISNUMBER(N19),N19/30,"")</f>
        <v/>
      </c>
      <c r="S19" s="25" t="str">
        <f aca="false">IF(AND(ISNUMBER(Q19),ISNUMBER(R19),N(R19)&gt;0),Q19/R19,"")</f>
        <v/>
      </c>
      <c r="T19" s="38" t="str">
        <f aca="false">IF(ISNUMBER(P19),P19/30,"")</f>
        <v/>
      </c>
      <c r="U19" s="25" t="str">
        <f aca="false">IF(AND(ISNUMBER(T19),ISNUMBER(R19),N(R19)&gt;0),T19/R19,"")</f>
        <v/>
      </c>
      <c r="V19" s="25"/>
      <c r="W19" s="7"/>
    </row>
    <row r="20" customFormat="false" ht="15" hidden="false" customHeight="false" outlineLevel="0" collapsed="false">
      <c r="A20" s="15" t="s">
        <v>110</v>
      </c>
      <c r="B20" s="15" t="s">
        <v>134</v>
      </c>
      <c r="C20" s="15" t="n">
        <v>42</v>
      </c>
      <c r="D20" s="15" t="s">
        <v>314</v>
      </c>
      <c r="E20" s="49" t="n">
        <v>2744.45</v>
      </c>
      <c r="F20" s="49" t="n">
        <v>5895.06</v>
      </c>
      <c r="G20" s="50" t="n">
        <v>0.466</v>
      </c>
      <c r="H20" s="50" t="n">
        <v>0.122837052752191</v>
      </c>
      <c r="I20" s="49" t="n">
        <v>22342.2</v>
      </c>
      <c r="J20" s="37" t="n">
        <v>121</v>
      </c>
      <c r="K20" s="50" t="n">
        <v>0.1197</v>
      </c>
      <c r="L20" s="49" t="n">
        <v>4436.54</v>
      </c>
      <c r="M20" s="50" t="n">
        <v>0.269562797570585</v>
      </c>
      <c r="N20" s="49" t="n">
        <v>16458.28</v>
      </c>
      <c r="O20" s="50" t="n">
        <v>0.12862340375194</v>
      </c>
      <c r="P20" s="49" t="n">
        <v>69318.8</v>
      </c>
      <c r="Q20" s="38" t="n">
        <f aca="false">IF(ISNUMBER(I20),I20/12,"")</f>
        <v>1861.85</v>
      </c>
      <c r="R20" s="38" t="n">
        <f aca="false">IF(ISNUMBER(N20),N20/30,"")</f>
        <v>548.609333333333</v>
      </c>
      <c r="S20" s="25" t="n">
        <f aca="false">IF(AND(ISNUMBER(Q20),ISNUMBER(R20),N(R20)&gt;0),Q20/R20,"")</f>
        <v>3.39376289624432</v>
      </c>
      <c r="T20" s="38" t="n">
        <f aca="false">IF(ISNUMBER(P20),P20/30,"")</f>
        <v>2310.62666666667</v>
      </c>
      <c r="U20" s="25" t="n">
        <f aca="false">IF(AND(ISNUMBER(T20),ISNUMBER(R20),N(R20)&gt;0),T20/R20,"")</f>
        <v>4.2117888382018</v>
      </c>
      <c r="V20" s="25" t="n">
        <v>1.69547360610192</v>
      </c>
      <c r="W20" s="7"/>
    </row>
    <row r="21" customFormat="false" ht="15" hidden="false" customHeight="false" outlineLevel="0" collapsed="false">
      <c r="A21" s="15" t="s">
        <v>110</v>
      </c>
      <c r="B21" s="15" t="s">
        <v>140</v>
      </c>
      <c r="C21" s="15" t="n">
        <v>44</v>
      </c>
      <c r="D21" s="15" t="s">
        <v>314</v>
      </c>
      <c r="E21" s="49" t="n">
        <v>0</v>
      </c>
      <c r="F21" s="49" t="n">
        <v>0</v>
      </c>
      <c r="G21" s="50"/>
      <c r="H21" s="50"/>
      <c r="I21" s="49"/>
      <c r="J21" s="37" t="n">
        <v>0</v>
      </c>
      <c r="K21" s="50"/>
      <c r="L21" s="49" t="n">
        <v>0</v>
      </c>
      <c r="M21" s="50"/>
      <c r="N21" s="49"/>
      <c r="O21" s="50"/>
      <c r="P21" s="49"/>
      <c r="Q21" s="38" t="str">
        <f aca="false">IF(ISNUMBER(I21),I21/12,"")</f>
        <v/>
      </c>
      <c r="R21" s="38" t="str">
        <f aca="false">IF(ISNUMBER(N21),N21/30,"")</f>
        <v/>
      </c>
      <c r="S21" s="25" t="str">
        <f aca="false">IF(AND(ISNUMBER(Q21),ISNUMBER(R21),N(R21)&gt;0),Q21/R21,"")</f>
        <v/>
      </c>
      <c r="T21" s="38" t="str">
        <f aca="false">IF(ISNUMBER(P21),P21/30,"")</f>
        <v/>
      </c>
      <c r="U21" s="25" t="str">
        <f aca="false">IF(AND(ISNUMBER(T21),ISNUMBER(R21),N(R21)&gt;0),T21/R21,"")</f>
        <v/>
      </c>
      <c r="V21" s="25"/>
      <c r="W21" s="7"/>
    </row>
    <row r="22" customFormat="false" ht="15" hidden="false" customHeight="false" outlineLevel="0" collapsed="false">
      <c r="A22" s="15" t="s">
        <v>144</v>
      </c>
      <c r="B22" s="15" t="s">
        <v>145</v>
      </c>
      <c r="C22" s="15" t="n">
        <v>46</v>
      </c>
      <c r="D22" s="15" t="s">
        <v>314</v>
      </c>
      <c r="E22" s="49" t="n">
        <v>0</v>
      </c>
      <c r="F22" s="49" t="n">
        <v>0</v>
      </c>
      <c r="G22" s="50"/>
      <c r="H22" s="50"/>
      <c r="I22" s="49"/>
      <c r="J22" s="37" t="n">
        <v>0</v>
      </c>
      <c r="K22" s="50"/>
      <c r="L22" s="49"/>
      <c r="M22" s="50"/>
      <c r="N22" s="49"/>
      <c r="O22" s="50"/>
      <c r="P22" s="49"/>
      <c r="Q22" s="38" t="str">
        <f aca="false">IF(ISNUMBER(I22),I22/12,"")</f>
        <v/>
      </c>
      <c r="R22" s="38" t="str">
        <f aca="false">IF(ISNUMBER(N22),N22/30,"")</f>
        <v/>
      </c>
      <c r="S22" s="25" t="str">
        <f aca="false">IF(AND(ISNUMBER(Q22),ISNUMBER(R22),N(R22)&gt;0),Q22/R22,"")</f>
        <v/>
      </c>
      <c r="T22" s="38" t="str">
        <f aca="false">IF(ISNUMBER(P22),P22/30,"")</f>
        <v/>
      </c>
      <c r="U22" s="25" t="str">
        <f aca="false">IF(AND(ISNUMBER(T22),ISNUMBER(R22),N(R22)&gt;0),T22/R22,"")</f>
        <v/>
      </c>
      <c r="V22" s="25"/>
      <c r="W22" s="7"/>
    </row>
    <row r="23" customFormat="false" ht="15" hidden="false" customHeight="false" outlineLevel="0" collapsed="false">
      <c r="A23" s="15" t="s">
        <v>144</v>
      </c>
      <c r="B23" s="15" t="s">
        <v>148</v>
      </c>
      <c r="C23" s="15" t="n">
        <v>53</v>
      </c>
      <c r="D23" s="15" t="s">
        <v>314</v>
      </c>
      <c r="E23" s="49"/>
      <c r="F23" s="49"/>
      <c r="G23" s="50"/>
      <c r="H23" s="50"/>
      <c r="I23" s="49"/>
      <c r="J23" s="37"/>
      <c r="K23" s="50"/>
      <c r="L23" s="49"/>
      <c r="M23" s="50"/>
      <c r="N23" s="49"/>
      <c r="O23" s="50"/>
      <c r="P23" s="49"/>
      <c r="Q23" s="38" t="str">
        <f aca="false">IF(ISNUMBER(I23),I23/12,"")</f>
        <v/>
      </c>
      <c r="R23" s="38" t="str">
        <f aca="false">IF(ISNUMBER(N23),N23/30,"")</f>
        <v/>
      </c>
      <c r="S23" s="25" t="str">
        <f aca="false">IF(AND(ISNUMBER(Q23),ISNUMBER(R23),N(R23)&gt;0),Q23/R23,"")</f>
        <v/>
      </c>
      <c r="T23" s="38" t="str">
        <f aca="false">IF(ISNUMBER(P23),P23/30,"")</f>
        <v/>
      </c>
      <c r="U23" s="25" t="str">
        <f aca="false">IF(AND(ISNUMBER(T23),ISNUMBER(R23),N(R23)&gt;0),T23/R23,"")</f>
        <v/>
      </c>
      <c r="V23" s="25"/>
      <c r="W23" s="7"/>
    </row>
    <row r="24" customFormat="false" ht="15" hidden="false" customHeight="false" outlineLevel="0" collapsed="false">
      <c r="A24" s="15" t="s">
        <v>144</v>
      </c>
      <c r="B24" s="15" t="s">
        <v>151</v>
      </c>
      <c r="C24" s="15" t="n">
        <v>49</v>
      </c>
      <c r="D24" s="15" t="s">
        <v>314</v>
      </c>
      <c r="E24" s="49" t="n">
        <v>0</v>
      </c>
      <c r="F24" s="49" t="n">
        <v>0</v>
      </c>
      <c r="G24" s="50"/>
      <c r="H24" s="50"/>
      <c r="I24" s="49"/>
      <c r="J24" s="37" t="n">
        <v>0</v>
      </c>
      <c r="K24" s="50"/>
      <c r="L24" s="49" t="n">
        <v>0</v>
      </c>
      <c r="M24" s="50"/>
      <c r="N24" s="49"/>
      <c r="O24" s="50"/>
      <c r="P24" s="49"/>
      <c r="Q24" s="38" t="str">
        <f aca="false">IF(ISNUMBER(I24),I24/12,"")</f>
        <v/>
      </c>
      <c r="R24" s="38" t="str">
        <f aca="false">IF(ISNUMBER(N24),N24/30,"")</f>
        <v/>
      </c>
      <c r="S24" s="25" t="str">
        <f aca="false">IF(AND(ISNUMBER(Q24),ISNUMBER(R24),N(R24)&gt;0),Q24/R24,"")</f>
        <v/>
      </c>
      <c r="T24" s="38" t="str">
        <f aca="false">IF(ISNUMBER(P24),P24/30,"")</f>
        <v/>
      </c>
      <c r="U24" s="25" t="str">
        <f aca="false">IF(AND(ISNUMBER(T24),ISNUMBER(R24),N(R24)&gt;0),T24/R24,"")</f>
        <v/>
      </c>
      <c r="V24" s="25"/>
      <c r="W24" s="7"/>
    </row>
    <row r="26" customFormat="false" ht="15" hidden="false" customHeight="false" outlineLevel="0" collapsed="false">
      <c r="A26" s="9" t="s">
        <v>1378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6"/>
    <col collapsed="false" customWidth="true" hidden="false" outlineLevel="0" max="3" min="3" style="0" width="5"/>
    <col collapsed="false" customWidth="true" hidden="false" outlineLevel="0" max="4" min="4" style="0" width="10"/>
    <col collapsed="false" customWidth="true" hidden="false" outlineLevel="0" max="6" min="5" style="0" width="9"/>
    <col collapsed="false" customWidth="true" hidden="false" outlineLevel="0" max="8" min="7" style="0" width="7"/>
    <col collapsed="false" customWidth="true" hidden="false" outlineLevel="0" max="9" min="9" style="0" width="10"/>
  </cols>
  <sheetData>
    <row r="1" customFormat="false" ht="30" hidden="false" customHeight="true" outlineLevel="0" collapsed="false">
      <c r="A1" s="14" t="s">
        <v>1379</v>
      </c>
      <c r="B1" s="14" t="s">
        <v>164</v>
      </c>
      <c r="C1" s="14" t="s">
        <v>1357</v>
      </c>
      <c r="D1" s="14" t="s">
        <v>1380</v>
      </c>
      <c r="E1" s="14" t="s">
        <v>1381</v>
      </c>
      <c r="F1" s="14" t="s">
        <v>1382</v>
      </c>
      <c r="G1" s="14" t="s">
        <v>1383</v>
      </c>
      <c r="H1" s="14" t="s">
        <v>1384</v>
      </c>
      <c r="I1" s="14" t="s">
        <v>1385</v>
      </c>
    </row>
    <row r="2" customFormat="false" ht="15" hidden="false" customHeight="false" outlineLevel="0" collapsed="false">
      <c r="A2" s="51" t="s">
        <v>38</v>
      </c>
      <c r="B2" s="51" t="n">
        <v>59</v>
      </c>
      <c r="C2" s="51" t="s">
        <v>314</v>
      </c>
      <c r="D2" s="52" t="n">
        <v>45945</v>
      </c>
      <c r="E2" s="53" t="n">
        <v>974.58</v>
      </c>
      <c r="F2" s="53" t="n">
        <v>4105.1</v>
      </c>
      <c r="G2" s="51" t="n">
        <v>64</v>
      </c>
      <c r="H2" s="51" t="n">
        <v>64</v>
      </c>
      <c r="I2" s="51"/>
    </row>
    <row r="3" customFormat="false" ht="15" hidden="false" customHeight="false" outlineLevel="0" collapsed="false">
      <c r="A3" s="51" t="s">
        <v>38</v>
      </c>
      <c r="B3" s="51" t="n">
        <v>59</v>
      </c>
      <c r="C3" s="51" t="s">
        <v>314</v>
      </c>
      <c r="D3" s="52" t="n">
        <v>45946</v>
      </c>
      <c r="E3" s="53" t="n">
        <v>875.18</v>
      </c>
      <c r="F3" s="53" t="n">
        <v>3575.75</v>
      </c>
      <c r="G3" s="51" t="n">
        <v>53</v>
      </c>
      <c r="H3" s="51" t="n">
        <v>55</v>
      </c>
      <c r="I3" s="51"/>
    </row>
    <row r="4" customFormat="false" ht="15" hidden="false" customHeight="false" outlineLevel="0" collapsed="false">
      <c r="A4" s="51" t="s">
        <v>38</v>
      </c>
      <c r="B4" s="51" t="n">
        <v>59</v>
      </c>
      <c r="C4" s="51" t="s">
        <v>314</v>
      </c>
      <c r="D4" s="52" t="n">
        <v>45947</v>
      </c>
      <c r="E4" s="53" t="n">
        <v>854.27</v>
      </c>
      <c r="F4" s="53" t="n">
        <v>3738.45</v>
      </c>
      <c r="G4" s="51" t="n">
        <v>52</v>
      </c>
      <c r="H4" s="51" t="n">
        <v>55</v>
      </c>
      <c r="I4" s="51"/>
    </row>
    <row r="5" customFormat="false" ht="15" hidden="false" customHeight="false" outlineLevel="0" collapsed="false">
      <c r="A5" s="51" t="s">
        <v>38</v>
      </c>
      <c r="B5" s="51" t="n">
        <v>59</v>
      </c>
      <c r="C5" s="51" t="s">
        <v>314</v>
      </c>
      <c r="D5" s="52" t="n">
        <v>45948</v>
      </c>
      <c r="E5" s="53" t="n">
        <v>836.51</v>
      </c>
      <c r="F5" s="53" t="n">
        <v>3341.54</v>
      </c>
      <c r="G5" s="51" t="n">
        <v>44</v>
      </c>
      <c r="H5" s="51" t="n">
        <v>46</v>
      </c>
      <c r="I5" s="51"/>
    </row>
    <row r="6" customFormat="false" ht="15" hidden="false" customHeight="false" outlineLevel="0" collapsed="false">
      <c r="A6" s="51" t="s">
        <v>38</v>
      </c>
      <c r="B6" s="51" t="n">
        <v>59</v>
      </c>
      <c r="C6" s="51" t="s">
        <v>314</v>
      </c>
      <c r="D6" s="52" t="n">
        <v>45949</v>
      </c>
      <c r="E6" s="53" t="n">
        <v>896.6</v>
      </c>
      <c r="F6" s="53" t="n">
        <v>3409.49</v>
      </c>
      <c r="G6" s="51" t="n">
        <v>45</v>
      </c>
      <c r="H6" s="51" t="n">
        <v>47</v>
      </c>
      <c r="I6" s="51"/>
    </row>
    <row r="7" customFormat="false" ht="15" hidden="false" customHeight="false" outlineLevel="0" collapsed="false">
      <c r="A7" s="51" t="s">
        <v>38</v>
      </c>
      <c r="B7" s="51" t="n">
        <v>59</v>
      </c>
      <c r="C7" s="51" t="s">
        <v>314</v>
      </c>
      <c r="D7" s="52" t="n">
        <v>45950</v>
      </c>
      <c r="E7" s="53" t="n">
        <v>732.74</v>
      </c>
      <c r="F7" s="53" t="n">
        <v>1924.73</v>
      </c>
      <c r="G7" s="51" t="n">
        <v>27</v>
      </c>
      <c r="H7" s="51" t="n">
        <v>27</v>
      </c>
      <c r="I7" s="51"/>
    </row>
    <row r="8" customFormat="false" ht="15" hidden="false" customHeight="false" outlineLevel="0" collapsed="false">
      <c r="A8" s="51" t="s">
        <v>38</v>
      </c>
      <c r="B8" s="51" t="n">
        <v>59</v>
      </c>
      <c r="C8" s="51" t="s">
        <v>314</v>
      </c>
      <c r="D8" s="52" t="n">
        <v>45951</v>
      </c>
      <c r="E8" s="53" t="n">
        <v>806.61</v>
      </c>
      <c r="F8" s="53" t="n">
        <v>3108.43</v>
      </c>
      <c r="G8" s="51" t="n">
        <v>44</v>
      </c>
      <c r="H8" s="51" t="n">
        <v>45</v>
      </c>
      <c r="I8" s="51" t="s">
        <v>1386</v>
      </c>
    </row>
    <row r="9" customFormat="false" ht="15" hidden="false" customHeight="false" outlineLevel="0" collapsed="false">
      <c r="A9" s="51" t="s">
        <v>38</v>
      </c>
      <c r="B9" s="51" t="n">
        <v>59</v>
      </c>
      <c r="C9" s="51" t="s">
        <v>314</v>
      </c>
      <c r="D9" s="52" t="n">
        <v>45952</v>
      </c>
      <c r="E9" s="53" t="n">
        <v>659.53</v>
      </c>
      <c r="F9" s="53" t="n">
        <v>2399.67</v>
      </c>
      <c r="G9" s="51" t="n">
        <v>32</v>
      </c>
      <c r="H9" s="51" t="n">
        <v>33</v>
      </c>
      <c r="I9" s="51" t="s">
        <v>1386</v>
      </c>
    </row>
    <row r="10" customFormat="false" ht="15" hidden="false" customHeight="false" outlineLevel="0" collapsed="false">
      <c r="A10" s="51" t="s">
        <v>38</v>
      </c>
      <c r="B10" s="51" t="n">
        <v>59</v>
      </c>
      <c r="C10" s="51" t="s">
        <v>314</v>
      </c>
      <c r="D10" s="52" t="n">
        <v>45953</v>
      </c>
      <c r="E10" s="53" t="n">
        <v>635.23</v>
      </c>
      <c r="F10" s="53" t="n">
        <v>2054.71</v>
      </c>
      <c r="G10" s="51" t="n">
        <v>28</v>
      </c>
      <c r="H10" s="51" t="n">
        <v>29</v>
      </c>
      <c r="I10" s="51" t="s">
        <v>1386</v>
      </c>
    </row>
    <row r="11" customFormat="false" ht="15" hidden="false" customHeight="false" outlineLevel="0" collapsed="false">
      <c r="A11" s="51" t="s">
        <v>38</v>
      </c>
      <c r="B11" s="51" t="n">
        <v>59</v>
      </c>
      <c r="C11" s="51" t="s">
        <v>314</v>
      </c>
      <c r="D11" s="52" t="n">
        <v>45954</v>
      </c>
      <c r="E11" s="53" t="n">
        <v>610.13</v>
      </c>
      <c r="F11" s="53" t="n">
        <v>2049.72</v>
      </c>
      <c r="G11" s="51" t="n">
        <v>27</v>
      </c>
      <c r="H11" s="51" t="n">
        <v>28</v>
      </c>
      <c r="I11" s="51" t="s">
        <v>1386</v>
      </c>
    </row>
    <row r="12" customFormat="false" ht="15" hidden="false" customHeight="false" outlineLevel="0" collapsed="false">
      <c r="A12" s="51" t="s">
        <v>38</v>
      </c>
      <c r="B12" s="51" t="n">
        <v>59</v>
      </c>
      <c r="C12" s="51" t="s">
        <v>314</v>
      </c>
      <c r="D12" s="52" t="n">
        <v>45955</v>
      </c>
      <c r="E12" s="53" t="n">
        <v>707.99</v>
      </c>
      <c r="F12" s="53" t="n">
        <v>3279.55</v>
      </c>
      <c r="G12" s="51" t="n">
        <v>45</v>
      </c>
      <c r="H12" s="51" t="n">
        <v>46</v>
      </c>
      <c r="I12" s="51" t="s">
        <v>1386</v>
      </c>
    </row>
    <row r="13" customFormat="false" ht="15" hidden="false" customHeight="false" outlineLevel="0" collapsed="false">
      <c r="A13" s="51" t="s">
        <v>38</v>
      </c>
      <c r="B13" s="51" t="n">
        <v>59</v>
      </c>
      <c r="C13" s="51" t="s">
        <v>314</v>
      </c>
      <c r="D13" s="52" t="n">
        <v>45956</v>
      </c>
      <c r="E13" s="53" t="n">
        <v>761.14</v>
      </c>
      <c r="F13" s="53" t="n">
        <v>3429.53</v>
      </c>
      <c r="G13" s="51" t="n">
        <v>43</v>
      </c>
      <c r="H13" s="51" t="n">
        <v>47</v>
      </c>
      <c r="I13" s="51" t="s">
        <v>1386</v>
      </c>
    </row>
    <row r="14" customFormat="false" ht="15" hidden="false" customHeight="false" outlineLevel="0" collapsed="false">
      <c r="A14" s="51" t="s">
        <v>38</v>
      </c>
      <c r="B14" s="51" t="n">
        <v>59</v>
      </c>
      <c r="C14" s="51" t="s">
        <v>314</v>
      </c>
      <c r="D14" s="52" t="n">
        <v>45957</v>
      </c>
      <c r="E14" s="53" t="n">
        <v>709.44</v>
      </c>
      <c r="F14" s="53" t="n">
        <v>2084.71</v>
      </c>
      <c r="G14" s="51" t="n">
        <v>29</v>
      </c>
      <c r="H14" s="51" t="n">
        <v>29</v>
      </c>
      <c r="I14" s="51" t="s">
        <v>1386</v>
      </c>
    </row>
    <row r="15" customFormat="false" ht="15" hidden="false" customHeight="false" outlineLevel="0" collapsed="false">
      <c r="A15" s="51" t="s">
        <v>38</v>
      </c>
      <c r="B15" s="51" t="n">
        <v>59</v>
      </c>
      <c r="C15" s="51" t="s">
        <v>314</v>
      </c>
      <c r="D15" s="52" t="n">
        <v>45958</v>
      </c>
      <c r="E15" s="53" t="n">
        <v>535.72</v>
      </c>
      <c r="F15" s="53" t="n">
        <v>1644.77</v>
      </c>
      <c r="G15" s="51" t="n">
        <v>23</v>
      </c>
      <c r="H15" s="51" t="n">
        <v>23</v>
      </c>
      <c r="I15" s="51" t="s">
        <v>1386</v>
      </c>
    </row>
    <row r="16" customFormat="false" ht="15" hidden="false" customHeight="false" outlineLevel="0" collapsed="false">
      <c r="A16" s="51" t="s">
        <v>38</v>
      </c>
      <c r="B16" s="51" t="n">
        <v>59</v>
      </c>
      <c r="C16" s="51" t="s">
        <v>314</v>
      </c>
      <c r="D16" s="52" t="n">
        <v>45959</v>
      </c>
      <c r="E16" s="53" t="n">
        <v>479.97</v>
      </c>
      <c r="F16" s="53" t="n">
        <v>2292.65</v>
      </c>
      <c r="G16" s="51" t="n">
        <v>30</v>
      </c>
      <c r="H16" s="51" t="n">
        <v>31</v>
      </c>
      <c r="I16" s="51" t="s">
        <v>1386</v>
      </c>
    </row>
    <row r="17" customFormat="false" ht="15" hidden="false" customHeight="false" outlineLevel="0" collapsed="false">
      <c r="A17" s="51" t="s">
        <v>38</v>
      </c>
      <c r="B17" s="51" t="n">
        <v>59</v>
      </c>
      <c r="C17" s="51" t="s">
        <v>314</v>
      </c>
      <c r="D17" s="52" t="n">
        <v>45960</v>
      </c>
      <c r="E17" s="53" t="n">
        <v>595.5</v>
      </c>
      <c r="F17" s="53" t="n">
        <v>2954.59</v>
      </c>
      <c r="G17" s="51" t="n">
        <v>40</v>
      </c>
      <c r="H17" s="51" t="n">
        <v>42</v>
      </c>
      <c r="I17" s="51" t="s">
        <v>1386</v>
      </c>
    </row>
    <row r="18" customFormat="false" ht="15" hidden="false" customHeight="false" outlineLevel="0" collapsed="false">
      <c r="A18" s="51" t="s">
        <v>38</v>
      </c>
      <c r="B18" s="51" t="n">
        <v>59</v>
      </c>
      <c r="C18" s="51" t="s">
        <v>314</v>
      </c>
      <c r="D18" s="52" t="n">
        <v>45961</v>
      </c>
      <c r="E18" s="53" t="n">
        <v>507.02</v>
      </c>
      <c r="F18" s="53" t="n">
        <v>2798.62</v>
      </c>
      <c r="G18" s="51" t="n">
        <v>32</v>
      </c>
      <c r="H18" s="51" t="n">
        <v>38</v>
      </c>
      <c r="I18" s="51" t="s">
        <v>1386</v>
      </c>
    </row>
    <row r="19" customFormat="false" ht="15" hidden="false" customHeight="false" outlineLevel="0" collapsed="false">
      <c r="A19" s="51" t="s">
        <v>38</v>
      </c>
      <c r="B19" s="51" t="n">
        <v>59</v>
      </c>
      <c r="C19" s="51" t="s">
        <v>314</v>
      </c>
      <c r="D19" s="52" t="n">
        <v>45962</v>
      </c>
      <c r="E19" s="53" t="n">
        <v>681.06</v>
      </c>
      <c r="F19" s="53" t="n">
        <v>2599.64</v>
      </c>
      <c r="G19" s="51" t="n">
        <v>36</v>
      </c>
      <c r="H19" s="51" t="n">
        <v>36</v>
      </c>
      <c r="I19" s="51" t="s">
        <v>1386</v>
      </c>
    </row>
    <row r="20" customFormat="false" ht="15" hidden="false" customHeight="false" outlineLevel="0" collapsed="false">
      <c r="A20" s="51" t="s">
        <v>38</v>
      </c>
      <c r="B20" s="51" t="n">
        <v>59</v>
      </c>
      <c r="C20" s="51" t="s">
        <v>314</v>
      </c>
      <c r="D20" s="52" t="n">
        <v>45963</v>
      </c>
      <c r="E20" s="53" t="n">
        <v>756.99</v>
      </c>
      <c r="F20" s="53" t="n">
        <v>2729.62</v>
      </c>
      <c r="G20" s="51" t="n">
        <v>37</v>
      </c>
      <c r="H20" s="51" t="n">
        <v>38</v>
      </c>
      <c r="I20" s="51" t="s">
        <v>1386</v>
      </c>
    </row>
    <row r="21" customFormat="false" ht="15" hidden="false" customHeight="false" outlineLevel="0" collapsed="false">
      <c r="A21" s="51" t="s">
        <v>38</v>
      </c>
      <c r="B21" s="51" t="n">
        <v>59</v>
      </c>
      <c r="C21" s="51" t="s">
        <v>314</v>
      </c>
      <c r="D21" s="52" t="n">
        <v>45964</v>
      </c>
      <c r="E21" s="53" t="n">
        <v>702.5</v>
      </c>
      <c r="F21" s="53" t="n">
        <v>2469.68</v>
      </c>
      <c r="G21" s="51" t="n">
        <v>32</v>
      </c>
      <c r="H21" s="51" t="n">
        <v>32</v>
      </c>
      <c r="I21" s="51" t="s">
        <v>1386</v>
      </c>
    </row>
    <row r="22" customFormat="false" ht="15" hidden="false" customHeight="false" outlineLevel="0" collapsed="false">
      <c r="A22" s="51" t="s">
        <v>38</v>
      </c>
      <c r="B22" s="51" t="n">
        <v>59</v>
      </c>
      <c r="C22" s="51" t="s">
        <v>314</v>
      </c>
      <c r="D22" s="52" t="n">
        <v>45965</v>
      </c>
      <c r="E22" s="53" t="n">
        <v>755.18</v>
      </c>
      <c r="F22" s="53" t="n">
        <v>2689.64</v>
      </c>
      <c r="G22" s="51" t="n">
        <v>36</v>
      </c>
      <c r="H22" s="51" t="n">
        <v>36</v>
      </c>
      <c r="I22" s="51" t="s">
        <v>1386</v>
      </c>
    </row>
    <row r="23" customFormat="false" ht="15" hidden="false" customHeight="false" outlineLevel="0" collapsed="false">
      <c r="A23" s="51" t="s">
        <v>38</v>
      </c>
      <c r="B23" s="51" t="n">
        <v>59</v>
      </c>
      <c r="C23" s="51" t="s">
        <v>314</v>
      </c>
      <c r="D23" s="52" t="n">
        <v>45966</v>
      </c>
      <c r="E23" s="53" t="n">
        <v>782.7</v>
      </c>
      <c r="F23" s="53" t="n">
        <v>1849.74</v>
      </c>
      <c r="G23" s="51" t="n">
        <v>26</v>
      </c>
      <c r="H23" s="51" t="n">
        <v>26</v>
      </c>
      <c r="I23" s="51" t="s">
        <v>1386</v>
      </c>
    </row>
    <row r="24" customFormat="false" ht="15" hidden="false" customHeight="false" outlineLevel="0" collapsed="false">
      <c r="A24" s="51" t="s">
        <v>38</v>
      </c>
      <c r="B24" s="51" t="n">
        <v>59</v>
      </c>
      <c r="C24" s="51" t="s">
        <v>314</v>
      </c>
      <c r="D24" s="52" t="n">
        <v>45967</v>
      </c>
      <c r="E24" s="53" t="n">
        <v>738.52</v>
      </c>
      <c r="F24" s="53" t="n">
        <v>2809.61</v>
      </c>
      <c r="G24" s="51" t="n">
        <v>37</v>
      </c>
      <c r="H24" s="51" t="n">
        <v>39</v>
      </c>
      <c r="I24" s="51" t="s">
        <v>1386</v>
      </c>
    </row>
    <row r="25" customFormat="false" ht="15" hidden="false" customHeight="false" outlineLevel="0" collapsed="false">
      <c r="A25" s="51" t="s">
        <v>38</v>
      </c>
      <c r="B25" s="51" t="n">
        <v>59</v>
      </c>
      <c r="C25" s="51" t="s">
        <v>314</v>
      </c>
      <c r="D25" s="52" t="n">
        <v>45968</v>
      </c>
      <c r="E25" s="53" t="n">
        <v>736.25</v>
      </c>
      <c r="F25" s="53" t="n">
        <v>1843.7</v>
      </c>
      <c r="G25" s="51" t="n">
        <v>26</v>
      </c>
      <c r="H25" s="51" t="n">
        <v>26</v>
      </c>
      <c r="I25" s="51" t="s">
        <v>1386</v>
      </c>
    </row>
    <row r="26" customFormat="false" ht="15" hidden="false" customHeight="false" outlineLevel="0" collapsed="false">
      <c r="A26" s="51" t="s">
        <v>38</v>
      </c>
      <c r="B26" s="51" t="n">
        <v>59</v>
      </c>
      <c r="C26" s="51" t="s">
        <v>314</v>
      </c>
      <c r="D26" s="52" t="n">
        <v>45969</v>
      </c>
      <c r="E26" s="53" t="n">
        <v>841.48</v>
      </c>
      <c r="F26" s="53" t="n">
        <v>2535.6</v>
      </c>
      <c r="G26" s="51" t="n">
        <v>36</v>
      </c>
      <c r="H26" s="51" t="n">
        <v>36</v>
      </c>
      <c r="I26" s="51" t="s">
        <v>1386</v>
      </c>
    </row>
    <row r="27" customFormat="false" ht="15" hidden="false" customHeight="false" outlineLevel="0" collapsed="false">
      <c r="A27" s="51" t="s">
        <v>38</v>
      </c>
      <c r="B27" s="51" t="n">
        <v>59</v>
      </c>
      <c r="C27" s="51" t="s">
        <v>314</v>
      </c>
      <c r="D27" s="52" t="n">
        <v>45970</v>
      </c>
      <c r="E27" s="53" t="n">
        <v>917.18</v>
      </c>
      <c r="F27" s="53" t="n">
        <v>4648.31</v>
      </c>
      <c r="G27" s="51" t="n">
        <v>57</v>
      </c>
      <c r="H27" s="51" t="n">
        <v>65</v>
      </c>
      <c r="I27" s="51" t="s">
        <v>1386</v>
      </c>
    </row>
    <row r="28" customFormat="false" ht="15" hidden="false" customHeight="false" outlineLevel="0" collapsed="false">
      <c r="A28" s="51" t="s">
        <v>38</v>
      </c>
      <c r="B28" s="51" t="n">
        <v>59</v>
      </c>
      <c r="C28" s="51" t="s">
        <v>314</v>
      </c>
      <c r="D28" s="52" t="n">
        <v>45971</v>
      </c>
      <c r="E28" s="53" t="n">
        <v>803.79</v>
      </c>
      <c r="F28" s="53" t="n">
        <v>2984.58</v>
      </c>
      <c r="G28" s="51" t="n">
        <v>41</v>
      </c>
      <c r="H28" s="51" t="n">
        <v>42</v>
      </c>
      <c r="I28" s="51" t="s">
        <v>1386</v>
      </c>
    </row>
    <row r="29" customFormat="false" ht="15" hidden="false" customHeight="false" outlineLevel="0" collapsed="false">
      <c r="A29" s="51" t="s">
        <v>38</v>
      </c>
      <c r="B29" s="51" t="n">
        <v>59</v>
      </c>
      <c r="C29" s="51" t="s">
        <v>314</v>
      </c>
      <c r="D29" s="52" t="n">
        <v>45972</v>
      </c>
      <c r="E29" s="53" t="n">
        <v>752.21</v>
      </c>
      <c r="F29" s="53" t="n">
        <v>4044.43</v>
      </c>
      <c r="G29" s="51" t="n">
        <v>52</v>
      </c>
      <c r="H29" s="51" t="n">
        <v>57</v>
      </c>
      <c r="I29" s="51" t="s">
        <v>1386</v>
      </c>
    </row>
    <row r="30" customFormat="false" ht="15" hidden="false" customHeight="false" outlineLevel="0" collapsed="false">
      <c r="A30" s="51" t="s">
        <v>38</v>
      </c>
      <c r="B30" s="51" t="n">
        <v>59</v>
      </c>
      <c r="C30" s="51" t="s">
        <v>314</v>
      </c>
      <c r="D30" s="52" t="n">
        <v>45973</v>
      </c>
      <c r="E30" s="53" t="n">
        <v>713.29</v>
      </c>
      <c r="F30" s="53" t="n">
        <v>2429.67</v>
      </c>
      <c r="G30" s="51" t="n">
        <v>33</v>
      </c>
      <c r="H30" s="51" t="n">
        <v>34</v>
      </c>
      <c r="I30" s="51" t="s">
        <v>1386</v>
      </c>
    </row>
    <row r="31" customFormat="false" ht="15" hidden="false" customHeight="false" outlineLevel="0" collapsed="false">
      <c r="A31" s="51" t="s">
        <v>38</v>
      </c>
      <c r="B31" s="51" t="n">
        <v>59</v>
      </c>
      <c r="C31" s="51" t="s">
        <v>314</v>
      </c>
      <c r="D31" s="52" t="n">
        <v>45974</v>
      </c>
      <c r="E31" s="53" t="n">
        <v>757.74</v>
      </c>
      <c r="F31" s="53" t="n">
        <v>3296.78</v>
      </c>
      <c r="G31" s="51" t="n">
        <v>43</v>
      </c>
      <c r="H31" s="51" t="n">
        <v>47</v>
      </c>
      <c r="I31" s="51" t="s">
        <v>1386</v>
      </c>
    </row>
    <row r="32" customFormat="false" ht="15" hidden="false" customHeight="false" outlineLevel="0" collapsed="false">
      <c r="A32" s="51" t="s">
        <v>38</v>
      </c>
      <c r="B32" s="51" t="n">
        <v>59</v>
      </c>
      <c r="C32" s="51" t="s">
        <v>314</v>
      </c>
      <c r="D32" s="52" t="n">
        <v>45975</v>
      </c>
      <c r="E32" s="53" t="n">
        <v>754.19</v>
      </c>
      <c r="F32" s="53" t="n">
        <v>3395.28</v>
      </c>
      <c r="G32" s="51" t="n">
        <v>46</v>
      </c>
      <c r="H32" s="51" t="n">
        <v>47</v>
      </c>
      <c r="I32" s="51" t="s">
        <v>1386</v>
      </c>
    </row>
    <row r="33" customFormat="false" ht="15" hidden="false" customHeight="false" outlineLevel="0" collapsed="false">
      <c r="A33" s="51" t="s">
        <v>38</v>
      </c>
      <c r="B33" s="51" t="n">
        <v>59</v>
      </c>
      <c r="C33" s="51" t="s">
        <v>314</v>
      </c>
      <c r="D33" s="52" t="n">
        <v>45976</v>
      </c>
      <c r="E33" s="53" t="n">
        <v>935.73</v>
      </c>
      <c r="F33" s="53" t="n">
        <v>3178.06</v>
      </c>
      <c r="G33" s="51" t="n">
        <v>43</v>
      </c>
      <c r="H33" s="51" t="n">
        <v>45</v>
      </c>
      <c r="I33" s="51" t="s">
        <v>1386</v>
      </c>
    </row>
    <row r="34" customFormat="false" ht="15" hidden="false" customHeight="false" outlineLevel="0" collapsed="false">
      <c r="A34" s="51" t="s">
        <v>38</v>
      </c>
      <c r="B34" s="51" t="n">
        <v>59</v>
      </c>
      <c r="C34" s="51" t="s">
        <v>314</v>
      </c>
      <c r="D34" s="52" t="n">
        <v>45977</v>
      </c>
      <c r="E34" s="53" t="n">
        <v>1061.52</v>
      </c>
      <c r="F34" s="53" t="n">
        <v>4814.29</v>
      </c>
      <c r="G34" s="51" t="n">
        <v>67</v>
      </c>
      <c r="H34" s="51" t="n">
        <v>68</v>
      </c>
      <c r="I34" s="51" t="s">
        <v>1386</v>
      </c>
    </row>
    <row r="35" customFormat="false" ht="15" hidden="false" customHeight="false" outlineLevel="0" collapsed="false">
      <c r="A35" s="51" t="s">
        <v>38</v>
      </c>
      <c r="B35" s="51" t="n">
        <v>59</v>
      </c>
      <c r="C35" s="51" t="s">
        <v>314</v>
      </c>
      <c r="D35" s="52" t="n">
        <v>45978</v>
      </c>
      <c r="E35" s="53" t="n">
        <v>780.73</v>
      </c>
      <c r="F35" s="53" t="n">
        <v>2382.12</v>
      </c>
      <c r="G35" s="51" t="n">
        <v>34</v>
      </c>
      <c r="H35" s="51" t="n">
        <v>34</v>
      </c>
      <c r="I35" s="51" t="s">
        <v>1386</v>
      </c>
    </row>
    <row r="36" customFormat="false" ht="15" hidden="false" customHeight="false" outlineLevel="0" collapsed="false">
      <c r="A36" s="51" t="s">
        <v>38</v>
      </c>
      <c r="B36" s="51" t="n">
        <v>59</v>
      </c>
      <c r="C36" s="51" t="s">
        <v>314</v>
      </c>
      <c r="D36" s="52" t="n">
        <v>45979</v>
      </c>
      <c r="E36" s="53" t="n">
        <v>755.28</v>
      </c>
      <c r="F36" s="53" t="n">
        <v>2827.61</v>
      </c>
      <c r="G36" s="51" t="n">
        <v>40</v>
      </c>
      <c r="H36" s="51" t="n">
        <v>40</v>
      </c>
      <c r="I36" s="51" t="s">
        <v>1386</v>
      </c>
    </row>
    <row r="37" customFormat="false" ht="15" hidden="false" customHeight="false" outlineLevel="0" collapsed="false">
      <c r="A37" s="51" t="s">
        <v>38</v>
      </c>
      <c r="B37" s="51" t="n">
        <v>59</v>
      </c>
      <c r="C37" s="51" t="s">
        <v>314</v>
      </c>
      <c r="D37" s="52" t="n">
        <v>45980</v>
      </c>
      <c r="E37" s="53" t="n">
        <v>917.69</v>
      </c>
      <c r="F37" s="53" t="n">
        <v>3282.29</v>
      </c>
      <c r="G37" s="51" t="n">
        <v>45</v>
      </c>
      <c r="H37" s="51" t="n">
        <v>49</v>
      </c>
      <c r="I37" s="51" t="s">
        <v>1386</v>
      </c>
    </row>
    <row r="38" customFormat="false" ht="15" hidden="false" customHeight="false" outlineLevel="0" collapsed="false">
      <c r="A38" s="51" t="s">
        <v>38</v>
      </c>
      <c r="B38" s="51" t="n">
        <v>59</v>
      </c>
      <c r="C38" s="51" t="s">
        <v>314</v>
      </c>
      <c r="D38" s="52" t="n">
        <v>45981</v>
      </c>
      <c r="E38" s="53" t="n">
        <v>1989.03</v>
      </c>
      <c r="F38" s="53" t="n">
        <v>8758.28</v>
      </c>
      <c r="G38" s="51" t="n">
        <v>128</v>
      </c>
      <c r="H38" s="51" t="n">
        <v>130</v>
      </c>
      <c r="I38" s="51" t="s">
        <v>1387</v>
      </c>
    </row>
    <row r="39" customFormat="false" ht="15" hidden="false" customHeight="false" outlineLevel="0" collapsed="false">
      <c r="A39" s="51" t="s">
        <v>38</v>
      </c>
      <c r="B39" s="51" t="n">
        <v>59</v>
      </c>
      <c r="C39" s="51" t="s">
        <v>314</v>
      </c>
      <c r="D39" s="52" t="n">
        <v>45982</v>
      </c>
      <c r="E39" s="53" t="n">
        <v>1323.58</v>
      </c>
      <c r="F39" s="53" t="n">
        <v>6109.66</v>
      </c>
      <c r="G39" s="51" t="n">
        <v>89</v>
      </c>
      <c r="H39" s="51" t="n">
        <v>92</v>
      </c>
      <c r="I39" s="51" t="s">
        <v>1387</v>
      </c>
    </row>
    <row r="40" customFormat="false" ht="15" hidden="false" customHeight="false" outlineLevel="0" collapsed="false">
      <c r="A40" s="51" t="s">
        <v>38</v>
      </c>
      <c r="B40" s="51" t="n">
        <v>59</v>
      </c>
      <c r="C40" s="51" t="s">
        <v>314</v>
      </c>
      <c r="D40" s="52" t="n">
        <v>45983</v>
      </c>
      <c r="E40" s="53" t="n">
        <v>1339.78</v>
      </c>
      <c r="F40" s="53" t="n">
        <v>5495.94</v>
      </c>
      <c r="G40" s="51" t="n">
        <v>78</v>
      </c>
      <c r="H40" s="51" t="n">
        <v>83</v>
      </c>
      <c r="I40" s="51" t="s">
        <v>1387</v>
      </c>
    </row>
    <row r="41" customFormat="false" ht="15" hidden="false" customHeight="false" outlineLevel="0" collapsed="false">
      <c r="A41" s="51" t="s">
        <v>38</v>
      </c>
      <c r="B41" s="51" t="n">
        <v>59</v>
      </c>
      <c r="C41" s="51" t="s">
        <v>314</v>
      </c>
      <c r="D41" s="52" t="n">
        <v>45984</v>
      </c>
      <c r="E41" s="53" t="n">
        <v>1261.03</v>
      </c>
      <c r="F41" s="53" t="n">
        <v>4746.6</v>
      </c>
      <c r="G41" s="51" t="n">
        <v>71</v>
      </c>
      <c r="H41" s="51" t="n">
        <v>72</v>
      </c>
      <c r="I41" s="51" t="s">
        <v>1387</v>
      </c>
    </row>
    <row r="42" customFormat="false" ht="15" hidden="false" customHeight="false" outlineLevel="0" collapsed="false">
      <c r="A42" s="51" t="s">
        <v>38</v>
      </c>
      <c r="B42" s="51" t="n">
        <v>59</v>
      </c>
      <c r="C42" s="51" t="s">
        <v>314</v>
      </c>
      <c r="D42" s="52" t="n">
        <v>45985</v>
      </c>
      <c r="E42" s="53" t="n">
        <v>1120.04</v>
      </c>
      <c r="F42" s="53" t="n">
        <v>4924.5</v>
      </c>
      <c r="G42" s="51" t="n">
        <v>71</v>
      </c>
      <c r="H42" s="51" t="n">
        <v>77</v>
      </c>
      <c r="I42" s="51" t="s">
        <v>1387</v>
      </c>
    </row>
    <row r="43" customFormat="false" ht="15" hidden="false" customHeight="false" outlineLevel="0" collapsed="false">
      <c r="A43" s="51" t="s">
        <v>38</v>
      </c>
      <c r="B43" s="51" t="n">
        <v>59</v>
      </c>
      <c r="C43" s="51" t="s">
        <v>314</v>
      </c>
      <c r="D43" s="52" t="n">
        <v>45986</v>
      </c>
      <c r="E43" s="53" t="n">
        <v>1494.33</v>
      </c>
      <c r="F43" s="53" t="n">
        <v>6833.29</v>
      </c>
      <c r="G43" s="51" t="n">
        <v>99</v>
      </c>
      <c r="H43" s="51" t="n">
        <v>104</v>
      </c>
      <c r="I43" s="51" t="s">
        <v>1387</v>
      </c>
    </row>
    <row r="44" customFormat="false" ht="15" hidden="false" customHeight="false" outlineLevel="0" collapsed="false">
      <c r="A44" s="51" t="s">
        <v>38</v>
      </c>
      <c r="B44" s="51" t="n">
        <v>59</v>
      </c>
      <c r="C44" s="51" t="s">
        <v>314</v>
      </c>
      <c r="D44" s="52" t="n">
        <v>45987</v>
      </c>
      <c r="E44" s="53" t="n">
        <v>2384.2</v>
      </c>
      <c r="F44" s="53" t="n">
        <v>11268.67</v>
      </c>
      <c r="G44" s="51" t="n">
        <v>163</v>
      </c>
      <c r="H44" s="51" t="n">
        <v>172</v>
      </c>
      <c r="I44" s="51" t="s">
        <v>1387</v>
      </c>
    </row>
    <row r="45" customFormat="false" ht="15" hidden="false" customHeight="false" outlineLevel="0" collapsed="false">
      <c r="A45" s="51" t="s">
        <v>38</v>
      </c>
      <c r="B45" s="51" t="n">
        <v>59</v>
      </c>
      <c r="C45" s="51" t="s">
        <v>314</v>
      </c>
      <c r="D45" s="52" t="n">
        <v>45988</v>
      </c>
      <c r="E45" s="53" t="n">
        <v>1289.72</v>
      </c>
      <c r="F45" s="53" t="n">
        <v>7003.52</v>
      </c>
      <c r="G45" s="51" t="n">
        <v>102</v>
      </c>
      <c r="H45" s="51" t="n">
        <v>106</v>
      </c>
      <c r="I45" s="51" t="s">
        <v>1387</v>
      </c>
    </row>
    <row r="46" customFormat="false" ht="15" hidden="false" customHeight="false" outlineLevel="0" collapsed="false">
      <c r="A46" s="51" t="s">
        <v>38</v>
      </c>
      <c r="B46" s="51" t="n">
        <v>59</v>
      </c>
      <c r="C46" s="51" t="s">
        <v>314</v>
      </c>
      <c r="D46" s="52" t="n">
        <v>45989</v>
      </c>
      <c r="E46" s="53" t="n">
        <v>2317.92</v>
      </c>
      <c r="F46" s="53" t="n">
        <v>14673.95</v>
      </c>
      <c r="G46" s="51" t="n">
        <v>213</v>
      </c>
      <c r="H46" s="51" t="n">
        <v>226</v>
      </c>
      <c r="I46" s="51" t="s">
        <v>1387</v>
      </c>
    </row>
    <row r="47" customFormat="false" ht="15" hidden="false" customHeight="false" outlineLevel="0" collapsed="false">
      <c r="A47" s="51" t="s">
        <v>38</v>
      </c>
      <c r="B47" s="51" t="n">
        <v>59</v>
      </c>
      <c r="C47" s="51" t="s">
        <v>314</v>
      </c>
      <c r="D47" s="52" t="n">
        <v>45990</v>
      </c>
      <c r="E47" s="53" t="n">
        <v>1862.56</v>
      </c>
      <c r="F47" s="53" t="n">
        <v>8917.46</v>
      </c>
      <c r="G47" s="51" t="n">
        <v>124</v>
      </c>
      <c r="H47" s="51" t="n">
        <v>134</v>
      </c>
      <c r="I47" s="51" t="s">
        <v>1387</v>
      </c>
    </row>
    <row r="48" customFormat="false" ht="15" hidden="false" customHeight="false" outlineLevel="0" collapsed="false">
      <c r="A48" s="51" t="s">
        <v>38</v>
      </c>
      <c r="B48" s="51" t="n">
        <v>59</v>
      </c>
      <c r="C48" s="51" t="s">
        <v>314</v>
      </c>
      <c r="D48" s="52" t="n">
        <v>45991</v>
      </c>
      <c r="E48" s="53" t="n">
        <v>1890.05</v>
      </c>
      <c r="F48" s="53" t="n">
        <v>10750.26</v>
      </c>
      <c r="G48" s="51" t="n">
        <v>151</v>
      </c>
      <c r="H48" s="51" t="n">
        <v>160</v>
      </c>
      <c r="I48" s="51" t="s">
        <v>1387</v>
      </c>
    </row>
    <row r="49" customFormat="false" ht="15" hidden="false" customHeight="false" outlineLevel="0" collapsed="false">
      <c r="A49" s="51" t="s">
        <v>38</v>
      </c>
      <c r="B49" s="51" t="n">
        <v>59</v>
      </c>
      <c r="C49" s="51" t="s">
        <v>314</v>
      </c>
      <c r="D49" s="52" t="n">
        <v>45992</v>
      </c>
      <c r="E49" s="53" t="n">
        <v>2826.73</v>
      </c>
      <c r="F49" s="53" t="n">
        <v>17274.25</v>
      </c>
      <c r="G49" s="51" t="n">
        <v>254</v>
      </c>
      <c r="H49" s="51" t="n">
        <v>260</v>
      </c>
      <c r="I49" s="51" t="s">
        <v>1387</v>
      </c>
    </row>
    <row r="50" customFormat="false" ht="15" hidden="false" customHeight="false" outlineLevel="0" collapsed="false">
      <c r="A50" s="51" t="s">
        <v>38</v>
      </c>
      <c r="B50" s="51" t="n">
        <v>59</v>
      </c>
      <c r="C50" s="51" t="s">
        <v>314</v>
      </c>
      <c r="D50" s="52" t="n">
        <v>45993</v>
      </c>
      <c r="E50" s="53" t="n">
        <v>1086.32</v>
      </c>
      <c r="F50" s="53" t="n">
        <v>4516.38</v>
      </c>
      <c r="G50" s="51" t="n">
        <v>54</v>
      </c>
      <c r="H50" s="51" t="n">
        <v>62</v>
      </c>
      <c r="I50" s="51"/>
    </row>
    <row r="51" customFormat="false" ht="15" hidden="false" customHeight="false" outlineLevel="0" collapsed="false">
      <c r="A51" s="51" t="s">
        <v>38</v>
      </c>
      <c r="B51" s="51" t="n">
        <v>59</v>
      </c>
      <c r="C51" s="51" t="s">
        <v>314</v>
      </c>
      <c r="D51" s="52" t="n">
        <v>45994</v>
      </c>
      <c r="E51" s="53" t="n">
        <v>988.35</v>
      </c>
      <c r="F51" s="53" t="n">
        <v>3249.57</v>
      </c>
      <c r="G51" s="51" t="n">
        <v>42</v>
      </c>
      <c r="H51" s="51" t="n">
        <v>43</v>
      </c>
      <c r="I51" s="51"/>
    </row>
    <row r="52" customFormat="false" ht="15" hidden="false" customHeight="false" outlineLevel="0" collapsed="false">
      <c r="A52" s="51" t="s">
        <v>38</v>
      </c>
      <c r="B52" s="51" t="n">
        <v>59</v>
      </c>
      <c r="C52" s="51" t="s">
        <v>314</v>
      </c>
      <c r="D52" s="52" t="n">
        <v>45995</v>
      </c>
      <c r="E52" s="53" t="n">
        <v>1141.35</v>
      </c>
      <c r="F52" s="53" t="n">
        <v>5143.27</v>
      </c>
      <c r="G52" s="51" t="n">
        <v>69</v>
      </c>
      <c r="H52" s="51" t="n">
        <v>69</v>
      </c>
      <c r="I52" s="51"/>
    </row>
    <row r="53" customFormat="false" ht="15" hidden="false" customHeight="false" outlineLevel="0" collapsed="false">
      <c r="A53" s="51" t="s">
        <v>38</v>
      </c>
      <c r="B53" s="51" t="n">
        <v>59</v>
      </c>
      <c r="C53" s="51" t="s">
        <v>314</v>
      </c>
      <c r="D53" s="52" t="n">
        <v>45996</v>
      </c>
      <c r="E53" s="53" t="n">
        <v>986.09</v>
      </c>
      <c r="F53" s="53" t="n">
        <v>3759.48</v>
      </c>
      <c r="G53" s="51" t="n">
        <v>50</v>
      </c>
      <c r="H53" s="51" t="n">
        <v>53</v>
      </c>
      <c r="I53" s="51"/>
    </row>
    <row r="54" customFormat="false" ht="15" hidden="false" customHeight="false" outlineLevel="0" collapsed="false">
      <c r="A54" s="51" t="s">
        <v>38</v>
      </c>
      <c r="B54" s="51" t="n">
        <v>59</v>
      </c>
      <c r="C54" s="51" t="s">
        <v>314</v>
      </c>
      <c r="D54" s="52" t="n">
        <v>45997</v>
      </c>
      <c r="E54" s="53" t="n">
        <v>1100.4</v>
      </c>
      <c r="F54" s="53" t="n">
        <v>4104.44</v>
      </c>
      <c r="G54" s="51" t="n">
        <v>55</v>
      </c>
      <c r="H54" s="51" t="n">
        <v>56</v>
      </c>
      <c r="I54" s="51"/>
    </row>
    <row r="55" customFormat="false" ht="15" hidden="false" customHeight="false" outlineLevel="0" collapsed="false">
      <c r="A55" s="51" t="s">
        <v>38</v>
      </c>
      <c r="B55" s="51" t="n">
        <v>59</v>
      </c>
      <c r="C55" s="51" t="s">
        <v>314</v>
      </c>
      <c r="D55" s="52" t="n">
        <v>45998</v>
      </c>
      <c r="E55" s="53" t="n">
        <v>1173.65</v>
      </c>
      <c r="F55" s="53" t="n">
        <v>5658.18</v>
      </c>
      <c r="G55" s="51" t="n">
        <v>76</v>
      </c>
      <c r="H55" s="51" t="n">
        <v>78</v>
      </c>
      <c r="I55" s="51"/>
    </row>
    <row r="56" customFormat="false" ht="15" hidden="false" customHeight="false" outlineLevel="0" collapsed="false">
      <c r="A56" s="51" t="s">
        <v>38</v>
      </c>
      <c r="B56" s="51" t="n">
        <v>59</v>
      </c>
      <c r="C56" s="51" t="s">
        <v>314</v>
      </c>
      <c r="D56" s="52" t="n">
        <v>45999</v>
      </c>
      <c r="E56" s="53" t="n">
        <v>1050.81</v>
      </c>
      <c r="F56" s="53" t="n">
        <v>4880.2</v>
      </c>
      <c r="G56" s="51" t="n">
        <v>68</v>
      </c>
      <c r="H56" s="51" t="n">
        <v>68</v>
      </c>
      <c r="I56" s="51"/>
    </row>
    <row r="57" customFormat="false" ht="15" hidden="false" customHeight="false" outlineLevel="0" collapsed="false">
      <c r="A57" s="51" t="s">
        <v>38</v>
      </c>
      <c r="B57" s="51" t="n">
        <v>59</v>
      </c>
      <c r="C57" s="51" t="s">
        <v>314</v>
      </c>
      <c r="D57" s="52" t="n">
        <v>46000</v>
      </c>
      <c r="E57" s="53" t="n">
        <v>951.36</v>
      </c>
      <c r="F57" s="53" t="n">
        <v>3864.47</v>
      </c>
      <c r="G57" s="51" t="n">
        <v>51</v>
      </c>
      <c r="H57" s="51" t="n">
        <v>53</v>
      </c>
      <c r="I57" s="51"/>
    </row>
    <row r="58" customFormat="false" ht="15" hidden="false" customHeight="false" outlineLevel="0" collapsed="false">
      <c r="A58" s="51" t="s">
        <v>38</v>
      </c>
      <c r="B58" s="51" t="n">
        <v>59</v>
      </c>
      <c r="C58" s="51" t="s">
        <v>314</v>
      </c>
      <c r="D58" s="52" t="n">
        <v>46001</v>
      </c>
      <c r="E58" s="53" t="n">
        <v>869.17</v>
      </c>
      <c r="F58" s="53" t="n">
        <v>3949.38</v>
      </c>
      <c r="G58" s="51" t="n">
        <v>51</v>
      </c>
      <c r="H58" s="51" t="n">
        <v>54</v>
      </c>
      <c r="I58" s="51"/>
    </row>
    <row r="59" customFormat="false" ht="15" hidden="false" customHeight="false" outlineLevel="0" collapsed="false">
      <c r="A59" s="51" t="s">
        <v>38</v>
      </c>
      <c r="B59" s="51" t="n">
        <v>59</v>
      </c>
      <c r="C59" s="51" t="s">
        <v>314</v>
      </c>
      <c r="D59" s="52" t="n">
        <v>46002</v>
      </c>
      <c r="E59" s="53" t="n">
        <v>1266.66</v>
      </c>
      <c r="F59" s="53" t="n">
        <v>4699.36</v>
      </c>
      <c r="G59" s="51" t="n">
        <v>62</v>
      </c>
      <c r="H59" s="51" t="n">
        <v>64</v>
      </c>
      <c r="I59" s="51"/>
    </row>
    <row r="60" customFormat="false" ht="15" hidden="false" customHeight="false" outlineLevel="0" collapsed="false">
      <c r="A60" s="51" t="s">
        <v>38</v>
      </c>
      <c r="B60" s="51" t="n">
        <v>59</v>
      </c>
      <c r="C60" s="51" t="s">
        <v>314</v>
      </c>
      <c r="D60" s="52" t="n">
        <v>46003</v>
      </c>
      <c r="E60" s="53" t="n">
        <v>1611.8</v>
      </c>
      <c r="F60" s="53" t="n">
        <v>9813.78</v>
      </c>
      <c r="G60" s="51" t="n">
        <v>120</v>
      </c>
      <c r="H60" s="51" t="n">
        <v>122</v>
      </c>
      <c r="I60" s="51"/>
    </row>
    <row r="61" customFormat="false" ht="15" hidden="false" customHeight="false" outlineLevel="0" collapsed="false">
      <c r="A61" s="51" t="s">
        <v>38</v>
      </c>
      <c r="B61" s="51" t="n">
        <v>59</v>
      </c>
      <c r="C61" s="51" t="s">
        <v>314</v>
      </c>
      <c r="D61" s="52" t="n">
        <v>46004</v>
      </c>
      <c r="E61" s="53" t="n">
        <v>1287.76</v>
      </c>
      <c r="F61" s="53" t="n">
        <v>5981.17</v>
      </c>
      <c r="G61" s="51" t="n">
        <v>75</v>
      </c>
      <c r="H61" s="51" t="n">
        <v>75</v>
      </c>
      <c r="I61" s="51"/>
    </row>
    <row r="62" customFormat="false" ht="15" hidden="false" customHeight="false" outlineLevel="0" collapsed="false">
      <c r="A62" s="51" t="s">
        <v>38</v>
      </c>
      <c r="B62" s="51" t="n">
        <v>59</v>
      </c>
      <c r="C62" s="51" t="s">
        <v>314</v>
      </c>
      <c r="D62" s="52" t="n">
        <v>46005</v>
      </c>
      <c r="E62" s="53" t="n">
        <v>1672.75</v>
      </c>
      <c r="F62" s="53" t="n">
        <v>8163.98</v>
      </c>
      <c r="G62" s="51" t="n">
        <v>100</v>
      </c>
      <c r="H62" s="51" t="n">
        <v>102</v>
      </c>
      <c r="I62" s="51"/>
    </row>
    <row r="63" customFormat="false" ht="15" hidden="false" customHeight="false" outlineLevel="0" collapsed="false">
      <c r="A63" s="51" t="s">
        <v>38</v>
      </c>
      <c r="B63" s="51" t="n">
        <v>59</v>
      </c>
      <c r="C63" s="51" t="s">
        <v>314</v>
      </c>
      <c r="D63" s="52" t="n">
        <v>46006</v>
      </c>
      <c r="E63" s="53" t="n">
        <v>1529.07</v>
      </c>
      <c r="F63" s="53" t="n">
        <v>7464.07</v>
      </c>
      <c r="G63" s="51" t="n">
        <v>88</v>
      </c>
      <c r="H63" s="51" t="n">
        <v>93</v>
      </c>
      <c r="I63" s="51"/>
    </row>
    <row r="64" customFormat="false" ht="15" hidden="false" customHeight="false" outlineLevel="0" collapsed="false">
      <c r="A64" s="51" t="s">
        <v>38</v>
      </c>
      <c r="B64" s="51" t="n">
        <v>59</v>
      </c>
      <c r="C64" s="51" t="s">
        <v>1377</v>
      </c>
      <c r="D64" s="52" t="n">
        <v>45945</v>
      </c>
      <c r="E64" s="53" t="n">
        <v>145.59</v>
      </c>
      <c r="F64" s="53" t="n">
        <v>679.93</v>
      </c>
      <c r="G64" s="51" t="n">
        <v>7</v>
      </c>
      <c r="H64" s="51" t="n">
        <v>7</v>
      </c>
      <c r="I64" s="51"/>
    </row>
    <row r="65" customFormat="false" ht="15" hidden="false" customHeight="false" outlineLevel="0" collapsed="false">
      <c r="A65" s="51" t="s">
        <v>38</v>
      </c>
      <c r="B65" s="51" t="n">
        <v>59</v>
      </c>
      <c r="C65" s="51" t="s">
        <v>1377</v>
      </c>
      <c r="D65" s="52" t="n">
        <v>45946</v>
      </c>
      <c r="E65" s="53" t="n">
        <v>133.06</v>
      </c>
      <c r="F65" s="53" t="n">
        <v>959.9</v>
      </c>
      <c r="G65" s="51" t="n">
        <v>10</v>
      </c>
      <c r="H65" s="51" t="n">
        <v>10</v>
      </c>
      <c r="I65" s="51"/>
    </row>
    <row r="66" customFormat="false" ht="15" hidden="false" customHeight="false" outlineLevel="0" collapsed="false">
      <c r="A66" s="51" t="s">
        <v>38</v>
      </c>
      <c r="B66" s="51" t="n">
        <v>59</v>
      </c>
      <c r="C66" s="51" t="s">
        <v>1377</v>
      </c>
      <c r="D66" s="52" t="n">
        <v>45947</v>
      </c>
      <c r="E66" s="53" t="n">
        <v>138.39</v>
      </c>
      <c r="F66" s="53" t="n">
        <v>479.95</v>
      </c>
      <c r="G66" s="51" t="n">
        <v>5</v>
      </c>
      <c r="H66" s="51" t="n">
        <v>5</v>
      </c>
      <c r="I66" s="51"/>
    </row>
    <row r="67" customFormat="false" ht="15" hidden="false" customHeight="false" outlineLevel="0" collapsed="false">
      <c r="A67" s="51" t="s">
        <v>38</v>
      </c>
      <c r="B67" s="51" t="n">
        <v>59</v>
      </c>
      <c r="C67" s="51" t="s">
        <v>1377</v>
      </c>
      <c r="D67" s="52" t="n">
        <v>45948</v>
      </c>
      <c r="E67" s="53" t="n">
        <v>118.24</v>
      </c>
      <c r="F67" s="53" t="n">
        <v>713.92</v>
      </c>
      <c r="G67" s="51" t="n">
        <v>7</v>
      </c>
      <c r="H67" s="51" t="n">
        <v>8</v>
      </c>
      <c r="I67" s="51"/>
    </row>
    <row r="68" customFormat="false" ht="15" hidden="false" customHeight="false" outlineLevel="0" collapsed="false">
      <c r="A68" s="51" t="s">
        <v>38</v>
      </c>
      <c r="B68" s="51" t="n">
        <v>59</v>
      </c>
      <c r="C68" s="51" t="s">
        <v>1377</v>
      </c>
      <c r="D68" s="52" t="n">
        <v>45949</v>
      </c>
      <c r="E68" s="53" t="n">
        <v>216.46</v>
      </c>
      <c r="F68" s="53" t="n">
        <v>745.76</v>
      </c>
      <c r="G68" s="51" t="n">
        <v>9</v>
      </c>
      <c r="H68" s="51" t="n">
        <v>9</v>
      </c>
      <c r="I68" s="51"/>
    </row>
    <row r="69" customFormat="false" ht="15" hidden="false" customHeight="false" outlineLevel="0" collapsed="false">
      <c r="A69" s="51" t="s">
        <v>38</v>
      </c>
      <c r="B69" s="51" t="n">
        <v>59</v>
      </c>
      <c r="C69" s="51" t="s">
        <v>1377</v>
      </c>
      <c r="D69" s="52" t="n">
        <v>45950</v>
      </c>
      <c r="E69" s="53" t="n">
        <v>179.06</v>
      </c>
      <c r="F69" s="53" t="n">
        <v>611.92</v>
      </c>
      <c r="G69" s="51" t="n">
        <v>8</v>
      </c>
      <c r="H69" s="51" t="n">
        <v>8</v>
      </c>
      <c r="I69" s="51"/>
    </row>
    <row r="70" customFormat="false" ht="15" hidden="false" customHeight="false" outlineLevel="0" collapsed="false">
      <c r="A70" s="51" t="s">
        <v>38</v>
      </c>
      <c r="B70" s="51" t="n">
        <v>59</v>
      </c>
      <c r="C70" s="51" t="s">
        <v>1377</v>
      </c>
      <c r="D70" s="52" t="n">
        <v>45951</v>
      </c>
      <c r="E70" s="53" t="n">
        <v>172.77</v>
      </c>
      <c r="F70" s="53" t="n">
        <v>787.84</v>
      </c>
      <c r="G70" s="51" t="n">
        <v>10</v>
      </c>
      <c r="H70" s="51" t="n">
        <v>11</v>
      </c>
      <c r="I70" s="51" t="s">
        <v>1386</v>
      </c>
    </row>
    <row r="71" customFormat="false" ht="15" hidden="false" customHeight="false" outlineLevel="0" collapsed="false">
      <c r="A71" s="51" t="s">
        <v>38</v>
      </c>
      <c r="B71" s="51" t="n">
        <v>59</v>
      </c>
      <c r="C71" s="51" t="s">
        <v>1377</v>
      </c>
      <c r="D71" s="52" t="n">
        <v>45952</v>
      </c>
      <c r="E71" s="53" t="n">
        <v>159.11</v>
      </c>
      <c r="F71" s="53" t="n">
        <v>466.94</v>
      </c>
      <c r="G71" s="51" t="n">
        <v>6</v>
      </c>
      <c r="H71" s="51" t="n">
        <v>6</v>
      </c>
      <c r="I71" s="51" t="s">
        <v>1386</v>
      </c>
    </row>
    <row r="72" customFormat="false" ht="15" hidden="false" customHeight="false" outlineLevel="0" collapsed="false">
      <c r="A72" s="51" t="s">
        <v>38</v>
      </c>
      <c r="B72" s="51" t="n">
        <v>59</v>
      </c>
      <c r="C72" s="51" t="s">
        <v>1377</v>
      </c>
      <c r="D72" s="52" t="n">
        <v>45953</v>
      </c>
      <c r="E72" s="53" t="n">
        <v>163.41</v>
      </c>
      <c r="F72" s="53" t="n">
        <v>722.71</v>
      </c>
      <c r="G72" s="51" t="n">
        <v>9</v>
      </c>
      <c r="H72" s="51" t="n">
        <v>9</v>
      </c>
      <c r="I72" s="51" t="s">
        <v>1386</v>
      </c>
    </row>
    <row r="73" customFormat="false" ht="15" hidden="false" customHeight="false" outlineLevel="0" collapsed="false">
      <c r="A73" s="51" t="s">
        <v>38</v>
      </c>
      <c r="B73" s="51" t="n">
        <v>59</v>
      </c>
      <c r="C73" s="51" t="s">
        <v>1377</v>
      </c>
      <c r="D73" s="52" t="n">
        <v>45954</v>
      </c>
      <c r="E73" s="53" t="n">
        <v>165.12</v>
      </c>
      <c r="F73" s="53" t="n">
        <v>742.07</v>
      </c>
      <c r="G73" s="51" t="n">
        <v>10</v>
      </c>
      <c r="H73" s="51" t="n">
        <v>10</v>
      </c>
      <c r="I73" s="51" t="s">
        <v>1386</v>
      </c>
    </row>
    <row r="74" customFormat="false" ht="15" hidden="false" customHeight="false" outlineLevel="0" collapsed="false">
      <c r="A74" s="51" t="s">
        <v>38</v>
      </c>
      <c r="B74" s="51" t="n">
        <v>59</v>
      </c>
      <c r="C74" s="51" t="s">
        <v>1377</v>
      </c>
      <c r="D74" s="52" t="n">
        <v>45955</v>
      </c>
      <c r="E74" s="53" t="n">
        <v>200.21</v>
      </c>
      <c r="F74" s="53" t="n">
        <v>1344.67</v>
      </c>
      <c r="G74" s="51" t="n">
        <v>17</v>
      </c>
      <c r="H74" s="51" t="n">
        <v>18</v>
      </c>
      <c r="I74" s="51" t="s">
        <v>1386</v>
      </c>
    </row>
    <row r="75" customFormat="false" ht="15" hidden="false" customHeight="false" outlineLevel="0" collapsed="false">
      <c r="A75" s="51" t="s">
        <v>38</v>
      </c>
      <c r="B75" s="51" t="n">
        <v>59</v>
      </c>
      <c r="C75" s="51" t="s">
        <v>1377</v>
      </c>
      <c r="D75" s="52" t="n">
        <v>45956</v>
      </c>
      <c r="E75" s="53" t="n">
        <v>216.01</v>
      </c>
      <c r="F75" s="53" t="n">
        <v>1661.8</v>
      </c>
      <c r="G75" s="51" t="n">
        <v>20</v>
      </c>
      <c r="H75" s="51" t="n">
        <v>20</v>
      </c>
      <c r="I75" s="51" t="s">
        <v>1386</v>
      </c>
    </row>
    <row r="76" customFormat="false" ht="15" hidden="false" customHeight="false" outlineLevel="0" collapsed="false">
      <c r="A76" s="51" t="s">
        <v>38</v>
      </c>
      <c r="B76" s="51" t="n">
        <v>59</v>
      </c>
      <c r="C76" s="51" t="s">
        <v>1377</v>
      </c>
      <c r="D76" s="52" t="n">
        <v>45957</v>
      </c>
      <c r="E76" s="53" t="n">
        <v>205.21</v>
      </c>
      <c r="F76" s="53" t="n">
        <v>1060.78</v>
      </c>
      <c r="G76" s="51" t="n">
        <v>13</v>
      </c>
      <c r="H76" s="51" t="n">
        <v>13</v>
      </c>
      <c r="I76" s="51" t="s">
        <v>1386</v>
      </c>
    </row>
    <row r="77" customFormat="false" ht="15" hidden="false" customHeight="false" outlineLevel="0" collapsed="false">
      <c r="A77" s="51" t="s">
        <v>38</v>
      </c>
      <c r="B77" s="51" t="n">
        <v>59</v>
      </c>
      <c r="C77" s="51" t="s">
        <v>1377</v>
      </c>
      <c r="D77" s="52" t="n">
        <v>45958</v>
      </c>
      <c r="E77" s="53" t="n">
        <v>279.12</v>
      </c>
      <c r="F77" s="53" t="n">
        <v>1943.68</v>
      </c>
      <c r="G77" s="51" t="n">
        <v>22</v>
      </c>
      <c r="H77" s="51" t="n">
        <v>23</v>
      </c>
      <c r="I77" s="51" t="s">
        <v>1386</v>
      </c>
    </row>
    <row r="78" customFormat="false" ht="15" hidden="false" customHeight="false" outlineLevel="0" collapsed="false">
      <c r="A78" s="51" t="s">
        <v>38</v>
      </c>
      <c r="B78" s="51" t="n">
        <v>59</v>
      </c>
      <c r="C78" s="51" t="s">
        <v>1377</v>
      </c>
      <c r="D78" s="52" t="n">
        <v>45959</v>
      </c>
      <c r="E78" s="53" t="n">
        <v>173.95</v>
      </c>
      <c r="F78" s="53" t="n">
        <v>423.95</v>
      </c>
      <c r="G78" s="51" t="n">
        <v>5</v>
      </c>
      <c r="H78" s="51" t="n">
        <v>5</v>
      </c>
      <c r="I78" s="51" t="s">
        <v>1386</v>
      </c>
    </row>
    <row r="79" customFormat="false" ht="15" hidden="false" customHeight="false" outlineLevel="0" collapsed="false">
      <c r="A79" s="51" t="s">
        <v>38</v>
      </c>
      <c r="B79" s="51" t="n">
        <v>59</v>
      </c>
      <c r="C79" s="51" t="s">
        <v>1377</v>
      </c>
      <c r="D79" s="52" t="n">
        <v>45960</v>
      </c>
      <c r="E79" s="53" t="n">
        <v>187.06</v>
      </c>
      <c r="F79" s="53" t="n">
        <v>1251.86</v>
      </c>
      <c r="G79" s="51" t="n">
        <v>13</v>
      </c>
      <c r="H79" s="51" t="n">
        <v>14</v>
      </c>
      <c r="I79" s="51" t="s">
        <v>1386</v>
      </c>
    </row>
    <row r="80" customFormat="false" ht="15" hidden="false" customHeight="false" outlineLevel="0" collapsed="false">
      <c r="A80" s="51" t="s">
        <v>38</v>
      </c>
      <c r="B80" s="51" t="n">
        <v>59</v>
      </c>
      <c r="C80" s="51" t="s">
        <v>1377</v>
      </c>
      <c r="D80" s="52" t="n">
        <v>45961</v>
      </c>
      <c r="E80" s="53" t="n">
        <v>183.98</v>
      </c>
      <c r="F80" s="53" t="n">
        <v>1493.83</v>
      </c>
      <c r="G80" s="51" t="n">
        <v>16</v>
      </c>
      <c r="H80" s="51" t="n">
        <v>17</v>
      </c>
      <c r="I80" s="51" t="s">
        <v>1386</v>
      </c>
    </row>
    <row r="81" customFormat="false" ht="15" hidden="false" customHeight="false" outlineLevel="0" collapsed="false">
      <c r="A81" s="51" t="s">
        <v>38</v>
      </c>
      <c r="B81" s="51" t="n">
        <v>59</v>
      </c>
      <c r="C81" s="51" t="s">
        <v>1377</v>
      </c>
      <c r="D81" s="52" t="n">
        <v>45962</v>
      </c>
      <c r="E81" s="53" t="n">
        <v>239.33</v>
      </c>
      <c r="F81" s="53" t="n">
        <v>1181.77</v>
      </c>
      <c r="G81" s="51" t="n">
        <v>13</v>
      </c>
      <c r="H81" s="51" t="n">
        <v>14</v>
      </c>
      <c r="I81" s="51" t="s">
        <v>1386</v>
      </c>
    </row>
    <row r="82" customFormat="false" ht="15" hidden="false" customHeight="false" outlineLevel="0" collapsed="false">
      <c r="A82" s="51" t="s">
        <v>38</v>
      </c>
      <c r="B82" s="51" t="n">
        <v>59</v>
      </c>
      <c r="C82" s="51" t="s">
        <v>1377</v>
      </c>
      <c r="D82" s="52" t="n">
        <v>45963</v>
      </c>
      <c r="E82" s="53" t="n">
        <v>395.88</v>
      </c>
      <c r="F82" s="53" t="n">
        <v>2365.73</v>
      </c>
      <c r="G82" s="51" t="n">
        <v>27</v>
      </c>
      <c r="H82" s="51" t="n">
        <v>27</v>
      </c>
      <c r="I82" s="51" t="s">
        <v>1386</v>
      </c>
    </row>
    <row r="83" customFormat="false" ht="15" hidden="false" customHeight="false" outlineLevel="0" collapsed="false">
      <c r="A83" s="51" t="s">
        <v>38</v>
      </c>
      <c r="B83" s="51" t="n">
        <v>59</v>
      </c>
      <c r="C83" s="51" t="s">
        <v>1377</v>
      </c>
      <c r="D83" s="52" t="n">
        <v>45964</v>
      </c>
      <c r="E83" s="53" t="n">
        <v>238.76</v>
      </c>
      <c r="F83" s="53" t="n">
        <v>1139.87</v>
      </c>
      <c r="G83" s="51" t="n">
        <v>13</v>
      </c>
      <c r="H83" s="51" t="n">
        <v>13</v>
      </c>
      <c r="I83" s="51" t="s">
        <v>1386</v>
      </c>
    </row>
    <row r="84" customFormat="false" ht="15" hidden="false" customHeight="false" outlineLevel="0" collapsed="false">
      <c r="A84" s="51" t="s">
        <v>38</v>
      </c>
      <c r="B84" s="51" t="n">
        <v>59</v>
      </c>
      <c r="C84" s="51" t="s">
        <v>1377</v>
      </c>
      <c r="D84" s="52" t="n">
        <v>45965</v>
      </c>
      <c r="E84" s="53" t="n">
        <v>229.97</v>
      </c>
      <c r="F84" s="53" t="n">
        <v>821.81</v>
      </c>
      <c r="G84" s="51" t="n">
        <v>10</v>
      </c>
      <c r="H84" s="51" t="n">
        <v>10</v>
      </c>
      <c r="I84" s="51" t="s">
        <v>1386</v>
      </c>
    </row>
    <row r="85" customFormat="false" ht="15" hidden="false" customHeight="false" outlineLevel="0" collapsed="false">
      <c r="A85" s="51" t="s">
        <v>38</v>
      </c>
      <c r="B85" s="51" t="n">
        <v>59</v>
      </c>
      <c r="C85" s="51" t="s">
        <v>1377</v>
      </c>
      <c r="D85" s="52" t="n">
        <v>45966</v>
      </c>
      <c r="E85" s="53" t="n">
        <v>240.92</v>
      </c>
      <c r="F85" s="53" t="n">
        <v>988.8</v>
      </c>
      <c r="G85" s="51" t="n">
        <v>11</v>
      </c>
      <c r="H85" s="51" t="n">
        <v>11</v>
      </c>
      <c r="I85" s="51" t="s">
        <v>1386</v>
      </c>
    </row>
    <row r="86" customFormat="false" ht="15" hidden="false" customHeight="false" outlineLevel="0" collapsed="false">
      <c r="A86" s="51" t="s">
        <v>38</v>
      </c>
      <c r="B86" s="51" t="n">
        <v>59</v>
      </c>
      <c r="C86" s="51" t="s">
        <v>1377</v>
      </c>
      <c r="D86" s="52" t="n">
        <v>45967</v>
      </c>
      <c r="E86" s="53" t="n">
        <v>154.91</v>
      </c>
      <c r="F86" s="53" t="n">
        <v>1111.78</v>
      </c>
      <c r="G86" s="51" t="n">
        <v>13</v>
      </c>
      <c r="H86" s="51" t="n">
        <v>13</v>
      </c>
      <c r="I86" s="51" t="s">
        <v>1386</v>
      </c>
    </row>
    <row r="87" customFormat="false" ht="15" hidden="false" customHeight="false" outlineLevel="0" collapsed="false">
      <c r="A87" s="51" t="s">
        <v>38</v>
      </c>
      <c r="B87" s="51" t="n">
        <v>59</v>
      </c>
      <c r="C87" s="51" t="s">
        <v>1377</v>
      </c>
      <c r="D87" s="52" t="n">
        <v>45968</v>
      </c>
      <c r="E87" s="53" t="n">
        <v>180.58</v>
      </c>
      <c r="F87" s="53" t="n">
        <v>389.96</v>
      </c>
      <c r="G87" s="51" t="n">
        <v>4</v>
      </c>
      <c r="H87" s="51" t="n">
        <v>4</v>
      </c>
      <c r="I87" s="51" t="s">
        <v>1386</v>
      </c>
    </row>
    <row r="88" customFormat="false" ht="15" hidden="false" customHeight="false" outlineLevel="0" collapsed="false">
      <c r="A88" s="51" t="s">
        <v>38</v>
      </c>
      <c r="B88" s="51" t="n">
        <v>59</v>
      </c>
      <c r="C88" s="51" t="s">
        <v>1377</v>
      </c>
      <c r="D88" s="52" t="n">
        <v>45969</v>
      </c>
      <c r="E88" s="53" t="n">
        <v>401.62</v>
      </c>
      <c r="F88" s="53" t="n">
        <v>2684.7</v>
      </c>
      <c r="G88" s="51" t="n">
        <v>29</v>
      </c>
      <c r="H88" s="51" t="n">
        <v>30</v>
      </c>
      <c r="I88" s="51" t="s">
        <v>1386</v>
      </c>
    </row>
    <row r="89" customFormat="false" ht="15" hidden="false" customHeight="false" outlineLevel="0" collapsed="false">
      <c r="A89" s="51" t="s">
        <v>38</v>
      </c>
      <c r="B89" s="51" t="n">
        <v>59</v>
      </c>
      <c r="C89" s="51" t="s">
        <v>1377</v>
      </c>
      <c r="D89" s="52" t="n">
        <v>45970</v>
      </c>
      <c r="E89" s="53" t="n">
        <v>235.17</v>
      </c>
      <c r="F89" s="53" t="n">
        <v>1088.83</v>
      </c>
      <c r="G89" s="51" t="n">
        <v>13</v>
      </c>
      <c r="H89" s="51" t="n">
        <v>13</v>
      </c>
      <c r="I89" s="51" t="s">
        <v>1386</v>
      </c>
    </row>
    <row r="90" customFormat="false" ht="15" hidden="false" customHeight="false" outlineLevel="0" collapsed="false">
      <c r="A90" s="51" t="s">
        <v>38</v>
      </c>
      <c r="B90" s="51" t="n">
        <v>59</v>
      </c>
      <c r="C90" s="51" t="s">
        <v>1377</v>
      </c>
      <c r="D90" s="52" t="n">
        <v>45971</v>
      </c>
      <c r="E90" s="53" t="n">
        <v>228.22</v>
      </c>
      <c r="F90" s="53" t="n">
        <v>724.92</v>
      </c>
      <c r="G90" s="51" t="n">
        <v>8</v>
      </c>
      <c r="H90" s="51" t="n">
        <v>8</v>
      </c>
      <c r="I90" s="51" t="s">
        <v>1386</v>
      </c>
    </row>
    <row r="91" customFormat="false" ht="15" hidden="false" customHeight="false" outlineLevel="0" collapsed="false">
      <c r="A91" s="51" t="s">
        <v>38</v>
      </c>
      <c r="B91" s="51" t="n">
        <v>59</v>
      </c>
      <c r="C91" s="51" t="s">
        <v>1377</v>
      </c>
      <c r="D91" s="52" t="n">
        <v>45972</v>
      </c>
      <c r="E91" s="53" t="n">
        <v>257.91</v>
      </c>
      <c r="F91" s="53" t="n">
        <v>974.89</v>
      </c>
      <c r="G91" s="51" t="n">
        <v>11</v>
      </c>
      <c r="H91" s="51" t="n">
        <v>11</v>
      </c>
      <c r="I91" s="51" t="s">
        <v>1386</v>
      </c>
    </row>
    <row r="92" customFormat="false" ht="15" hidden="false" customHeight="false" outlineLevel="0" collapsed="false">
      <c r="A92" s="51" t="s">
        <v>38</v>
      </c>
      <c r="B92" s="51" t="n">
        <v>59</v>
      </c>
      <c r="C92" s="51" t="s">
        <v>1377</v>
      </c>
      <c r="D92" s="52" t="n">
        <v>45973</v>
      </c>
      <c r="E92" s="53" t="n">
        <v>253.34</v>
      </c>
      <c r="F92" s="53" t="n">
        <v>929.89</v>
      </c>
      <c r="G92" s="51" t="n">
        <v>11</v>
      </c>
      <c r="H92" s="51" t="n">
        <v>11</v>
      </c>
      <c r="I92" s="51" t="s">
        <v>1386</v>
      </c>
    </row>
    <row r="93" customFormat="false" ht="15" hidden="false" customHeight="false" outlineLevel="0" collapsed="false">
      <c r="A93" s="51" t="s">
        <v>38</v>
      </c>
      <c r="B93" s="51" t="n">
        <v>59</v>
      </c>
      <c r="C93" s="51" t="s">
        <v>1377</v>
      </c>
      <c r="D93" s="52" t="n">
        <v>45974</v>
      </c>
      <c r="E93" s="53" t="n">
        <v>197.38</v>
      </c>
      <c r="F93" s="53" t="n">
        <v>684.92</v>
      </c>
      <c r="G93" s="51" t="n">
        <v>8</v>
      </c>
      <c r="H93" s="51" t="n">
        <v>8</v>
      </c>
      <c r="I93" s="51" t="s">
        <v>1386</v>
      </c>
    </row>
    <row r="94" customFormat="false" ht="15" hidden="false" customHeight="false" outlineLevel="0" collapsed="false">
      <c r="A94" s="51" t="s">
        <v>38</v>
      </c>
      <c r="B94" s="51" t="n">
        <v>59</v>
      </c>
      <c r="C94" s="51" t="s">
        <v>1377</v>
      </c>
      <c r="D94" s="52" t="n">
        <v>45975</v>
      </c>
      <c r="E94" s="53" t="n">
        <v>202.47</v>
      </c>
      <c r="F94" s="53" t="n">
        <v>399.95</v>
      </c>
      <c r="G94" s="51" t="n">
        <v>5</v>
      </c>
      <c r="H94" s="51" t="n">
        <v>5</v>
      </c>
      <c r="I94" s="51" t="s">
        <v>1386</v>
      </c>
    </row>
    <row r="95" customFormat="false" ht="15" hidden="false" customHeight="false" outlineLevel="0" collapsed="false">
      <c r="A95" s="51" t="s">
        <v>38</v>
      </c>
      <c r="B95" s="51" t="n">
        <v>59</v>
      </c>
      <c r="C95" s="51" t="s">
        <v>1377</v>
      </c>
      <c r="D95" s="52" t="n">
        <v>45976</v>
      </c>
      <c r="E95" s="53" t="n">
        <v>279.14</v>
      </c>
      <c r="F95" s="53" t="n">
        <v>2273.49</v>
      </c>
      <c r="G95" s="51" t="n">
        <v>26</v>
      </c>
      <c r="H95" s="51" t="n">
        <v>26</v>
      </c>
      <c r="I95" s="51" t="s">
        <v>1386</v>
      </c>
    </row>
    <row r="96" customFormat="false" ht="15" hidden="false" customHeight="false" outlineLevel="0" collapsed="false">
      <c r="A96" s="51" t="s">
        <v>38</v>
      </c>
      <c r="B96" s="51" t="n">
        <v>59</v>
      </c>
      <c r="C96" s="51" t="s">
        <v>1377</v>
      </c>
      <c r="D96" s="52" t="n">
        <v>45977</v>
      </c>
      <c r="E96" s="53" t="n">
        <v>281.26</v>
      </c>
      <c r="F96" s="53" t="n">
        <v>1284.85</v>
      </c>
      <c r="G96" s="51" t="n">
        <v>14</v>
      </c>
      <c r="H96" s="51" t="n">
        <v>15</v>
      </c>
      <c r="I96" s="51" t="s">
        <v>1386</v>
      </c>
    </row>
    <row r="97" customFormat="false" ht="15" hidden="false" customHeight="false" outlineLevel="0" collapsed="false">
      <c r="A97" s="51" t="s">
        <v>38</v>
      </c>
      <c r="B97" s="51" t="n">
        <v>59</v>
      </c>
      <c r="C97" s="51" t="s">
        <v>1377</v>
      </c>
      <c r="D97" s="52" t="n">
        <v>45978</v>
      </c>
      <c r="E97" s="53" t="n">
        <v>214.89</v>
      </c>
      <c r="F97" s="53" t="n">
        <v>922.89</v>
      </c>
      <c r="G97" s="51" t="n">
        <v>10</v>
      </c>
      <c r="H97" s="51" t="n">
        <v>11</v>
      </c>
      <c r="I97" s="51" t="s">
        <v>1386</v>
      </c>
    </row>
    <row r="98" customFormat="false" ht="15" hidden="false" customHeight="false" outlineLevel="0" collapsed="false">
      <c r="A98" s="51" t="s">
        <v>38</v>
      </c>
      <c r="B98" s="51" t="n">
        <v>59</v>
      </c>
      <c r="C98" s="51" t="s">
        <v>1377</v>
      </c>
      <c r="D98" s="52" t="n">
        <v>45979</v>
      </c>
      <c r="E98" s="53" t="n">
        <v>240.03</v>
      </c>
      <c r="F98" s="53" t="n">
        <v>1170.86</v>
      </c>
      <c r="G98" s="51" t="n">
        <v>12</v>
      </c>
      <c r="H98" s="51" t="n">
        <v>14</v>
      </c>
      <c r="I98" s="51" t="s">
        <v>1386</v>
      </c>
    </row>
    <row r="99" customFormat="false" ht="15" hidden="false" customHeight="false" outlineLevel="0" collapsed="false">
      <c r="A99" s="51" t="s">
        <v>38</v>
      </c>
      <c r="B99" s="51" t="n">
        <v>59</v>
      </c>
      <c r="C99" s="51" t="s">
        <v>1377</v>
      </c>
      <c r="D99" s="52" t="n">
        <v>45980</v>
      </c>
      <c r="E99" s="53" t="n">
        <v>242.82</v>
      </c>
      <c r="F99" s="53" t="n">
        <v>969.88</v>
      </c>
      <c r="G99" s="51" t="n">
        <v>12</v>
      </c>
      <c r="H99" s="51" t="n">
        <v>12</v>
      </c>
      <c r="I99" s="51" t="s">
        <v>1386</v>
      </c>
    </row>
    <row r="100" customFormat="false" ht="15" hidden="false" customHeight="false" outlineLevel="0" collapsed="false">
      <c r="A100" s="51" t="s">
        <v>38</v>
      </c>
      <c r="B100" s="51" t="n">
        <v>59</v>
      </c>
      <c r="C100" s="51" t="s">
        <v>1377</v>
      </c>
      <c r="D100" s="52" t="n">
        <v>45981</v>
      </c>
      <c r="E100" s="53" t="n">
        <v>721.62</v>
      </c>
      <c r="F100" s="53" t="n">
        <v>2850.93</v>
      </c>
      <c r="G100" s="51" t="n">
        <v>42</v>
      </c>
      <c r="H100" s="51" t="n">
        <v>42</v>
      </c>
      <c r="I100" s="51" t="s">
        <v>1387</v>
      </c>
    </row>
    <row r="101" customFormat="false" ht="15" hidden="false" customHeight="false" outlineLevel="0" collapsed="false">
      <c r="A101" s="51" t="s">
        <v>38</v>
      </c>
      <c r="B101" s="51" t="n">
        <v>59</v>
      </c>
      <c r="C101" s="51" t="s">
        <v>1377</v>
      </c>
      <c r="D101" s="52" t="n">
        <v>45982</v>
      </c>
      <c r="E101" s="53" t="n">
        <v>721.72</v>
      </c>
      <c r="F101" s="53" t="n">
        <v>4444.06</v>
      </c>
      <c r="G101" s="51" t="n">
        <v>63</v>
      </c>
      <c r="H101" s="51" t="n">
        <v>64</v>
      </c>
      <c r="I101" s="51" t="s">
        <v>1387</v>
      </c>
    </row>
    <row r="102" customFormat="false" ht="15" hidden="false" customHeight="false" outlineLevel="0" collapsed="false">
      <c r="A102" s="51" t="s">
        <v>38</v>
      </c>
      <c r="B102" s="51" t="n">
        <v>59</v>
      </c>
      <c r="C102" s="51" t="s">
        <v>1377</v>
      </c>
      <c r="D102" s="52" t="n">
        <v>45983</v>
      </c>
      <c r="E102" s="53" t="n">
        <v>558.87</v>
      </c>
      <c r="F102" s="53" t="n">
        <v>3348.34</v>
      </c>
      <c r="G102" s="51" t="n">
        <v>45</v>
      </c>
      <c r="H102" s="51" t="n">
        <v>46</v>
      </c>
      <c r="I102" s="51" t="s">
        <v>1387</v>
      </c>
    </row>
    <row r="103" customFormat="false" ht="15" hidden="false" customHeight="false" outlineLevel="0" collapsed="false">
      <c r="A103" s="51" t="s">
        <v>38</v>
      </c>
      <c r="B103" s="51" t="n">
        <v>59</v>
      </c>
      <c r="C103" s="51" t="s">
        <v>1377</v>
      </c>
      <c r="D103" s="52" t="n">
        <v>45984</v>
      </c>
      <c r="E103" s="53" t="n">
        <v>552.26</v>
      </c>
      <c r="F103" s="53" t="n">
        <v>2466.13</v>
      </c>
      <c r="G103" s="51" t="n">
        <v>36</v>
      </c>
      <c r="H103" s="51" t="n">
        <v>37</v>
      </c>
      <c r="I103" s="51" t="s">
        <v>1387</v>
      </c>
    </row>
    <row r="104" customFormat="false" ht="15" hidden="false" customHeight="false" outlineLevel="0" collapsed="false">
      <c r="A104" s="51" t="s">
        <v>38</v>
      </c>
      <c r="B104" s="51" t="n">
        <v>59</v>
      </c>
      <c r="C104" s="51" t="s">
        <v>1377</v>
      </c>
      <c r="D104" s="52" t="n">
        <v>45985</v>
      </c>
      <c r="E104" s="53" t="n">
        <v>636.19</v>
      </c>
      <c r="F104" s="53" t="n">
        <v>3073.89</v>
      </c>
      <c r="G104" s="51" t="n">
        <v>41</v>
      </c>
      <c r="H104" s="51" t="n">
        <v>41</v>
      </c>
      <c r="I104" s="51" t="s">
        <v>1387</v>
      </c>
    </row>
    <row r="105" customFormat="false" ht="15" hidden="false" customHeight="false" outlineLevel="0" collapsed="false">
      <c r="A105" s="51" t="s">
        <v>38</v>
      </c>
      <c r="B105" s="51" t="n">
        <v>59</v>
      </c>
      <c r="C105" s="51" t="s">
        <v>1377</v>
      </c>
      <c r="D105" s="52" t="n">
        <v>45986</v>
      </c>
      <c r="E105" s="53" t="n">
        <v>554.38</v>
      </c>
      <c r="F105" s="53" t="n">
        <v>2705.42</v>
      </c>
      <c r="G105" s="51" t="n">
        <v>39</v>
      </c>
      <c r="H105" s="51" t="n">
        <v>39</v>
      </c>
      <c r="I105" s="51" t="s">
        <v>1387</v>
      </c>
    </row>
    <row r="106" customFormat="false" ht="15" hidden="false" customHeight="false" outlineLevel="0" collapsed="false">
      <c r="A106" s="51" t="s">
        <v>38</v>
      </c>
      <c r="B106" s="51" t="n">
        <v>59</v>
      </c>
      <c r="C106" s="51" t="s">
        <v>1377</v>
      </c>
      <c r="D106" s="52" t="n">
        <v>45987</v>
      </c>
      <c r="E106" s="53" t="n">
        <v>736.1</v>
      </c>
      <c r="F106" s="53" t="n">
        <v>3987.91</v>
      </c>
      <c r="G106" s="51" t="n">
        <v>54</v>
      </c>
      <c r="H106" s="51" t="n">
        <v>55</v>
      </c>
      <c r="I106" s="51" t="s">
        <v>1387</v>
      </c>
    </row>
    <row r="107" customFormat="false" ht="15" hidden="false" customHeight="false" outlineLevel="0" collapsed="false">
      <c r="A107" s="51" t="s">
        <v>38</v>
      </c>
      <c r="B107" s="51" t="n">
        <v>59</v>
      </c>
      <c r="C107" s="51" t="s">
        <v>1377</v>
      </c>
      <c r="D107" s="52" t="n">
        <v>45988</v>
      </c>
      <c r="E107" s="53" t="n">
        <v>420.93</v>
      </c>
      <c r="F107" s="53" t="n">
        <v>3389.18</v>
      </c>
      <c r="G107" s="51" t="n">
        <v>45</v>
      </c>
      <c r="H107" s="51" t="n">
        <v>49</v>
      </c>
      <c r="I107" s="51" t="s">
        <v>1387</v>
      </c>
    </row>
    <row r="108" customFormat="false" ht="15" hidden="false" customHeight="false" outlineLevel="0" collapsed="false">
      <c r="A108" s="51" t="s">
        <v>38</v>
      </c>
      <c r="B108" s="51" t="n">
        <v>59</v>
      </c>
      <c r="C108" s="51" t="s">
        <v>1377</v>
      </c>
      <c r="D108" s="52" t="n">
        <v>45989</v>
      </c>
      <c r="E108" s="53" t="n">
        <v>762.15</v>
      </c>
      <c r="F108" s="53" t="n">
        <v>5651.07</v>
      </c>
      <c r="G108" s="51" t="n">
        <v>79</v>
      </c>
      <c r="H108" s="51" t="n">
        <v>79</v>
      </c>
      <c r="I108" s="51" t="s">
        <v>1387</v>
      </c>
    </row>
    <row r="109" customFormat="false" ht="15" hidden="false" customHeight="false" outlineLevel="0" collapsed="false">
      <c r="A109" s="51" t="s">
        <v>38</v>
      </c>
      <c r="B109" s="51" t="n">
        <v>59</v>
      </c>
      <c r="C109" s="51" t="s">
        <v>1377</v>
      </c>
      <c r="D109" s="52" t="n">
        <v>45990</v>
      </c>
      <c r="E109" s="53" t="n">
        <v>658.45</v>
      </c>
      <c r="F109" s="53" t="n">
        <v>3243.4</v>
      </c>
      <c r="G109" s="51" t="n">
        <v>43</v>
      </c>
      <c r="H109" s="51" t="n">
        <v>45</v>
      </c>
      <c r="I109" s="51" t="s">
        <v>1387</v>
      </c>
    </row>
    <row r="110" customFormat="false" ht="15" hidden="false" customHeight="false" outlineLevel="0" collapsed="false">
      <c r="A110" s="51" t="s">
        <v>38</v>
      </c>
      <c r="B110" s="51" t="n">
        <v>59</v>
      </c>
      <c r="C110" s="51" t="s">
        <v>1377</v>
      </c>
      <c r="D110" s="52" t="n">
        <v>45991</v>
      </c>
      <c r="E110" s="53" t="n">
        <v>568.12</v>
      </c>
      <c r="F110" s="53" t="n">
        <v>4535.8</v>
      </c>
      <c r="G110" s="51" t="n">
        <v>63</v>
      </c>
      <c r="H110" s="51" t="n">
        <v>65</v>
      </c>
      <c r="I110" s="51" t="s">
        <v>1387</v>
      </c>
    </row>
    <row r="111" customFormat="false" ht="15" hidden="false" customHeight="false" outlineLevel="0" collapsed="false">
      <c r="A111" s="51" t="s">
        <v>38</v>
      </c>
      <c r="B111" s="51" t="n">
        <v>59</v>
      </c>
      <c r="C111" s="51" t="s">
        <v>1377</v>
      </c>
      <c r="D111" s="52" t="n">
        <v>45992</v>
      </c>
      <c r="E111" s="53" t="n">
        <v>742.7</v>
      </c>
      <c r="F111" s="53" t="n">
        <v>4973.02</v>
      </c>
      <c r="G111" s="51" t="n">
        <v>67</v>
      </c>
      <c r="H111" s="51" t="n">
        <v>69</v>
      </c>
      <c r="I111" s="51" t="s">
        <v>1387</v>
      </c>
    </row>
    <row r="112" customFormat="false" ht="15" hidden="false" customHeight="false" outlineLevel="0" collapsed="false">
      <c r="A112" s="51" t="s">
        <v>38</v>
      </c>
      <c r="B112" s="51" t="n">
        <v>59</v>
      </c>
      <c r="C112" s="51" t="s">
        <v>1377</v>
      </c>
      <c r="D112" s="52" t="n">
        <v>45993</v>
      </c>
      <c r="E112" s="53" t="n">
        <v>395.87</v>
      </c>
      <c r="F112" s="53" t="n">
        <v>1693.8</v>
      </c>
      <c r="G112" s="51" t="n">
        <v>20</v>
      </c>
      <c r="H112" s="51" t="n">
        <v>20</v>
      </c>
      <c r="I112" s="51"/>
    </row>
    <row r="113" customFormat="false" ht="15" hidden="false" customHeight="false" outlineLevel="0" collapsed="false">
      <c r="A113" s="51" t="s">
        <v>38</v>
      </c>
      <c r="B113" s="51" t="n">
        <v>59</v>
      </c>
      <c r="C113" s="51" t="s">
        <v>1377</v>
      </c>
      <c r="D113" s="52" t="n">
        <v>45994</v>
      </c>
      <c r="E113" s="53" t="n">
        <v>339.48</v>
      </c>
      <c r="F113" s="53" t="n">
        <v>2524.71</v>
      </c>
      <c r="G113" s="51" t="n">
        <v>29</v>
      </c>
      <c r="H113" s="51" t="n">
        <v>29</v>
      </c>
      <c r="I113" s="51"/>
    </row>
    <row r="114" customFormat="false" ht="15" hidden="false" customHeight="false" outlineLevel="0" collapsed="false">
      <c r="A114" s="51" t="s">
        <v>38</v>
      </c>
      <c r="B114" s="51" t="n">
        <v>59</v>
      </c>
      <c r="C114" s="51" t="s">
        <v>1377</v>
      </c>
      <c r="D114" s="52" t="n">
        <v>45995</v>
      </c>
      <c r="E114" s="53" t="n">
        <v>317.28</v>
      </c>
      <c r="F114" s="53" t="n">
        <v>1619.8</v>
      </c>
      <c r="G114" s="51" t="n">
        <v>20</v>
      </c>
      <c r="H114" s="51" t="n">
        <v>20</v>
      </c>
      <c r="I114" s="51"/>
    </row>
    <row r="115" customFormat="false" ht="15" hidden="false" customHeight="false" outlineLevel="0" collapsed="false">
      <c r="A115" s="51" t="s">
        <v>38</v>
      </c>
      <c r="B115" s="51" t="n">
        <v>59</v>
      </c>
      <c r="C115" s="51" t="s">
        <v>1377</v>
      </c>
      <c r="D115" s="52" t="n">
        <v>45996</v>
      </c>
      <c r="E115" s="53" t="n">
        <v>330.07</v>
      </c>
      <c r="F115" s="53" t="n">
        <v>2559.7</v>
      </c>
      <c r="G115" s="51" t="n">
        <v>28</v>
      </c>
      <c r="H115" s="51" t="n">
        <v>30</v>
      </c>
      <c r="I115" s="51"/>
    </row>
    <row r="116" customFormat="false" ht="15" hidden="false" customHeight="false" outlineLevel="0" collapsed="false">
      <c r="A116" s="51" t="s">
        <v>38</v>
      </c>
      <c r="B116" s="51" t="n">
        <v>59</v>
      </c>
      <c r="C116" s="51" t="s">
        <v>1377</v>
      </c>
      <c r="D116" s="52" t="n">
        <v>45997</v>
      </c>
      <c r="E116" s="53" t="n">
        <v>372.22</v>
      </c>
      <c r="F116" s="53" t="n">
        <v>1859.78</v>
      </c>
      <c r="G116" s="51" t="n">
        <v>22</v>
      </c>
      <c r="H116" s="51" t="n">
        <v>22</v>
      </c>
      <c r="I116" s="51"/>
    </row>
    <row r="117" customFormat="false" ht="15" hidden="false" customHeight="false" outlineLevel="0" collapsed="false">
      <c r="A117" s="51" t="s">
        <v>38</v>
      </c>
      <c r="B117" s="51" t="n">
        <v>59</v>
      </c>
      <c r="C117" s="51" t="s">
        <v>1377</v>
      </c>
      <c r="D117" s="52" t="n">
        <v>45998</v>
      </c>
      <c r="E117" s="53" t="n">
        <v>419.49</v>
      </c>
      <c r="F117" s="53" t="n">
        <v>3214.62</v>
      </c>
      <c r="G117" s="51" t="n">
        <v>38</v>
      </c>
      <c r="H117" s="51" t="n">
        <v>38</v>
      </c>
      <c r="I117" s="51"/>
    </row>
    <row r="118" customFormat="false" ht="15" hidden="false" customHeight="false" outlineLevel="0" collapsed="false">
      <c r="A118" s="51" t="s">
        <v>38</v>
      </c>
      <c r="B118" s="51" t="n">
        <v>59</v>
      </c>
      <c r="C118" s="51" t="s">
        <v>1377</v>
      </c>
      <c r="D118" s="52" t="n">
        <v>45999</v>
      </c>
      <c r="E118" s="53" t="n">
        <v>344.66</v>
      </c>
      <c r="F118" s="53" t="n">
        <v>1988.76</v>
      </c>
      <c r="G118" s="51" t="n">
        <v>24</v>
      </c>
      <c r="H118" s="51" t="n">
        <v>24</v>
      </c>
      <c r="I118" s="51"/>
    </row>
    <row r="119" customFormat="false" ht="15" hidden="false" customHeight="false" outlineLevel="0" collapsed="false">
      <c r="A119" s="51" t="s">
        <v>38</v>
      </c>
      <c r="B119" s="51" t="n">
        <v>59</v>
      </c>
      <c r="C119" s="51" t="s">
        <v>1377</v>
      </c>
      <c r="D119" s="52" t="n">
        <v>46000</v>
      </c>
      <c r="E119" s="53" t="n">
        <v>374.34</v>
      </c>
      <c r="F119" s="53" t="n">
        <v>2503.71</v>
      </c>
      <c r="G119" s="51" t="n">
        <v>28</v>
      </c>
      <c r="H119" s="51" t="n">
        <v>29</v>
      </c>
      <c r="I119" s="51"/>
    </row>
    <row r="120" customFormat="false" ht="15" hidden="false" customHeight="false" outlineLevel="0" collapsed="false">
      <c r="A120" s="51" t="s">
        <v>38</v>
      </c>
      <c r="B120" s="51" t="n">
        <v>59</v>
      </c>
      <c r="C120" s="51" t="s">
        <v>1377</v>
      </c>
      <c r="D120" s="52" t="n">
        <v>46001</v>
      </c>
      <c r="E120" s="53" t="n">
        <v>332.99</v>
      </c>
      <c r="F120" s="53" t="n">
        <v>2669.69</v>
      </c>
      <c r="G120" s="51" t="n">
        <v>31</v>
      </c>
      <c r="H120" s="51" t="n">
        <v>31</v>
      </c>
      <c r="I120" s="51"/>
    </row>
    <row r="121" customFormat="false" ht="15" hidden="false" customHeight="false" outlineLevel="0" collapsed="false">
      <c r="A121" s="51" t="s">
        <v>38</v>
      </c>
      <c r="B121" s="51" t="n">
        <v>59</v>
      </c>
      <c r="C121" s="51" t="s">
        <v>1377</v>
      </c>
      <c r="D121" s="52" t="n">
        <v>46002</v>
      </c>
      <c r="E121" s="53" t="n">
        <v>454.25</v>
      </c>
      <c r="F121" s="53" t="n">
        <v>2909.66</v>
      </c>
      <c r="G121" s="51" t="n">
        <v>34</v>
      </c>
      <c r="H121" s="51" t="n">
        <v>34</v>
      </c>
      <c r="I121" s="51"/>
    </row>
    <row r="122" customFormat="false" ht="15" hidden="false" customHeight="false" outlineLevel="0" collapsed="false">
      <c r="A122" s="51" t="s">
        <v>38</v>
      </c>
      <c r="B122" s="51" t="n">
        <v>59</v>
      </c>
      <c r="C122" s="51" t="s">
        <v>1377</v>
      </c>
      <c r="D122" s="52" t="n">
        <v>46003</v>
      </c>
      <c r="E122" s="53" t="n">
        <v>415.01</v>
      </c>
      <c r="F122" s="53" t="n">
        <v>2384.73</v>
      </c>
      <c r="G122" s="51" t="n">
        <v>27</v>
      </c>
      <c r="H122" s="51" t="n">
        <v>27</v>
      </c>
      <c r="I122" s="51"/>
    </row>
    <row r="123" customFormat="false" ht="15" hidden="false" customHeight="false" outlineLevel="0" collapsed="false">
      <c r="A123" s="51" t="s">
        <v>38</v>
      </c>
      <c r="B123" s="51" t="n">
        <v>59</v>
      </c>
      <c r="C123" s="51" t="s">
        <v>1377</v>
      </c>
      <c r="D123" s="52" t="n">
        <v>46004</v>
      </c>
      <c r="E123" s="53" t="n">
        <v>431.29</v>
      </c>
      <c r="F123" s="53" t="n">
        <v>2624.69</v>
      </c>
      <c r="G123" s="51" t="n">
        <v>31</v>
      </c>
      <c r="H123" s="51" t="n">
        <v>31</v>
      </c>
      <c r="I123" s="51"/>
    </row>
    <row r="124" customFormat="false" ht="15" hidden="false" customHeight="false" outlineLevel="0" collapsed="false">
      <c r="A124" s="51" t="s">
        <v>38</v>
      </c>
      <c r="B124" s="51" t="n">
        <v>59</v>
      </c>
      <c r="C124" s="51" t="s">
        <v>1377</v>
      </c>
      <c r="D124" s="52" t="n">
        <v>46005</v>
      </c>
      <c r="E124" s="53" t="n">
        <v>460.79</v>
      </c>
      <c r="F124" s="53" t="n">
        <v>2909.67</v>
      </c>
      <c r="G124" s="51" t="n">
        <v>32</v>
      </c>
      <c r="H124" s="51" t="n">
        <v>33</v>
      </c>
      <c r="I124" s="51"/>
    </row>
    <row r="125" customFormat="false" ht="15" hidden="false" customHeight="false" outlineLevel="0" collapsed="false">
      <c r="A125" s="51" t="s">
        <v>38</v>
      </c>
      <c r="B125" s="51" t="n">
        <v>59</v>
      </c>
      <c r="C125" s="51" t="s">
        <v>1377</v>
      </c>
      <c r="D125" s="52" t="n">
        <v>46006</v>
      </c>
      <c r="E125" s="53" t="n">
        <v>441.45</v>
      </c>
      <c r="F125" s="53" t="n">
        <v>2380.71</v>
      </c>
      <c r="G125" s="51" t="n">
        <v>28</v>
      </c>
      <c r="H125" s="51" t="n">
        <v>29</v>
      </c>
      <c r="I125" s="51"/>
    </row>
    <row r="126" customFormat="false" ht="15" hidden="false" customHeight="false" outlineLevel="0" collapsed="false">
      <c r="A126" s="51" t="s">
        <v>49</v>
      </c>
      <c r="B126" s="51" t="n">
        <v>30</v>
      </c>
      <c r="C126" s="51" t="s">
        <v>314</v>
      </c>
      <c r="D126" s="52" t="n">
        <v>45945</v>
      </c>
      <c r="E126" s="53" t="n">
        <v>445.95</v>
      </c>
      <c r="F126" s="53" t="n">
        <v>1527.05</v>
      </c>
      <c r="G126" s="51" t="n">
        <v>21</v>
      </c>
      <c r="H126" s="51" t="n">
        <v>21</v>
      </c>
      <c r="I126" s="51"/>
    </row>
    <row r="127" customFormat="false" ht="15" hidden="false" customHeight="false" outlineLevel="0" collapsed="false">
      <c r="A127" s="51" t="s">
        <v>49</v>
      </c>
      <c r="B127" s="51" t="n">
        <v>30</v>
      </c>
      <c r="C127" s="51" t="s">
        <v>314</v>
      </c>
      <c r="D127" s="52" t="n">
        <v>45946</v>
      </c>
      <c r="E127" s="53" t="n">
        <v>363.97</v>
      </c>
      <c r="F127" s="53" t="n">
        <v>1982.73</v>
      </c>
      <c r="G127" s="51" t="n">
        <v>24</v>
      </c>
      <c r="H127" s="51" t="n">
        <v>27</v>
      </c>
      <c r="I127" s="51"/>
    </row>
    <row r="128" customFormat="false" ht="15" hidden="false" customHeight="false" outlineLevel="0" collapsed="false">
      <c r="A128" s="51" t="s">
        <v>49</v>
      </c>
      <c r="B128" s="51" t="n">
        <v>30</v>
      </c>
      <c r="C128" s="51" t="s">
        <v>314</v>
      </c>
      <c r="D128" s="52" t="n">
        <v>45947</v>
      </c>
      <c r="E128" s="53" t="n">
        <v>363.27</v>
      </c>
      <c r="F128" s="53" t="n">
        <v>1463.82</v>
      </c>
      <c r="G128" s="51" t="n">
        <v>18</v>
      </c>
      <c r="H128" s="51" t="n">
        <v>18</v>
      </c>
      <c r="I128" s="51"/>
    </row>
    <row r="129" customFormat="false" ht="15" hidden="false" customHeight="false" outlineLevel="0" collapsed="false">
      <c r="A129" s="51" t="s">
        <v>49</v>
      </c>
      <c r="B129" s="51" t="n">
        <v>30</v>
      </c>
      <c r="C129" s="51" t="s">
        <v>314</v>
      </c>
      <c r="D129" s="52" t="n">
        <v>45948</v>
      </c>
      <c r="E129" s="53" t="n">
        <v>434.35</v>
      </c>
      <c r="F129" s="53" t="n">
        <v>2279.71</v>
      </c>
      <c r="G129" s="51" t="n">
        <v>28</v>
      </c>
      <c r="H129" s="51" t="n">
        <v>29</v>
      </c>
      <c r="I129" s="51"/>
    </row>
    <row r="130" customFormat="false" ht="15" hidden="false" customHeight="false" outlineLevel="0" collapsed="false">
      <c r="A130" s="51" t="s">
        <v>49</v>
      </c>
      <c r="B130" s="51" t="n">
        <v>30</v>
      </c>
      <c r="C130" s="51" t="s">
        <v>314</v>
      </c>
      <c r="D130" s="52" t="n">
        <v>45949</v>
      </c>
      <c r="E130" s="53" t="n">
        <v>536.59</v>
      </c>
      <c r="F130" s="53" t="n">
        <v>2619.66</v>
      </c>
      <c r="G130" s="51" t="n">
        <v>34</v>
      </c>
      <c r="H130" s="51" t="n">
        <v>34</v>
      </c>
      <c r="I130" s="51"/>
    </row>
    <row r="131" customFormat="false" ht="15" hidden="false" customHeight="false" outlineLevel="0" collapsed="false">
      <c r="A131" s="51" t="s">
        <v>49</v>
      </c>
      <c r="B131" s="51" t="n">
        <v>30</v>
      </c>
      <c r="C131" s="51" t="s">
        <v>314</v>
      </c>
      <c r="D131" s="52" t="n">
        <v>45950</v>
      </c>
      <c r="E131" s="53" t="n">
        <v>388.47</v>
      </c>
      <c r="F131" s="53" t="n">
        <v>1524.8</v>
      </c>
      <c r="G131" s="51" t="n">
        <v>18</v>
      </c>
      <c r="H131" s="51" t="n">
        <v>20</v>
      </c>
      <c r="I131" s="51"/>
    </row>
    <row r="132" customFormat="false" ht="15" hidden="false" customHeight="false" outlineLevel="0" collapsed="false">
      <c r="A132" s="51" t="s">
        <v>49</v>
      </c>
      <c r="B132" s="51" t="n">
        <v>30</v>
      </c>
      <c r="C132" s="51" t="s">
        <v>314</v>
      </c>
      <c r="D132" s="52" t="n">
        <v>45951</v>
      </c>
      <c r="E132" s="53" t="n">
        <v>482.67</v>
      </c>
      <c r="F132" s="53" t="n">
        <v>2804.63</v>
      </c>
      <c r="G132" s="51" t="n">
        <v>37</v>
      </c>
      <c r="H132" s="51" t="n">
        <v>37</v>
      </c>
      <c r="I132" s="51" t="s">
        <v>1386</v>
      </c>
    </row>
    <row r="133" customFormat="false" ht="15" hidden="false" customHeight="false" outlineLevel="0" collapsed="false">
      <c r="A133" s="51" t="s">
        <v>49</v>
      </c>
      <c r="B133" s="51" t="n">
        <v>30</v>
      </c>
      <c r="C133" s="51" t="s">
        <v>314</v>
      </c>
      <c r="D133" s="52" t="n">
        <v>45952</v>
      </c>
      <c r="E133" s="53" t="n">
        <v>488.81</v>
      </c>
      <c r="F133" s="53" t="n">
        <v>1924.61</v>
      </c>
      <c r="G133" s="51" t="n">
        <v>28</v>
      </c>
      <c r="H133" s="51" t="n">
        <v>28</v>
      </c>
      <c r="I133" s="51" t="s">
        <v>1386</v>
      </c>
    </row>
    <row r="134" customFormat="false" ht="15" hidden="false" customHeight="false" outlineLevel="0" collapsed="false">
      <c r="A134" s="51" t="s">
        <v>49</v>
      </c>
      <c r="B134" s="51" t="n">
        <v>30</v>
      </c>
      <c r="C134" s="51" t="s">
        <v>314</v>
      </c>
      <c r="D134" s="52" t="n">
        <v>45953</v>
      </c>
      <c r="E134" s="53" t="n">
        <v>475.63</v>
      </c>
      <c r="F134" s="53" t="n">
        <v>1904.75</v>
      </c>
      <c r="G134" s="51" t="n">
        <v>24</v>
      </c>
      <c r="H134" s="51" t="n">
        <v>25</v>
      </c>
      <c r="I134" s="51" t="s">
        <v>1386</v>
      </c>
    </row>
    <row r="135" customFormat="false" ht="15" hidden="false" customHeight="false" outlineLevel="0" collapsed="false">
      <c r="A135" s="51" t="s">
        <v>49</v>
      </c>
      <c r="B135" s="51" t="n">
        <v>30</v>
      </c>
      <c r="C135" s="51" t="s">
        <v>314</v>
      </c>
      <c r="D135" s="52" t="n">
        <v>45954</v>
      </c>
      <c r="E135" s="53" t="n">
        <v>537.86</v>
      </c>
      <c r="F135" s="53" t="n">
        <v>1984.74</v>
      </c>
      <c r="G135" s="51" t="n">
        <v>26</v>
      </c>
      <c r="H135" s="51" t="n">
        <v>26</v>
      </c>
      <c r="I135" s="51" t="s">
        <v>1386</v>
      </c>
    </row>
    <row r="136" customFormat="false" ht="15" hidden="false" customHeight="false" outlineLevel="0" collapsed="false">
      <c r="A136" s="51" t="s">
        <v>49</v>
      </c>
      <c r="B136" s="51" t="n">
        <v>30</v>
      </c>
      <c r="C136" s="51" t="s">
        <v>314</v>
      </c>
      <c r="D136" s="52" t="n">
        <v>45955</v>
      </c>
      <c r="E136" s="53" t="n">
        <v>602.91</v>
      </c>
      <c r="F136" s="53" t="n">
        <v>2154.72</v>
      </c>
      <c r="G136" s="51" t="n">
        <v>28</v>
      </c>
      <c r="H136" s="51" t="n">
        <v>28</v>
      </c>
      <c r="I136" s="51" t="s">
        <v>1386</v>
      </c>
    </row>
    <row r="137" customFormat="false" ht="15" hidden="false" customHeight="false" outlineLevel="0" collapsed="false">
      <c r="A137" s="51" t="s">
        <v>49</v>
      </c>
      <c r="B137" s="51" t="n">
        <v>30</v>
      </c>
      <c r="C137" s="51" t="s">
        <v>314</v>
      </c>
      <c r="D137" s="52" t="n">
        <v>45956</v>
      </c>
      <c r="E137" s="53" t="n">
        <v>710.07</v>
      </c>
      <c r="F137" s="53" t="n">
        <v>2784.63</v>
      </c>
      <c r="G137" s="51" t="n">
        <v>37</v>
      </c>
      <c r="H137" s="51" t="n">
        <v>37</v>
      </c>
      <c r="I137" s="51" t="s">
        <v>1386</v>
      </c>
    </row>
    <row r="138" customFormat="false" ht="15" hidden="false" customHeight="false" outlineLevel="0" collapsed="false">
      <c r="A138" s="51" t="s">
        <v>49</v>
      </c>
      <c r="B138" s="51" t="n">
        <v>30</v>
      </c>
      <c r="C138" s="51" t="s">
        <v>314</v>
      </c>
      <c r="D138" s="52" t="n">
        <v>45957</v>
      </c>
      <c r="E138" s="53" t="n">
        <v>750.2</v>
      </c>
      <c r="F138" s="53" t="n">
        <v>2699.65</v>
      </c>
      <c r="G138" s="51" t="n">
        <v>35</v>
      </c>
      <c r="H138" s="51" t="n">
        <v>35</v>
      </c>
      <c r="I138" s="51" t="s">
        <v>1386</v>
      </c>
    </row>
    <row r="139" customFormat="false" ht="15" hidden="false" customHeight="false" outlineLevel="0" collapsed="false">
      <c r="A139" s="51" t="s">
        <v>49</v>
      </c>
      <c r="B139" s="51" t="n">
        <v>30</v>
      </c>
      <c r="C139" s="51" t="s">
        <v>314</v>
      </c>
      <c r="D139" s="52" t="n">
        <v>45958</v>
      </c>
      <c r="E139" s="53" t="n">
        <v>687.13</v>
      </c>
      <c r="F139" s="53" t="n">
        <v>2164.72</v>
      </c>
      <c r="G139" s="51" t="n">
        <v>27</v>
      </c>
      <c r="H139" s="51" t="n">
        <v>28</v>
      </c>
      <c r="I139" s="51" t="s">
        <v>1386</v>
      </c>
    </row>
    <row r="140" customFormat="false" ht="15" hidden="false" customHeight="false" outlineLevel="0" collapsed="false">
      <c r="A140" s="51" t="s">
        <v>49</v>
      </c>
      <c r="B140" s="51" t="n">
        <v>30</v>
      </c>
      <c r="C140" s="51" t="s">
        <v>314</v>
      </c>
      <c r="D140" s="52" t="n">
        <v>45959</v>
      </c>
      <c r="E140" s="53" t="n">
        <v>472.09</v>
      </c>
      <c r="F140" s="53" t="n">
        <v>1939.75</v>
      </c>
      <c r="G140" s="51" t="n">
        <v>24</v>
      </c>
      <c r="H140" s="51" t="n">
        <v>25</v>
      </c>
      <c r="I140" s="51" t="s">
        <v>1386</v>
      </c>
    </row>
    <row r="141" customFormat="false" ht="15" hidden="false" customHeight="false" outlineLevel="0" collapsed="false">
      <c r="A141" s="51" t="s">
        <v>49</v>
      </c>
      <c r="B141" s="51" t="n">
        <v>30</v>
      </c>
      <c r="C141" s="51" t="s">
        <v>314</v>
      </c>
      <c r="D141" s="52" t="n">
        <v>45960</v>
      </c>
      <c r="E141" s="53" t="n">
        <v>479.33</v>
      </c>
      <c r="F141" s="53" t="n">
        <v>2299.7</v>
      </c>
      <c r="G141" s="51" t="n">
        <v>29</v>
      </c>
      <c r="H141" s="51" t="n">
        <v>30</v>
      </c>
      <c r="I141" s="51" t="s">
        <v>1386</v>
      </c>
    </row>
    <row r="142" customFormat="false" ht="15" hidden="false" customHeight="false" outlineLevel="0" collapsed="false">
      <c r="A142" s="51" t="s">
        <v>49</v>
      </c>
      <c r="B142" s="51" t="n">
        <v>30</v>
      </c>
      <c r="C142" s="51" t="s">
        <v>314</v>
      </c>
      <c r="D142" s="52" t="n">
        <v>45961</v>
      </c>
      <c r="E142" s="53" t="n">
        <v>538.53</v>
      </c>
      <c r="F142" s="53" t="n">
        <v>2311.65</v>
      </c>
      <c r="G142" s="51" t="n">
        <v>29</v>
      </c>
      <c r="H142" s="51" t="n">
        <v>31</v>
      </c>
      <c r="I142" s="51" t="s">
        <v>1386</v>
      </c>
    </row>
    <row r="143" customFormat="false" ht="15" hidden="false" customHeight="false" outlineLevel="0" collapsed="false">
      <c r="A143" s="51" t="s">
        <v>49</v>
      </c>
      <c r="B143" s="51" t="n">
        <v>30</v>
      </c>
      <c r="C143" s="51" t="s">
        <v>314</v>
      </c>
      <c r="D143" s="52" t="n">
        <v>45962</v>
      </c>
      <c r="E143" s="53" t="n">
        <v>759.6</v>
      </c>
      <c r="F143" s="53" t="n">
        <v>2579.67</v>
      </c>
      <c r="G143" s="51" t="n">
        <v>33</v>
      </c>
      <c r="H143" s="51" t="n">
        <v>34</v>
      </c>
      <c r="I143" s="51" t="s">
        <v>1386</v>
      </c>
    </row>
    <row r="144" customFormat="false" ht="15" hidden="false" customHeight="false" outlineLevel="0" collapsed="false">
      <c r="A144" s="51" t="s">
        <v>49</v>
      </c>
      <c r="B144" s="51" t="n">
        <v>30</v>
      </c>
      <c r="C144" s="51" t="s">
        <v>314</v>
      </c>
      <c r="D144" s="52" t="n">
        <v>45963</v>
      </c>
      <c r="E144" s="53" t="n">
        <v>835.81</v>
      </c>
      <c r="F144" s="53" t="n">
        <v>2586.63</v>
      </c>
      <c r="G144" s="51" t="n">
        <v>33</v>
      </c>
      <c r="H144" s="51" t="n">
        <v>33</v>
      </c>
      <c r="I144" s="51" t="s">
        <v>1386</v>
      </c>
    </row>
    <row r="145" customFormat="false" ht="15" hidden="false" customHeight="false" outlineLevel="0" collapsed="false">
      <c r="A145" s="51" t="s">
        <v>49</v>
      </c>
      <c r="B145" s="51" t="n">
        <v>30</v>
      </c>
      <c r="C145" s="51" t="s">
        <v>314</v>
      </c>
      <c r="D145" s="52" t="n">
        <v>45964</v>
      </c>
      <c r="E145" s="53" t="n">
        <v>680.96</v>
      </c>
      <c r="F145" s="53" t="n">
        <v>2762.55</v>
      </c>
      <c r="G145" s="51" t="n">
        <v>33</v>
      </c>
      <c r="H145" s="51" t="n">
        <v>37</v>
      </c>
      <c r="I145" s="51" t="s">
        <v>1386</v>
      </c>
    </row>
    <row r="146" customFormat="false" ht="15" hidden="false" customHeight="false" outlineLevel="0" collapsed="false">
      <c r="A146" s="51" t="s">
        <v>49</v>
      </c>
      <c r="B146" s="51" t="n">
        <v>30</v>
      </c>
      <c r="C146" s="51" t="s">
        <v>314</v>
      </c>
      <c r="D146" s="52" t="n">
        <v>45965</v>
      </c>
      <c r="E146" s="53" t="n">
        <v>728.41</v>
      </c>
      <c r="F146" s="53" t="n">
        <v>3987.43</v>
      </c>
      <c r="G146" s="51" t="n">
        <v>48</v>
      </c>
      <c r="H146" s="51" t="n">
        <v>53</v>
      </c>
      <c r="I146" s="51" t="s">
        <v>1386</v>
      </c>
    </row>
    <row r="147" customFormat="false" ht="15" hidden="false" customHeight="false" outlineLevel="0" collapsed="false">
      <c r="A147" s="51" t="s">
        <v>49</v>
      </c>
      <c r="B147" s="51" t="n">
        <v>30</v>
      </c>
      <c r="C147" s="51" t="s">
        <v>314</v>
      </c>
      <c r="D147" s="52" t="n">
        <v>45966</v>
      </c>
      <c r="E147" s="53" t="n">
        <v>725.77</v>
      </c>
      <c r="F147" s="53" t="n">
        <v>2289.7</v>
      </c>
      <c r="G147" s="51" t="n">
        <v>30</v>
      </c>
      <c r="H147" s="51" t="n">
        <v>30</v>
      </c>
      <c r="I147" s="51" t="s">
        <v>1386</v>
      </c>
    </row>
    <row r="148" customFormat="false" ht="15" hidden="false" customHeight="false" outlineLevel="0" collapsed="false">
      <c r="A148" s="51" t="s">
        <v>49</v>
      </c>
      <c r="B148" s="51" t="n">
        <v>30</v>
      </c>
      <c r="C148" s="51" t="s">
        <v>314</v>
      </c>
      <c r="D148" s="52" t="n">
        <v>45967</v>
      </c>
      <c r="E148" s="53" t="n">
        <v>667.96</v>
      </c>
      <c r="F148" s="53" t="n">
        <v>3414.56</v>
      </c>
      <c r="G148" s="51" t="n">
        <v>39</v>
      </c>
      <c r="H148" s="51" t="n">
        <v>44</v>
      </c>
      <c r="I148" s="51" t="s">
        <v>1386</v>
      </c>
    </row>
    <row r="149" customFormat="false" ht="15" hidden="false" customHeight="false" outlineLevel="0" collapsed="false">
      <c r="A149" s="51" t="s">
        <v>49</v>
      </c>
      <c r="B149" s="51" t="n">
        <v>30</v>
      </c>
      <c r="C149" s="51" t="s">
        <v>314</v>
      </c>
      <c r="D149" s="52" t="n">
        <v>45968</v>
      </c>
      <c r="E149" s="53" t="n">
        <v>670.11</v>
      </c>
      <c r="F149" s="53" t="n">
        <v>2404.69</v>
      </c>
      <c r="G149" s="51" t="n">
        <v>31</v>
      </c>
      <c r="H149" s="51" t="n">
        <v>31</v>
      </c>
      <c r="I149" s="51" t="s">
        <v>1386</v>
      </c>
    </row>
    <row r="150" customFormat="false" ht="15" hidden="false" customHeight="false" outlineLevel="0" collapsed="false">
      <c r="A150" s="51" t="s">
        <v>49</v>
      </c>
      <c r="B150" s="51" t="n">
        <v>30</v>
      </c>
      <c r="C150" s="51" t="s">
        <v>314</v>
      </c>
      <c r="D150" s="52" t="n">
        <v>45969</v>
      </c>
      <c r="E150" s="53" t="n">
        <v>766.51</v>
      </c>
      <c r="F150" s="53" t="n">
        <v>3261.57</v>
      </c>
      <c r="G150" s="51" t="n">
        <v>43</v>
      </c>
      <c r="H150" s="51" t="n">
        <v>44</v>
      </c>
      <c r="I150" s="51" t="s">
        <v>1386</v>
      </c>
    </row>
    <row r="151" customFormat="false" ht="15" hidden="false" customHeight="false" outlineLevel="0" collapsed="false">
      <c r="A151" s="51" t="s">
        <v>49</v>
      </c>
      <c r="B151" s="51" t="n">
        <v>30</v>
      </c>
      <c r="C151" s="51" t="s">
        <v>314</v>
      </c>
      <c r="D151" s="52" t="n">
        <v>45970</v>
      </c>
      <c r="E151" s="53" t="n">
        <v>857.55</v>
      </c>
      <c r="F151" s="53" t="n">
        <v>3356.57</v>
      </c>
      <c r="G151" s="51" t="n">
        <v>43</v>
      </c>
      <c r="H151" s="51" t="n">
        <v>43</v>
      </c>
      <c r="I151" s="51" t="s">
        <v>1386</v>
      </c>
    </row>
    <row r="152" customFormat="false" ht="15" hidden="false" customHeight="false" outlineLevel="0" collapsed="false">
      <c r="A152" s="51" t="s">
        <v>49</v>
      </c>
      <c r="B152" s="51" t="n">
        <v>30</v>
      </c>
      <c r="C152" s="51" t="s">
        <v>314</v>
      </c>
      <c r="D152" s="52" t="n">
        <v>45971</v>
      </c>
      <c r="E152" s="53" t="n">
        <v>773.9</v>
      </c>
      <c r="F152" s="53" t="n">
        <v>3614.53</v>
      </c>
      <c r="G152" s="51" t="n">
        <v>47</v>
      </c>
      <c r="H152" s="51" t="n">
        <v>47</v>
      </c>
      <c r="I152" s="51" t="s">
        <v>1386</v>
      </c>
    </row>
    <row r="153" customFormat="false" ht="15" hidden="false" customHeight="false" outlineLevel="0" collapsed="false">
      <c r="A153" s="51" t="s">
        <v>49</v>
      </c>
      <c r="B153" s="51" t="n">
        <v>30</v>
      </c>
      <c r="C153" s="51" t="s">
        <v>314</v>
      </c>
      <c r="D153" s="52" t="n">
        <v>45972</v>
      </c>
      <c r="E153" s="53" t="n">
        <v>560.96</v>
      </c>
      <c r="F153" s="53" t="n">
        <v>1996.74</v>
      </c>
      <c r="G153" s="51" t="n">
        <v>26</v>
      </c>
      <c r="H153" s="51" t="n">
        <v>26</v>
      </c>
      <c r="I153" s="51" t="s">
        <v>1386</v>
      </c>
    </row>
    <row r="154" customFormat="false" ht="15" hidden="false" customHeight="false" outlineLevel="0" collapsed="false">
      <c r="A154" s="51" t="s">
        <v>49</v>
      </c>
      <c r="B154" s="51" t="n">
        <v>30</v>
      </c>
      <c r="C154" s="51" t="s">
        <v>314</v>
      </c>
      <c r="D154" s="52" t="n">
        <v>45973</v>
      </c>
      <c r="E154" s="53" t="n">
        <v>570.89</v>
      </c>
      <c r="F154" s="53" t="n">
        <v>2879.62</v>
      </c>
      <c r="G154" s="51" t="n">
        <v>36</v>
      </c>
      <c r="H154" s="51" t="n">
        <v>38</v>
      </c>
      <c r="I154" s="51" t="s">
        <v>1386</v>
      </c>
    </row>
    <row r="155" customFormat="false" ht="15" hidden="false" customHeight="false" outlineLevel="0" collapsed="false">
      <c r="A155" s="51" t="s">
        <v>49</v>
      </c>
      <c r="B155" s="51" t="n">
        <v>30</v>
      </c>
      <c r="C155" s="51" t="s">
        <v>314</v>
      </c>
      <c r="D155" s="52" t="n">
        <v>45974</v>
      </c>
      <c r="E155" s="53" t="n">
        <v>521.89</v>
      </c>
      <c r="F155" s="53" t="n">
        <v>2156.22</v>
      </c>
      <c r="G155" s="51" t="n">
        <v>29</v>
      </c>
      <c r="H155" s="51" t="n">
        <v>29</v>
      </c>
      <c r="I155" s="51" t="s">
        <v>1386</v>
      </c>
    </row>
    <row r="156" customFormat="false" ht="15" hidden="false" customHeight="false" outlineLevel="0" collapsed="false">
      <c r="A156" s="51" t="s">
        <v>49</v>
      </c>
      <c r="B156" s="51" t="n">
        <v>30</v>
      </c>
      <c r="C156" s="51" t="s">
        <v>314</v>
      </c>
      <c r="D156" s="52" t="n">
        <v>45975</v>
      </c>
      <c r="E156" s="53" t="n">
        <v>647.29</v>
      </c>
      <c r="F156" s="53" t="n">
        <v>2145.97</v>
      </c>
      <c r="G156" s="51" t="n">
        <v>28</v>
      </c>
      <c r="H156" s="51" t="n">
        <v>28</v>
      </c>
      <c r="I156" s="51" t="s">
        <v>1386</v>
      </c>
    </row>
    <row r="157" customFormat="false" ht="15" hidden="false" customHeight="false" outlineLevel="0" collapsed="false">
      <c r="A157" s="51" t="s">
        <v>49</v>
      </c>
      <c r="B157" s="51" t="n">
        <v>30</v>
      </c>
      <c r="C157" s="51" t="s">
        <v>314</v>
      </c>
      <c r="D157" s="52" t="n">
        <v>45976</v>
      </c>
      <c r="E157" s="53" t="n">
        <v>781.67</v>
      </c>
      <c r="F157" s="53" t="n">
        <v>3247.82</v>
      </c>
      <c r="G157" s="51" t="n">
        <v>40</v>
      </c>
      <c r="H157" s="51" t="n">
        <v>43</v>
      </c>
      <c r="I157" s="51" t="s">
        <v>1386</v>
      </c>
    </row>
    <row r="158" customFormat="false" ht="15" hidden="false" customHeight="false" outlineLevel="0" collapsed="false">
      <c r="A158" s="51" t="s">
        <v>49</v>
      </c>
      <c r="B158" s="51" t="n">
        <v>30</v>
      </c>
      <c r="C158" s="51" t="s">
        <v>314</v>
      </c>
      <c r="D158" s="52" t="n">
        <v>45977</v>
      </c>
      <c r="E158" s="53" t="n">
        <v>855.02</v>
      </c>
      <c r="F158" s="53" t="n">
        <v>3676.51</v>
      </c>
      <c r="G158" s="51" t="n">
        <v>48</v>
      </c>
      <c r="H158" s="51" t="n">
        <v>49</v>
      </c>
      <c r="I158" s="51" t="s">
        <v>1386</v>
      </c>
    </row>
    <row r="159" customFormat="false" ht="15" hidden="false" customHeight="false" outlineLevel="0" collapsed="false">
      <c r="A159" s="51" t="s">
        <v>49</v>
      </c>
      <c r="B159" s="51" t="n">
        <v>30</v>
      </c>
      <c r="C159" s="51" t="s">
        <v>314</v>
      </c>
      <c r="D159" s="52" t="n">
        <v>45978</v>
      </c>
      <c r="E159" s="53" t="n">
        <v>684.61</v>
      </c>
      <c r="F159" s="53" t="n">
        <v>2860.63</v>
      </c>
      <c r="G159" s="51" t="n">
        <v>36</v>
      </c>
      <c r="H159" s="51" t="n">
        <v>37</v>
      </c>
      <c r="I159" s="51" t="s">
        <v>1386</v>
      </c>
    </row>
    <row r="160" customFormat="false" ht="15" hidden="false" customHeight="false" outlineLevel="0" collapsed="false">
      <c r="A160" s="51" t="s">
        <v>49</v>
      </c>
      <c r="B160" s="51" t="n">
        <v>30</v>
      </c>
      <c r="C160" s="51" t="s">
        <v>314</v>
      </c>
      <c r="D160" s="52" t="n">
        <v>45979</v>
      </c>
      <c r="E160" s="53" t="n">
        <v>565.07</v>
      </c>
      <c r="F160" s="53" t="n">
        <v>1649.28</v>
      </c>
      <c r="G160" s="51" t="n">
        <v>22</v>
      </c>
      <c r="H160" s="51" t="n">
        <v>22</v>
      </c>
      <c r="I160" s="51" t="s">
        <v>1386</v>
      </c>
    </row>
    <row r="161" customFormat="false" ht="15" hidden="false" customHeight="false" outlineLevel="0" collapsed="false">
      <c r="A161" s="51" t="s">
        <v>49</v>
      </c>
      <c r="B161" s="51" t="n">
        <v>30</v>
      </c>
      <c r="C161" s="51" t="s">
        <v>314</v>
      </c>
      <c r="D161" s="52" t="n">
        <v>45980</v>
      </c>
      <c r="E161" s="53" t="n">
        <v>730.12</v>
      </c>
      <c r="F161" s="53" t="n">
        <v>2319.19</v>
      </c>
      <c r="G161" s="51" t="n">
        <v>30</v>
      </c>
      <c r="H161" s="51" t="n">
        <v>31</v>
      </c>
      <c r="I161" s="51" t="s">
        <v>1386</v>
      </c>
    </row>
    <row r="162" customFormat="false" ht="15" hidden="false" customHeight="false" outlineLevel="0" collapsed="false">
      <c r="A162" s="51" t="s">
        <v>49</v>
      </c>
      <c r="B162" s="51" t="n">
        <v>30</v>
      </c>
      <c r="C162" s="51" t="s">
        <v>314</v>
      </c>
      <c r="D162" s="52" t="n">
        <v>45981</v>
      </c>
      <c r="E162" s="53" t="n">
        <v>1751.54</v>
      </c>
      <c r="F162" s="53" t="n">
        <v>8084.42</v>
      </c>
      <c r="G162" s="51" t="n">
        <v>103</v>
      </c>
      <c r="H162" s="51" t="n">
        <v>112</v>
      </c>
      <c r="I162" s="51" t="s">
        <v>1387</v>
      </c>
    </row>
    <row r="163" customFormat="false" ht="15" hidden="false" customHeight="false" outlineLevel="0" collapsed="false">
      <c r="A163" s="51" t="s">
        <v>49</v>
      </c>
      <c r="B163" s="51" t="n">
        <v>30</v>
      </c>
      <c r="C163" s="51" t="s">
        <v>314</v>
      </c>
      <c r="D163" s="52" t="n">
        <v>45982</v>
      </c>
      <c r="E163" s="53" t="n">
        <v>870.22</v>
      </c>
      <c r="F163" s="53" t="n">
        <v>4401.66</v>
      </c>
      <c r="G163" s="51" t="n">
        <v>58</v>
      </c>
      <c r="H163" s="51" t="n">
        <v>61</v>
      </c>
      <c r="I163" s="51" t="s">
        <v>1387</v>
      </c>
    </row>
    <row r="164" customFormat="false" ht="15" hidden="false" customHeight="false" outlineLevel="0" collapsed="false">
      <c r="A164" s="51" t="s">
        <v>49</v>
      </c>
      <c r="B164" s="51" t="n">
        <v>30</v>
      </c>
      <c r="C164" s="51" t="s">
        <v>314</v>
      </c>
      <c r="D164" s="52" t="n">
        <v>45983</v>
      </c>
      <c r="E164" s="53" t="n">
        <v>1132.33</v>
      </c>
      <c r="F164" s="53" t="n">
        <v>5978.9</v>
      </c>
      <c r="G164" s="51" t="n">
        <v>81</v>
      </c>
      <c r="H164" s="51" t="n">
        <v>84</v>
      </c>
      <c r="I164" s="51" t="s">
        <v>1387</v>
      </c>
    </row>
    <row r="165" customFormat="false" ht="15" hidden="false" customHeight="false" outlineLevel="0" collapsed="false">
      <c r="A165" s="51" t="s">
        <v>49</v>
      </c>
      <c r="B165" s="51" t="n">
        <v>30</v>
      </c>
      <c r="C165" s="51" t="s">
        <v>314</v>
      </c>
      <c r="D165" s="52" t="n">
        <v>45984</v>
      </c>
      <c r="E165" s="53" t="n">
        <v>1095.44</v>
      </c>
      <c r="F165" s="53" t="n">
        <v>5564.23</v>
      </c>
      <c r="G165" s="51" t="n">
        <v>71</v>
      </c>
      <c r="H165" s="51" t="n">
        <v>78</v>
      </c>
      <c r="I165" s="51" t="s">
        <v>1387</v>
      </c>
    </row>
    <row r="166" customFormat="false" ht="15" hidden="false" customHeight="false" outlineLevel="0" collapsed="false">
      <c r="A166" s="51" t="s">
        <v>49</v>
      </c>
      <c r="B166" s="51" t="n">
        <v>30</v>
      </c>
      <c r="C166" s="51" t="s">
        <v>314</v>
      </c>
      <c r="D166" s="52" t="n">
        <v>45985</v>
      </c>
      <c r="E166" s="53" t="n">
        <v>954.57</v>
      </c>
      <c r="F166" s="53" t="n">
        <v>4765.8</v>
      </c>
      <c r="G166" s="51" t="n">
        <v>63</v>
      </c>
      <c r="H166" s="51" t="n">
        <v>68</v>
      </c>
      <c r="I166" s="51" t="s">
        <v>1387</v>
      </c>
    </row>
    <row r="167" customFormat="false" ht="15" hidden="false" customHeight="false" outlineLevel="0" collapsed="false">
      <c r="A167" s="51" t="s">
        <v>49</v>
      </c>
      <c r="B167" s="51" t="n">
        <v>30</v>
      </c>
      <c r="C167" s="51" t="s">
        <v>314</v>
      </c>
      <c r="D167" s="52" t="n">
        <v>45986</v>
      </c>
      <c r="E167" s="53" t="n">
        <v>1081.26</v>
      </c>
      <c r="F167" s="53" t="n">
        <v>4002.67</v>
      </c>
      <c r="G167" s="51" t="n">
        <v>55</v>
      </c>
      <c r="H167" s="51" t="n">
        <v>56</v>
      </c>
      <c r="I167" s="51" t="s">
        <v>1387</v>
      </c>
    </row>
    <row r="168" customFormat="false" ht="15" hidden="false" customHeight="false" outlineLevel="0" collapsed="false">
      <c r="A168" s="51" t="s">
        <v>49</v>
      </c>
      <c r="B168" s="51" t="n">
        <v>30</v>
      </c>
      <c r="C168" s="51" t="s">
        <v>314</v>
      </c>
      <c r="D168" s="52" t="n">
        <v>45987</v>
      </c>
      <c r="E168" s="53" t="n">
        <v>1468.03</v>
      </c>
      <c r="F168" s="53" t="n">
        <v>6529.44</v>
      </c>
      <c r="G168" s="51" t="n">
        <v>87</v>
      </c>
      <c r="H168" s="51" t="n">
        <v>92</v>
      </c>
      <c r="I168" s="51" t="s">
        <v>1387</v>
      </c>
    </row>
    <row r="169" customFormat="false" ht="15" hidden="false" customHeight="false" outlineLevel="0" collapsed="false">
      <c r="A169" s="51" t="s">
        <v>49</v>
      </c>
      <c r="B169" s="51" t="n">
        <v>30</v>
      </c>
      <c r="C169" s="51" t="s">
        <v>314</v>
      </c>
      <c r="D169" s="52" t="n">
        <v>45988</v>
      </c>
      <c r="E169" s="53" t="n">
        <v>828.05</v>
      </c>
      <c r="F169" s="53" t="n">
        <v>5117.09</v>
      </c>
      <c r="G169" s="51" t="n">
        <v>64</v>
      </c>
      <c r="H169" s="51" t="n">
        <v>70</v>
      </c>
      <c r="I169" s="51" t="s">
        <v>1387</v>
      </c>
    </row>
    <row r="170" customFormat="false" ht="15" hidden="false" customHeight="false" outlineLevel="0" collapsed="false">
      <c r="A170" s="51" t="s">
        <v>49</v>
      </c>
      <c r="B170" s="51" t="n">
        <v>30</v>
      </c>
      <c r="C170" s="51" t="s">
        <v>314</v>
      </c>
      <c r="D170" s="52" t="n">
        <v>45989</v>
      </c>
      <c r="E170" s="53" t="n">
        <v>2365.03</v>
      </c>
      <c r="F170" s="53" t="n">
        <v>12228.65</v>
      </c>
      <c r="G170" s="51" t="n">
        <v>167</v>
      </c>
      <c r="H170" s="51" t="n">
        <v>173</v>
      </c>
      <c r="I170" s="51" t="s">
        <v>1387</v>
      </c>
    </row>
    <row r="171" customFormat="false" ht="15" hidden="false" customHeight="false" outlineLevel="0" collapsed="false">
      <c r="A171" s="51" t="s">
        <v>49</v>
      </c>
      <c r="B171" s="51" t="n">
        <v>30</v>
      </c>
      <c r="C171" s="51" t="s">
        <v>314</v>
      </c>
      <c r="D171" s="52" t="n">
        <v>45990</v>
      </c>
      <c r="E171" s="53" t="n">
        <v>1730.78</v>
      </c>
      <c r="F171" s="53" t="n">
        <v>9045.02</v>
      </c>
      <c r="G171" s="51" t="n">
        <v>121</v>
      </c>
      <c r="H171" s="51" t="n">
        <v>124</v>
      </c>
      <c r="I171" s="51" t="s">
        <v>1387</v>
      </c>
    </row>
    <row r="172" customFormat="false" ht="15" hidden="false" customHeight="false" outlineLevel="0" collapsed="false">
      <c r="A172" s="51" t="s">
        <v>49</v>
      </c>
      <c r="B172" s="51" t="n">
        <v>30</v>
      </c>
      <c r="C172" s="51" t="s">
        <v>314</v>
      </c>
      <c r="D172" s="52" t="n">
        <v>45991</v>
      </c>
      <c r="E172" s="53" t="n">
        <v>1768.85</v>
      </c>
      <c r="F172" s="53" t="n">
        <v>9117.67</v>
      </c>
      <c r="G172" s="51" t="n">
        <v>118</v>
      </c>
      <c r="H172" s="51" t="n">
        <v>126</v>
      </c>
      <c r="I172" s="51" t="s">
        <v>1387</v>
      </c>
    </row>
    <row r="173" customFormat="false" ht="15" hidden="false" customHeight="false" outlineLevel="0" collapsed="false">
      <c r="A173" s="51" t="s">
        <v>49</v>
      </c>
      <c r="B173" s="51" t="n">
        <v>30</v>
      </c>
      <c r="C173" s="51" t="s">
        <v>314</v>
      </c>
      <c r="D173" s="52" t="n">
        <v>45992</v>
      </c>
      <c r="E173" s="53" t="n">
        <v>1756.77</v>
      </c>
      <c r="F173" s="53" t="n">
        <v>10451.53</v>
      </c>
      <c r="G173" s="51" t="n">
        <v>137</v>
      </c>
      <c r="H173" s="51" t="n">
        <v>145</v>
      </c>
      <c r="I173" s="51" t="s">
        <v>1387</v>
      </c>
    </row>
    <row r="174" customFormat="false" ht="15" hidden="false" customHeight="false" outlineLevel="0" collapsed="false">
      <c r="A174" s="51" t="s">
        <v>49</v>
      </c>
      <c r="B174" s="51" t="n">
        <v>30</v>
      </c>
      <c r="C174" s="51" t="s">
        <v>314</v>
      </c>
      <c r="D174" s="52" t="n">
        <v>45993</v>
      </c>
      <c r="E174" s="53" t="n">
        <v>993.88</v>
      </c>
      <c r="F174" s="53" t="n">
        <v>3367.54</v>
      </c>
      <c r="G174" s="51" t="n">
        <v>39</v>
      </c>
      <c r="H174" s="51" t="n">
        <v>42</v>
      </c>
      <c r="I174" s="51"/>
    </row>
    <row r="175" customFormat="false" ht="15" hidden="false" customHeight="false" outlineLevel="0" collapsed="false">
      <c r="A175" s="51" t="s">
        <v>49</v>
      </c>
      <c r="B175" s="51" t="n">
        <v>30</v>
      </c>
      <c r="C175" s="51" t="s">
        <v>314</v>
      </c>
      <c r="D175" s="52" t="n">
        <v>45994</v>
      </c>
      <c r="E175" s="53" t="n">
        <v>802.16</v>
      </c>
      <c r="F175" s="53" t="n">
        <v>3308.58</v>
      </c>
      <c r="G175" s="51" t="n">
        <v>40</v>
      </c>
      <c r="H175" s="51" t="n">
        <v>42</v>
      </c>
      <c r="I175" s="51"/>
    </row>
    <row r="176" customFormat="false" ht="15" hidden="false" customHeight="false" outlineLevel="0" collapsed="false">
      <c r="A176" s="51" t="s">
        <v>49</v>
      </c>
      <c r="B176" s="51" t="n">
        <v>30</v>
      </c>
      <c r="C176" s="51" t="s">
        <v>314</v>
      </c>
      <c r="D176" s="52" t="n">
        <v>45995</v>
      </c>
      <c r="E176" s="53" t="n">
        <v>713.32</v>
      </c>
      <c r="F176" s="53" t="n">
        <v>5026.26</v>
      </c>
      <c r="G176" s="51" t="n">
        <v>44</v>
      </c>
      <c r="H176" s="51" t="n">
        <v>66</v>
      </c>
      <c r="I176" s="51"/>
    </row>
    <row r="177" customFormat="false" ht="15" hidden="false" customHeight="false" outlineLevel="0" collapsed="false">
      <c r="A177" s="51" t="s">
        <v>49</v>
      </c>
      <c r="B177" s="51" t="n">
        <v>30</v>
      </c>
      <c r="C177" s="51" t="s">
        <v>314</v>
      </c>
      <c r="D177" s="52" t="n">
        <v>45996</v>
      </c>
      <c r="E177" s="53" t="n">
        <v>761.51</v>
      </c>
      <c r="F177" s="53" t="n">
        <v>4604.42</v>
      </c>
      <c r="G177" s="51" t="n">
        <v>57</v>
      </c>
      <c r="H177" s="51" t="n">
        <v>59</v>
      </c>
      <c r="I177" s="51"/>
    </row>
    <row r="178" customFormat="false" ht="15" hidden="false" customHeight="false" outlineLevel="0" collapsed="false">
      <c r="A178" s="51" t="s">
        <v>49</v>
      </c>
      <c r="B178" s="51" t="n">
        <v>30</v>
      </c>
      <c r="C178" s="51" t="s">
        <v>314</v>
      </c>
      <c r="D178" s="52" t="n">
        <v>45997</v>
      </c>
      <c r="E178" s="53" t="n">
        <v>913.95</v>
      </c>
      <c r="F178" s="53" t="n">
        <v>4368.44</v>
      </c>
      <c r="G178" s="51" t="n">
        <v>55</v>
      </c>
      <c r="H178" s="51" t="n">
        <v>56</v>
      </c>
      <c r="I178" s="51"/>
    </row>
    <row r="179" customFormat="false" ht="15" hidden="false" customHeight="false" outlineLevel="0" collapsed="false">
      <c r="A179" s="51" t="s">
        <v>49</v>
      </c>
      <c r="B179" s="51" t="n">
        <v>30</v>
      </c>
      <c r="C179" s="51" t="s">
        <v>314</v>
      </c>
      <c r="D179" s="52" t="n">
        <v>45998</v>
      </c>
      <c r="E179" s="53" t="n">
        <v>982.67</v>
      </c>
      <c r="F179" s="53" t="n">
        <v>4832.33</v>
      </c>
      <c r="G179" s="51" t="n">
        <v>63</v>
      </c>
      <c r="H179" s="51" t="n">
        <v>63</v>
      </c>
      <c r="I179" s="51"/>
    </row>
    <row r="180" customFormat="false" ht="15" hidden="false" customHeight="false" outlineLevel="0" collapsed="false">
      <c r="A180" s="51" t="s">
        <v>49</v>
      </c>
      <c r="B180" s="51" t="n">
        <v>30</v>
      </c>
      <c r="C180" s="51" t="s">
        <v>314</v>
      </c>
      <c r="D180" s="52" t="n">
        <v>45999</v>
      </c>
      <c r="E180" s="53" t="n">
        <v>935.11</v>
      </c>
      <c r="F180" s="53" t="n">
        <v>4502.37</v>
      </c>
      <c r="G180" s="51" t="n">
        <v>59</v>
      </c>
      <c r="H180" s="51" t="n">
        <v>59</v>
      </c>
      <c r="I180" s="51"/>
    </row>
    <row r="181" customFormat="false" ht="15" hidden="false" customHeight="false" outlineLevel="0" collapsed="false">
      <c r="A181" s="51" t="s">
        <v>49</v>
      </c>
      <c r="B181" s="51" t="n">
        <v>30</v>
      </c>
      <c r="C181" s="51" t="s">
        <v>314</v>
      </c>
      <c r="D181" s="52" t="n">
        <v>46000</v>
      </c>
      <c r="E181" s="53" t="n">
        <v>996.18</v>
      </c>
      <c r="F181" s="53" t="n">
        <v>4357.39</v>
      </c>
      <c r="G181" s="51" t="n">
        <v>54</v>
      </c>
      <c r="H181" s="51" t="n">
        <v>57</v>
      </c>
      <c r="I181" s="51"/>
    </row>
    <row r="182" customFormat="false" ht="15" hidden="false" customHeight="false" outlineLevel="0" collapsed="false">
      <c r="A182" s="51" t="s">
        <v>49</v>
      </c>
      <c r="B182" s="51" t="n">
        <v>30</v>
      </c>
      <c r="C182" s="51" t="s">
        <v>314</v>
      </c>
      <c r="D182" s="52" t="n">
        <v>46001</v>
      </c>
      <c r="E182" s="53" t="n">
        <v>894.65</v>
      </c>
      <c r="F182" s="53" t="n">
        <v>6403.1</v>
      </c>
      <c r="G182" s="51" t="n">
        <v>73</v>
      </c>
      <c r="H182" s="51" t="n">
        <v>82</v>
      </c>
      <c r="I182" s="51"/>
    </row>
    <row r="183" customFormat="false" ht="15" hidden="false" customHeight="false" outlineLevel="0" collapsed="false">
      <c r="A183" s="51" t="s">
        <v>49</v>
      </c>
      <c r="B183" s="51" t="n">
        <v>30</v>
      </c>
      <c r="C183" s="51" t="s">
        <v>314</v>
      </c>
      <c r="D183" s="52" t="n">
        <v>46002</v>
      </c>
      <c r="E183" s="53" t="n">
        <v>1133.46</v>
      </c>
      <c r="F183" s="53" t="n">
        <v>4877.37</v>
      </c>
      <c r="G183" s="51" t="n">
        <v>61</v>
      </c>
      <c r="H183" s="51" t="n">
        <v>63</v>
      </c>
      <c r="I183" s="51"/>
    </row>
    <row r="184" customFormat="false" ht="15" hidden="false" customHeight="false" outlineLevel="0" collapsed="false">
      <c r="A184" s="51" t="s">
        <v>49</v>
      </c>
      <c r="B184" s="51" t="n">
        <v>30</v>
      </c>
      <c r="C184" s="51" t="s">
        <v>314</v>
      </c>
      <c r="D184" s="52" t="n">
        <v>46003</v>
      </c>
      <c r="E184" s="53" t="n">
        <v>931.88</v>
      </c>
      <c r="F184" s="53" t="n">
        <v>5334.41</v>
      </c>
      <c r="G184" s="51" t="n">
        <v>56</v>
      </c>
      <c r="H184" s="51" t="n">
        <v>59</v>
      </c>
      <c r="I184" s="51"/>
    </row>
    <row r="185" customFormat="false" ht="15" hidden="false" customHeight="false" outlineLevel="0" collapsed="false">
      <c r="A185" s="51" t="s">
        <v>49</v>
      </c>
      <c r="B185" s="51" t="n">
        <v>30</v>
      </c>
      <c r="C185" s="51" t="s">
        <v>314</v>
      </c>
      <c r="D185" s="52" t="n">
        <v>46004</v>
      </c>
      <c r="E185" s="53" t="n">
        <v>1491.59</v>
      </c>
      <c r="F185" s="53" t="n">
        <v>10503.82</v>
      </c>
      <c r="G185" s="51" t="n">
        <v>115</v>
      </c>
      <c r="H185" s="51" t="n">
        <v>118</v>
      </c>
      <c r="I185" s="51"/>
    </row>
    <row r="186" customFormat="false" ht="15" hidden="false" customHeight="false" outlineLevel="0" collapsed="false">
      <c r="A186" s="51" t="s">
        <v>49</v>
      </c>
      <c r="B186" s="51" t="n">
        <v>30</v>
      </c>
      <c r="C186" s="51" t="s">
        <v>314</v>
      </c>
      <c r="D186" s="52" t="n">
        <v>46005</v>
      </c>
      <c r="E186" s="53" t="n">
        <v>1074.37</v>
      </c>
      <c r="F186" s="53" t="n">
        <v>4659.48</v>
      </c>
      <c r="G186" s="51" t="n">
        <v>50</v>
      </c>
      <c r="H186" s="51" t="n">
        <v>52</v>
      </c>
      <c r="I186" s="51"/>
    </row>
    <row r="187" customFormat="false" ht="15" hidden="false" customHeight="false" outlineLevel="0" collapsed="false">
      <c r="A187" s="51" t="s">
        <v>49</v>
      </c>
      <c r="B187" s="51" t="n">
        <v>30</v>
      </c>
      <c r="C187" s="51" t="s">
        <v>314</v>
      </c>
      <c r="D187" s="52" t="n">
        <v>46006</v>
      </c>
      <c r="E187" s="53" t="n">
        <v>1050.84</v>
      </c>
      <c r="F187" s="53" t="n">
        <v>4649.43</v>
      </c>
      <c r="G187" s="51" t="n">
        <v>52</v>
      </c>
      <c r="H187" s="51" t="n">
        <v>53</v>
      </c>
      <c r="I187" s="51"/>
    </row>
    <row r="188" customFormat="false" ht="15" hidden="false" customHeight="false" outlineLevel="0" collapsed="false">
      <c r="A188" s="51" t="s">
        <v>49</v>
      </c>
      <c r="B188" s="51" t="n">
        <v>30</v>
      </c>
      <c r="C188" s="51" t="s">
        <v>1377</v>
      </c>
      <c r="D188" s="52" t="n">
        <v>45945</v>
      </c>
      <c r="E188" s="53" t="n">
        <v>159.12</v>
      </c>
      <c r="F188" s="53" t="n">
        <v>163.73</v>
      </c>
      <c r="G188" s="51" t="n">
        <v>2</v>
      </c>
      <c r="H188" s="51" t="n">
        <v>2</v>
      </c>
      <c r="I188" s="51"/>
    </row>
    <row r="189" customFormat="false" ht="15" hidden="false" customHeight="false" outlineLevel="0" collapsed="false">
      <c r="A189" s="51" t="s">
        <v>49</v>
      </c>
      <c r="B189" s="51" t="n">
        <v>30</v>
      </c>
      <c r="C189" s="51" t="s">
        <v>1377</v>
      </c>
      <c r="D189" s="52" t="n">
        <v>45946</v>
      </c>
      <c r="E189" s="53" t="n">
        <v>190.69</v>
      </c>
      <c r="F189" s="53" t="n">
        <v>743.67</v>
      </c>
      <c r="G189" s="51" t="n">
        <v>8</v>
      </c>
      <c r="H189" s="51" t="n">
        <v>8</v>
      </c>
      <c r="I189" s="51"/>
    </row>
    <row r="190" customFormat="false" ht="15" hidden="false" customHeight="false" outlineLevel="0" collapsed="false">
      <c r="A190" s="51" t="s">
        <v>49</v>
      </c>
      <c r="B190" s="51" t="n">
        <v>30</v>
      </c>
      <c r="C190" s="51" t="s">
        <v>1377</v>
      </c>
      <c r="D190" s="52" t="n">
        <v>45947</v>
      </c>
      <c r="E190" s="53" t="n">
        <v>131.41</v>
      </c>
      <c r="F190" s="53" t="n">
        <v>1148.87</v>
      </c>
      <c r="G190" s="51" t="n">
        <v>12</v>
      </c>
      <c r="H190" s="51" t="n">
        <v>13</v>
      </c>
      <c r="I190" s="51"/>
    </row>
    <row r="191" customFormat="false" ht="15" hidden="false" customHeight="false" outlineLevel="0" collapsed="false">
      <c r="A191" s="51" t="s">
        <v>49</v>
      </c>
      <c r="B191" s="51" t="n">
        <v>30</v>
      </c>
      <c r="C191" s="51" t="s">
        <v>1377</v>
      </c>
      <c r="D191" s="52" t="n">
        <v>45948</v>
      </c>
      <c r="E191" s="53" t="n">
        <v>267.7</v>
      </c>
      <c r="F191" s="53" t="n">
        <v>1278.83</v>
      </c>
      <c r="G191" s="51" t="n">
        <v>16</v>
      </c>
      <c r="H191" s="51" t="n">
        <v>17</v>
      </c>
      <c r="I191" s="51"/>
    </row>
    <row r="192" customFormat="false" ht="15" hidden="false" customHeight="false" outlineLevel="0" collapsed="false">
      <c r="A192" s="51" t="s">
        <v>49</v>
      </c>
      <c r="B192" s="51" t="n">
        <v>30</v>
      </c>
      <c r="C192" s="51" t="s">
        <v>1377</v>
      </c>
      <c r="D192" s="52" t="n">
        <v>45949</v>
      </c>
      <c r="E192" s="53" t="n">
        <v>265.92</v>
      </c>
      <c r="F192" s="53" t="n">
        <v>2526.92</v>
      </c>
      <c r="G192" s="51" t="n">
        <v>33</v>
      </c>
      <c r="H192" s="51" t="n">
        <v>33</v>
      </c>
      <c r="I192" s="51"/>
    </row>
    <row r="193" customFormat="false" ht="15" hidden="false" customHeight="false" outlineLevel="0" collapsed="false">
      <c r="A193" s="51" t="s">
        <v>49</v>
      </c>
      <c r="B193" s="51" t="n">
        <v>30</v>
      </c>
      <c r="C193" s="51" t="s">
        <v>1377</v>
      </c>
      <c r="D193" s="52" t="n">
        <v>45950</v>
      </c>
      <c r="E193" s="53" t="n">
        <v>206.91</v>
      </c>
      <c r="F193" s="53" t="n">
        <v>906.88</v>
      </c>
      <c r="G193" s="51" t="n">
        <v>12</v>
      </c>
      <c r="H193" s="51" t="n">
        <v>12</v>
      </c>
      <c r="I193" s="51"/>
    </row>
    <row r="194" customFormat="false" ht="15" hidden="false" customHeight="false" outlineLevel="0" collapsed="false">
      <c r="A194" s="51" t="s">
        <v>49</v>
      </c>
      <c r="B194" s="51" t="n">
        <v>30</v>
      </c>
      <c r="C194" s="51" t="s">
        <v>1377</v>
      </c>
      <c r="D194" s="52" t="n">
        <v>45951</v>
      </c>
      <c r="E194" s="53" t="n">
        <v>282.79</v>
      </c>
      <c r="F194" s="53" t="n">
        <v>2259.76</v>
      </c>
      <c r="G194" s="51" t="n">
        <v>29</v>
      </c>
      <c r="H194" s="51" t="n">
        <v>29</v>
      </c>
      <c r="I194" s="51" t="s">
        <v>1386</v>
      </c>
    </row>
    <row r="195" customFormat="false" ht="15" hidden="false" customHeight="false" outlineLevel="0" collapsed="false">
      <c r="A195" s="51" t="s">
        <v>49</v>
      </c>
      <c r="B195" s="51" t="n">
        <v>30</v>
      </c>
      <c r="C195" s="51" t="s">
        <v>1377</v>
      </c>
      <c r="D195" s="52" t="n">
        <v>45952</v>
      </c>
      <c r="E195" s="53" t="n">
        <v>337.46</v>
      </c>
      <c r="F195" s="53" t="n">
        <v>2172.32</v>
      </c>
      <c r="G195" s="51" t="n">
        <v>26</v>
      </c>
      <c r="H195" s="51" t="n">
        <v>28</v>
      </c>
      <c r="I195" s="51" t="s">
        <v>1386</v>
      </c>
    </row>
    <row r="196" customFormat="false" ht="15" hidden="false" customHeight="false" outlineLevel="0" collapsed="false">
      <c r="A196" s="51" t="s">
        <v>49</v>
      </c>
      <c r="B196" s="51" t="n">
        <v>30</v>
      </c>
      <c r="C196" s="51" t="s">
        <v>1377</v>
      </c>
      <c r="D196" s="52" t="n">
        <v>45953</v>
      </c>
      <c r="E196" s="53" t="n">
        <v>315.86</v>
      </c>
      <c r="F196" s="53" t="n">
        <v>1322.07</v>
      </c>
      <c r="G196" s="51" t="n">
        <v>17</v>
      </c>
      <c r="H196" s="51" t="n">
        <v>18</v>
      </c>
      <c r="I196" s="51" t="s">
        <v>1386</v>
      </c>
    </row>
    <row r="197" customFormat="false" ht="15" hidden="false" customHeight="false" outlineLevel="0" collapsed="false">
      <c r="A197" s="51" t="s">
        <v>49</v>
      </c>
      <c r="B197" s="51" t="n">
        <v>30</v>
      </c>
      <c r="C197" s="51" t="s">
        <v>1377</v>
      </c>
      <c r="D197" s="52" t="n">
        <v>45954</v>
      </c>
      <c r="E197" s="53" t="n">
        <v>388.73</v>
      </c>
      <c r="F197" s="53" t="n">
        <v>1689.18</v>
      </c>
      <c r="G197" s="51" t="n">
        <v>22</v>
      </c>
      <c r="H197" s="51" t="n">
        <v>22</v>
      </c>
      <c r="I197" s="51" t="s">
        <v>1386</v>
      </c>
    </row>
    <row r="198" customFormat="false" ht="15" hidden="false" customHeight="false" outlineLevel="0" collapsed="false">
      <c r="A198" s="51" t="s">
        <v>49</v>
      </c>
      <c r="B198" s="51" t="n">
        <v>30</v>
      </c>
      <c r="C198" s="51" t="s">
        <v>1377</v>
      </c>
      <c r="D198" s="52" t="n">
        <v>45955</v>
      </c>
      <c r="E198" s="53" t="n">
        <v>596.38</v>
      </c>
      <c r="F198" s="53" t="n">
        <v>2572.65</v>
      </c>
      <c r="G198" s="51" t="n">
        <v>35</v>
      </c>
      <c r="H198" s="51" t="n">
        <v>35</v>
      </c>
      <c r="I198" s="51" t="s">
        <v>1386</v>
      </c>
    </row>
    <row r="199" customFormat="false" ht="15" hidden="false" customHeight="false" outlineLevel="0" collapsed="false">
      <c r="A199" s="51" t="s">
        <v>49</v>
      </c>
      <c r="B199" s="51" t="n">
        <v>30</v>
      </c>
      <c r="C199" s="51" t="s">
        <v>1377</v>
      </c>
      <c r="D199" s="52" t="n">
        <v>45956</v>
      </c>
      <c r="E199" s="53" t="n">
        <v>707.52</v>
      </c>
      <c r="F199" s="53" t="n">
        <v>2814.87</v>
      </c>
      <c r="G199" s="51" t="n">
        <v>36</v>
      </c>
      <c r="H199" s="51" t="n">
        <v>38</v>
      </c>
      <c r="I199" s="51" t="s">
        <v>1386</v>
      </c>
    </row>
    <row r="200" customFormat="false" ht="15" hidden="false" customHeight="false" outlineLevel="0" collapsed="false">
      <c r="A200" s="51" t="s">
        <v>49</v>
      </c>
      <c r="B200" s="51" t="n">
        <v>30</v>
      </c>
      <c r="C200" s="51" t="s">
        <v>1377</v>
      </c>
      <c r="D200" s="52" t="n">
        <v>45957</v>
      </c>
      <c r="E200" s="53" t="n">
        <v>571.74</v>
      </c>
      <c r="F200" s="53" t="n">
        <v>3169.5</v>
      </c>
      <c r="G200" s="51" t="n">
        <v>36</v>
      </c>
      <c r="H200" s="51" t="n">
        <v>40</v>
      </c>
      <c r="I200" s="51" t="s">
        <v>1386</v>
      </c>
    </row>
    <row r="201" customFormat="false" ht="15" hidden="false" customHeight="false" outlineLevel="0" collapsed="false">
      <c r="A201" s="51" t="s">
        <v>49</v>
      </c>
      <c r="B201" s="51" t="n">
        <v>30</v>
      </c>
      <c r="C201" s="51" t="s">
        <v>1377</v>
      </c>
      <c r="D201" s="52" t="n">
        <v>45958</v>
      </c>
      <c r="E201" s="53" t="n">
        <v>473.08</v>
      </c>
      <c r="F201" s="53" t="n">
        <v>2602.68</v>
      </c>
      <c r="G201" s="51" t="n">
        <v>32</v>
      </c>
      <c r="H201" s="51" t="n">
        <v>32</v>
      </c>
      <c r="I201" s="51" t="s">
        <v>1386</v>
      </c>
    </row>
    <row r="202" customFormat="false" ht="15" hidden="false" customHeight="false" outlineLevel="0" collapsed="false">
      <c r="A202" s="51" t="s">
        <v>49</v>
      </c>
      <c r="B202" s="51" t="n">
        <v>30</v>
      </c>
      <c r="C202" s="51" t="s">
        <v>1377</v>
      </c>
      <c r="D202" s="52" t="n">
        <v>45959</v>
      </c>
      <c r="E202" s="53" t="n">
        <v>510.7</v>
      </c>
      <c r="F202" s="53" t="n">
        <v>2717.15</v>
      </c>
      <c r="G202" s="51" t="n">
        <v>35</v>
      </c>
      <c r="H202" s="51" t="n">
        <v>35</v>
      </c>
      <c r="I202" s="51" t="s">
        <v>1386</v>
      </c>
    </row>
    <row r="203" customFormat="false" ht="15" hidden="false" customHeight="false" outlineLevel="0" collapsed="false">
      <c r="A203" s="51" t="s">
        <v>49</v>
      </c>
      <c r="B203" s="51" t="n">
        <v>30</v>
      </c>
      <c r="C203" s="51" t="s">
        <v>1377</v>
      </c>
      <c r="D203" s="52" t="n">
        <v>45960</v>
      </c>
      <c r="E203" s="53" t="n">
        <v>270.41</v>
      </c>
      <c r="F203" s="53" t="n">
        <v>1574.83</v>
      </c>
      <c r="G203" s="51" t="n">
        <v>15</v>
      </c>
      <c r="H203" s="51" t="n">
        <v>17</v>
      </c>
      <c r="I203" s="51" t="s">
        <v>1386</v>
      </c>
    </row>
    <row r="204" customFormat="false" ht="15" hidden="false" customHeight="false" outlineLevel="0" collapsed="false">
      <c r="A204" s="51" t="s">
        <v>49</v>
      </c>
      <c r="B204" s="51" t="n">
        <v>30</v>
      </c>
      <c r="C204" s="51" t="s">
        <v>1377</v>
      </c>
      <c r="D204" s="52" t="n">
        <v>45961</v>
      </c>
      <c r="E204" s="53" t="n">
        <v>424.48</v>
      </c>
      <c r="F204" s="53" t="n">
        <v>1641.82</v>
      </c>
      <c r="G204" s="51" t="n">
        <v>18</v>
      </c>
      <c r="H204" s="51" t="n">
        <v>18</v>
      </c>
      <c r="I204" s="51" t="s">
        <v>1386</v>
      </c>
    </row>
    <row r="205" customFormat="false" ht="15" hidden="false" customHeight="false" outlineLevel="0" collapsed="false">
      <c r="A205" s="51" t="s">
        <v>49</v>
      </c>
      <c r="B205" s="51" t="n">
        <v>30</v>
      </c>
      <c r="C205" s="51" t="s">
        <v>1377</v>
      </c>
      <c r="D205" s="52" t="n">
        <v>45962</v>
      </c>
      <c r="E205" s="53" t="n">
        <v>466.06</v>
      </c>
      <c r="F205" s="53" t="n">
        <v>1353.85</v>
      </c>
      <c r="G205" s="51" t="n">
        <v>15</v>
      </c>
      <c r="H205" s="51" t="n">
        <v>15</v>
      </c>
      <c r="I205" s="51" t="s">
        <v>1386</v>
      </c>
    </row>
    <row r="206" customFormat="false" ht="15" hidden="false" customHeight="false" outlineLevel="0" collapsed="false">
      <c r="A206" s="51" t="s">
        <v>49</v>
      </c>
      <c r="B206" s="51" t="n">
        <v>30</v>
      </c>
      <c r="C206" s="51" t="s">
        <v>1377</v>
      </c>
      <c r="D206" s="52" t="n">
        <v>45963</v>
      </c>
      <c r="E206" s="53" t="n">
        <v>604.45</v>
      </c>
      <c r="F206" s="53" t="n">
        <v>2635.72</v>
      </c>
      <c r="G206" s="51" t="n">
        <v>27</v>
      </c>
      <c r="H206" s="51" t="n">
        <v>28</v>
      </c>
      <c r="I206" s="51" t="s">
        <v>1386</v>
      </c>
    </row>
    <row r="207" customFormat="false" ht="15" hidden="false" customHeight="false" outlineLevel="0" collapsed="false">
      <c r="A207" s="51" t="s">
        <v>49</v>
      </c>
      <c r="B207" s="51" t="n">
        <v>30</v>
      </c>
      <c r="C207" s="51" t="s">
        <v>1377</v>
      </c>
      <c r="D207" s="52" t="n">
        <v>45964</v>
      </c>
      <c r="E207" s="53" t="n">
        <v>498.01</v>
      </c>
      <c r="F207" s="53" t="n">
        <v>1601.73</v>
      </c>
      <c r="G207" s="51" t="n">
        <v>18</v>
      </c>
      <c r="H207" s="51" t="n">
        <v>18</v>
      </c>
      <c r="I207" s="51" t="s">
        <v>1386</v>
      </c>
    </row>
    <row r="208" customFormat="false" ht="15" hidden="false" customHeight="false" outlineLevel="0" collapsed="false">
      <c r="A208" s="51" t="s">
        <v>49</v>
      </c>
      <c r="B208" s="51" t="n">
        <v>30</v>
      </c>
      <c r="C208" s="51" t="s">
        <v>1377</v>
      </c>
      <c r="D208" s="52" t="n">
        <v>45965</v>
      </c>
      <c r="E208" s="53" t="n">
        <v>467.13</v>
      </c>
      <c r="F208" s="53" t="n">
        <v>1869.79</v>
      </c>
      <c r="G208" s="51" t="n">
        <v>21</v>
      </c>
      <c r="H208" s="51" t="n">
        <v>21</v>
      </c>
      <c r="I208" s="51" t="s">
        <v>1386</v>
      </c>
    </row>
    <row r="209" customFormat="false" ht="15" hidden="false" customHeight="false" outlineLevel="0" collapsed="false">
      <c r="A209" s="51" t="s">
        <v>49</v>
      </c>
      <c r="B209" s="51" t="n">
        <v>30</v>
      </c>
      <c r="C209" s="51" t="s">
        <v>1377</v>
      </c>
      <c r="D209" s="52" t="n">
        <v>45966</v>
      </c>
      <c r="E209" s="53" t="n">
        <v>501.46</v>
      </c>
      <c r="F209" s="53" t="n">
        <v>2479.72</v>
      </c>
      <c r="G209" s="51" t="n">
        <v>28</v>
      </c>
      <c r="H209" s="51" t="n">
        <v>28</v>
      </c>
      <c r="I209" s="51" t="s">
        <v>1386</v>
      </c>
    </row>
    <row r="210" customFormat="false" ht="15" hidden="false" customHeight="false" outlineLevel="0" collapsed="false">
      <c r="A210" s="51" t="s">
        <v>49</v>
      </c>
      <c r="B210" s="51" t="n">
        <v>30</v>
      </c>
      <c r="C210" s="51" t="s">
        <v>1377</v>
      </c>
      <c r="D210" s="52" t="n">
        <v>45967</v>
      </c>
      <c r="E210" s="53" t="n">
        <v>521.59</v>
      </c>
      <c r="F210" s="53" t="n">
        <v>1844.79</v>
      </c>
      <c r="G210" s="51" t="n">
        <v>20</v>
      </c>
      <c r="H210" s="51" t="n">
        <v>21</v>
      </c>
      <c r="I210" s="51" t="s">
        <v>1386</v>
      </c>
    </row>
    <row r="211" customFormat="false" ht="15" hidden="false" customHeight="false" outlineLevel="0" collapsed="false">
      <c r="A211" s="51" t="s">
        <v>49</v>
      </c>
      <c r="B211" s="51" t="n">
        <v>30</v>
      </c>
      <c r="C211" s="51" t="s">
        <v>1377</v>
      </c>
      <c r="D211" s="52" t="n">
        <v>45968</v>
      </c>
      <c r="E211" s="53" t="n">
        <v>459.25</v>
      </c>
      <c r="F211" s="53" t="n">
        <v>2012.77</v>
      </c>
      <c r="G211" s="51" t="n">
        <v>23</v>
      </c>
      <c r="H211" s="51" t="n">
        <v>23</v>
      </c>
      <c r="I211" s="51" t="s">
        <v>1386</v>
      </c>
    </row>
    <row r="212" customFormat="false" ht="15" hidden="false" customHeight="false" outlineLevel="0" collapsed="false">
      <c r="A212" s="51" t="s">
        <v>49</v>
      </c>
      <c r="B212" s="51" t="n">
        <v>30</v>
      </c>
      <c r="C212" s="51" t="s">
        <v>1377</v>
      </c>
      <c r="D212" s="52" t="n">
        <v>45969</v>
      </c>
      <c r="E212" s="53" t="n">
        <v>467.98</v>
      </c>
      <c r="F212" s="53" t="n">
        <v>1499.82</v>
      </c>
      <c r="G212" s="51" t="n">
        <v>18</v>
      </c>
      <c r="H212" s="51" t="n">
        <v>18</v>
      </c>
      <c r="I212" s="51" t="s">
        <v>1386</v>
      </c>
    </row>
    <row r="213" customFormat="false" ht="15" hidden="false" customHeight="false" outlineLevel="0" collapsed="false">
      <c r="A213" s="51" t="s">
        <v>49</v>
      </c>
      <c r="B213" s="51" t="n">
        <v>30</v>
      </c>
      <c r="C213" s="51" t="s">
        <v>1377</v>
      </c>
      <c r="D213" s="52" t="n">
        <v>45970</v>
      </c>
      <c r="E213" s="53" t="n">
        <v>594.19</v>
      </c>
      <c r="F213" s="53" t="n">
        <v>1939.78</v>
      </c>
      <c r="G213" s="51" t="n">
        <v>22</v>
      </c>
      <c r="H213" s="51" t="n">
        <v>22</v>
      </c>
      <c r="I213" s="51" t="s">
        <v>1386</v>
      </c>
    </row>
    <row r="214" customFormat="false" ht="15" hidden="false" customHeight="false" outlineLevel="0" collapsed="false">
      <c r="A214" s="51" t="s">
        <v>49</v>
      </c>
      <c r="B214" s="51" t="n">
        <v>30</v>
      </c>
      <c r="C214" s="51" t="s">
        <v>1377</v>
      </c>
      <c r="D214" s="52" t="n">
        <v>45971</v>
      </c>
      <c r="E214" s="53" t="n">
        <v>480.89</v>
      </c>
      <c r="F214" s="53" t="n">
        <v>1304.85</v>
      </c>
      <c r="G214" s="51" t="n">
        <v>15</v>
      </c>
      <c r="H214" s="51" t="n">
        <v>15</v>
      </c>
      <c r="I214" s="51" t="s">
        <v>1386</v>
      </c>
    </row>
    <row r="215" customFormat="false" ht="15" hidden="false" customHeight="false" outlineLevel="0" collapsed="false">
      <c r="A215" s="51" t="s">
        <v>49</v>
      </c>
      <c r="B215" s="51" t="n">
        <v>30</v>
      </c>
      <c r="C215" s="51" t="s">
        <v>1377</v>
      </c>
      <c r="D215" s="52" t="n">
        <v>45972</v>
      </c>
      <c r="E215" s="53" t="n">
        <v>447.98</v>
      </c>
      <c r="F215" s="53" t="n">
        <v>2142.74</v>
      </c>
      <c r="G215" s="51" t="n">
        <v>25</v>
      </c>
      <c r="H215" s="51" t="n">
        <v>26</v>
      </c>
      <c r="I215" s="51" t="s">
        <v>1386</v>
      </c>
    </row>
    <row r="216" customFormat="false" ht="15" hidden="false" customHeight="false" outlineLevel="0" collapsed="false">
      <c r="A216" s="51" t="s">
        <v>49</v>
      </c>
      <c r="B216" s="51" t="n">
        <v>30</v>
      </c>
      <c r="C216" s="51" t="s">
        <v>1377</v>
      </c>
      <c r="D216" s="52" t="n">
        <v>45973</v>
      </c>
      <c r="E216" s="53" t="n">
        <v>430.14</v>
      </c>
      <c r="F216" s="53" t="n">
        <v>989.89</v>
      </c>
      <c r="G216" s="51" t="n">
        <v>11</v>
      </c>
      <c r="H216" s="51" t="n">
        <v>11</v>
      </c>
      <c r="I216" s="51" t="s">
        <v>1386</v>
      </c>
    </row>
    <row r="217" customFormat="false" ht="15" hidden="false" customHeight="false" outlineLevel="0" collapsed="false">
      <c r="A217" s="51" t="s">
        <v>49</v>
      </c>
      <c r="B217" s="51" t="n">
        <v>30</v>
      </c>
      <c r="C217" s="51" t="s">
        <v>1377</v>
      </c>
      <c r="D217" s="52" t="n">
        <v>45974</v>
      </c>
      <c r="E217" s="53" t="n">
        <v>515.17</v>
      </c>
      <c r="F217" s="53" t="n">
        <v>4163.52</v>
      </c>
      <c r="G217" s="51" t="n">
        <v>48</v>
      </c>
      <c r="H217" s="51" t="n">
        <v>48</v>
      </c>
      <c r="I217" s="51" t="s">
        <v>1386</v>
      </c>
    </row>
    <row r="218" customFormat="false" ht="15" hidden="false" customHeight="false" outlineLevel="0" collapsed="false">
      <c r="A218" s="51" t="s">
        <v>49</v>
      </c>
      <c r="B218" s="51" t="n">
        <v>30</v>
      </c>
      <c r="C218" s="51" t="s">
        <v>1377</v>
      </c>
      <c r="D218" s="52" t="n">
        <v>45975</v>
      </c>
      <c r="E218" s="53" t="n">
        <v>290.55</v>
      </c>
      <c r="F218" s="53" t="n">
        <v>1554.83</v>
      </c>
      <c r="G218" s="51" t="n">
        <v>17</v>
      </c>
      <c r="H218" s="51" t="n">
        <v>17</v>
      </c>
      <c r="I218" s="51" t="s">
        <v>1386</v>
      </c>
    </row>
    <row r="219" customFormat="false" ht="15" hidden="false" customHeight="false" outlineLevel="0" collapsed="false">
      <c r="A219" s="51" t="s">
        <v>49</v>
      </c>
      <c r="B219" s="51" t="n">
        <v>30</v>
      </c>
      <c r="C219" s="51" t="s">
        <v>1377</v>
      </c>
      <c r="D219" s="52" t="n">
        <v>45976</v>
      </c>
      <c r="E219" s="53" t="n">
        <v>403.3</v>
      </c>
      <c r="F219" s="53" t="n">
        <v>2088.77</v>
      </c>
      <c r="G219" s="51" t="n">
        <v>20</v>
      </c>
      <c r="H219" s="51" t="n">
        <v>23</v>
      </c>
      <c r="I219" s="51" t="s">
        <v>1386</v>
      </c>
    </row>
    <row r="220" customFormat="false" ht="15" hidden="false" customHeight="false" outlineLevel="0" collapsed="false">
      <c r="A220" s="51" t="s">
        <v>49</v>
      </c>
      <c r="B220" s="51" t="n">
        <v>30</v>
      </c>
      <c r="C220" s="51" t="s">
        <v>1377</v>
      </c>
      <c r="D220" s="52" t="n">
        <v>45977</v>
      </c>
      <c r="E220" s="53" t="n">
        <v>453.94</v>
      </c>
      <c r="F220" s="53" t="n">
        <v>1323.84</v>
      </c>
      <c r="G220" s="51" t="n">
        <v>16</v>
      </c>
      <c r="H220" s="51" t="n">
        <v>16</v>
      </c>
      <c r="I220" s="51" t="s">
        <v>1386</v>
      </c>
    </row>
    <row r="221" customFormat="false" ht="15" hidden="false" customHeight="false" outlineLevel="0" collapsed="false">
      <c r="A221" s="51" t="s">
        <v>49</v>
      </c>
      <c r="B221" s="51" t="n">
        <v>30</v>
      </c>
      <c r="C221" s="51" t="s">
        <v>1377</v>
      </c>
      <c r="D221" s="52" t="n">
        <v>45978</v>
      </c>
      <c r="E221" s="53" t="n">
        <v>313.03</v>
      </c>
      <c r="F221" s="53" t="n">
        <v>1736.03</v>
      </c>
      <c r="G221" s="51" t="n">
        <v>19</v>
      </c>
      <c r="H221" s="51" t="n">
        <v>22</v>
      </c>
      <c r="I221" s="51" t="s">
        <v>1386</v>
      </c>
    </row>
    <row r="222" customFormat="false" ht="15" hidden="false" customHeight="false" outlineLevel="0" collapsed="false">
      <c r="A222" s="51" t="s">
        <v>49</v>
      </c>
      <c r="B222" s="51" t="n">
        <v>30</v>
      </c>
      <c r="C222" s="51" t="s">
        <v>1377</v>
      </c>
      <c r="D222" s="52" t="n">
        <v>45979</v>
      </c>
      <c r="E222" s="53" t="n">
        <v>326.85</v>
      </c>
      <c r="F222" s="53" t="n">
        <v>1966.46</v>
      </c>
      <c r="G222" s="51" t="n">
        <v>20</v>
      </c>
      <c r="H222" s="51" t="n">
        <v>24</v>
      </c>
      <c r="I222" s="51" t="s">
        <v>1386</v>
      </c>
    </row>
    <row r="223" customFormat="false" ht="15" hidden="false" customHeight="false" outlineLevel="0" collapsed="false">
      <c r="A223" s="51" t="s">
        <v>49</v>
      </c>
      <c r="B223" s="51" t="n">
        <v>30</v>
      </c>
      <c r="C223" s="51" t="s">
        <v>1377</v>
      </c>
      <c r="D223" s="52" t="n">
        <v>45980</v>
      </c>
      <c r="E223" s="53" t="n">
        <v>382.91</v>
      </c>
      <c r="F223" s="53" t="n">
        <v>1845.86</v>
      </c>
      <c r="G223" s="51" t="n">
        <v>25</v>
      </c>
      <c r="H223" s="51" t="n">
        <v>25</v>
      </c>
      <c r="I223" s="51" t="s">
        <v>1386</v>
      </c>
    </row>
    <row r="224" customFormat="false" ht="15" hidden="false" customHeight="false" outlineLevel="0" collapsed="false">
      <c r="A224" s="51" t="s">
        <v>49</v>
      </c>
      <c r="B224" s="51" t="n">
        <v>30</v>
      </c>
      <c r="C224" s="51" t="s">
        <v>1377</v>
      </c>
      <c r="D224" s="52" t="n">
        <v>45981</v>
      </c>
      <c r="E224" s="53" t="n">
        <v>878.36</v>
      </c>
      <c r="F224" s="53" t="n">
        <v>4284.93</v>
      </c>
      <c r="G224" s="51" t="n">
        <v>61</v>
      </c>
      <c r="H224" s="51" t="n">
        <v>63</v>
      </c>
      <c r="I224" s="51" t="s">
        <v>1387</v>
      </c>
    </row>
    <row r="225" customFormat="false" ht="15" hidden="false" customHeight="false" outlineLevel="0" collapsed="false">
      <c r="A225" s="51" t="s">
        <v>49</v>
      </c>
      <c r="B225" s="51" t="n">
        <v>30</v>
      </c>
      <c r="C225" s="51" t="s">
        <v>1377</v>
      </c>
      <c r="D225" s="52" t="n">
        <v>45982</v>
      </c>
      <c r="E225" s="53" t="n">
        <v>504.74</v>
      </c>
      <c r="F225" s="53" t="n">
        <v>4041.18</v>
      </c>
      <c r="G225" s="51" t="n">
        <v>53</v>
      </c>
      <c r="H225" s="51" t="n">
        <v>57</v>
      </c>
      <c r="I225" s="51" t="s">
        <v>1387</v>
      </c>
    </row>
    <row r="226" customFormat="false" ht="15" hidden="false" customHeight="false" outlineLevel="0" collapsed="false">
      <c r="A226" s="51" t="s">
        <v>49</v>
      </c>
      <c r="B226" s="51" t="n">
        <v>30</v>
      </c>
      <c r="C226" s="51" t="s">
        <v>1377</v>
      </c>
      <c r="D226" s="52" t="n">
        <v>45983</v>
      </c>
      <c r="E226" s="53" t="n">
        <v>512.46</v>
      </c>
      <c r="F226" s="53" t="n">
        <v>3696.51</v>
      </c>
      <c r="G226" s="51" t="n">
        <v>54</v>
      </c>
      <c r="H226" s="51" t="n">
        <v>54</v>
      </c>
      <c r="I226" s="51" t="s">
        <v>1387</v>
      </c>
    </row>
    <row r="227" customFormat="false" ht="15" hidden="false" customHeight="false" outlineLevel="0" collapsed="false">
      <c r="A227" s="51" t="s">
        <v>49</v>
      </c>
      <c r="B227" s="51" t="n">
        <v>30</v>
      </c>
      <c r="C227" s="51" t="s">
        <v>1377</v>
      </c>
      <c r="D227" s="52" t="n">
        <v>45984</v>
      </c>
      <c r="E227" s="53" t="n">
        <v>519.26</v>
      </c>
      <c r="F227" s="53" t="n">
        <v>2442.27</v>
      </c>
      <c r="G227" s="51" t="n">
        <v>37</v>
      </c>
      <c r="H227" s="51" t="n">
        <v>38</v>
      </c>
      <c r="I227" s="51" t="s">
        <v>1387</v>
      </c>
    </row>
    <row r="228" customFormat="false" ht="15" hidden="false" customHeight="false" outlineLevel="0" collapsed="false">
      <c r="A228" s="51" t="s">
        <v>49</v>
      </c>
      <c r="B228" s="51" t="n">
        <v>30</v>
      </c>
      <c r="C228" s="51" t="s">
        <v>1377</v>
      </c>
      <c r="D228" s="52" t="n">
        <v>45985</v>
      </c>
      <c r="E228" s="53" t="n">
        <v>546.49</v>
      </c>
      <c r="F228" s="53" t="n">
        <v>2612.37</v>
      </c>
      <c r="G228" s="51" t="n">
        <v>37</v>
      </c>
      <c r="H228" s="51" t="n">
        <v>38</v>
      </c>
      <c r="I228" s="51" t="s">
        <v>1387</v>
      </c>
    </row>
    <row r="229" customFormat="false" ht="15" hidden="false" customHeight="false" outlineLevel="0" collapsed="false">
      <c r="A229" s="51" t="s">
        <v>49</v>
      </c>
      <c r="B229" s="51" t="n">
        <v>30</v>
      </c>
      <c r="C229" s="51" t="s">
        <v>1377</v>
      </c>
      <c r="D229" s="52" t="n">
        <v>45986</v>
      </c>
      <c r="E229" s="53" t="n">
        <v>513.97</v>
      </c>
      <c r="F229" s="53" t="n">
        <v>3431.51</v>
      </c>
      <c r="G229" s="51" t="n">
        <v>49</v>
      </c>
      <c r="H229" s="51" t="n">
        <v>52</v>
      </c>
      <c r="I229" s="51" t="s">
        <v>1387</v>
      </c>
    </row>
    <row r="230" customFormat="false" ht="15" hidden="false" customHeight="false" outlineLevel="0" collapsed="false">
      <c r="A230" s="51" t="s">
        <v>49</v>
      </c>
      <c r="B230" s="51" t="n">
        <v>30</v>
      </c>
      <c r="C230" s="51" t="s">
        <v>1377</v>
      </c>
      <c r="D230" s="52" t="n">
        <v>45987</v>
      </c>
      <c r="E230" s="53" t="n">
        <v>796.77</v>
      </c>
      <c r="F230" s="53" t="n">
        <v>3629.71</v>
      </c>
      <c r="G230" s="51" t="n">
        <v>52</v>
      </c>
      <c r="H230" s="51" t="n">
        <v>54</v>
      </c>
      <c r="I230" s="51" t="s">
        <v>1387</v>
      </c>
    </row>
    <row r="231" customFormat="false" ht="15" hidden="false" customHeight="false" outlineLevel="0" collapsed="false">
      <c r="A231" s="51" t="s">
        <v>49</v>
      </c>
      <c r="B231" s="51" t="n">
        <v>30</v>
      </c>
      <c r="C231" s="51" t="s">
        <v>1377</v>
      </c>
      <c r="D231" s="52" t="n">
        <v>45988</v>
      </c>
      <c r="E231" s="53" t="n">
        <v>426.61</v>
      </c>
      <c r="F231" s="53" t="n">
        <v>3252.7</v>
      </c>
      <c r="G231" s="51" t="n">
        <v>49</v>
      </c>
      <c r="H231" s="51" t="n">
        <v>50</v>
      </c>
      <c r="I231" s="51" t="s">
        <v>1387</v>
      </c>
    </row>
    <row r="232" customFormat="false" ht="15" hidden="false" customHeight="false" outlineLevel="0" collapsed="false">
      <c r="A232" s="51" t="s">
        <v>49</v>
      </c>
      <c r="B232" s="51" t="n">
        <v>30</v>
      </c>
      <c r="C232" s="51" t="s">
        <v>1377</v>
      </c>
      <c r="D232" s="52" t="n">
        <v>45989</v>
      </c>
      <c r="E232" s="53" t="n">
        <v>894.94</v>
      </c>
      <c r="F232" s="53" t="n">
        <v>7065.23</v>
      </c>
      <c r="G232" s="51" t="n">
        <v>100</v>
      </c>
      <c r="H232" s="51" t="n">
        <v>104</v>
      </c>
      <c r="I232" s="51" t="s">
        <v>1387</v>
      </c>
    </row>
    <row r="233" customFormat="false" ht="15" hidden="false" customHeight="false" outlineLevel="0" collapsed="false">
      <c r="A233" s="51" t="s">
        <v>49</v>
      </c>
      <c r="B233" s="51" t="n">
        <v>30</v>
      </c>
      <c r="C233" s="51" t="s">
        <v>1377</v>
      </c>
      <c r="D233" s="52" t="n">
        <v>45990</v>
      </c>
      <c r="E233" s="53" t="n">
        <v>838.57</v>
      </c>
      <c r="F233" s="53" t="n">
        <v>5142.3</v>
      </c>
      <c r="G233" s="51" t="n">
        <v>72</v>
      </c>
      <c r="H233" s="51" t="n">
        <v>75</v>
      </c>
      <c r="I233" s="51" t="s">
        <v>1387</v>
      </c>
    </row>
    <row r="234" customFormat="false" ht="15" hidden="false" customHeight="false" outlineLevel="0" collapsed="false">
      <c r="A234" s="51" t="s">
        <v>49</v>
      </c>
      <c r="B234" s="51" t="n">
        <v>30</v>
      </c>
      <c r="C234" s="51" t="s">
        <v>1377</v>
      </c>
      <c r="D234" s="52" t="n">
        <v>45991</v>
      </c>
      <c r="E234" s="53" t="n">
        <v>725.06</v>
      </c>
      <c r="F234" s="53" t="n">
        <v>4519.88</v>
      </c>
      <c r="G234" s="51" t="n">
        <v>65</v>
      </c>
      <c r="H234" s="51" t="n">
        <v>67</v>
      </c>
      <c r="I234" s="51" t="s">
        <v>1387</v>
      </c>
    </row>
    <row r="235" customFormat="false" ht="15" hidden="false" customHeight="false" outlineLevel="0" collapsed="false">
      <c r="A235" s="51" t="s">
        <v>49</v>
      </c>
      <c r="B235" s="51" t="n">
        <v>30</v>
      </c>
      <c r="C235" s="51" t="s">
        <v>1377</v>
      </c>
      <c r="D235" s="52" t="n">
        <v>45992</v>
      </c>
      <c r="E235" s="53" t="n">
        <v>973</v>
      </c>
      <c r="F235" s="53" t="n">
        <v>6813.43</v>
      </c>
      <c r="G235" s="51" t="n">
        <v>94</v>
      </c>
      <c r="H235" s="51" t="n">
        <v>97</v>
      </c>
      <c r="I235" s="51" t="s">
        <v>1387</v>
      </c>
    </row>
    <row r="236" customFormat="false" ht="15" hidden="false" customHeight="false" outlineLevel="0" collapsed="false">
      <c r="A236" s="51" t="s">
        <v>49</v>
      </c>
      <c r="B236" s="51" t="n">
        <v>30</v>
      </c>
      <c r="C236" s="51" t="s">
        <v>1377</v>
      </c>
      <c r="D236" s="52" t="n">
        <v>45993</v>
      </c>
      <c r="E236" s="53" t="n">
        <v>678.48</v>
      </c>
      <c r="F236" s="53" t="n">
        <v>2889.67</v>
      </c>
      <c r="G236" s="51" t="n">
        <v>32</v>
      </c>
      <c r="H236" s="51" t="n">
        <v>33</v>
      </c>
      <c r="I236" s="51"/>
    </row>
    <row r="237" customFormat="false" ht="15" hidden="false" customHeight="false" outlineLevel="0" collapsed="false">
      <c r="A237" s="51" t="s">
        <v>49</v>
      </c>
      <c r="B237" s="51" t="n">
        <v>30</v>
      </c>
      <c r="C237" s="51" t="s">
        <v>1377</v>
      </c>
      <c r="D237" s="52" t="n">
        <v>45994</v>
      </c>
      <c r="E237" s="53" t="n">
        <v>468.7</v>
      </c>
      <c r="F237" s="53" t="n">
        <v>1709.8</v>
      </c>
      <c r="G237" s="51" t="n">
        <v>20</v>
      </c>
      <c r="H237" s="51" t="n">
        <v>20</v>
      </c>
      <c r="I237" s="51"/>
    </row>
    <row r="238" customFormat="false" ht="15" hidden="false" customHeight="false" outlineLevel="0" collapsed="false">
      <c r="A238" s="51" t="s">
        <v>49</v>
      </c>
      <c r="B238" s="51" t="n">
        <v>30</v>
      </c>
      <c r="C238" s="51" t="s">
        <v>1377</v>
      </c>
      <c r="D238" s="52" t="n">
        <v>45995</v>
      </c>
      <c r="E238" s="53" t="n">
        <v>429.4</v>
      </c>
      <c r="F238" s="53" t="n">
        <v>1824.79</v>
      </c>
      <c r="G238" s="51" t="n">
        <v>19</v>
      </c>
      <c r="H238" s="51" t="n">
        <v>21</v>
      </c>
      <c r="I238" s="51"/>
    </row>
    <row r="239" customFormat="false" ht="15" hidden="false" customHeight="false" outlineLevel="0" collapsed="false">
      <c r="A239" s="51" t="s">
        <v>49</v>
      </c>
      <c r="B239" s="51" t="n">
        <v>30</v>
      </c>
      <c r="C239" s="51" t="s">
        <v>1377</v>
      </c>
      <c r="D239" s="52" t="n">
        <v>45996</v>
      </c>
      <c r="E239" s="53" t="n">
        <v>297.34</v>
      </c>
      <c r="F239" s="53" t="n">
        <v>1509.83</v>
      </c>
      <c r="G239" s="51" t="n">
        <v>17</v>
      </c>
      <c r="H239" s="51" t="n">
        <v>17</v>
      </c>
      <c r="I239" s="51"/>
    </row>
    <row r="240" customFormat="false" ht="15" hidden="false" customHeight="false" outlineLevel="0" collapsed="false">
      <c r="A240" s="51" t="s">
        <v>49</v>
      </c>
      <c r="B240" s="51" t="n">
        <v>30</v>
      </c>
      <c r="C240" s="51" t="s">
        <v>1377</v>
      </c>
      <c r="D240" s="52" t="n">
        <v>45997</v>
      </c>
      <c r="E240" s="53" t="n">
        <v>361.13</v>
      </c>
      <c r="F240" s="53" t="n">
        <v>2048.76</v>
      </c>
      <c r="G240" s="51" t="n">
        <v>24</v>
      </c>
      <c r="H240" s="51" t="n">
        <v>24</v>
      </c>
      <c r="I240" s="51"/>
    </row>
    <row r="241" customFormat="false" ht="15" hidden="false" customHeight="false" outlineLevel="0" collapsed="false">
      <c r="A241" s="51" t="s">
        <v>49</v>
      </c>
      <c r="B241" s="51" t="n">
        <v>30</v>
      </c>
      <c r="C241" s="51" t="s">
        <v>1377</v>
      </c>
      <c r="D241" s="52" t="n">
        <v>45998</v>
      </c>
      <c r="E241" s="53" t="n">
        <v>363.7</v>
      </c>
      <c r="F241" s="53" t="n">
        <v>2654.7</v>
      </c>
      <c r="G241" s="51" t="n">
        <v>30</v>
      </c>
      <c r="H241" s="51" t="n">
        <v>30</v>
      </c>
      <c r="I241" s="51"/>
    </row>
    <row r="242" customFormat="false" ht="15" hidden="false" customHeight="false" outlineLevel="0" collapsed="false">
      <c r="A242" s="51" t="s">
        <v>49</v>
      </c>
      <c r="B242" s="51" t="n">
        <v>30</v>
      </c>
      <c r="C242" s="51" t="s">
        <v>1377</v>
      </c>
      <c r="D242" s="52" t="n">
        <v>45999</v>
      </c>
      <c r="E242" s="53" t="n">
        <v>305.45</v>
      </c>
      <c r="F242" s="53" t="n">
        <v>1245.84</v>
      </c>
      <c r="G242" s="51" t="n">
        <v>16</v>
      </c>
      <c r="H242" s="51" t="n">
        <v>16</v>
      </c>
      <c r="I242" s="51"/>
    </row>
    <row r="243" customFormat="false" ht="15" hidden="false" customHeight="false" outlineLevel="0" collapsed="false">
      <c r="A243" s="51" t="s">
        <v>49</v>
      </c>
      <c r="B243" s="51" t="n">
        <v>30</v>
      </c>
      <c r="C243" s="51" t="s">
        <v>1377</v>
      </c>
      <c r="D243" s="52" t="n">
        <v>46000</v>
      </c>
      <c r="E243" s="53" t="n">
        <v>275.42</v>
      </c>
      <c r="F243" s="53" t="n">
        <v>1804.8</v>
      </c>
      <c r="G243" s="51" t="n">
        <v>20</v>
      </c>
      <c r="H243" s="51" t="n">
        <v>20</v>
      </c>
      <c r="I243" s="51"/>
    </row>
    <row r="244" customFormat="false" ht="15" hidden="false" customHeight="false" outlineLevel="0" collapsed="false">
      <c r="A244" s="51" t="s">
        <v>49</v>
      </c>
      <c r="B244" s="51" t="n">
        <v>30</v>
      </c>
      <c r="C244" s="51" t="s">
        <v>1377</v>
      </c>
      <c r="D244" s="52" t="n">
        <v>46001</v>
      </c>
      <c r="E244" s="53" t="n">
        <v>285.58</v>
      </c>
      <c r="F244" s="53" t="n">
        <v>2574.71</v>
      </c>
      <c r="G244" s="51" t="n">
        <v>26</v>
      </c>
      <c r="H244" s="51" t="n">
        <v>29</v>
      </c>
      <c r="I244" s="51"/>
    </row>
    <row r="245" customFormat="false" ht="15" hidden="false" customHeight="false" outlineLevel="0" collapsed="false">
      <c r="A245" s="51" t="s">
        <v>49</v>
      </c>
      <c r="B245" s="51" t="n">
        <v>30</v>
      </c>
      <c r="C245" s="51" t="s">
        <v>1377</v>
      </c>
      <c r="D245" s="52" t="n">
        <v>46002</v>
      </c>
      <c r="E245" s="53" t="n">
        <v>293.84</v>
      </c>
      <c r="F245" s="53" t="n">
        <v>1889.78</v>
      </c>
      <c r="G245" s="51" t="n">
        <v>21</v>
      </c>
      <c r="H245" s="51" t="n">
        <v>22</v>
      </c>
      <c r="I245" s="51"/>
    </row>
    <row r="246" customFormat="false" ht="15" hidden="false" customHeight="false" outlineLevel="0" collapsed="false">
      <c r="A246" s="51" t="s">
        <v>49</v>
      </c>
      <c r="B246" s="51" t="n">
        <v>30</v>
      </c>
      <c r="C246" s="51" t="s">
        <v>1377</v>
      </c>
      <c r="D246" s="52" t="n">
        <v>46003</v>
      </c>
      <c r="E246" s="53" t="n">
        <v>343.18</v>
      </c>
      <c r="F246" s="53" t="n">
        <v>1388.83</v>
      </c>
      <c r="G246" s="51" t="n">
        <v>17</v>
      </c>
      <c r="H246" s="51" t="n">
        <v>17</v>
      </c>
      <c r="I246" s="51"/>
    </row>
    <row r="247" customFormat="false" ht="15" hidden="false" customHeight="false" outlineLevel="0" collapsed="false">
      <c r="A247" s="51" t="s">
        <v>49</v>
      </c>
      <c r="B247" s="51" t="n">
        <v>30</v>
      </c>
      <c r="C247" s="51" t="s">
        <v>1377</v>
      </c>
      <c r="D247" s="52" t="n">
        <v>46004</v>
      </c>
      <c r="E247" s="53" t="n">
        <v>410.01</v>
      </c>
      <c r="F247" s="53" t="n">
        <v>2489.71</v>
      </c>
      <c r="G247" s="51" t="n">
        <v>28</v>
      </c>
      <c r="H247" s="51" t="n">
        <v>29</v>
      </c>
      <c r="I247" s="51"/>
    </row>
    <row r="248" customFormat="false" ht="15" hidden="false" customHeight="false" outlineLevel="0" collapsed="false">
      <c r="A248" s="51" t="s">
        <v>49</v>
      </c>
      <c r="B248" s="51" t="n">
        <v>30</v>
      </c>
      <c r="C248" s="51" t="s">
        <v>1377</v>
      </c>
      <c r="D248" s="52" t="n">
        <v>46005</v>
      </c>
      <c r="E248" s="53" t="n">
        <v>401.92</v>
      </c>
      <c r="F248" s="53" t="n">
        <v>2523.7</v>
      </c>
      <c r="G248" s="51" t="n">
        <v>30</v>
      </c>
      <c r="H248" s="51" t="n">
        <v>30</v>
      </c>
      <c r="I248" s="51"/>
    </row>
    <row r="249" customFormat="false" ht="15" hidden="false" customHeight="false" outlineLevel="0" collapsed="false">
      <c r="A249" s="51" t="s">
        <v>49</v>
      </c>
      <c r="B249" s="51" t="n">
        <v>30</v>
      </c>
      <c r="C249" s="51" t="s">
        <v>1377</v>
      </c>
      <c r="D249" s="52" t="n">
        <v>46006</v>
      </c>
      <c r="E249" s="53" t="n">
        <v>434.78</v>
      </c>
      <c r="F249" s="53" t="n">
        <v>2089.76</v>
      </c>
      <c r="G249" s="51" t="n">
        <v>24</v>
      </c>
      <c r="H249" s="51" t="n">
        <v>24</v>
      </c>
      <c r="I249" s="51"/>
    </row>
    <row r="250" customFormat="false" ht="15" hidden="false" customHeight="false" outlineLevel="0" collapsed="false">
      <c r="A250" s="51" t="s">
        <v>55</v>
      </c>
      <c r="B250" s="51" t="n">
        <v>32</v>
      </c>
      <c r="C250" s="51" t="s">
        <v>314</v>
      </c>
      <c r="D250" s="52" t="n">
        <v>45945</v>
      </c>
      <c r="E250" s="53" t="n">
        <v>403.31</v>
      </c>
      <c r="F250" s="53" t="n">
        <v>754.89</v>
      </c>
      <c r="G250" s="51" t="n">
        <v>11</v>
      </c>
      <c r="H250" s="51" t="n">
        <v>11</v>
      </c>
      <c r="I250" s="51"/>
    </row>
    <row r="251" customFormat="false" ht="15" hidden="false" customHeight="false" outlineLevel="0" collapsed="false">
      <c r="A251" s="51" t="s">
        <v>55</v>
      </c>
      <c r="B251" s="51" t="n">
        <v>32</v>
      </c>
      <c r="C251" s="51" t="s">
        <v>314</v>
      </c>
      <c r="D251" s="52" t="n">
        <v>45946</v>
      </c>
      <c r="E251" s="53" t="n">
        <v>405.58</v>
      </c>
      <c r="F251" s="53" t="n">
        <v>599.91</v>
      </c>
      <c r="G251" s="51" t="n">
        <v>9</v>
      </c>
      <c r="H251" s="51" t="n">
        <v>9</v>
      </c>
      <c r="I251" s="51"/>
    </row>
    <row r="252" customFormat="false" ht="15" hidden="false" customHeight="false" outlineLevel="0" collapsed="false">
      <c r="A252" s="51" t="s">
        <v>55</v>
      </c>
      <c r="B252" s="51" t="n">
        <v>32</v>
      </c>
      <c r="C252" s="51" t="s">
        <v>314</v>
      </c>
      <c r="D252" s="52" t="n">
        <v>45947</v>
      </c>
      <c r="E252" s="53" t="n">
        <v>572.26</v>
      </c>
      <c r="F252" s="53" t="n">
        <v>944.86</v>
      </c>
      <c r="G252" s="51" t="n">
        <v>13</v>
      </c>
      <c r="H252" s="51" t="n">
        <v>14</v>
      </c>
      <c r="I252" s="51"/>
    </row>
    <row r="253" customFormat="false" ht="15" hidden="false" customHeight="false" outlineLevel="0" collapsed="false">
      <c r="A253" s="51" t="s">
        <v>55</v>
      </c>
      <c r="B253" s="51" t="n">
        <v>32</v>
      </c>
      <c r="C253" s="51" t="s">
        <v>314</v>
      </c>
      <c r="D253" s="52" t="n">
        <v>45948</v>
      </c>
      <c r="E253" s="53" t="n">
        <v>671.31</v>
      </c>
      <c r="F253" s="53" t="n">
        <v>1339.8</v>
      </c>
      <c r="G253" s="51" t="n">
        <v>20</v>
      </c>
      <c r="H253" s="51" t="n">
        <v>20</v>
      </c>
      <c r="I253" s="51"/>
    </row>
    <row r="254" customFormat="false" ht="15" hidden="false" customHeight="false" outlineLevel="0" collapsed="false">
      <c r="A254" s="51" t="s">
        <v>55</v>
      </c>
      <c r="B254" s="51" t="n">
        <v>32</v>
      </c>
      <c r="C254" s="51" t="s">
        <v>314</v>
      </c>
      <c r="D254" s="52" t="n">
        <v>45949</v>
      </c>
      <c r="E254" s="53" t="n">
        <v>741.94</v>
      </c>
      <c r="F254" s="53" t="n">
        <v>1839.73</v>
      </c>
      <c r="G254" s="51" t="n">
        <v>27</v>
      </c>
      <c r="H254" s="51" t="n">
        <v>27</v>
      </c>
      <c r="I254" s="51"/>
    </row>
    <row r="255" customFormat="false" ht="15" hidden="false" customHeight="false" outlineLevel="0" collapsed="false">
      <c r="A255" s="51" t="s">
        <v>55</v>
      </c>
      <c r="B255" s="51" t="n">
        <v>32</v>
      </c>
      <c r="C255" s="51" t="s">
        <v>314</v>
      </c>
      <c r="D255" s="52" t="n">
        <v>45950</v>
      </c>
      <c r="E255" s="53" t="n">
        <v>543.25</v>
      </c>
      <c r="F255" s="53" t="n">
        <v>824.88</v>
      </c>
      <c r="G255" s="51" t="n">
        <v>12</v>
      </c>
      <c r="H255" s="51" t="n">
        <v>12</v>
      </c>
      <c r="I255" s="51"/>
    </row>
    <row r="256" customFormat="false" ht="15" hidden="false" customHeight="false" outlineLevel="0" collapsed="false">
      <c r="A256" s="51" t="s">
        <v>55</v>
      </c>
      <c r="B256" s="51" t="n">
        <v>32</v>
      </c>
      <c r="C256" s="51" t="s">
        <v>314</v>
      </c>
      <c r="D256" s="52" t="n">
        <v>45951</v>
      </c>
      <c r="E256" s="53" t="n">
        <v>423.49</v>
      </c>
      <c r="F256" s="53" t="n">
        <v>1214.82</v>
      </c>
      <c r="G256" s="51" t="n">
        <v>18</v>
      </c>
      <c r="H256" s="51" t="n">
        <v>18</v>
      </c>
      <c r="I256" s="51" t="s">
        <v>1386</v>
      </c>
    </row>
    <row r="257" customFormat="false" ht="15" hidden="false" customHeight="false" outlineLevel="0" collapsed="false">
      <c r="A257" s="51" t="s">
        <v>55</v>
      </c>
      <c r="B257" s="51" t="n">
        <v>32</v>
      </c>
      <c r="C257" s="51" t="s">
        <v>314</v>
      </c>
      <c r="D257" s="52" t="n">
        <v>45952</v>
      </c>
      <c r="E257" s="53" t="n">
        <v>334.79</v>
      </c>
      <c r="F257" s="53" t="n">
        <v>264.96</v>
      </c>
      <c r="G257" s="51" t="n">
        <v>4</v>
      </c>
      <c r="H257" s="51" t="n">
        <v>4</v>
      </c>
      <c r="I257" s="51" t="s">
        <v>1386</v>
      </c>
    </row>
    <row r="258" customFormat="false" ht="15" hidden="false" customHeight="false" outlineLevel="0" collapsed="false">
      <c r="A258" s="51" t="s">
        <v>55</v>
      </c>
      <c r="B258" s="51" t="n">
        <v>32</v>
      </c>
      <c r="C258" s="51" t="s">
        <v>314</v>
      </c>
      <c r="D258" s="52" t="n">
        <v>45953</v>
      </c>
      <c r="E258" s="53" t="n">
        <v>389.23</v>
      </c>
      <c r="F258" s="53" t="n">
        <v>884.87</v>
      </c>
      <c r="G258" s="51" t="n">
        <v>13</v>
      </c>
      <c r="H258" s="51" t="n">
        <v>13</v>
      </c>
      <c r="I258" s="51" t="s">
        <v>1386</v>
      </c>
    </row>
    <row r="259" customFormat="false" ht="15" hidden="false" customHeight="false" outlineLevel="0" collapsed="false">
      <c r="A259" s="51" t="s">
        <v>55</v>
      </c>
      <c r="B259" s="51" t="n">
        <v>32</v>
      </c>
      <c r="C259" s="51" t="s">
        <v>314</v>
      </c>
      <c r="D259" s="52" t="n">
        <v>45954</v>
      </c>
      <c r="E259" s="53" t="n">
        <v>394.66</v>
      </c>
      <c r="F259" s="53" t="n">
        <v>484.93</v>
      </c>
      <c r="G259" s="51" t="n">
        <v>7</v>
      </c>
      <c r="H259" s="51" t="n">
        <v>7</v>
      </c>
      <c r="I259" s="51" t="s">
        <v>1386</v>
      </c>
    </row>
    <row r="260" customFormat="false" ht="15" hidden="false" customHeight="false" outlineLevel="0" collapsed="false">
      <c r="A260" s="51" t="s">
        <v>55</v>
      </c>
      <c r="B260" s="51" t="n">
        <v>32</v>
      </c>
      <c r="C260" s="51" t="s">
        <v>314</v>
      </c>
      <c r="D260" s="52" t="n">
        <v>45955</v>
      </c>
      <c r="E260" s="53" t="n">
        <v>459.8</v>
      </c>
      <c r="F260" s="53" t="n">
        <v>1139.84</v>
      </c>
      <c r="G260" s="51" t="n">
        <v>14</v>
      </c>
      <c r="H260" s="51" t="n">
        <v>16</v>
      </c>
      <c r="I260" s="51" t="s">
        <v>1386</v>
      </c>
    </row>
    <row r="261" customFormat="false" ht="15" hidden="false" customHeight="false" outlineLevel="0" collapsed="false">
      <c r="A261" s="51" t="s">
        <v>55</v>
      </c>
      <c r="B261" s="51" t="n">
        <v>32</v>
      </c>
      <c r="C261" s="51" t="s">
        <v>314</v>
      </c>
      <c r="D261" s="52" t="n">
        <v>45956</v>
      </c>
      <c r="E261" s="53" t="n">
        <v>571.78</v>
      </c>
      <c r="F261" s="53" t="n">
        <v>1269.82</v>
      </c>
      <c r="G261" s="51" t="n">
        <v>18</v>
      </c>
      <c r="H261" s="51" t="n">
        <v>18</v>
      </c>
      <c r="I261" s="51" t="s">
        <v>1386</v>
      </c>
    </row>
    <row r="262" customFormat="false" ht="15" hidden="false" customHeight="false" outlineLevel="0" collapsed="false">
      <c r="A262" s="51" t="s">
        <v>55</v>
      </c>
      <c r="B262" s="51" t="n">
        <v>32</v>
      </c>
      <c r="C262" s="51" t="s">
        <v>314</v>
      </c>
      <c r="D262" s="52" t="n">
        <v>45957</v>
      </c>
      <c r="E262" s="53" t="n">
        <v>366.35</v>
      </c>
      <c r="F262" s="53" t="n">
        <v>809.88</v>
      </c>
      <c r="G262" s="51" t="n">
        <v>12</v>
      </c>
      <c r="H262" s="51" t="n">
        <v>12</v>
      </c>
      <c r="I262" s="51" t="s">
        <v>1386</v>
      </c>
    </row>
    <row r="263" customFormat="false" ht="15" hidden="false" customHeight="false" outlineLevel="0" collapsed="false">
      <c r="A263" s="51" t="s">
        <v>55</v>
      </c>
      <c r="B263" s="51" t="n">
        <v>32</v>
      </c>
      <c r="C263" s="51" t="s">
        <v>314</v>
      </c>
      <c r="D263" s="52" t="n">
        <v>45958</v>
      </c>
      <c r="E263" s="53" t="n">
        <v>416.15</v>
      </c>
      <c r="F263" s="53" t="n">
        <v>624.91</v>
      </c>
      <c r="G263" s="51" t="n">
        <v>9</v>
      </c>
      <c r="H263" s="51" t="n">
        <v>9</v>
      </c>
      <c r="I263" s="51" t="s">
        <v>1386</v>
      </c>
    </row>
    <row r="264" customFormat="false" ht="15" hidden="false" customHeight="false" outlineLevel="0" collapsed="false">
      <c r="A264" s="51" t="s">
        <v>55</v>
      </c>
      <c r="B264" s="51" t="n">
        <v>32</v>
      </c>
      <c r="C264" s="51" t="s">
        <v>314</v>
      </c>
      <c r="D264" s="52" t="n">
        <v>45959</v>
      </c>
      <c r="E264" s="53" t="n">
        <v>298.89</v>
      </c>
      <c r="F264" s="53" t="n">
        <v>419.94</v>
      </c>
      <c r="G264" s="51" t="n">
        <v>6</v>
      </c>
      <c r="H264" s="51" t="n">
        <v>6</v>
      </c>
      <c r="I264" s="51" t="s">
        <v>1386</v>
      </c>
    </row>
    <row r="265" customFormat="false" ht="15" hidden="false" customHeight="false" outlineLevel="0" collapsed="false">
      <c r="A265" s="51" t="s">
        <v>55</v>
      </c>
      <c r="B265" s="51" t="n">
        <v>32</v>
      </c>
      <c r="C265" s="51" t="s">
        <v>314</v>
      </c>
      <c r="D265" s="52" t="n">
        <v>45960</v>
      </c>
      <c r="E265" s="53" t="n">
        <v>348.19</v>
      </c>
      <c r="F265" s="53" t="n">
        <v>998.84</v>
      </c>
      <c r="G265" s="51" t="n">
        <v>12</v>
      </c>
      <c r="H265" s="51" t="n">
        <v>16</v>
      </c>
      <c r="I265" s="51" t="s">
        <v>1386</v>
      </c>
    </row>
    <row r="266" customFormat="false" ht="15" hidden="false" customHeight="false" outlineLevel="0" collapsed="false">
      <c r="A266" s="51" t="s">
        <v>55</v>
      </c>
      <c r="B266" s="51" t="n">
        <v>32</v>
      </c>
      <c r="C266" s="51" t="s">
        <v>314</v>
      </c>
      <c r="D266" s="52" t="n">
        <v>45961</v>
      </c>
      <c r="E266" s="53" t="n">
        <v>288.25</v>
      </c>
      <c r="F266" s="53" t="n">
        <v>399.94</v>
      </c>
      <c r="G266" s="51" t="n">
        <v>6</v>
      </c>
      <c r="H266" s="51" t="n">
        <v>6</v>
      </c>
      <c r="I266" s="51" t="s">
        <v>1386</v>
      </c>
    </row>
    <row r="267" customFormat="false" ht="15" hidden="false" customHeight="false" outlineLevel="0" collapsed="false">
      <c r="A267" s="51" t="s">
        <v>55</v>
      </c>
      <c r="B267" s="51" t="n">
        <v>32</v>
      </c>
      <c r="C267" s="51" t="s">
        <v>314</v>
      </c>
      <c r="D267" s="52" t="n">
        <v>45962</v>
      </c>
      <c r="E267" s="53" t="n">
        <v>381.46</v>
      </c>
      <c r="F267" s="53" t="n">
        <v>139.98</v>
      </c>
      <c r="G267" s="51" t="n">
        <v>2</v>
      </c>
      <c r="H267" s="51" t="n">
        <v>2</v>
      </c>
      <c r="I267" s="51" t="s">
        <v>1386</v>
      </c>
    </row>
    <row r="268" customFormat="false" ht="15" hidden="false" customHeight="false" outlineLevel="0" collapsed="false">
      <c r="A268" s="51" t="s">
        <v>55</v>
      </c>
      <c r="B268" s="51" t="n">
        <v>32</v>
      </c>
      <c r="C268" s="51" t="s">
        <v>314</v>
      </c>
      <c r="D268" s="52" t="n">
        <v>45963</v>
      </c>
      <c r="E268" s="53" t="n">
        <v>372.75</v>
      </c>
      <c r="F268" s="53" t="n">
        <v>609.91</v>
      </c>
      <c r="G268" s="51" t="n">
        <v>9</v>
      </c>
      <c r="H268" s="51" t="n">
        <v>9</v>
      </c>
      <c r="I268" s="51" t="s">
        <v>1386</v>
      </c>
    </row>
    <row r="269" customFormat="false" ht="15" hidden="false" customHeight="false" outlineLevel="0" collapsed="false">
      <c r="A269" s="51" t="s">
        <v>55</v>
      </c>
      <c r="B269" s="51" t="n">
        <v>32</v>
      </c>
      <c r="C269" s="51" t="s">
        <v>314</v>
      </c>
      <c r="D269" s="52" t="n">
        <v>45964</v>
      </c>
      <c r="E269" s="53" t="n">
        <v>306.5</v>
      </c>
      <c r="F269" s="53" t="n">
        <v>474.93</v>
      </c>
      <c r="G269" s="51" t="n">
        <v>7</v>
      </c>
      <c r="H269" s="51" t="n">
        <v>7</v>
      </c>
      <c r="I269" s="51" t="s">
        <v>1386</v>
      </c>
    </row>
    <row r="270" customFormat="false" ht="15" hidden="false" customHeight="false" outlineLevel="0" collapsed="false">
      <c r="A270" s="51" t="s">
        <v>55</v>
      </c>
      <c r="B270" s="51" t="n">
        <v>32</v>
      </c>
      <c r="C270" s="51" t="s">
        <v>314</v>
      </c>
      <c r="D270" s="52" t="n">
        <v>45965</v>
      </c>
      <c r="E270" s="53" t="n">
        <v>376.39</v>
      </c>
      <c r="F270" s="53" t="n">
        <v>469.93</v>
      </c>
      <c r="G270" s="51" t="n">
        <v>7</v>
      </c>
      <c r="H270" s="51" t="n">
        <v>7</v>
      </c>
      <c r="I270" s="51" t="s">
        <v>1386</v>
      </c>
    </row>
    <row r="271" customFormat="false" ht="15" hidden="false" customHeight="false" outlineLevel="0" collapsed="false">
      <c r="A271" s="51" t="s">
        <v>55</v>
      </c>
      <c r="B271" s="51" t="n">
        <v>32</v>
      </c>
      <c r="C271" s="51" t="s">
        <v>314</v>
      </c>
      <c r="D271" s="52" t="n">
        <v>45966</v>
      </c>
      <c r="E271" s="53" t="n">
        <v>350.6</v>
      </c>
      <c r="F271" s="53" t="n">
        <v>689.9</v>
      </c>
      <c r="G271" s="51" t="n">
        <v>8</v>
      </c>
      <c r="H271" s="51" t="n">
        <v>10</v>
      </c>
      <c r="I271" s="51" t="s">
        <v>1386</v>
      </c>
    </row>
    <row r="272" customFormat="false" ht="15" hidden="false" customHeight="false" outlineLevel="0" collapsed="false">
      <c r="A272" s="51" t="s">
        <v>55</v>
      </c>
      <c r="B272" s="51" t="n">
        <v>32</v>
      </c>
      <c r="C272" s="51" t="s">
        <v>314</v>
      </c>
      <c r="D272" s="52" t="n">
        <v>45967</v>
      </c>
      <c r="E272" s="53" t="n">
        <v>385.84</v>
      </c>
      <c r="F272" s="53" t="n">
        <v>674.9</v>
      </c>
      <c r="G272" s="51" t="n">
        <v>10</v>
      </c>
      <c r="H272" s="51" t="n">
        <v>10</v>
      </c>
      <c r="I272" s="51" t="s">
        <v>1386</v>
      </c>
    </row>
    <row r="273" customFormat="false" ht="15" hidden="false" customHeight="false" outlineLevel="0" collapsed="false">
      <c r="A273" s="51" t="s">
        <v>55</v>
      </c>
      <c r="B273" s="51" t="n">
        <v>32</v>
      </c>
      <c r="C273" s="51" t="s">
        <v>314</v>
      </c>
      <c r="D273" s="52" t="n">
        <v>45968</v>
      </c>
      <c r="E273" s="53" t="n">
        <v>332.16</v>
      </c>
      <c r="F273" s="53" t="n">
        <v>629.91</v>
      </c>
      <c r="G273" s="51" t="n">
        <v>9</v>
      </c>
      <c r="H273" s="51" t="n">
        <v>9</v>
      </c>
      <c r="I273" s="51" t="s">
        <v>1386</v>
      </c>
    </row>
    <row r="274" customFormat="false" ht="15" hidden="false" customHeight="false" outlineLevel="0" collapsed="false">
      <c r="A274" s="51" t="s">
        <v>55</v>
      </c>
      <c r="B274" s="51" t="n">
        <v>32</v>
      </c>
      <c r="C274" s="51" t="s">
        <v>314</v>
      </c>
      <c r="D274" s="52" t="n">
        <v>45969</v>
      </c>
      <c r="E274" s="53" t="n">
        <v>376.99</v>
      </c>
      <c r="F274" s="53" t="n">
        <v>1069.84</v>
      </c>
      <c r="G274" s="51" t="n">
        <v>16</v>
      </c>
      <c r="H274" s="51" t="n">
        <v>16</v>
      </c>
      <c r="I274" s="51" t="s">
        <v>1386</v>
      </c>
    </row>
    <row r="275" customFormat="false" ht="15" hidden="false" customHeight="false" outlineLevel="0" collapsed="false">
      <c r="A275" s="51" t="s">
        <v>55</v>
      </c>
      <c r="B275" s="51" t="n">
        <v>32</v>
      </c>
      <c r="C275" s="51" t="s">
        <v>314</v>
      </c>
      <c r="D275" s="52" t="n">
        <v>45970</v>
      </c>
      <c r="E275" s="53" t="n">
        <v>390.85</v>
      </c>
      <c r="F275" s="53" t="n">
        <v>274.96</v>
      </c>
      <c r="G275" s="51" t="n">
        <v>4</v>
      </c>
      <c r="H275" s="51" t="n">
        <v>4</v>
      </c>
      <c r="I275" s="51" t="s">
        <v>1386</v>
      </c>
    </row>
    <row r="276" customFormat="false" ht="15" hidden="false" customHeight="false" outlineLevel="0" collapsed="false">
      <c r="A276" s="51" t="s">
        <v>55</v>
      </c>
      <c r="B276" s="51" t="n">
        <v>32</v>
      </c>
      <c r="C276" s="51" t="s">
        <v>314</v>
      </c>
      <c r="D276" s="52" t="n">
        <v>45971</v>
      </c>
      <c r="E276" s="53" t="n">
        <v>400.78</v>
      </c>
      <c r="F276" s="53" t="n">
        <v>474.93</v>
      </c>
      <c r="G276" s="51" t="n">
        <v>7</v>
      </c>
      <c r="H276" s="51" t="n">
        <v>7</v>
      </c>
      <c r="I276" s="51" t="s">
        <v>1386</v>
      </c>
    </row>
    <row r="277" customFormat="false" ht="15" hidden="false" customHeight="false" outlineLevel="0" collapsed="false">
      <c r="A277" s="51" t="s">
        <v>55</v>
      </c>
      <c r="B277" s="51" t="n">
        <v>32</v>
      </c>
      <c r="C277" s="51" t="s">
        <v>314</v>
      </c>
      <c r="D277" s="52" t="n">
        <v>45972</v>
      </c>
      <c r="E277" s="53" t="n">
        <v>268.47</v>
      </c>
      <c r="F277" s="53" t="n">
        <v>404.94</v>
      </c>
      <c r="G277" s="51" t="n">
        <v>6</v>
      </c>
      <c r="H277" s="51" t="n">
        <v>6</v>
      </c>
      <c r="I277" s="51" t="s">
        <v>1386</v>
      </c>
    </row>
    <row r="278" customFormat="false" ht="15" hidden="false" customHeight="false" outlineLevel="0" collapsed="false">
      <c r="A278" s="51" t="s">
        <v>55</v>
      </c>
      <c r="B278" s="51" t="n">
        <v>32</v>
      </c>
      <c r="C278" s="51" t="s">
        <v>314</v>
      </c>
      <c r="D278" s="52" t="n">
        <v>45973</v>
      </c>
      <c r="E278" s="53" t="n">
        <v>188.08</v>
      </c>
      <c r="F278" s="53" t="n">
        <v>324.95</v>
      </c>
      <c r="G278" s="51" t="n">
        <v>5</v>
      </c>
      <c r="H278" s="51" t="n">
        <v>5</v>
      </c>
      <c r="I278" s="51" t="s">
        <v>1386</v>
      </c>
    </row>
    <row r="279" customFormat="false" ht="15" hidden="false" customHeight="false" outlineLevel="0" collapsed="false">
      <c r="A279" s="51" t="s">
        <v>55</v>
      </c>
      <c r="B279" s="51" t="n">
        <v>32</v>
      </c>
      <c r="C279" s="51" t="s">
        <v>314</v>
      </c>
      <c r="D279" s="52" t="n">
        <v>45974</v>
      </c>
      <c r="E279" s="53" t="n">
        <v>173.81</v>
      </c>
      <c r="F279" s="53" t="n">
        <v>139.98</v>
      </c>
      <c r="G279" s="51" t="n">
        <v>2</v>
      </c>
      <c r="H279" s="51" t="n">
        <v>2</v>
      </c>
      <c r="I279" s="51" t="s">
        <v>1386</v>
      </c>
    </row>
    <row r="280" customFormat="false" ht="15" hidden="false" customHeight="false" outlineLevel="0" collapsed="false">
      <c r="A280" s="51" t="s">
        <v>55</v>
      </c>
      <c r="B280" s="51" t="n">
        <v>32</v>
      </c>
      <c r="C280" s="51" t="s">
        <v>314</v>
      </c>
      <c r="D280" s="52" t="n">
        <v>45975</v>
      </c>
      <c r="E280" s="53" t="n">
        <v>193.99</v>
      </c>
      <c r="F280" s="53" t="n">
        <v>279.96</v>
      </c>
      <c r="G280" s="51" t="n">
        <v>4</v>
      </c>
      <c r="H280" s="51" t="n">
        <v>4</v>
      </c>
      <c r="I280" s="51" t="s">
        <v>1386</v>
      </c>
    </row>
    <row r="281" customFormat="false" ht="15" hidden="false" customHeight="false" outlineLevel="0" collapsed="false">
      <c r="A281" s="51" t="s">
        <v>55</v>
      </c>
      <c r="B281" s="51" t="n">
        <v>32</v>
      </c>
      <c r="C281" s="51" t="s">
        <v>314</v>
      </c>
      <c r="D281" s="52" t="n">
        <v>45976</v>
      </c>
      <c r="E281" s="53" t="n">
        <v>260.83</v>
      </c>
      <c r="F281" s="53" t="n">
        <v>319.95</v>
      </c>
      <c r="G281" s="51" t="n">
        <v>5</v>
      </c>
      <c r="H281" s="51" t="n">
        <v>5</v>
      </c>
      <c r="I281" s="51" t="s">
        <v>1386</v>
      </c>
    </row>
    <row r="282" customFormat="false" ht="15" hidden="false" customHeight="false" outlineLevel="0" collapsed="false">
      <c r="A282" s="51" t="s">
        <v>55</v>
      </c>
      <c r="B282" s="51" t="n">
        <v>32</v>
      </c>
      <c r="C282" s="51" t="s">
        <v>314</v>
      </c>
      <c r="D282" s="52" t="n">
        <v>45977</v>
      </c>
      <c r="E282" s="53" t="n">
        <v>257.25</v>
      </c>
      <c r="F282" s="53" t="n">
        <v>536.17</v>
      </c>
      <c r="G282" s="51" t="n">
        <v>8</v>
      </c>
      <c r="H282" s="51" t="n">
        <v>8</v>
      </c>
      <c r="I282" s="51" t="s">
        <v>1386</v>
      </c>
    </row>
    <row r="283" customFormat="false" ht="15" hidden="false" customHeight="false" outlineLevel="0" collapsed="false">
      <c r="A283" s="51" t="s">
        <v>55</v>
      </c>
      <c r="B283" s="51" t="n">
        <v>32</v>
      </c>
      <c r="C283" s="51" t="s">
        <v>314</v>
      </c>
      <c r="D283" s="52" t="n">
        <v>45978</v>
      </c>
      <c r="E283" s="53" t="n">
        <v>186.73</v>
      </c>
      <c r="F283" s="53" t="n">
        <v>266.21</v>
      </c>
      <c r="G283" s="51" t="n">
        <v>4</v>
      </c>
      <c r="H283" s="51" t="n">
        <v>4</v>
      </c>
      <c r="I283" s="51" t="s">
        <v>1386</v>
      </c>
    </row>
    <row r="284" customFormat="false" ht="15" hidden="false" customHeight="false" outlineLevel="0" collapsed="false">
      <c r="A284" s="51" t="s">
        <v>55</v>
      </c>
      <c r="B284" s="51" t="n">
        <v>32</v>
      </c>
      <c r="C284" s="51" t="s">
        <v>314</v>
      </c>
      <c r="D284" s="52" t="n">
        <v>45979</v>
      </c>
      <c r="E284" s="53" t="n">
        <v>196.8</v>
      </c>
      <c r="F284" s="53" t="n">
        <v>389.94</v>
      </c>
      <c r="G284" s="51" t="n">
        <v>6</v>
      </c>
      <c r="H284" s="51" t="n">
        <v>6</v>
      </c>
      <c r="I284" s="51" t="s">
        <v>1386</v>
      </c>
    </row>
    <row r="285" customFormat="false" ht="15" hidden="false" customHeight="false" outlineLevel="0" collapsed="false">
      <c r="A285" s="51" t="s">
        <v>55</v>
      </c>
      <c r="B285" s="51" t="n">
        <v>32</v>
      </c>
      <c r="C285" s="51" t="s">
        <v>314</v>
      </c>
      <c r="D285" s="52" t="n">
        <v>45980</v>
      </c>
      <c r="E285" s="53" t="n">
        <v>202.4</v>
      </c>
      <c r="F285" s="53" t="n">
        <v>590.91</v>
      </c>
      <c r="G285" s="51" t="n">
        <v>10</v>
      </c>
      <c r="H285" s="51" t="n">
        <v>10</v>
      </c>
      <c r="I285" s="51" t="s">
        <v>1386</v>
      </c>
    </row>
    <row r="286" customFormat="false" ht="15" hidden="false" customHeight="false" outlineLevel="0" collapsed="false">
      <c r="A286" s="51" t="s">
        <v>55</v>
      </c>
      <c r="B286" s="51" t="n">
        <v>32</v>
      </c>
      <c r="C286" s="51" t="s">
        <v>314</v>
      </c>
      <c r="D286" s="52" t="n">
        <v>45981</v>
      </c>
      <c r="E286" s="53" t="n">
        <v>132.47</v>
      </c>
      <c r="F286" s="53" t="n">
        <v>471.95</v>
      </c>
      <c r="G286" s="51" t="n">
        <v>9</v>
      </c>
      <c r="H286" s="51" t="n">
        <v>9</v>
      </c>
      <c r="I286" s="51" t="s">
        <v>1387</v>
      </c>
    </row>
    <row r="287" customFormat="false" ht="15" hidden="false" customHeight="false" outlineLevel="0" collapsed="false">
      <c r="A287" s="51" t="s">
        <v>55</v>
      </c>
      <c r="B287" s="51" t="n">
        <v>32</v>
      </c>
      <c r="C287" s="51" t="s">
        <v>314</v>
      </c>
      <c r="D287" s="52" t="n">
        <v>45982</v>
      </c>
      <c r="E287" s="53" t="n">
        <v>47.52</v>
      </c>
      <c r="F287" s="53" t="n">
        <v>124.98</v>
      </c>
      <c r="G287" s="51" t="n">
        <v>2</v>
      </c>
      <c r="H287" s="51" t="n">
        <v>2</v>
      </c>
      <c r="I287" s="51" t="s">
        <v>1387</v>
      </c>
    </row>
    <row r="288" customFormat="false" ht="15" hidden="false" customHeight="false" outlineLevel="0" collapsed="false">
      <c r="A288" s="51" t="s">
        <v>55</v>
      </c>
      <c r="B288" s="51" t="n">
        <v>32</v>
      </c>
      <c r="C288" s="51" t="s">
        <v>314</v>
      </c>
      <c r="D288" s="52" t="n">
        <v>45983</v>
      </c>
      <c r="E288" s="53" t="n">
        <v>65.56</v>
      </c>
      <c r="F288" s="53" t="n">
        <v>201.47</v>
      </c>
      <c r="G288" s="51" t="n">
        <v>3</v>
      </c>
      <c r="H288" s="51" t="n">
        <v>3</v>
      </c>
      <c r="I288" s="51" t="s">
        <v>1387</v>
      </c>
    </row>
    <row r="289" customFormat="false" ht="15" hidden="false" customHeight="false" outlineLevel="0" collapsed="false">
      <c r="A289" s="51" t="s">
        <v>55</v>
      </c>
      <c r="B289" s="51" t="n">
        <v>32</v>
      </c>
      <c r="C289" s="51" t="s">
        <v>314</v>
      </c>
      <c r="D289" s="52" t="n">
        <v>45984</v>
      </c>
      <c r="E289" s="53" t="n">
        <v>52.82</v>
      </c>
      <c r="F289" s="53" t="n">
        <v>340.7</v>
      </c>
      <c r="G289" s="51" t="n">
        <v>5</v>
      </c>
      <c r="H289" s="51" t="n">
        <v>5</v>
      </c>
      <c r="I289" s="51" t="s">
        <v>1387</v>
      </c>
    </row>
    <row r="290" customFormat="false" ht="15" hidden="false" customHeight="false" outlineLevel="0" collapsed="false">
      <c r="A290" s="51" t="s">
        <v>55</v>
      </c>
      <c r="B290" s="51" t="n">
        <v>32</v>
      </c>
      <c r="C290" s="51" t="s">
        <v>314</v>
      </c>
      <c r="D290" s="52" t="n">
        <v>45985</v>
      </c>
      <c r="E290" s="53" t="n">
        <v>25.08</v>
      </c>
      <c r="F290" s="53" t="n">
        <v>64.99</v>
      </c>
      <c r="G290" s="51" t="n">
        <v>1</v>
      </c>
      <c r="H290" s="51" t="n">
        <v>1</v>
      </c>
      <c r="I290" s="51" t="s">
        <v>1387</v>
      </c>
    </row>
    <row r="291" customFormat="false" ht="15" hidden="false" customHeight="false" outlineLevel="0" collapsed="false">
      <c r="A291" s="51" t="s">
        <v>55</v>
      </c>
      <c r="B291" s="51" t="n">
        <v>32</v>
      </c>
      <c r="C291" s="51" t="s">
        <v>314</v>
      </c>
      <c r="D291" s="52" t="n">
        <v>45986</v>
      </c>
      <c r="E291" s="53" t="n">
        <v>38.55</v>
      </c>
      <c r="F291" s="53" t="n">
        <v>129.98</v>
      </c>
      <c r="G291" s="51" t="n">
        <v>2</v>
      </c>
      <c r="H291" s="51" t="n">
        <v>2</v>
      </c>
      <c r="I291" s="51" t="s">
        <v>1387</v>
      </c>
    </row>
    <row r="292" customFormat="false" ht="15" hidden="false" customHeight="false" outlineLevel="0" collapsed="false">
      <c r="A292" s="51" t="s">
        <v>55</v>
      </c>
      <c r="B292" s="51" t="n">
        <v>32</v>
      </c>
      <c r="C292" s="51" t="s">
        <v>314</v>
      </c>
      <c r="D292" s="52" t="n">
        <v>45987</v>
      </c>
      <c r="E292" s="53" t="n">
        <v>27.78</v>
      </c>
      <c r="F292" s="53" t="n">
        <v>0</v>
      </c>
      <c r="G292" s="51" t="n">
        <v>0</v>
      </c>
      <c r="H292" s="51" t="n">
        <v>0</v>
      </c>
      <c r="I292" s="51" t="s">
        <v>1387</v>
      </c>
    </row>
    <row r="293" customFormat="false" ht="15" hidden="false" customHeight="false" outlineLevel="0" collapsed="false">
      <c r="A293" s="51" t="s">
        <v>55</v>
      </c>
      <c r="B293" s="51" t="n">
        <v>32</v>
      </c>
      <c r="C293" s="51" t="s">
        <v>314</v>
      </c>
      <c r="D293" s="52" t="n">
        <v>45988</v>
      </c>
      <c r="E293" s="53" t="n">
        <v>28.33</v>
      </c>
      <c r="F293" s="53" t="n">
        <v>59.99</v>
      </c>
      <c r="G293" s="51" t="n">
        <v>1</v>
      </c>
      <c r="H293" s="51" t="n">
        <v>1</v>
      </c>
      <c r="I293" s="51" t="s">
        <v>1387</v>
      </c>
    </row>
    <row r="294" customFormat="false" ht="15" hidden="false" customHeight="false" outlineLevel="0" collapsed="false">
      <c r="A294" s="51" t="s">
        <v>55</v>
      </c>
      <c r="B294" s="51" t="n">
        <v>32</v>
      </c>
      <c r="C294" s="51" t="s">
        <v>314</v>
      </c>
      <c r="D294" s="52" t="n">
        <v>45989</v>
      </c>
      <c r="E294" s="53" t="n">
        <v>716.72</v>
      </c>
      <c r="F294" s="53" t="n">
        <v>1261.77</v>
      </c>
      <c r="G294" s="51" t="n">
        <v>23</v>
      </c>
      <c r="H294" s="51" t="n">
        <v>23</v>
      </c>
      <c r="I294" s="51" t="s">
        <v>1387</v>
      </c>
    </row>
    <row r="295" customFormat="false" ht="15" hidden="false" customHeight="false" outlineLevel="0" collapsed="false">
      <c r="A295" s="51" t="s">
        <v>55</v>
      </c>
      <c r="B295" s="51" t="n">
        <v>32</v>
      </c>
      <c r="C295" s="51" t="s">
        <v>314</v>
      </c>
      <c r="D295" s="52" t="n">
        <v>45990</v>
      </c>
      <c r="E295" s="53" t="n">
        <v>415.85</v>
      </c>
      <c r="F295" s="53" t="n">
        <v>1296.77</v>
      </c>
      <c r="G295" s="51" t="n">
        <v>23</v>
      </c>
      <c r="H295" s="51" t="n">
        <v>24</v>
      </c>
      <c r="I295" s="51" t="s">
        <v>1387</v>
      </c>
    </row>
    <row r="296" customFormat="false" ht="15" hidden="false" customHeight="false" outlineLevel="0" collapsed="false">
      <c r="A296" s="51" t="s">
        <v>55</v>
      </c>
      <c r="B296" s="51" t="n">
        <v>32</v>
      </c>
      <c r="C296" s="51" t="s">
        <v>314</v>
      </c>
      <c r="D296" s="52" t="n">
        <v>45991</v>
      </c>
      <c r="E296" s="53" t="n">
        <v>433.41</v>
      </c>
      <c r="F296" s="53" t="n">
        <v>944.08</v>
      </c>
      <c r="G296" s="51" t="n">
        <v>16</v>
      </c>
      <c r="H296" s="51" t="n">
        <v>17</v>
      </c>
      <c r="I296" s="51" t="s">
        <v>1387</v>
      </c>
    </row>
    <row r="297" customFormat="false" ht="15" hidden="false" customHeight="false" outlineLevel="0" collapsed="false">
      <c r="A297" s="51" t="s">
        <v>55</v>
      </c>
      <c r="B297" s="51" t="n">
        <v>32</v>
      </c>
      <c r="C297" s="51" t="s">
        <v>314</v>
      </c>
      <c r="D297" s="52" t="n">
        <v>45992</v>
      </c>
      <c r="E297" s="53" t="n">
        <v>521.31</v>
      </c>
      <c r="F297" s="53" t="n">
        <v>1228.78</v>
      </c>
      <c r="G297" s="51" t="n">
        <v>20</v>
      </c>
      <c r="H297" s="51" t="n">
        <v>22</v>
      </c>
      <c r="I297" s="51" t="s">
        <v>1387</v>
      </c>
    </row>
    <row r="298" customFormat="false" ht="15" hidden="false" customHeight="false" outlineLevel="0" collapsed="false">
      <c r="A298" s="51" t="s">
        <v>55</v>
      </c>
      <c r="B298" s="51" t="n">
        <v>32</v>
      </c>
      <c r="C298" s="51" t="s">
        <v>314</v>
      </c>
      <c r="D298" s="52" t="n">
        <v>45993</v>
      </c>
      <c r="E298" s="53" t="n">
        <v>280.7</v>
      </c>
      <c r="F298" s="53" t="n">
        <v>409.94</v>
      </c>
      <c r="G298" s="51" t="n">
        <v>6</v>
      </c>
      <c r="H298" s="51" t="n">
        <v>6</v>
      </c>
      <c r="I298" s="51"/>
    </row>
    <row r="299" customFormat="false" ht="15" hidden="false" customHeight="false" outlineLevel="0" collapsed="false">
      <c r="A299" s="51" t="s">
        <v>55</v>
      </c>
      <c r="B299" s="51" t="n">
        <v>32</v>
      </c>
      <c r="C299" s="51" t="s">
        <v>314</v>
      </c>
      <c r="D299" s="52" t="n">
        <v>45994</v>
      </c>
      <c r="E299" s="53" t="n">
        <v>278.68</v>
      </c>
      <c r="F299" s="53" t="n">
        <v>764.88</v>
      </c>
      <c r="G299" s="51" t="n">
        <v>10</v>
      </c>
      <c r="H299" s="51" t="n">
        <v>12</v>
      </c>
      <c r="I299" s="51"/>
    </row>
    <row r="300" customFormat="false" ht="15" hidden="false" customHeight="false" outlineLevel="0" collapsed="false">
      <c r="A300" s="51" t="s">
        <v>55</v>
      </c>
      <c r="B300" s="51" t="n">
        <v>32</v>
      </c>
      <c r="C300" s="51" t="s">
        <v>314</v>
      </c>
      <c r="D300" s="52" t="n">
        <v>45995</v>
      </c>
      <c r="E300" s="53" t="n">
        <v>525.09</v>
      </c>
      <c r="F300" s="53" t="n">
        <v>1199.82</v>
      </c>
      <c r="G300" s="51" t="n">
        <v>18</v>
      </c>
      <c r="H300" s="51" t="n">
        <v>18</v>
      </c>
      <c r="I300" s="51"/>
    </row>
    <row r="301" customFormat="false" ht="15" hidden="false" customHeight="false" outlineLevel="0" collapsed="false">
      <c r="A301" s="51" t="s">
        <v>55</v>
      </c>
      <c r="B301" s="51" t="n">
        <v>32</v>
      </c>
      <c r="C301" s="51" t="s">
        <v>314</v>
      </c>
      <c r="D301" s="52" t="n">
        <v>45996</v>
      </c>
      <c r="E301" s="53" t="n">
        <v>478.45</v>
      </c>
      <c r="F301" s="53" t="n">
        <v>874.87</v>
      </c>
      <c r="G301" s="51" t="n">
        <v>13</v>
      </c>
      <c r="H301" s="51" t="n">
        <v>13</v>
      </c>
      <c r="I301" s="51"/>
    </row>
    <row r="302" customFormat="false" ht="15" hidden="false" customHeight="false" outlineLevel="0" collapsed="false">
      <c r="A302" s="51" t="s">
        <v>55</v>
      </c>
      <c r="B302" s="51" t="n">
        <v>32</v>
      </c>
      <c r="C302" s="51" t="s">
        <v>314</v>
      </c>
      <c r="D302" s="52" t="n">
        <v>45997</v>
      </c>
      <c r="E302" s="53" t="n">
        <v>588.75</v>
      </c>
      <c r="F302" s="53" t="n">
        <v>854.87</v>
      </c>
      <c r="G302" s="51" t="n">
        <v>13</v>
      </c>
      <c r="H302" s="51" t="n">
        <v>13</v>
      </c>
      <c r="I302" s="51"/>
    </row>
    <row r="303" customFormat="false" ht="15" hidden="false" customHeight="false" outlineLevel="0" collapsed="false">
      <c r="A303" s="51" t="s">
        <v>55</v>
      </c>
      <c r="B303" s="51" t="n">
        <v>32</v>
      </c>
      <c r="C303" s="51" t="s">
        <v>314</v>
      </c>
      <c r="D303" s="52" t="n">
        <v>45998</v>
      </c>
      <c r="E303" s="53" t="n">
        <v>693.9</v>
      </c>
      <c r="F303" s="53" t="n">
        <v>1649.75</v>
      </c>
      <c r="G303" s="51" t="n">
        <v>24</v>
      </c>
      <c r="H303" s="51" t="n">
        <v>25</v>
      </c>
      <c r="I303" s="51"/>
    </row>
    <row r="304" customFormat="false" ht="15" hidden="false" customHeight="false" outlineLevel="0" collapsed="false">
      <c r="A304" s="51" t="s">
        <v>55</v>
      </c>
      <c r="B304" s="51" t="n">
        <v>32</v>
      </c>
      <c r="C304" s="51" t="s">
        <v>314</v>
      </c>
      <c r="D304" s="52" t="n">
        <v>45999</v>
      </c>
      <c r="E304" s="53" t="n">
        <v>620.97</v>
      </c>
      <c r="F304" s="53" t="n">
        <v>1894.72</v>
      </c>
      <c r="G304" s="51" t="n">
        <v>28</v>
      </c>
      <c r="H304" s="51" t="n">
        <v>28</v>
      </c>
      <c r="I304" s="51"/>
    </row>
    <row r="305" customFormat="false" ht="15" hidden="false" customHeight="false" outlineLevel="0" collapsed="false">
      <c r="A305" s="51" t="s">
        <v>55</v>
      </c>
      <c r="B305" s="51" t="n">
        <v>32</v>
      </c>
      <c r="C305" s="51" t="s">
        <v>314</v>
      </c>
      <c r="D305" s="52" t="n">
        <v>46000</v>
      </c>
      <c r="E305" s="53" t="n">
        <v>469.24</v>
      </c>
      <c r="F305" s="53" t="n">
        <v>1269.81</v>
      </c>
      <c r="G305" s="51" t="n">
        <v>19</v>
      </c>
      <c r="H305" s="51" t="n">
        <v>19</v>
      </c>
      <c r="I305" s="51"/>
    </row>
    <row r="306" customFormat="false" ht="15" hidden="false" customHeight="false" outlineLevel="0" collapsed="false">
      <c r="A306" s="51" t="s">
        <v>55</v>
      </c>
      <c r="B306" s="51" t="n">
        <v>32</v>
      </c>
      <c r="C306" s="51" t="s">
        <v>314</v>
      </c>
      <c r="D306" s="52" t="n">
        <v>46001</v>
      </c>
      <c r="E306" s="53" t="n">
        <v>460.66</v>
      </c>
      <c r="F306" s="53" t="n">
        <v>1074.84</v>
      </c>
      <c r="G306" s="51" t="n">
        <v>16</v>
      </c>
      <c r="H306" s="51" t="n">
        <v>16</v>
      </c>
      <c r="I306" s="51"/>
    </row>
    <row r="307" customFormat="false" ht="15" hidden="false" customHeight="false" outlineLevel="0" collapsed="false">
      <c r="A307" s="51" t="s">
        <v>55</v>
      </c>
      <c r="B307" s="51" t="n">
        <v>32</v>
      </c>
      <c r="C307" s="51" t="s">
        <v>314</v>
      </c>
      <c r="D307" s="52" t="n">
        <v>46002</v>
      </c>
      <c r="E307" s="53" t="n">
        <v>506.71</v>
      </c>
      <c r="F307" s="53" t="n">
        <v>1129.83</v>
      </c>
      <c r="G307" s="51" t="n">
        <v>17</v>
      </c>
      <c r="H307" s="51" t="n">
        <v>17</v>
      </c>
      <c r="I307" s="51"/>
    </row>
    <row r="308" customFormat="false" ht="15" hidden="false" customHeight="false" outlineLevel="0" collapsed="false">
      <c r="A308" s="51" t="s">
        <v>55</v>
      </c>
      <c r="B308" s="51" t="n">
        <v>32</v>
      </c>
      <c r="C308" s="51" t="s">
        <v>314</v>
      </c>
      <c r="D308" s="52" t="n">
        <v>46003</v>
      </c>
      <c r="E308" s="53" t="n">
        <v>522.64</v>
      </c>
      <c r="F308" s="53" t="n">
        <v>799.88</v>
      </c>
      <c r="G308" s="51" t="n">
        <v>12</v>
      </c>
      <c r="H308" s="51" t="n">
        <v>12</v>
      </c>
      <c r="I308" s="51"/>
    </row>
    <row r="309" customFormat="false" ht="15" hidden="false" customHeight="false" outlineLevel="0" collapsed="false">
      <c r="A309" s="51" t="s">
        <v>55</v>
      </c>
      <c r="B309" s="51" t="n">
        <v>32</v>
      </c>
      <c r="C309" s="51" t="s">
        <v>314</v>
      </c>
      <c r="D309" s="52" t="n">
        <v>46004</v>
      </c>
      <c r="E309" s="53" t="n">
        <v>588.77</v>
      </c>
      <c r="F309" s="53" t="n">
        <v>1584.76</v>
      </c>
      <c r="G309" s="51" t="n">
        <v>23</v>
      </c>
      <c r="H309" s="51" t="n">
        <v>24</v>
      </c>
      <c r="I309" s="51"/>
    </row>
    <row r="310" customFormat="false" ht="15" hidden="false" customHeight="false" outlineLevel="0" collapsed="false">
      <c r="A310" s="51" t="s">
        <v>55</v>
      </c>
      <c r="B310" s="51" t="n">
        <v>32</v>
      </c>
      <c r="C310" s="51" t="s">
        <v>314</v>
      </c>
      <c r="D310" s="52" t="n">
        <v>46005</v>
      </c>
      <c r="E310" s="53" t="n">
        <v>603.51</v>
      </c>
      <c r="F310" s="53" t="n">
        <v>1639.76</v>
      </c>
      <c r="G310" s="51" t="n">
        <v>23</v>
      </c>
      <c r="H310" s="51" t="n">
        <v>24</v>
      </c>
      <c r="I310" s="51"/>
    </row>
    <row r="311" customFormat="false" ht="15" hidden="false" customHeight="false" outlineLevel="0" collapsed="false">
      <c r="A311" s="51" t="s">
        <v>55</v>
      </c>
      <c r="B311" s="51" t="n">
        <v>32</v>
      </c>
      <c r="C311" s="51" t="s">
        <v>314</v>
      </c>
      <c r="D311" s="52" t="n">
        <v>46006</v>
      </c>
      <c r="E311" s="53" t="n">
        <v>641.06</v>
      </c>
      <c r="F311" s="53" t="n">
        <v>1559.77</v>
      </c>
      <c r="G311" s="51" t="n">
        <v>23</v>
      </c>
      <c r="H311" s="51" t="n">
        <v>23</v>
      </c>
      <c r="I311" s="51"/>
    </row>
    <row r="312" customFormat="false" ht="15" hidden="false" customHeight="false" outlineLevel="0" collapsed="false">
      <c r="A312" s="51" t="s">
        <v>72</v>
      </c>
      <c r="B312" s="51" t="n">
        <v>37</v>
      </c>
      <c r="C312" s="51" t="s">
        <v>314</v>
      </c>
      <c r="D312" s="52" t="n">
        <v>45945</v>
      </c>
      <c r="E312" s="53" t="n">
        <v>458.32</v>
      </c>
      <c r="F312" s="53" t="n">
        <v>1513.6</v>
      </c>
      <c r="G312" s="51" t="n">
        <v>48</v>
      </c>
      <c r="H312" s="51" t="n">
        <v>48</v>
      </c>
      <c r="I312" s="51"/>
    </row>
    <row r="313" customFormat="false" ht="15" hidden="false" customHeight="false" outlineLevel="0" collapsed="false">
      <c r="A313" s="51" t="s">
        <v>72</v>
      </c>
      <c r="B313" s="51" t="n">
        <v>37</v>
      </c>
      <c r="C313" s="51" t="s">
        <v>314</v>
      </c>
      <c r="D313" s="52" t="n">
        <v>45946</v>
      </c>
      <c r="E313" s="53" t="n">
        <v>484.08</v>
      </c>
      <c r="F313" s="53" t="n">
        <v>1420.75</v>
      </c>
      <c r="G313" s="51" t="n">
        <v>45</v>
      </c>
      <c r="H313" s="51" t="n">
        <v>45</v>
      </c>
      <c r="I313" s="51"/>
    </row>
    <row r="314" customFormat="false" ht="15" hidden="false" customHeight="false" outlineLevel="0" collapsed="false">
      <c r="A314" s="51" t="s">
        <v>72</v>
      </c>
      <c r="B314" s="51" t="n">
        <v>37</v>
      </c>
      <c r="C314" s="51" t="s">
        <v>314</v>
      </c>
      <c r="D314" s="52" t="n">
        <v>45947</v>
      </c>
      <c r="E314" s="53" t="n">
        <v>452.51</v>
      </c>
      <c r="F314" s="53" t="n">
        <v>1289.95</v>
      </c>
      <c r="G314" s="51" t="n">
        <v>41</v>
      </c>
      <c r="H314" s="51" t="n">
        <v>41</v>
      </c>
      <c r="I314" s="51"/>
    </row>
    <row r="315" customFormat="false" ht="15" hidden="false" customHeight="false" outlineLevel="0" collapsed="false">
      <c r="A315" s="51" t="s">
        <v>72</v>
      </c>
      <c r="B315" s="51" t="n">
        <v>37</v>
      </c>
      <c r="C315" s="51" t="s">
        <v>314</v>
      </c>
      <c r="D315" s="52" t="n">
        <v>45948</v>
      </c>
      <c r="E315" s="53" t="n">
        <v>503.19</v>
      </c>
      <c r="F315" s="53" t="n">
        <v>1431.75</v>
      </c>
      <c r="G315" s="51" t="n">
        <v>45</v>
      </c>
      <c r="H315" s="51" t="n">
        <v>45</v>
      </c>
      <c r="I315" s="51"/>
    </row>
    <row r="316" customFormat="false" ht="15" hidden="false" customHeight="false" outlineLevel="0" collapsed="false">
      <c r="A316" s="51" t="s">
        <v>72</v>
      </c>
      <c r="B316" s="51" t="n">
        <v>37</v>
      </c>
      <c r="C316" s="51" t="s">
        <v>314</v>
      </c>
      <c r="D316" s="52" t="n">
        <v>45949</v>
      </c>
      <c r="E316" s="53" t="n">
        <v>498.71</v>
      </c>
      <c r="F316" s="53" t="n">
        <v>1693.39</v>
      </c>
      <c r="G316" s="51" t="n">
        <v>52</v>
      </c>
      <c r="H316" s="51" t="n">
        <v>53</v>
      </c>
      <c r="I316" s="51"/>
    </row>
    <row r="317" customFormat="false" ht="15" hidden="false" customHeight="false" outlineLevel="0" collapsed="false">
      <c r="A317" s="51" t="s">
        <v>72</v>
      </c>
      <c r="B317" s="51" t="n">
        <v>37</v>
      </c>
      <c r="C317" s="51" t="s">
        <v>314</v>
      </c>
      <c r="D317" s="52" t="n">
        <v>45950</v>
      </c>
      <c r="E317" s="53" t="n">
        <v>408.24</v>
      </c>
      <c r="F317" s="53" t="n">
        <v>1246.05</v>
      </c>
      <c r="G317" s="51" t="n">
        <v>39</v>
      </c>
      <c r="H317" s="51" t="n">
        <v>39</v>
      </c>
      <c r="I317" s="51"/>
    </row>
    <row r="318" customFormat="false" ht="15" hidden="false" customHeight="false" outlineLevel="0" collapsed="false">
      <c r="A318" s="51" t="s">
        <v>72</v>
      </c>
      <c r="B318" s="51" t="n">
        <v>37</v>
      </c>
      <c r="C318" s="51" t="s">
        <v>314</v>
      </c>
      <c r="D318" s="52" t="n">
        <v>45951</v>
      </c>
      <c r="E318" s="53" t="n">
        <v>452.37</v>
      </c>
      <c r="F318" s="53" t="n">
        <v>1507.65</v>
      </c>
      <c r="G318" s="51" t="n">
        <v>45</v>
      </c>
      <c r="H318" s="51" t="n">
        <v>47</v>
      </c>
      <c r="I318" s="51" t="s">
        <v>1386</v>
      </c>
    </row>
    <row r="319" customFormat="false" ht="15" hidden="false" customHeight="false" outlineLevel="0" collapsed="false">
      <c r="A319" s="51" t="s">
        <v>72</v>
      </c>
      <c r="B319" s="51" t="n">
        <v>37</v>
      </c>
      <c r="C319" s="51" t="s">
        <v>314</v>
      </c>
      <c r="D319" s="52" t="n">
        <v>45952</v>
      </c>
      <c r="E319" s="53" t="n">
        <v>434.68</v>
      </c>
      <c r="F319" s="53" t="n">
        <v>1238.05</v>
      </c>
      <c r="G319" s="51" t="n">
        <v>39</v>
      </c>
      <c r="H319" s="51" t="n">
        <v>39</v>
      </c>
      <c r="I319" s="51" t="s">
        <v>1386</v>
      </c>
    </row>
    <row r="320" customFormat="false" ht="15" hidden="false" customHeight="false" outlineLevel="0" collapsed="false">
      <c r="A320" s="51" t="s">
        <v>72</v>
      </c>
      <c r="B320" s="51" t="n">
        <v>37</v>
      </c>
      <c r="C320" s="51" t="s">
        <v>314</v>
      </c>
      <c r="D320" s="52" t="n">
        <v>45953</v>
      </c>
      <c r="E320" s="53" t="n">
        <v>418.6</v>
      </c>
      <c r="F320" s="53" t="n">
        <v>1064.3</v>
      </c>
      <c r="G320" s="51" t="n">
        <v>34</v>
      </c>
      <c r="H320" s="51" t="n">
        <v>34</v>
      </c>
      <c r="I320" s="51" t="s">
        <v>1386</v>
      </c>
    </row>
    <row r="321" customFormat="false" ht="15" hidden="false" customHeight="false" outlineLevel="0" collapsed="false">
      <c r="A321" s="51" t="s">
        <v>72</v>
      </c>
      <c r="B321" s="51" t="n">
        <v>37</v>
      </c>
      <c r="C321" s="51" t="s">
        <v>314</v>
      </c>
      <c r="D321" s="52" t="n">
        <v>45954</v>
      </c>
      <c r="E321" s="53" t="n">
        <v>357.22</v>
      </c>
      <c r="F321" s="53" t="n">
        <v>1725.3</v>
      </c>
      <c r="G321" s="51" t="n">
        <v>54</v>
      </c>
      <c r="H321" s="51" t="n">
        <v>54</v>
      </c>
      <c r="I321" s="51" t="s">
        <v>1386</v>
      </c>
    </row>
    <row r="322" customFormat="false" ht="15" hidden="false" customHeight="false" outlineLevel="0" collapsed="false">
      <c r="A322" s="51" t="s">
        <v>72</v>
      </c>
      <c r="B322" s="51" t="n">
        <v>37</v>
      </c>
      <c r="C322" s="51" t="s">
        <v>314</v>
      </c>
      <c r="D322" s="52" t="n">
        <v>45955</v>
      </c>
      <c r="E322" s="53" t="n">
        <v>519.09</v>
      </c>
      <c r="F322" s="53" t="n">
        <v>2071.8</v>
      </c>
      <c r="G322" s="51" t="n">
        <v>65</v>
      </c>
      <c r="H322" s="51" t="n">
        <v>65</v>
      </c>
      <c r="I322" s="51" t="s">
        <v>1386</v>
      </c>
    </row>
    <row r="323" customFormat="false" ht="15" hidden="false" customHeight="false" outlineLevel="0" collapsed="false">
      <c r="A323" s="51" t="s">
        <v>72</v>
      </c>
      <c r="B323" s="51" t="n">
        <v>37</v>
      </c>
      <c r="C323" s="51" t="s">
        <v>314</v>
      </c>
      <c r="D323" s="52" t="n">
        <v>45956</v>
      </c>
      <c r="E323" s="53" t="n">
        <v>579.65</v>
      </c>
      <c r="F323" s="53" t="n">
        <v>1726.3</v>
      </c>
      <c r="G323" s="51" t="n">
        <v>54</v>
      </c>
      <c r="H323" s="51" t="n">
        <v>54</v>
      </c>
      <c r="I323" s="51" t="s">
        <v>1386</v>
      </c>
    </row>
    <row r="324" customFormat="false" ht="15" hidden="false" customHeight="false" outlineLevel="0" collapsed="false">
      <c r="A324" s="51" t="s">
        <v>72</v>
      </c>
      <c r="B324" s="51" t="n">
        <v>37</v>
      </c>
      <c r="C324" s="51" t="s">
        <v>314</v>
      </c>
      <c r="D324" s="52" t="n">
        <v>45957</v>
      </c>
      <c r="E324" s="53" t="n">
        <v>534.59</v>
      </c>
      <c r="F324" s="53" t="n">
        <v>2528.3</v>
      </c>
      <c r="G324" s="51" t="n">
        <v>72</v>
      </c>
      <c r="H324" s="51" t="n">
        <v>74</v>
      </c>
      <c r="I324" s="51" t="s">
        <v>1386</v>
      </c>
    </row>
    <row r="325" customFormat="false" ht="15" hidden="false" customHeight="false" outlineLevel="0" collapsed="false">
      <c r="A325" s="51" t="s">
        <v>72</v>
      </c>
      <c r="B325" s="51" t="n">
        <v>37</v>
      </c>
      <c r="C325" s="51" t="s">
        <v>314</v>
      </c>
      <c r="D325" s="52" t="n">
        <v>45958</v>
      </c>
      <c r="E325" s="53" t="n">
        <v>472.83</v>
      </c>
      <c r="F325" s="53" t="n">
        <v>1256.23</v>
      </c>
      <c r="G325" s="51" t="n">
        <v>35</v>
      </c>
      <c r="H325" s="51" t="n">
        <v>37</v>
      </c>
      <c r="I325" s="51" t="s">
        <v>1386</v>
      </c>
    </row>
    <row r="326" customFormat="false" ht="15" hidden="false" customHeight="false" outlineLevel="0" collapsed="false">
      <c r="A326" s="51" t="s">
        <v>72</v>
      </c>
      <c r="B326" s="51" t="n">
        <v>37</v>
      </c>
      <c r="C326" s="51" t="s">
        <v>314</v>
      </c>
      <c r="D326" s="52" t="n">
        <v>45959</v>
      </c>
      <c r="E326" s="53" t="n">
        <v>477.34</v>
      </c>
      <c r="F326" s="53" t="n">
        <v>1080.3</v>
      </c>
      <c r="G326" s="51" t="n">
        <v>33</v>
      </c>
      <c r="H326" s="51" t="n">
        <v>34</v>
      </c>
      <c r="I326" s="51" t="s">
        <v>1386</v>
      </c>
    </row>
    <row r="327" customFormat="false" ht="15" hidden="false" customHeight="false" outlineLevel="0" collapsed="false">
      <c r="A327" s="51" t="s">
        <v>72</v>
      </c>
      <c r="B327" s="51" t="n">
        <v>37</v>
      </c>
      <c r="C327" s="51" t="s">
        <v>314</v>
      </c>
      <c r="D327" s="52" t="n">
        <v>45960</v>
      </c>
      <c r="E327" s="53" t="n">
        <v>410.34</v>
      </c>
      <c r="F327" s="53" t="n">
        <v>1391.8</v>
      </c>
      <c r="G327" s="51" t="n">
        <v>42</v>
      </c>
      <c r="H327" s="51" t="n">
        <v>44</v>
      </c>
      <c r="I327" s="51" t="s">
        <v>1386</v>
      </c>
    </row>
    <row r="328" customFormat="false" ht="15" hidden="false" customHeight="false" outlineLevel="0" collapsed="false">
      <c r="A328" s="51" t="s">
        <v>72</v>
      </c>
      <c r="B328" s="51" t="n">
        <v>37</v>
      </c>
      <c r="C328" s="51" t="s">
        <v>314</v>
      </c>
      <c r="D328" s="52" t="n">
        <v>45961</v>
      </c>
      <c r="E328" s="53" t="n">
        <v>376.13</v>
      </c>
      <c r="F328" s="53" t="n">
        <v>1199.24</v>
      </c>
      <c r="G328" s="51" t="n">
        <v>36</v>
      </c>
      <c r="H328" s="51" t="n">
        <v>36</v>
      </c>
      <c r="I328" s="51" t="s">
        <v>1386</v>
      </c>
    </row>
    <row r="329" customFormat="false" ht="15" hidden="false" customHeight="false" outlineLevel="0" collapsed="false">
      <c r="A329" s="51" t="s">
        <v>72</v>
      </c>
      <c r="B329" s="51" t="n">
        <v>37</v>
      </c>
      <c r="C329" s="51" t="s">
        <v>314</v>
      </c>
      <c r="D329" s="52" t="n">
        <v>45962</v>
      </c>
      <c r="E329" s="53" t="n">
        <v>516.25</v>
      </c>
      <c r="F329" s="53" t="n">
        <v>1859.15</v>
      </c>
      <c r="G329" s="51" t="n">
        <v>57</v>
      </c>
      <c r="H329" s="51" t="n">
        <v>57</v>
      </c>
      <c r="I329" s="51" t="s">
        <v>1386</v>
      </c>
    </row>
    <row r="330" customFormat="false" ht="15" hidden="false" customHeight="false" outlineLevel="0" collapsed="false">
      <c r="A330" s="51" t="s">
        <v>72</v>
      </c>
      <c r="B330" s="51" t="n">
        <v>37</v>
      </c>
      <c r="C330" s="51" t="s">
        <v>314</v>
      </c>
      <c r="D330" s="52" t="n">
        <v>45963</v>
      </c>
      <c r="E330" s="53" t="n">
        <v>548.05</v>
      </c>
      <c r="F330" s="53" t="n">
        <v>2127.75</v>
      </c>
      <c r="G330" s="51" t="n">
        <v>63</v>
      </c>
      <c r="H330" s="51" t="n">
        <v>65</v>
      </c>
      <c r="I330" s="51" t="s">
        <v>1386</v>
      </c>
    </row>
    <row r="331" customFormat="false" ht="15" hidden="false" customHeight="false" outlineLevel="0" collapsed="false">
      <c r="A331" s="51" t="s">
        <v>72</v>
      </c>
      <c r="B331" s="51" t="n">
        <v>37</v>
      </c>
      <c r="C331" s="51" t="s">
        <v>314</v>
      </c>
      <c r="D331" s="52" t="n">
        <v>45964</v>
      </c>
      <c r="E331" s="53" t="n">
        <v>493.13</v>
      </c>
      <c r="F331" s="53" t="n">
        <v>1941.9</v>
      </c>
      <c r="G331" s="51" t="n">
        <v>59</v>
      </c>
      <c r="H331" s="51" t="n">
        <v>64</v>
      </c>
      <c r="I331" s="51" t="s">
        <v>1386</v>
      </c>
    </row>
    <row r="332" customFormat="false" ht="15" hidden="false" customHeight="false" outlineLevel="0" collapsed="false">
      <c r="A332" s="51" t="s">
        <v>72</v>
      </c>
      <c r="B332" s="51" t="n">
        <v>37</v>
      </c>
      <c r="C332" s="51" t="s">
        <v>314</v>
      </c>
      <c r="D332" s="52" t="n">
        <v>45965</v>
      </c>
      <c r="E332" s="53" t="n">
        <v>495.51</v>
      </c>
      <c r="F332" s="53" t="n">
        <v>1192.1</v>
      </c>
      <c r="G332" s="51" t="n">
        <v>38</v>
      </c>
      <c r="H332" s="51" t="n">
        <v>38</v>
      </c>
      <c r="I332" s="51" t="s">
        <v>1386</v>
      </c>
    </row>
    <row r="333" customFormat="false" ht="15" hidden="false" customHeight="false" outlineLevel="0" collapsed="false">
      <c r="A333" s="51" t="s">
        <v>72</v>
      </c>
      <c r="B333" s="51" t="n">
        <v>37</v>
      </c>
      <c r="C333" s="51" t="s">
        <v>314</v>
      </c>
      <c r="D333" s="52" t="n">
        <v>45966</v>
      </c>
      <c r="E333" s="53" t="n">
        <v>506.15</v>
      </c>
      <c r="F333" s="53" t="n">
        <v>1527.64</v>
      </c>
      <c r="G333" s="51" t="n">
        <v>48</v>
      </c>
      <c r="H333" s="51" t="n">
        <v>48</v>
      </c>
      <c r="I333" s="51" t="s">
        <v>1386</v>
      </c>
    </row>
    <row r="334" customFormat="false" ht="15" hidden="false" customHeight="false" outlineLevel="0" collapsed="false">
      <c r="A334" s="51" t="s">
        <v>72</v>
      </c>
      <c r="B334" s="51" t="n">
        <v>37</v>
      </c>
      <c r="C334" s="51" t="s">
        <v>314</v>
      </c>
      <c r="D334" s="52" t="n">
        <v>45967</v>
      </c>
      <c r="E334" s="53" t="n">
        <v>516.71</v>
      </c>
      <c r="F334" s="53" t="n">
        <v>1653.4</v>
      </c>
      <c r="G334" s="51" t="n">
        <v>52</v>
      </c>
      <c r="H334" s="51" t="n">
        <v>52</v>
      </c>
      <c r="I334" s="51" t="s">
        <v>1386</v>
      </c>
    </row>
    <row r="335" customFormat="false" ht="15" hidden="false" customHeight="false" outlineLevel="0" collapsed="false">
      <c r="A335" s="51" t="s">
        <v>72</v>
      </c>
      <c r="B335" s="51" t="n">
        <v>37</v>
      </c>
      <c r="C335" s="51" t="s">
        <v>314</v>
      </c>
      <c r="D335" s="52" t="n">
        <v>45968</v>
      </c>
      <c r="E335" s="53" t="n">
        <v>501.04</v>
      </c>
      <c r="F335" s="53" t="n">
        <v>1529.55</v>
      </c>
      <c r="G335" s="51" t="n">
        <v>49</v>
      </c>
      <c r="H335" s="51" t="n">
        <v>49</v>
      </c>
      <c r="I335" s="51" t="s">
        <v>1386</v>
      </c>
    </row>
    <row r="336" customFormat="false" ht="15" hidden="false" customHeight="false" outlineLevel="0" collapsed="false">
      <c r="A336" s="51" t="s">
        <v>72</v>
      </c>
      <c r="B336" s="51" t="n">
        <v>37</v>
      </c>
      <c r="C336" s="51" t="s">
        <v>314</v>
      </c>
      <c r="D336" s="52" t="n">
        <v>45969</v>
      </c>
      <c r="E336" s="53" t="n">
        <v>567.14</v>
      </c>
      <c r="F336" s="53" t="n">
        <v>1557.5</v>
      </c>
      <c r="G336" s="51" t="n">
        <v>49</v>
      </c>
      <c r="H336" s="51" t="n">
        <v>50</v>
      </c>
      <c r="I336" s="51" t="s">
        <v>1386</v>
      </c>
    </row>
    <row r="337" customFormat="false" ht="15" hidden="false" customHeight="false" outlineLevel="0" collapsed="false">
      <c r="A337" s="51" t="s">
        <v>72</v>
      </c>
      <c r="B337" s="51" t="n">
        <v>37</v>
      </c>
      <c r="C337" s="51" t="s">
        <v>314</v>
      </c>
      <c r="D337" s="52" t="n">
        <v>45970</v>
      </c>
      <c r="E337" s="53" t="n">
        <v>537.84</v>
      </c>
      <c r="F337" s="53" t="n">
        <v>2113.65</v>
      </c>
      <c r="G337" s="51" t="n">
        <v>67</v>
      </c>
      <c r="H337" s="51" t="n">
        <v>67</v>
      </c>
      <c r="I337" s="51" t="s">
        <v>1386</v>
      </c>
    </row>
    <row r="338" customFormat="false" ht="15" hidden="false" customHeight="false" outlineLevel="0" collapsed="false">
      <c r="A338" s="51" t="s">
        <v>72</v>
      </c>
      <c r="B338" s="51" t="n">
        <v>37</v>
      </c>
      <c r="C338" s="51" t="s">
        <v>314</v>
      </c>
      <c r="D338" s="52" t="n">
        <v>45971</v>
      </c>
      <c r="E338" s="53" t="n">
        <v>499.29</v>
      </c>
      <c r="F338" s="53" t="n">
        <v>1363.8</v>
      </c>
      <c r="G338" s="51" t="n">
        <v>43</v>
      </c>
      <c r="H338" s="51" t="n">
        <v>44</v>
      </c>
      <c r="I338" s="51" t="s">
        <v>1386</v>
      </c>
    </row>
    <row r="339" customFormat="false" ht="15" hidden="false" customHeight="false" outlineLevel="0" collapsed="false">
      <c r="A339" s="51" t="s">
        <v>72</v>
      </c>
      <c r="B339" s="51" t="n">
        <v>37</v>
      </c>
      <c r="C339" s="51" t="s">
        <v>314</v>
      </c>
      <c r="D339" s="52" t="n">
        <v>45972</v>
      </c>
      <c r="E339" s="53" t="n">
        <v>451.33</v>
      </c>
      <c r="F339" s="53" t="n">
        <v>1449.7</v>
      </c>
      <c r="G339" s="51" t="n">
        <v>44</v>
      </c>
      <c r="H339" s="51" t="n">
        <v>46</v>
      </c>
      <c r="I339" s="51" t="s">
        <v>1386</v>
      </c>
    </row>
    <row r="340" customFormat="false" ht="15" hidden="false" customHeight="false" outlineLevel="0" collapsed="false">
      <c r="A340" s="51" t="s">
        <v>72</v>
      </c>
      <c r="B340" s="51" t="n">
        <v>37</v>
      </c>
      <c r="C340" s="51" t="s">
        <v>314</v>
      </c>
      <c r="D340" s="52" t="n">
        <v>45973</v>
      </c>
      <c r="E340" s="53" t="n">
        <v>408.21</v>
      </c>
      <c r="F340" s="53" t="n">
        <v>1272.05</v>
      </c>
      <c r="G340" s="51" t="n">
        <v>39</v>
      </c>
      <c r="H340" s="51" t="n">
        <v>39</v>
      </c>
      <c r="I340" s="51" t="s">
        <v>1386</v>
      </c>
    </row>
    <row r="341" customFormat="false" ht="15" hidden="false" customHeight="false" outlineLevel="0" collapsed="false">
      <c r="A341" s="51" t="s">
        <v>72</v>
      </c>
      <c r="B341" s="51" t="n">
        <v>37</v>
      </c>
      <c r="C341" s="51" t="s">
        <v>314</v>
      </c>
      <c r="D341" s="52" t="n">
        <v>45974</v>
      </c>
      <c r="E341" s="53" t="n">
        <v>466.42</v>
      </c>
      <c r="F341" s="53" t="n">
        <v>1754.6</v>
      </c>
      <c r="G341" s="51" t="n">
        <v>56</v>
      </c>
      <c r="H341" s="51" t="n">
        <v>56</v>
      </c>
      <c r="I341" s="51" t="s">
        <v>1386</v>
      </c>
    </row>
    <row r="342" customFormat="false" ht="15" hidden="false" customHeight="false" outlineLevel="0" collapsed="false">
      <c r="A342" s="51" t="s">
        <v>72</v>
      </c>
      <c r="B342" s="51" t="n">
        <v>37</v>
      </c>
      <c r="C342" s="51" t="s">
        <v>314</v>
      </c>
      <c r="D342" s="52" t="n">
        <v>45975</v>
      </c>
      <c r="E342" s="53" t="n">
        <v>432.7</v>
      </c>
      <c r="F342" s="53" t="n">
        <v>1341.22</v>
      </c>
      <c r="G342" s="51" t="n">
        <v>43</v>
      </c>
      <c r="H342" s="51" t="n">
        <v>43</v>
      </c>
      <c r="I342" s="51" t="s">
        <v>1386</v>
      </c>
    </row>
    <row r="343" customFormat="false" ht="15" hidden="false" customHeight="false" outlineLevel="0" collapsed="false">
      <c r="A343" s="51" t="s">
        <v>72</v>
      </c>
      <c r="B343" s="51" t="n">
        <v>37</v>
      </c>
      <c r="C343" s="51" t="s">
        <v>314</v>
      </c>
      <c r="D343" s="52" t="n">
        <v>45976</v>
      </c>
      <c r="E343" s="53" t="n">
        <v>572.51</v>
      </c>
      <c r="F343" s="53" t="n">
        <v>1801.4</v>
      </c>
      <c r="G343" s="51" t="n">
        <v>58</v>
      </c>
      <c r="H343" s="51" t="n">
        <v>58</v>
      </c>
      <c r="I343" s="51" t="s">
        <v>1386</v>
      </c>
    </row>
    <row r="344" customFormat="false" ht="15" hidden="false" customHeight="false" outlineLevel="0" collapsed="false">
      <c r="A344" s="51" t="s">
        <v>72</v>
      </c>
      <c r="B344" s="51" t="n">
        <v>37</v>
      </c>
      <c r="C344" s="51" t="s">
        <v>314</v>
      </c>
      <c r="D344" s="52" t="n">
        <v>45977</v>
      </c>
      <c r="E344" s="53" t="n">
        <v>623.41</v>
      </c>
      <c r="F344" s="53" t="n">
        <v>1741.09</v>
      </c>
      <c r="G344" s="51" t="n">
        <v>54</v>
      </c>
      <c r="H344" s="51" t="n">
        <v>54</v>
      </c>
      <c r="I344" s="51" t="s">
        <v>1386</v>
      </c>
    </row>
    <row r="345" customFormat="false" ht="15" hidden="false" customHeight="false" outlineLevel="0" collapsed="false">
      <c r="A345" s="51" t="s">
        <v>72</v>
      </c>
      <c r="B345" s="51" t="n">
        <v>37</v>
      </c>
      <c r="C345" s="51" t="s">
        <v>314</v>
      </c>
      <c r="D345" s="52" t="n">
        <v>45978</v>
      </c>
      <c r="E345" s="53" t="n">
        <v>445.3</v>
      </c>
      <c r="F345" s="53" t="n">
        <v>1387.25</v>
      </c>
      <c r="G345" s="51" t="n">
        <v>44</v>
      </c>
      <c r="H345" s="51" t="n">
        <v>45</v>
      </c>
      <c r="I345" s="51" t="s">
        <v>1386</v>
      </c>
    </row>
    <row r="346" customFormat="false" ht="15" hidden="false" customHeight="false" outlineLevel="0" collapsed="false">
      <c r="A346" s="51" t="s">
        <v>72</v>
      </c>
      <c r="B346" s="51" t="n">
        <v>37</v>
      </c>
      <c r="C346" s="51" t="s">
        <v>314</v>
      </c>
      <c r="D346" s="52" t="n">
        <v>45979</v>
      </c>
      <c r="E346" s="53" t="n">
        <v>399.85</v>
      </c>
      <c r="F346" s="53" t="n">
        <v>1641.15</v>
      </c>
      <c r="G346" s="51" t="n">
        <v>53</v>
      </c>
      <c r="H346" s="51" t="n">
        <v>55</v>
      </c>
      <c r="I346" s="51" t="s">
        <v>1386</v>
      </c>
    </row>
    <row r="347" customFormat="false" ht="15" hidden="false" customHeight="false" outlineLevel="0" collapsed="false">
      <c r="A347" s="51" t="s">
        <v>72</v>
      </c>
      <c r="B347" s="51" t="n">
        <v>37</v>
      </c>
      <c r="C347" s="51" t="s">
        <v>314</v>
      </c>
      <c r="D347" s="52" t="n">
        <v>45980</v>
      </c>
      <c r="E347" s="53" t="n">
        <v>418.59</v>
      </c>
      <c r="F347" s="53" t="n">
        <v>1724.93</v>
      </c>
      <c r="G347" s="51" t="n">
        <v>53</v>
      </c>
      <c r="H347" s="51" t="n">
        <v>53</v>
      </c>
      <c r="I347" s="51" t="s">
        <v>1386</v>
      </c>
    </row>
    <row r="348" customFormat="false" ht="15" hidden="false" customHeight="false" outlineLevel="0" collapsed="false">
      <c r="A348" s="51" t="s">
        <v>72</v>
      </c>
      <c r="B348" s="51" t="n">
        <v>37</v>
      </c>
      <c r="C348" s="51" t="s">
        <v>314</v>
      </c>
      <c r="D348" s="52" t="n">
        <v>45981</v>
      </c>
      <c r="E348" s="53" t="n">
        <v>795.35</v>
      </c>
      <c r="F348" s="53" t="n">
        <v>3283.64</v>
      </c>
      <c r="G348" s="51" t="n">
        <v>107</v>
      </c>
      <c r="H348" s="51" t="n">
        <v>110</v>
      </c>
      <c r="I348" s="51" t="s">
        <v>1387</v>
      </c>
    </row>
    <row r="349" customFormat="false" ht="15" hidden="false" customHeight="false" outlineLevel="0" collapsed="false">
      <c r="A349" s="51" t="s">
        <v>72</v>
      </c>
      <c r="B349" s="51" t="n">
        <v>37</v>
      </c>
      <c r="C349" s="51" t="s">
        <v>314</v>
      </c>
      <c r="D349" s="52" t="n">
        <v>45982</v>
      </c>
      <c r="E349" s="53" t="n">
        <v>537.08</v>
      </c>
      <c r="F349" s="53" t="n">
        <v>2268.43</v>
      </c>
      <c r="G349" s="51" t="n">
        <v>76</v>
      </c>
      <c r="H349" s="51" t="n">
        <v>78</v>
      </c>
      <c r="I349" s="51" t="s">
        <v>1387</v>
      </c>
    </row>
    <row r="350" customFormat="false" ht="15" hidden="false" customHeight="false" outlineLevel="0" collapsed="false">
      <c r="A350" s="51" t="s">
        <v>72</v>
      </c>
      <c r="B350" s="51" t="n">
        <v>37</v>
      </c>
      <c r="C350" s="51" t="s">
        <v>314</v>
      </c>
      <c r="D350" s="52" t="n">
        <v>45983</v>
      </c>
      <c r="E350" s="53" t="n">
        <v>475.33</v>
      </c>
      <c r="F350" s="53" t="n">
        <v>1629.19</v>
      </c>
      <c r="G350" s="51" t="n">
        <v>49</v>
      </c>
      <c r="H350" s="51" t="n">
        <v>50</v>
      </c>
      <c r="I350" s="51" t="s">
        <v>1387</v>
      </c>
    </row>
    <row r="351" customFormat="false" ht="15" hidden="false" customHeight="false" outlineLevel="0" collapsed="false">
      <c r="A351" s="51" t="s">
        <v>72</v>
      </c>
      <c r="B351" s="51" t="n">
        <v>37</v>
      </c>
      <c r="C351" s="51" t="s">
        <v>314</v>
      </c>
      <c r="D351" s="52" t="n">
        <v>45984</v>
      </c>
      <c r="E351" s="53" t="n">
        <v>352.82</v>
      </c>
      <c r="F351" s="53" t="n">
        <v>2239.73</v>
      </c>
      <c r="G351" s="51" t="n">
        <v>75</v>
      </c>
      <c r="H351" s="51" t="n">
        <v>75</v>
      </c>
      <c r="I351" s="51" t="s">
        <v>1387</v>
      </c>
    </row>
    <row r="352" customFormat="false" ht="15" hidden="false" customHeight="false" outlineLevel="0" collapsed="false">
      <c r="A352" s="51" t="s">
        <v>72</v>
      </c>
      <c r="B352" s="51" t="n">
        <v>37</v>
      </c>
      <c r="C352" s="51" t="s">
        <v>314</v>
      </c>
      <c r="D352" s="52" t="n">
        <v>45985</v>
      </c>
      <c r="E352" s="53" t="n">
        <v>380.35</v>
      </c>
      <c r="F352" s="53" t="n">
        <v>1391.89</v>
      </c>
      <c r="G352" s="51" t="n">
        <v>48</v>
      </c>
      <c r="H352" s="51" t="n">
        <v>49</v>
      </c>
      <c r="I352" s="51" t="s">
        <v>1387</v>
      </c>
    </row>
    <row r="353" customFormat="false" ht="15" hidden="false" customHeight="false" outlineLevel="0" collapsed="false">
      <c r="A353" s="51" t="s">
        <v>72</v>
      </c>
      <c r="B353" s="51" t="n">
        <v>37</v>
      </c>
      <c r="C353" s="51" t="s">
        <v>314</v>
      </c>
      <c r="D353" s="52" t="n">
        <v>45986</v>
      </c>
      <c r="E353" s="53" t="n">
        <v>370.49</v>
      </c>
      <c r="F353" s="53" t="n">
        <v>1205.98</v>
      </c>
      <c r="G353" s="51" t="n">
        <v>40</v>
      </c>
      <c r="H353" s="51" t="n">
        <v>40</v>
      </c>
      <c r="I353" s="51" t="s">
        <v>1387</v>
      </c>
    </row>
    <row r="354" customFormat="false" ht="15" hidden="false" customHeight="false" outlineLevel="0" collapsed="false">
      <c r="A354" s="51" t="s">
        <v>72</v>
      </c>
      <c r="B354" s="51" t="n">
        <v>37</v>
      </c>
      <c r="C354" s="51" t="s">
        <v>314</v>
      </c>
      <c r="D354" s="52" t="n">
        <v>45987</v>
      </c>
      <c r="E354" s="53" t="n">
        <v>587.34</v>
      </c>
      <c r="F354" s="53" t="n">
        <v>2673.14</v>
      </c>
      <c r="G354" s="51" t="n">
        <v>91</v>
      </c>
      <c r="H354" s="51" t="n">
        <v>94</v>
      </c>
      <c r="I354" s="51" t="s">
        <v>1387</v>
      </c>
    </row>
    <row r="355" customFormat="false" ht="15" hidden="false" customHeight="false" outlineLevel="0" collapsed="false">
      <c r="A355" s="51" t="s">
        <v>72</v>
      </c>
      <c r="B355" s="51" t="n">
        <v>37</v>
      </c>
      <c r="C355" s="51" t="s">
        <v>314</v>
      </c>
      <c r="D355" s="52" t="n">
        <v>45988</v>
      </c>
      <c r="E355" s="53" t="n">
        <v>395.94</v>
      </c>
      <c r="F355" s="53" t="n">
        <v>1708.79</v>
      </c>
      <c r="G355" s="51" t="n">
        <v>58</v>
      </c>
      <c r="H355" s="51" t="n">
        <v>61</v>
      </c>
      <c r="I355" s="51" t="s">
        <v>1387</v>
      </c>
    </row>
    <row r="356" customFormat="false" ht="15" hidden="false" customHeight="false" outlineLevel="0" collapsed="false">
      <c r="A356" s="51" t="s">
        <v>72</v>
      </c>
      <c r="B356" s="51" t="n">
        <v>37</v>
      </c>
      <c r="C356" s="51" t="s">
        <v>314</v>
      </c>
      <c r="D356" s="52" t="n">
        <v>45989</v>
      </c>
      <c r="E356" s="53" t="n">
        <v>1054.06</v>
      </c>
      <c r="F356" s="53" t="n">
        <v>6470.47</v>
      </c>
      <c r="G356" s="51" t="n">
        <v>220</v>
      </c>
      <c r="H356" s="51" t="n">
        <v>229</v>
      </c>
      <c r="I356" s="51" t="s">
        <v>1387</v>
      </c>
    </row>
    <row r="357" customFormat="false" ht="15" hidden="false" customHeight="false" outlineLevel="0" collapsed="false">
      <c r="A357" s="51" t="s">
        <v>72</v>
      </c>
      <c r="B357" s="51" t="n">
        <v>37</v>
      </c>
      <c r="C357" s="51" t="s">
        <v>314</v>
      </c>
      <c r="D357" s="52" t="n">
        <v>45990</v>
      </c>
      <c r="E357" s="53" t="n">
        <v>727.39</v>
      </c>
      <c r="F357" s="53" t="n">
        <v>3282.77</v>
      </c>
      <c r="G357" s="51" t="n">
        <v>104</v>
      </c>
      <c r="H357" s="51" t="n">
        <v>111</v>
      </c>
      <c r="I357" s="51" t="s">
        <v>1387</v>
      </c>
    </row>
    <row r="358" customFormat="false" ht="15" hidden="false" customHeight="false" outlineLevel="0" collapsed="false">
      <c r="A358" s="51" t="s">
        <v>72</v>
      </c>
      <c r="B358" s="51" t="n">
        <v>37</v>
      </c>
      <c r="C358" s="51" t="s">
        <v>314</v>
      </c>
      <c r="D358" s="52" t="n">
        <v>45991</v>
      </c>
      <c r="E358" s="53" t="n">
        <v>645.99</v>
      </c>
      <c r="F358" s="53" t="n">
        <v>3167.54</v>
      </c>
      <c r="G358" s="51" t="n">
        <v>108</v>
      </c>
      <c r="H358" s="51" t="n">
        <v>110</v>
      </c>
      <c r="I358" s="51" t="s">
        <v>1387</v>
      </c>
    </row>
    <row r="359" customFormat="false" ht="15" hidden="false" customHeight="false" outlineLevel="0" collapsed="false">
      <c r="A359" s="51" t="s">
        <v>72</v>
      </c>
      <c r="B359" s="51" t="n">
        <v>37</v>
      </c>
      <c r="C359" s="51" t="s">
        <v>314</v>
      </c>
      <c r="D359" s="52" t="n">
        <v>45992</v>
      </c>
      <c r="E359" s="53" t="n">
        <v>774.77</v>
      </c>
      <c r="F359" s="53" t="n">
        <v>4211.85</v>
      </c>
      <c r="G359" s="51" t="n">
        <v>140</v>
      </c>
      <c r="H359" s="51" t="n">
        <v>146</v>
      </c>
      <c r="I359" s="51" t="s">
        <v>1387</v>
      </c>
    </row>
    <row r="360" customFormat="false" ht="15" hidden="false" customHeight="false" outlineLevel="0" collapsed="false">
      <c r="A360" s="51" t="s">
        <v>72</v>
      </c>
      <c r="B360" s="51" t="n">
        <v>37</v>
      </c>
      <c r="C360" s="51" t="s">
        <v>314</v>
      </c>
      <c r="D360" s="52" t="n">
        <v>45993</v>
      </c>
      <c r="E360" s="53" t="n">
        <v>530.55</v>
      </c>
      <c r="F360" s="53" t="n">
        <v>1676.35</v>
      </c>
      <c r="G360" s="51" t="n">
        <v>51</v>
      </c>
      <c r="H360" s="51" t="n">
        <v>54</v>
      </c>
      <c r="I360" s="51"/>
    </row>
    <row r="361" customFormat="false" ht="15" hidden="false" customHeight="false" outlineLevel="0" collapsed="false">
      <c r="A361" s="51" t="s">
        <v>72</v>
      </c>
      <c r="B361" s="51" t="n">
        <v>37</v>
      </c>
      <c r="C361" s="51" t="s">
        <v>314</v>
      </c>
      <c r="D361" s="52" t="n">
        <v>45994</v>
      </c>
      <c r="E361" s="53" t="n">
        <v>546.75</v>
      </c>
      <c r="F361" s="53" t="n">
        <v>2253.69</v>
      </c>
      <c r="G361" s="51" t="n">
        <v>68</v>
      </c>
      <c r="H361" s="51" t="n">
        <v>68</v>
      </c>
      <c r="I361" s="51"/>
    </row>
    <row r="362" customFormat="false" ht="15" hidden="false" customHeight="false" outlineLevel="0" collapsed="false">
      <c r="A362" s="51" t="s">
        <v>72</v>
      </c>
      <c r="B362" s="51" t="n">
        <v>37</v>
      </c>
      <c r="C362" s="51" t="s">
        <v>314</v>
      </c>
      <c r="D362" s="52" t="n">
        <v>45995</v>
      </c>
      <c r="E362" s="53" t="n">
        <v>573.04</v>
      </c>
      <c r="F362" s="53" t="n">
        <v>2704.95</v>
      </c>
      <c r="G362" s="51" t="n">
        <v>80</v>
      </c>
      <c r="H362" s="51" t="n">
        <v>81</v>
      </c>
      <c r="I362" s="51"/>
    </row>
    <row r="363" customFormat="false" ht="15" hidden="false" customHeight="false" outlineLevel="0" collapsed="false">
      <c r="A363" s="51" t="s">
        <v>72</v>
      </c>
      <c r="B363" s="51" t="n">
        <v>37</v>
      </c>
      <c r="C363" s="51" t="s">
        <v>314</v>
      </c>
      <c r="D363" s="52" t="n">
        <v>45996</v>
      </c>
      <c r="E363" s="53" t="n">
        <v>449.68</v>
      </c>
      <c r="F363" s="53" t="n">
        <v>2448.2</v>
      </c>
      <c r="G363" s="51" t="n">
        <v>75</v>
      </c>
      <c r="H363" s="51" t="n">
        <v>76</v>
      </c>
      <c r="I363" s="51"/>
    </row>
    <row r="364" customFormat="false" ht="15" hidden="false" customHeight="false" outlineLevel="0" collapsed="false">
      <c r="A364" s="51" t="s">
        <v>72</v>
      </c>
      <c r="B364" s="51" t="n">
        <v>37</v>
      </c>
      <c r="C364" s="51" t="s">
        <v>314</v>
      </c>
      <c r="D364" s="52" t="n">
        <v>45997</v>
      </c>
      <c r="E364" s="53" t="n">
        <v>555.9</v>
      </c>
      <c r="F364" s="53" t="n">
        <v>2270.45</v>
      </c>
      <c r="G364" s="51" t="n">
        <v>69</v>
      </c>
      <c r="H364" s="51" t="n">
        <v>71</v>
      </c>
      <c r="I364" s="51"/>
    </row>
    <row r="365" customFormat="false" ht="15" hidden="false" customHeight="false" outlineLevel="0" collapsed="false">
      <c r="A365" s="51" t="s">
        <v>72</v>
      </c>
      <c r="B365" s="51" t="n">
        <v>37</v>
      </c>
      <c r="C365" s="51" t="s">
        <v>314</v>
      </c>
      <c r="D365" s="52" t="n">
        <v>45998</v>
      </c>
      <c r="E365" s="53" t="n">
        <v>638.39</v>
      </c>
      <c r="F365" s="53" t="n">
        <v>2445.19</v>
      </c>
      <c r="G365" s="51" t="n">
        <v>77</v>
      </c>
      <c r="H365" s="51" t="n">
        <v>77</v>
      </c>
      <c r="I365" s="51"/>
    </row>
    <row r="366" customFormat="false" ht="15" hidden="false" customHeight="false" outlineLevel="0" collapsed="false">
      <c r="A366" s="51" t="s">
        <v>72</v>
      </c>
      <c r="B366" s="51" t="n">
        <v>37</v>
      </c>
      <c r="C366" s="51" t="s">
        <v>314</v>
      </c>
      <c r="D366" s="52" t="n">
        <v>45999</v>
      </c>
      <c r="E366" s="53" t="n">
        <v>574.4</v>
      </c>
      <c r="F366" s="53" t="n">
        <v>2373.2</v>
      </c>
      <c r="G366" s="51" t="n">
        <v>75</v>
      </c>
      <c r="H366" s="51" t="n">
        <v>76</v>
      </c>
      <c r="I366" s="51"/>
    </row>
    <row r="367" customFormat="false" ht="15" hidden="false" customHeight="false" outlineLevel="0" collapsed="false">
      <c r="A367" s="51" t="s">
        <v>72</v>
      </c>
      <c r="B367" s="51" t="n">
        <v>37</v>
      </c>
      <c r="C367" s="51" t="s">
        <v>314</v>
      </c>
      <c r="D367" s="52" t="n">
        <v>46000</v>
      </c>
      <c r="E367" s="53" t="n">
        <v>547.7</v>
      </c>
      <c r="F367" s="53" t="n">
        <v>2679.75</v>
      </c>
      <c r="G367" s="51" t="n">
        <v>84</v>
      </c>
      <c r="H367" s="51" t="n">
        <v>86</v>
      </c>
      <c r="I367" s="51"/>
    </row>
    <row r="368" customFormat="false" ht="15" hidden="false" customHeight="false" outlineLevel="0" collapsed="false">
      <c r="A368" s="51" t="s">
        <v>72</v>
      </c>
      <c r="B368" s="51" t="n">
        <v>37</v>
      </c>
      <c r="C368" s="51" t="s">
        <v>314</v>
      </c>
      <c r="D368" s="52" t="n">
        <v>46001</v>
      </c>
      <c r="E368" s="53" t="n">
        <v>588.81</v>
      </c>
      <c r="F368" s="53" t="n">
        <v>2754.7</v>
      </c>
      <c r="G368" s="51" t="n">
        <v>88</v>
      </c>
      <c r="H368" s="51" t="n">
        <v>88</v>
      </c>
      <c r="I368" s="51"/>
    </row>
    <row r="369" customFormat="false" ht="15" hidden="false" customHeight="false" outlineLevel="0" collapsed="false">
      <c r="A369" s="51" t="s">
        <v>72</v>
      </c>
      <c r="B369" s="51" t="n">
        <v>37</v>
      </c>
      <c r="C369" s="51" t="s">
        <v>314</v>
      </c>
      <c r="D369" s="52" t="n">
        <v>46002</v>
      </c>
      <c r="E369" s="53" t="n">
        <v>707.01</v>
      </c>
      <c r="F369" s="53" t="n">
        <v>4004.82</v>
      </c>
      <c r="G369" s="51" t="n">
        <v>125</v>
      </c>
      <c r="H369" s="51" t="n">
        <v>126</v>
      </c>
      <c r="I369" s="51"/>
    </row>
    <row r="370" customFormat="false" ht="15" hidden="false" customHeight="false" outlineLevel="0" collapsed="false">
      <c r="A370" s="51" t="s">
        <v>72</v>
      </c>
      <c r="B370" s="51" t="n">
        <v>37</v>
      </c>
      <c r="C370" s="51" t="s">
        <v>314</v>
      </c>
      <c r="D370" s="52" t="n">
        <v>46003</v>
      </c>
      <c r="E370" s="53" t="n">
        <v>736.88</v>
      </c>
      <c r="F370" s="53" t="n">
        <v>3844.75</v>
      </c>
      <c r="G370" s="51" t="n">
        <v>123</v>
      </c>
      <c r="H370" s="51" t="n">
        <v>125</v>
      </c>
      <c r="I370" s="51"/>
    </row>
    <row r="371" customFormat="false" ht="15" hidden="false" customHeight="false" outlineLevel="0" collapsed="false">
      <c r="A371" s="51" t="s">
        <v>72</v>
      </c>
      <c r="B371" s="51" t="n">
        <v>37</v>
      </c>
      <c r="C371" s="51" t="s">
        <v>314</v>
      </c>
      <c r="D371" s="52" t="n">
        <v>46004</v>
      </c>
      <c r="E371" s="53" t="n">
        <v>817.69</v>
      </c>
      <c r="F371" s="53" t="n">
        <v>4197.2</v>
      </c>
      <c r="G371" s="51" t="n">
        <v>131</v>
      </c>
      <c r="H371" s="51" t="n">
        <v>136</v>
      </c>
      <c r="I371" s="51"/>
    </row>
    <row r="372" customFormat="false" ht="15" hidden="false" customHeight="false" outlineLevel="0" collapsed="false">
      <c r="A372" s="51" t="s">
        <v>72</v>
      </c>
      <c r="B372" s="51" t="n">
        <v>37</v>
      </c>
      <c r="C372" s="51" t="s">
        <v>314</v>
      </c>
      <c r="D372" s="52" t="n">
        <v>46005</v>
      </c>
      <c r="E372" s="53" t="n">
        <v>883.92</v>
      </c>
      <c r="F372" s="53" t="n">
        <v>4417.85</v>
      </c>
      <c r="G372" s="51" t="n">
        <v>142</v>
      </c>
      <c r="H372" s="51" t="n">
        <v>143</v>
      </c>
      <c r="I372" s="51"/>
    </row>
    <row r="373" customFormat="false" ht="15" hidden="false" customHeight="false" outlineLevel="0" collapsed="false">
      <c r="A373" s="51" t="s">
        <v>72</v>
      </c>
      <c r="B373" s="51" t="n">
        <v>37</v>
      </c>
      <c r="C373" s="51" t="s">
        <v>314</v>
      </c>
      <c r="D373" s="52" t="n">
        <v>46006</v>
      </c>
      <c r="E373" s="53" t="n">
        <v>768.3</v>
      </c>
      <c r="F373" s="53" t="n">
        <v>4439.85</v>
      </c>
      <c r="G373" s="51" t="n">
        <v>142</v>
      </c>
      <c r="H373" s="51" t="n">
        <v>143</v>
      </c>
      <c r="I373" s="51"/>
    </row>
    <row r="374" customFormat="false" ht="15" hidden="false" customHeight="false" outlineLevel="0" collapsed="false">
      <c r="A374" s="51" t="s">
        <v>72</v>
      </c>
      <c r="B374" s="51" t="n">
        <v>37</v>
      </c>
      <c r="C374" s="51" t="s">
        <v>1377</v>
      </c>
      <c r="D374" s="52" t="n">
        <v>45945</v>
      </c>
      <c r="E374" s="53" t="n">
        <v>251.72</v>
      </c>
      <c r="F374" s="53" t="n">
        <v>1067.13</v>
      </c>
      <c r="G374" s="51" t="n">
        <v>23</v>
      </c>
      <c r="H374" s="51" t="n">
        <v>23</v>
      </c>
      <c r="I374" s="51"/>
    </row>
    <row r="375" customFormat="false" ht="15" hidden="false" customHeight="false" outlineLevel="0" collapsed="false">
      <c r="A375" s="51" t="s">
        <v>72</v>
      </c>
      <c r="B375" s="51" t="n">
        <v>37</v>
      </c>
      <c r="C375" s="51" t="s">
        <v>1377</v>
      </c>
      <c r="D375" s="52" t="n">
        <v>45946</v>
      </c>
      <c r="E375" s="53" t="n">
        <v>265.54</v>
      </c>
      <c r="F375" s="53" t="n">
        <v>1099.46</v>
      </c>
      <c r="G375" s="51" t="n">
        <v>24</v>
      </c>
      <c r="H375" s="51" t="n">
        <v>24</v>
      </c>
      <c r="I375" s="51"/>
    </row>
    <row r="376" customFormat="false" ht="15" hidden="false" customHeight="false" outlineLevel="0" collapsed="false">
      <c r="A376" s="51" t="s">
        <v>72</v>
      </c>
      <c r="B376" s="51" t="n">
        <v>37</v>
      </c>
      <c r="C376" s="51" t="s">
        <v>1377</v>
      </c>
      <c r="D376" s="52" t="n">
        <v>45947</v>
      </c>
      <c r="E376" s="53" t="n">
        <v>187.34</v>
      </c>
      <c r="F376" s="53" t="n">
        <v>553.83</v>
      </c>
      <c r="G376" s="51" t="n">
        <v>13</v>
      </c>
      <c r="H376" s="51" t="n">
        <v>13</v>
      </c>
      <c r="I376" s="51"/>
    </row>
    <row r="377" customFormat="false" ht="15" hidden="false" customHeight="false" outlineLevel="0" collapsed="false">
      <c r="A377" s="51" t="s">
        <v>72</v>
      </c>
      <c r="B377" s="51" t="n">
        <v>37</v>
      </c>
      <c r="C377" s="51" t="s">
        <v>1377</v>
      </c>
      <c r="D377" s="52" t="n">
        <v>45948</v>
      </c>
      <c r="E377" s="53" t="n">
        <v>232.15</v>
      </c>
      <c r="F377" s="53" t="n">
        <v>686.15</v>
      </c>
      <c r="G377" s="51" t="n">
        <v>15</v>
      </c>
      <c r="H377" s="51" t="n">
        <v>15</v>
      </c>
      <c r="I377" s="51"/>
    </row>
    <row r="378" customFormat="false" ht="15" hidden="false" customHeight="false" outlineLevel="0" collapsed="false">
      <c r="A378" s="51" t="s">
        <v>72</v>
      </c>
      <c r="B378" s="51" t="n">
        <v>37</v>
      </c>
      <c r="C378" s="51" t="s">
        <v>1377</v>
      </c>
      <c r="D378" s="52" t="n">
        <v>45949</v>
      </c>
      <c r="E378" s="53" t="n">
        <v>270.81</v>
      </c>
      <c r="F378" s="53" t="n">
        <v>927.76</v>
      </c>
      <c r="G378" s="51" t="n">
        <v>21</v>
      </c>
      <c r="H378" s="51" t="n">
        <v>21</v>
      </c>
      <c r="I378" s="51"/>
    </row>
    <row r="379" customFormat="false" ht="15" hidden="false" customHeight="false" outlineLevel="0" collapsed="false">
      <c r="A379" s="51" t="s">
        <v>72</v>
      </c>
      <c r="B379" s="51" t="n">
        <v>37</v>
      </c>
      <c r="C379" s="51" t="s">
        <v>1377</v>
      </c>
      <c r="D379" s="52" t="n">
        <v>45950</v>
      </c>
      <c r="E379" s="53" t="n">
        <v>296.33</v>
      </c>
      <c r="F379" s="53" t="n">
        <v>967.65</v>
      </c>
      <c r="G379" s="51" t="n">
        <v>26</v>
      </c>
      <c r="H379" s="51" t="n">
        <v>27</v>
      </c>
      <c r="I379" s="51"/>
    </row>
    <row r="380" customFormat="false" ht="15" hidden="false" customHeight="false" outlineLevel="0" collapsed="false">
      <c r="A380" s="51" t="s">
        <v>72</v>
      </c>
      <c r="B380" s="51" t="n">
        <v>37</v>
      </c>
      <c r="C380" s="51" t="s">
        <v>1377</v>
      </c>
      <c r="D380" s="52" t="n">
        <v>45951</v>
      </c>
      <c r="E380" s="53" t="n">
        <v>274.61</v>
      </c>
      <c r="F380" s="53" t="n">
        <v>1115.33</v>
      </c>
      <c r="G380" s="51" t="n">
        <v>34</v>
      </c>
      <c r="H380" s="51" t="n">
        <v>34</v>
      </c>
      <c r="I380" s="51" t="s">
        <v>1386</v>
      </c>
    </row>
    <row r="381" customFormat="false" ht="15" hidden="false" customHeight="false" outlineLevel="0" collapsed="false">
      <c r="A381" s="51" t="s">
        <v>72</v>
      </c>
      <c r="B381" s="51" t="n">
        <v>37</v>
      </c>
      <c r="C381" s="51" t="s">
        <v>1377</v>
      </c>
      <c r="D381" s="52" t="n">
        <v>45952</v>
      </c>
      <c r="E381" s="53" t="n">
        <v>338.94</v>
      </c>
      <c r="F381" s="53" t="n">
        <v>1021.49</v>
      </c>
      <c r="G381" s="51" t="n">
        <v>28</v>
      </c>
      <c r="H381" s="51" t="n">
        <v>28</v>
      </c>
      <c r="I381" s="51" t="s">
        <v>1386</v>
      </c>
    </row>
    <row r="382" customFormat="false" ht="15" hidden="false" customHeight="false" outlineLevel="0" collapsed="false">
      <c r="A382" s="51" t="s">
        <v>72</v>
      </c>
      <c r="B382" s="51" t="n">
        <v>37</v>
      </c>
      <c r="C382" s="51" t="s">
        <v>1377</v>
      </c>
      <c r="D382" s="52" t="n">
        <v>45953</v>
      </c>
      <c r="E382" s="53" t="n">
        <v>294.78</v>
      </c>
      <c r="F382" s="53" t="n">
        <v>1491.47</v>
      </c>
      <c r="G382" s="51" t="n">
        <v>42</v>
      </c>
      <c r="H382" s="51" t="n">
        <v>44</v>
      </c>
      <c r="I382" s="51" t="s">
        <v>1386</v>
      </c>
    </row>
    <row r="383" customFormat="false" ht="15" hidden="false" customHeight="false" outlineLevel="0" collapsed="false">
      <c r="A383" s="51" t="s">
        <v>72</v>
      </c>
      <c r="B383" s="51" t="n">
        <v>37</v>
      </c>
      <c r="C383" s="51" t="s">
        <v>1377</v>
      </c>
      <c r="D383" s="52" t="n">
        <v>45954</v>
      </c>
      <c r="E383" s="53" t="n">
        <v>257.69</v>
      </c>
      <c r="F383" s="53" t="n">
        <v>836.44</v>
      </c>
      <c r="G383" s="51" t="n">
        <v>24</v>
      </c>
      <c r="H383" s="51" t="n">
        <v>24</v>
      </c>
      <c r="I383" s="51" t="s">
        <v>1386</v>
      </c>
    </row>
    <row r="384" customFormat="false" ht="15" hidden="false" customHeight="false" outlineLevel="0" collapsed="false">
      <c r="A384" s="51" t="s">
        <v>72</v>
      </c>
      <c r="B384" s="51" t="n">
        <v>37</v>
      </c>
      <c r="C384" s="51" t="s">
        <v>1377</v>
      </c>
      <c r="D384" s="52" t="n">
        <v>45955</v>
      </c>
      <c r="E384" s="53" t="n">
        <v>387.64</v>
      </c>
      <c r="F384" s="53" t="n">
        <v>1490.19</v>
      </c>
      <c r="G384" s="51" t="n">
        <v>34</v>
      </c>
      <c r="H384" s="51" t="n">
        <v>44</v>
      </c>
      <c r="I384" s="51" t="s">
        <v>1386</v>
      </c>
    </row>
    <row r="385" customFormat="false" ht="15" hidden="false" customHeight="false" outlineLevel="0" collapsed="false">
      <c r="A385" s="51" t="s">
        <v>72</v>
      </c>
      <c r="B385" s="51" t="n">
        <v>37</v>
      </c>
      <c r="C385" s="51" t="s">
        <v>1377</v>
      </c>
      <c r="D385" s="52" t="n">
        <v>45956</v>
      </c>
      <c r="E385" s="53" t="n">
        <v>447.95</v>
      </c>
      <c r="F385" s="53" t="n">
        <v>2138.04</v>
      </c>
      <c r="G385" s="51" t="n">
        <v>58</v>
      </c>
      <c r="H385" s="51" t="n">
        <v>59</v>
      </c>
      <c r="I385" s="51" t="s">
        <v>1386</v>
      </c>
    </row>
    <row r="386" customFormat="false" ht="15" hidden="false" customHeight="false" outlineLevel="0" collapsed="false">
      <c r="A386" s="51" t="s">
        <v>72</v>
      </c>
      <c r="B386" s="51" t="n">
        <v>37</v>
      </c>
      <c r="C386" s="51" t="s">
        <v>1377</v>
      </c>
      <c r="D386" s="52" t="n">
        <v>45957</v>
      </c>
      <c r="E386" s="53" t="n">
        <v>288.4</v>
      </c>
      <c r="F386" s="53" t="n">
        <v>807.98</v>
      </c>
      <c r="G386" s="51" t="n">
        <v>21</v>
      </c>
      <c r="H386" s="51" t="n">
        <v>24</v>
      </c>
      <c r="I386" s="51" t="s">
        <v>1386</v>
      </c>
    </row>
    <row r="387" customFormat="false" ht="15" hidden="false" customHeight="false" outlineLevel="0" collapsed="false">
      <c r="A387" s="51" t="s">
        <v>72</v>
      </c>
      <c r="B387" s="51" t="n">
        <v>37</v>
      </c>
      <c r="C387" s="51" t="s">
        <v>1377</v>
      </c>
      <c r="D387" s="52" t="n">
        <v>45958</v>
      </c>
      <c r="E387" s="53" t="n">
        <v>236.86</v>
      </c>
      <c r="F387" s="53" t="n">
        <v>1024.77</v>
      </c>
      <c r="G387" s="51" t="n">
        <v>25</v>
      </c>
      <c r="H387" s="51" t="n">
        <v>27</v>
      </c>
      <c r="I387" s="51" t="s">
        <v>1386</v>
      </c>
    </row>
    <row r="388" customFormat="false" ht="15" hidden="false" customHeight="false" outlineLevel="0" collapsed="false">
      <c r="A388" s="51" t="s">
        <v>72</v>
      </c>
      <c r="B388" s="51" t="n">
        <v>37</v>
      </c>
      <c r="C388" s="51" t="s">
        <v>1377</v>
      </c>
      <c r="D388" s="52" t="n">
        <v>45959</v>
      </c>
      <c r="E388" s="53" t="n">
        <v>269.58</v>
      </c>
      <c r="F388" s="53" t="n">
        <v>866.21</v>
      </c>
      <c r="G388" s="51" t="n">
        <v>23</v>
      </c>
      <c r="H388" s="51" t="n">
        <v>23</v>
      </c>
      <c r="I388" s="51" t="s">
        <v>1386</v>
      </c>
    </row>
    <row r="389" customFormat="false" ht="15" hidden="false" customHeight="false" outlineLevel="0" collapsed="false">
      <c r="A389" s="51" t="s">
        <v>72</v>
      </c>
      <c r="B389" s="51" t="n">
        <v>37</v>
      </c>
      <c r="C389" s="51" t="s">
        <v>1377</v>
      </c>
      <c r="D389" s="52" t="n">
        <v>45960</v>
      </c>
      <c r="E389" s="53" t="n">
        <v>310.37</v>
      </c>
      <c r="F389" s="53" t="n">
        <v>1416.31</v>
      </c>
      <c r="G389" s="51" t="n">
        <v>36</v>
      </c>
      <c r="H389" s="51" t="n">
        <v>36</v>
      </c>
      <c r="I389" s="51" t="s">
        <v>1386</v>
      </c>
    </row>
    <row r="390" customFormat="false" ht="15" hidden="false" customHeight="false" outlineLevel="0" collapsed="false">
      <c r="A390" s="51" t="s">
        <v>72</v>
      </c>
      <c r="B390" s="51" t="n">
        <v>37</v>
      </c>
      <c r="C390" s="51" t="s">
        <v>1377</v>
      </c>
      <c r="D390" s="52" t="n">
        <v>45961</v>
      </c>
      <c r="E390" s="53" t="n">
        <v>252.79</v>
      </c>
      <c r="F390" s="53" t="n">
        <v>1084.21</v>
      </c>
      <c r="G390" s="51" t="n">
        <v>26</v>
      </c>
      <c r="H390" s="51" t="n">
        <v>28</v>
      </c>
      <c r="I390" s="51" t="s">
        <v>1386</v>
      </c>
    </row>
    <row r="391" customFormat="false" ht="15" hidden="false" customHeight="false" outlineLevel="0" collapsed="false">
      <c r="A391" s="51" t="s">
        <v>72</v>
      </c>
      <c r="B391" s="51" t="n">
        <v>37</v>
      </c>
      <c r="C391" s="51" t="s">
        <v>1377</v>
      </c>
      <c r="D391" s="52" t="n">
        <v>45962</v>
      </c>
      <c r="E391" s="53" t="n">
        <v>330.54</v>
      </c>
      <c r="F391" s="53" t="n">
        <v>1376.21</v>
      </c>
      <c r="G391" s="51" t="n">
        <v>37</v>
      </c>
      <c r="H391" s="51" t="n">
        <v>38</v>
      </c>
      <c r="I391" s="51" t="s">
        <v>1386</v>
      </c>
    </row>
    <row r="392" customFormat="false" ht="15" hidden="false" customHeight="false" outlineLevel="0" collapsed="false">
      <c r="A392" s="51" t="s">
        <v>72</v>
      </c>
      <c r="B392" s="51" t="n">
        <v>37</v>
      </c>
      <c r="C392" s="51" t="s">
        <v>1377</v>
      </c>
      <c r="D392" s="52" t="n">
        <v>45963</v>
      </c>
      <c r="E392" s="53" t="n">
        <v>377.26</v>
      </c>
      <c r="F392" s="53" t="n">
        <v>1440.74</v>
      </c>
      <c r="G392" s="51" t="n">
        <v>36</v>
      </c>
      <c r="H392" s="51" t="n">
        <v>36</v>
      </c>
      <c r="I392" s="51" t="s">
        <v>1386</v>
      </c>
    </row>
    <row r="393" customFormat="false" ht="15" hidden="false" customHeight="false" outlineLevel="0" collapsed="false">
      <c r="A393" s="51" t="s">
        <v>72</v>
      </c>
      <c r="B393" s="51" t="n">
        <v>37</v>
      </c>
      <c r="C393" s="51" t="s">
        <v>1377</v>
      </c>
      <c r="D393" s="52" t="n">
        <v>45964</v>
      </c>
      <c r="E393" s="53" t="n">
        <v>407.09</v>
      </c>
      <c r="F393" s="53" t="n">
        <v>2203.43</v>
      </c>
      <c r="G393" s="51" t="n">
        <v>56</v>
      </c>
      <c r="H393" s="51" t="n">
        <v>59</v>
      </c>
      <c r="I393" s="51" t="s">
        <v>1386</v>
      </c>
    </row>
    <row r="394" customFormat="false" ht="15" hidden="false" customHeight="false" outlineLevel="0" collapsed="false">
      <c r="A394" s="51" t="s">
        <v>72</v>
      </c>
      <c r="B394" s="51" t="n">
        <v>37</v>
      </c>
      <c r="C394" s="51" t="s">
        <v>1377</v>
      </c>
      <c r="D394" s="52" t="n">
        <v>45965</v>
      </c>
      <c r="E394" s="53" t="n">
        <v>279.62</v>
      </c>
      <c r="F394" s="53" t="n">
        <v>909.72</v>
      </c>
      <c r="G394" s="51" t="n">
        <v>24</v>
      </c>
      <c r="H394" s="51" t="n">
        <v>24</v>
      </c>
      <c r="I394" s="51" t="s">
        <v>1386</v>
      </c>
    </row>
    <row r="395" customFormat="false" ht="15" hidden="false" customHeight="false" outlineLevel="0" collapsed="false">
      <c r="A395" s="51" t="s">
        <v>72</v>
      </c>
      <c r="B395" s="51" t="n">
        <v>37</v>
      </c>
      <c r="C395" s="51" t="s">
        <v>1377</v>
      </c>
      <c r="D395" s="52" t="n">
        <v>45966</v>
      </c>
      <c r="E395" s="53" t="n">
        <v>317.52</v>
      </c>
      <c r="F395" s="53" t="n">
        <v>1312.49</v>
      </c>
      <c r="G395" s="51" t="n">
        <v>35</v>
      </c>
      <c r="H395" s="51" t="n">
        <v>35</v>
      </c>
      <c r="I395" s="51" t="s">
        <v>1386</v>
      </c>
    </row>
    <row r="396" customFormat="false" ht="15" hidden="false" customHeight="false" outlineLevel="0" collapsed="false">
      <c r="A396" s="51" t="s">
        <v>72</v>
      </c>
      <c r="B396" s="51" t="n">
        <v>37</v>
      </c>
      <c r="C396" s="51" t="s">
        <v>1377</v>
      </c>
      <c r="D396" s="52" t="n">
        <v>45967</v>
      </c>
      <c r="E396" s="53" t="n">
        <v>280.64</v>
      </c>
      <c r="F396" s="53" t="n">
        <v>946.69</v>
      </c>
      <c r="G396" s="51" t="n">
        <v>23</v>
      </c>
      <c r="H396" s="51" t="n">
        <v>23</v>
      </c>
      <c r="I396" s="51" t="s">
        <v>1386</v>
      </c>
    </row>
    <row r="397" customFormat="false" ht="15" hidden="false" customHeight="false" outlineLevel="0" collapsed="false">
      <c r="A397" s="51" t="s">
        <v>72</v>
      </c>
      <c r="B397" s="51" t="n">
        <v>37</v>
      </c>
      <c r="C397" s="51" t="s">
        <v>1377</v>
      </c>
      <c r="D397" s="52" t="n">
        <v>45968</v>
      </c>
      <c r="E397" s="53" t="n">
        <v>292.12</v>
      </c>
      <c r="F397" s="53" t="n">
        <v>755.83</v>
      </c>
      <c r="G397" s="51" t="n">
        <v>17</v>
      </c>
      <c r="H397" s="51" t="n">
        <v>17</v>
      </c>
      <c r="I397" s="51" t="s">
        <v>1386</v>
      </c>
    </row>
    <row r="398" customFormat="false" ht="15" hidden="false" customHeight="false" outlineLevel="0" collapsed="false">
      <c r="A398" s="51" t="s">
        <v>72</v>
      </c>
      <c r="B398" s="51" t="n">
        <v>37</v>
      </c>
      <c r="C398" s="51" t="s">
        <v>1377</v>
      </c>
      <c r="D398" s="52" t="n">
        <v>45969</v>
      </c>
      <c r="E398" s="53" t="n">
        <v>338.8</v>
      </c>
      <c r="F398" s="53" t="n">
        <v>716.73</v>
      </c>
      <c r="G398" s="51" t="n">
        <v>16</v>
      </c>
      <c r="H398" s="51" t="n">
        <v>19</v>
      </c>
      <c r="I398" s="51" t="s">
        <v>1386</v>
      </c>
    </row>
    <row r="399" customFormat="false" ht="15" hidden="false" customHeight="false" outlineLevel="0" collapsed="false">
      <c r="A399" s="51" t="s">
        <v>72</v>
      </c>
      <c r="B399" s="51" t="n">
        <v>37</v>
      </c>
      <c r="C399" s="51" t="s">
        <v>1377</v>
      </c>
      <c r="D399" s="52" t="n">
        <v>45970</v>
      </c>
      <c r="E399" s="53" t="n">
        <v>339.51</v>
      </c>
      <c r="F399" s="53" t="n">
        <v>1352.59</v>
      </c>
      <c r="G399" s="51" t="n">
        <v>33</v>
      </c>
      <c r="H399" s="51" t="n">
        <v>33</v>
      </c>
      <c r="I399" s="51" t="s">
        <v>1386</v>
      </c>
    </row>
    <row r="400" customFormat="false" ht="15" hidden="false" customHeight="false" outlineLevel="0" collapsed="false">
      <c r="A400" s="51" t="s">
        <v>72</v>
      </c>
      <c r="B400" s="51" t="n">
        <v>37</v>
      </c>
      <c r="C400" s="51" t="s">
        <v>1377</v>
      </c>
      <c r="D400" s="52" t="n">
        <v>45971</v>
      </c>
      <c r="E400" s="53" t="n">
        <v>335.87</v>
      </c>
      <c r="F400" s="53" t="n">
        <v>1647.56</v>
      </c>
      <c r="G400" s="51" t="n">
        <v>38</v>
      </c>
      <c r="H400" s="51" t="n">
        <v>40</v>
      </c>
      <c r="I400" s="51" t="s">
        <v>1386</v>
      </c>
    </row>
    <row r="401" customFormat="false" ht="15" hidden="false" customHeight="false" outlineLevel="0" collapsed="false">
      <c r="A401" s="51" t="s">
        <v>72</v>
      </c>
      <c r="B401" s="51" t="n">
        <v>37</v>
      </c>
      <c r="C401" s="51" t="s">
        <v>1377</v>
      </c>
      <c r="D401" s="52" t="n">
        <v>45972</v>
      </c>
      <c r="E401" s="53" t="n">
        <v>409.89</v>
      </c>
      <c r="F401" s="53" t="n">
        <v>1355.65</v>
      </c>
      <c r="G401" s="51" t="n">
        <v>35</v>
      </c>
      <c r="H401" s="51" t="n">
        <v>35</v>
      </c>
      <c r="I401" s="51" t="s">
        <v>1386</v>
      </c>
    </row>
    <row r="402" customFormat="false" ht="15" hidden="false" customHeight="false" outlineLevel="0" collapsed="false">
      <c r="A402" s="51" t="s">
        <v>72</v>
      </c>
      <c r="B402" s="51" t="n">
        <v>37</v>
      </c>
      <c r="C402" s="51" t="s">
        <v>1377</v>
      </c>
      <c r="D402" s="52" t="n">
        <v>45973</v>
      </c>
      <c r="E402" s="53" t="n">
        <v>319.51</v>
      </c>
      <c r="F402" s="53" t="n">
        <v>992.76</v>
      </c>
      <c r="G402" s="51" t="n">
        <v>24</v>
      </c>
      <c r="H402" s="51" t="n">
        <v>24</v>
      </c>
      <c r="I402" s="51" t="s">
        <v>1386</v>
      </c>
    </row>
    <row r="403" customFormat="false" ht="15" hidden="false" customHeight="false" outlineLevel="0" collapsed="false">
      <c r="A403" s="51" t="s">
        <v>72</v>
      </c>
      <c r="B403" s="51" t="n">
        <v>37</v>
      </c>
      <c r="C403" s="51" t="s">
        <v>1377</v>
      </c>
      <c r="D403" s="52" t="n">
        <v>45974</v>
      </c>
      <c r="E403" s="53" t="n">
        <v>268.78</v>
      </c>
      <c r="F403" s="53" t="n">
        <v>1200.39</v>
      </c>
      <c r="G403" s="51" t="n">
        <v>32</v>
      </c>
      <c r="H403" s="51" t="n">
        <v>33</v>
      </c>
      <c r="I403" s="51" t="s">
        <v>1386</v>
      </c>
    </row>
    <row r="404" customFormat="false" ht="15" hidden="false" customHeight="false" outlineLevel="0" collapsed="false">
      <c r="A404" s="51" t="s">
        <v>72</v>
      </c>
      <c r="B404" s="51" t="n">
        <v>37</v>
      </c>
      <c r="C404" s="51" t="s">
        <v>1377</v>
      </c>
      <c r="D404" s="52" t="n">
        <v>45975</v>
      </c>
      <c r="E404" s="53" t="n">
        <v>271.88</v>
      </c>
      <c r="F404" s="53" t="n">
        <v>973.52</v>
      </c>
      <c r="G404" s="51" t="n">
        <v>23</v>
      </c>
      <c r="H404" s="51" t="n">
        <v>24</v>
      </c>
      <c r="I404" s="51" t="s">
        <v>1386</v>
      </c>
    </row>
    <row r="405" customFormat="false" ht="15" hidden="false" customHeight="false" outlineLevel="0" collapsed="false">
      <c r="A405" s="51" t="s">
        <v>72</v>
      </c>
      <c r="B405" s="51" t="n">
        <v>37</v>
      </c>
      <c r="C405" s="51" t="s">
        <v>1377</v>
      </c>
      <c r="D405" s="52" t="n">
        <v>45976</v>
      </c>
      <c r="E405" s="53" t="n">
        <v>333.21</v>
      </c>
      <c r="F405" s="53" t="n">
        <v>1542.27</v>
      </c>
      <c r="G405" s="51" t="n">
        <v>38</v>
      </c>
      <c r="H405" s="51" t="n">
        <v>38</v>
      </c>
      <c r="I405" s="51" t="s">
        <v>1386</v>
      </c>
    </row>
    <row r="406" customFormat="false" ht="15" hidden="false" customHeight="false" outlineLevel="0" collapsed="false">
      <c r="A406" s="51" t="s">
        <v>72</v>
      </c>
      <c r="B406" s="51" t="n">
        <v>37</v>
      </c>
      <c r="C406" s="51" t="s">
        <v>1377</v>
      </c>
      <c r="D406" s="52" t="n">
        <v>45977</v>
      </c>
      <c r="E406" s="53" t="n">
        <v>392.89</v>
      </c>
      <c r="F406" s="53" t="n">
        <v>1314.88</v>
      </c>
      <c r="G406" s="51" t="n">
        <v>33</v>
      </c>
      <c r="H406" s="51" t="n">
        <v>33</v>
      </c>
      <c r="I406" s="51" t="s">
        <v>1386</v>
      </c>
    </row>
    <row r="407" customFormat="false" ht="15" hidden="false" customHeight="false" outlineLevel="0" collapsed="false">
      <c r="A407" s="51" t="s">
        <v>72</v>
      </c>
      <c r="B407" s="51" t="n">
        <v>37</v>
      </c>
      <c r="C407" s="51" t="s">
        <v>1377</v>
      </c>
      <c r="D407" s="52" t="n">
        <v>45978</v>
      </c>
      <c r="E407" s="53" t="n">
        <v>360.58</v>
      </c>
      <c r="F407" s="53" t="n">
        <v>1858.96</v>
      </c>
      <c r="G407" s="51" t="n">
        <v>48</v>
      </c>
      <c r="H407" s="51" t="n">
        <v>49</v>
      </c>
      <c r="I407" s="51" t="s">
        <v>1386</v>
      </c>
    </row>
    <row r="408" customFormat="false" ht="15" hidden="false" customHeight="false" outlineLevel="0" collapsed="false">
      <c r="A408" s="51" t="s">
        <v>72</v>
      </c>
      <c r="B408" s="51" t="n">
        <v>37</v>
      </c>
      <c r="C408" s="51" t="s">
        <v>1377</v>
      </c>
      <c r="D408" s="52" t="n">
        <v>45979</v>
      </c>
      <c r="E408" s="53" t="n">
        <v>317.73</v>
      </c>
      <c r="F408" s="53" t="n">
        <v>1577.11</v>
      </c>
      <c r="G408" s="51" t="n">
        <v>41</v>
      </c>
      <c r="H408" s="51" t="n">
        <v>42</v>
      </c>
      <c r="I408" s="51" t="s">
        <v>1386</v>
      </c>
    </row>
    <row r="409" customFormat="false" ht="15" hidden="false" customHeight="false" outlineLevel="0" collapsed="false">
      <c r="A409" s="51" t="s">
        <v>72</v>
      </c>
      <c r="B409" s="51" t="n">
        <v>37</v>
      </c>
      <c r="C409" s="51" t="s">
        <v>1377</v>
      </c>
      <c r="D409" s="52" t="n">
        <v>45980</v>
      </c>
      <c r="E409" s="53" t="n">
        <v>391.02</v>
      </c>
      <c r="F409" s="53" t="n">
        <v>1364.08</v>
      </c>
      <c r="G409" s="51" t="n">
        <v>36</v>
      </c>
      <c r="H409" s="51" t="n">
        <v>37</v>
      </c>
      <c r="I409" s="51" t="s">
        <v>1386</v>
      </c>
    </row>
    <row r="410" customFormat="false" ht="15" hidden="false" customHeight="false" outlineLevel="0" collapsed="false">
      <c r="A410" s="51" t="s">
        <v>72</v>
      </c>
      <c r="B410" s="51" t="n">
        <v>37</v>
      </c>
      <c r="C410" s="51" t="s">
        <v>1377</v>
      </c>
      <c r="D410" s="52" t="n">
        <v>45981</v>
      </c>
      <c r="E410" s="53" t="n">
        <v>774.58</v>
      </c>
      <c r="F410" s="53" t="n">
        <v>3571.73</v>
      </c>
      <c r="G410" s="51" t="n">
        <v>109</v>
      </c>
      <c r="H410" s="51" t="n">
        <v>110</v>
      </c>
      <c r="I410" s="51" t="s">
        <v>1387</v>
      </c>
    </row>
    <row r="411" customFormat="false" ht="15" hidden="false" customHeight="false" outlineLevel="0" collapsed="false">
      <c r="A411" s="51" t="s">
        <v>72</v>
      </c>
      <c r="B411" s="51" t="n">
        <v>37</v>
      </c>
      <c r="C411" s="51" t="s">
        <v>1377</v>
      </c>
      <c r="D411" s="52" t="n">
        <v>45982</v>
      </c>
      <c r="E411" s="53" t="n">
        <v>656.71</v>
      </c>
      <c r="F411" s="53" t="n">
        <v>2915.93</v>
      </c>
      <c r="G411" s="51" t="n">
        <v>85</v>
      </c>
      <c r="H411" s="51" t="n">
        <v>91</v>
      </c>
      <c r="I411" s="51" t="s">
        <v>1387</v>
      </c>
    </row>
    <row r="412" customFormat="false" ht="15" hidden="false" customHeight="false" outlineLevel="0" collapsed="false">
      <c r="A412" s="51" t="s">
        <v>72</v>
      </c>
      <c r="B412" s="51" t="n">
        <v>37</v>
      </c>
      <c r="C412" s="51" t="s">
        <v>1377</v>
      </c>
      <c r="D412" s="52" t="n">
        <v>45983</v>
      </c>
      <c r="E412" s="53" t="n">
        <v>734.34</v>
      </c>
      <c r="F412" s="53" t="n">
        <v>3365.35</v>
      </c>
      <c r="G412" s="51" t="n">
        <v>104</v>
      </c>
      <c r="H412" s="51" t="n">
        <v>105</v>
      </c>
      <c r="I412" s="51" t="s">
        <v>1387</v>
      </c>
    </row>
    <row r="413" customFormat="false" ht="15" hidden="false" customHeight="false" outlineLevel="0" collapsed="false">
      <c r="A413" s="51" t="s">
        <v>72</v>
      </c>
      <c r="B413" s="51" t="n">
        <v>37</v>
      </c>
      <c r="C413" s="51" t="s">
        <v>1377</v>
      </c>
      <c r="D413" s="52" t="n">
        <v>45984</v>
      </c>
      <c r="E413" s="53" t="n">
        <v>705.97</v>
      </c>
      <c r="F413" s="53" t="n">
        <v>2443.94</v>
      </c>
      <c r="G413" s="51" t="n">
        <v>71</v>
      </c>
      <c r="H413" s="51" t="n">
        <v>73</v>
      </c>
      <c r="I413" s="51" t="s">
        <v>1387</v>
      </c>
    </row>
    <row r="414" customFormat="false" ht="15" hidden="false" customHeight="false" outlineLevel="0" collapsed="false">
      <c r="A414" s="51" t="s">
        <v>72</v>
      </c>
      <c r="B414" s="51" t="n">
        <v>37</v>
      </c>
      <c r="C414" s="51" t="s">
        <v>1377</v>
      </c>
      <c r="D414" s="52" t="n">
        <v>45985</v>
      </c>
      <c r="E414" s="53" t="n">
        <v>648.05</v>
      </c>
      <c r="F414" s="53" t="n">
        <v>2841.47</v>
      </c>
      <c r="G414" s="51" t="n">
        <v>85</v>
      </c>
      <c r="H414" s="51" t="n">
        <v>86</v>
      </c>
      <c r="I414" s="51" t="s">
        <v>1387</v>
      </c>
    </row>
    <row r="415" customFormat="false" ht="15" hidden="false" customHeight="false" outlineLevel="0" collapsed="false">
      <c r="A415" s="51" t="s">
        <v>72</v>
      </c>
      <c r="B415" s="51" t="n">
        <v>37</v>
      </c>
      <c r="C415" s="51" t="s">
        <v>1377</v>
      </c>
      <c r="D415" s="52" t="n">
        <v>45986</v>
      </c>
      <c r="E415" s="53" t="n">
        <v>589.16</v>
      </c>
      <c r="F415" s="53" t="n">
        <v>2411.32</v>
      </c>
      <c r="G415" s="51" t="n">
        <v>71</v>
      </c>
      <c r="H415" s="51" t="n">
        <v>72</v>
      </c>
      <c r="I415" s="51" t="s">
        <v>1387</v>
      </c>
    </row>
    <row r="416" customFormat="false" ht="15" hidden="false" customHeight="false" outlineLevel="0" collapsed="false">
      <c r="A416" s="51" t="s">
        <v>72</v>
      </c>
      <c r="B416" s="51" t="n">
        <v>37</v>
      </c>
      <c r="C416" s="51" t="s">
        <v>1377</v>
      </c>
      <c r="D416" s="52" t="n">
        <v>45987</v>
      </c>
      <c r="E416" s="53" t="n">
        <v>805.04</v>
      </c>
      <c r="F416" s="53" t="n">
        <v>2794.07</v>
      </c>
      <c r="G416" s="51" t="n">
        <v>83</v>
      </c>
      <c r="H416" s="51" t="n">
        <v>85</v>
      </c>
      <c r="I416" s="51" t="s">
        <v>1387</v>
      </c>
    </row>
    <row r="417" customFormat="false" ht="15" hidden="false" customHeight="false" outlineLevel="0" collapsed="false">
      <c r="A417" s="51" t="s">
        <v>72</v>
      </c>
      <c r="B417" s="51" t="n">
        <v>37</v>
      </c>
      <c r="C417" s="51" t="s">
        <v>1377</v>
      </c>
      <c r="D417" s="52" t="n">
        <v>45988</v>
      </c>
      <c r="E417" s="53" t="n">
        <v>536.61</v>
      </c>
      <c r="F417" s="53" t="n">
        <v>3144.86</v>
      </c>
      <c r="G417" s="51" t="n">
        <v>95</v>
      </c>
      <c r="H417" s="51" t="n">
        <v>96</v>
      </c>
      <c r="I417" s="51" t="s">
        <v>1387</v>
      </c>
    </row>
    <row r="418" customFormat="false" ht="15" hidden="false" customHeight="false" outlineLevel="0" collapsed="false">
      <c r="A418" s="51" t="s">
        <v>72</v>
      </c>
      <c r="B418" s="51" t="n">
        <v>37</v>
      </c>
      <c r="C418" s="51" t="s">
        <v>1377</v>
      </c>
      <c r="D418" s="52" t="n">
        <v>45989</v>
      </c>
      <c r="E418" s="53" t="n">
        <v>857.16</v>
      </c>
      <c r="F418" s="53" t="n">
        <v>5039.53</v>
      </c>
      <c r="G418" s="51" t="n">
        <v>144</v>
      </c>
      <c r="H418" s="51" t="n">
        <v>150</v>
      </c>
      <c r="I418" s="51" t="s">
        <v>1387</v>
      </c>
    </row>
    <row r="419" customFormat="false" ht="15" hidden="false" customHeight="false" outlineLevel="0" collapsed="false">
      <c r="A419" s="51" t="s">
        <v>72</v>
      </c>
      <c r="B419" s="51" t="n">
        <v>37</v>
      </c>
      <c r="C419" s="51" t="s">
        <v>1377</v>
      </c>
      <c r="D419" s="52" t="n">
        <v>45990</v>
      </c>
      <c r="E419" s="53" t="n">
        <v>750.78</v>
      </c>
      <c r="F419" s="53" t="n">
        <v>3242.8</v>
      </c>
      <c r="G419" s="51" t="n">
        <v>97</v>
      </c>
      <c r="H419" s="51" t="n">
        <v>99</v>
      </c>
      <c r="I419" s="51" t="s">
        <v>1387</v>
      </c>
    </row>
    <row r="420" customFormat="false" ht="15" hidden="false" customHeight="false" outlineLevel="0" collapsed="false">
      <c r="A420" s="51" t="s">
        <v>72</v>
      </c>
      <c r="B420" s="51" t="n">
        <v>37</v>
      </c>
      <c r="C420" s="51" t="s">
        <v>1377</v>
      </c>
      <c r="D420" s="52" t="n">
        <v>45991</v>
      </c>
      <c r="E420" s="53" t="n">
        <v>769.44</v>
      </c>
      <c r="F420" s="53" t="n">
        <v>2966.44</v>
      </c>
      <c r="G420" s="51" t="n">
        <v>89</v>
      </c>
      <c r="H420" s="51" t="n">
        <v>89</v>
      </c>
      <c r="I420" s="51" t="s">
        <v>1387</v>
      </c>
    </row>
    <row r="421" customFormat="false" ht="15" hidden="false" customHeight="false" outlineLevel="0" collapsed="false">
      <c r="A421" s="51" t="s">
        <v>72</v>
      </c>
      <c r="B421" s="51" t="n">
        <v>37</v>
      </c>
      <c r="C421" s="51" t="s">
        <v>1377</v>
      </c>
      <c r="D421" s="52" t="n">
        <v>45992</v>
      </c>
      <c r="E421" s="53" t="n">
        <v>900.84</v>
      </c>
      <c r="F421" s="53" t="n">
        <v>4506.62</v>
      </c>
      <c r="G421" s="51" t="n">
        <v>130</v>
      </c>
      <c r="H421" s="51" t="n">
        <v>137</v>
      </c>
      <c r="I421" s="51" t="s">
        <v>1387</v>
      </c>
    </row>
    <row r="422" customFormat="false" ht="15" hidden="false" customHeight="false" outlineLevel="0" collapsed="false">
      <c r="A422" s="51" t="s">
        <v>72</v>
      </c>
      <c r="B422" s="51" t="n">
        <v>37</v>
      </c>
      <c r="C422" s="51" t="s">
        <v>1377</v>
      </c>
      <c r="D422" s="52" t="n">
        <v>45993</v>
      </c>
      <c r="E422" s="53" t="n">
        <v>371.61</v>
      </c>
      <c r="F422" s="53" t="n">
        <v>1532.62</v>
      </c>
      <c r="G422" s="51" t="n">
        <v>37</v>
      </c>
      <c r="H422" s="51" t="n">
        <v>38</v>
      </c>
      <c r="I422" s="51"/>
    </row>
    <row r="423" customFormat="false" ht="15" hidden="false" customHeight="false" outlineLevel="0" collapsed="false">
      <c r="A423" s="51" t="s">
        <v>72</v>
      </c>
      <c r="B423" s="51" t="n">
        <v>37</v>
      </c>
      <c r="C423" s="51" t="s">
        <v>1377</v>
      </c>
      <c r="D423" s="52" t="n">
        <v>45994</v>
      </c>
      <c r="E423" s="53" t="n">
        <v>460.26</v>
      </c>
      <c r="F423" s="53" t="n">
        <v>3020.27</v>
      </c>
      <c r="G423" s="51" t="n">
        <v>72</v>
      </c>
      <c r="H423" s="51" t="n">
        <v>73</v>
      </c>
      <c r="I423" s="51"/>
    </row>
    <row r="424" customFormat="false" ht="15" hidden="false" customHeight="false" outlineLevel="0" collapsed="false">
      <c r="A424" s="51" t="s">
        <v>72</v>
      </c>
      <c r="B424" s="51" t="n">
        <v>37</v>
      </c>
      <c r="C424" s="51" t="s">
        <v>1377</v>
      </c>
      <c r="D424" s="52" t="n">
        <v>45995</v>
      </c>
      <c r="E424" s="53" t="n">
        <v>364.55</v>
      </c>
      <c r="F424" s="53" t="n">
        <v>1600.61</v>
      </c>
      <c r="G424" s="51" t="n">
        <v>39</v>
      </c>
      <c r="H424" s="51" t="n">
        <v>39</v>
      </c>
      <c r="I424" s="51"/>
    </row>
    <row r="425" customFormat="false" ht="15" hidden="false" customHeight="false" outlineLevel="0" collapsed="false">
      <c r="A425" s="51" t="s">
        <v>72</v>
      </c>
      <c r="B425" s="51" t="n">
        <v>37</v>
      </c>
      <c r="C425" s="51" t="s">
        <v>1377</v>
      </c>
      <c r="D425" s="52" t="n">
        <v>45996</v>
      </c>
      <c r="E425" s="53" t="n">
        <v>379.04</v>
      </c>
      <c r="F425" s="53" t="n">
        <v>2194.4</v>
      </c>
      <c r="G425" s="51" t="n">
        <v>55</v>
      </c>
      <c r="H425" s="51" t="n">
        <v>56</v>
      </c>
      <c r="I425" s="51"/>
    </row>
    <row r="426" customFormat="false" ht="15" hidden="false" customHeight="false" outlineLevel="0" collapsed="false">
      <c r="A426" s="51" t="s">
        <v>72</v>
      </c>
      <c r="B426" s="51" t="n">
        <v>37</v>
      </c>
      <c r="C426" s="51" t="s">
        <v>1377</v>
      </c>
      <c r="D426" s="52" t="n">
        <v>45997</v>
      </c>
      <c r="E426" s="53" t="n">
        <v>451.1</v>
      </c>
      <c r="F426" s="53" t="n">
        <v>2446.35</v>
      </c>
      <c r="G426" s="51" t="n">
        <v>61</v>
      </c>
      <c r="H426" s="51" t="n">
        <v>61</v>
      </c>
      <c r="I426" s="51"/>
    </row>
    <row r="427" customFormat="false" ht="15" hidden="false" customHeight="false" outlineLevel="0" collapsed="false">
      <c r="A427" s="51" t="s">
        <v>72</v>
      </c>
      <c r="B427" s="51" t="n">
        <v>37</v>
      </c>
      <c r="C427" s="51" t="s">
        <v>1377</v>
      </c>
      <c r="D427" s="52" t="n">
        <v>45998</v>
      </c>
      <c r="E427" s="53" t="n">
        <v>467.75</v>
      </c>
      <c r="F427" s="53" t="n">
        <v>2675.32</v>
      </c>
      <c r="G427" s="51" t="n">
        <v>65</v>
      </c>
      <c r="H427" s="51" t="n">
        <v>68</v>
      </c>
      <c r="I427" s="51"/>
    </row>
    <row r="428" customFormat="false" ht="15" hidden="false" customHeight="false" outlineLevel="0" collapsed="false">
      <c r="A428" s="51" t="s">
        <v>72</v>
      </c>
      <c r="B428" s="51" t="n">
        <v>37</v>
      </c>
      <c r="C428" s="51" t="s">
        <v>1377</v>
      </c>
      <c r="D428" s="52" t="n">
        <v>45999</v>
      </c>
      <c r="E428" s="53" t="n">
        <v>417.82</v>
      </c>
      <c r="F428" s="53" t="n">
        <v>2342.4</v>
      </c>
      <c r="G428" s="51" t="n">
        <v>56</v>
      </c>
      <c r="H428" s="51" t="n">
        <v>56</v>
      </c>
      <c r="I428" s="51"/>
    </row>
    <row r="429" customFormat="false" ht="15" hidden="false" customHeight="false" outlineLevel="0" collapsed="false">
      <c r="A429" s="51" t="s">
        <v>72</v>
      </c>
      <c r="B429" s="51" t="n">
        <v>37</v>
      </c>
      <c r="C429" s="51" t="s">
        <v>1377</v>
      </c>
      <c r="D429" s="52" t="n">
        <v>46000</v>
      </c>
      <c r="E429" s="53" t="n">
        <v>346.62</v>
      </c>
      <c r="F429" s="53" t="n">
        <v>2158.43</v>
      </c>
      <c r="G429" s="51" t="n">
        <v>51</v>
      </c>
      <c r="H429" s="51" t="n">
        <v>53</v>
      </c>
      <c r="I429" s="51"/>
    </row>
    <row r="430" customFormat="false" ht="15" hidden="false" customHeight="false" outlineLevel="0" collapsed="false">
      <c r="A430" s="51" t="s">
        <v>72</v>
      </c>
      <c r="B430" s="51" t="n">
        <v>37</v>
      </c>
      <c r="C430" s="51" t="s">
        <v>1377</v>
      </c>
      <c r="D430" s="52" t="n">
        <v>46001</v>
      </c>
      <c r="E430" s="53" t="n">
        <v>370.28</v>
      </c>
      <c r="F430" s="53" t="n">
        <v>2114.95</v>
      </c>
      <c r="G430" s="51" t="n">
        <v>50</v>
      </c>
      <c r="H430" s="51" t="n">
        <v>51</v>
      </c>
      <c r="I430" s="51"/>
    </row>
    <row r="431" customFormat="false" ht="15" hidden="false" customHeight="false" outlineLevel="0" collapsed="false">
      <c r="A431" s="51" t="s">
        <v>72</v>
      </c>
      <c r="B431" s="51" t="n">
        <v>37</v>
      </c>
      <c r="C431" s="51" t="s">
        <v>1377</v>
      </c>
      <c r="D431" s="52" t="n">
        <v>46002</v>
      </c>
      <c r="E431" s="53" t="n">
        <v>455.56</v>
      </c>
      <c r="F431" s="53" t="n">
        <v>2218.99</v>
      </c>
      <c r="G431" s="51" t="n">
        <v>56</v>
      </c>
      <c r="H431" s="51" t="n">
        <v>56</v>
      </c>
      <c r="I431" s="51"/>
    </row>
    <row r="432" customFormat="false" ht="15" hidden="false" customHeight="false" outlineLevel="0" collapsed="false">
      <c r="A432" s="51" t="s">
        <v>72</v>
      </c>
      <c r="B432" s="51" t="n">
        <v>37</v>
      </c>
      <c r="C432" s="51" t="s">
        <v>1377</v>
      </c>
      <c r="D432" s="52" t="n">
        <v>46003</v>
      </c>
      <c r="E432" s="53" t="n">
        <v>462.51</v>
      </c>
      <c r="F432" s="53" t="n">
        <v>2332.41</v>
      </c>
      <c r="G432" s="51" t="n">
        <v>58</v>
      </c>
      <c r="H432" s="51" t="n">
        <v>59</v>
      </c>
      <c r="I432" s="51"/>
    </row>
    <row r="433" customFormat="false" ht="15" hidden="false" customHeight="false" outlineLevel="0" collapsed="false">
      <c r="A433" s="51" t="s">
        <v>72</v>
      </c>
      <c r="B433" s="51" t="n">
        <v>37</v>
      </c>
      <c r="C433" s="51" t="s">
        <v>1377</v>
      </c>
      <c r="D433" s="52" t="n">
        <v>46004</v>
      </c>
      <c r="E433" s="53" t="n">
        <v>761.35</v>
      </c>
      <c r="F433" s="53" t="n">
        <v>5365.68</v>
      </c>
      <c r="G433" s="51" t="n">
        <v>124</v>
      </c>
      <c r="H433" s="51" t="n">
        <v>128</v>
      </c>
      <c r="I433" s="51"/>
    </row>
    <row r="434" customFormat="false" ht="15" hidden="false" customHeight="false" outlineLevel="0" collapsed="false">
      <c r="A434" s="51" t="s">
        <v>72</v>
      </c>
      <c r="B434" s="51" t="n">
        <v>37</v>
      </c>
      <c r="C434" s="51" t="s">
        <v>1377</v>
      </c>
      <c r="D434" s="52" t="n">
        <v>46005</v>
      </c>
      <c r="E434" s="53" t="n">
        <v>633.64</v>
      </c>
      <c r="F434" s="53" t="n">
        <v>2972.2</v>
      </c>
      <c r="G434" s="51" t="n">
        <v>74</v>
      </c>
      <c r="H434" s="51" t="n">
        <v>76</v>
      </c>
      <c r="I434" s="51"/>
    </row>
    <row r="435" customFormat="false" ht="15" hidden="false" customHeight="false" outlineLevel="0" collapsed="false">
      <c r="A435" s="51" t="s">
        <v>72</v>
      </c>
      <c r="B435" s="51" t="n">
        <v>37</v>
      </c>
      <c r="C435" s="51" t="s">
        <v>1377</v>
      </c>
      <c r="D435" s="52" t="n">
        <v>46006</v>
      </c>
      <c r="E435" s="53" t="n">
        <v>564.54</v>
      </c>
      <c r="F435" s="53" t="n">
        <v>2179.78</v>
      </c>
      <c r="G435" s="51" t="n">
        <v>56</v>
      </c>
      <c r="H435" s="51" t="n">
        <v>56</v>
      </c>
      <c r="I435" s="51"/>
    </row>
    <row r="436" customFormat="false" ht="15" hidden="false" customHeight="false" outlineLevel="0" collapsed="false">
      <c r="A436" s="51" t="s">
        <v>78</v>
      </c>
      <c r="B436" s="51" t="n">
        <v>31</v>
      </c>
      <c r="C436" s="51" t="s">
        <v>314</v>
      </c>
      <c r="D436" s="52" t="n">
        <v>45945</v>
      </c>
      <c r="E436" s="53" t="n">
        <v>189.53</v>
      </c>
      <c r="F436" s="53" t="n">
        <v>656</v>
      </c>
      <c r="G436" s="51" t="n">
        <v>20</v>
      </c>
      <c r="H436" s="51" t="n">
        <v>20</v>
      </c>
      <c r="I436" s="51"/>
    </row>
    <row r="437" customFormat="false" ht="15" hidden="false" customHeight="false" outlineLevel="0" collapsed="false">
      <c r="A437" s="51" t="s">
        <v>78</v>
      </c>
      <c r="B437" s="51" t="n">
        <v>31</v>
      </c>
      <c r="C437" s="51" t="s">
        <v>314</v>
      </c>
      <c r="D437" s="52" t="n">
        <v>45946</v>
      </c>
      <c r="E437" s="53" t="n">
        <v>151.94</v>
      </c>
      <c r="F437" s="53" t="n">
        <v>359.45</v>
      </c>
      <c r="G437" s="51" t="n">
        <v>11</v>
      </c>
      <c r="H437" s="51" t="n">
        <v>11</v>
      </c>
      <c r="I437" s="51"/>
    </row>
    <row r="438" customFormat="false" ht="15" hidden="false" customHeight="false" outlineLevel="0" collapsed="false">
      <c r="A438" s="51" t="s">
        <v>78</v>
      </c>
      <c r="B438" s="51" t="n">
        <v>31</v>
      </c>
      <c r="C438" s="51" t="s">
        <v>314</v>
      </c>
      <c r="D438" s="52" t="n">
        <v>45947</v>
      </c>
      <c r="E438" s="53" t="n">
        <v>146.81</v>
      </c>
      <c r="F438" s="53" t="n">
        <v>219.65</v>
      </c>
      <c r="G438" s="51" t="n">
        <v>7</v>
      </c>
      <c r="H438" s="51" t="n">
        <v>7</v>
      </c>
      <c r="I438" s="51"/>
    </row>
    <row r="439" customFormat="false" ht="15" hidden="false" customHeight="false" outlineLevel="0" collapsed="false">
      <c r="A439" s="51" t="s">
        <v>78</v>
      </c>
      <c r="B439" s="51" t="n">
        <v>31</v>
      </c>
      <c r="C439" s="51" t="s">
        <v>314</v>
      </c>
      <c r="D439" s="52" t="n">
        <v>45948</v>
      </c>
      <c r="E439" s="53" t="n">
        <v>170.86</v>
      </c>
      <c r="F439" s="53" t="n">
        <v>491.25</v>
      </c>
      <c r="G439" s="51" t="n">
        <v>15</v>
      </c>
      <c r="H439" s="51" t="n">
        <v>15</v>
      </c>
      <c r="I439" s="51"/>
    </row>
    <row r="440" customFormat="false" ht="15" hidden="false" customHeight="false" outlineLevel="0" collapsed="false">
      <c r="A440" s="51" t="s">
        <v>78</v>
      </c>
      <c r="B440" s="51" t="n">
        <v>31</v>
      </c>
      <c r="C440" s="51" t="s">
        <v>314</v>
      </c>
      <c r="D440" s="52" t="n">
        <v>45949</v>
      </c>
      <c r="E440" s="53" t="n">
        <v>197.12</v>
      </c>
      <c r="F440" s="53" t="n">
        <v>615.28</v>
      </c>
      <c r="G440" s="51" t="n">
        <v>16</v>
      </c>
      <c r="H440" s="51" t="n">
        <v>16</v>
      </c>
      <c r="I440" s="51"/>
    </row>
    <row r="441" customFormat="false" ht="15" hidden="false" customHeight="false" outlineLevel="0" collapsed="false">
      <c r="A441" s="51" t="s">
        <v>78</v>
      </c>
      <c r="B441" s="51" t="n">
        <v>31</v>
      </c>
      <c r="C441" s="51" t="s">
        <v>314</v>
      </c>
      <c r="D441" s="52" t="n">
        <v>45950</v>
      </c>
      <c r="E441" s="53" t="n">
        <v>133.96</v>
      </c>
      <c r="F441" s="53" t="n">
        <v>163.75</v>
      </c>
      <c r="G441" s="51" t="n">
        <v>5</v>
      </c>
      <c r="H441" s="51" t="n">
        <v>5</v>
      </c>
      <c r="I441" s="51"/>
    </row>
    <row r="442" customFormat="false" ht="15" hidden="false" customHeight="false" outlineLevel="0" collapsed="false">
      <c r="A442" s="51" t="s">
        <v>78</v>
      </c>
      <c r="B442" s="51" t="n">
        <v>31</v>
      </c>
      <c r="C442" s="51" t="s">
        <v>314</v>
      </c>
      <c r="D442" s="52" t="n">
        <v>45951</v>
      </c>
      <c r="E442" s="53" t="n">
        <v>146.75</v>
      </c>
      <c r="F442" s="53" t="n">
        <v>261.6</v>
      </c>
      <c r="G442" s="51" t="n">
        <v>8</v>
      </c>
      <c r="H442" s="51" t="n">
        <v>8</v>
      </c>
      <c r="I442" s="51" t="s">
        <v>1386</v>
      </c>
    </row>
    <row r="443" customFormat="false" ht="15" hidden="false" customHeight="false" outlineLevel="0" collapsed="false">
      <c r="A443" s="51" t="s">
        <v>78</v>
      </c>
      <c r="B443" s="51" t="n">
        <v>31</v>
      </c>
      <c r="C443" s="51" t="s">
        <v>314</v>
      </c>
      <c r="D443" s="52" t="n">
        <v>45952</v>
      </c>
      <c r="E443" s="53" t="n">
        <v>144.97</v>
      </c>
      <c r="F443" s="53" t="n">
        <v>99.85</v>
      </c>
      <c r="G443" s="51" t="n">
        <v>3</v>
      </c>
      <c r="H443" s="51" t="n">
        <v>3</v>
      </c>
      <c r="I443" s="51" t="s">
        <v>1386</v>
      </c>
    </row>
    <row r="444" customFormat="false" ht="15" hidden="false" customHeight="false" outlineLevel="0" collapsed="false">
      <c r="A444" s="51" t="s">
        <v>78</v>
      </c>
      <c r="B444" s="51" t="n">
        <v>31</v>
      </c>
      <c r="C444" s="51" t="s">
        <v>314</v>
      </c>
      <c r="D444" s="52" t="n">
        <v>45953</v>
      </c>
      <c r="E444" s="53" t="n">
        <v>149.08</v>
      </c>
      <c r="F444" s="53" t="n">
        <v>467.25</v>
      </c>
      <c r="G444" s="51" t="n">
        <v>15</v>
      </c>
      <c r="H444" s="51" t="n">
        <v>15</v>
      </c>
      <c r="I444" s="51" t="s">
        <v>1386</v>
      </c>
    </row>
    <row r="445" customFormat="false" ht="15" hidden="false" customHeight="false" outlineLevel="0" collapsed="false">
      <c r="A445" s="51" t="s">
        <v>78</v>
      </c>
      <c r="B445" s="51" t="n">
        <v>31</v>
      </c>
      <c r="C445" s="51" t="s">
        <v>314</v>
      </c>
      <c r="D445" s="52" t="n">
        <v>45954</v>
      </c>
      <c r="E445" s="53" t="n">
        <v>98.65</v>
      </c>
      <c r="F445" s="53" t="n">
        <v>447.35</v>
      </c>
      <c r="G445" s="51" t="n">
        <v>13</v>
      </c>
      <c r="H445" s="51" t="n">
        <v>13</v>
      </c>
      <c r="I445" s="51" t="s">
        <v>1386</v>
      </c>
    </row>
    <row r="446" customFormat="false" ht="15" hidden="false" customHeight="false" outlineLevel="0" collapsed="false">
      <c r="A446" s="51" t="s">
        <v>78</v>
      </c>
      <c r="B446" s="51" t="n">
        <v>31</v>
      </c>
      <c r="C446" s="51" t="s">
        <v>314</v>
      </c>
      <c r="D446" s="52" t="n">
        <v>45955</v>
      </c>
      <c r="E446" s="53" t="n">
        <v>118.22</v>
      </c>
      <c r="F446" s="53" t="n">
        <v>289.55</v>
      </c>
      <c r="G446" s="51" t="n">
        <v>9</v>
      </c>
      <c r="H446" s="51" t="n">
        <v>9</v>
      </c>
      <c r="I446" s="51" t="s">
        <v>1386</v>
      </c>
    </row>
    <row r="447" customFormat="false" ht="15" hidden="false" customHeight="false" outlineLevel="0" collapsed="false">
      <c r="A447" s="51" t="s">
        <v>78</v>
      </c>
      <c r="B447" s="51" t="n">
        <v>31</v>
      </c>
      <c r="C447" s="51" t="s">
        <v>314</v>
      </c>
      <c r="D447" s="52" t="n">
        <v>45956</v>
      </c>
      <c r="E447" s="53" t="n">
        <v>177.22</v>
      </c>
      <c r="F447" s="53" t="n">
        <v>477.2</v>
      </c>
      <c r="G447" s="51" t="n">
        <v>16</v>
      </c>
      <c r="H447" s="51" t="n">
        <v>16</v>
      </c>
      <c r="I447" s="51" t="s">
        <v>1386</v>
      </c>
    </row>
    <row r="448" customFormat="false" ht="15" hidden="false" customHeight="false" outlineLevel="0" collapsed="false">
      <c r="A448" s="51" t="s">
        <v>78</v>
      </c>
      <c r="B448" s="51" t="n">
        <v>31</v>
      </c>
      <c r="C448" s="51" t="s">
        <v>314</v>
      </c>
      <c r="D448" s="52" t="n">
        <v>45957</v>
      </c>
      <c r="E448" s="53" t="n">
        <v>124.47</v>
      </c>
      <c r="F448" s="53" t="n">
        <v>329.5</v>
      </c>
      <c r="G448" s="51" t="n">
        <v>10</v>
      </c>
      <c r="H448" s="51" t="n">
        <v>10</v>
      </c>
      <c r="I448" s="51" t="s">
        <v>1386</v>
      </c>
    </row>
    <row r="449" customFormat="false" ht="15" hidden="false" customHeight="false" outlineLevel="0" collapsed="false">
      <c r="A449" s="51" t="s">
        <v>78</v>
      </c>
      <c r="B449" s="51" t="n">
        <v>31</v>
      </c>
      <c r="C449" s="51" t="s">
        <v>314</v>
      </c>
      <c r="D449" s="52" t="n">
        <v>45958</v>
      </c>
      <c r="E449" s="53" t="n">
        <v>111.83</v>
      </c>
      <c r="F449" s="53" t="n">
        <v>365.45</v>
      </c>
      <c r="G449" s="51" t="n">
        <v>11</v>
      </c>
      <c r="H449" s="51" t="n">
        <v>11</v>
      </c>
      <c r="I449" s="51" t="s">
        <v>1386</v>
      </c>
    </row>
    <row r="450" customFormat="false" ht="15" hidden="false" customHeight="false" outlineLevel="0" collapsed="false">
      <c r="A450" s="51" t="s">
        <v>78</v>
      </c>
      <c r="B450" s="51" t="n">
        <v>31</v>
      </c>
      <c r="C450" s="51" t="s">
        <v>314</v>
      </c>
      <c r="D450" s="52" t="n">
        <v>45959</v>
      </c>
      <c r="E450" s="53" t="n">
        <v>149.77</v>
      </c>
      <c r="F450" s="53" t="n">
        <v>489.25</v>
      </c>
      <c r="G450" s="51" t="n">
        <v>14</v>
      </c>
      <c r="H450" s="51" t="n">
        <v>15</v>
      </c>
      <c r="I450" s="51" t="s">
        <v>1386</v>
      </c>
    </row>
    <row r="451" customFormat="false" ht="15" hidden="false" customHeight="false" outlineLevel="0" collapsed="false">
      <c r="A451" s="51" t="s">
        <v>78</v>
      </c>
      <c r="B451" s="51" t="n">
        <v>31</v>
      </c>
      <c r="C451" s="51" t="s">
        <v>314</v>
      </c>
      <c r="D451" s="52" t="n">
        <v>45960</v>
      </c>
      <c r="E451" s="53" t="n">
        <v>125.01</v>
      </c>
      <c r="F451" s="53" t="n">
        <v>351.45</v>
      </c>
      <c r="G451" s="51" t="n">
        <v>10</v>
      </c>
      <c r="H451" s="51" t="n">
        <v>11</v>
      </c>
      <c r="I451" s="51" t="s">
        <v>1386</v>
      </c>
    </row>
    <row r="452" customFormat="false" ht="15" hidden="false" customHeight="false" outlineLevel="0" collapsed="false">
      <c r="A452" s="51" t="s">
        <v>78</v>
      </c>
      <c r="B452" s="51" t="n">
        <v>31</v>
      </c>
      <c r="C452" s="51" t="s">
        <v>314</v>
      </c>
      <c r="D452" s="52" t="n">
        <v>45961</v>
      </c>
      <c r="E452" s="53" t="n">
        <v>141.34</v>
      </c>
      <c r="F452" s="53" t="n">
        <v>325.5</v>
      </c>
      <c r="G452" s="51" t="n">
        <v>10</v>
      </c>
      <c r="H452" s="51" t="n">
        <v>10</v>
      </c>
      <c r="I452" s="51" t="s">
        <v>1386</v>
      </c>
    </row>
    <row r="453" customFormat="false" ht="15" hidden="false" customHeight="false" outlineLevel="0" collapsed="false">
      <c r="A453" s="51" t="s">
        <v>78</v>
      </c>
      <c r="B453" s="51" t="n">
        <v>31</v>
      </c>
      <c r="C453" s="51" t="s">
        <v>314</v>
      </c>
      <c r="D453" s="52" t="n">
        <v>45962</v>
      </c>
      <c r="E453" s="53" t="n">
        <v>171.71</v>
      </c>
      <c r="F453" s="53" t="n">
        <v>323.5</v>
      </c>
      <c r="G453" s="51" t="n">
        <v>10</v>
      </c>
      <c r="H453" s="51" t="n">
        <v>10</v>
      </c>
      <c r="I453" s="51" t="s">
        <v>1386</v>
      </c>
    </row>
    <row r="454" customFormat="false" ht="15" hidden="false" customHeight="false" outlineLevel="0" collapsed="false">
      <c r="A454" s="51" t="s">
        <v>78</v>
      </c>
      <c r="B454" s="51" t="n">
        <v>31</v>
      </c>
      <c r="C454" s="51" t="s">
        <v>314</v>
      </c>
      <c r="D454" s="52" t="n">
        <v>45963</v>
      </c>
      <c r="E454" s="53" t="n">
        <v>215.93</v>
      </c>
      <c r="F454" s="53" t="n">
        <v>609.19</v>
      </c>
      <c r="G454" s="51" t="n">
        <v>17</v>
      </c>
      <c r="H454" s="51" t="n">
        <v>17</v>
      </c>
      <c r="I454" s="51" t="s">
        <v>1386</v>
      </c>
    </row>
    <row r="455" customFormat="false" ht="15" hidden="false" customHeight="false" outlineLevel="0" collapsed="false">
      <c r="A455" s="51" t="s">
        <v>78</v>
      </c>
      <c r="B455" s="51" t="n">
        <v>31</v>
      </c>
      <c r="C455" s="51" t="s">
        <v>314</v>
      </c>
      <c r="D455" s="52" t="n">
        <v>45964</v>
      </c>
      <c r="E455" s="53" t="n">
        <v>176.24</v>
      </c>
      <c r="F455" s="53" t="n">
        <v>496.34</v>
      </c>
      <c r="G455" s="51" t="n">
        <v>14</v>
      </c>
      <c r="H455" s="51" t="n">
        <v>14</v>
      </c>
      <c r="I455" s="51" t="s">
        <v>1386</v>
      </c>
    </row>
    <row r="456" customFormat="false" ht="15" hidden="false" customHeight="false" outlineLevel="0" collapsed="false">
      <c r="A456" s="51" t="s">
        <v>78</v>
      </c>
      <c r="B456" s="51" t="n">
        <v>31</v>
      </c>
      <c r="C456" s="51" t="s">
        <v>314</v>
      </c>
      <c r="D456" s="52" t="n">
        <v>45965</v>
      </c>
      <c r="E456" s="53" t="n">
        <v>197.9</v>
      </c>
      <c r="F456" s="53" t="n">
        <v>582.1</v>
      </c>
      <c r="G456" s="51" t="n">
        <v>18</v>
      </c>
      <c r="H456" s="51" t="n">
        <v>18</v>
      </c>
      <c r="I456" s="51" t="s">
        <v>1386</v>
      </c>
    </row>
    <row r="457" customFormat="false" ht="15" hidden="false" customHeight="false" outlineLevel="0" collapsed="false">
      <c r="A457" s="51" t="s">
        <v>78</v>
      </c>
      <c r="B457" s="51" t="n">
        <v>31</v>
      </c>
      <c r="C457" s="51" t="s">
        <v>314</v>
      </c>
      <c r="D457" s="52" t="n">
        <v>45966</v>
      </c>
      <c r="E457" s="53" t="n">
        <v>182.46</v>
      </c>
      <c r="F457" s="53" t="n">
        <v>451.35</v>
      </c>
      <c r="G457" s="51" t="n">
        <v>13</v>
      </c>
      <c r="H457" s="51" t="n">
        <v>13</v>
      </c>
      <c r="I457" s="51" t="s">
        <v>1386</v>
      </c>
    </row>
    <row r="458" customFormat="false" ht="15" hidden="false" customHeight="false" outlineLevel="0" collapsed="false">
      <c r="A458" s="51" t="s">
        <v>78</v>
      </c>
      <c r="B458" s="51" t="n">
        <v>31</v>
      </c>
      <c r="C458" s="51" t="s">
        <v>314</v>
      </c>
      <c r="D458" s="52" t="n">
        <v>45967</v>
      </c>
      <c r="E458" s="53" t="n">
        <v>162.33</v>
      </c>
      <c r="F458" s="53" t="n">
        <v>312.55</v>
      </c>
      <c r="G458" s="51" t="n">
        <v>9</v>
      </c>
      <c r="H458" s="51" t="n">
        <v>9</v>
      </c>
      <c r="I458" s="51" t="s">
        <v>1386</v>
      </c>
    </row>
    <row r="459" customFormat="false" ht="15" hidden="false" customHeight="false" outlineLevel="0" collapsed="false">
      <c r="A459" s="51" t="s">
        <v>78</v>
      </c>
      <c r="B459" s="51" t="n">
        <v>31</v>
      </c>
      <c r="C459" s="51" t="s">
        <v>314</v>
      </c>
      <c r="D459" s="52" t="n">
        <v>45968</v>
      </c>
      <c r="E459" s="53" t="n">
        <v>181.73</v>
      </c>
      <c r="F459" s="53" t="n">
        <v>625.05</v>
      </c>
      <c r="G459" s="51" t="n">
        <v>18</v>
      </c>
      <c r="H459" s="51" t="n">
        <v>19</v>
      </c>
      <c r="I459" s="51" t="s">
        <v>1386</v>
      </c>
    </row>
    <row r="460" customFormat="false" ht="15" hidden="false" customHeight="false" outlineLevel="0" collapsed="false">
      <c r="A460" s="51" t="s">
        <v>78</v>
      </c>
      <c r="B460" s="51" t="n">
        <v>31</v>
      </c>
      <c r="C460" s="51" t="s">
        <v>314</v>
      </c>
      <c r="D460" s="52" t="n">
        <v>45969</v>
      </c>
      <c r="E460" s="53" t="n">
        <v>220.4</v>
      </c>
      <c r="F460" s="53" t="n">
        <v>1260.2</v>
      </c>
      <c r="G460" s="51" t="n">
        <v>35</v>
      </c>
      <c r="H460" s="51" t="n">
        <v>36</v>
      </c>
      <c r="I460" s="51" t="s">
        <v>1386</v>
      </c>
    </row>
    <row r="461" customFormat="false" ht="15" hidden="false" customHeight="false" outlineLevel="0" collapsed="false">
      <c r="A461" s="51" t="s">
        <v>78</v>
      </c>
      <c r="B461" s="51" t="n">
        <v>31</v>
      </c>
      <c r="C461" s="51" t="s">
        <v>314</v>
      </c>
      <c r="D461" s="52" t="n">
        <v>45970</v>
      </c>
      <c r="E461" s="53" t="n">
        <v>236.06</v>
      </c>
      <c r="F461" s="53" t="n">
        <v>464.3</v>
      </c>
      <c r="G461" s="51" t="n">
        <v>14</v>
      </c>
      <c r="H461" s="51" t="n">
        <v>14</v>
      </c>
      <c r="I461" s="51" t="s">
        <v>1386</v>
      </c>
    </row>
    <row r="462" customFormat="false" ht="15" hidden="false" customHeight="false" outlineLevel="0" collapsed="false">
      <c r="A462" s="51" t="s">
        <v>78</v>
      </c>
      <c r="B462" s="51" t="n">
        <v>31</v>
      </c>
      <c r="C462" s="51" t="s">
        <v>314</v>
      </c>
      <c r="D462" s="52" t="n">
        <v>45971</v>
      </c>
      <c r="E462" s="53" t="n">
        <v>186.5</v>
      </c>
      <c r="F462" s="53" t="n">
        <v>475.25</v>
      </c>
      <c r="G462" s="51" t="n">
        <v>15</v>
      </c>
      <c r="H462" s="51" t="n">
        <v>15</v>
      </c>
      <c r="I462" s="51" t="s">
        <v>1386</v>
      </c>
    </row>
    <row r="463" customFormat="false" ht="15" hidden="false" customHeight="false" outlineLevel="0" collapsed="false">
      <c r="A463" s="51" t="s">
        <v>78</v>
      </c>
      <c r="B463" s="51" t="n">
        <v>31</v>
      </c>
      <c r="C463" s="51" t="s">
        <v>314</v>
      </c>
      <c r="D463" s="52" t="n">
        <v>45972</v>
      </c>
      <c r="E463" s="53" t="n">
        <v>182.35</v>
      </c>
      <c r="F463" s="53" t="n">
        <v>395.4</v>
      </c>
      <c r="G463" s="51" t="n">
        <v>12</v>
      </c>
      <c r="H463" s="51" t="n">
        <v>12</v>
      </c>
      <c r="I463" s="51" t="s">
        <v>1386</v>
      </c>
    </row>
    <row r="464" customFormat="false" ht="15" hidden="false" customHeight="false" outlineLevel="0" collapsed="false">
      <c r="A464" s="51" t="s">
        <v>78</v>
      </c>
      <c r="B464" s="51" t="n">
        <v>31</v>
      </c>
      <c r="C464" s="51" t="s">
        <v>314</v>
      </c>
      <c r="D464" s="52" t="n">
        <v>45973</v>
      </c>
      <c r="E464" s="53" t="n">
        <v>203.53</v>
      </c>
      <c r="F464" s="53" t="n">
        <v>588.19</v>
      </c>
      <c r="G464" s="51" t="n">
        <v>17</v>
      </c>
      <c r="H464" s="51" t="n">
        <v>17</v>
      </c>
      <c r="I464" s="51" t="s">
        <v>1386</v>
      </c>
    </row>
    <row r="465" customFormat="false" ht="15" hidden="false" customHeight="false" outlineLevel="0" collapsed="false">
      <c r="A465" s="51" t="s">
        <v>78</v>
      </c>
      <c r="B465" s="51" t="n">
        <v>31</v>
      </c>
      <c r="C465" s="51" t="s">
        <v>314</v>
      </c>
      <c r="D465" s="52" t="n">
        <v>45974</v>
      </c>
      <c r="E465" s="53" t="n">
        <v>209.67</v>
      </c>
      <c r="F465" s="53" t="n">
        <v>659</v>
      </c>
      <c r="G465" s="51" t="n">
        <v>20</v>
      </c>
      <c r="H465" s="51" t="n">
        <v>20</v>
      </c>
      <c r="I465" s="51" t="s">
        <v>1386</v>
      </c>
    </row>
    <row r="466" customFormat="false" ht="15" hidden="false" customHeight="false" outlineLevel="0" collapsed="false">
      <c r="A466" s="51" t="s">
        <v>78</v>
      </c>
      <c r="B466" s="51" t="n">
        <v>31</v>
      </c>
      <c r="C466" s="51" t="s">
        <v>314</v>
      </c>
      <c r="D466" s="52" t="n">
        <v>45975</v>
      </c>
      <c r="E466" s="53" t="n">
        <v>169.53</v>
      </c>
      <c r="F466" s="53" t="n">
        <v>610.35</v>
      </c>
      <c r="G466" s="51" t="n">
        <v>19</v>
      </c>
      <c r="H466" s="51" t="n">
        <v>19</v>
      </c>
      <c r="I466" s="51" t="s">
        <v>1386</v>
      </c>
    </row>
    <row r="467" customFormat="false" ht="15" hidden="false" customHeight="false" outlineLevel="0" collapsed="false">
      <c r="A467" s="51" t="s">
        <v>78</v>
      </c>
      <c r="B467" s="51" t="n">
        <v>31</v>
      </c>
      <c r="C467" s="51" t="s">
        <v>314</v>
      </c>
      <c r="D467" s="52" t="n">
        <v>45976</v>
      </c>
      <c r="E467" s="53" t="n">
        <v>218.66</v>
      </c>
      <c r="F467" s="53" t="n">
        <v>623.45</v>
      </c>
      <c r="G467" s="51" t="n">
        <v>19</v>
      </c>
      <c r="H467" s="51" t="n">
        <v>19</v>
      </c>
      <c r="I467" s="51" t="s">
        <v>1386</v>
      </c>
    </row>
    <row r="468" customFormat="false" ht="15" hidden="false" customHeight="false" outlineLevel="0" collapsed="false">
      <c r="A468" s="51" t="s">
        <v>78</v>
      </c>
      <c r="B468" s="51" t="n">
        <v>31</v>
      </c>
      <c r="C468" s="51" t="s">
        <v>314</v>
      </c>
      <c r="D468" s="52" t="n">
        <v>45977</v>
      </c>
      <c r="E468" s="53" t="n">
        <v>242.21</v>
      </c>
      <c r="F468" s="53" t="n">
        <v>571.02</v>
      </c>
      <c r="G468" s="51" t="n">
        <v>18</v>
      </c>
      <c r="H468" s="51" t="n">
        <v>18</v>
      </c>
      <c r="I468" s="51" t="s">
        <v>1386</v>
      </c>
    </row>
    <row r="469" customFormat="false" ht="15" hidden="false" customHeight="false" outlineLevel="0" collapsed="false">
      <c r="A469" s="51" t="s">
        <v>78</v>
      </c>
      <c r="B469" s="51" t="n">
        <v>31</v>
      </c>
      <c r="C469" s="51" t="s">
        <v>314</v>
      </c>
      <c r="D469" s="52" t="n">
        <v>45978</v>
      </c>
      <c r="E469" s="53" t="n">
        <v>182.11</v>
      </c>
      <c r="F469" s="53" t="n">
        <v>346.45</v>
      </c>
      <c r="G469" s="51" t="n">
        <v>11</v>
      </c>
      <c r="H469" s="51" t="n">
        <v>11</v>
      </c>
      <c r="I469" s="51" t="s">
        <v>1386</v>
      </c>
    </row>
    <row r="470" customFormat="false" ht="15" hidden="false" customHeight="false" outlineLevel="0" collapsed="false">
      <c r="A470" s="51" t="s">
        <v>78</v>
      </c>
      <c r="B470" s="51" t="n">
        <v>31</v>
      </c>
      <c r="C470" s="51" t="s">
        <v>314</v>
      </c>
      <c r="D470" s="52" t="n">
        <v>45979</v>
      </c>
      <c r="E470" s="53" t="n">
        <v>180.75</v>
      </c>
      <c r="F470" s="53" t="n">
        <v>533.05</v>
      </c>
      <c r="G470" s="51" t="n">
        <v>17</v>
      </c>
      <c r="H470" s="51" t="n">
        <v>17</v>
      </c>
      <c r="I470" s="51" t="s">
        <v>1386</v>
      </c>
    </row>
    <row r="471" customFormat="false" ht="15" hidden="false" customHeight="false" outlineLevel="0" collapsed="false">
      <c r="A471" s="51" t="s">
        <v>78</v>
      </c>
      <c r="B471" s="51" t="n">
        <v>31</v>
      </c>
      <c r="C471" s="51" t="s">
        <v>314</v>
      </c>
      <c r="D471" s="52" t="n">
        <v>45980</v>
      </c>
      <c r="E471" s="53" t="n">
        <v>191.72</v>
      </c>
      <c r="F471" s="53" t="n">
        <v>507.05</v>
      </c>
      <c r="G471" s="51" t="n">
        <v>17</v>
      </c>
      <c r="H471" s="51" t="n">
        <v>17</v>
      </c>
      <c r="I471" s="51" t="s">
        <v>1386</v>
      </c>
    </row>
    <row r="472" customFormat="false" ht="15" hidden="false" customHeight="false" outlineLevel="0" collapsed="false">
      <c r="A472" s="51" t="s">
        <v>78</v>
      </c>
      <c r="B472" s="51" t="n">
        <v>31</v>
      </c>
      <c r="C472" s="51" t="s">
        <v>314</v>
      </c>
      <c r="D472" s="52" t="n">
        <v>45981</v>
      </c>
      <c r="E472" s="53" t="n">
        <v>379.77</v>
      </c>
      <c r="F472" s="53" t="n">
        <v>1537.23</v>
      </c>
      <c r="G472" s="51" t="n">
        <v>48</v>
      </c>
      <c r="H472" s="51" t="n">
        <v>52</v>
      </c>
      <c r="I472" s="51" t="s">
        <v>1387</v>
      </c>
    </row>
    <row r="473" customFormat="false" ht="15" hidden="false" customHeight="false" outlineLevel="0" collapsed="false">
      <c r="A473" s="51" t="s">
        <v>78</v>
      </c>
      <c r="B473" s="51" t="n">
        <v>31</v>
      </c>
      <c r="C473" s="51" t="s">
        <v>314</v>
      </c>
      <c r="D473" s="52" t="n">
        <v>45982</v>
      </c>
      <c r="E473" s="53" t="n">
        <v>202.1</v>
      </c>
      <c r="F473" s="53" t="n">
        <v>613.52</v>
      </c>
      <c r="G473" s="51" t="n">
        <v>20</v>
      </c>
      <c r="H473" s="51" t="n">
        <v>20</v>
      </c>
      <c r="I473" s="51" t="s">
        <v>1387</v>
      </c>
    </row>
    <row r="474" customFormat="false" ht="15" hidden="false" customHeight="false" outlineLevel="0" collapsed="false">
      <c r="A474" s="51" t="s">
        <v>78</v>
      </c>
      <c r="B474" s="51" t="n">
        <v>31</v>
      </c>
      <c r="C474" s="51" t="s">
        <v>314</v>
      </c>
      <c r="D474" s="52" t="n">
        <v>45983</v>
      </c>
      <c r="E474" s="53" t="n">
        <v>229.38</v>
      </c>
      <c r="F474" s="53" t="n">
        <v>966.03</v>
      </c>
      <c r="G474" s="51" t="n">
        <v>32</v>
      </c>
      <c r="H474" s="51" t="n">
        <v>33</v>
      </c>
      <c r="I474" s="51" t="s">
        <v>1387</v>
      </c>
    </row>
    <row r="475" customFormat="false" ht="15" hidden="false" customHeight="false" outlineLevel="0" collapsed="false">
      <c r="A475" s="51" t="s">
        <v>78</v>
      </c>
      <c r="B475" s="51" t="n">
        <v>31</v>
      </c>
      <c r="C475" s="51" t="s">
        <v>314</v>
      </c>
      <c r="D475" s="52" t="n">
        <v>45984</v>
      </c>
      <c r="E475" s="53" t="n">
        <v>242.75</v>
      </c>
      <c r="F475" s="53" t="n">
        <v>962.64</v>
      </c>
      <c r="G475" s="51" t="n">
        <v>32</v>
      </c>
      <c r="H475" s="51" t="n">
        <v>32</v>
      </c>
      <c r="I475" s="51" t="s">
        <v>1387</v>
      </c>
    </row>
    <row r="476" customFormat="false" ht="15" hidden="false" customHeight="false" outlineLevel="0" collapsed="false">
      <c r="A476" s="51" t="s">
        <v>78</v>
      </c>
      <c r="B476" s="51" t="n">
        <v>31</v>
      </c>
      <c r="C476" s="51" t="s">
        <v>314</v>
      </c>
      <c r="D476" s="52" t="n">
        <v>45985</v>
      </c>
      <c r="E476" s="53" t="n">
        <v>225.44</v>
      </c>
      <c r="F476" s="53" t="n">
        <v>977.54</v>
      </c>
      <c r="G476" s="51" t="n">
        <v>31</v>
      </c>
      <c r="H476" s="51" t="n">
        <v>31</v>
      </c>
      <c r="I476" s="51" t="s">
        <v>1387</v>
      </c>
    </row>
    <row r="477" customFormat="false" ht="15" hidden="false" customHeight="false" outlineLevel="0" collapsed="false">
      <c r="A477" s="51" t="s">
        <v>78</v>
      </c>
      <c r="B477" s="51" t="n">
        <v>31</v>
      </c>
      <c r="C477" s="51" t="s">
        <v>314</v>
      </c>
      <c r="D477" s="52" t="n">
        <v>45986</v>
      </c>
      <c r="E477" s="53" t="n">
        <v>216.62</v>
      </c>
      <c r="F477" s="53" t="n">
        <v>972.8</v>
      </c>
      <c r="G477" s="51" t="n">
        <v>32</v>
      </c>
      <c r="H477" s="51" t="n">
        <v>33</v>
      </c>
      <c r="I477" s="51" t="s">
        <v>1387</v>
      </c>
    </row>
    <row r="478" customFormat="false" ht="15" hidden="false" customHeight="false" outlineLevel="0" collapsed="false">
      <c r="A478" s="51" t="s">
        <v>78</v>
      </c>
      <c r="B478" s="51" t="n">
        <v>31</v>
      </c>
      <c r="C478" s="51" t="s">
        <v>314</v>
      </c>
      <c r="D478" s="52" t="n">
        <v>45987</v>
      </c>
      <c r="E478" s="53" t="n">
        <v>424.61</v>
      </c>
      <c r="F478" s="53" t="n">
        <v>1200.77</v>
      </c>
      <c r="G478" s="51" t="n">
        <v>38</v>
      </c>
      <c r="H478" s="51" t="n">
        <v>39</v>
      </c>
      <c r="I478" s="51" t="s">
        <v>1387</v>
      </c>
    </row>
    <row r="479" customFormat="false" ht="15" hidden="false" customHeight="false" outlineLevel="0" collapsed="false">
      <c r="A479" s="51" t="s">
        <v>78</v>
      </c>
      <c r="B479" s="51" t="n">
        <v>31</v>
      </c>
      <c r="C479" s="51" t="s">
        <v>314</v>
      </c>
      <c r="D479" s="52" t="n">
        <v>45988</v>
      </c>
      <c r="E479" s="53" t="n">
        <v>285.95</v>
      </c>
      <c r="F479" s="53" t="n">
        <v>1536.02</v>
      </c>
      <c r="G479" s="51" t="n">
        <v>51</v>
      </c>
      <c r="H479" s="51" t="n">
        <v>51</v>
      </c>
      <c r="I479" s="51" t="s">
        <v>1387</v>
      </c>
    </row>
    <row r="480" customFormat="false" ht="15" hidden="false" customHeight="false" outlineLevel="0" collapsed="false">
      <c r="A480" s="51" t="s">
        <v>78</v>
      </c>
      <c r="B480" s="51" t="n">
        <v>31</v>
      </c>
      <c r="C480" s="51" t="s">
        <v>314</v>
      </c>
      <c r="D480" s="52" t="n">
        <v>45989</v>
      </c>
      <c r="E480" s="53" t="n">
        <v>817.94</v>
      </c>
      <c r="F480" s="53" t="n">
        <v>3265.83</v>
      </c>
      <c r="G480" s="51" t="n">
        <v>107</v>
      </c>
      <c r="H480" s="51" t="n">
        <v>107</v>
      </c>
      <c r="I480" s="51" t="s">
        <v>1387</v>
      </c>
    </row>
    <row r="481" customFormat="false" ht="15" hidden="false" customHeight="false" outlineLevel="0" collapsed="false">
      <c r="A481" s="51" t="s">
        <v>78</v>
      </c>
      <c r="B481" s="51" t="n">
        <v>31</v>
      </c>
      <c r="C481" s="51" t="s">
        <v>314</v>
      </c>
      <c r="D481" s="52" t="n">
        <v>45990</v>
      </c>
      <c r="E481" s="53" t="n">
        <v>600.05</v>
      </c>
      <c r="F481" s="53" t="n">
        <v>1739.26</v>
      </c>
      <c r="G481" s="51" t="n">
        <v>58</v>
      </c>
      <c r="H481" s="51" t="n">
        <v>58</v>
      </c>
      <c r="I481" s="51" t="s">
        <v>1387</v>
      </c>
    </row>
    <row r="482" customFormat="false" ht="15" hidden="false" customHeight="false" outlineLevel="0" collapsed="false">
      <c r="A482" s="51" t="s">
        <v>78</v>
      </c>
      <c r="B482" s="51" t="n">
        <v>31</v>
      </c>
      <c r="C482" s="51" t="s">
        <v>314</v>
      </c>
      <c r="D482" s="52" t="n">
        <v>45991</v>
      </c>
      <c r="E482" s="53" t="n">
        <v>588.32</v>
      </c>
      <c r="F482" s="53" t="n">
        <v>2668.17</v>
      </c>
      <c r="G482" s="51" t="n">
        <v>83</v>
      </c>
      <c r="H482" s="51" t="n">
        <v>84</v>
      </c>
      <c r="I482" s="51" t="s">
        <v>1387</v>
      </c>
    </row>
    <row r="483" customFormat="false" ht="15" hidden="false" customHeight="false" outlineLevel="0" collapsed="false">
      <c r="A483" s="51" t="s">
        <v>78</v>
      </c>
      <c r="B483" s="51" t="n">
        <v>31</v>
      </c>
      <c r="C483" s="51" t="s">
        <v>314</v>
      </c>
      <c r="D483" s="52" t="n">
        <v>45992</v>
      </c>
      <c r="E483" s="53" t="n">
        <v>572.88</v>
      </c>
      <c r="F483" s="53" t="n">
        <v>2758.41</v>
      </c>
      <c r="G483" s="51" t="n">
        <v>86</v>
      </c>
      <c r="H483" s="51" t="n">
        <v>88</v>
      </c>
      <c r="I483" s="51" t="s">
        <v>1387</v>
      </c>
    </row>
    <row r="484" customFormat="false" ht="15" hidden="false" customHeight="false" outlineLevel="0" collapsed="false">
      <c r="A484" s="51" t="s">
        <v>78</v>
      </c>
      <c r="B484" s="51" t="n">
        <v>31</v>
      </c>
      <c r="C484" s="51" t="s">
        <v>314</v>
      </c>
      <c r="D484" s="52" t="n">
        <v>45993</v>
      </c>
      <c r="E484" s="53" t="n">
        <v>366.47</v>
      </c>
      <c r="F484" s="53" t="n">
        <v>1136.25</v>
      </c>
      <c r="G484" s="51" t="n">
        <v>35</v>
      </c>
      <c r="H484" s="51" t="n">
        <v>35</v>
      </c>
      <c r="I484" s="51"/>
    </row>
    <row r="485" customFormat="false" ht="15" hidden="false" customHeight="false" outlineLevel="0" collapsed="false">
      <c r="A485" s="51" t="s">
        <v>78</v>
      </c>
      <c r="B485" s="51" t="n">
        <v>31</v>
      </c>
      <c r="C485" s="51" t="s">
        <v>314</v>
      </c>
      <c r="D485" s="52" t="n">
        <v>45994</v>
      </c>
      <c r="E485" s="53" t="n">
        <v>323.85</v>
      </c>
      <c r="F485" s="53" t="n">
        <v>1325.09</v>
      </c>
      <c r="G485" s="51" t="n">
        <v>35</v>
      </c>
      <c r="H485" s="51" t="n">
        <v>39</v>
      </c>
      <c r="I485" s="51"/>
    </row>
    <row r="486" customFormat="false" ht="15" hidden="false" customHeight="false" outlineLevel="0" collapsed="false">
      <c r="A486" s="51" t="s">
        <v>78</v>
      </c>
      <c r="B486" s="51" t="n">
        <v>31</v>
      </c>
      <c r="C486" s="51" t="s">
        <v>314</v>
      </c>
      <c r="D486" s="52" t="n">
        <v>45995</v>
      </c>
      <c r="E486" s="53" t="n">
        <v>289.3</v>
      </c>
      <c r="F486" s="53" t="n">
        <v>1066.64</v>
      </c>
      <c r="G486" s="51" t="n">
        <v>27</v>
      </c>
      <c r="H486" s="51" t="n">
        <v>28</v>
      </c>
      <c r="I486" s="51"/>
    </row>
    <row r="487" customFormat="false" ht="15" hidden="false" customHeight="false" outlineLevel="0" collapsed="false">
      <c r="A487" s="51" t="s">
        <v>78</v>
      </c>
      <c r="B487" s="51" t="n">
        <v>31</v>
      </c>
      <c r="C487" s="51" t="s">
        <v>314</v>
      </c>
      <c r="D487" s="52" t="n">
        <v>45996</v>
      </c>
      <c r="E487" s="53" t="n">
        <v>250.8</v>
      </c>
      <c r="F487" s="53" t="n">
        <v>1034.5</v>
      </c>
      <c r="G487" s="51" t="n">
        <v>30</v>
      </c>
      <c r="H487" s="51" t="n">
        <v>30</v>
      </c>
      <c r="I487" s="51"/>
    </row>
    <row r="488" customFormat="false" ht="15" hidden="false" customHeight="false" outlineLevel="0" collapsed="false">
      <c r="A488" s="51" t="s">
        <v>78</v>
      </c>
      <c r="B488" s="51" t="n">
        <v>31</v>
      </c>
      <c r="C488" s="51" t="s">
        <v>314</v>
      </c>
      <c r="D488" s="52" t="n">
        <v>45997</v>
      </c>
      <c r="E488" s="53" t="n">
        <v>286.77</v>
      </c>
      <c r="F488" s="53" t="n">
        <v>1250.15</v>
      </c>
      <c r="G488" s="51" t="n">
        <v>36</v>
      </c>
      <c r="H488" s="51" t="n">
        <v>37</v>
      </c>
      <c r="I488" s="51"/>
    </row>
    <row r="489" customFormat="false" ht="15" hidden="false" customHeight="false" outlineLevel="0" collapsed="false">
      <c r="A489" s="51" t="s">
        <v>78</v>
      </c>
      <c r="B489" s="51" t="n">
        <v>31</v>
      </c>
      <c r="C489" s="51" t="s">
        <v>314</v>
      </c>
      <c r="D489" s="52" t="n">
        <v>45998</v>
      </c>
      <c r="E489" s="53" t="n">
        <v>346.22</v>
      </c>
      <c r="F489" s="53" t="n">
        <v>1058.45</v>
      </c>
      <c r="G489" s="51" t="n">
        <v>30</v>
      </c>
      <c r="H489" s="51" t="n">
        <v>31</v>
      </c>
      <c r="I489" s="51"/>
    </row>
    <row r="490" customFormat="false" ht="15" hidden="false" customHeight="false" outlineLevel="0" collapsed="false">
      <c r="A490" s="51" t="s">
        <v>78</v>
      </c>
      <c r="B490" s="51" t="n">
        <v>31</v>
      </c>
      <c r="C490" s="51" t="s">
        <v>314</v>
      </c>
      <c r="D490" s="52" t="n">
        <v>45999</v>
      </c>
      <c r="E490" s="53" t="n">
        <v>258.66</v>
      </c>
      <c r="F490" s="53" t="n">
        <v>1294.24</v>
      </c>
      <c r="G490" s="51" t="n">
        <v>36</v>
      </c>
      <c r="H490" s="51" t="n">
        <v>36</v>
      </c>
      <c r="I490" s="51"/>
    </row>
    <row r="491" customFormat="false" ht="15" hidden="false" customHeight="false" outlineLevel="0" collapsed="false">
      <c r="A491" s="51" t="s">
        <v>78</v>
      </c>
      <c r="B491" s="51" t="n">
        <v>31</v>
      </c>
      <c r="C491" s="51" t="s">
        <v>314</v>
      </c>
      <c r="D491" s="52" t="n">
        <v>46000</v>
      </c>
      <c r="E491" s="53" t="n">
        <v>283.74</v>
      </c>
      <c r="F491" s="53" t="n">
        <v>891.7</v>
      </c>
      <c r="G491" s="51" t="n">
        <v>25</v>
      </c>
      <c r="H491" s="51" t="n">
        <v>26</v>
      </c>
      <c r="I491" s="51"/>
    </row>
    <row r="492" customFormat="false" ht="15" hidden="false" customHeight="false" outlineLevel="0" collapsed="false">
      <c r="A492" s="51" t="s">
        <v>78</v>
      </c>
      <c r="B492" s="51" t="n">
        <v>31</v>
      </c>
      <c r="C492" s="51" t="s">
        <v>314</v>
      </c>
      <c r="D492" s="52" t="n">
        <v>46001</v>
      </c>
      <c r="E492" s="53" t="n">
        <v>298.06</v>
      </c>
      <c r="F492" s="53" t="n">
        <v>1198.25</v>
      </c>
      <c r="G492" s="51" t="n">
        <v>34</v>
      </c>
      <c r="H492" s="51" t="n">
        <v>35</v>
      </c>
      <c r="I492" s="51"/>
    </row>
    <row r="493" customFormat="false" ht="15" hidden="false" customHeight="false" outlineLevel="0" collapsed="false">
      <c r="A493" s="51" t="s">
        <v>78</v>
      </c>
      <c r="B493" s="51" t="n">
        <v>31</v>
      </c>
      <c r="C493" s="51" t="s">
        <v>314</v>
      </c>
      <c r="D493" s="52" t="n">
        <v>46002</v>
      </c>
      <c r="E493" s="53" t="n">
        <v>362.11</v>
      </c>
      <c r="F493" s="53" t="n">
        <v>1376.85</v>
      </c>
      <c r="G493" s="51" t="n">
        <v>43</v>
      </c>
      <c r="H493" s="51" t="n">
        <v>43</v>
      </c>
      <c r="I493" s="51"/>
    </row>
    <row r="494" customFormat="false" ht="15" hidden="false" customHeight="false" outlineLevel="0" collapsed="false">
      <c r="A494" s="51" t="s">
        <v>78</v>
      </c>
      <c r="B494" s="51" t="n">
        <v>31</v>
      </c>
      <c r="C494" s="51" t="s">
        <v>314</v>
      </c>
      <c r="D494" s="52" t="n">
        <v>46003</v>
      </c>
      <c r="E494" s="53" t="n">
        <v>316.3</v>
      </c>
      <c r="F494" s="53" t="n">
        <v>1517.65</v>
      </c>
      <c r="G494" s="51" t="n">
        <v>46</v>
      </c>
      <c r="H494" s="51" t="n">
        <v>47</v>
      </c>
      <c r="I494" s="51"/>
    </row>
    <row r="495" customFormat="false" ht="15" hidden="false" customHeight="false" outlineLevel="0" collapsed="false">
      <c r="A495" s="51" t="s">
        <v>78</v>
      </c>
      <c r="B495" s="51" t="n">
        <v>31</v>
      </c>
      <c r="C495" s="51" t="s">
        <v>314</v>
      </c>
      <c r="D495" s="52" t="n">
        <v>46004</v>
      </c>
      <c r="E495" s="53" t="n">
        <v>456.34</v>
      </c>
      <c r="F495" s="53" t="n">
        <v>2308.35</v>
      </c>
      <c r="G495" s="51" t="n">
        <v>72</v>
      </c>
      <c r="H495" s="51" t="n">
        <v>73</v>
      </c>
      <c r="I495" s="51"/>
    </row>
    <row r="496" customFormat="false" ht="15" hidden="false" customHeight="false" outlineLevel="0" collapsed="false">
      <c r="A496" s="51" t="s">
        <v>78</v>
      </c>
      <c r="B496" s="51" t="n">
        <v>31</v>
      </c>
      <c r="C496" s="51" t="s">
        <v>314</v>
      </c>
      <c r="D496" s="52" t="n">
        <v>46005</v>
      </c>
      <c r="E496" s="53" t="n">
        <v>394.32</v>
      </c>
      <c r="F496" s="53" t="n">
        <v>1738.79</v>
      </c>
      <c r="G496" s="51" t="n">
        <v>55</v>
      </c>
      <c r="H496" s="51" t="n">
        <v>55</v>
      </c>
      <c r="I496" s="51"/>
    </row>
    <row r="497" customFormat="false" ht="15" hidden="false" customHeight="false" outlineLevel="0" collapsed="false">
      <c r="A497" s="51" t="s">
        <v>78</v>
      </c>
      <c r="B497" s="51" t="n">
        <v>31</v>
      </c>
      <c r="C497" s="51" t="s">
        <v>314</v>
      </c>
      <c r="D497" s="52" t="n">
        <v>46006</v>
      </c>
      <c r="E497" s="53" t="n">
        <v>343.44</v>
      </c>
      <c r="F497" s="53" t="n">
        <v>1259.08</v>
      </c>
      <c r="G497" s="51" t="n">
        <v>40</v>
      </c>
      <c r="H497" s="51" t="n">
        <v>40</v>
      </c>
      <c r="I497" s="51"/>
    </row>
    <row r="498" customFormat="false" ht="15" hidden="false" customHeight="false" outlineLevel="0" collapsed="false">
      <c r="A498" s="51" t="s">
        <v>78</v>
      </c>
      <c r="B498" s="51" t="n">
        <v>31</v>
      </c>
      <c r="C498" s="51" t="s">
        <v>1377</v>
      </c>
      <c r="D498" s="52" t="n">
        <v>45945</v>
      </c>
      <c r="E498" s="53" t="n">
        <v>136.22</v>
      </c>
      <c r="F498" s="53" t="n">
        <v>235.95</v>
      </c>
      <c r="G498" s="51" t="n">
        <v>5</v>
      </c>
      <c r="H498" s="51" t="n">
        <v>5</v>
      </c>
      <c r="I498" s="51"/>
    </row>
    <row r="499" customFormat="false" ht="15" hidden="false" customHeight="false" outlineLevel="0" collapsed="false">
      <c r="A499" s="51" t="s">
        <v>78</v>
      </c>
      <c r="B499" s="51" t="n">
        <v>31</v>
      </c>
      <c r="C499" s="51" t="s">
        <v>1377</v>
      </c>
      <c r="D499" s="52" t="n">
        <v>45946</v>
      </c>
      <c r="E499" s="53" t="n">
        <v>182.6</v>
      </c>
      <c r="F499" s="53" t="n">
        <v>1031.67</v>
      </c>
      <c r="G499" s="51" t="n">
        <v>23</v>
      </c>
      <c r="H499" s="51" t="n">
        <v>23</v>
      </c>
      <c r="I499" s="51"/>
    </row>
    <row r="500" customFormat="false" ht="15" hidden="false" customHeight="false" outlineLevel="0" collapsed="false">
      <c r="A500" s="51" t="s">
        <v>78</v>
      </c>
      <c r="B500" s="51" t="n">
        <v>31</v>
      </c>
      <c r="C500" s="51" t="s">
        <v>1377</v>
      </c>
      <c r="D500" s="52" t="n">
        <v>45947</v>
      </c>
      <c r="E500" s="53" t="n">
        <v>105.15</v>
      </c>
      <c r="F500" s="53" t="n">
        <v>369.88</v>
      </c>
      <c r="G500" s="51" t="n">
        <v>8</v>
      </c>
      <c r="H500" s="51" t="n">
        <v>8</v>
      </c>
      <c r="I500" s="51"/>
    </row>
    <row r="501" customFormat="false" ht="15" hidden="false" customHeight="false" outlineLevel="0" collapsed="false">
      <c r="A501" s="51" t="s">
        <v>78</v>
      </c>
      <c r="B501" s="51" t="n">
        <v>31</v>
      </c>
      <c r="C501" s="51" t="s">
        <v>1377</v>
      </c>
      <c r="D501" s="52" t="n">
        <v>45948</v>
      </c>
      <c r="E501" s="53" t="n">
        <v>149.05</v>
      </c>
      <c r="F501" s="53" t="n">
        <v>392.62</v>
      </c>
      <c r="G501" s="51" t="n">
        <v>9</v>
      </c>
      <c r="H501" s="51" t="n">
        <v>9</v>
      </c>
      <c r="I501" s="51"/>
    </row>
    <row r="502" customFormat="false" ht="15" hidden="false" customHeight="false" outlineLevel="0" collapsed="false">
      <c r="A502" s="51" t="s">
        <v>78</v>
      </c>
      <c r="B502" s="51" t="n">
        <v>31</v>
      </c>
      <c r="C502" s="51" t="s">
        <v>1377</v>
      </c>
      <c r="D502" s="52" t="n">
        <v>45949</v>
      </c>
      <c r="E502" s="53" t="n">
        <v>168.48</v>
      </c>
      <c r="F502" s="53" t="n">
        <v>795.97</v>
      </c>
      <c r="G502" s="51" t="n">
        <v>18</v>
      </c>
      <c r="H502" s="51" t="n">
        <v>19</v>
      </c>
      <c r="I502" s="51"/>
    </row>
    <row r="503" customFormat="false" ht="15" hidden="false" customHeight="false" outlineLevel="0" collapsed="false">
      <c r="A503" s="51" t="s">
        <v>78</v>
      </c>
      <c r="B503" s="51" t="n">
        <v>31</v>
      </c>
      <c r="C503" s="51" t="s">
        <v>1377</v>
      </c>
      <c r="D503" s="52" t="n">
        <v>45950</v>
      </c>
      <c r="E503" s="53" t="n">
        <v>192.38</v>
      </c>
      <c r="F503" s="53" t="n">
        <v>590.85</v>
      </c>
      <c r="G503" s="51" t="n">
        <v>17</v>
      </c>
      <c r="H503" s="51" t="n">
        <v>17</v>
      </c>
      <c r="I503" s="51"/>
    </row>
    <row r="504" customFormat="false" ht="15" hidden="false" customHeight="false" outlineLevel="0" collapsed="false">
      <c r="A504" s="51" t="s">
        <v>78</v>
      </c>
      <c r="B504" s="51" t="n">
        <v>31</v>
      </c>
      <c r="C504" s="51" t="s">
        <v>1377</v>
      </c>
      <c r="D504" s="52" t="n">
        <v>45951</v>
      </c>
      <c r="E504" s="53" t="n">
        <v>138.95</v>
      </c>
      <c r="F504" s="53" t="n">
        <v>398.21</v>
      </c>
      <c r="G504" s="51" t="n">
        <v>11</v>
      </c>
      <c r="H504" s="51" t="n">
        <v>11</v>
      </c>
      <c r="I504" s="51" t="s">
        <v>1386</v>
      </c>
    </row>
    <row r="505" customFormat="false" ht="15" hidden="false" customHeight="false" outlineLevel="0" collapsed="false">
      <c r="A505" s="51" t="s">
        <v>78</v>
      </c>
      <c r="B505" s="51" t="n">
        <v>31</v>
      </c>
      <c r="C505" s="51" t="s">
        <v>1377</v>
      </c>
      <c r="D505" s="52" t="n">
        <v>45952</v>
      </c>
      <c r="E505" s="53" t="n">
        <v>168.3</v>
      </c>
      <c r="F505" s="53" t="n">
        <v>791.95</v>
      </c>
      <c r="G505" s="51" t="n">
        <v>22</v>
      </c>
      <c r="H505" s="51" t="n">
        <v>22</v>
      </c>
      <c r="I505" s="51" t="s">
        <v>1386</v>
      </c>
    </row>
    <row r="506" customFormat="false" ht="15" hidden="false" customHeight="false" outlineLevel="0" collapsed="false">
      <c r="A506" s="51" t="s">
        <v>78</v>
      </c>
      <c r="B506" s="51" t="n">
        <v>31</v>
      </c>
      <c r="C506" s="51" t="s">
        <v>1377</v>
      </c>
      <c r="D506" s="52" t="n">
        <v>45953</v>
      </c>
      <c r="E506" s="53" t="n">
        <v>155.67</v>
      </c>
      <c r="F506" s="53" t="n">
        <v>895.33</v>
      </c>
      <c r="G506" s="51" t="n">
        <v>25</v>
      </c>
      <c r="H506" s="51" t="n">
        <v>25</v>
      </c>
      <c r="I506" s="51" t="s">
        <v>1386</v>
      </c>
    </row>
    <row r="507" customFormat="false" ht="15" hidden="false" customHeight="false" outlineLevel="0" collapsed="false">
      <c r="A507" s="51" t="s">
        <v>78</v>
      </c>
      <c r="B507" s="51" t="n">
        <v>31</v>
      </c>
      <c r="C507" s="51" t="s">
        <v>1377</v>
      </c>
      <c r="D507" s="52" t="n">
        <v>45954</v>
      </c>
      <c r="E507" s="53" t="n">
        <v>153.04</v>
      </c>
      <c r="F507" s="53" t="n">
        <v>1054.68</v>
      </c>
      <c r="G507" s="51" t="n">
        <v>30</v>
      </c>
      <c r="H507" s="51" t="n">
        <v>30</v>
      </c>
      <c r="I507" s="51" t="s">
        <v>1386</v>
      </c>
    </row>
    <row r="508" customFormat="false" ht="15" hidden="false" customHeight="false" outlineLevel="0" collapsed="false">
      <c r="A508" s="51" t="s">
        <v>78</v>
      </c>
      <c r="B508" s="51" t="n">
        <v>31</v>
      </c>
      <c r="C508" s="51" t="s">
        <v>1377</v>
      </c>
      <c r="D508" s="52" t="n">
        <v>45955</v>
      </c>
      <c r="E508" s="53" t="n">
        <v>206.01</v>
      </c>
      <c r="F508" s="53" t="n">
        <v>647.35</v>
      </c>
      <c r="G508" s="51" t="n">
        <v>18</v>
      </c>
      <c r="H508" s="51" t="n">
        <v>18</v>
      </c>
      <c r="I508" s="51" t="s">
        <v>1386</v>
      </c>
    </row>
    <row r="509" customFormat="false" ht="15" hidden="false" customHeight="false" outlineLevel="0" collapsed="false">
      <c r="A509" s="51" t="s">
        <v>78</v>
      </c>
      <c r="B509" s="51" t="n">
        <v>31</v>
      </c>
      <c r="C509" s="51" t="s">
        <v>1377</v>
      </c>
      <c r="D509" s="52" t="n">
        <v>45956</v>
      </c>
      <c r="E509" s="53" t="n">
        <v>253.36</v>
      </c>
      <c r="F509" s="53" t="n">
        <v>1168.71</v>
      </c>
      <c r="G509" s="51" t="n">
        <v>33</v>
      </c>
      <c r="H509" s="51" t="n">
        <v>33</v>
      </c>
      <c r="I509" s="51" t="s">
        <v>1386</v>
      </c>
    </row>
    <row r="510" customFormat="false" ht="15" hidden="false" customHeight="false" outlineLevel="0" collapsed="false">
      <c r="A510" s="51" t="s">
        <v>78</v>
      </c>
      <c r="B510" s="51" t="n">
        <v>31</v>
      </c>
      <c r="C510" s="51" t="s">
        <v>1377</v>
      </c>
      <c r="D510" s="52" t="n">
        <v>45957</v>
      </c>
      <c r="E510" s="53" t="n">
        <v>232.52</v>
      </c>
      <c r="F510" s="53" t="n">
        <v>1284.83</v>
      </c>
      <c r="G510" s="51" t="n">
        <v>39</v>
      </c>
      <c r="H510" s="51" t="n">
        <v>39</v>
      </c>
      <c r="I510" s="51" t="s">
        <v>1386</v>
      </c>
    </row>
    <row r="511" customFormat="false" ht="15" hidden="false" customHeight="false" outlineLevel="0" collapsed="false">
      <c r="A511" s="51" t="s">
        <v>78</v>
      </c>
      <c r="B511" s="51" t="n">
        <v>31</v>
      </c>
      <c r="C511" s="51" t="s">
        <v>1377</v>
      </c>
      <c r="D511" s="52" t="n">
        <v>45958</v>
      </c>
      <c r="E511" s="53" t="n">
        <v>182.25</v>
      </c>
      <c r="F511" s="53" t="n">
        <v>734.25</v>
      </c>
      <c r="G511" s="51" t="n">
        <v>19</v>
      </c>
      <c r="H511" s="51" t="n">
        <v>20</v>
      </c>
      <c r="I511" s="51" t="s">
        <v>1386</v>
      </c>
    </row>
    <row r="512" customFormat="false" ht="15" hidden="false" customHeight="false" outlineLevel="0" collapsed="false">
      <c r="A512" s="51" t="s">
        <v>78</v>
      </c>
      <c r="B512" s="51" t="n">
        <v>31</v>
      </c>
      <c r="C512" s="51" t="s">
        <v>1377</v>
      </c>
      <c r="D512" s="52" t="n">
        <v>45959</v>
      </c>
      <c r="E512" s="53" t="n">
        <v>190.94</v>
      </c>
      <c r="F512" s="53" t="n">
        <v>832.06</v>
      </c>
      <c r="G512" s="51" t="n">
        <v>24</v>
      </c>
      <c r="H512" s="51" t="n">
        <v>24</v>
      </c>
      <c r="I512" s="51" t="s">
        <v>1386</v>
      </c>
    </row>
    <row r="513" customFormat="false" ht="15" hidden="false" customHeight="false" outlineLevel="0" collapsed="false">
      <c r="A513" s="51" t="s">
        <v>78</v>
      </c>
      <c r="B513" s="51" t="n">
        <v>31</v>
      </c>
      <c r="C513" s="51" t="s">
        <v>1377</v>
      </c>
      <c r="D513" s="52" t="n">
        <v>45960</v>
      </c>
      <c r="E513" s="53" t="n">
        <v>114.38</v>
      </c>
      <c r="F513" s="53" t="n">
        <v>414.57</v>
      </c>
      <c r="G513" s="51" t="n">
        <v>10</v>
      </c>
      <c r="H513" s="51" t="n">
        <v>11</v>
      </c>
      <c r="I513" s="51" t="s">
        <v>1386</v>
      </c>
    </row>
    <row r="514" customFormat="false" ht="15" hidden="false" customHeight="false" outlineLevel="0" collapsed="false">
      <c r="A514" s="51" t="s">
        <v>78</v>
      </c>
      <c r="B514" s="51" t="n">
        <v>31</v>
      </c>
      <c r="C514" s="51" t="s">
        <v>1377</v>
      </c>
      <c r="D514" s="52" t="n">
        <v>45961</v>
      </c>
      <c r="E514" s="53" t="n">
        <v>106.6</v>
      </c>
      <c r="F514" s="53" t="n">
        <v>482.91</v>
      </c>
      <c r="G514" s="51" t="n">
        <v>9</v>
      </c>
      <c r="H514" s="51" t="n">
        <v>9</v>
      </c>
      <c r="I514" s="51" t="s">
        <v>1386</v>
      </c>
    </row>
    <row r="515" customFormat="false" ht="15" hidden="false" customHeight="false" outlineLevel="0" collapsed="false">
      <c r="A515" s="51" t="s">
        <v>78</v>
      </c>
      <c r="B515" s="51" t="n">
        <v>31</v>
      </c>
      <c r="C515" s="51" t="s">
        <v>1377</v>
      </c>
      <c r="D515" s="52" t="n">
        <v>45962</v>
      </c>
      <c r="E515" s="53" t="n">
        <v>137.3</v>
      </c>
      <c r="F515" s="53" t="n">
        <v>388.08</v>
      </c>
      <c r="G515" s="51" t="n">
        <v>9</v>
      </c>
      <c r="H515" s="51" t="n">
        <v>9</v>
      </c>
      <c r="I515" s="51" t="s">
        <v>1386</v>
      </c>
    </row>
    <row r="516" customFormat="false" ht="15" hidden="false" customHeight="false" outlineLevel="0" collapsed="false">
      <c r="A516" s="51" t="s">
        <v>78</v>
      </c>
      <c r="B516" s="51" t="n">
        <v>31</v>
      </c>
      <c r="C516" s="51" t="s">
        <v>1377</v>
      </c>
      <c r="D516" s="52" t="n">
        <v>45963</v>
      </c>
      <c r="E516" s="53" t="n">
        <v>172.6</v>
      </c>
      <c r="F516" s="53" t="n">
        <v>962.15</v>
      </c>
      <c r="G516" s="51" t="n">
        <v>23</v>
      </c>
      <c r="H516" s="51" t="n">
        <v>23</v>
      </c>
      <c r="I516" s="51" t="s">
        <v>1386</v>
      </c>
    </row>
    <row r="517" customFormat="false" ht="15" hidden="false" customHeight="false" outlineLevel="0" collapsed="false">
      <c r="A517" s="51" t="s">
        <v>78</v>
      </c>
      <c r="B517" s="51" t="n">
        <v>31</v>
      </c>
      <c r="C517" s="51" t="s">
        <v>1377</v>
      </c>
      <c r="D517" s="52" t="n">
        <v>45964</v>
      </c>
      <c r="E517" s="53" t="n">
        <v>240.53</v>
      </c>
      <c r="F517" s="53" t="n">
        <v>569.93</v>
      </c>
      <c r="G517" s="51" t="n">
        <v>15</v>
      </c>
      <c r="H517" s="51" t="n">
        <v>15</v>
      </c>
      <c r="I517" s="51" t="s">
        <v>1386</v>
      </c>
    </row>
    <row r="518" customFormat="false" ht="15" hidden="false" customHeight="false" outlineLevel="0" collapsed="false">
      <c r="A518" s="51" t="s">
        <v>78</v>
      </c>
      <c r="B518" s="51" t="n">
        <v>31</v>
      </c>
      <c r="C518" s="51" t="s">
        <v>1377</v>
      </c>
      <c r="D518" s="52" t="n">
        <v>45965</v>
      </c>
      <c r="E518" s="53" t="n">
        <v>218.28</v>
      </c>
      <c r="F518" s="53" t="n">
        <v>745.43</v>
      </c>
      <c r="G518" s="51" t="n">
        <v>20</v>
      </c>
      <c r="H518" s="51" t="n">
        <v>20</v>
      </c>
      <c r="I518" s="51" t="s">
        <v>1386</v>
      </c>
    </row>
    <row r="519" customFormat="false" ht="15" hidden="false" customHeight="false" outlineLevel="0" collapsed="false">
      <c r="A519" s="51" t="s">
        <v>78</v>
      </c>
      <c r="B519" s="51" t="n">
        <v>31</v>
      </c>
      <c r="C519" s="51" t="s">
        <v>1377</v>
      </c>
      <c r="D519" s="52" t="n">
        <v>45966</v>
      </c>
      <c r="E519" s="53" t="n">
        <v>212.01</v>
      </c>
      <c r="F519" s="53" t="n">
        <v>988.66</v>
      </c>
      <c r="G519" s="51" t="n">
        <v>25</v>
      </c>
      <c r="H519" s="51" t="n">
        <v>26</v>
      </c>
      <c r="I519" s="51" t="s">
        <v>1386</v>
      </c>
    </row>
    <row r="520" customFormat="false" ht="15" hidden="false" customHeight="false" outlineLevel="0" collapsed="false">
      <c r="A520" s="51" t="s">
        <v>78</v>
      </c>
      <c r="B520" s="51" t="n">
        <v>31</v>
      </c>
      <c r="C520" s="51" t="s">
        <v>1377</v>
      </c>
      <c r="D520" s="52" t="n">
        <v>45967</v>
      </c>
      <c r="E520" s="53" t="n">
        <v>190.37</v>
      </c>
      <c r="F520" s="53" t="n">
        <v>714.81</v>
      </c>
      <c r="G520" s="51" t="n">
        <v>19</v>
      </c>
      <c r="H520" s="51" t="n">
        <v>19</v>
      </c>
      <c r="I520" s="51" t="s">
        <v>1386</v>
      </c>
    </row>
    <row r="521" customFormat="false" ht="15" hidden="false" customHeight="false" outlineLevel="0" collapsed="false">
      <c r="A521" s="51" t="s">
        <v>78</v>
      </c>
      <c r="B521" s="51" t="n">
        <v>31</v>
      </c>
      <c r="C521" s="51" t="s">
        <v>1377</v>
      </c>
      <c r="D521" s="52" t="n">
        <v>45968</v>
      </c>
      <c r="E521" s="53" t="n">
        <v>189</v>
      </c>
      <c r="F521" s="53" t="n">
        <v>909.77</v>
      </c>
      <c r="G521" s="51" t="n">
        <v>23</v>
      </c>
      <c r="H521" s="51" t="n">
        <v>23</v>
      </c>
      <c r="I521" s="51" t="s">
        <v>1386</v>
      </c>
    </row>
    <row r="522" customFormat="false" ht="15" hidden="false" customHeight="false" outlineLevel="0" collapsed="false">
      <c r="A522" s="51" t="s">
        <v>78</v>
      </c>
      <c r="B522" s="51" t="n">
        <v>31</v>
      </c>
      <c r="C522" s="51" t="s">
        <v>1377</v>
      </c>
      <c r="D522" s="52" t="n">
        <v>45969</v>
      </c>
      <c r="E522" s="53" t="n">
        <v>182.86</v>
      </c>
      <c r="F522" s="53" t="n">
        <v>501.87</v>
      </c>
      <c r="G522" s="51" t="n">
        <v>13</v>
      </c>
      <c r="H522" s="51" t="n">
        <v>13</v>
      </c>
      <c r="I522" s="51" t="s">
        <v>1386</v>
      </c>
    </row>
    <row r="523" customFormat="false" ht="15" hidden="false" customHeight="false" outlineLevel="0" collapsed="false">
      <c r="A523" s="51" t="s">
        <v>78</v>
      </c>
      <c r="B523" s="51" t="n">
        <v>31</v>
      </c>
      <c r="C523" s="51" t="s">
        <v>1377</v>
      </c>
      <c r="D523" s="52" t="n">
        <v>45970</v>
      </c>
      <c r="E523" s="53" t="n">
        <v>221.84</v>
      </c>
      <c r="F523" s="53" t="n">
        <v>547.77</v>
      </c>
      <c r="G523" s="51" t="n">
        <v>13</v>
      </c>
      <c r="H523" s="51" t="n">
        <v>15</v>
      </c>
      <c r="I523" s="51" t="s">
        <v>1386</v>
      </c>
    </row>
    <row r="524" customFormat="false" ht="15" hidden="false" customHeight="false" outlineLevel="0" collapsed="false">
      <c r="A524" s="51" t="s">
        <v>78</v>
      </c>
      <c r="B524" s="51" t="n">
        <v>31</v>
      </c>
      <c r="C524" s="51" t="s">
        <v>1377</v>
      </c>
      <c r="D524" s="52" t="n">
        <v>45971</v>
      </c>
      <c r="E524" s="53" t="n">
        <v>206.97</v>
      </c>
      <c r="F524" s="53" t="n">
        <v>583.85</v>
      </c>
      <c r="G524" s="51" t="n">
        <v>15</v>
      </c>
      <c r="H524" s="51" t="n">
        <v>15</v>
      </c>
      <c r="I524" s="51" t="s">
        <v>1386</v>
      </c>
    </row>
    <row r="525" customFormat="false" ht="15" hidden="false" customHeight="false" outlineLevel="0" collapsed="false">
      <c r="A525" s="51" t="s">
        <v>78</v>
      </c>
      <c r="B525" s="51" t="n">
        <v>31</v>
      </c>
      <c r="C525" s="51" t="s">
        <v>1377</v>
      </c>
      <c r="D525" s="52" t="n">
        <v>45972</v>
      </c>
      <c r="E525" s="53" t="n">
        <v>166.14</v>
      </c>
      <c r="F525" s="53" t="n">
        <v>375.9</v>
      </c>
      <c r="G525" s="51" t="n">
        <v>10</v>
      </c>
      <c r="H525" s="51" t="n">
        <v>10</v>
      </c>
      <c r="I525" s="51" t="s">
        <v>1386</v>
      </c>
    </row>
    <row r="526" customFormat="false" ht="15" hidden="false" customHeight="false" outlineLevel="0" collapsed="false">
      <c r="A526" s="51" t="s">
        <v>78</v>
      </c>
      <c r="B526" s="51" t="n">
        <v>31</v>
      </c>
      <c r="C526" s="51" t="s">
        <v>1377</v>
      </c>
      <c r="D526" s="52" t="n">
        <v>45973</v>
      </c>
      <c r="E526" s="53" t="n">
        <v>186.72</v>
      </c>
      <c r="F526" s="53" t="n">
        <v>567.81</v>
      </c>
      <c r="G526" s="51" t="n">
        <v>14</v>
      </c>
      <c r="H526" s="51" t="n">
        <v>15</v>
      </c>
      <c r="I526" s="51" t="s">
        <v>1386</v>
      </c>
    </row>
    <row r="527" customFormat="false" ht="15" hidden="false" customHeight="false" outlineLevel="0" collapsed="false">
      <c r="A527" s="51" t="s">
        <v>78</v>
      </c>
      <c r="B527" s="51" t="n">
        <v>31</v>
      </c>
      <c r="C527" s="51" t="s">
        <v>1377</v>
      </c>
      <c r="D527" s="52" t="n">
        <v>45974</v>
      </c>
      <c r="E527" s="53" t="n">
        <v>147.41</v>
      </c>
      <c r="F527" s="53" t="n">
        <v>727.36</v>
      </c>
      <c r="G527" s="51" t="n">
        <v>19</v>
      </c>
      <c r="H527" s="51" t="n">
        <v>19</v>
      </c>
      <c r="I527" s="51" t="s">
        <v>1386</v>
      </c>
    </row>
    <row r="528" customFormat="false" ht="15" hidden="false" customHeight="false" outlineLevel="0" collapsed="false">
      <c r="A528" s="51" t="s">
        <v>78</v>
      </c>
      <c r="B528" s="51" t="n">
        <v>31</v>
      </c>
      <c r="C528" s="51" t="s">
        <v>1377</v>
      </c>
      <c r="D528" s="52" t="n">
        <v>45975</v>
      </c>
      <c r="E528" s="53" t="n">
        <v>187.53</v>
      </c>
      <c r="F528" s="53" t="n">
        <v>609.52</v>
      </c>
      <c r="G528" s="51" t="n">
        <v>14</v>
      </c>
      <c r="H528" s="51" t="n">
        <v>14</v>
      </c>
      <c r="I528" s="51" t="s">
        <v>1386</v>
      </c>
    </row>
    <row r="529" customFormat="false" ht="15" hidden="false" customHeight="false" outlineLevel="0" collapsed="false">
      <c r="A529" s="51" t="s">
        <v>78</v>
      </c>
      <c r="B529" s="51" t="n">
        <v>31</v>
      </c>
      <c r="C529" s="51" t="s">
        <v>1377</v>
      </c>
      <c r="D529" s="52" t="n">
        <v>45976</v>
      </c>
      <c r="E529" s="53" t="n">
        <v>237.83</v>
      </c>
      <c r="F529" s="53" t="n">
        <v>888.1</v>
      </c>
      <c r="G529" s="51" t="n">
        <v>23</v>
      </c>
      <c r="H529" s="51" t="n">
        <v>23</v>
      </c>
      <c r="I529" s="51" t="s">
        <v>1386</v>
      </c>
    </row>
    <row r="530" customFormat="false" ht="15" hidden="false" customHeight="false" outlineLevel="0" collapsed="false">
      <c r="A530" s="51" t="s">
        <v>78</v>
      </c>
      <c r="B530" s="51" t="n">
        <v>31</v>
      </c>
      <c r="C530" s="51" t="s">
        <v>1377</v>
      </c>
      <c r="D530" s="52" t="n">
        <v>45977</v>
      </c>
      <c r="E530" s="53" t="n">
        <v>267.42</v>
      </c>
      <c r="F530" s="53" t="n">
        <v>1268.27</v>
      </c>
      <c r="G530" s="51" t="n">
        <v>35</v>
      </c>
      <c r="H530" s="51" t="n">
        <v>35</v>
      </c>
      <c r="I530" s="51" t="s">
        <v>1386</v>
      </c>
    </row>
    <row r="531" customFormat="false" ht="15" hidden="false" customHeight="false" outlineLevel="0" collapsed="false">
      <c r="A531" s="51" t="s">
        <v>78</v>
      </c>
      <c r="B531" s="51" t="n">
        <v>31</v>
      </c>
      <c r="C531" s="51" t="s">
        <v>1377</v>
      </c>
      <c r="D531" s="52" t="n">
        <v>45978</v>
      </c>
      <c r="E531" s="53" t="n">
        <v>222.97</v>
      </c>
      <c r="F531" s="53" t="n">
        <v>1154.34</v>
      </c>
      <c r="G531" s="51" t="n">
        <v>31</v>
      </c>
      <c r="H531" s="51" t="n">
        <v>31</v>
      </c>
      <c r="I531" s="51" t="s">
        <v>1386</v>
      </c>
    </row>
    <row r="532" customFormat="false" ht="15" hidden="false" customHeight="false" outlineLevel="0" collapsed="false">
      <c r="A532" s="51" t="s">
        <v>78</v>
      </c>
      <c r="B532" s="51" t="n">
        <v>31</v>
      </c>
      <c r="C532" s="51" t="s">
        <v>1377</v>
      </c>
      <c r="D532" s="52" t="n">
        <v>45979</v>
      </c>
      <c r="E532" s="53" t="n">
        <v>268.79</v>
      </c>
      <c r="F532" s="53" t="n">
        <v>1361.9</v>
      </c>
      <c r="G532" s="51" t="n">
        <v>36</v>
      </c>
      <c r="H532" s="51" t="n">
        <v>36</v>
      </c>
      <c r="I532" s="51" t="s">
        <v>1386</v>
      </c>
    </row>
    <row r="533" customFormat="false" ht="15" hidden="false" customHeight="false" outlineLevel="0" collapsed="false">
      <c r="A533" s="51" t="s">
        <v>78</v>
      </c>
      <c r="B533" s="51" t="n">
        <v>31</v>
      </c>
      <c r="C533" s="51" t="s">
        <v>1377</v>
      </c>
      <c r="D533" s="52" t="n">
        <v>45980</v>
      </c>
      <c r="E533" s="53" t="n">
        <v>288.3</v>
      </c>
      <c r="F533" s="53" t="n">
        <v>1443.59</v>
      </c>
      <c r="G533" s="51" t="n">
        <v>37</v>
      </c>
      <c r="H533" s="51" t="n">
        <v>40</v>
      </c>
      <c r="I533" s="51" t="s">
        <v>1386</v>
      </c>
    </row>
    <row r="534" customFormat="false" ht="15" hidden="false" customHeight="false" outlineLevel="0" collapsed="false">
      <c r="A534" s="51" t="s">
        <v>78</v>
      </c>
      <c r="B534" s="51" t="n">
        <v>31</v>
      </c>
      <c r="C534" s="51" t="s">
        <v>1377</v>
      </c>
      <c r="D534" s="52" t="n">
        <v>45981</v>
      </c>
      <c r="E534" s="53" t="n">
        <v>408.13</v>
      </c>
      <c r="F534" s="53" t="n">
        <v>2556.56</v>
      </c>
      <c r="G534" s="51" t="n">
        <v>72</v>
      </c>
      <c r="H534" s="51" t="n">
        <v>74</v>
      </c>
      <c r="I534" s="51" t="s">
        <v>1387</v>
      </c>
    </row>
    <row r="535" customFormat="false" ht="15" hidden="false" customHeight="false" outlineLevel="0" collapsed="false">
      <c r="A535" s="51" t="s">
        <v>78</v>
      </c>
      <c r="B535" s="51" t="n">
        <v>31</v>
      </c>
      <c r="C535" s="51" t="s">
        <v>1377</v>
      </c>
      <c r="D535" s="52" t="n">
        <v>45982</v>
      </c>
      <c r="E535" s="53" t="n">
        <v>352.75</v>
      </c>
      <c r="F535" s="53" t="n">
        <v>2061.47</v>
      </c>
      <c r="G535" s="51" t="n">
        <v>58</v>
      </c>
      <c r="H535" s="51" t="n">
        <v>58</v>
      </c>
      <c r="I535" s="51" t="s">
        <v>1387</v>
      </c>
    </row>
    <row r="536" customFormat="false" ht="15" hidden="false" customHeight="false" outlineLevel="0" collapsed="false">
      <c r="A536" s="51" t="s">
        <v>78</v>
      </c>
      <c r="B536" s="51" t="n">
        <v>31</v>
      </c>
      <c r="C536" s="51" t="s">
        <v>1377</v>
      </c>
      <c r="D536" s="52" t="n">
        <v>45983</v>
      </c>
      <c r="E536" s="53" t="n">
        <v>404.28</v>
      </c>
      <c r="F536" s="53" t="n">
        <v>2024.55</v>
      </c>
      <c r="G536" s="51" t="n">
        <v>58</v>
      </c>
      <c r="H536" s="51" t="n">
        <v>58</v>
      </c>
      <c r="I536" s="51" t="s">
        <v>1387</v>
      </c>
    </row>
    <row r="537" customFormat="false" ht="15" hidden="false" customHeight="false" outlineLevel="0" collapsed="false">
      <c r="A537" s="51" t="s">
        <v>78</v>
      </c>
      <c r="B537" s="51" t="n">
        <v>31</v>
      </c>
      <c r="C537" s="51" t="s">
        <v>1377</v>
      </c>
      <c r="D537" s="52" t="n">
        <v>45984</v>
      </c>
      <c r="E537" s="53" t="n">
        <v>443.7</v>
      </c>
      <c r="F537" s="53" t="n">
        <v>2511.56</v>
      </c>
      <c r="G537" s="51" t="n">
        <v>73</v>
      </c>
      <c r="H537" s="51" t="n">
        <v>74</v>
      </c>
      <c r="I537" s="51" t="s">
        <v>1387</v>
      </c>
    </row>
    <row r="538" customFormat="false" ht="15" hidden="false" customHeight="false" outlineLevel="0" collapsed="false">
      <c r="A538" s="51" t="s">
        <v>78</v>
      </c>
      <c r="B538" s="51" t="n">
        <v>31</v>
      </c>
      <c r="C538" s="51" t="s">
        <v>1377</v>
      </c>
      <c r="D538" s="52" t="n">
        <v>45985</v>
      </c>
      <c r="E538" s="53" t="n">
        <v>316.9</v>
      </c>
      <c r="F538" s="53" t="n">
        <v>1795.46</v>
      </c>
      <c r="G538" s="51" t="n">
        <v>50</v>
      </c>
      <c r="H538" s="51" t="n">
        <v>51</v>
      </c>
      <c r="I538" s="51" t="s">
        <v>1387</v>
      </c>
    </row>
    <row r="539" customFormat="false" ht="15" hidden="false" customHeight="false" outlineLevel="0" collapsed="false">
      <c r="A539" s="51" t="s">
        <v>78</v>
      </c>
      <c r="B539" s="51" t="n">
        <v>31</v>
      </c>
      <c r="C539" s="51" t="s">
        <v>1377</v>
      </c>
      <c r="D539" s="52" t="n">
        <v>45986</v>
      </c>
      <c r="E539" s="53" t="n">
        <v>354.99</v>
      </c>
      <c r="F539" s="53" t="n">
        <v>1825.61</v>
      </c>
      <c r="G539" s="51" t="n">
        <v>52</v>
      </c>
      <c r="H539" s="51" t="n">
        <v>52</v>
      </c>
      <c r="I539" s="51" t="s">
        <v>1387</v>
      </c>
    </row>
    <row r="540" customFormat="false" ht="15" hidden="false" customHeight="false" outlineLevel="0" collapsed="false">
      <c r="A540" s="51" t="s">
        <v>78</v>
      </c>
      <c r="B540" s="51" t="n">
        <v>31</v>
      </c>
      <c r="C540" s="51" t="s">
        <v>1377</v>
      </c>
      <c r="D540" s="52" t="n">
        <v>45987</v>
      </c>
      <c r="E540" s="53" t="n">
        <v>362.67</v>
      </c>
      <c r="F540" s="53" t="n">
        <v>1606.42</v>
      </c>
      <c r="G540" s="51" t="n">
        <v>46</v>
      </c>
      <c r="H540" s="51" t="n">
        <v>47</v>
      </c>
      <c r="I540" s="51" t="s">
        <v>1387</v>
      </c>
    </row>
    <row r="541" customFormat="false" ht="15" hidden="false" customHeight="false" outlineLevel="0" collapsed="false">
      <c r="A541" s="51" t="s">
        <v>78</v>
      </c>
      <c r="B541" s="51" t="n">
        <v>31</v>
      </c>
      <c r="C541" s="51" t="s">
        <v>1377</v>
      </c>
      <c r="D541" s="52" t="n">
        <v>45988</v>
      </c>
      <c r="E541" s="53" t="n">
        <v>368.33</v>
      </c>
      <c r="F541" s="53" t="n">
        <v>2232.32</v>
      </c>
      <c r="G541" s="51" t="n">
        <v>62</v>
      </c>
      <c r="H541" s="51" t="n">
        <v>64</v>
      </c>
      <c r="I541" s="51" t="s">
        <v>1387</v>
      </c>
    </row>
    <row r="542" customFormat="false" ht="15" hidden="false" customHeight="false" outlineLevel="0" collapsed="false">
      <c r="A542" s="51" t="s">
        <v>78</v>
      </c>
      <c r="B542" s="51" t="n">
        <v>31</v>
      </c>
      <c r="C542" s="51" t="s">
        <v>1377</v>
      </c>
      <c r="D542" s="52" t="n">
        <v>45989</v>
      </c>
      <c r="E542" s="53" t="n">
        <v>645.93</v>
      </c>
      <c r="F542" s="53" t="n">
        <v>3300.99</v>
      </c>
      <c r="G542" s="51" t="n">
        <v>94</v>
      </c>
      <c r="H542" s="51" t="n">
        <v>94</v>
      </c>
      <c r="I542" s="51" t="s">
        <v>1387</v>
      </c>
    </row>
    <row r="543" customFormat="false" ht="15" hidden="false" customHeight="false" outlineLevel="0" collapsed="false">
      <c r="A543" s="51" t="s">
        <v>78</v>
      </c>
      <c r="B543" s="51" t="n">
        <v>31</v>
      </c>
      <c r="C543" s="51" t="s">
        <v>1377</v>
      </c>
      <c r="D543" s="52" t="n">
        <v>45990</v>
      </c>
      <c r="E543" s="53" t="n">
        <v>540.31</v>
      </c>
      <c r="F543" s="53" t="n">
        <v>2737.52</v>
      </c>
      <c r="G543" s="51" t="n">
        <v>79</v>
      </c>
      <c r="H543" s="51" t="n">
        <v>79</v>
      </c>
      <c r="I543" s="51" t="s">
        <v>1387</v>
      </c>
    </row>
    <row r="544" customFormat="false" ht="15" hidden="false" customHeight="false" outlineLevel="0" collapsed="false">
      <c r="A544" s="51" t="s">
        <v>78</v>
      </c>
      <c r="B544" s="51" t="n">
        <v>31</v>
      </c>
      <c r="C544" s="51" t="s">
        <v>1377</v>
      </c>
      <c r="D544" s="52" t="n">
        <v>45991</v>
      </c>
      <c r="E544" s="53" t="n">
        <v>775.86</v>
      </c>
      <c r="F544" s="53" t="n">
        <v>3049.85</v>
      </c>
      <c r="G544" s="51" t="n">
        <v>86</v>
      </c>
      <c r="H544" s="51" t="n">
        <v>86</v>
      </c>
      <c r="I544" s="51" t="s">
        <v>1387</v>
      </c>
    </row>
    <row r="545" customFormat="false" ht="15" hidden="false" customHeight="false" outlineLevel="0" collapsed="false">
      <c r="A545" s="51" t="s">
        <v>78</v>
      </c>
      <c r="B545" s="51" t="n">
        <v>31</v>
      </c>
      <c r="C545" s="51" t="s">
        <v>1377</v>
      </c>
      <c r="D545" s="52" t="n">
        <v>45992</v>
      </c>
      <c r="E545" s="53" t="n">
        <v>543.83</v>
      </c>
      <c r="F545" s="53" t="n">
        <v>3232.9</v>
      </c>
      <c r="G545" s="51" t="n">
        <v>87</v>
      </c>
      <c r="H545" s="51" t="n">
        <v>91</v>
      </c>
      <c r="I545" s="51" t="s">
        <v>1387</v>
      </c>
    </row>
    <row r="546" customFormat="false" ht="15" hidden="false" customHeight="false" outlineLevel="0" collapsed="false">
      <c r="A546" s="51" t="s">
        <v>78</v>
      </c>
      <c r="B546" s="51" t="n">
        <v>31</v>
      </c>
      <c r="C546" s="51" t="s">
        <v>1377</v>
      </c>
      <c r="D546" s="52" t="n">
        <v>45993</v>
      </c>
      <c r="E546" s="53" t="n">
        <v>261.59</v>
      </c>
      <c r="F546" s="53" t="n">
        <v>1282.67</v>
      </c>
      <c r="G546" s="51" t="n">
        <v>32</v>
      </c>
      <c r="H546" s="51" t="n">
        <v>33</v>
      </c>
      <c r="I546" s="51"/>
    </row>
    <row r="547" customFormat="false" ht="15" hidden="false" customHeight="false" outlineLevel="0" collapsed="false">
      <c r="A547" s="51" t="s">
        <v>78</v>
      </c>
      <c r="B547" s="51" t="n">
        <v>31</v>
      </c>
      <c r="C547" s="51" t="s">
        <v>1377</v>
      </c>
      <c r="D547" s="52" t="n">
        <v>45994</v>
      </c>
      <c r="E547" s="53" t="n">
        <v>303.86</v>
      </c>
      <c r="F547" s="53" t="n">
        <v>1453.58</v>
      </c>
      <c r="G547" s="51" t="n">
        <v>37</v>
      </c>
      <c r="H547" s="51" t="n">
        <v>38</v>
      </c>
      <c r="I547" s="51"/>
    </row>
    <row r="548" customFormat="false" ht="15" hidden="false" customHeight="false" outlineLevel="0" collapsed="false">
      <c r="A548" s="51" t="s">
        <v>78</v>
      </c>
      <c r="B548" s="51" t="n">
        <v>31</v>
      </c>
      <c r="C548" s="51" t="s">
        <v>1377</v>
      </c>
      <c r="D548" s="52" t="n">
        <v>45995</v>
      </c>
      <c r="E548" s="53" t="n">
        <v>305.8</v>
      </c>
      <c r="F548" s="53" t="n">
        <v>1712.48</v>
      </c>
      <c r="G548" s="51" t="n">
        <v>43</v>
      </c>
      <c r="H548" s="51" t="n">
        <v>44</v>
      </c>
      <c r="I548" s="51"/>
    </row>
    <row r="549" customFormat="false" ht="15" hidden="false" customHeight="false" outlineLevel="0" collapsed="false">
      <c r="A549" s="51" t="s">
        <v>78</v>
      </c>
      <c r="B549" s="51" t="n">
        <v>31</v>
      </c>
      <c r="C549" s="51" t="s">
        <v>1377</v>
      </c>
      <c r="D549" s="52" t="n">
        <v>45996</v>
      </c>
      <c r="E549" s="53" t="n">
        <v>250.25</v>
      </c>
      <c r="F549" s="53" t="n">
        <v>1044.67</v>
      </c>
      <c r="G549" s="51" t="n">
        <v>29</v>
      </c>
      <c r="H549" s="51" t="n">
        <v>29</v>
      </c>
      <c r="I549" s="51"/>
    </row>
    <row r="550" customFormat="false" ht="15" hidden="false" customHeight="false" outlineLevel="0" collapsed="false">
      <c r="A550" s="51" t="s">
        <v>78</v>
      </c>
      <c r="B550" s="51" t="n">
        <v>31</v>
      </c>
      <c r="C550" s="51" t="s">
        <v>1377</v>
      </c>
      <c r="D550" s="52" t="n">
        <v>45997</v>
      </c>
      <c r="E550" s="53" t="n">
        <v>327.99</v>
      </c>
      <c r="F550" s="53" t="n">
        <v>2244.43</v>
      </c>
      <c r="G550" s="51" t="n">
        <v>57</v>
      </c>
      <c r="H550" s="51" t="n">
        <v>57</v>
      </c>
      <c r="I550" s="51"/>
    </row>
    <row r="551" customFormat="false" ht="15" hidden="false" customHeight="false" outlineLevel="0" collapsed="false">
      <c r="A551" s="51" t="s">
        <v>78</v>
      </c>
      <c r="B551" s="51" t="n">
        <v>31</v>
      </c>
      <c r="C551" s="51" t="s">
        <v>1377</v>
      </c>
      <c r="D551" s="52" t="n">
        <v>45998</v>
      </c>
      <c r="E551" s="53" t="n">
        <v>251.1</v>
      </c>
      <c r="F551" s="53" t="n">
        <v>1613.42</v>
      </c>
      <c r="G551" s="51" t="n">
        <v>41</v>
      </c>
      <c r="H551" s="51" t="n">
        <v>42</v>
      </c>
      <c r="I551" s="51"/>
    </row>
    <row r="552" customFormat="false" ht="15" hidden="false" customHeight="false" outlineLevel="0" collapsed="false">
      <c r="A552" s="51" t="s">
        <v>78</v>
      </c>
      <c r="B552" s="51" t="n">
        <v>31</v>
      </c>
      <c r="C552" s="51" t="s">
        <v>1377</v>
      </c>
      <c r="D552" s="52" t="n">
        <v>45999</v>
      </c>
      <c r="E552" s="53" t="n">
        <v>327.69</v>
      </c>
      <c r="F552" s="53" t="n">
        <v>2045.32</v>
      </c>
      <c r="G552" s="51" t="n">
        <v>50</v>
      </c>
      <c r="H552" s="51" t="n">
        <v>52</v>
      </c>
      <c r="I552" s="51"/>
    </row>
    <row r="553" customFormat="false" ht="15" hidden="false" customHeight="false" outlineLevel="0" collapsed="false">
      <c r="A553" s="51" t="s">
        <v>78</v>
      </c>
      <c r="B553" s="51" t="n">
        <v>31</v>
      </c>
      <c r="C553" s="51" t="s">
        <v>1377</v>
      </c>
      <c r="D553" s="52" t="n">
        <v>46000</v>
      </c>
      <c r="E553" s="53" t="n">
        <v>258.31</v>
      </c>
      <c r="F553" s="53" t="n">
        <v>1190.69</v>
      </c>
      <c r="G553" s="51" t="n">
        <v>30</v>
      </c>
      <c r="H553" s="51" t="n">
        <v>31</v>
      </c>
      <c r="I553" s="51"/>
    </row>
    <row r="554" customFormat="false" ht="15" hidden="false" customHeight="false" outlineLevel="0" collapsed="false">
      <c r="A554" s="51" t="s">
        <v>78</v>
      </c>
      <c r="B554" s="51" t="n">
        <v>31</v>
      </c>
      <c r="C554" s="51" t="s">
        <v>1377</v>
      </c>
      <c r="D554" s="52" t="n">
        <v>46001</v>
      </c>
      <c r="E554" s="53" t="n">
        <v>289.65</v>
      </c>
      <c r="F554" s="53" t="n">
        <v>1567.55</v>
      </c>
      <c r="G554" s="51" t="n">
        <v>41</v>
      </c>
      <c r="H554" s="51" t="n">
        <v>41</v>
      </c>
      <c r="I554" s="51"/>
    </row>
    <row r="555" customFormat="false" ht="15" hidden="false" customHeight="false" outlineLevel="0" collapsed="false">
      <c r="A555" s="51" t="s">
        <v>78</v>
      </c>
      <c r="B555" s="51" t="n">
        <v>31</v>
      </c>
      <c r="C555" s="51" t="s">
        <v>1377</v>
      </c>
      <c r="D555" s="52" t="n">
        <v>46002</v>
      </c>
      <c r="E555" s="53" t="n">
        <v>246.56</v>
      </c>
      <c r="F555" s="53" t="n">
        <v>1541.6</v>
      </c>
      <c r="G555" s="51" t="n">
        <v>40</v>
      </c>
      <c r="H555" s="51" t="n">
        <v>40</v>
      </c>
      <c r="I555" s="51"/>
    </row>
    <row r="556" customFormat="false" ht="15" hidden="false" customHeight="false" outlineLevel="0" collapsed="false">
      <c r="A556" s="51" t="s">
        <v>78</v>
      </c>
      <c r="B556" s="51" t="n">
        <v>31</v>
      </c>
      <c r="C556" s="51" t="s">
        <v>1377</v>
      </c>
      <c r="D556" s="52" t="n">
        <v>46003</v>
      </c>
      <c r="E556" s="53" t="n">
        <v>338.65</v>
      </c>
      <c r="F556" s="53" t="n">
        <v>1898.51</v>
      </c>
      <c r="G556" s="51" t="n">
        <v>48</v>
      </c>
      <c r="H556" s="51" t="n">
        <v>49</v>
      </c>
      <c r="I556" s="51"/>
    </row>
    <row r="557" customFormat="false" ht="15" hidden="false" customHeight="false" outlineLevel="0" collapsed="false">
      <c r="A557" s="51" t="s">
        <v>78</v>
      </c>
      <c r="B557" s="51" t="n">
        <v>31</v>
      </c>
      <c r="C557" s="51" t="s">
        <v>1377</v>
      </c>
      <c r="D557" s="52" t="n">
        <v>46004</v>
      </c>
      <c r="E557" s="53" t="n">
        <v>353.14</v>
      </c>
      <c r="F557" s="53" t="n">
        <v>1546.56</v>
      </c>
      <c r="G557" s="51" t="n">
        <v>40</v>
      </c>
      <c r="H557" s="51" t="n">
        <v>40</v>
      </c>
      <c r="I557" s="51"/>
    </row>
    <row r="558" customFormat="false" ht="15" hidden="false" customHeight="false" outlineLevel="0" collapsed="false">
      <c r="A558" s="51" t="s">
        <v>78</v>
      </c>
      <c r="B558" s="51" t="n">
        <v>31</v>
      </c>
      <c r="C558" s="51" t="s">
        <v>1377</v>
      </c>
      <c r="D558" s="52" t="n">
        <v>46005</v>
      </c>
      <c r="E558" s="53" t="n">
        <v>385.77</v>
      </c>
      <c r="F558" s="53" t="n">
        <v>2289.35</v>
      </c>
      <c r="G558" s="51" t="n">
        <v>57</v>
      </c>
      <c r="H558" s="51" t="n">
        <v>57</v>
      </c>
      <c r="I558" s="51"/>
    </row>
    <row r="559" customFormat="false" ht="15" hidden="false" customHeight="false" outlineLevel="0" collapsed="false">
      <c r="A559" s="51" t="s">
        <v>78</v>
      </c>
      <c r="B559" s="51" t="n">
        <v>31</v>
      </c>
      <c r="C559" s="51" t="s">
        <v>1377</v>
      </c>
      <c r="D559" s="52" t="n">
        <v>46006</v>
      </c>
      <c r="E559" s="53" t="n">
        <v>398.43</v>
      </c>
      <c r="F559" s="53" t="n">
        <v>1947.45</v>
      </c>
      <c r="G559" s="51" t="n">
        <v>47</v>
      </c>
      <c r="H559" s="51" t="n">
        <v>47</v>
      </c>
      <c r="I559" s="51"/>
    </row>
    <row r="560" customFormat="false" ht="15" hidden="false" customHeight="false" outlineLevel="0" collapsed="false">
      <c r="A560" s="51" t="s">
        <v>83</v>
      </c>
      <c r="B560" s="51" t="n">
        <v>39</v>
      </c>
      <c r="C560" s="51" t="s">
        <v>314</v>
      </c>
      <c r="D560" s="52" t="n">
        <v>45945</v>
      </c>
      <c r="E560" s="53" t="n">
        <v>203.29</v>
      </c>
      <c r="F560" s="53" t="n">
        <v>433.35</v>
      </c>
      <c r="G560" s="51" t="n">
        <v>12</v>
      </c>
      <c r="H560" s="51" t="n">
        <v>13</v>
      </c>
      <c r="I560" s="51"/>
    </row>
    <row r="561" customFormat="false" ht="15" hidden="false" customHeight="false" outlineLevel="0" collapsed="false">
      <c r="A561" s="51" t="s">
        <v>83</v>
      </c>
      <c r="B561" s="51" t="n">
        <v>39</v>
      </c>
      <c r="C561" s="51" t="s">
        <v>314</v>
      </c>
      <c r="D561" s="52" t="n">
        <v>45946</v>
      </c>
      <c r="E561" s="53" t="n">
        <v>214.71</v>
      </c>
      <c r="F561" s="53" t="n">
        <v>341.5</v>
      </c>
      <c r="G561" s="51" t="n">
        <v>10</v>
      </c>
      <c r="H561" s="51" t="n">
        <v>10</v>
      </c>
      <c r="I561" s="51"/>
    </row>
    <row r="562" customFormat="false" ht="15" hidden="false" customHeight="false" outlineLevel="0" collapsed="false">
      <c r="A562" s="51" t="s">
        <v>83</v>
      </c>
      <c r="B562" s="51" t="n">
        <v>39</v>
      </c>
      <c r="C562" s="51" t="s">
        <v>314</v>
      </c>
      <c r="D562" s="52" t="n">
        <v>45947</v>
      </c>
      <c r="E562" s="53" t="n">
        <v>239.07</v>
      </c>
      <c r="F562" s="53" t="n">
        <v>549.29</v>
      </c>
      <c r="G562" s="51" t="n">
        <v>15</v>
      </c>
      <c r="H562" s="51" t="n">
        <v>15</v>
      </c>
      <c r="I562" s="51"/>
    </row>
    <row r="563" customFormat="false" ht="15" hidden="false" customHeight="false" outlineLevel="0" collapsed="false">
      <c r="A563" s="51" t="s">
        <v>83</v>
      </c>
      <c r="B563" s="51" t="n">
        <v>39</v>
      </c>
      <c r="C563" s="51" t="s">
        <v>314</v>
      </c>
      <c r="D563" s="52" t="n">
        <v>45948</v>
      </c>
      <c r="E563" s="53" t="n">
        <v>256.12</v>
      </c>
      <c r="F563" s="53" t="n">
        <v>661.05</v>
      </c>
      <c r="G563" s="51" t="n">
        <v>19</v>
      </c>
      <c r="H563" s="51" t="n">
        <v>19</v>
      </c>
      <c r="I563" s="51"/>
    </row>
    <row r="564" customFormat="false" ht="15" hidden="false" customHeight="false" outlineLevel="0" collapsed="false">
      <c r="A564" s="51" t="s">
        <v>83</v>
      </c>
      <c r="B564" s="51" t="n">
        <v>39</v>
      </c>
      <c r="C564" s="51" t="s">
        <v>314</v>
      </c>
      <c r="D564" s="52" t="n">
        <v>45949</v>
      </c>
      <c r="E564" s="53" t="n">
        <v>249.87</v>
      </c>
      <c r="F564" s="53" t="n">
        <v>173.75</v>
      </c>
      <c r="G564" s="51" t="n">
        <v>5</v>
      </c>
      <c r="H564" s="51" t="n">
        <v>5</v>
      </c>
      <c r="I564" s="51"/>
    </row>
    <row r="565" customFormat="false" ht="15" hidden="false" customHeight="false" outlineLevel="0" collapsed="false">
      <c r="A565" s="51" t="s">
        <v>83</v>
      </c>
      <c r="B565" s="51" t="n">
        <v>39</v>
      </c>
      <c r="C565" s="51" t="s">
        <v>314</v>
      </c>
      <c r="D565" s="52" t="n">
        <v>45950</v>
      </c>
      <c r="E565" s="53" t="n">
        <v>220.19</v>
      </c>
      <c r="F565" s="53" t="n">
        <v>351.5</v>
      </c>
      <c r="G565" s="51" t="n">
        <v>10</v>
      </c>
      <c r="H565" s="51" t="n">
        <v>10</v>
      </c>
      <c r="I565" s="51"/>
    </row>
    <row r="566" customFormat="false" ht="15" hidden="false" customHeight="false" outlineLevel="0" collapsed="false">
      <c r="A566" s="51" t="s">
        <v>83</v>
      </c>
      <c r="B566" s="51" t="n">
        <v>39</v>
      </c>
      <c r="C566" s="51" t="s">
        <v>314</v>
      </c>
      <c r="D566" s="52" t="n">
        <v>45951</v>
      </c>
      <c r="E566" s="53" t="n">
        <v>203.38</v>
      </c>
      <c r="F566" s="53" t="n">
        <v>317.55</v>
      </c>
      <c r="G566" s="51" t="n">
        <v>9</v>
      </c>
      <c r="H566" s="51" t="n">
        <v>9</v>
      </c>
      <c r="I566" s="51" t="s">
        <v>1386</v>
      </c>
    </row>
    <row r="567" customFormat="false" ht="15" hidden="false" customHeight="false" outlineLevel="0" collapsed="false">
      <c r="A567" s="51" t="s">
        <v>83</v>
      </c>
      <c r="B567" s="51" t="n">
        <v>39</v>
      </c>
      <c r="C567" s="51" t="s">
        <v>314</v>
      </c>
      <c r="D567" s="52" t="n">
        <v>45952</v>
      </c>
      <c r="E567" s="53" t="n">
        <v>182.44</v>
      </c>
      <c r="F567" s="53" t="n">
        <v>375.45</v>
      </c>
      <c r="G567" s="51" t="n">
        <v>11</v>
      </c>
      <c r="H567" s="51" t="n">
        <v>11</v>
      </c>
      <c r="I567" s="51" t="s">
        <v>1386</v>
      </c>
    </row>
    <row r="568" customFormat="false" ht="15" hidden="false" customHeight="false" outlineLevel="0" collapsed="false">
      <c r="A568" s="51" t="s">
        <v>83</v>
      </c>
      <c r="B568" s="51" t="n">
        <v>39</v>
      </c>
      <c r="C568" s="51" t="s">
        <v>314</v>
      </c>
      <c r="D568" s="52" t="n">
        <v>45953</v>
      </c>
      <c r="E568" s="53" t="n">
        <v>154.06</v>
      </c>
      <c r="F568" s="53" t="n">
        <v>228.65</v>
      </c>
      <c r="G568" s="51" t="n">
        <v>7</v>
      </c>
      <c r="H568" s="51" t="n">
        <v>7</v>
      </c>
      <c r="I568" s="51" t="s">
        <v>1386</v>
      </c>
    </row>
    <row r="569" customFormat="false" ht="15" hidden="false" customHeight="false" outlineLevel="0" collapsed="false">
      <c r="A569" s="51" t="s">
        <v>83</v>
      </c>
      <c r="B569" s="51" t="n">
        <v>39</v>
      </c>
      <c r="C569" s="51" t="s">
        <v>314</v>
      </c>
      <c r="D569" s="52" t="n">
        <v>45954</v>
      </c>
      <c r="E569" s="53" t="n">
        <v>165.02</v>
      </c>
      <c r="F569" s="53" t="n">
        <v>421.49</v>
      </c>
      <c r="G569" s="51" t="n">
        <v>11</v>
      </c>
      <c r="H569" s="51" t="n">
        <v>11</v>
      </c>
      <c r="I569" s="51" t="s">
        <v>1386</v>
      </c>
    </row>
    <row r="570" customFormat="false" ht="15" hidden="false" customHeight="false" outlineLevel="0" collapsed="false">
      <c r="A570" s="51" t="s">
        <v>83</v>
      </c>
      <c r="B570" s="51" t="n">
        <v>39</v>
      </c>
      <c r="C570" s="51" t="s">
        <v>314</v>
      </c>
      <c r="D570" s="52" t="n">
        <v>45955</v>
      </c>
      <c r="E570" s="53" t="n">
        <v>184.57</v>
      </c>
      <c r="F570" s="53" t="n">
        <v>249.65</v>
      </c>
      <c r="G570" s="51" t="n">
        <v>7</v>
      </c>
      <c r="H570" s="51" t="n">
        <v>7</v>
      </c>
      <c r="I570" s="51" t="s">
        <v>1386</v>
      </c>
    </row>
    <row r="571" customFormat="false" ht="15" hidden="false" customHeight="false" outlineLevel="0" collapsed="false">
      <c r="A571" s="51" t="s">
        <v>83</v>
      </c>
      <c r="B571" s="51" t="n">
        <v>39</v>
      </c>
      <c r="C571" s="51" t="s">
        <v>314</v>
      </c>
      <c r="D571" s="52" t="n">
        <v>45956</v>
      </c>
      <c r="E571" s="53" t="n">
        <v>187.11</v>
      </c>
      <c r="F571" s="53" t="n">
        <v>171.75</v>
      </c>
      <c r="G571" s="51" t="n">
        <v>5</v>
      </c>
      <c r="H571" s="51" t="n">
        <v>5</v>
      </c>
      <c r="I571" s="51" t="s">
        <v>1386</v>
      </c>
    </row>
    <row r="572" customFormat="false" ht="15" hidden="false" customHeight="false" outlineLevel="0" collapsed="false">
      <c r="A572" s="51" t="s">
        <v>83</v>
      </c>
      <c r="B572" s="51" t="n">
        <v>39</v>
      </c>
      <c r="C572" s="51" t="s">
        <v>314</v>
      </c>
      <c r="D572" s="52" t="n">
        <v>45957</v>
      </c>
      <c r="E572" s="53" t="n">
        <v>165.41</v>
      </c>
      <c r="F572" s="53" t="n">
        <v>353.45</v>
      </c>
      <c r="G572" s="51" t="n">
        <v>10</v>
      </c>
      <c r="H572" s="51" t="n">
        <v>11</v>
      </c>
      <c r="I572" s="51" t="s">
        <v>1386</v>
      </c>
    </row>
    <row r="573" customFormat="false" ht="15" hidden="false" customHeight="false" outlineLevel="0" collapsed="false">
      <c r="A573" s="51" t="s">
        <v>83</v>
      </c>
      <c r="B573" s="51" t="n">
        <v>39</v>
      </c>
      <c r="C573" s="51" t="s">
        <v>314</v>
      </c>
      <c r="D573" s="52" t="n">
        <v>45958</v>
      </c>
      <c r="E573" s="53" t="n">
        <v>252.82</v>
      </c>
      <c r="F573" s="53" t="n">
        <v>556.29</v>
      </c>
      <c r="G573" s="51" t="n">
        <v>14</v>
      </c>
      <c r="H573" s="51" t="n">
        <v>15</v>
      </c>
      <c r="I573" s="51" t="s">
        <v>1386</v>
      </c>
    </row>
    <row r="574" customFormat="false" ht="15" hidden="false" customHeight="false" outlineLevel="0" collapsed="false">
      <c r="A574" s="51" t="s">
        <v>83</v>
      </c>
      <c r="B574" s="51" t="n">
        <v>39</v>
      </c>
      <c r="C574" s="51" t="s">
        <v>314</v>
      </c>
      <c r="D574" s="52" t="n">
        <v>45959</v>
      </c>
      <c r="E574" s="53" t="n">
        <v>238.51</v>
      </c>
      <c r="F574" s="53" t="n">
        <v>775.03</v>
      </c>
      <c r="G574" s="51" t="n">
        <v>21</v>
      </c>
      <c r="H574" s="51" t="n">
        <v>21</v>
      </c>
      <c r="I574" s="51" t="s">
        <v>1386</v>
      </c>
    </row>
    <row r="575" customFormat="false" ht="15" hidden="false" customHeight="false" outlineLevel="0" collapsed="false">
      <c r="A575" s="51" t="s">
        <v>83</v>
      </c>
      <c r="B575" s="51" t="n">
        <v>39</v>
      </c>
      <c r="C575" s="51" t="s">
        <v>314</v>
      </c>
      <c r="D575" s="52" t="n">
        <v>45960</v>
      </c>
      <c r="E575" s="53" t="n">
        <v>256.04</v>
      </c>
      <c r="F575" s="53" t="n">
        <v>611.1</v>
      </c>
      <c r="G575" s="51" t="n">
        <v>18</v>
      </c>
      <c r="H575" s="51" t="n">
        <v>18</v>
      </c>
      <c r="I575" s="51" t="s">
        <v>1386</v>
      </c>
    </row>
    <row r="576" customFormat="false" ht="15" hidden="false" customHeight="false" outlineLevel="0" collapsed="false">
      <c r="A576" s="51" t="s">
        <v>83</v>
      </c>
      <c r="B576" s="51" t="n">
        <v>39</v>
      </c>
      <c r="C576" s="51" t="s">
        <v>314</v>
      </c>
      <c r="D576" s="52" t="n">
        <v>45961</v>
      </c>
      <c r="E576" s="53" t="n">
        <v>205.29</v>
      </c>
      <c r="F576" s="53" t="n">
        <v>483.3</v>
      </c>
      <c r="G576" s="51" t="n">
        <v>14</v>
      </c>
      <c r="H576" s="51" t="n">
        <v>14</v>
      </c>
      <c r="I576" s="51" t="s">
        <v>1386</v>
      </c>
    </row>
    <row r="577" customFormat="false" ht="15" hidden="false" customHeight="false" outlineLevel="0" collapsed="false">
      <c r="A577" s="51" t="s">
        <v>83</v>
      </c>
      <c r="B577" s="51" t="n">
        <v>39</v>
      </c>
      <c r="C577" s="51" t="s">
        <v>314</v>
      </c>
      <c r="D577" s="52" t="n">
        <v>45962</v>
      </c>
      <c r="E577" s="53" t="n">
        <v>218.88</v>
      </c>
      <c r="F577" s="53" t="n">
        <v>539.2</v>
      </c>
      <c r="G577" s="51" t="n">
        <v>16</v>
      </c>
      <c r="H577" s="51" t="n">
        <v>16</v>
      </c>
      <c r="I577" s="51" t="s">
        <v>1386</v>
      </c>
    </row>
    <row r="578" customFormat="false" ht="15" hidden="false" customHeight="false" outlineLevel="0" collapsed="false">
      <c r="A578" s="51" t="s">
        <v>83</v>
      </c>
      <c r="B578" s="51" t="n">
        <v>39</v>
      </c>
      <c r="C578" s="51" t="s">
        <v>314</v>
      </c>
      <c r="D578" s="52" t="n">
        <v>45963</v>
      </c>
      <c r="E578" s="53" t="n">
        <v>250.68</v>
      </c>
      <c r="F578" s="53" t="n">
        <v>411.4</v>
      </c>
      <c r="G578" s="51" t="n">
        <v>12</v>
      </c>
      <c r="H578" s="51" t="n">
        <v>12</v>
      </c>
      <c r="I578" s="51" t="s">
        <v>1386</v>
      </c>
    </row>
    <row r="579" customFormat="false" ht="15" hidden="false" customHeight="false" outlineLevel="0" collapsed="false">
      <c r="A579" s="51" t="s">
        <v>83</v>
      </c>
      <c r="B579" s="51" t="n">
        <v>39</v>
      </c>
      <c r="C579" s="51" t="s">
        <v>314</v>
      </c>
      <c r="D579" s="52" t="n">
        <v>45964</v>
      </c>
      <c r="E579" s="53" t="n">
        <v>262.41</v>
      </c>
      <c r="F579" s="53" t="n">
        <v>375.45</v>
      </c>
      <c r="G579" s="51" t="n">
        <v>11</v>
      </c>
      <c r="H579" s="51" t="n">
        <v>11</v>
      </c>
      <c r="I579" s="51" t="s">
        <v>1386</v>
      </c>
    </row>
    <row r="580" customFormat="false" ht="15" hidden="false" customHeight="false" outlineLevel="0" collapsed="false">
      <c r="A580" s="51" t="s">
        <v>83</v>
      </c>
      <c r="B580" s="51" t="n">
        <v>39</v>
      </c>
      <c r="C580" s="51" t="s">
        <v>314</v>
      </c>
      <c r="D580" s="52" t="n">
        <v>45965</v>
      </c>
      <c r="E580" s="53" t="n">
        <v>276.26</v>
      </c>
      <c r="F580" s="53" t="n">
        <v>806.8</v>
      </c>
      <c r="G580" s="51" t="n">
        <v>25</v>
      </c>
      <c r="H580" s="51" t="n">
        <v>25</v>
      </c>
      <c r="I580" s="51" t="s">
        <v>1386</v>
      </c>
    </row>
    <row r="581" customFormat="false" ht="15" hidden="false" customHeight="false" outlineLevel="0" collapsed="false">
      <c r="A581" s="51" t="s">
        <v>83</v>
      </c>
      <c r="B581" s="51" t="n">
        <v>39</v>
      </c>
      <c r="C581" s="51" t="s">
        <v>314</v>
      </c>
      <c r="D581" s="52" t="n">
        <v>45966</v>
      </c>
      <c r="E581" s="53" t="n">
        <v>244.49</v>
      </c>
      <c r="F581" s="53" t="n">
        <v>533.2</v>
      </c>
      <c r="G581" s="51" t="n">
        <v>16</v>
      </c>
      <c r="H581" s="51" t="n">
        <v>16</v>
      </c>
      <c r="I581" s="51" t="s">
        <v>1386</v>
      </c>
    </row>
    <row r="582" customFormat="false" ht="15" hidden="false" customHeight="false" outlineLevel="0" collapsed="false">
      <c r="A582" s="51" t="s">
        <v>83</v>
      </c>
      <c r="B582" s="51" t="n">
        <v>39</v>
      </c>
      <c r="C582" s="51" t="s">
        <v>314</v>
      </c>
      <c r="D582" s="52" t="n">
        <v>45967</v>
      </c>
      <c r="E582" s="53" t="n">
        <v>216.99</v>
      </c>
      <c r="F582" s="53" t="n">
        <v>617.1</v>
      </c>
      <c r="G582" s="51" t="n">
        <v>18</v>
      </c>
      <c r="H582" s="51" t="n">
        <v>18</v>
      </c>
      <c r="I582" s="51" t="s">
        <v>1386</v>
      </c>
    </row>
    <row r="583" customFormat="false" ht="15" hidden="false" customHeight="false" outlineLevel="0" collapsed="false">
      <c r="A583" s="51" t="s">
        <v>83</v>
      </c>
      <c r="B583" s="51" t="n">
        <v>39</v>
      </c>
      <c r="C583" s="51" t="s">
        <v>314</v>
      </c>
      <c r="D583" s="52" t="n">
        <v>45968</v>
      </c>
      <c r="E583" s="53" t="n">
        <v>266.1</v>
      </c>
      <c r="F583" s="53" t="n">
        <v>461.3</v>
      </c>
      <c r="G583" s="51" t="n">
        <v>14</v>
      </c>
      <c r="H583" s="51" t="n">
        <v>14</v>
      </c>
      <c r="I583" s="51" t="s">
        <v>1386</v>
      </c>
    </row>
    <row r="584" customFormat="false" ht="15" hidden="false" customHeight="false" outlineLevel="0" collapsed="false">
      <c r="A584" s="51" t="s">
        <v>83</v>
      </c>
      <c r="B584" s="51" t="n">
        <v>39</v>
      </c>
      <c r="C584" s="51" t="s">
        <v>314</v>
      </c>
      <c r="D584" s="52" t="n">
        <v>45969</v>
      </c>
      <c r="E584" s="53" t="n">
        <v>269.51</v>
      </c>
      <c r="F584" s="53" t="n">
        <v>477.3</v>
      </c>
      <c r="G584" s="51" t="n">
        <v>14</v>
      </c>
      <c r="H584" s="51" t="n">
        <v>14</v>
      </c>
      <c r="I584" s="51" t="s">
        <v>1386</v>
      </c>
    </row>
    <row r="585" customFormat="false" ht="15" hidden="false" customHeight="false" outlineLevel="0" collapsed="false">
      <c r="A585" s="51" t="s">
        <v>83</v>
      </c>
      <c r="B585" s="51" t="n">
        <v>39</v>
      </c>
      <c r="C585" s="51" t="s">
        <v>314</v>
      </c>
      <c r="D585" s="52" t="n">
        <v>45970</v>
      </c>
      <c r="E585" s="53" t="n">
        <v>284.89</v>
      </c>
      <c r="F585" s="53" t="n">
        <v>509.2</v>
      </c>
      <c r="G585" s="51" t="n">
        <v>16</v>
      </c>
      <c r="H585" s="51" t="n">
        <v>16</v>
      </c>
      <c r="I585" s="51" t="s">
        <v>1386</v>
      </c>
    </row>
    <row r="586" customFormat="false" ht="15" hidden="false" customHeight="false" outlineLevel="0" collapsed="false">
      <c r="A586" s="51" t="s">
        <v>83</v>
      </c>
      <c r="B586" s="51" t="n">
        <v>39</v>
      </c>
      <c r="C586" s="51" t="s">
        <v>314</v>
      </c>
      <c r="D586" s="52" t="n">
        <v>45971</v>
      </c>
      <c r="E586" s="53" t="n">
        <v>266.07</v>
      </c>
      <c r="F586" s="53" t="n">
        <v>619.1</v>
      </c>
      <c r="G586" s="51" t="n">
        <v>18</v>
      </c>
      <c r="H586" s="51" t="n">
        <v>18</v>
      </c>
      <c r="I586" s="51" t="s">
        <v>1386</v>
      </c>
    </row>
    <row r="587" customFormat="false" ht="15" hidden="false" customHeight="false" outlineLevel="0" collapsed="false">
      <c r="A587" s="51" t="s">
        <v>83</v>
      </c>
      <c r="B587" s="51" t="n">
        <v>39</v>
      </c>
      <c r="C587" s="51" t="s">
        <v>314</v>
      </c>
      <c r="D587" s="52" t="n">
        <v>45972</v>
      </c>
      <c r="E587" s="53" t="n">
        <v>218.71</v>
      </c>
      <c r="F587" s="53" t="n">
        <v>513.25</v>
      </c>
      <c r="G587" s="51" t="n">
        <v>15</v>
      </c>
      <c r="H587" s="51" t="n">
        <v>15</v>
      </c>
      <c r="I587" s="51" t="s">
        <v>1386</v>
      </c>
    </row>
    <row r="588" customFormat="false" ht="15" hidden="false" customHeight="false" outlineLevel="0" collapsed="false">
      <c r="A588" s="51" t="s">
        <v>83</v>
      </c>
      <c r="B588" s="51" t="n">
        <v>39</v>
      </c>
      <c r="C588" s="51" t="s">
        <v>314</v>
      </c>
      <c r="D588" s="52" t="n">
        <v>45973</v>
      </c>
      <c r="E588" s="53" t="n">
        <v>176.24</v>
      </c>
      <c r="F588" s="53" t="n">
        <v>309.55</v>
      </c>
      <c r="G588" s="51" t="n">
        <v>9</v>
      </c>
      <c r="H588" s="51" t="n">
        <v>9</v>
      </c>
      <c r="I588" s="51" t="s">
        <v>1386</v>
      </c>
    </row>
    <row r="589" customFormat="false" ht="15" hidden="false" customHeight="false" outlineLevel="0" collapsed="false">
      <c r="A589" s="51" t="s">
        <v>83</v>
      </c>
      <c r="B589" s="51" t="n">
        <v>39</v>
      </c>
      <c r="C589" s="51" t="s">
        <v>314</v>
      </c>
      <c r="D589" s="52" t="n">
        <v>45974</v>
      </c>
      <c r="E589" s="53" t="n">
        <v>211.18</v>
      </c>
      <c r="F589" s="53" t="n">
        <v>556.15</v>
      </c>
      <c r="G589" s="51" t="n">
        <v>17</v>
      </c>
      <c r="H589" s="51" t="n">
        <v>17</v>
      </c>
      <c r="I589" s="51" t="s">
        <v>1386</v>
      </c>
    </row>
    <row r="590" customFormat="false" ht="15" hidden="false" customHeight="false" outlineLevel="0" collapsed="false">
      <c r="A590" s="51" t="s">
        <v>83</v>
      </c>
      <c r="B590" s="51" t="n">
        <v>39</v>
      </c>
      <c r="C590" s="51" t="s">
        <v>314</v>
      </c>
      <c r="D590" s="52" t="n">
        <v>45975</v>
      </c>
      <c r="E590" s="53" t="n">
        <v>177.28</v>
      </c>
      <c r="F590" s="53" t="n">
        <v>596.06</v>
      </c>
      <c r="G590" s="51" t="n">
        <v>17</v>
      </c>
      <c r="H590" s="51" t="n">
        <v>18</v>
      </c>
      <c r="I590" s="51" t="s">
        <v>1386</v>
      </c>
    </row>
    <row r="591" customFormat="false" ht="15" hidden="false" customHeight="false" outlineLevel="0" collapsed="false">
      <c r="A591" s="51" t="s">
        <v>83</v>
      </c>
      <c r="B591" s="51" t="n">
        <v>39</v>
      </c>
      <c r="C591" s="51" t="s">
        <v>314</v>
      </c>
      <c r="D591" s="52" t="n">
        <v>45976</v>
      </c>
      <c r="E591" s="53" t="n">
        <v>179.39</v>
      </c>
      <c r="F591" s="53" t="n">
        <v>205.7</v>
      </c>
      <c r="G591" s="51" t="n">
        <v>6</v>
      </c>
      <c r="H591" s="51" t="n">
        <v>6</v>
      </c>
      <c r="I591" s="51" t="s">
        <v>1386</v>
      </c>
    </row>
    <row r="592" customFormat="false" ht="15" hidden="false" customHeight="false" outlineLevel="0" collapsed="false">
      <c r="A592" s="51" t="s">
        <v>83</v>
      </c>
      <c r="B592" s="51" t="n">
        <v>39</v>
      </c>
      <c r="C592" s="51" t="s">
        <v>314</v>
      </c>
      <c r="D592" s="52" t="n">
        <v>45977</v>
      </c>
      <c r="E592" s="53" t="n">
        <v>200.81</v>
      </c>
      <c r="F592" s="53" t="n">
        <v>500.05</v>
      </c>
      <c r="G592" s="51" t="n">
        <v>15</v>
      </c>
      <c r="H592" s="51" t="n">
        <v>15</v>
      </c>
      <c r="I592" s="51" t="s">
        <v>1386</v>
      </c>
    </row>
    <row r="593" customFormat="false" ht="15" hidden="false" customHeight="false" outlineLevel="0" collapsed="false">
      <c r="A593" s="51" t="s">
        <v>83</v>
      </c>
      <c r="B593" s="51" t="n">
        <v>39</v>
      </c>
      <c r="C593" s="51" t="s">
        <v>314</v>
      </c>
      <c r="D593" s="52" t="n">
        <v>45978</v>
      </c>
      <c r="E593" s="53" t="n">
        <v>183.03</v>
      </c>
      <c r="F593" s="53" t="n">
        <v>578.05</v>
      </c>
      <c r="G593" s="51" t="n">
        <v>17</v>
      </c>
      <c r="H593" s="51" t="n">
        <v>17</v>
      </c>
      <c r="I593" s="51" t="s">
        <v>1386</v>
      </c>
    </row>
    <row r="594" customFormat="false" ht="15" hidden="false" customHeight="false" outlineLevel="0" collapsed="false">
      <c r="A594" s="51" t="s">
        <v>83</v>
      </c>
      <c r="B594" s="51" t="n">
        <v>39</v>
      </c>
      <c r="C594" s="51" t="s">
        <v>314</v>
      </c>
      <c r="D594" s="52" t="n">
        <v>45979</v>
      </c>
      <c r="E594" s="53" t="n">
        <v>171.65</v>
      </c>
      <c r="F594" s="53" t="n">
        <v>259.83</v>
      </c>
      <c r="G594" s="51" t="n">
        <v>9</v>
      </c>
      <c r="H594" s="51" t="n">
        <v>9</v>
      </c>
      <c r="I594" s="51" t="s">
        <v>1386</v>
      </c>
    </row>
    <row r="595" customFormat="false" ht="15" hidden="false" customHeight="false" outlineLevel="0" collapsed="false">
      <c r="A595" s="51" t="s">
        <v>83</v>
      </c>
      <c r="B595" s="51" t="n">
        <v>39</v>
      </c>
      <c r="C595" s="51" t="s">
        <v>314</v>
      </c>
      <c r="D595" s="52" t="n">
        <v>45980</v>
      </c>
      <c r="E595" s="53" t="n">
        <v>165.46</v>
      </c>
      <c r="F595" s="53" t="n">
        <v>721.52</v>
      </c>
      <c r="G595" s="51" t="n">
        <v>21</v>
      </c>
      <c r="H595" s="51" t="n">
        <v>21</v>
      </c>
      <c r="I595" s="51" t="s">
        <v>1386</v>
      </c>
    </row>
    <row r="596" customFormat="false" ht="15" hidden="false" customHeight="false" outlineLevel="0" collapsed="false">
      <c r="A596" s="51" t="s">
        <v>83</v>
      </c>
      <c r="B596" s="51" t="n">
        <v>39</v>
      </c>
      <c r="C596" s="51" t="s">
        <v>314</v>
      </c>
      <c r="D596" s="52" t="n">
        <v>45981</v>
      </c>
      <c r="E596" s="53" t="n">
        <v>282.26</v>
      </c>
      <c r="F596" s="53" t="n">
        <v>1062.69</v>
      </c>
      <c r="G596" s="51" t="n">
        <v>36</v>
      </c>
      <c r="H596" s="51" t="n">
        <v>36</v>
      </c>
      <c r="I596" s="51" t="s">
        <v>1387</v>
      </c>
    </row>
    <row r="597" customFormat="false" ht="15" hidden="false" customHeight="false" outlineLevel="0" collapsed="false">
      <c r="A597" s="51" t="s">
        <v>83</v>
      </c>
      <c r="B597" s="51" t="n">
        <v>39</v>
      </c>
      <c r="C597" s="51" t="s">
        <v>314</v>
      </c>
      <c r="D597" s="52" t="n">
        <v>45982</v>
      </c>
      <c r="E597" s="53" t="n">
        <v>183.55</v>
      </c>
      <c r="F597" s="53" t="n">
        <v>519.97</v>
      </c>
      <c r="G597" s="51" t="n">
        <v>17</v>
      </c>
      <c r="H597" s="51" t="n">
        <v>17</v>
      </c>
      <c r="I597" s="51" t="s">
        <v>1387</v>
      </c>
    </row>
    <row r="598" customFormat="false" ht="15" hidden="false" customHeight="false" outlineLevel="0" collapsed="false">
      <c r="A598" s="51" t="s">
        <v>83</v>
      </c>
      <c r="B598" s="51" t="n">
        <v>39</v>
      </c>
      <c r="C598" s="51" t="s">
        <v>314</v>
      </c>
      <c r="D598" s="52" t="n">
        <v>45983</v>
      </c>
      <c r="E598" s="53" t="n">
        <v>203.82</v>
      </c>
      <c r="F598" s="53" t="n">
        <v>742.44</v>
      </c>
      <c r="G598" s="51" t="n">
        <v>25</v>
      </c>
      <c r="H598" s="51" t="n">
        <v>25</v>
      </c>
      <c r="I598" s="51" t="s">
        <v>1387</v>
      </c>
    </row>
    <row r="599" customFormat="false" ht="15" hidden="false" customHeight="false" outlineLevel="0" collapsed="false">
      <c r="A599" s="51" t="s">
        <v>83</v>
      </c>
      <c r="B599" s="51" t="n">
        <v>39</v>
      </c>
      <c r="C599" s="51" t="s">
        <v>314</v>
      </c>
      <c r="D599" s="52" t="n">
        <v>45984</v>
      </c>
      <c r="E599" s="53" t="n">
        <v>215.52</v>
      </c>
      <c r="F599" s="53" t="n">
        <v>670.25</v>
      </c>
      <c r="G599" s="51" t="n">
        <v>22</v>
      </c>
      <c r="H599" s="51" t="n">
        <v>22</v>
      </c>
      <c r="I599" s="51" t="s">
        <v>1387</v>
      </c>
    </row>
    <row r="600" customFormat="false" ht="15" hidden="false" customHeight="false" outlineLevel="0" collapsed="false">
      <c r="A600" s="51" t="s">
        <v>83</v>
      </c>
      <c r="B600" s="51" t="n">
        <v>39</v>
      </c>
      <c r="C600" s="51" t="s">
        <v>314</v>
      </c>
      <c r="D600" s="52" t="n">
        <v>45985</v>
      </c>
      <c r="E600" s="53" t="n">
        <v>182.25</v>
      </c>
      <c r="F600" s="53" t="n">
        <v>599.8</v>
      </c>
      <c r="G600" s="51" t="n">
        <v>20</v>
      </c>
      <c r="H600" s="51" t="n">
        <v>20</v>
      </c>
      <c r="I600" s="51" t="s">
        <v>1387</v>
      </c>
    </row>
    <row r="601" customFormat="false" ht="15" hidden="false" customHeight="false" outlineLevel="0" collapsed="false">
      <c r="A601" s="51" t="s">
        <v>83</v>
      </c>
      <c r="B601" s="51" t="n">
        <v>39</v>
      </c>
      <c r="C601" s="51" t="s">
        <v>314</v>
      </c>
      <c r="D601" s="52" t="n">
        <v>45986</v>
      </c>
      <c r="E601" s="53" t="n">
        <v>328.5</v>
      </c>
      <c r="F601" s="53" t="n">
        <v>900.84</v>
      </c>
      <c r="G601" s="51" t="n">
        <v>30</v>
      </c>
      <c r="H601" s="51" t="n">
        <v>30</v>
      </c>
      <c r="I601" s="51" t="s">
        <v>1387</v>
      </c>
    </row>
    <row r="602" customFormat="false" ht="15" hidden="false" customHeight="false" outlineLevel="0" collapsed="false">
      <c r="A602" s="51" t="s">
        <v>83</v>
      </c>
      <c r="B602" s="51" t="n">
        <v>39</v>
      </c>
      <c r="C602" s="51" t="s">
        <v>314</v>
      </c>
      <c r="D602" s="52" t="n">
        <v>45987</v>
      </c>
      <c r="E602" s="53" t="n">
        <v>430.64</v>
      </c>
      <c r="F602" s="53" t="n">
        <v>912.62</v>
      </c>
      <c r="G602" s="51" t="n">
        <v>30</v>
      </c>
      <c r="H602" s="51" t="n">
        <v>30</v>
      </c>
      <c r="I602" s="51" t="s">
        <v>1387</v>
      </c>
    </row>
    <row r="603" customFormat="false" ht="15" hidden="false" customHeight="false" outlineLevel="0" collapsed="false">
      <c r="A603" s="51" t="s">
        <v>83</v>
      </c>
      <c r="B603" s="51" t="n">
        <v>39</v>
      </c>
      <c r="C603" s="51" t="s">
        <v>314</v>
      </c>
      <c r="D603" s="52" t="n">
        <v>45988</v>
      </c>
      <c r="E603" s="53" t="n">
        <v>249.68</v>
      </c>
      <c r="F603" s="53" t="n">
        <v>738.13</v>
      </c>
      <c r="G603" s="51" t="n">
        <v>25</v>
      </c>
      <c r="H603" s="51" t="n">
        <v>25</v>
      </c>
      <c r="I603" s="51" t="s">
        <v>1387</v>
      </c>
    </row>
    <row r="604" customFormat="false" ht="15" hidden="false" customHeight="false" outlineLevel="0" collapsed="false">
      <c r="A604" s="51" t="s">
        <v>83</v>
      </c>
      <c r="B604" s="51" t="n">
        <v>39</v>
      </c>
      <c r="C604" s="51" t="s">
        <v>314</v>
      </c>
      <c r="D604" s="52" t="n">
        <v>45989</v>
      </c>
      <c r="E604" s="53" t="n">
        <v>1100.49</v>
      </c>
      <c r="F604" s="53" t="n">
        <v>3539.34</v>
      </c>
      <c r="G604" s="51" t="n">
        <v>117</v>
      </c>
      <c r="H604" s="51" t="n">
        <v>119</v>
      </c>
      <c r="I604" s="51" t="s">
        <v>1387</v>
      </c>
    </row>
    <row r="605" customFormat="false" ht="15" hidden="false" customHeight="false" outlineLevel="0" collapsed="false">
      <c r="A605" s="51" t="s">
        <v>83</v>
      </c>
      <c r="B605" s="51" t="n">
        <v>39</v>
      </c>
      <c r="C605" s="51" t="s">
        <v>314</v>
      </c>
      <c r="D605" s="52" t="n">
        <v>45990</v>
      </c>
      <c r="E605" s="53" t="n">
        <v>773.27</v>
      </c>
      <c r="F605" s="53" t="n">
        <v>2681.38</v>
      </c>
      <c r="G605" s="51" t="n">
        <v>85</v>
      </c>
      <c r="H605" s="51" t="n">
        <v>88</v>
      </c>
      <c r="I605" s="51" t="s">
        <v>1387</v>
      </c>
    </row>
    <row r="606" customFormat="false" ht="15" hidden="false" customHeight="false" outlineLevel="0" collapsed="false">
      <c r="A606" s="51" t="s">
        <v>83</v>
      </c>
      <c r="B606" s="51" t="n">
        <v>39</v>
      </c>
      <c r="C606" s="51" t="s">
        <v>314</v>
      </c>
      <c r="D606" s="52" t="n">
        <v>45991</v>
      </c>
      <c r="E606" s="53" t="n">
        <v>878.81</v>
      </c>
      <c r="F606" s="53" t="n">
        <v>2808.17</v>
      </c>
      <c r="G606" s="51" t="n">
        <v>87</v>
      </c>
      <c r="H606" s="51" t="n">
        <v>91</v>
      </c>
      <c r="I606" s="51" t="s">
        <v>1387</v>
      </c>
    </row>
    <row r="607" customFormat="false" ht="15" hidden="false" customHeight="false" outlineLevel="0" collapsed="false">
      <c r="A607" s="51" t="s">
        <v>83</v>
      </c>
      <c r="B607" s="51" t="n">
        <v>39</v>
      </c>
      <c r="C607" s="51" t="s">
        <v>314</v>
      </c>
      <c r="D607" s="52" t="n">
        <v>45992</v>
      </c>
      <c r="E607" s="53" t="n">
        <v>901.41</v>
      </c>
      <c r="F607" s="53" t="n">
        <v>2851.09</v>
      </c>
      <c r="G607" s="51" t="n">
        <v>95</v>
      </c>
      <c r="H607" s="51" t="n">
        <v>95</v>
      </c>
      <c r="I607" s="51" t="s">
        <v>1387</v>
      </c>
    </row>
    <row r="608" customFormat="false" ht="15" hidden="false" customHeight="false" outlineLevel="0" collapsed="false">
      <c r="A608" s="51" t="s">
        <v>83</v>
      </c>
      <c r="B608" s="51" t="n">
        <v>39</v>
      </c>
      <c r="C608" s="51" t="s">
        <v>314</v>
      </c>
      <c r="D608" s="52" t="n">
        <v>45993</v>
      </c>
      <c r="E608" s="53" t="n">
        <v>560.79</v>
      </c>
      <c r="F608" s="53" t="n">
        <v>1009.5</v>
      </c>
      <c r="G608" s="51" t="n">
        <v>30</v>
      </c>
      <c r="H608" s="51" t="n">
        <v>30</v>
      </c>
      <c r="I608" s="51"/>
    </row>
    <row r="609" customFormat="false" ht="15" hidden="false" customHeight="false" outlineLevel="0" collapsed="false">
      <c r="A609" s="51" t="s">
        <v>83</v>
      </c>
      <c r="B609" s="51" t="n">
        <v>39</v>
      </c>
      <c r="C609" s="51" t="s">
        <v>314</v>
      </c>
      <c r="D609" s="52" t="n">
        <v>45994</v>
      </c>
      <c r="E609" s="53" t="n">
        <v>495.24</v>
      </c>
      <c r="F609" s="53" t="n">
        <v>1534.75</v>
      </c>
      <c r="G609" s="51" t="n">
        <v>43</v>
      </c>
      <c r="H609" s="51" t="n">
        <v>45</v>
      </c>
      <c r="I609" s="51"/>
    </row>
    <row r="610" customFormat="false" ht="15" hidden="false" customHeight="false" outlineLevel="0" collapsed="false">
      <c r="A610" s="51" t="s">
        <v>83</v>
      </c>
      <c r="B610" s="51" t="n">
        <v>39</v>
      </c>
      <c r="C610" s="51" t="s">
        <v>314</v>
      </c>
      <c r="D610" s="52" t="n">
        <v>45995</v>
      </c>
      <c r="E610" s="53" t="n">
        <v>548.5</v>
      </c>
      <c r="F610" s="53" t="n">
        <v>1918.3</v>
      </c>
      <c r="G610" s="51" t="n">
        <v>53</v>
      </c>
      <c r="H610" s="51" t="n">
        <v>54</v>
      </c>
      <c r="I610" s="51"/>
    </row>
    <row r="611" customFormat="false" ht="15" hidden="false" customHeight="false" outlineLevel="0" collapsed="false">
      <c r="A611" s="51" t="s">
        <v>83</v>
      </c>
      <c r="B611" s="51" t="n">
        <v>39</v>
      </c>
      <c r="C611" s="51" t="s">
        <v>314</v>
      </c>
      <c r="D611" s="52" t="n">
        <v>45996</v>
      </c>
      <c r="E611" s="53" t="n">
        <v>567.79</v>
      </c>
      <c r="F611" s="53" t="n">
        <v>1821.35</v>
      </c>
      <c r="G611" s="51" t="n">
        <v>53</v>
      </c>
      <c r="H611" s="51" t="n">
        <v>53</v>
      </c>
      <c r="I611" s="51"/>
    </row>
    <row r="612" customFormat="false" ht="15" hidden="false" customHeight="false" outlineLevel="0" collapsed="false">
      <c r="A612" s="51" t="s">
        <v>83</v>
      </c>
      <c r="B612" s="51" t="n">
        <v>39</v>
      </c>
      <c r="C612" s="51" t="s">
        <v>314</v>
      </c>
      <c r="D612" s="52" t="n">
        <v>45997</v>
      </c>
      <c r="E612" s="53" t="n">
        <v>717.03</v>
      </c>
      <c r="F612" s="53" t="n">
        <v>2054.1</v>
      </c>
      <c r="G612" s="51" t="n">
        <v>57</v>
      </c>
      <c r="H612" s="51" t="n">
        <v>58</v>
      </c>
      <c r="I612" s="51"/>
    </row>
    <row r="613" customFormat="false" ht="15" hidden="false" customHeight="false" outlineLevel="0" collapsed="false">
      <c r="A613" s="51" t="s">
        <v>83</v>
      </c>
      <c r="B613" s="51" t="n">
        <v>39</v>
      </c>
      <c r="C613" s="51" t="s">
        <v>314</v>
      </c>
      <c r="D613" s="52" t="n">
        <v>45998</v>
      </c>
      <c r="E613" s="53" t="n">
        <v>860.99</v>
      </c>
      <c r="F613" s="53" t="n">
        <v>2338.6</v>
      </c>
      <c r="G613" s="51" t="n">
        <v>67</v>
      </c>
      <c r="H613" s="51" t="n">
        <v>68</v>
      </c>
      <c r="I613" s="51"/>
    </row>
    <row r="614" customFormat="false" ht="15" hidden="false" customHeight="false" outlineLevel="0" collapsed="false">
      <c r="A614" s="51" t="s">
        <v>83</v>
      </c>
      <c r="B614" s="51" t="n">
        <v>39</v>
      </c>
      <c r="C614" s="51" t="s">
        <v>314</v>
      </c>
      <c r="D614" s="52" t="n">
        <v>45999</v>
      </c>
      <c r="E614" s="53" t="n">
        <v>707.76</v>
      </c>
      <c r="F614" s="53" t="n">
        <v>2293.75</v>
      </c>
      <c r="G614" s="51" t="n">
        <v>65</v>
      </c>
      <c r="H614" s="51" t="n">
        <v>65</v>
      </c>
      <c r="I614" s="51"/>
    </row>
    <row r="615" customFormat="false" ht="15" hidden="false" customHeight="false" outlineLevel="0" collapsed="false">
      <c r="A615" s="51" t="s">
        <v>83</v>
      </c>
      <c r="B615" s="51" t="n">
        <v>39</v>
      </c>
      <c r="C615" s="51" t="s">
        <v>314</v>
      </c>
      <c r="D615" s="52" t="n">
        <v>46000</v>
      </c>
      <c r="E615" s="53" t="n">
        <v>646.13</v>
      </c>
      <c r="F615" s="53" t="n">
        <v>2115.95</v>
      </c>
      <c r="G615" s="51" t="n">
        <v>61</v>
      </c>
      <c r="H615" s="51" t="n">
        <v>61</v>
      </c>
      <c r="I615" s="51"/>
    </row>
    <row r="616" customFormat="false" ht="15" hidden="false" customHeight="false" outlineLevel="0" collapsed="false">
      <c r="A616" s="51" t="s">
        <v>83</v>
      </c>
      <c r="B616" s="51" t="n">
        <v>39</v>
      </c>
      <c r="C616" s="51" t="s">
        <v>314</v>
      </c>
      <c r="D616" s="52" t="n">
        <v>46001</v>
      </c>
      <c r="E616" s="53" t="n">
        <v>726.03</v>
      </c>
      <c r="F616" s="53" t="n">
        <v>2457.4</v>
      </c>
      <c r="G616" s="51" t="n">
        <v>71</v>
      </c>
      <c r="H616" s="51" t="n">
        <v>72</v>
      </c>
      <c r="I616" s="51"/>
    </row>
    <row r="617" customFormat="false" ht="15" hidden="false" customHeight="false" outlineLevel="0" collapsed="false">
      <c r="A617" s="51" t="s">
        <v>83</v>
      </c>
      <c r="B617" s="51" t="n">
        <v>39</v>
      </c>
      <c r="C617" s="51" t="s">
        <v>314</v>
      </c>
      <c r="D617" s="52" t="n">
        <v>46002</v>
      </c>
      <c r="E617" s="53" t="n">
        <v>902.28</v>
      </c>
      <c r="F617" s="53" t="n">
        <v>3369.95</v>
      </c>
      <c r="G617" s="51" t="n">
        <v>98</v>
      </c>
      <c r="H617" s="51" t="n">
        <v>101</v>
      </c>
      <c r="I617" s="51"/>
    </row>
    <row r="618" customFormat="false" ht="15" hidden="false" customHeight="false" outlineLevel="0" collapsed="false">
      <c r="A618" s="51" t="s">
        <v>83</v>
      </c>
      <c r="B618" s="51" t="n">
        <v>39</v>
      </c>
      <c r="C618" s="51" t="s">
        <v>314</v>
      </c>
      <c r="D618" s="52" t="n">
        <v>46003</v>
      </c>
      <c r="E618" s="53" t="n">
        <v>1028.73</v>
      </c>
      <c r="F618" s="53" t="n">
        <v>3387.18</v>
      </c>
      <c r="G618" s="51" t="n">
        <v>98</v>
      </c>
      <c r="H618" s="51" t="n">
        <v>98</v>
      </c>
      <c r="I618" s="51"/>
    </row>
    <row r="619" customFormat="false" ht="15" hidden="false" customHeight="false" outlineLevel="0" collapsed="false">
      <c r="A619" s="51" t="s">
        <v>83</v>
      </c>
      <c r="B619" s="51" t="n">
        <v>39</v>
      </c>
      <c r="C619" s="51" t="s">
        <v>314</v>
      </c>
      <c r="D619" s="52" t="n">
        <v>46004</v>
      </c>
      <c r="E619" s="53" t="n">
        <v>1108.08</v>
      </c>
      <c r="F619" s="53" t="n">
        <v>4094.99</v>
      </c>
      <c r="G619" s="51" t="n">
        <v>117</v>
      </c>
      <c r="H619" s="51" t="n">
        <v>121</v>
      </c>
      <c r="I619" s="51"/>
    </row>
    <row r="620" customFormat="false" ht="15" hidden="false" customHeight="false" outlineLevel="0" collapsed="false">
      <c r="A620" s="51" t="s">
        <v>83</v>
      </c>
      <c r="B620" s="51" t="n">
        <v>39</v>
      </c>
      <c r="C620" s="51" t="s">
        <v>314</v>
      </c>
      <c r="D620" s="52" t="n">
        <v>46005</v>
      </c>
      <c r="E620" s="53" t="n">
        <v>1063.36</v>
      </c>
      <c r="F620" s="53" t="n">
        <v>3840.36</v>
      </c>
      <c r="G620" s="51" t="n">
        <v>113</v>
      </c>
      <c r="H620" s="51" t="n">
        <v>114</v>
      </c>
      <c r="I620" s="51"/>
    </row>
    <row r="621" customFormat="false" ht="15" hidden="false" customHeight="false" outlineLevel="0" collapsed="false">
      <c r="A621" s="51" t="s">
        <v>83</v>
      </c>
      <c r="B621" s="51" t="n">
        <v>39</v>
      </c>
      <c r="C621" s="51" t="s">
        <v>314</v>
      </c>
      <c r="D621" s="52" t="n">
        <v>46006</v>
      </c>
      <c r="E621" s="53" t="n">
        <v>1049.2</v>
      </c>
      <c r="F621" s="53" t="n">
        <v>3137.4</v>
      </c>
      <c r="G621" s="51" t="n">
        <v>89</v>
      </c>
      <c r="H621" s="51" t="n">
        <v>92</v>
      </c>
      <c r="I621" s="51"/>
    </row>
    <row r="622" customFormat="false" ht="15" hidden="false" customHeight="false" outlineLevel="0" collapsed="false">
      <c r="A622" s="51" t="s">
        <v>92</v>
      </c>
      <c r="B622" s="51" t="n">
        <v>38</v>
      </c>
      <c r="C622" s="51" t="s">
        <v>314</v>
      </c>
      <c r="D622" s="52" t="n">
        <v>45945</v>
      </c>
      <c r="E622" s="53" t="n">
        <v>141.17</v>
      </c>
      <c r="F622" s="53" t="n">
        <v>411.8</v>
      </c>
      <c r="G622" s="51" t="n">
        <v>24</v>
      </c>
      <c r="H622" s="51" t="n">
        <v>25</v>
      </c>
      <c r="I622" s="51"/>
    </row>
    <row r="623" customFormat="false" ht="15" hidden="false" customHeight="false" outlineLevel="0" collapsed="false">
      <c r="A623" s="51" t="s">
        <v>92</v>
      </c>
      <c r="B623" s="51" t="n">
        <v>38</v>
      </c>
      <c r="C623" s="51" t="s">
        <v>314</v>
      </c>
      <c r="D623" s="52" t="n">
        <v>45946</v>
      </c>
      <c r="E623" s="53" t="n">
        <v>140.51</v>
      </c>
      <c r="F623" s="53" t="n">
        <v>362.14</v>
      </c>
      <c r="G623" s="51" t="n">
        <v>18</v>
      </c>
      <c r="H623" s="51" t="n">
        <v>18</v>
      </c>
      <c r="I623" s="51"/>
    </row>
    <row r="624" customFormat="false" ht="15" hidden="false" customHeight="false" outlineLevel="0" collapsed="false">
      <c r="A624" s="51" t="s">
        <v>92</v>
      </c>
      <c r="B624" s="51" t="n">
        <v>38</v>
      </c>
      <c r="C624" s="51" t="s">
        <v>314</v>
      </c>
      <c r="D624" s="52" t="n">
        <v>45947</v>
      </c>
      <c r="E624" s="53" t="n">
        <v>126.14</v>
      </c>
      <c r="F624" s="53" t="n">
        <v>182.45</v>
      </c>
      <c r="G624" s="51" t="n">
        <v>11</v>
      </c>
      <c r="H624" s="51" t="n">
        <v>11</v>
      </c>
      <c r="I624" s="51"/>
    </row>
    <row r="625" customFormat="false" ht="15" hidden="false" customHeight="false" outlineLevel="0" collapsed="false">
      <c r="A625" s="51" t="s">
        <v>92</v>
      </c>
      <c r="B625" s="51" t="n">
        <v>38</v>
      </c>
      <c r="C625" s="51" t="s">
        <v>314</v>
      </c>
      <c r="D625" s="52" t="n">
        <v>45948</v>
      </c>
      <c r="E625" s="53" t="n">
        <v>120.86</v>
      </c>
      <c r="F625" s="53" t="n">
        <v>284.25</v>
      </c>
      <c r="G625" s="51" t="n">
        <v>15</v>
      </c>
      <c r="H625" s="51" t="n">
        <v>15</v>
      </c>
      <c r="I625" s="51"/>
    </row>
    <row r="626" customFormat="false" ht="15" hidden="false" customHeight="false" outlineLevel="0" collapsed="false">
      <c r="A626" s="51" t="s">
        <v>92</v>
      </c>
      <c r="B626" s="51" t="n">
        <v>38</v>
      </c>
      <c r="C626" s="51" t="s">
        <v>314</v>
      </c>
      <c r="D626" s="52" t="n">
        <v>45949</v>
      </c>
      <c r="E626" s="53" t="n">
        <v>177.67</v>
      </c>
      <c r="F626" s="53" t="n">
        <v>421.75</v>
      </c>
      <c r="G626" s="51" t="n">
        <v>25</v>
      </c>
      <c r="H626" s="51" t="n">
        <v>25</v>
      </c>
      <c r="I626" s="51"/>
    </row>
    <row r="627" customFormat="false" ht="15" hidden="false" customHeight="false" outlineLevel="0" collapsed="false">
      <c r="A627" s="51" t="s">
        <v>92</v>
      </c>
      <c r="B627" s="51" t="n">
        <v>38</v>
      </c>
      <c r="C627" s="51" t="s">
        <v>314</v>
      </c>
      <c r="D627" s="52" t="n">
        <v>45950</v>
      </c>
      <c r="E627" s="53" t="n">
        <v>149.08</v>
      </c>
      <c r="F627" s="53" t="n">
        <v>371.9</v>
      </c>
      <c r="G627" s="51" t="n">
        <v>21</v>
      </c>
      <c r="H627" s="51" t="n">
        <v>22</v>
      </c>
      <c r="I627" s="51"/>
    </row>
    <row r="628" customFormat="false" ht="15" hidden="false" customHeight="false" outlineLevel="0" collapsed="false">
      <c r="A628" s="51" t="s">
        <v>92</v>
      </c>
      <c r="B628" s="51" t="n">
        <v>38</v>
      </c>
      <c r="C628" s="51" t="s">
        <v>314</v>
      </c>
      <c r="D628" s="52" t="n">
        <v>45951</v>
      </c>
      <c r="E628" s="53" t="n">
        <v>108.16</v>
      </c>
      <c r="F628" s="53" t="n">
        <v>229.4</v>
      </c>
      <c r="G628" s="51" t="n">
        <v>12</v>
      </c>
      <c r="H628" s="51" t="n">
        <v>12</v>
      </c>
      <c r="I628" s="51" t="s">
        <v>1386</v>
      </c>
    </row>
    <row r="629" customFormat="false" ht="15" hidden="false" customHeight="false" outlineLevel="0" collapsed="false">
      <c r="A629" s="51" t="s">
        <v>92</v>
      </c>
      <c r="B629" s="51" t="n">
        <v>38</v>
      </c>
      <c r="C629" s="51" t="s">
        <v>314</v>
      </c>
      <c r="D629" s="52" t="n">
        <v>45952</v>
      </c>
      <c r="E629" s="53" t="n">
        <v>101.71</v>
      </c>
      <c r="F629" s="53" t="n">
        <v>170.55</v>
      </c>
      <c r="G629" s="51" t="n">
        <v>9</v>
      </c>
      <c r="H629" s="51" t="n">
        <v>9</v>
      </c>
      <c r="I629" s="51" t="s">
        <v>1386</v>
      </c>
    </row>
    <row r="630" customFormat="false" ht="15" hidden="false" customHeight="false" outlineLevel="0" collapsed="false">
      <c r="A630" s="51" t="s">
        <v>92</v>
      </c>
      <c r="B630" s="51" t="n">
        <v>38</v>
      </c>
      <c r="C630" s="51" t="s">
        <v>314</v>
      </c>
      <c r="D630" s="52" t="n">
        <v>45953</v>
      </c>
      <c r="E630" s="53" t="n">
        <v>92.51</v>
      </c>
      <c r="F630" s="53" t="n">
        <v>323.05</v>
      </c>
      <c r="G630" s="51" t="n">
        <v>18</v>
      </c>
      <c r="H630" s="51" t="n">
        <v>19</v>
      </c>
      <c r="I630" s="51" t="s">
        <v>1386</v>
      </c>
    </row>
    <row r="631" customFormat="false" ht="15" hidden="false" customHeight="false" outlineLevel="0" collapsed="false">
      <c r="A631" s="51" t="s">
        <v>92</v>
      </c>
      <c r="B631" s="51" t="n">
        <v>38</v>
      </c>
      <c r="C631" s="51" t="s">
        <v>314</v>
      </c>
      <c r="D631" s="52" t="n">
        <v>45954</v>
      </c>
      <c r="E631" s="53" t="n">
        <v>94.3</v>
      </c>
      <c r="F631" s="53" t="n">
        <v>201.4</v>
      </c>
      <c r="G631" s="51" t="n">
        <v>12</v>
      </c>
      <c r="H631" s="51" t="n">
        <v>12</v>
      </c>
      <c r="I631" s="51" t="s">
        <v>1386</v>
      </c>
    </row>
    <row r="632" customFormat="false" ht="15" hidden="false" customHeight="false" outlineLevel="0" collapsed="false">
      <c r="A632" s="51" t="s">
        <v>92</v>
      </c>
      <c r="B632" s="51" t="n">
        <v>38</v>
      </c>
      <c r="C632" s="51" t="s">
        <v>314</v>
      </c>
      <c r="D632" s="52" t="n">
        <v>45955</v>
      </c>
      <c r="E632" s="53" t="n">
        <v>104.96</v>
      </c>
      <c r="F632" s="53" t="n">
        <v>337.05</v>
      </c>
      <c r="G632" s="51" t="n">
        <v>18</v>
      </c>
      <c r="H632" s="51" t="n">
        <v>19</v>
      </c>
      <c r="I632" s="51" t="s">
        <v>1386</v>
      </c>
    </row>
    <row r="633" customFormat="false" ht="15" hidden="false" customHeight="false" outlineLevel="0" collapsed="false">
      <c r="A633" s="51" t="s">
        <v>92</v>
      </c>
      <c r="B633" s="51" t="n">
        <v>38</v>
      </c>
      <c r="C633" s="51" t="s">
        <v>314</v>
      </c>
      <c r="D633" s="52" t="n">
        <v>45956</v>
      </c>
      <c r="E633" s="53" t="n">
        <v>133.18</v>
      </c>
      <c r="F633" s="53" t="n">
        <v>341.05</v>
      </c>
      <c r="G633" s="51" t="n">
        <v>19</v>
      </c>
      <c r="H633" s="51" t="n">
        <v>19</v>
      </c>
      <c r="I633" s="51" t="s">
        <v>1386</v>
      </c>
    </row>
    <row r="634" customFormat="false" ht="15" hidden="false" customHeight="false" outlineLevel="0" collapsed="false">
      <c r="A634" s="51" t="s">
        <v>92</v>
      </c>
      <c r="B634" s="51" t="n">
        <v>38</v>
      </c>
      <c r="C634" s="51" t="s">
        <v>314</v>
      </c>
      <c r="D634" s="52" t="n">
        <v>45957</v>
      </c>
      <c r="E634" s="53" t="n">
        <v>126.51</v>
      </c>
      <c r="F634" s="53" t="n">
        <v>176.5</v>
      </c>
      <c r="G634" s="51" t="n">
        <v>10</v>
      </c>
      <c r="H634" s="51" t="n">
        <v>10</v>
      </c>
      <c r="I634" s="51" t="s">
        <v>1386</v>
      </c>
    </row>
    <row r="635" customFormat="false" ht="15" hidden="false" customHeight="false" outlineLevel="0" collapsed="false">
      <c r="A635" s="51" t="s">
        <v>92</v>
      </c>
      <c r="B635" s="51" t="n">
        <v>38</v>
      </c>
      <c r="C635" s="51" t="s">
        <v>314</v>
      </c>
      <c r="D635" s="52" t="n">
        <v>45958</v>
      </c>
      <c r="E635" s="53" t="n">
        <v>101.97</v>
      </c>
      <c r="F635" s="53" t="n">
        <v>281.25</v>
      </c>
      <c r="G635" s="51" t="n">
        <v>14</v>
      </c>
      <c r="H635" s="51" t="n">
        <v>15</v>
      </c>
      <c r="I635" s="51" t="s">
        <v>1386</v>
      </c>
    </row>
    <row r="636" customFormat="false" ht="15" hidden="false" customHeight="false" outlineLevel="0" collapsed="false">
      <c r="A636" s="51" t="s">
        <v>92</v>
      </c>
      <c r="B636" s="51" t="n">
        <v>38</v>
      </c>
      <c r="C636" s="51" t="s">
        <v>314</v>
      </c>
      <c r="D636" s="52" t="n">
        <v>45959</v>
      </c>
      <c r="E636" s="53" t="n">
        <v>101.92</v>
      </c>
      <c r="F636" s="53" t="n">
        <v>267.25</v>
      </c>
      <c r="G636" s="51" t="n">
        <v>14</v>
      </c>
      <c r="H636" s="51" t="n">
        <v>15</v>
      </c>
      <c r="I636" s="51" t="s">
        <v>1386</v>
      </c>
    </row>
    <row r="637" customFormat="false" ht="15" hidden="false" customHeight="false" outlineLevel="0" collapsed="false">
      <c r="A637" s="51" t="s">
        <v>92</v>
      </c>
      <c r="B637" s="51" t="n">
        <v>38</v>
      </c>
      <c r="C637" s="51" t="s">
        <v>314</v>
      </c>
      <c r="D637" s="52" t="n">
        <v>45960</v>
      </c>
      <c r="E637" s="53" t="n">
        <v>83.78</v>
      </c>
      <c r="F637" s="53" t="n">
        <v>191.45</v>
      </c>
      <c r="G637" s="51" t="n">
        <v>11</v>
      </c>
      <c r="H637" s="51" t="n">
        <v>11</v>
      </c>
      <c r="I637" s="51" t="s">
        <v>1386</v>
      </c>
    </row>
    <row r="638" customFormat="false" ht="15" hidden="false" customHeight="false" outlineLevel="0" collapsed="false">
      <c r="A638" s="51" t="s">
        <v>92</v>
      </c>
      <c r="B638" s="51" t="n">
        <v>38</v>
      </c>
      <c r="C638" s="51" t="s">
        <v>314</v>
      </c>
      <c r="D638" s="52" t="n">
        <v>45961</v>
      </c>
      <c r="E638" s="53" t="n">
        <v>77.39</v>
      </c>
      <c r="F638" s="53" t="n">
        <v>322.15</v>
      </c>
      <c r="G638" s="51" t="n">
        <v>17</v>
      </c>
      <c r="H638" s="51" t="n">
        <v>17</v>
      </c>
      <c r="I638" s="51" t="s">
        <v>1386</v>
      </c>
    </row>
    <row r="639" customFormat="false" ht="15" hidden="false" customHeight="false" outlineLevel="0" collapsed="false">
      <c r="A639" s="51" t="s">
        <v>92</v>
      </c>
      <c r="B639" s="51" t="n">
        <v>38</v>
      </c>
      <c r="C639" s="51" t="s">
        <v>314</v>
      </c>
      <c r="D639" s="52" t="n">
        <v>45962</v>
      </c>
      <c r="E639" s="53" t="n">
        <v>103.1</v>
      </c>
      <c r="F639" s="53" t="n">
        <v>231.35</v>
      </c>
      <c r="G639" s="51" t="n">
        <v>13</v>
      </c>
      <c r="H639" s="51" t="n">
        <v>13</v>
      </c>
      <c r="I639" s="51" t="s">
        <v>1386</v>
      </c>
    </row>
    <row r="640" customFormat="false" ht="15" hidden="false" customHeight="false" outlineLevel="0" collapsed="false">
      <c r="A640" s="51" t="s">
        <v>92</v>
      </c>
      <c r="B640" s="51" t="n">
        <v>38</v>
      </c>
      <c r="C640" s="51" t="s">
        <v>314</v>
      </c>
      <c r="D640" s="52" t="n">
        <v>45963</v>
      </c>
      <c r="E640" s="53" t="n">
        <v>94.5</v>
      </c>
      <c r="F640" s="53" t="n">
        <v>179.5</v>
      </c>
      <c r="G640" s="51" t="n">
        <v>10</v>
      </c>
      <c r="H640" s="51" t="n">
        <v>10</v>
      </c>
      <c r="I640" s="51" t="s">
        <v>1386</v>
      </c>
    </row>
    <row r="641" customFormat="false" ht="15" hidden="false" customHeight="false" outlineLevel="0" collapsed="false">
      <c r="A641" s="51" t="s">
        <v>92</v>
      </c>
      <c r="B641" s="51" t="n">
        <v>38</v>
      </c>
      <c r="C641" s="51" t="s">
        <v>314</v>
      </c>
      <c r="D641" s="52" t="n">
        <v>45964</v>
      </c>
      <c r="E641" s="53" t="n">
        <v>95.9</v>
      </c>
      <c r="F641" s="53" t="n">
        <v>248.35</v>
      </c>
      <c r="G641" s="51" t="n">
        <v>13</v>
      </c>
      <c r="H641" s="51" t="n">
        <v>13</v>
      </c>
      <c r="I641" s="51" t="s">
        <v>1386</v>
      </c>
    </row>
    <row r="642" customFormat="false" ht="15" hidden="false" customHeight="false" outlineLevel="0" collapsed="false">
      <c r="A642" s="51" t="s">
        <v>92</v>
      </c>
      <c r="B642" s="51" t="n">
        <v>38</v>
      </c>
      <c r="C642" s="51" t="s">
        <v>314</v>
      </c>
      <c r="D642" s="52" t="n">
        <v>45965</v>
      </c>
      <c r="E642" s="53" t="n">
        <v>109.74</v>
      </c>
      <c r="F642" s="53" t="n">
        <v>299.3</v>
      </c>
      <c r="G642" s="51" t="n">
        <v>14</v>
      </c>
      <c r="H642" s="51" t="n">
        <v>14</v>
      </c>
      <c r="I642" s="51" t="s">
        <v>1386</v>
      </c>
    </row>
    <row r="643" customFormat="false" ht="15" hidden="false" customHeight="false" outlineLevel="0" collapsed="false">
      <c r="A643" s="51" t="s">
        <v>92</v>
      </c>
      <c r="B643" s="51" t="n">
        <v>38</v>
      </c>
      <c r="C643" s="51" t="s">
        <v>314</v>
      </c>
      <c r="D643" s="52" t="n">
        <v>45966</v>
      </c>
      <c r="E643" s="53" t="n">
        <v>120.75</v>
      </c>
      <c r="F643" s="53" t="n">
        <v>332.25</v>
      </c>
      <c r="G643" s="51" t="n">
        <v>15</v>
      </c>
      <c r="H643" s="51" t="n">
        <v>15</v>
      </c>
      <c r="I643" s="51" t="s">
        <v>1386</v>
      </c>
    </row>
    <row r="644" customFormat="false" ht="15" hidden="false" customHeight="false" outlineLevel="0" collapsed="false">
      <c r="A644" s="51" t="s">
        <v>92</v>
      </c>
      <c r="B644" s="51" t="n">
        <v>38</v>
      </c>
      <c r="C644" s="51" t="s">
        <v>314</v>
      </c>
      <c r="D644" s="52" t="n">
        <v>45967</v>
      </c>
      <c r="E644" s="53" t="n">
        <v>114.78</v>
      </c>
      <c r="F644" s="53" t="n">
        <v>214.5</v>
      </c>
      <c r="G644" s="51" t="n">
        <v>10</v>
      </c>
      <c r="H644" s="51" t="n">
        <v>10</v>
      </c>
      <c r="I644" s="51" t="s">
        <v>1386</v>
      </c>
    </row>
    <row r="645" customFormat="false" ht="15" hidden="false" customHeight="false" outlineLevel="0" collapsed="false">
      <c r="A645" s="51" t="s">
        <v>92</v>
      </c>
      <c r="B645" s="51" t="n">
        <v>38</v>
      </c>
      <c r="C645" s="51" t="s">
        <v>314</v>
      </c>
      <c r="D645" s="52" t="n">
        <v>45968</v>
      </c>
      <c r="E645" s="53" t="n">
        <v>138.61</v>
      </c>
      <c r="F645" s="53" t="n">
        <v>309.3</v>
      </c>
      <c r="G645" s="51" t="n">
        <v>14</v>
      </c>
      <c r="H645" s="51" t="n">
        <v>14</v>
      </c>
      <c r="I645" s="51" t="s">
        <v>1386</v>
      </c>
    </row>
    <row r="646" customFormat="false" ht="15" hidden="false" customHeight="false" outlineLevel="0" collapsed="false">
      <c r="A646" s="51" t="s">
        <v>92</v>
      </c>
      <c r="B646" s="51" t="n">
        <v>38</v>
      </c>
      <c r="C646" s="51" t="s">
        <v>314</v>
      </c>
      <c r="D646" s="52" t="n">
        <v>45969</v>
      </c>
      <c r="E646" s="53" t="n">
        <v>172.68</v>
      </c>
      <c r="F646" s="53" t="n">
        <v>427.09</v>
      </c>
      <c r="G646" s="51" t="n">
        <v>19</v>
      </c>
      <c r="H646" s="51" t="n">
        <v>19</v>
      </c>
      <c r="I646" s="51" t="s">
        <v>1386</v>
      </c>
    </row>
    <row r="647" customFormat="false" ht="15" hidden="false" customHeight="false" outlineLevel="0" collapsed="false">
      <c r="A647" s="51" t="s">
        <v>92</v>
      </c>
      <c r="B647" s="51" t="n">
        <v>38</v>
      </c>
      <c r="C647" s="51" t="s">
        <v>314</v>
      </c>
      <c r="D647" s="52" t="n">
        <v>45970</v>
      </c>
      <c r="E647" s="53" t="n">
        <v>149.14</v>
      </c>
      <c r="F647" s="53" t="n">
        <v>353.1</v>
      </c>
      <c r="G647" s="51" t="n">
        <v>18</v>
      </c>
      <c r="H647" s="51" t="n">
        <v>18</v>
      </c>
      <c r="I647" s="51" t="s">
        <v>1386</v>
      </c>
    </row>
    <row r="648" customFormat="false" ht="15" hidden="false" customHeight="false" outlineLevel="0" collapsed="false">
      <c r="A648" s="51" t="s">
        <v>92</v>
      </c>
      <c r="B648" s="51" t="n">
        <v>38</v>
      </c>
      <c r="C648" s="51" t="s">
        <v>314</v>
      </c>
      <c r="D648" s="52" t="n">
        <v>45971</v>
      </c>
      <c r="E648" s="53" t="n">
        <v>133.51</v>
      </c>
      <c r="F648" s="53" t="n">
        <v>224.4</v>
      </c>
      <c r="G648" s="51" t="n">
        <v>12</v>
      </c>
      <c r="H648" s="51" t="n">
        <v>12</v>
      </c>
      <c r="I648" s="51" t="s">
        <v>1386</v>
      </c>
    </row>
    <row r="649" customFormat="false" ht="15" hidden="false" customHeight="false" outlineLevel="0" collapsed="false">
      <c r="A649" s="51" t="s">
        <v>92</v>
      </c>
      <c r="B649" s="51" t="n">
        <v>38</v>
      </c>
      <c r="C649" s="51" t="s">
        <v>314</v>
      </c>
      <c r="D649" s="52" t="n">
        <v>45972</v>
      </c>
      <c r="E649" s="53" t="n">
        <v>110.12</v>
      </c>
      <c r="F649" s="53" t="n">
        <v>132.65</v>
      </c>
      <c r="G649" s="51" t="n">
        <v>7</v>
      </c>
      <c r="H649" s="51" t="n">
        <v>7</v>
      </c>
      <c r="I649" s="51" t="s">
        <v>1386</v>
      </c>
    </row>
    <row r="650" customFormat="false" ht="15" hidden="false" customHeight="false" outlineLevel="0" collapsed="false">
      <c r="A650" s="51" t="s">
        <v>92</v>
      </c>
      <c r="B650" s="51" t="n">
        <v>38</v>
      </c>
      <c r="C650" s="51" t="s">
        <v>314</v>
      </c>
      <c r="D650" s="52" t="n">
        <v>45973</v>
      </c>
      <c r="E650" s="53" t="n">
        <v>120.53</v>
      </c>
      <c r="F650" s="53" t="n">
        <v>229.5</v>
      </c>
      <c r="G650" s="51" t="n">
        <v>10</v>
      </c>
      <c r="H650" s="51" t="n">
        <v>10</v>
      </c>
      <c r="I650" s="51" t="s">
        <v>1386</v>
      </c>
    </row>
    <row r="651" customFormat="false" ht="15" hidden="false" customHeight="false" outlineLevel="0" collapsed="false">
      <c r="A651" s="51" t="s">
        <v>92</v>
      </c>
      <c r="B651" s="51" t="n">
        <v>38</v>
      </c>
      <c r="C651" s="51" t="s">
        <v>314</v>
      </c>
      <c r="D651" s="52" t="n">
        <v>45974</v>
      </c>
      <c r="E651" s="53" t="n">
        <v>92.58</v>
      </c>
      <c r="F651" s="53" t="n">
        <v>203.79</v>
      </c>
      <c r="G651" s="51" t="n">
        <v>9</v>
      </c>
      <c r="H651" s="51" t="n">
        <v>9</v>
      </c>
      <c r="I651" s="51" t="s">
        <v>1386</v>
      </c>
    </row>
    <row r="652" customFormat="false" ht="15" hidden="false" customHeight="false" outlineLevel="0" collapsed="false">
      <c r="A652" s="51" t="s">
        <v>92</v>
      </c>
      <c r="B652" s="51" t="n">
        <v>38</v>
      </c>
      <c r="C652" s="51" t="s">
        <v>314</v>
      </c>
      <c r="D652" s="52" t="n">
        <v>45975</v>
      </c>
      <c r="E652" s="53" t="n">
        <v>87.45</v>
      </c>
      <c r="F652" s="53" t="n">
        <v>192.8</v>
      </c>
      <c r="G652" s="51" t="n">
        <v>8</v>
      </c>
      <c r="H652" s="51" t="n">
        <v>9</v>
      </c>
      <c r="I652" s="51" t="s">
        <v>1386</v>
      </c>
    </row>
    <row r="653" customFormat="false" ht="15" hidden="false" customHeight="false" outlineLevel="0" collapsed="false">
      <c r="A653" s="51" t="s">
        <v>92</v>
      </c>
      <c r="B653" s="51" t="n">
        <v>38</v>
      </c>
      <c r="C653" s="51" t="s">
        <v>314</v>
      </c>
      <c r="D653" s="52" t="n">
        <v>45976</v>
      </c>
      <c r="E653" s="53" t="n">
        <v>146.62</v>
      </c>
      <c r="F653" s="53" t="n">
        <v>277.71</v>
      </c>
      <c r="G653" s="51" t="n">
        <v>15</v>
      </c>
      <c r="H653" s="51" t="n">
        <v>15</v>
      </c>
      <c r="I653" s="51" t="s">
        <v>1386</v>
      </c>
    </row>
    <row r="654" customFormat="false" ht="15" hidden="false" customHeight="false" outlineLevel="0" collapsed="false">
      <c r="A654" s="51" t="s">
        <v>92</v>
      </c>
      <c r="B654" s="51" t="n">
        <v>38</v>
      </c>
      <c r="C654" s="51" t="s">
        <v>314</v>
      </c>
      <c r="D654" s="52" t="n">
        <v>45977</v>
      </c>
      <c r="E654" s="53" t="n">
        <v>133.86</v>
      </c>
      <c r="F654" s="53" t="n">
        <v>332.55</v>
      </c>
      <c r="G654" s="51" t="n">
        <v>18</v>
      </c>
      <c r="H654" s="51" t="n">
        <v>18</v>
      </c>
      <c r="I654" s="51" t="s">
        <v>1386</v>
      </c>
    </row>
    <row r="655" customFormat="false" ht="15" hidden="false" customHeight="false" outlineLevel="0" collapsed="false">
      <c r="A655" s="51" t="s">
        <v>92</v>
      </c>
      <c r="B655" s="51" t="n">
        <v>38</v>
      </c>
      <c r="C655" s="51" t="s">
        <v>314</v>
      </c>
      <c r="D655" s="52" t="n">
        <v>45978</v>
      </c>
      <c r="E655" s="53" t="n">
        <v>85.71</v>
      </c>
      <c r="F655" s="53" t="n">
        <v>359.91</v>
      </c>
      <c r="G655" s="51" t="n">
        <v>18</v>
      </c>
      <c r="H655" s="51" t="n">
        <v>20</v>
      </c>
      <c r="I655" s="51" t="s">
        <v>1386</v>
      </c>
    </row>
    <row r="656" customFormat="false" ht="15" hidden="false" customHeight="false" outlineLevel="0" collapsed="false">
      <c r="A656" s="51" t="s">
        <v>92</v>
      </c>
      <c r="B656" s="51" t="n">
        <v>38</v>
      </c>
      <c r="C656" s="51" t="s">
        <v>314</v>
      </c>
      <c r="D656" s="52" t="n">
        <v>45979</v>
      </c>
      <c r="E656" s="53" t="n">
        <v>102.87</v>
      </c>
      <c r="F656" s="53" t="n">
        <v>288.67</v>
      </c>
      <c r="G656" s="51" t="n">
        <v>16</v>
      </c>
      <c r="H656" s="51" t="n">
        <v>16</v>
      </c>
      <c r="I656" s="51" t="s">
        <v>1386</v>
      </c>
    </row>
    <row r="657" customFormat="false" ht="15" hidden="false" customHeight="false" outlineLevel="0" collapsed="false">
      <c r="A657" s="51" t="s">
        <v>92</v>
      </c>
      <c r="B657" s="51" t="n">
        <v>38</v>
      </c>
      <c r="C657" s="51" t="s">
        <v>314</v>
      </c>
      <c r="D657" s="52" t="n">
        <v>45980</v>
      </c>
      <c r="E657" s="53" t="n">
        <v>119.11</v>
      </c>
      <c r="F657" s="53" t="n">
        <v>311.1</v>
      </c>
      <c r="G657" s="51" t="n">
        <v>16</v>
      </c>
      <c r="H657" s="51" t="n">
        <v>17</v>
      </c>
      <c r="I657" s="51" t="s">
        <v>1386</v>
      </c>
    </row>
    <row r="658" customFormat="false" ht="15" hidden="false" customHeight="false" outlineLevel="0" collapsed="false">
      <c r="A658" s="51" t="s">
        <v>92</v>
      </c>
      <c r="B658" s="51" t="n">
        <v>38</v>
      </c>
      <c r="C658" s="51" t="s">
        <v>314</v>
      </c>
      <c r="D658" s="52" t="n">
        <v>45981</v>
      </c>
      <c r="E658" s="53" t="n">
        <v>240.45</v>
      </c>
      <c r="F658" s="53" t="n">
        <v>755.65</v>
      </c>
      <c r="G658" s="51" t="n">
        <v>45</v>
      </c>
      <c r="H658" s="51" t="n">
        <v>45</v>
      </c>
      <c r="I658" s="51" t="s">
        <v>1387</v>
      </c>
    </row>
    <row r="659" customFormat="false" ht="15" hidden="false" customHeight="false" outlineLevel="0" collapsed="false">
      <c r="A659" s="51" t="s">
        <v>92</v>
      </c>
      <c r="B659" s="51" t="n">
        <v>38</v>
      </c>
      <c r="C659" s="51" t="s">
        <v>314</v>
      </c>
      <c r="D659" s="52" t="n">
        <v>45982</v>
      </c>
      <c r="E659" s="53" t="n">
        <v>115.66</v>
      </c>
      <c r="F659" s="53" t="n">
        <v>212.94</v>
      </c>
      <c r="G659" s="51" t="n">
        <v>14</v>
      </c>
      <c r="H659" s="51" t="n">
        <v>14</v>
      </c>
      <c r="I659" s="51" t="s">
        <v>1387</v>
      </c>
    </row>
    <row r="660" customFormat="false" ht="15" hidden="false" customHeight="false" outlineLevel="0" collapsed="false">
      <c r="A660" s="51" t="s">
        <v>92</v>
      </c>
      <c r="B660" s="51" t="n">
        <v>38</v>
      </c>
      <c r="C660" s="51" t="s">
        <v>314</v>
      </c>
      <c r="D660" s="52" t="n">
        <v>45983</v>
      </c>
      <c r="E660" s="53" t="n">
        <v>154.01</v>
      </c>
      <c r="F660" s="53" t="n">
        <v>363.95</v>
      </c>
      <c r="G660" s="51" t="n">
        <v>22</v>
      </c>
      <c r="H660" s="51" t="n">
        <v>23</v>
      </c>
      <c r="I660" s="51" t="s">
        <v>1387</v>
      </c>
    </row>
    <row r="661" customFormat="false" ht="15" hidden="false" customHeight="false" outlineLevel="0" collapsed="false">
      <c r="A661" s="51" t="s">
        <v>92</v>
      </c>
      <c r="B661" s="51" t="n">
        <v>38</v>
      </c>
      <c r="C661" s="51" t="s">
        <v>314</v>
      </c>
      <c r="D661" s="52" t="n">
        <v>45984</v>
      </c>
      <c r="E661" s="53" t="n">
        <v>124.26</v>
      </c>
      <c r="F661" s="53" t="n">
        <v>315.91</v>
      </c>
      <c r="G661" s="51" t="n">
        <v>19</v>
      </c>
      <c r="H661" s="51" t="n">
        <v>20</v>
      </c>
      <c r="I661" s="51" t="s">
        <v>1387</v>
      </c>
    </row>
    <row r="662" customFormat="false" ht="15" hidden="false" customHeight="false" outlineLevel="0" collapsed="false">
      <c r="A662" s="51" t="s">
        <v>92</v>
      </c>
      <c r="B662" s="51" t="n">
        <v>38</v>
      </c>
      <c r="C662" s="51" t="s">
        <v>314</v>
      </c>
      <c r="D662" s="52" t="n">
        <v>45985</v>
      </c>
      <c r="E662" s="53" t="n">
        <v>153.06</v>
      </c>
      <c r="F662" s="53" t="n">
        <v>480.13</v>
      </c>
      <c r="G662" s="51" t="n">
        <v>24</v>
      </c>
      <c r="H662" s="51" t="n">
        <v>27</v>
      </c>
      <c r="I662" s="51" t="s">
        <v>1387</v>
      </c>
    </row>
    <row r="663" customFormat="false" ht="15" hidden="false" customHeight="false" outlineLevel="0" collapsed="false">
      <c r="A663" s="51" t="s">
        <v>92</v>
      </c>
      <c r="B663" s="51" t="n">
        <v>38</v>
      </c>
      <c r="C663" s="51" t="s">
        <v>314</v>
      </c>
      <c r="D663" s="52" t="n">
        <v>45986</v>
      </c>
      <c r="E663" s="53" t="n">
        <v>208.21</v>
      </c>
      <c r="F663" s="53" t="n">
        <v>647.41</v>
      </c>
      <c r="G663" s="51" t="n">
        <v>37</v>
      </c>
      <c r="H663" s="51" t="n">
        <v>39</v>
      </c>
      <c r="I663" s="51" t="s">
        <v>1387</v>
      </c>
    </row>
    <row r="664" customFormat="false" ht="15" hidden="false" customHeight="false" outlineLevel="0" collapsed="false">
      <c r="A664" s="51" t="s">
        <v>92</v>
      </c>
      <c r="B664" s="51" t="n">
        <v>38</v>
      </c>
      <c r="C664" s="51" t="s">
        <v>314</v>
      </c>
      <c r="D664" s="52" t="n">
        <v>45987</v>
      </c>
      <c r="E664" s="53" t="n">
        <v>195.53</v>
      </c>
      <c r="F664" s="53" t="n">
        <v>461.92</v>
      </c>
      <c r="G664" s="51" t="n">
        <v>27</v>
      </c>
      <c r="H664" s="51" t="n">
        <v>28</v>
      </c>
      <c r="I664" s="51" t="s">
        <v>1387</v>
      </c>
    </row>
    <row r="665" customFormat="false" ht="15" hidden="false" customHeight="false" outlineLevel="0" collapsed="false">
      <c r="A665" s="51" t="s">
        <v>92</v>
      </c>
      <c r="B665" s="51" t="n">
        <v>38</v>
      </c>
      <c r="C665" s="51" t="s">
        <v>314</v>
      </c>
      <c r="D665" s="52" t="n">
        <v>45988</v>
      </c>
      <c r="E665" s="53" t="n">
        <v>134.71</v>
      </c>
      <c r="F665" s="53" t="n">
        <v>429.56</v>
      </c>
      <c r="G665" s="51" t="n">
        <v>26</v>
      </c>
      <c r="H665" s="51" t="n">
        <v>26</v>
      </c>
      <c r="I665" s="51" t="s">
        <v>1387</v>
      </c>
    </row>
    <row r="666" customFormat="false" ht="15" hidden="false" customHeight="false" outlineLevel="0" collapsed="false">
      <c r="A666" s="51" t="s">
        <v>92</v>
      </c>
      <c r="B666" s="51" t="n">
        <v>38</v>
      </c>
      <c r="C666" s="51" t="s">
        <v>314</v>
      </c>
      <c r="D666" s="52" t="n">
        <v>45989</v>
      </c>
      <c r="E666" s="53" t="n">
        <v>237.2</v>
      </c>
      <c r="F666" s="53" t="n">
        <v>855.1</v>
      </c>
      <c r="G666" s="51" t="n">
        <v>50</v>
      </c>
      <c r="H666" s="51" t="n">
        <v>54</v>
      </c>
      <c r="I666" s="51" t="s">
        <v>1387</v>
      </c>
    </row>
    <row r="667" customFormat="false" ht="15" hidden="false" customHeight="false" outlineLevel="0" collapsed="false">
      <c r="A667" s="51" t="s">
        <v>92</v>
      </c>
      <c r="B667" s="51" t="n">
        <v>38</v>
      </c>
      <c r="C667" s="51" t="s">
        <v>314</v>
      </c>
      <c r="D667" s="52" t="n">
        <v>45990</v>
      </c>
      <c r="E667" s="53" t="n">
        <v>234.22</v>
      </c>
      <c r="F667" s="53" t="n">
        <v>636.99</v>
      </c>
      <c r="G667" s="51" t="n">
        <v>38</v>
      </c>
      <c r="H667" s="51" t="n">
        <v>39</v>
      </c>
      <c r="I667" s="51" t="s">
        <v>1387</v>
      </c>
    </row>
    <row r="668" customFormat="false" ht="15" hidden="false" customHeight="false" outlineLevel="0" collapsed="false">
      <c r="A668" s="51" t="s">
        <v>92</v>
      </c>
      <c r="B668" s="51" t="n">
        <v>38</v>
      </c>
      <c r="C668" s="51" t="s">
        <v>314</v>
      </c>
      <c r="D668" s="52" t="n">
        <v>45991</v>
      </c>
      <c r="E668" s="53" t="n">
        <v>243.04</v>
      </c>
      <c r="F668" s="53" t="n">
        <v>543.29</v>
      </c>
      <c r="G668" s="51" t="n">
        <v>33</v>
      </c>
      <c r="H668" s="51" t="n">
        <v>33</v>
      </c>
      <c r="I668" s="51" t="s">
        <v>1387</v>
      </c>
    </row>
    <row r="669" customFormat="false" ht="15" hidden="false" customHeight="false" outlineLevel="0" collapsed="false">
      <c r="A669" s="51" t="s">
        <v>92</v>
      </c>
      <c r="B669" s="51" t="n">
        <v>38</v>
      </c>
      <c r="C669" s="51" t="s">
        <v>314</v>
      </c>
      <c r="D669" s="52" t="n">
        <v>45992</v>
      </c>
      <c r="E669" s="53" t="n">
        <v>266.67</v>
      </c>
      <c r="F669" s="53" t="n">
        <v>875.97</v>
      </c>
      <c r="G669" s="51" t="n">
        <v>52</v>
      </c>
      <c r="H669" s="51" t="n">
        <v>52</v>
      </c>
      <c r="I669" s="51" t="s">
        <v>1387</v>
      </c>
    </row>
    <row r="670" customFormat="false" ht="15" hidden="false" customHeight="false" outlineLevel="0" collapsed="false">
      <c r="A670" s="51" t="s">
        <v>92</v>
      </c>
      <c r="B670" s="51" t="n">
        <v>38</v>
      </c>
      <c r="C670" s="51" t="s">
        <v>314</v>
      </c>
      <c r="D670" s="52" t="n">
        <v>45993</v>
      </c>
      <c r="E670" s="53" t="n">
        <v>140.8</v>
      </c>
      <c r="F670" s="53" t="n">
        <v>323.2</v>
      </c>
      <c r="G670" s="51" t="n">
        <v>13</v>
      </c>
      <c r="H670" s="51" t="n">
        <v>16</v>
      </c>
      <c r="I670" s="51"/>
    </row>
    <row r="671" customFormat="false" ht="15" hidden="false" customHeight="false" outlineLevel="0" collapsed="false">
      <c r="A671" s="51" t="s">
        <v>92</v>
      </c>
      <c r="B671" s="51" t="n">
        <v>38</v>
      </c>
      <c r="C671" s="51" t="s">
        <v>314</v>
      </c>
      <c r="D671" s="52" t="n">
        <v>45994</v>
      </c>
      <c r="E671" s="53" t="n">
        <v>139.39</v>
      </c>
      <c r="F671" s="53" t="n">
        <v>217.45</v>
      </c>
      <c r="G671" s="51" t="n">
        <v>11</v>
      </c>
      <c r="H671" s="51" t="n">
        <v>11</v>
      </c>
      <c r="I671" s="51"/>
    </row>
    <row r="672" customFormat="false" ht="15" hidden="false" customHeight="false" outlineLevel="0" collapsed="false">
      <c r="A672" s="51" t="s">
        <v>92</v>
      </c>
      <c r="B672" s="51" t="n">
        <v>38</v>
      </c>
      <c r="C672" s="51" t="s">
        <v>314</v>
      </c>
      <c r="D672" s="52" t="n">
        <v>45995</v>
      </c>
      <c r="E672" s="53" t="n">
        <v>181.11</v>
      </c>
      <c r="F672" s="53" t="n">
        <v>520.75</v>
      </c>
      <c r="G672" s="51" t="n">
        <v>23</v>
      </c>
      <c r="H672" s="51" t="n">
        <v>25</v>
      </c>
      <c r="I672" s="51"/>
    </row>
    <row r="673" customFormat="false" ht="15" hidden="false" customHeight="false" outlineLevel="0" collapsed="false">
      <c r="A673" s="51" t="s">
        <v>92</v>
      </c>
      <c r="B673" s="51" t="n">
        <v>38</v>
      </c>
      <c r="C673" s="51" t="s">
        <v>314</v>
      </c>
      <c r="D673" s="52" t="n">
        <v>45996</v>
      </c>
      <c r="E673" s="53" t="n">
        <v>143.43</v>
      </c>
      <c r="F673" s="53" t="n">
        <v>474.75</v>
      </c>
      <c r="G673" s="51" t="n">
        <v>24</v>
      </c>
      <c r="H673" s="51" t="n">
        <v>25</v>
      </c>
      <c r="I673" s="51"/>
    </row>
    <row r="674" customFormat="false" ht="15" hidden="false" customHeight="false" outlineLevel="0" collapsed="false">
      <c r="A674" s="51" t="s">
        <v>92</v>
      </c>
      <c r="B674" s="51" t="n">
        <v>38</v>
      </c>
      <c r="C674" s="51" t="s">
        <v>314</v>
      </c>
      <c r="D674" s="52" t="n">
        <v>45997</v>
      </c>
      <c r="E674" s="53" t="n">
        <v>189.18</v>
      </c>
      <c r="F674" s="53" t="n">
        <v>408.9</v>
      </c>
      <c r="G674" s="51" t="n">
        <v>22</v>
      </c>
      <c r="H674" s="51" t="n">
        <v>22</v>
      </c>
      <c r="I674" s="51"/>
    </row>
    <row r="675" customFormat="false" ht="15" hidden="false" customHeight="false" outlineLevel="0" collapsed="false">
      <c r="A675" s="51" t="s">
        <v>92</v>
      </c>
      <c r="B675" s="51" t="n">
        <v>38</v>
      </c>
      <c r="C675" s="51" t="s">
        <v>314</v>
      </c>
      <c r="D675" s="52" t="n">
        <v>45998</v>
      </c>
      <c r="E675" s="53" t="n">
        <v>226.11</v>
      </c>
      <c r="F675" s="53" t="n">
        <v>657.44</v>
      </c>
      <c r="G675" s="51" t="n">
        <v>31</v>
      </c>
      <c r="H675" s="51" t="n">
        <v>32</v>
      </c>
      <c r="I675" s="51"/>
    </row>
    <row r="676" customFormat="false" ht="15" hidden="false" customHeight="false" outlineLevel="0" collapsed="false">
      <c r="A676" s="51" t="s">
        <v>92</v>
      </c>
      <c r="B676" s="51" t="n">
        <v>38</v>
      </c>
      <c r="C676" s="51" t="s">
        <v>314</v>
      </c>
      <c r="D676" s="52" t="n">
        <v>45999</v>
      </c>
      <c r="E676" s="53" t="n">
        <v>157.71</v>
      </c>
      <c r="F676" s="53" t="n">
        <v>260.35</v>
      </c>
      <c r="G676" s="51" t="n">
        <v>12</v>
      </c>
      <c r="H676" s="51" t="n">
        <v>13</v>
      </c>
      <c r="I676" s="51"/>
    </row>
    <row r="677" customFormat="false" ht="15" hidden="false" customHeight="false" outlineLevel="0" collapsed="false">
      <c r="A677" s="51" t="s">
        <v>92</v>
      </c>
      <c r="B677" s="51" t="n">
        <v>38</v>
      </c>
      <c r="C677" s="51" t="s">
        <v>314</v>
      </c>
      <c r="D677" s="52" t="n">
        <v>46000</v>
      </c>
      <c r="E677" s="53" t="n">
        <v>164.56</v>
      </c>
      <c r="F677" s="53" t="n">
        <v>268.3</v>
      </c>
      <c r="G677" s="51" t="n">
        <v>14</v>
      </c>
      <c r="H677" s="51" t="n">
        <v>14</v>
      </c>
      <c r="I677" s="51"/>
    </row>
    <row r="678" customFormat="false" ht="15" hidden="false" customHeight="false" outlineLevel="0" collapsed="false">
      <c r="A678" s="51" t="s">
        <v>92</v>
      </c>
      <c r="B678" s="51" t="n">
        <v>38</v>
      </c>
      <c r="C678" s="51" t="s">
        <v>314</v>
      </c>
      <c r="D678" s="52" t="n">
        <v>46001</v>
      </c>
      <c r="E678" s="53" t="n">
        <v>145.85</v>
      </c>
      <c r="F678" s="53" t="n">
        <v>376.15</v>
      </c>
      <c r="G678" s="51" t="n">
        <v>14</v>
      </c>
      <c r="H678" s="51" t="n">
        <v>17</v>
      </c>
      <c r="I678" s="51"/>
    </row>
    <row r="679" customFormat="false" ht="15" hidden="false" customHeight="false" outlineLevel="0" collapsed="false">
      <c r="A679" s="51" t="s">
        <v>92</v>
      </c>
      <c r="B679" s="51" t="n">
        <v>38</v>
      </c>
      <c r="C679" s="51" t="s">
        <v>314</v>
      </c>
      <c r="D679" s="52" t="n">
        <v>46002</v>
      </c>
      <c r="E679" s="53" t="n">
        <v>168.18</v>
      </c>
      <c r="F679" s="53" t="n">
        <v>249.35</v>
      </c>
      <c r="G679" s="51" t="n">
        <v>12</v>
      </c>
      <c r="H679" s="51" t="n">
        <v>13</v>
      </c>
      <c r="I679" s="51"/>
    </row>
    <row r="680" customFormat="false" ht="15" hidden="false" customHeight="false" outlineLevel="0" collapsed="false">
      <c r="A680" s="51" t="s">
        <v>92</v>
      </c>
      <c r="B680" s="51" t="n">
        <v>38</v>
      </c>
      <c r="C680" s="51" t="s">
        <v>314</v>
      </c>
      <c r="D680" s="52" t="n">
        <v>46003</v>
      </c>
      <c r="E680" s="53" t="n">
        <v>151.85</v>
      </c>
      <c r="F680" s="53" t="n">
        <v>370</v>
      </c>
      <c r="G680" s="51" t="n">
        <v>20</v>
      </c>
      <c r="H680" s="51" t="n">
        <v>20</v>
      </c>
      <c r="I680" s="51"/>
    </row>
    <row r="681" customFormat="false" ht="15" hidden="false" customHeight="false" outlineLevel="0" collapsed="false">
      <c r="A681" s="51" t="s">
        <v>92</v>
      </c>
      <c r="B681" s="51" t="n">
        <v>38</v>
      </c>
      <c r="C681" s="51" t="s">
        <v>314</v>
      </c>
      <c r="D681" s="52" t="n">
        <v>46004</v>
      </c>
      <c r="E681" s="53" t="n">
        <v>165.22</v>
      </c>
      <c r="F681" s="53" t="n">
        <v>479.8</v>
      </c>
      <c r="G681" s="51" t="n">
        <v>24</v>
      </c>
      <c r="H681" s="51" t="n">
        <v>24</v>
      </c>
      <c r="I681" s="51"/>
    </row>
    <row r="682" customFormat="false" ht="15" hidden="false" customHeight="false" outlineLevel="0" collapsed="false">
      <c r="A682" s="51" t="s">
        <v>92</v>
      </c>
      <c r="B682" s="51" t="n">
        <v>38</v>
      </c>
      <c r="C682" s="51" t="s">
        <v>314</v>
      </c>
      <c r="D682" s="52" t="n">
        <v>46005</v>
      </c>
      <c r="E682" s="53" t="n">
        <v>234.24</v>
      </c>
      <c r="F682" s="53" t="n">
        <v>662.34</v>
      </c>
      <c r="G682" s="51" t="n">
        <v>33</v>
      </c>
      <c r="H682" s="51" t="n">
        <v>34</v>
      </c>
      <c r="I682" s="51"/>
    </row>
    <row r="683" customFormat="false" ht="15" hidden="false" customHeight="false" outlineLevel="0" collapsed="false">
      <c r="A683" s="51" t="s">
        <v>92</v>
      </c>
      <c r="B683" s="51" t="n">
        <v>38</v>
      </c>
      <c r="C683" s="51" t="s">
        <v>314</v>
      </c>
      <c r="D683" s="52" t="n">
        <v>46006</v>
      </c>
      <c r="E683" s="53" t="n">
        <v>205.75</v>
      </c>
      <c r="F683" s="53" t="n">
        <v>440.85</v>
      </c>
      <c r="G683" s="51" t="n">
        <v>21</v>
      </c>
      <c r="H683" s="51" t="n">
        <v>23</v>
      </c>
      <c r="I683" s="51"/>
    </row>
    <row r="684" customFormat="false" ht="15" hidden="false" customHeight="false" outlineLevel="0" collapsed="false">
      <c r="A684" s="51" t="s">
        <v>92</v>
      </c>
      <c r="B684" s="51" t="n">
        <v>38</v>
      </c>
      <c r="C684" s="51" t="s">
        <v>1377</v>
      </c>
      <c r="D684" s="52" t="n">
        <v>45981</v>
      </c>
      <c r="E684" s="53" t="n">
        <v>3.87</v>
      </c>
      <c r="F684" s="53" t="n">
        <v>0</v>
      </c>
      <c r="G684" s="51" t="n">
        <v>0</v>
      </c>
      <c r="H684" s="51" t="n">
        <v>0</v>
      </c>
      <c r="I684" s="51" t="s">
        <v>1387</v>
      </c>
    </row>
    <row r="685" customFormat="false" ht="15" hidden="false" customHeight="false" outlineLevel="0" collapsed="false">
      <c r="A685" s="51" t="s">
        <v>92</v>
      </c>
      <c r="B685" s="51" t="n">
        <v>38</v>
      </c>
      <c r="C685" s="51" t="s">
        <v>1377</v>
      </c>
      <c r="D685" s="52" t="n">
        <v>45982</v>
      </c>
      <c r="E685" s="53" t="n">
        <v>2.58</v>
      </c>
      <c r="F685" s="53" t="n">
        <v>27.95</v>
      </c>
      <c r="G685" s="51" t="n">
        <v>1</v>
      </c>
      <c r="H685" s="51" t="n">
        <v>1</v>
      </c>
      <c r="I685" s="51" t="s">
        <v>1387</v>
      </c>
    </row>
    <row r="686" customFormat="false" ht="15" hidden="false" customHeight="false" outlineLevel="0" collapsed="false">
      <c r="A686" s="51" t="s">
        <v>92</v>
      </c>
      <c r="B686" s="51" t="n">
        <v>38</v>
      </c>
      <c r="C686" s="51" t="s">
        <v>1377</v>
      </c>
      <c r="D686" s="52" t="n">
        <v>45983</v>
      </c>
      <c r="E686" s="53" t="n">
        <v>4.36</v>
      </c>
      <c r="F686" s="53" t="n">
        <v>64.78</v>
      </c>
      <c r="G686" s="51" t="n">
        <v>2</v>
      </c>
      <c r="H686" s="51" t="n">
        <v>2</v>
      </c>
      <c r="I686" s="51" t="s">
        <v>1387</v>
      </c>
    </row>
    <row r="687" customFormat="false" ht="15" hidden="false" customHeight="false" outlineLevel="0" collapsed="false">
      <c r="A687" s="51" t="s">
        <v>92</v>
      </c>
      <c r="B687" s="51" t="n">
        <v>38</v>
      </c>
      <c r="C687" s="51" t="s">
        <v>1377</v>
      </c>
      <c r="D687" s="52" t="n">
        <v>45984</v>
      </c>
      <c r="E687" s="53" t="n">
        <v>7.05</v>
      </c>
      <c r="F687" s="53" t="n">
        <v>137.84</v>
      </c>
      <c r="G687" s="51" t="n">
        <v>5</v>
      </c>
      <c r="H687" s="51" t="n">
        <v>5</v>
      </c>
      <c r="I687" s="51" t="s">
        <v>1387</v>
      </c>
    </row>
    <row r="688" customFormat="false" ht="15" hidden="false" customHeight="false" outlineLevel="0" collapsed="false">
      <c r="A688" s="51" t="s">
        <v>92</v>
      </c>
      <c r="B688" s="51" t="n">
        <v>38</v>
      </c>
      <c r="C688" s="51" t="s">
        <v>1377</v>
      </c>
      <c r="D688" s="52" t="n">
        <v>45985</v>
      </c>
      <c r="E688" s="53" t="n">
        <v>2.15</v>
      </c>
      <c r="F688" s="53" t="n">
        <v>0</v>
      </c>
      <c r="G688" s="51" t="n">
        <v>0</v>
      </c>
      <c r="H688" s="51" t="n">
        <v>0</v>
      </c>
      <c r="I688" s="51" t="s">
        <v>1387</v>
      </c>
    </row>
    <row r="689" customFormat="false" ht="15" hidden="false" customHeight="false" outlineLevel="0" collapsed="false">
      <c r="A689" s="51" t="s">
        <v>92</v>
      </c>
      <c r="B689" s="51" t="n">
        <v>38</v>
      </c>
      <c r="C689" s="51" t="s">
        <v>1377</v>
      </c>
      <c r="D689" s="52" t="n">
        <v>45986</v>
      </c>
      <c r="E689" s="53" t="n">
        <v>4.73</v>
      </c>
      <c r="F689" s="53" t="n">
        <v>53.33</v>
      </c>
      <c r="G689" s="51" t="n">
        <v>2</v>
      </c>
      <c r="H689" s="51" t="n">
        <v>2</v>
      </c>
      <c r="I689" s="51" t="s">
        <v>1387</v>
      </c>
    </row>
    <row r="690" customFormat="false" ht="15" hidden="false" customHeight="false" outlineLevel="0" collapsed="false">
      <c r="A690" s="51" t="s">
        <v>92</v>
      </c>
      <c r="B690" s="51" t="n">
        <v>38</v>
      </c>
      <c r="C690" s="51" t="s">
        <v>1377</v>
      </c>
      <c r="D690" s="52" t="n">
        <v>45987</v>
      </c>
      <c r="E690" s="53" t="n">
        <v>1.84</v>
      </c>
      <c r="F690" s="53" t="n">
        <v>0</v>
      </c>
      <c r="G690" s="51" t="n">
        <v>0</v>
      </c>
      <c r="H690" s="51" t="n">
        <v>0</v>
      </c>
      <c r="I690" s="51" t="s">
        <v>1387</v>
      </c>
    </row>
    <row r="691" customFormat="false" ht="15" hidden="false" customHeight="false" outlineLevel="0" collapsed="false">
      <c r="A691" s="51" t="s">
        <v>92</v>
      </c>
      <c r="B691" s="51" t="n">
        <v>38</v>
      </c>
      <c r="C691" s="51" t="s">
        <v>1377</v>
      </c>
      <c r="D691" s="52" t="n">
        <v>45988</v>
      </c>
      <c r="E691" s="53" t="n">
        <v>4.29</v>
      </c>
      <c r="F691" s="53" t="n">
        <v>37.04</v>
      </c>
      <c r="G691" s="51" t="n">
        <v>1</v>
      </c>
      <c r="H691" s="51" t="n">
        <v>1</v>
      </c>
      <c r="I691" s="51" t="s">
        <v>1387</v>
      </c>
    </row>
    <row r="692" customFormat="false" ht="15" hidden="false" customHeight="false" outlineLevel="0" collapsed="false">
      <c r="A692" s="51" t="s">
        <v>92</v>
      </c>
      <c r="B692" s="51" t="n">
        <v>38</v>
      </c>
      <c r="C692" s="51" t="s">
        <v>1377</v>
      </c>
      <c r="D692" s="52" t="n">
        <v>45989</v>
      </c>
      <c r="E692" s="53" t="n">
        <v>3.44</v>
      </c>
      <c r="F692" s="53" t="n">
        <v>24.95</v>
      </c>
      <c r="G692" s="51" t="n">
        <v>1</v>
      </c>
      <c r="H692" s="51" t="n">
        <v>1</v>
      </c>
      <c r="I692" s="51" t="s">
        <v>1387</v>
      </c>
    </row>
    <row r="693" customFormat="false" ht="15" hidden="false" customHeight="false" outlineLevel="0" collapsed="false">
      <c r="A693" s="51" t="s">
        <v>92</v>
      </c>
      <c r="B693" s="51" t="n">
        <v>38</v>
      </c>
      <c r="C693" s="51" t="s">
        <v>1377</v>
      </c>
      <c r="D693" s="52" t="n">
        <v>45990</v>
      </c>
      <c r="E693" s="53" t="n">
        <v>4.72</v>
      </c>
      <c r="F693" s="53" t="n">
        <v>133.67</v>
      </c>
      <c r="G693" s="51" t="n">
        <v>4</v>
      </c>
      <c r="H693" s="51" t="n">
        <v>4</v>
      </c>
      <c r="I693" s="51" t="s">
        <v>1387</v>
      </c>
    </row>
    <row r="694" customFormat="false" ht="15" hidden="false" customHeight="false" outlineLevel="0" collapsed="false">
      <c r="A694" s="51" t="s">
        <v>92</v>
      </c>
      <c r="B694" s="51" t="n">
        <v>38</v>
      </c>
      <c r="C694" s="51" t="s">
        <v>1377</v>
      </c>
      <c r="D694" s="52" t="n">
        <v>45991</v>
      </c>
      <c r="E694" s="53" t="n">
        <v>7.74</v>
      </c>
      <c r="F694" s="53" t="n">
        <v>85.09</v>
      </c>
      <c r="G694" s="51" t="n">
        <v>3</v>
      </c>
      <c r="H694" s="51" t="n">
        <v>3</v>
      </c>
      <c r="I694" s="51" t="s">
        <v>1387</v>
      </c>
    </row>
    <row r="695" customFormat="false" ht="15" hidden="false" customHeight="false" outlineLevel="0" collapsed="false">
      <c r="A695" s="51" t="s">
        <v>92</v>
      </c>
      <c r="B695" s="51" t="n">
        <v>38</v>
      </c>
      <c r="C695" s="51" t="s">
        <v>1377</v>
      </c>
      <c r="D695" s="52" t="n">
        <v>45992</v>
      </c>
      <c r="E695" s="53" t="n">
        <v>4.08</v>
      </c>
      <c r="F695" s="53" t="n">
        <v>23.95</v>
      </c>
      <c r="G695" s="51" t="n">
        <v>1</v>
      </c>
      <c r="H695" s="51" t="n">
        <v>1</v>
      </c>
      <c r="I695" s="51" t="s">
        <v>1387</v>
      </c>
    </row>
    <row r="696" customFormat="false" ht="15" hidden="false" customHeight="false" outlineLevel="0" collapsed="false">
      <c r="A696" s="51" t="s">
        <v>92</v>
      </c>
      <c r="B696" s="51" t="n">
        <v>38</v>
      </c>
      <c r="C696" s="51" t="s">
        <v>1377</v>
      </c>
      <c r="D696" s="52" t="n">
        <v>45993</v>
      </c>
      <c r="E696" s="53" t="n">
        <v>4.22</v>
      </c>
      <c r="F696" s="53" t="n">
        <v>23.95</v>
      </c>
      <c r="G696" s="51" t="n">
        <v>1</v>
      </c>
      <c r="H696" s="51" t="n">
        <v>1</v>
      </c>
      <c r="I696" s="51"/>
    </row>
    <row r="697" customFormat="false" ht="15" hidden="false" customHeight="false" outlineLevel="0" collapsed="false">
      <c r="A697" s="51" t="s">
        <v>92</v>
      </c>
      <c r="B697" s="51" t="n">
        <v>38</v>
      </c>
      <c r="C697" s="51" t="s">
        <v>1377</v>
      </c>
      <c r="D697" s="52" t="n">
        <v>45994</v>
      </c>
      <c r="E697" s="53" t="n">
        <v>0</v>
      </c>
      <c r="F697" s="53" t="n">
        <v>0</v>
      </c>
      <c r="G697" s="51" t="n">
        <v>0</v>
      </c>
      <c r="H697" s="51" t="n">
        <v>0</v>
      </c>
      <c r="I697" s="51"/>
    </row>
    <row r="698" customFormat="false" ht="15" hidden="false" customHeight="false" outlineLevel="0" collapsed="false">
      <c r="A698" s="51" t="s">
        <v>92</v>
      </c>
      <c r="B698" s="51" t="n">
        <v>38</v>
      </c>
      <c r="C698" s="51" t="s">
        <v>1377</v>
      </c>
      <c r="D698" s="52" t="n">
        <v>45995</v>
      </c>
      <c r="E698" s="53" t="n">
        <v>0</v>
      </c>
      <c r="F698" s="53" t="n">
        <v>0</v>
      </c>
      <c r="G698" s="51" t="n">
        <v>0</v>
      </c>
      <c r="H698" s="51" t="n">
        <v>0</v>
      </c>
      <c r="I698" s="51"/>
    </row>
    <row r="699" customFormat="false" ht="15" hidden="false" customHeight="false" outlineLevel="0" collapsed="false">
      <c r="A699" s="51" t="s">
        <v>92</v>
      </c>
      <c r="B699" s="51" t="n">
        <v>38</v>
      </c>
      <c r="C699" s="51" t="s">
        <v>1377</v>
      </c>
      <c r="D699" s="52" t="n">
        <v>45996</v>
      </c>
      <c r="E699" s="53" t="n">
        <v>0</v>
      </c>
      <c r="F699" s="53" t="n">
        <v>0</v>
      </c>
      <c r="G699" s="51" t="n">
        <v>0</v>
      </c>
      <c r="H699" s="51" t="n">
        <v>0</v>
      </c>
      <c r="I699" s="51"/>
    </row>
    <row r="700" customFormat="false" ht="15" hidden="false" customHeight="false" outlineLevel="0" collapsed="false">
      <c r="A700" s="51" t="s">
        <v>92</v>
      </c>
      <c r="B700" s="51" t="n">
        <v>38</v>
      </c>
      <c r="C700" s="51" t="s">
        <v>1377</v>
      </c>
      <c r="D700" s="52" t="n">
        <v>45997</v>
      </c>
      <c r="E700" s="53" t="n">
        <v>0</v>
      </c>
      <c r="F700" s="53" t="n">
        <v>0</v>
      </c>
      <c r="G700" s="51" t="n">
        <v>0</v>
      </c>
      <c r="H700" s="51" t="n">
        <v>0</v>
      </c>
      <c r="I700" s="51"/>
    </row>
    <row r="701" customFormat="false" ht="15" hidden="false" customHeight="false" outlineLevel="0" collapsed="false">
      <c r="A701" s="51" t="s">
        <v>92</v>
      </c>
      <c r="B701" s="51" t="n">
        <v>38</v>
      </c>
      <c r="C701" s="51" t="s">
        <v>1377</v>
      </c>
      <c r="D701" s="52" t="n">
        <v>45998</v>
      </c>
      <c r="E701" s="53" t="n">
        <v>0</v>
      </c>
      <c r="F701" s="53" t="n">
        <v>0</v>
      </c>
      <c r="G701" s="51" t="n">
        <v>0</v>
      </c>
      <c r="H701" s="51" t="n">
        <v>0</v>
      </c>
      <c r="I701" s="51"/>
    </row>
    <row r="702" customFormat="false" ht="15" hidden="false" customHeight="false" outlineLevel="0" collapsed="false">
      <c r="A702" s="51" t="s">
        <v>92</v>
      </c>
      <c r="B702" s="51" t="n">
        <v>38</v>
      </c>
      <c r="C702" s="51" t="s">
        <v>1377</v>
      </c>
      <c r="D702" s="52" t="n">
        <v>45999</v>
      </c>
      <c r="E702" s="53" t="n">
        <v>0</v>
      </c>
      <c r="F702" s="53" t="n">
        <v>0</v>
      </c>
      <c r="G702" s="51" t="n">
        <v>0</v>
      </c>
      <c r="H702" s="51" t="n">
        <v>0</v>
      </c>
      <c r="I702" s="51"/>
    </row>
    <row r="703" customFormat="false" ht="15" hidden="false" customHeight="false" outlineLevel="0" collapsed="false">
      <c r="A703" s="51" t="s">
        <v>92</v>
      </c>
      <c r="B703" s="51" t="n">
        <v>38</v>
      </c>
      <c r="C703" s="51" t="s">
        <v>1377</v>
      </c>
      <c r="D703" s="52" t="n">
        <v>46000</v>
      </c>
      <c r="E703" s="53" t="n">
        <v>0</v>
      </c>
      <c r="F703" s="53" t="n">
        <v>0</v>
      </c>
      <c r="G703" s="51" t="n">
        <v>0</v>
      </c>
      <c r="H703" s="51" t="n">
        <v>0</v>
      </c>
      <c r="I703" s="51"/>
    </row>
    <row r="704" customFormat="false" ht="15" hidden="false" customHeight="false" outlineLevel="0" collapsed="false">
      <c r="A704" s="51" t="s">
        <v>92</v>
      </c>
      <c r="B704" s="51" t="n">
        <v>38</v>
      </c>
      <c r="C704" s="51" t="s">
        <v>1377</v>
      </c>
      <c r="D704" s="52" t="n">
        <v>46001</v>
      </c>
      <c r="E704" s="53" t="n">
        <v>0</v>
      </c>
      <c r="F704" s="53" t="n">
        <v>0</v>
      </c>
      <c r="G704" s="51" t="n">
        <v>0</v>
      </c>
      <c r="H704" s="51" t="n">
        <v>0</v>
      </c>
      <c r="I704" s="51"/>
    </row>
    <row r="705" customFormat="false" ht="15" hidden="false" customHeight="false" outlineLevel="0" collapsed="false">
      <c r="A705" s="51" t="s">
        <v>92</v>
      </c>
      <c r="B705" s="51" t="n">
        <v>38</v>
      </c>
      <c r="C705" s="51" t="s">
        <v>1377</v>
      </c>
      <c r="D705" s="52" t="n">
        <v>46002</v>
      </c>
      <c r="E705" s="53" t="n">
        <v>0</v>
      </c>
      <c r="F705" s="53" t="n">
        <v>0</v>
      </c>
      <c r="G705" s="51" t="n">
        <v>0</v>
      </c>
      <c r="H705" s="51" t="n">
        <v>0</v>
      </c>
      <c r="I705" s="51"/>
    </row>
    <row r="706" customFormat="false" ht="15" hidden="false" customHeight="false" outlineLevel="0" collapsed="false">
      <c r="A706" s="51" t="s">
        <v>92</v>
      </c>
      <c r="B706" s="51" t="n">
        <v>38</v>
      </c>
      <c r="C706" s="51" t="s">
        <v>1377</v>
      </c>
      <c r="D706" s="52" t="n">
        <v>46003</v>
      </c>
      <c r="E706" s="53" t="n">
        <v>0</v>
      </c>
      <c r="F706" s="53" t="n">
        <v>0</v>
      </c>
      <c r="G706" s="51" t="n">
        <v>0</v>
      </c>
      <c r="H706" s="51" t="n">
        <v>0</v>
      </c>
      <c r="I706" s="51"/>
    </row>
    <row r="707" customFormat="false" ht="15" hidden="false" customHeight="false" outlineLevel="0" collapsed="false">
      <c r="A707" s="51" t="s">
        <v>92</v>
      </c>
      <c r="B707" s="51" t="n">
        <v>38</v>
      </c>
      <c r="C707" s="51" t="s">
        <v>1377</v>
      </c>
      <c r="D707" s="52" t="n">
        <v>46004</v>
      </c>
      <c r="E707" s="53" t="n">
        <v>0</v>
      </c>
      <c r="F707" s="53" t="n">
        <v>0</v>
      </c>
      <c r="G707" s="51" t="n">
        <v>0</v>
      </c>
      <c r="H707" s="51" t="n">
        <v>0</v>
      </c>
      <c r="I707" s="51"/>
    </row>
    <row r="708" customFormat="false" ht="15" hidden="false" customHeight="false" outlineLevel="0" collapsed="false">
      <c r="A708" s="51" t="s">
        <v>92</v>
      </c>
      <c r="B708" s="51" t="n">
        <v>38</v>
      </c>
      <c r="C708" s="51" t="s">
        <v>1377</v>
      </c>
      <c r="D708" s="52" t="n">
        <v>46005</v>
      </c>
      <c r="E708" s="53" t="n">
        <v>0</v>
      </c>
      <c r="F708" s="53" t="n">
        <v>0</v>
      </c>
      <c r="G708" s="51" t="n">
        <v>0</v>
      </c>
      <c r="H708" s="51" t="n">
        <v>0</v>
      </c>
      <c r="I708" s="51"/>
    </row>
    <row r="709" customFormat="false" ht="15" hidden="false" customHeight="false" outlineLevel="0" collapsed="false">
      <c r="A709" s="51" t="s">
        <v>92</v>
      </c>
      <c r="B709" s="51" t="n">
        <v>38</v>
      </c>
      <c r="C709" s="51" t="s">
        <v>1377</v>
      </c>
      <c r="D709" s="52" t="n">
        <v>46006</v>
      </c>
      <c r="E709" s="53" t="n">
        <v>0</v>
      </c>
      <c r="F709" s="53" t="n">
        <v>0</v>
      </c>
      <c r="G709" s="51" t="n">
        <v>0</v>
      </c>
      <c r="H709" s="51" t="n">
        <v>0</v>
      </c>
      <c r="I709" s="51"/>
    </row>
    <row r="710" customFormat="false" ht="15" hidden="false" customHeight="false" outlineLevel="0" collapsed="false">
      <c r="A710" s="51" t="s">
        <v>99</v>
      </c>
      <c r="B710" s="51" t="n">
        <v>55</v>
      </c>
      <c r="C710" s="51" t="s">
        <v>314</v>
      </c>
      <c r="D710" s="52" t="n">
        <v>45945</v>
      </c>
      <c r="E710" s="53" t="n">
        <v>173.62</v>
      </c>
      <c r="F710" s="53" t="n">
        <v>460.55</v>
      </c>
      <c r="G710" s="51" t="n">
        <v>9</v>
      </c>
      <c r="H710" s="51" t="n">
        <v>9</v>
      </c>
      <c r="I710" s="51"/>
    </row>
    <row r="711" customFormat="false" ht="15" hidden="false" customHeight="false" outlineLevel="0" collapsed="false">
      <c r="A711" s="51" t="s">
        <v>99</v>
      </c>
      <c r="B711" s="51" t="n">
        <v>55</v>
      </c>
      <c r="C711" s="51" t="s">
        <v>314</v>
      </c>
      <c r="D711" s="52" t="n">
        <v>45946</v>
      </c>
      <c r="E711" s="53" t="n">
        <v>222.56</v>
      </c>
      <c r="F711" s="53" t="n">
        <v>535.45</v>
      </c>
      <c r="G711" s="51" t="n">
        <v>9</v>
      </c>
      <c r="H711" s="51" t="n">
        <v>11</v>
      </c>
      <c r="I711" s="51"/>
    </row>
    <row r="712" customFormat="false" ht="15" hidden="false" customHeight="false" outlineLevel="0" collapsed="false">
      <c r="A712" s="51" t="s">
        <v>99</v>
      </c>
      <c r="B712" s="51" t="n">
        <v>55</v>
      </c>
      <c r="C712" s="51" t="s">
        <v>314</v>
      </c>
      <c r="D712" s="52" t="n">
        <v>45947</v>
      </c>
      <c r="E712" s="53" t="n">
        <v>185.64</v>
      </c>
      <c r="F712" s="53" t="n">
        <v>234.75</v>
      </c>
      <c r="G712" s="51" t="n">
        <v>4</v>
      </c>
      <c r="H712" s="51" t="n">
        <v>5</v>
      </c>
      <c r="I712" s="51"/>
    </row>
    <row r="713" customFormat="false" ht="15" hidden="false" customHeight="false" outlineLevel="0" collapsed="false">
      <c r="A713" s="51" t="s">
        <v>99</v>
      </c>
      <c r="B713" s="51" t="n">
        <v>55</v>
      </c>
      <c r="C713" s="51" t="s">
        <v>314</v>
      </c>
      <c r="D713" s="52" t="n">
        <v>45948</v>
      </c>
      <c r="E713" s="53" t="n">
        <v>226.09</v>
      </c>
      <c r="F713" s="53" t="n">
        <v>369.69</v>
      </c>
      <c r="G713" s="51" t="n">
        <v>7</v>
      </c>
      <c r="H713" s="51" t="n">
        <v>7</v>
      </c>
      <c r="I713" s="51"/>
    </row>
    <row r="714" customFormat="false" ht="15" hidden="false" customHeight="false" outlineLevel="0" collapsed="false">
      <c r="A714" s="51" t="s">
        <v>99</v>
      </c>
      <c r="B714" s="51" t="n">
        <v>55</v>
      </c>
      <c r="C714" s="51" t="s">
        <v>314</v>
      </c>
      <c r="D714" s="52" t="n">
        <v>45949</v>
      </c>
      <c r="E714" s="53" t="n">
        <v>233.21</v>
      </c>
      <c r="F714" s="53" t="n">
        <v>299.74</v>
      </c>
      <c r="G714" s="51" t="n">
        <v>6</v>
      </c>
      <c r="H714" s="51" t="n">
        <v>6</v>
      </c>
      <c r="I714" s="51"/>
    </row>
    <row r="715" customFormat="false" ht="15" hidden="false" customHeight="false" outlineLevel="0" collapsed="false">
      <c r="A715" s="51" t="s">
        <v>99</v>
      </c>
      <c r="B715" s="51" t="n">
        <v>55</v>
      </c>
      <c r="C715" s="51" t="s">
        <v>314</v>
      </c>
      <c r="D715" s="52" t="n">
        <v>45950</v>
      </c>
      <c r="E715" s="53" t="n">
        <v>212.1</v>
      </c>
      <c r="F715" s="53" t="n">
        <v>236.75</v>
      </c>
      <c r="G715" s="51" t="n">
        <v>5</v>
      </c>
      <c r="H715" s="51" t="n">
        <v>5</v>
      </c>
      <c r="I715" s="51"/>
    </row>
    <row r="716" customFormat="false" ht="15" hidden="false" customHeight="false" outlineLevel="0" collapsed="false">
      <c r="A716" s="51" t="s">
        <v>99</v>
      </c>
      <c r="B716" s="51" t="n">
        <v>55</v>
      </c>
      <c r="C716" s="51" t="s">
        <v>314</v>
      </c>
      <c r="D716" s="52" t="n">
        <v>45951</v>
      </c>
      <c r="E716" s="53" t="n">
        <v>126.73</v>
      </c>
      <c r="F716" s="53" t="n">
        <v>284.7</v>
      </c>
      <c r="G716" s="51" t="n">
        <v>5</v>
      </c>
      <c r="H716" s="51" t="n">
        <v>6</v>
      </c>
      <c r="I716" s="51" t="s">
        <v>1386</v>
      </c>
    </row>
    <row r="717" customFormat="false" ht="15" hidden="false" customHeight="false" outlineLevel="0" collapsed="false">
      <c r="A717" s="51" t="s">
        <v>99</v>
      </c>
      <c r="B717" s="51" t="n">
        <v>55</v>
      </c>
      <c r="C717" s="51" t="s">
        <v>314</v>
      </c>
      <c r="D717" s="52" t="n">
        <v>45952</v>
      </c>
      <c r="E717" s="53" t="n">
        <v>85.96</v>
      </c>
      <c r="F717" s="53" t="n">
        <v>99.9</v>
      </c>
      <c r="G717" s="51" t="n">
        <v>2</v>
      </c>
      <c r="H717" s="51" t="n">
        <v>2</v>
      </c>
      <c r="I717" s="51" t="s">
        <v>1386</v>
      </c>
    </row>
    <row r="718" customFormat="false" ht="15" hidden="false" customHeight="false" outlineLevel="0" collapsed="false">
      <c r="A718" s="51" t="s">
        <v>99</v>
      </c>
      <c r="B718" s="51" t="n">
        <v>55</v>
      </c>
      <c r="C718" s="51" t="s">
        <v>314</v>
      </c>
      <c r="D718" s="52" t="n">
        <v>45953</v>
      </c>
      <c r="E718" s="53" t="n">
        <v>103.43</v>
      </c>
      <c r="F718" s="53" t="n">
        <v>364.69</v>
      </c>
      <c r="G718" s="51" t="n">
        <v>6</v>
      </c>
      <c r="H718" s="51" t="n">
        <v>7</v>
      </c>
      <c r="I718" s="51" t="s">
        <v>1386</v>
      </c>
    </row>
    <row r="719" customFormat="false" ht="15" hidden="false" customHeight="false" outlineLevel="0" collapsed="false">
      <c r="A719" s="51" t="s">
        <v>99</v>
      </c>
      <c r="B719" s="51" t="n">
        <v>55</v>
      </c>
      <c r="C719" s="51" t="s">
        <v>314</v>
      </c>
      <c r="D719" s="52" t="n">
        <v>45954</v>
      </c>
      <c r="E719" s="53" t="n">
        <v>91.61</v>
      </c>
      <c r="F719" s="53" t="n">
        <v>369.65</v>
      </c>
      <c r="G719" s="51" t="n">
        <v>5</v>
      </c>
      <c r="H719" s="51" t="n">
        <v>7</v>
      </c>
      <c r="I719" s="51" t="s">
        <v>1386</v>
      </c>
    </row>
    <row r="720" customFormat="false" ht="15" hidden="false" customHeight="false" outlineLevel="0" collapsed="false">
      <c r="A720" s="51" t="s">
        <v>99</v>
      </c>
      <c r="B720" s="51" t="n">
        <v>55</v>
      </c>
      <c r="C720" s="51" t="s">
        <v>314</v>
      </c>
      <c r="D720" s="52" t="n">
        <v>45955</v>
      </c>
      <c r="E720" s="53" t="n">
        <v>92.15</v>
      </c>
      <c r="F720" s="53" t="n">
        <v>204.75</v>
      </c>
      <c r="G720" s="51" t="n">
        <v>5</v>
      </c>
      <c r="H720" s="51" t="n">
        <v>5</v>
      </c>
      <c r="I720" s="51" t="s">
        <v>1386</v>
      </c>
    </row>
    <row r="721" customFormat="false" ht="15" hidden="false" customHeight="false" outlineLevel="0" collapsed="false">
      <c r="A721" s="51" t="s">
        <v>99</v>
      </c>
      <c r="B721" s="51" t="n">
        <v>55</v>
      </c>
      <c r="C721" s="51" t="s">
        <v>314</v>
      </c>
      <c r="D721" s="52" t="n">
        <v>45956</v>
      </c>
      <c r="E721" s="53" t="n">
        <v>116.27</v>
      </c>
      <c r="F721" s="53" t="n">
        <v>49.95</v>
      </c>
      <c r="G721" s="51" t="n">
        <v>1</v>
      </c>
      <c r="H721" s="51" t="n">
        <v>1</v>
      </c>
      <c r="I721" s="51" t="s">
        <v>1386</v>
      </c>
    </row>
    <row r="722" customFormat="false" ht="15" hidden="false" customHeight="false" outlineLevel="0" collapsed="false">
      <c r="A722" s="51" t="s">
        <v>99</v>
      </c>
      <c r="B722" s="51" t="n">
        <v>55</v>
      </c>
      <c r="C722" s="51" t="s">
        <v>314</v>
      </c>
      <c r="D722" s="52" t="n">
        <v>45957</v>
      </c>
      <c r="E722" s="53" t="n">
        <v>93.13</v>
      </c>
      <c r="F722" s="53" t="n">
        <v>344.65</v>
      </c>
      <c r="G722" s="51" t="n">
        <v>6</v>
      </c>
      <c r="H722" s="51" t="n">
        <v>7</v>
      </c>
      <c r="I722" s="51" t="s">
        <v>1386</v>
      </c>
    </row>
    <row r="723" customFormat="false" ht="15" hidden="false" customHeight="false" outlineLevel="0" collapsed="false">
      <c r="A723" s="51" t="s">
        <v>99</v>
      </c>
      <c r="B723" s="51" t="n">
        <v>55</v>
      </c>
      <c r="C723" s="51" t="s">
        <v>314</v>
      </c>
      <c r="D723" s="52" t="n">
        <v>45958</v>
      </c>
      <c r="E723" s="53" t="n">
        <v>101.17</v>
      </c>
      <c r="F723" s="53" t="n">
        <v>244.75</v>
      </c>
      <c r="G723" s="51" t="n">
        <v>4</v>
      </c>
      <c r="H723" s="51" t="n">
        <v>5</v>
      </c>
      <c r="I723" s="51" t="s">
        <v>1386</v>
      </c>
    </row>
    <row r="724" customFormat="false" ht="15" hidden="false" customHeight="false" outlineLevel="0" collapsed="false">
      <c r="A724" s="51" t="s">
        <v>99</v>
      </c>
      <c r="B724" s="51" t="n">
        <v>55</v>
      </c>
      <c r="C724" s="51" t="s">
        <v>314</v>
      </c>
      <c r="D724" s="52" t="n">
        <v>45959</v>
      </c>
      <c r="E724" s="53" t="n">
        <v>99</v>
      </c>
      <c r="F724" s="53" t="n">
        <v>359.91</v>
      </c>
      <c r="G724" s="51" t="n">
        <v>5</v>
      </c>
      <c r="H724" s="51" t="n">
        <v>5</v>
      </c>
      <c r="I724" s="51" t="s">
        <v>1386</v>
      </c>
    </row>
    <row r="725" customFormat="false" ht="15" hidden="false" customHeight="false" outlineLevel="0" collapsed="false">
      <c r="A725" s="51" t="s">
        <v>99</v>
      </c>
      <c r="B725" s="51" t="n">
        <v>55</v>
      </c>
      <c r="C725" s="51" t="s">
        <v>314</v>
      </c>
      <c r="D725" s="52" t="n">
        <v>45960</v>
      </c>
      <c r="E725" s="53" t="n">
        <v>99.46</v>
      </c>
      <c r="F725" s="53" t="n">
        <v>0</v>
      </c>
      <c r="G725" s="51" t="n">
        <v>0</v>
      </c>
      <c r="H725" s="51" t="n">
        <v>0</v>
      </c>
      <c r="I725" s="51" t="s">
        <v>1386</v>
      </c>
    </row>
    <row r="726" customFormat="false" ht="15" hidden="false" customHeight="false" outlineLevel="0" collapsed="false">
      <c r="A726" s="51" t="s">
        <v>99</v>
      </c>
      <c r="B726" s="51" t="n">
        <v>55</v>
      </c>
      <c r="C726" s="51" t="s">
        <v>314</v>
      </c>
      <c r="D726" s="52" t="n">
        <v>45961</v>
      </c>
      <c r="E726" s="53" t="n">
        <v>68.21</v>
      </c>
      <c r="F726" s="53" t="n">
        <v>154.85</v>
      </c>
      <c r="G726" s="51" t="n">
        <v>2</v>
      </c>
      <c r="H726" s="51" t="n">
        <v>3</v>
      </c>
      <c r="I726" s="51" t="s">
        <v>1386</v>
      </c>
    </row>
    <row r="727" customFormat="false" ht="15" hidden="false" customHeight="false" outlineLevel="0" collapsed="false">
      <c r="A727" s="51" t="s">
        <v>99</v>
      </c>
      <c r="B727" s="51" t="n">
        <v>55</v>
      </c>
      <c r="C727" s="51" t="s">
        <v>314</v>
      </c>
      <c r="D727" s="52" t="n">
        <v>45962</v>
      </c>
      <c r="E727" s="53" t="n">
        <v>74.99</v>
      </c>
      <c r="F727" s="53" t="n">
        <v>154.85</v>
      </c>
      <c r="G727" s="51" t="n">
        <v>2</v>
      </c>
      <c r="H727" s="51" t="n">
        <v>3</v>
      </c>
      <c r="I727" s="51" t="s">
        <v>1386</v>
      </c>
    </row>
    <row r="728" customFormat="false" ht="15" hidden="false" customHeight="false" outlineLevel="0" collapsed="false">
      <c r="A728" s="51" t="s">
        <v>99</v>
      </c>
      <c r="B728" s="51" t="n">
        <v>55</v>
      </c>
      <c r="C728" s="51" t="s">
        <v>314</v>
      </c>
      <c r="D728" s="52" t="n">
        <v>45963</v>
      </c>
      <c r="E728" s="53" t="n">
        <v>106.85</v>
      </c>
      <c r="F728" s="53" t="n">
        <v>364.6</v>
      </c>
      <c r="G728" s="51" t="n">
        <v>8</v>
      </c>
      <c r="H728" s="51" t="n">
        <v>8</v>
      </c>
      <c r="I728" s="51" t="s">
        <v>1386</v>
      </c>
    </row>
    <row r="729" customFormat="false" ht="15" hidden="false" customHeight="false" outlineLevel="0" collapsed="false">
      <c r="A729" s="51" t="s">
        <v>99</v>
      </c>
      <c r="B729" s="51" t="n">
        <v>55</v>
      </c>
      <c r="C729" s="51" t="s">
        <v>314</v>
      </c>
      <c r="D729" s="52" t="n">
        <v>45964</v>
      </c>
      <c r="E729" s="53" t="n">
        <v>94.64</v>
      </c>
      <c r="F729" s="53" t="n">
        <v>54.95</v>
      </c>
      <c r="G729" s="51" t="n">
        <v>1</v>
      </c>
      <c r="H729" s="51" t="n">
        <v>1</v>
      </c>
      <c r="I729" s="51" t="s">
        <v>1386</v>
      </c>
    </row>
    <row r="730" customFormat="false" ht="15" hidden="false" customHeight="false" outlineLevel="0" collapsed="false">
      <c r="A730" s="51" t="s">
        <v>99</v>
      </c>
      <c r="B730" s="51" t="n">
        <v>55</v>
      </c>
      <c r="C730" s="51" t="s">
        <v>314</v>
      </c>
      <c r="D730" s="52" t="n">
        <v>45965</v>
      </c>
      <c r="E730" s="53" t="n">
        <v>90.26</v>
      </c>
      <c r="F730" s="53" t="n">
        <v>369.6</v>
      </c>
      <c r="G730" s="51" t="n">
        <v>5</v>
      </c>
      <c r="H730" s="51" t="n">
        <v>8</v>
      </c>
      <c r="I730" s="51" t="s">
        <v>1386</v>
      </c>
    </row>
    <row r="731" customFormat="false" ht="15" hidden="false" customHeight="false" outlineLevel="0" collapsed="false">
      <c r="A731" s="51" t="s">
        <v>99</v>
      </c>
      <c r="B731" s="51" t="n">
        <v>55</v>
      </c>
      <c r="C731" s="51" t="s">
        <v>314</v>
      </c>
      <c r="D731" s="52" t="n">
        <v>45966</v>
      </c>
      <c r="E731" s="53" t="n">
        <v>80.43</v>
      </c>
      <c r="F731" s="53" t="n">
        <v>251.75</v>
      </c>
      <c r="G731" s="51" t="n">
        <v>4</v>
      </c>
      <c r="H731" s="51" t="n">
        <v>5</v>
      </c>
      <c r="I731" s="51" t="s">
        <v>1386</v>
      </c>
    </row>
    <row r="732" customFormat="false" ht="15" hidden="false" customHeight="false" outlineLevel="0" collapsed="false">
      <c r="A732" s="51" t="s">
        <v>99</v>
      </c>
      <c r="B732" s="51" t="n">
        <v>55</v>
      </c>
      <c r="C732" s="51" t="s">
        <v>314</v>
      </c>
      <c r="D732" s="52" t="n">
        <v>45967</v>
      </c>
      <c r="E732" s="53" t="n">
        <v>93.78</v>
      </c>
      <c r="F732" s="53" t="n">
        <v>334.65</v>
      </c>
      <c r="G732" s="51" t="n">
        <v>3</v>
      </c>
      <c r="H732" s="51" t="n">
        <v>7</v>
      </c>
      <c r="I732" s="51" t="s">
        <v>1386</v>
      </c>
    </row>
    <row r="733" customFormat="false" ht="15" hidden="false" customHeight="false" outlineLevel="0" collapsed="false">
      <c r="A733" s="51" t="s">
        <v>99</v>
      </c>
      <c r="B733" s="51" t="n">
        <v>55</v>
      </c>
      <c r="C733" s="51" t="s">
        <v>314</v>
      </c>
      <c r="D733" s="52" t="n">
        <v>45968</v>
      </c>
      <c r="E733" s="53" t="n">
        <v>112.12</v>
      </c>
      <c r="F733" s="53" t="n">
        <v>149.85</v>
      </c>
      <c r="G733" s="51" t="n">
        <v>3</v>
      </c>
      <c r="H733" s="51" t="n">
        <v>3</v>
      </c>
      <c r="I733" s="51" t="s">
        <v>1386</v>
      </c>
    </row>
    <row r="734" customFormat="false" ht="15" hidden="false" customHeight="false" outlineLevel="0" collapsed="false">
      <c r="A734" s="51" t="s">
        <v>99</v>
      </c>
      <c r="B734" s="51" t="n">
        <v>55</v>
      </c>
      <c r="C734" s="51" t="s">
        <v>314</v>
      </c>
      <c r="D734" s="52" t="n">
        <v>45969</v>
      </c>
      <c r="E734" s="53" t="n">
        <v>123.5</v>
      </c>
      <c r="F734" s="53" t="n">
        <v>109.9</v>
      </c>
      <c r="G734" s="51" t="n">
        <v>2</v>
      </c>
      <c r="H734" s="51" t="n">
        <v>2</v>
      </c>
      <c r="I734" s="51" t="s">
        <v>1386</v>
      </c>
    </row>
    <row r="735" customFormat="false" ht="15" hidden="false" customHeight="false" outlineLevel="0" collapsed="false">
      <c r="A735" s="51" t="s">
        <v>99</v>
      </c>
      <c r="B735" s="51" t="n">
        <v>55</v>
      </c>
      <c r="C735" s="51" t="s">
        <v>314</v>
      </c>
      <c r="D735" s="52" t="n">
        <v>45970</v>
      </c>
      <c r="E735" s="53" t="n">
        <v>142.69</v>
      </c>
      <c r="F735" s="53" t="n">
        <v>54.95</v>
      </c>
      <c r="G735" s="51" t="n">
        <v>1</v>
      </c>
      <c r="H735" s="51" t="n">
        <v>1</v>
      </c>
      <c r="I735" s="51" t="s">
        <v>1386</v>
      </c>
    </row>
    <row r="736" customFormat="false" ht="15" hidden="false" customHeight="false" outlineLevel="0" collapsed="false">
      <c r="A736" s="51" t="s">
        <v>99</v>
      </c>
      <c r="B736" s="51" t="n">
        <v>55</v>
      </c>
      <c r="C736" s="51" t="s">
        <v>314</v>
      </c>
      <c r="D736" s="52" t="n">
        <v>45971</v>
      </c>
      <c r="E736" s="53" t="n">
        <v>101.32</v>
      </c>
      <c r="F736" s="53" t="n">
        <v>149.85</v>
      </c>
      <c r="G736" s="51" t="n">
        <v>3</v>
      </c>
      <c r="H736" s="51" t="n">
        <v>3</v>
      </c>
      <c r="I736" s="51" t="s">
        <v>1386</v>
      </c>
    </row>
    <row r="737" customFormat="false" ht="15" hidden="false" customHeight="false" outlineLevel="0" collapsed="false">
      <c r="A737" s="51" t="s">
        <v>99</v>
      </c>
      <c r="B737" s="51" t="n">
        <v>55</v>
      </c>
      <c r="C737" s="51" t="s">
        <v>314</v>
      </c>
      <c r="D737" s="52" t="n">
        <v>45972</v>
      </c>
      <c r="E737" s="53" t="n">
        <v>116.15</v>
      </c>
      <c r="F737" s="53" t="n">
        <v>192.93</v>
      </c>
      <c r="G737" s="51" t="n">
        <v>3</v>
      </c>
      <c r="H737" s="51" t="n">
        <v>3</v>
      </c>
      <c r="I737" s="51" t="s">
        <v>1386</v>
      </c>
    </row>
    <row r="738" customFormat="false" ht="15" hidden="false" customHeight="false" outlineLevel="0" collapsed="false">
      <c r="A738" s="51" t="s">
        <v>99</v>
      </c>
      <c r="B738" s="51" t="n">
        <v>55</v>
      </c>
      <c r="C738" s="51" t="s">
        <v>314</v>
      </c>
      <c r="D738" s="52" t="n">
        <v>45973</v>
      </c>
      <c r="E738" s="53" t="n">
        <v>89.64</v>
      </c>
      <c r="F738" s="53" t="n">
        <v>0</v>
      </c>
      <c r="G738" s="51" t="n">
        <v>0</v>
      </c>
      <c r="H738" s="51" t="n">
        <v>0</v>
      </c>
      <c r="I738" s="51" t="s">
        <v>1386</v>
      </c>
    </row>
    <row r="739" customFormat="false" ht="15" hidden="false" customHeight="false" outlineLevel="0" collapsed="false">
      <c r="A739" s="51" t="s">
        <v>99</v>
      </c>
      <c r="B739" s="51" t="n">
        <v>55</v>
      </c>
      <c r="C739" s="51" t="s">
        <v>314</v>
      </c>
      <c r="D739" s="52" t="n">
        <v>45974</v>
      </c>
      <c r="E739" s="53" t="n">
        <v>98.71</v>
      </c>
      <c r="F739" s="53" t="n">
        <v>150.85</v>
      </c>
      <c r="G739" s="51" t="n">
        <v>3</v>
      </c>
      <c r="H739" s="51" t="n">
        <v>3</v>
      </c>
      <c r="I739" s="51" t="s">
        <v>1386</v>
      </c>
    </row>
    <row r="740" customFormat="false" ht="15" hidden="false" customHeight="false" outlineLevel="0" collapsed="false">
      <c r="A740" s="51" t="s">
        <v>99</v>
      </c>
      <c r="B740" s="51" t="n">
        <v>55</v>
      </c>
      <c r="C740" s="51" t="s">
        <v>314</v>
      </c>
      <c r="D740" s="52" t="n">
        <v>45975</v>
      </c>
      <c r="E740" s="53" t="n">
        <v>72.53</v>
      </c>
      <c r="F740" s="53" t="n">
        <v>97.85</v>
      </c>
      <c r="G740" s="51" t="n">
        <v>3</v>
      </c>
      <c r="H740" s="51" t="n">
        <v>3</v>
      </c>
      <c r="I740" s="51" t="s">
        <v>1386</v>
      </c>
    </row>
    <row r="741" customFormat="false" ht="15" hidden="false" customHeight="false" outlineLevel="0" collapsed="false">
      <c r="A741" s="51" t="s">
        <v>99</v>
      </c>
      <c r="B741" s="51" t="n">
        <v>55</v>
      </c>
      <c r="C741" s="51" t="s">
        <v>314</v>
      </c>
      <c r="D741" s="52" t="n">
        <v>45976</v>
      </c>
      <c r="E741" s="53" t="n">
        <v>119.72</v>
      </c>
      <c r="F741" s="53" t="n">
        <v>554.69</v>
      </c>
      <c r="G741" s="51" t="n">
        <v>4</v>
      </c>
      <c r="H741" s="51" t="n">
        <v>11</v>
      </c>
      <c r="I741" s="51" t="s">
        <v>1386</v>
      </c>
    </row>
    <row r="742" customFormat="false" ht="15" hidden="false" customHeight="false" outlineLevel="0" collapsed="false">
      <c r="A742" s="51" t="s">
        <v>99</v>
      </c>
      <c r="B742" s="51" t="n">
        <v>55</v>
      </c>
      <c r="C742" s="51" t="s">
        <v>314</v>
      </c>
      <c r="D742" s="52" t="n">
        <v>45977</v>
      </c>
      <c r="E742" s="53" t="n">
        <v>122.04</v>
      </c>
      <c r="F742" s="53" t="n">
        <v>264.83</v>
      </c>
      <c r="G742" s="51" t="n">
        <v>3</v>
      </c>
      <c r="H742" s="51" t="n">
        <v>5</v>
      </c>
      <c r="I742" s="51" t="s">
        <v>1386</v>
      </c>
    </row>
    <row r="743" customFormat="false" ht="15" hidden="false" customHeight="false" outlineLevel="0" collapsed="false">
      <c r="A743" s="51" t="s">
        <v>99</v>
      </c>
      <c r="B743" s="51" t="n">
        <v>55</v>
      </c>
      <c r="C743" s="51" t="s">
        <v>314</v>
      </c>
      <c r="D743" s="52" t="n">
        <v>45978</v>
      </c>
      <c r="E743" s="53" t="n">
        <v>82.99</v>
      </c>
      <c r="F743" s="53" t="n">
        <v>332.69</v>
      </c>
      <c r="G743" s="51" t="n">
        <v>4</v>
      </c>
      <c r="H743" s="51" t="n">
        <v>7</v>
      </c>
      <c r="I743" s="51" t="s">
        <v>1386</v>
      </c>
    </row>
    <row r="744" customFormat="false" ht="15" hidden="false" customHeight="false" outlineLevel="0" collapsed="false">
      <c r="A744" s="51" t="s">
        <v>99</v>
      </c>
      <c r="B744" s="51" t="n">
        <v>55</v>
      </c>
      <c r="C744" s="51" t="s">
        <v>314</v>
      </c>
      <c r="D744" s="52" t="n">
        <v>45979</v>
      </c>
      <c r="E744" s="53" t="n">
        <v>101.41</v>
      </c>
      <c r="F744" s="53" t="n">
        <v>0</v>
      </c>
      <c r="G744" s="51" t="n">
        <v>0</v>
      </c>
      <c r="H744" s="51" t="n">
        <v>0</v>
      </c>
      <c r="I744" s="51" t="s">
        <v>1386</v>
      </c>
    </row>
    <row r="745" customFormat="false" ht="15" hidden="false" customHeight="false" outlineLevel="0" collapsed="false">
      <c r="A745" s="51" t="s">
        <v>99</v>
      </c>
      <c r="B745" s="51" t="n">
        <v>55</v>
      </c>
      <c r="C745" s="51" t="s">
        <v>314</v>
      </c>
      <c r="D745" s="52" t="n">
        <v>45980</v>
      </c>
      <c r="E745" s="53" t="n">
        <v>104.69</v>
      </c>
      <c r="F745" s="53" t="n">
        <v>250.91</v>
      </c>
      <c r="G745" s="51" t="n">
        <v>6</v>
      </c>
      <c r="H745" s="51" t="n">
        <v>6</v>
      </c>
      <c r="I745" s="51" t="s">
        <v>1386</v>
      </c>
    </row>
    <row r="746" customFormat="false" ht="15" hidden="false" customHeight="false" outlineLevel="0" collapsed="false">
      <c r="A746" s="51" t="s">
        <v>99</v>
      </c>
      <c r="B746" s="51" t="n">
        <v>55</v>
      </c>
      <c r="C746" s="51" t="s">
        <v>314</v>
      </c>
      <c r="D746" s="52" t="n">
        <v>45981</v>
      </c>
      <c r="E746" s="53" t="n">
        <v>143.95</v>
      </c>
      <c r="F746" s="53" t="n">
        <v>201.88</v>
      </c>
      <c r="G746" s="51" t="n">
        <v>3</v>
      </c>
      <c r="H746" s="51" t="n">
        <v>4</v>
      </c>
      <c r="I746" s="51" t="s">
        <v>1387</v>
      </c>
    </row>
    <row r="747" customFormat="false" ht="15" hidden="false" customHeight="false" outlineLevel="0" collapsed="false">
      <c r="A747" s="51" t="s">
        <v>99</v>
      </c>
      <c r="B747" s="51" t="n">
        <v>55</v>
      </c>
      <c r="C747" s="51" t="s">
        <v>314</v>
      </c>
      <c r="D747" s="52" t="n">
        <v>45982</v>
      </c>
      <c r="E747" s="53" t="n">
        <v>82.29</v>
      </c>
      <c r="F747" s="53" t="n">
        <v>94.9</v>
      </c>
      <c r="G747" s="51" t="n">
        <v>2</v>
      </c>
      <c r="H747" s="51" t="n">
        <v>2</v>
      </c>
      <c r="I747" s="51" t="s">
        <v>1387</v>
      </c>
    </row>
    <row r="748" customFormat="false" ht="15" hidden="false" customHeight="false" outlineLevel="0" collapsed="false">
      <c r="A748" s="51" t="s">
        <v>99</v>
      </c>
      <c r="B748" s="51" t="n">
        <v>55</v>
      </c>
      <c r="C748" s="51" t="s">
        <v>314</v>
      </c>
      <c r="D748" s="52" t="n">
        <v>45983</v>
      </c>
      <c r="E748" s="53" t="n">
        <v>148.41</v>
      </c>
      <c r="F748" s="53" t="n">
        <v>392.7</v>
      </c>
      <c r="G748" s="51" t="n">
        <v>9</v>
      </c>
      <c r="H748" s="51" t="n">
        <v>14</v>
      </c>
      <c r="I748" s="51" t="s">
        <v>1387</v>
      </c>
    </row>
    <row r="749" customFormat="false" ht="15" hidden="false" customHeight="false" outlineLevel="0" collapsed="false">
      <c r="A749" s="51" t="s">
        <v>99</v>
      </c>
      <c r="B749" s="51" t="n">
        <v>55</v>
      </c>
      <c r="C749" s="51" t="s">
        <v>314</v>
      </c>
      <c r="D749" s="52" t="n">
        <v>45984</v>
      </c>
      <c r="E749" s="53" t="n">
        <v>154.73</v>
      </c>
      <c r="F749" s="53" t="n">
        <v>201.74</v>
      </c>
      <c r="G749" s="51" t="n">
        <v>4</v>
      </c>
      <c r="H749" s="51" t="n">
        <v>4</v>
      </c>
      <c r="I749" s="51" t="s">
        <v>1387</v>
      </c>
    </row>
    <row r="750" customFormat="false" ht="15" hidden="false" customHeight="false" outlineLevel="0" collapsed="false">
      <c r="A750" s="51" t="s">
        <v>99</v>
      </c>
      <c r="B750" s="51" t="n">
        <v>55</v>
      </c>
      <c r="C750" s="51" t="s">
        <v>314</v>
      </c>
      <c r="D750" s="52" t="n">
        <v>45985</v>
      </c>
      <c r="E750" s="53" t="n">
        <v>93.09</v>
      </c>
      <c r="F750" s="53" t="n">
        <v>99.9</v>
      </c>
      <c r="G750" s="51" t="n">
        <v>2</v>
      </c>
      <c r="H750" s="51" t="n">
        <v>2</v>
      </c>
      <c r="I750" s="51" t="s">
        <v>1387</v>
      </c>
    </row>
    <row r="751" customFormat="false" ht="15" hidden="false" customHeight="false" outlineLevel="0" collapsed="false">
      <c r="A751" s="51" t="s">
        <v>99</v>
      </c>
      <c r="B751" s="51" t="n">
        <v>55</v>
      </c>
      <c r="C751" s="51" t="s">
        <v>314</v>
      </c>
      <c r="D751" s="52" t="n">
        <v>45986</v>
      </c>
      <c r="E751" s="53" t="n">
        <v>129.73</v>
      </c>
      <c r="F751" s="53" t="n">
        <v>286.7</v>
      </c>
      <c r="G751" s="51" t="n">
        <v>5</v>
      </c>
      <c r="H751" s="51" t="n">
        <v>6</v>
      </c>
      <c r="I751" s="51" t="s">
        <v>1387</v>
      </c>
    </row>
    <row r="752" customFormat="false" ht="15" hidden="false" customHeight="false" outlineLevel="0" collapsed="false">
      <c r="A752" s="51" t="s">
        <v>99</v>
      </c>
      <c r="B752" s="51" t="n">
        <v>55</v>
      </c>
      <c r="C752" s="51" t="s">
        <v>314</v>
      </c>
      <c r="D752" s="52" t="n">
        <v>45987</v>
      </c>
      <c r="E752" s="53" t="n">
        <v>173.61</v>
      </c>
      <c r="F752" s="53" t="n">
        <v>360.11</v>
      </c>
      <c r="G752" s="51" t="n">
        <v>5</v>
      </c>
      <c r="H752" s="51" t="n">
        <v>8</v>
      </c>
      <c r="I752" s="51" t="s">
        <v>1387</v>
      </c>
    </row>
    <row r="753" customFormat="false" ht="15" hidden="false" customHeight="false" outlineLevel="0" collapsed="false">
      <c r="A753" s="51" t="s">
        <v>99</v>
      </c>
      <c r="B753" s="51" t="n">
        <v>55</v>
      </c>
      <c r="C753" s="51" t="s">
        <v>314</v>
      </c>
      <c r="D753" s="52" t="n">
        <v>45988</v>
      </c>
      <c r="E753" s="53" t="n">
        <v>120.66</v>
      </c>
      <c r="F753" s="53" t="n">
        <v>144.85</v>
      </c>
      <c r="G753" s="51" t="n">
        <v>2</v>
      </c>
      <c r="H753" s="51" t="n">
        <v>3</v>
      </c>
      <c r="I753" s="51" t="s">
        <v>1387</v>
      </c>
    </row>
    <row r="754" customFormat="false" ht="15" hidden="false" customHeight="false" outlineLevel="0" collapsed="false">
      <c r="A754" s="51" t="s">
        <v>99</v>
      </c>
      <c r="B754" s="51" t="n">
        <v>55</v>
      </c>
      <c r="C754" s="51" t="s">
        <v>314</v>
      </c>
      <c r="D754" s="52" t="n">
        <v>45989</v>
      </c>
      <c r="E754" s="53" t="n">
        <v>152.75</v>
      </c>
      <c r="F754" s="53" t="n">
        <v>89.9</v>
      </c>
      <c r="G754" s="51" t="n">
        <v>1</v>
      </c>
      <c r="H754" s="51" t="n">
        <v>2</v>
      </c>
      <c r="I754" s="51" t="s">
        <v>1387</v>
      </c>
    </row>
    <row r="755" customFormat="false" ht="15" hidden="false" customHeight="false" outlineLevel="0" collapsed="false">
      <c r="A755" s="51" t="s">
        <v>99</v>
      </c>
      <c r="B755" s="51" t="n">
        <v>55</v>
      </c>
      <c r="C755" s="51" t="s">
        <v>314</v>
      </c>
      <c r="D755" s="52" t="n">
        <v>45990</v>
      </c>
      <c r="E755" s="53" t="n">
        <v>153.41</v>
      </c>
      <c r="F755" s="53" t="n">
        <v>352.25</v>
      </c>
      <c r="G755" s="51" t="n">
        <v>7</v>
      </c>
      <c r="H755" s="51" t="n">
        <v>10</v>
      </c>
      <c r="I755" s="51" t="s">
        <v>1387</v>
      </c>
    </row>
    <row r="756" customFormat="false" ht="15" hidden="false" customHeight="false" outlineLevel="0" collapsed="false">
      <c r="A756" s="51" t="s">
        <v>99</v>
      </c>
      <c r="B756" s="51" t="n">
        <v>55</v>
      </c>
      <c r="C756" s="51" t="s">
        <v>314</v>
      </c>
      <c r="D756" s="52" t="n">
        <v>45991</v>
      </c>
      <c r="E756" s="53" t="n">
        <v>212.18</v>
      </c>
      <c r="F756" s="53" t="n">
        <v>559.4</v>
      </c>
      <c r="G756" s="51" t="n">
        <v>9</v>
      </c>
      <c r="H756" s="51" t="n">
        <v>12</v>
      </c>
      <c r="I756" s="51" t="s">
        <v>1387</v>
      </c>
    </row>
    <row r="757" customFormat="false" ht="15" hidden="false" customHeight="false" outlineLevel="0" collapsed="false">
      <c r="A757" s="51" t="s">
        <v>99</v>
      </c>
      <c r="B757" s="51" t="n">
        <v>55</v>
      </c>
      <c r="C757" s="51" t="s">
        <v>314</v>
      </c>
      <c r="D757" s="52" t="n">
        <v>45992</v>
      </c>
      <c r="E757" s="53" t="n">
        <v>161.59</v>
      </c>
      <c r="F757" s="53" t="n">
        <v>347.24</v>
      </c>
      <c r="G757" s="51" t="n">
        <v>7</v>
      </c>
      <c r="H757" s="51" t="n">
        <v>8</v>
      </c>
      <c r="I757" s="51" t="s">
        <v>1387</v>
      </c>
    </row>
    <row r="758" customFormat="false" ht="15" hidden="false" customHeight="false" outlineLevel="0" collapsed="false">
      <c r="A758" s="51" t="s">
        <v>99</v>
      </c>
      <c r="B758" s="51" t="n">
        <v>55</v>
      </c>
      <c r="C758" s="51" t="s">
        <v>314</v>
      </c>
      <c r="D758" s="52" t="n">
        <v>45993</v>
      </c>
      <c r="E758" s="53" t="n">
        <v>103.31</v>
      </c>
      <c r="F758" s="53" t="n">
        <v>144.85</v>
      </c>
      <c r="G758" s="51" t="n">
        <v>2</v>
      </c>
      <c r="H758" s="51" t="n">
        <v>3</v>
      </c>
      <c r="I758" s="51"/>
    </row>
    <row r="759" customFormat="false" ht="15" hidden="false" customHeight="false" outlineLevel="0" collapsed="false">
      <c r="A759" s="51" t="s">
        <v>99</v>
      </c>
      <c r="B759" s="51" t="n">
        <v>55</v>
      </c>
      <c r="C759" s="51" t="s">
        <v>314</v>
      </c>
      <c r="D759" s="52" t="n">
        <v>45994</v>
      </c>
      <c r="E759" s="53" t="n">
        <v>102.04</v>
      </c>
      <c r="F759" s="53" t="n">
        <v>54.95</v>
      </c>
      <c r="G759" s="51" t="n">
        <v>1</v>
      </c>
      <c r="H759" s="51" t="n">
        <v>1</v>
      </c>
      <c r="I759" s="51"/>
    </row>
    <row r="760" customFormat="false" ht="15" hidden="false" customHeight="false" outlineLevel="0" collapsed="false">
      <c r="A760" s="51" t="s">
        <v>99</v>
      </c>
      <c r="B760" s="51" t="n">
        <v>55</v>
      </c>
      <c r="C760" s="51" t="s">
        <v>314</v>
      </c>
      <c r="D760" s="52" t="n">
        <v>45995</v>
      </c>
      <c r="E760" s="53" t="n">
        <v>115.03</v>
      </c>
      <c r="F760" s="53" t="n">
        <v>422.5</v>
      </c>
      <c r="G760" s="51" t="n">
        <v>10</v>
      </c>
      <c r="H760" s="51" t="n">
        <v>10</v>
      </c>
      <c r="I760" s="51"/>
    </row>
    <row r="761" customFormat="false" ht="15" hidden="false" customHeight="false" outlineLevel="0" collapsed="false">
      <c r="A761" s="51" t="s">
        <v>99</v>
      </c>
      <c r="B761" s="51" t="n">
        <v>55</v>
      </c>
      <c r="C761" s="51" t="s">
        <v>314</v>
      </c>
      <c r="D761" s="52" t="n">
        <v>45996</v>
      </c>
      <c r="E761" s="53" t="n">
        <v>110.01</v>
      </c>
      <c r="F761" s="53" t="n">
        <v>94.9</v>
      </c>
      <c r="G761" s="51" t="n">
        <v>2</v>
      </c>
      <c r="H761" s="51" t="n">
        <v>2</v>
      </c>
      <c r="I761" s="51"/>
    </row>
    <row r="762" customFormat="false" ht="15" hidden="false" customHeight="false" outlineLevel="0" collapsed="false">
      <c r="A762" s="51" t="s">
        <v>99</v>
      </c>
      <c r="B762" s="51" t="n">
        <v>55</v>
      </c>
      <c r="C762" s="51" t="s">
        <v>314</v>
      </c>
      <c r="D762" s="52" t="n">
        <v>45997</v>
      </c>
      <c r="E762" s="53" t="n">
        <v>131.25</v>
      </c>
      <c r="F762" s="53" t="n">
        <v>366.6</v>
      </c>
      <c r="G762" s="51" t="n">
        <v>7</v>
      </c>
      <c r="H762" s="51" t="n">
        <v>8</v>
      </c>
      <c r="I762" s="51"/>
    </row>
    <row r="763" customFormat="false" ht="15" hidden="false" customHeight="false" outlineLevel="0" collapsed="false">
      <c r="A763" s="51" t="s">
        <v>99</v>
      </c>
      <c r="B763" s="51" t="n">
        <v>55</v>
      </c>
      <c r="C763" s="51" t="s">
        <v>314</v>
      </c>
      <c r="D763" s="52" t="n">
        <v>45998</v>
      </c>
      <c r="E763" s="53" t="n">
        <v>143.74</v>
      </c>
      <c r="F763" s="53" t="n">
        <v>553.57</v>
      </c>
      <c r="G763" s="51" t="n">
        <v>10</v>
      </c>
      <c r="H763" s="51" t="n">
        <v>11</v>
      </c>
      <c r="I763" s="51"/>
    </row>
    <row r="764" customFormat="false" ht="15" hidden="false" customHeight="false" outlineLevel="0" collapsed="false">
      <c r="A764" s="51" t="s">
        <v>99</v>
      </c>
      <c r="B764" s="51" t="n">
        <v>55</v>
      </c>
      <c r="C764" s="51" t="s">
        <v>314</v>
      </c>
      <c r="D764" s="52" t="n">
        <v>45999</v>
      </c>
      <c r="E764" s="53" t="n">
        <v>131.19</v>
      </c>
      <c r="F764" s="53" t="n">
        <v>524.45</v>
      </c>
      <c r="G764" s="51" t="n">
        <v>5</v>
      </c>
      <c r="H764" s="51" t="n">
        <v>11</v>
      </c>
      <c r="I764" s="51"/>
    </row>
    <row r="765" customFormat="false" ht="15" hidden="false" customHeight="false" outlineLevel="0" collapsed="false">
      <c r="A765" s="51" t="s">
        <v>99</v>
      </c>
      <c r="B765" s="51" t="n">
        <v>55</v>
      </c>
      <c r="C765" s="51" t="s">
        <v>314</v>
      </c>
      <c r="D765" s="52" t="n">
        <v>46000</v>
      </c>
      <c r="E765" s="53" t="n">
        <v>112.86</v>
      </c>
      <c r="F765" s="53" t="n">
        <v>194.84</v>
      </c>
      <c r="G765" s="51" t="n">
        <v>3</v>
      </c>
      <c r="H765" s="51" t="n">
        <v>4</v>
      </c>
      <c r="I765" s="51"/>
    </row>
    <row r="766" customFormat="false" ht="15" hidden="false" customHeight="false" outlineLevel="0" collapsed="false">
      <c r="A766" s="51" t="s">
        <v>99</v>
      </c>
      <c r="B766" s="51" t="n">
        <v>55</v>
      </c>
      <c r="C766" s="51" t="s">
        <v>314</v>
      </c>
      <c r="D766" s="52" t="n">
        <v>46001</v>
      </c>
      <c r="E766" s="53" t="n">
        <v>144.46</v>
      </c>
      <c r="F766" s="53" t="n">
        <v>369.6</v>
      </c>
      <c r="G766" s="51" t="n">
        <v>5</v>
      </c>
      <c r="H766" s="51" t="n">
        <v>8</v>
      </c>
      <c r="I766" s="51"/>
    </row>
    <row r="767" customFormat="false" ht="15" hidden="false" customHeight="false" outlineLevel="0" collapsed="false">
      <c r="A767" s="51" t="s">
        <v>99</v>
      </c>
      <c r="B767" s="51" t="n">
        <v>55</v>
      </c>
      <c r="C767" s="51" t="s">
        <v>314</v>
      </c>
      <c r="D767" s="52" t="n">
        <v>46002</v>
      </c>
      <c r="E767" s="53" t="n">
        <v>145.79</v>
      </c>
      <c r="F767" s="53" t="n">
        <v>644.39</v>
      </c>
      <c r="G767" s="51" t="n">
        <v>13</v>
      </c>
      <c r="H767" s="51" t="n">
        <v>13</v>
      </c>
      <c r="I767" s="51"/>
    </row>
    <row r="768" customFormat="false" ht="15" hidden="false" customHeight="false" outlineLevel="0" collapsed="false">
      <c r="A768" s="51" t="s">
        <v>99</v>
      </c>
      <c r="B768" s="51" t="n">
        <v>55</v>
      </c>
      <c r="C768" s="51" t="s">
        <v>314</v>
      </c>
      <c r="D768" s="52" t="n">
        <v>46003</v>
      </c>
      <c r="E768" s="53" t="n">
        <v>135.98</v>
      </c>
      <c r="F768" s="53" t="n">
        <v>274.83</v>
      </c>
      <c r="G768" s="51" t="n">
        <v>4</v>
      </c>
      <c r="H768" s="51" t="n">
        <v>5</v>
      </c>
      <c r="I768" s="51"/>
    </row>
    <row r="769" customFormat="false" ht="15" hidden="false" customHeight="false" outlineLevel="0" collapsed="false">
      <c r="A769" s="51" t="s">
        <v>99</v>
      </c>
      <c r="B769" s="51" t="n">
        <v>55</v>
      </c>
      <c r="C769" s="51" t="s">
        <v>314</v>
      </c>
      <c r="D769" s="52" t="n">
        <v>46004</v>
      </c>
      <c r="E769" s="53" t="n">
        <v>202.2</v>
      </c>
      <c r="F769" s="53" t="n">
        <v>1762.24</v>
      </c>
      <c r="G769" s="51" t="n">
        <v>26</v>
      </c>
      <c r="H769" s="51" t="n">
        <v>36</v>
      </c>
      <c r="I769" s="51"/>
    </row>
    <row r="770" customFormat="false" ht="15" hidden="false" customHeight="false" outlineLevel="0" collapsed="false">
      <c r="A770" s="51" t="s">
        <v>99</v>
      </c>
      <c r="B770" s="51" t="n">
        <v>55</v>
      </c>
      <c r="C770" s="51" t="s">
        <v>314</v>
      </c>
      <c r="D770" s="52" t="n">
        <v>46005</v>
      </c>
      <c r="E770" s="53" t="n">
        <v>232.34</v>
      </c>
      <c r="F770" s="53" t="n">
        <v>1208.88</v>
      </c>
      <c r="G770" s="51" t="n">
        <v>20</v>
      </c>
      <c r="H770" s="51" t="n">
        <v>24</v>
      </c>
      <c r="I770" s="51"/>
    </row>
    <row r="771" customFormat="false" ht="15" hidden="false" customHeight="false" outlineLevel="0" collapsed="false">
      <c r="A771" s="51" t="s">
        <v>99</v>
      </c>
      <c r="B771" s="51" t="n">
        <v>55</v>
      </c>
      <c r="C771" s="51" t="s">
        <v>314</v>
      </c>
      <c r="D771" s="52" t="n">
        <v>46006</v>
      </c>
      <c r="E771" s="53" t="n">
        <v>201.21</v>
      </c>
      <c r="F771" s="53" t="n">
        <v>536.49</v>
      </c>
      <c r="G771" s="51" t="n">
        <v>11</v>
      </c>
      <c r="H771" s="51" t="n">
        <v>11</v>
      </c>
      <c r="I771" s="51"/>
    </row>
    <row r="772" customFormat="false" ht="15" hidden="false" customHeight="false" outlineLevel="0" collapsed="false">
      <c r="A772" s="51" t="s">
        <v>111</v>
      </c>
      <c r="B772" s="51" t="n">
        <v>48</v>
      </c>
      <c r="C772" s="51" t="s">
        <v>314</v>
      </c>
      <c r="D772" s="52" t="n">
        <v>45945</v>
      </c>
      <c r="E772" s="53" t="n">
        <v>22.18</v>
      </c>
      <c r="F772" s="53" t="n">
        <v>78.94</v>
      </c>
      <c r="G772" s="51" t="n">
        <v>2</v>
      </c>
      <c r="H772" s="51" t="n">
        <v>2</v>
      </c>
      <c r="I772" s="51"/>
    </row>
    <row r="773" customFormat="false" ht="15" hidden="false" customHeight="false" outlineLevel="0" collapsed="false">
      <c r="A773" s="51" t="s">
        <v>111</v>
      </c>
      <c r="B773" s="51" t="n">
        <v>48</v>
      </c>
      <c r="C773" s="51" t="s">
        <v>314</v>
      </c>
      <c r="D773" s="52" t="n">
        <v>45946</v>
      </c>
      <c r="E773" s="53" t="n">
        <v>20.62</v>
      </c>
      <c r="F773" s="53" t="n">
        <v>69.99</v>
      </c>
      <c r="G773" s="51" t="n">
        <v>1</v>
      </c>
      <c r="H773" s="51" t="n">
        <v>1</v>
      </c>
      <c r="I773" s="51"/>
    </row>
    <row r="774" customFormat="false" ht="15" hidden="false" customHeight="false" outlineLevel="0" collapsed="false">
      <c r="A774" s="51" t="s">
        <v>111</v>
      </c>
      <c r="B774" s="51" t="n">
        <v>48</v>
      </c>
      <c r="C774" s="51" t="s">
        <v>314</v>
      </c>
      <c r="D774" s="52" t="n">
        <v>45947</v>
      </c>
      <c r="E774" s="53" t="n">
        <v>16.29</v>
      </c>
      <c r="F774" s="53" t="n">
        <v>59.99</v>
      </c>
      <c r="G774" s="51" t="n">
        <v>1</v>
      </c>
      <c r="H774" s="51" t="n">
        <v>1</v>
      </c>
      <c r="I774" s="51"/>
    </row>
    <row r="775" customFormat="false" ht="15" hidden="false" customHeight="false" outlineLevel="0" collapsed="false">
      <c r="A775" s="51" t="s">
        <v>111</v>
      </c>
      <c r="B775" s="51" t="n">
        <v>48</v>
      </c>
      <c r="C775" s="51" t="s">
        <v>314</v>
      </c>
      <c r="D775" s="52" t="n">
        <v>45948</v>
      </c>
      <c r="E775" s="53" t="n">
        <v>23.99</v>
      </c>
      <c r="F775" s="53" t="n">
        <v>75.9</v>
      </c>
      <c r="G775" s="51" t="n">
        <v>2</v>
      </c>
      <c r="H775" s="51" t="n">
        <v>2</v>
      </c>
      <c r="I775" s="51"/>
    </row>
    <row r="776" customFormat="false" ht="15" hidden="false" customHeight="false" outlineLevel="0" collapsed="false">
      <c r="A776" s="51" t="s">
        <v>111</v>
      </c>
      <c r="B776" s="51" t="n">
        <v>48</v>
      </c>
      <c r="C776" s="51" t="s">
        <v>314</v>
      </c>
      <c r="D776" s="52" t="n">
        <v>45949</v>
      </c>
      <c r="E776" s="53" t="n">
        <v>25.16</v>
      </c>
      <c r="F776" s="53" t="n">
        <v>0</v>
      </c>
      <c r="G776" s="51" t="n">
        <v>0</v>
      </c>
      <c r="H776" s="51" t="n">
        <v>0</v>
      </c>
      <c r="I776" s="51"/>
    </row>
    <row r="777" customFormat="false" ht="15" hidden="false" customHeight="false" outlineLevel="0" collapsed="false">
      <c r="A777" s="51" t="s">
        <v>111</v>
      </c>
      <c r="B777" s="51" t="n">
        <v>48</v>
      </c>
      <c r="C777" s="51" t="s">
        <v>314</v>
      </c>
      <c r="D777" s="52" t="n">
        <v>45950</v>
      </c>
      <c r="E777" s="53" t="n">
        <v>18.4</v>
      </c>
      <c r="F777" s="53" t="n">
        <v>0</v>
      </c>
      <c r="G777" s="51" t="n">
        <v>0</v>
      </c>
      <c r="H777" s="51" t="n">
        <v>0</v>
      </c>
      <c r="I777" s="51"/>
    </row>
    <row r="778" customFormat="false" ht="15" hidden="false" customHeight="false" outlineLevel="0" collapsed="false">
      <c r="A778" s="51" t="s">
        <v>111</v>
      </c>
      <c r="B778" s="51" t="n">
        <v>48</v>
      </c>
      <c r="C778" s="51" t="s">
        <v>314</v>
      </c>
      <c r="D778" s="52" t="n">
        <v>45951</v>
      </c>
      <c r="E778" s="53" t="n">
        <v>12.06</v>
      </c>
      <c r="F778" s="53" t="n">
        <v>0</v>
      </c>
      <c r="G778" s="51" t="n">
        <v>0</v>
      </c>
      <c r="H778" s="51" t="n">
        <v>0</v>
      </c>
      <c r="I778" s="51" t="s">
        <v>1386</v>
      </c>
    </row>
    <row r="779" customFormat="false" ht="15" hidden="false" customHeight="false" outlineLevel="0" collapsed="false">
      <c r="A779" s="51" t="s">
        <v>111</v>
      </c>
      <c r="B779" s="51" t="n">
        <v>48</v>
      </c>
      <c r="C779" s="51" t="s">
        <v>314</v>
      </c>
      <c r="D779" s="52" t="n">
        <v>45952</v>
      </c>
      <c r="E779" s="53" t="n">
        <v>19.78</v>
      </c>
      <c r="F779" s="53" t="n">
        <v>0</v>
      </c>
      <c r="G779" s="51" t="n">
        <v>0</v>
      </c>
      <c r="H779" s="51" t="n">
        <v>0</v>
      </c>
      <c r="I779" s="51" t="s">
        <v>1386</v>
      </c>
    </row>
    <row r="780" customFormat="false" ht="15" hidden="false" customHeight="false" outlineLevel="0" collapsed="false">
      <c r="A780" s="51" t="s">
        <v>111</v>
      </c>
      <c r="B780" s="51" t="n">
        <v>48</v>
      </c>
      <c r="C780" s="51" t="s">
        <v>314</v>
      </c>
      <c r="D780" s="52" t="n">
        <v>45953</v>
      </c>
      <c r="E780" s="53" t="n">
        <v>14.45</v>
      </c>
      <c r="F780" s="53" t="n">
        <v>0</v>
      </c>
      <c r="G780" s="51" t="n">
        <v>0</v>
      </c>
      <c r="H780" s="51" t="n">
        <v>0</v>
      </c>
      <c r="I780" s="51" t="s">
        <v>1386</v>
      </c>
    </row>
    <row r="781" customFormat="false" ht="15" hidden="false" customHeight="false" outlineLevel="0" collapsed="false">
      <c r="A781" s="51" t="s">
        <v>111</v>
      </c>
      <c r="B781" s="51" t="n">
        <v>48</v>
      </c>
      <c r="C781" s="51" t="s">
        <v>314</v>
      </c>
      <c r="D781" s="52" t="n">
        <v>45954</v>
      </c>
      <c r="E781" s="53" t="n">
        <v>6.89</v>
      </c>
      <c r="F781" s="53" t="n">
        <v>0</v>
      </c>
      <c r="G781" s="51" t="n">
        <v>0</v>
      </c>
      <c r="H781" s="51" t="n">
        <v>0</v>
      </c>
      <c r="I781" s="51" t="s">
        <v>1386</v>
      </c>
    </row>
    <row r="782" customFormat="false" ht="15" hidden="false" customHeight="false" outlineLevel="0" collapsed="false">
      <c r="A782" s="51" t="s">
        <v>111</v>
      </c>
      <c r="B782" s="51" t="n">
        <v>48</v>
      </c>
      <c r="C782" s="51" t="s">
        <v>314</v>
      </c>
      <c r="D782" s="52" t="n">
        <v>45955</v>
      </c>
      <c r="E782" s="53" t="n">
        <v>6.2</v>
      </c>
      <c r="F782" s="53" t="n">
        <v>0</v>
      </c>
      <c r="G782" s="51" t="n">
        <v>0</v>
      </c>
      <c r="H782" s="51" t="n">
        <v>0</v>
      </c>
      <c r="I782" s="51" t="s">
        <v>1386</v>
      </c>
    </row>
    <row r="783" customFormat="false" ht="15" hidden="false" customHeight="false" outlineLevel="0" collapsed="false">
      <c r="A783" s="51" t="s">
        <v>111</v>
      </c>
      <c r="B783" s="51" t="n">
        <v>48</v>
      </c>
      <c r="C783" s="51" t="s">
        <v>314</v>
      </c>
      <c r="D783" s="52" t="n">
        <v>45956</v>
      </c>
      <c r="E783" s="53" t="n">
        <v>14.17</v>
      </c>
      <c r="F783" s="53" t="n">
        <v>75.9</v>
      </c>
      <c r="G783" s="51" t="n">
        <v>1</v>
      </c>
      <c r="H783" s="51" t="n">
        <v>2</v>
      </c>
      <c r="I783" s="51" t="s">
        <v>1386</v>
      </c>
    </row>
    <row r="784" customFormat="false" ht="15" hidden="false" customHeight="false" outlineLevel="0" collapsed="false">
      <c r="A784" s="51" t="s">
        <v>111</v>
      </c>
      <c r="B784" s="51" t="n">
        <v>48</v>
      </c>
      <c r="C784" s="51" t="s">
        <v>314</v>
      </c>
      <c r="D784" s="52" t="n">
        <v>45957</v>
      </c>
      <c r="E784" s="53" t="n">
        <v>8.3</v>
      </c>
      <c r="F784" s="53" t="n">
        <v>33.95</v>
      </c>
      <c r="G784" s="51" t="n">
        <v>1</v>
      </c>
      <c r="H784" s="51" t="n">
        <v>1</v>
      </c>
      <c r="I784" s="51" t="s">
        <v>1386</v>
      </c>
    </row>
    <row r="785" customFormat="false" ht="15" hidden="false" customHeight="false" outlineLevel="0" collapsed="false">
      <c r="A785" s="51" t="s">
        <v>111</v>
      </c>
      <c r="B785" s="51" t="n">
        <v>48</v>
      </c>
      <c r="C785" s="51" t="s">
        <v>314</v>
      </c>
      <c r="D785" s="52" t="n">
        <v>45958</v>
      </c>
      <c r="E785" s="53" t="n">
        <v>4.38</v>
      </c>
      <c r="F785" s="53" t="n">
        <v>0</v>
      </c>
      <c r="G785" s="51" t="n">
        <v>0</v>
      </c>
      <c r="H785" s="51" t="n">
        <v>0</v>
      </c>
      <c r="I785" s="51" t="s">
        <v>1386</v>
      </c>
    </row>
    <row r="786" customFormat="false" ht="15" hidden="false" customHeight="false" outlineLevel="0" collapsed="false">
      <c r="A786" s="51" t="s">
        <v>111</v>
      </c>
      <c r="B786" s="51" t="n">
        <v>48</v>
      </c>
      <c r="C786" s="51" t="s">
        <v>314</v>
      </c>
      <c r="D786" s="52" t="n">
        <v>45959</v>
      </c>
      <c r="E786" s="53" t="n">
        <v>1.93</v>
      </c>
      <c r="F786" s="53" t="n">
        <v>0</v>
      </c>
      <c r="G786" s="51" t="n">
        <v>0</v>
      </c>
      <c r="H786" s="51" t="n">
        <v>0</v>
      </c>
      <c r="I786" s="51" t="s">
        <v>1386</v>
      </c>
    </row>
    <row r="787" customFormat="false" ht="15" hidden="false" customHeight="false" outlineLevel="0" collapsed="false">
      <c r="A787" s="51" t="s">
        <v>111</v>
      </c>
      <c r="B787" s="51" t="n">
        <v>48</v>
      </c>
      <c r="C787" s="51" t="s">
        <v>314</v>
      </c>
      <c r="D787" s="52" t="n">
        <v>45960</v>
      </c>
      <c r="E787" s="53" t="n">
        <v>1.8</v>
      </c>
      <c r="F787" s="53" t="n">
        <v>0</v>
      </c>
      <c r="G787" s="51" t="n">
        <v>0</v>
      </c>
      <c r="H787" s="51" t="n">
        <v>0</v>
      </c>
      <c r="I787" s="51" t="s">
        <v>1386</v>
      </c>
    </row>
    <row r="788" customFormat="false" ht="15" hidden="false" customHeight="false" outlineLevel="0" collapsed="false">
      <c r="A788" s="51" t="s">
        <v>111</v>
      </c>
      <c r="B788" s="51" t="n">
        <v>48</v>
      </c>
      <c r="C788" s="51" t="s">
        <v>314</v>
      </c>
      <c r="D788" s="52" t="n">
        <v>45961</v>
      </c>
      <c r="E788" s="53" t="n">
        <v>2.16</v>
      </c>
      <c r="F788" s="53" t="n">
        <v>33.95</v>
      </c>
      <c r="G788" s="51" t="n">
        <v>1</v>
      </c>
      <c r="H788" s="51" t="n">
        <v>1</v>
      </c>
      <c r="I788" s="51" t="s">
        <v>1386</v>
      </c>
    </row>
    <row r="789" customFormat="false" ht="15" hidden="false" customHeight="false" outlineLevel="0" collapsed="false">
      <c r="A789" s="51" t="s">
        <v>111</v>
      </c>
      <c r="B789" s="51" t="n">
        <v>48</v>
      </c>
      <c r="C789" s="51" t="s">
        <v>314</v>
      </c>
      <c r="D789" s="52" t="n">
        <v>45962</v>
      </c>
      <c r="E789" s="53" t="n">
        <v>6.25</v>
      </c>
      <c r="F789" s="53" t="n">
        <v>79.99</v>
      </c>
      <c r="G789" s="51" t="n">
        <v>1</v>
      </c>
      <c r="H789" s="51" t="n">
        <v>1</v>
      </c>
      <c r="I789" s="51" t="s">
        <v>1386</v>
      </c>
    </row>
    <row r="790" customFormat="false" ht="15" hidden="false" customHeight="false" outlineLevel="0" collapsed="false">
      <c r="A790" s="51" t="s">
        <v>111</v>
      </c>
      <c r="B790" s="51" t="n">
        <v>48</v>
      </c>
      <c r="C790" s="51" t="s">
        <v>314</v>
      </c>
      <c r="D790" s="52" t="n">
        <v>45963</v>
      </c>
      <c r="E790" s="53" t="n">
        <v>8.49</v>
      </c>
      <c r="F790" s="53" t="n">
        <v>0</v>
      </c>
      <c r="G790" s="51" t="n">
        <v>0</v>
      </c>
      <c r="H790" s="51" t="n">
        <v>0</v>
      </c>
      <c r="I790" s="51" t="s">
        <v>1386</v>
      </c>
    </row>
    <row r="791" customFormat="false" ht="15" hidden="false" customHeight="false" outlineLevel="0" collapsed="false">
      <c r="A791" s="51" t="s">
        <v>111</v>
      </c>
      <c r="B791" s="51" t="n">
        <v>48</v>
      </c>
      <c r="C791" s="51" t="s">
        <v>314</v>
      </c>
      <c r="D791" s="52" t="n">
        <v>45964</v>
      </c>
      <c r="E791" s="53" t="n">
        <v>15.14</v>
      </c>
      <c r="F791" s="53" t="n">
        <v>81.87</v>
      </c>
      <c r="G791" s="51" t="n">
        <v>2</v>
      </c>
      <c r="H791" s="51" t="n">
        <v>2</v>
      </c>
      <c r="I791" s="51" t="s">
        <v>1386</v>
      </c>
    </row>
    <row r="792" customFormat="false" ht="15" hidden="false" customHeight="false" outlineLevel="0" collapsed="false">
      <c r="A792" s="51" t="s">
        <v>111</v>
      </c>
      <c r="B792" s="51" t="n">
        <v>48</v>
      </c>
      <c r="C792" s="51" t="s">
        <v>314</v>
      </c>
      <c r="D792" s="52" t="n">
        <v>45965</v>
      </c>
      <c r="E792" s="53" t="n">
        <v>6.14</v>
      </c>
      <c r="F792" s="53" t="n">
        <v>42.95</v>
      </c>
      <c r="G792" s="51" t="n">
        <v>1</v>
      </c>
      <c r="H792" s="51" t="n">
        <v>1</v>
      </c>
      <c r="I792" s="51" t="s">
        <v>1386</v>
      </c>
    </row>
    <row r="793" customFormat="false" ht="15" hidden="false" customHeight="false" outlineLevel="0" collapsed="false">
      <c r="A793" s="51" t="s">
        <v>111</v>
      </c>
      <c r="B793" s="51" t="n">
        <v>48</v>
      </c>
      <c r="C793" s="51" t="s">
        <v>314</v>
      </c>
      <c r="D793" s="52" t="n">
        <v>45966</v>
      </c>
      <c r="E793" s="53" t="n">
        <v>10.96</v>
      </c>
      <c r="F793" s="53" t="n">
        <v>35.95</v>
      </c>
      <c r="G793" s="51" t="n">
        <v>1</v>
      </c>
      <c r="H793" s="51" t="n">
        <v>1</v>
      </c>
      <c r="I793" s="51" t="s">
        <v>1386</v>
      </c>
    </row>
    <row r="794" customFormat="false" ht="15" hidden="false" customHeight="false" outlineLevel="0" collapsed="false">
      <c r="A794" s="51" t="s">
        <v>111</v>
      </c>
      <c r="B794" s="51" t="n">
        <v>48</v>
      </c>
      <c r="C794" s="51" t="s">
        <v>314</v>
      </c>
      <c r="D794" s="52" t="n">
        <v>45967</v>
      </c>
      <c r="E794" s="53" t="n">
        <v>12.44</v>
      </c>
      <c r="F794" s="53" t="n">
        <v>37.95</v>
      </c>
      <c r="G794" s="51" t="n">
        <v>1</v>
      </c>
      <c r="H794" s="51" t="n">
        <v>1</v>
      </c>
      <c r="I794" s="51" t="s">
        <v>1386</v>
      </c>
    </row>
    <row r="795" customFormat="false" ht="15" hidden="false" customHeight="false" outlineLevel="0" collapsed="false">
      <c r="A795" s="51" t="s">
        <v>111</v>
      </c>
      <c r="B795" s="51" t="n">
        <v>48</v>
      </c>
      <c r="C795" s="51" t="s">
        <v>314</v>
      </c>
      <c r="D795" s="52" t="n">
        <v>45968</v>
      </c>
      <c r="E795" s="53" t="n">
        <v>10.36</v>
      </c>
      <c r="F795" s="53" t="n">
        <v>0</v>
      </c>
      <c r="G795" s="51" t="n">
        <v>0</v>
      </c>
      <c r="H795" s="51" t="n">
        <v>0</v>
      </c>
      <c r="I795" s="51" t="s">
        <v>1386</v>
      </c>
    </row>
    <row r="796" customFormat="false" ht="15" hidden="false" customHeight="false" outlineLevel="0" collapsed="false">
      <c r="A796" s="51" t="s">
        <v>111</v>
      </c>
      <c r="B796" s="51" t="n">
        <v>48</v>
      </c>
      <c r="C796" s="51" t="s">
        <v>314</v>
      </c>
      <c r="D796" s="52" t="n">
        <v>45969</v>
      </c>
      <c r="E796" s="53" t="n">
        <v>6.66</v>
      </c>
      <c r="F796" s="53" t="n">
        <v>0</v>
      </c>
      <c r="G796" s="51" t="n">
        <v>0</v>
      </c>
      <c r="H796" s="51" t="n">
        <v>0</v>
      </c>
      <c r="I796" s="51" t="s">
        <v>1386</v>
      </c>
    </row>
    <row r="797" customFormat="false" ht="15" hidden="false" customHeight="false" outlineLevel="0" collapsed="false">
      <c r="A797" s="51" t="s">
        <v>111</v>
      </c>
      <c r="B797" s="51" t="n">
        <v>48</v>
      </c>
      <c r="C797" s="51" t="s">
        <v>314</v>
      </c>
      <c r="D797" s="52" t="n">
        <v>45970</v>
      </c>
      <c r="E797" s="53" t="n">
        <v>6.22</v>
      </c>
      <c r="F797" s="53" t="n">
        <v>0</v>
      </c>
      <c r="G797" s="51" t="n">
        <v>0</v>
      </c>
      <c r="H797" s="51" t="n">
        <v>0</v>
      </c>
      <c r="I797" s="51" t="s">
        <v>1386</v>
      </c>
    </row>
    <row r="798" customFormat="false" ht="15" hidden="false" customHeight="false" outlineLevel="0" collapsed="false">
      <c r="A798" s="51" t="s">
        <v>111</v>
      </c>
      <c r="B798" s="51" t="n">
        <v>48</v>
      </c>
      <c r="C798" s="51" t="s">
        <v>314</v>
      </c>
      <c r="D798" s="52" t="n">
        <v>45971</v>
      </c>
      <c r="E798" s="53" t="n">
        <v>14.81</v>
      </c>
      <c r="F798" s="53" t="n">
        <v>44.95</v>
      </c>
      <c r="G798" s="51" t="n">
        <v>1</v>
      </c>
      <c r="H798" s="51" t="n">
        <v>1</v>
      </c>
      <c r="I798" s="51" t="s">
        <v>1386</v>
      </c>
    </row>
    <row r="799" customFormat="false" ht="15" hidden="false" customHeight="false" outlineLevel="0" collapsed="false">
      <c r="A799" s="51" t="s">
        <v>111</v>
      </c>
      <c r="B799" s="51" t="n">
        <v>48</v>
      </c>
      <c r="C799" s="51" t="s">
        <v>314</v>
      </c>
      <c r="D799" s="52" t="n">
        <v>45972</v>
      </c>
      <c r="E799" s="53" t="n">
        <v>3.9</v>
      </c>
      <c r="F799" s="53" t="n">
        <v>0</v>
      </c>
      <c r="G799" s="51" t="n">
        <v>0</v>
      </c>
      <c r="H799" s="51" t="n">
        <v>0</v>
      </c>
      <c r="I799" s="51" t="s">
        <v>1386</v>
      </c>
    </row>
    <row r="800" customFormat="false" ht="15" hidden="false" customHeight="false" outlineLevel="0" collapsed="false">
      <c r="A800" s="51" t="s">
        <v>111</v>
      </c>
      <c r="B800" s="51" t="n">
        <v>48</v>
      </c>
      <c r="C800" s="51" t="s">
        <v>314</v>
      </c>
      <c r="D800" s="52" t="n">
        <v>45973</v>
      </c>
      <c r="E800" s="53" t="n">
        <v>4.47</v>
      </c>
      <c r="F800" s="53" t="n">
        <v>0</v>
      </c>
      <c r="G800" s="51" t="n">
        <v>0</v>
      </c>
      <c r="H800" s="51" t="n">
        <v>0</v>
      </c>
      <c r="I800" s="51" t="s">
        <v>1386</v>
      </c>
    </row>
    <row r="801" customFormat="false" ht="15" hidden="false" customHeight="false" outlineLevel="0" collapsed="false">
      <c r="A801" s="51" t="s">
        <v>111</v>
      </c>
      <c r="B801" s="51" t="n">
        <v>48</v>
      </c>
      <c r="C801" s="51" t="s">
        <v>314</v>
      </c>
      <c r="D801" s="52" t="n">
        <v>45974</v>
      </c>
      <c r="E801" s="53" t="n">
        <v>9.16</v>
      </c>
      <c r="F801" s="53" t="n">
        <v>0</v>
      </c>
      <c r="G801" s="51" t="n">
        <v>0</v>
      </c>
      <c r="H801" s="51" t="n">
        <v>0</v>
      </c>
      <c r="I801" s="51" t="s">
        <v>1386</v>
      </c>
    </row>
    <row r="802" customFormat="false" ht="15" hidden="false" customHeight="false" outlineLevel="0" collapsed="false">
      <c r="A802" s="51" t="s">
        <v>111</v>
      </c>
      <c r="B802" s="51" t="n">
        <v>48</v>
      </c>
      <c r="C802" s="51" t="s">
        <v>314</v>
      </c>
      <c r="D802" s="52" t="n">
        <v>45975</v>
      </c>
      <c r="E802" s="53" t="n">
        <v>5.21</v>
      </c>
      <c r="F802" s="53" t="n">
        <v>0</v>
      </c>
      <c r="G802" s="51" t="n">
        <v>0</v>
      </c>
      <c r="H802" s="51" t="n">
        <v>0</v>
      </c>
      <c r="I802" s="51" t="s">
        <v>1386</v>
      </c>
    </row>
    <row r="803" customFormat="false" ht="15" hidden="false" customHeight="false" outlineLevel="0" collapsed="false">
      <c r="A803" s="51" t="s">
        <v>111</v>
      </c>
      <c r="B803" s="51" t="n">
        <v>48</v>
      </c>
      <c r="C803" s="51" t="s">
        <v>314</v>
      </c>
      <c r="D803" s="52" t="n">
        <v>45976</v>
      </c>
      <c r="E803" s="53" t="n">
        <v>4.62</v>
      </c>
      <c r="F803" s="53" t="n">
        <v>0</v>
      </c>
      <c r="G803" s="51" t="n">
        <v>0</v>
      </c>
      <c r="H803" s="51" t="n">
        <v>0</v>
      </c>
      <c r="I803" s="51" t="s">
        <v>1386</v>
      </c>
    </row>
    <row r="804" customFormat="false" ht="15" hidden="false" customHeight="false" outlineLevel="0" collapsed="false">
      <c r="A804" s="51" t="s">
        <v>111</v>
      </c>
      <c r="B804" s="51" t="n">
        <v>48</v>
      </c>
      <c r="C804" s="51" t="s">
        <v>314</v>
      </c>
      <c r="D804" s="52" t="n">
        <v>45977</v>
      </c>
      <c r="E804" s="53" t="n">
        <v>11.62</v>
      </c>
      <c r="F804" s="53" t="n">
        <v>259.87</v>
      </c>
      <c r="G804" s="51" t="n">
        <v>4</v>
      </c>
      <c r="H804" s="51" t="n">
        <v>5</v>
      </c>
      <c r="I804" s="51" t="s">
        <v>1386</v>
      </c>
    </row>
    <row r="805" customFormat="false" ht="15" hidden="false" customHeight="false" outlineLevel="0" collapsed="false">
      <c r="A805" s="51" t="s">
        <v>111</v>
      </c>
      <c r="B805" s="51" t="n">
        <v>48</v>
      </c>
      <c r="C805" s="51" t="s">
        <v>314</v>
      </c>
      <c r="D805" s="52" t="n">
        <v>45978</v>
      </c>
      <c r="E805" s="53" t="n">
        <v>5.45</v>
      </c>
      <c r="F805" s="53" t="n">
        <v>0</v>
      </c>
      <c r="G805" s="51" t="n">
        <v>0</v>
      </c>
      <c r="H805" s="51" t="n">
        <v>0</v>
      </c>
      <c r="I805" s="51" t="s">
        <v>1386</v>
      </c>
    </row>
    <row r="806" customFormat="false" ht="15" hidden="false" customHeight="false" outlineLevel="0" collapsed="false">
      <c r="A806" s="51" t="s">
        <v>111</v>
      </c>
      <c r="B806" s="51" t="n">
        <v>48</v>
      </c>
      <c r="C806" s="51" t="s">
        <v>314</v>
      </c>
      <c r="D806" s="52" t="n">
        <v>45979</v>
      </c>
      <c r="E806" s="53" t="n">
        <v>5.83</v>
      </c>
      <c r="F806" s="53" t="n">
        <v>0</v>
      </c>
      <c r="G806" s="51" t="n">
        <v>0</v>
      </c>
      <c r="H806" s="51" t="n">
        <v>0</v>
      </c>
      <c r="I806" s="51" t="s">
        <v>1386</v>
      </c>
    </row>
    <row r="807" customFormat="false" ht="15" hidden="false" customHeight="false" outlineLevel="0" collapsed="false">
      <c r="A807" s="51" t="s">
        <v>111</v>
      </c>
      <c r="B807" s="51" t="n">
        <v>48</v>
      </c>
      <c r="C807" s="51" t="s">
        <v>314</v>
      </c>
      <c r="D807" s="52" t="n">
        <v>45980</v>
      </c>
      <c r="E807" s="53" t="n">
        <v>8.11</v>
      </c>
      <c r="F807" s="53" t="n">
        <v>0</v>
      </c>
      <c r="G807" s="51" t="n">
        <v>0</v>
      </c>
      <c r="H807" s="51" t="n">
        <v>0</v>
      </c>
      <c r="I807" s="51" t="s">
        <v>1386</v>
      </c>
    </row>
    <row r="808" customFormat="false" ht="15" hidden="false" customHeight="false" outlineLevel="0" collapsed="false">
      <c r="A808" s="51" t="s">
        <v>111</v>
      </c>
      <c r="B808" s="51" t="n">
        <v>48</v>
      </c>
      <c r="C808" s="51" t="s">
        <v>314</v>
      </c>
      <c r="D808" s="52" t="n">
        <v>45981</v>
      </c>
      <c r="E808" s="53" t="n">
        <v>7.81</v>
      </c>
      <c r="F808" s="53" t="n">
        <v>37.95</v>
      </c>
      <c r="G808" s="51" t="n">
        <v>1</v>
      </c>
      <c r="H808" s="51" t="n">
        <v>1</v>
      </c>
      <c r="I808" s="51" t="s">
        <v>1387</v>
      </c>
    </row>
    <row r="809" customFormat="false" ht="15" hidden="false" customHeight="false" outlineLevel="0" collapsed="false">
      <c r="A809" s="51" t="s">
        <v>111</v>
      </c>
      <c r="B809" s="51" t="n">
        <v>48</v>
      </c>
      <c r="C809" s="51" t="s">
        <v>314</v>
      </c>
      <c r="D809" s="52" t="n">
        <v>45982</v>
      </c>
      <c r="E809" s="53" t="n">
        <v>13.16</v>
      </c>
      <c r="F809" s="53" t="n">
        <v>109.19</v>
      </c>
      <c r="G809" s="51" t="n">
        <v>2</v>
      </c>
      <c r="H809" s="51" t="n">
        <v>2</v>
      </c>
      <c r="I809" s="51" t="s">
        <v>1387</v>
      </c>
    </row>
    <row r="810" customFormat="false" ht="15" hidden="false" customHeight="false" outlineLevel="0" collapsed="false">
      <c r="A810" s="51" t="s">
        <v>111</v>
      </c>
      <c r="B810" s="51" t="n">
        <v>48</v>
      </c>
      <c r="C810" s="51" t="s">
        <v>314</v>
      </c>
      <c r="D810" s="52" t="n">
        <v>45983</v>
      </c>
      <c r="E810" s="53" t="n">
        <v>21.26</v>
      </c>
      <c r="F810" s="53" t="n">
        <v>0</v>
      </c>
      <c r="G810" s="51" t="n">
        <v>0</v>
      </c>
      <c r="H810" s="51" t="n">
        <v>0</v>
      </c>
      <c r="I810" s="51" t="s">
        <v>1387</v>
      </c>
    </row>
    <row r="811" customFormat="false" ht="15" hidden="false" customHeight="false" outlineLevel="0" collapsed="false">
      <c r="A811" s="51" t="s">
        <v>111</v>
      </c>
      <c r="B811" s="51" t="n">
        <v>48</v>
      </c>
      <c r="C811" s="51" t="s">
        <v>314</v>
      </c>
      <c r="D811" s="52" t="n">
        <v>45984</v>
      </c>
      <c r="E811" s="53" t="n">
        <v>19.06</v>
      </c>
      <c r="F811" s="53" t="n">
        <v>139.14</v>
      </c>
      <c r="G811" s="51" t="n">
        <v>3</v>
      </c>
      <c r="H811" s="51" t="n">
        <v>3</v>
      </c>
      <c r="I811" s="51" t="s">
        <v>1387</v>
      </c>
    </row>
    <row r="812" customFormat="false" ht="15" hidden="false" customHeight="false" outlineLevel="0" collapsed="false">
      <c r="A812" s="51" t="s">
        <v>111</v>
      </c>
      <c r="B812" s="51" t="n">
        <v>48</v>
      </c>
      <c r="C812" s="51" t="s">
        <v>314</v>
      </c>
      <c r="D812" s="52" t="n">
        <v>45985</v>
      </c>
      <c r="E812" s="53" t="n">
        <v>14.38</v>
      </c>
      <c r="F812" s="53" t="n">
        <v>0</v>
      </c>
      <c r="G812" s="51" t="n">
        <v>0</v>
      </c>
      <c r="H812" s="51" t="n">
        <v>0</v>
      </c>
      <c r="I812" s="51" t="s">
        <v>1387</v>
      </c>
    </row>
    <row r="813" customFormat="false" ht="15" hidden="false" customHeight="false" outlineLevel="0" collapsed="false">
      <c r="A813" s="51" t="s">
        <v>111</v>
      </c>
      <c r="B813" s="51" t="n">
        <v>48</v>
      </c>
      <c r="C813" s="51" t="s">
        <v>314</v>
      </c>
      <c r="D813" s="52" t="n">
        <v>45986</v>
      </c>
      <c r="E813" s="53" t="n">
        <v>18.39</v>
      </c>
      <c r="F813" s="53" t="n">
        <v>0</v>
      </c>
      <c r="G813" s="51" t="n">
        <v>0</v>
      </c>
      <c r="H813" s="51" t="n">
        <v>0</v>
      </c>
      <c r="I813" s="51" t="s">
        <v>1387</v>
      </c>
    </row>
    <row r="814" customFormat="false" ht="15" hidden="false" customHeight="false" outlineLevel="0" collapsed="false">
      <c r="A814" s="51" t="s">
        <v>111</v>
      </c>
      <c r="B814" s="51" t="n">
        <v>48</v>
      </c>
      <c r="C814" s="51" t="s">
        <v>314</v>
      </c>
      <c r="D814" s="52" t="n">
        <v>45987</v>
      </c>
      <c r="E814" s="53" t="n">
        <v>12.8</v>
      </c>
      <c r="F814" s="53" t="n">
        <v>0</v>
      </c>
      <c r="G814" s="51" t="n">
        <v>0</v>
      </c>
      <c r="H814" s="51" t="n">
        <v>0</v>
      </c>
      <c r="I814" s="51" t="s">
        <v>1387</v>
      </c>
    </row>
    <row r="815" customFormat="false" ht="15" hidden="false" customHeight="false" outlineLevel="0" collapsed="false">
      <c r="A815" s="51" t="s">
        <v>111</v>
      </c>
      <c r="B815" s="51" t="n">
        <v>48</v>
      </c>
      <c r="C815" s="51" t="s">
        <v>314</v>
      </c>
      <c r="D815" s="52" t="n">
        <v>45988</v>
      </c>
      <c r="E815" s="53" t="n">
        <v>22.96</v>
      </c>
      <c r="F815" s="53" t="n">
        <v>33.95</v>
      </c>
      <c r="G815" s="51" t="n">
        <v>1</v>
      </c>
      <c r="H815" s="51" t="n">
        <v>1</v>
      </c>
      <c r="I815" s="51" t="s">
        <v>1387</v>
      </c>
    </row>
    <row r="816" customFormat="false" ht="15" hidden="false" customHeight="false" outlineLevel="0" collapsed="false">
      <c r="A816" s="51" t="s">
        <v>111</v>
      </c>
      <c r="B816" s="51" t="n">
        <v>48</v>
      </c>
      <c r="C816" s="51" t="s">
        <v>314</v>
      </c>
      <c r="D816" s="52" t="n">
        <v>45989</v>
      </c>
      <c r="E816" s="53" t="n">
        <v>26.05</v>
      </c>
      <c r="F816" s="53" t="n">
        <v>128.05</v>
      </c>
      <c r="G816" s="51" t="n">
        <v>4</v>
      </c>
      <c r="H816" s="51" t="n">
        <v>4</v>
      </c>
      <c r="I816" s="51" t="s">
        <v>1387</v>
      </c>
    </row>
    <row r="817" customFormat="false" ht="15" hidden="false" customHeight="false" outlineLevel="0" collapsed="false">
      <c r="A817" s="51" t="s">
        <v>111</v>
      </c>
      <c r="B817" s="51" t="n">
        <v>48</v>
      </c>
      <c r="C817" s="51" t="s">
        <v>314</v>
      </c>
      <c r="D817" s="52" t="n">
        <v>45990</v>
      </c>
      <c r="E817" s="53" t="n">
        <v>14.85</v>
      </c>
      <c r="F817" s="53" t="n">
        <v>0</v>
      </c>
      <c r="G817" s="51" t="n">
        <v>0</v>
      </c>
      <c r="H817" s="51" t="n">
        <v>0</v>
      </c>
      <c r="I817" s="51" t="s">
        <v>1387</v>
      </c>
    </row>
    <row r="818" customFormat="false" ht="15" hidden="false" customHeight="false" outlineLevel="0" collapsed="false">
      <c r="A818" s="51" t="s">
        <v>111</v>
      </c>
      <c r="B818" s="51" t="n">
        <v>48</v>
      </c>
      <c r="C818" s="51" t="s">
        <v>314</v>
      </c>
      <c r="D818" s="52" t="n">
        <v>45991</v>
      </c>
      <c r="E818" s="53" t="n">
        <v>29.23</v>
      </c>
      <c r="F818" s="53" t="n">
        <v>39.95</v>
      </c>
      <c r="G818" s="51" t="n">
        <v>1</v>
      </c>
      <c r="H818" s="51" t="n">
        <v>1</v>
      </c>
      <c r="I818" s="51" t="s">
        <v>1387</v>
      </c>
    </row>
    <row r="819" customFormat="false" ht="15" hidden="false" customHeight="false" outlineLevel="0" collapsed="false">
      <c r="A819" s="51" t="s">
        <v>111</v>
      </c>
      <c r="B819" s="51" t="n">
        <v>48</v>
      </c>
      <c r="C819" s="51" t="s">
        <v>314</v>
      </c>
      <c r="D819" s="52" t="n">
        <v>45992</v>
      </c>
      <c r="E819" s="53" t="n">
        <v>15.58</v>
      </c>
      <c r="F819" s="53" t="n">
        <v>146.23</v>
      </c>
      <c r="G819" s="51" t="n">
        <v>2</v>
      </c>
      <c r="H819" s="51" t="n">
        <v>2</v>
      </c>
      <c r="I819" s="51" t="s">
        <v>1387</v>
      </c>
    </row>
    <row r="820" customFormat="false" ht="15" hidden="false" customHeight="false" outlineLevel="0" collapsed="false">
      <c r="A820" s="51" t="s">
        <v>111</v>
      </c>
      <c r="B820" s="51" t="n">
        <v>48</v>
      </c>
      <c r="C820" s="51" t="s">
        <v>314</v>
      </c>
      <c r="D820" s="52" t="n">
        <v>45993</v>
      </c>
      <c r="E820" s="53" t="n">
        <v>32.1</v>
      </c>
      <c r="F820" s="53" t="n">
        <v>37.95</v>
      </c>
      <c r="G820" s="51" t="n">
        <v>1</v>
      </c>
      <c r="H820" s="51" t="n">
        <v>1</v>
      </c>
      <c r="I820" s="51"/>
    </row>
    <row r="821" customFormat="false" ht="15" hidden="false" customHeight="false" outlineLevel="0" collapsed="false">
      <c r="A821" s="51" t="s">
        <v>111</v>
      </c>
      <c r="B821" s="51" t="n">
        <v>48</v>
      </c>
      <c r="C821" s="51" t="s">
        <v>314</v>
      </c>
      <c r="D821" s="52" t="n">
        <v>45994</v>
      </c>
      <c r="E821" s="53" t="n">
        <v>13.46</v>
      </c>
      <c r="F821" s="53" t="n">
        <v>0</v>
      </c>
      <c r="G821" s="51" t="n">
        <v>0</v>
      </c>
      <c r="H821" s="51" t="n">
        <v>0</v>
      </c>
      <c r="I821" s="51"/>
    </row>
    <row r="822" customFormat="false" ht="15" hidden="false" customHeight="false" outlineLevel="0" collapsed="false">
      <c r="A822" s="51" t="s">
        <v>111</v>
      </c>
      <c r="B822" s="51" t="n">
        <v>48</v>
      </c>
      <c r="C822" s="51" t="s">
        <v>314</v>
      </c>
      <c r="D822" s="52" t="n">
        <v>45995</v>
      </c>
      <c r="E822" s="53" t="n">
        <v>14.99</v>
      </c>
      <c r="F822" s="53" t="n">
        <v>74.99</v>
      </c>
      <c r="G822" s="51" t="n">
        <v>1</v>
      </c>
      <c r="H822" s="51" t="n">
        <v>1</v>
      </c>
      <c r="I822" s="51"/>
    </row>
    <row r="823" customFormat="false" ht="15" hidden="false" customHeight="false" outlineLevel="0" collapsed="false">
      <c r="A823" s="51" t="s">
        <v>111</v>
      </c>
      <c r="B823" s="51" t="n">
        <v>48</v>
      </c>
      <c r="C823" s="51" t="s">
        <v>314</v>
      </c>
      <c r="D823" s="52" t="n">
        <v>45996</v>
      </c>
      <c r="E823" s="53" t="n">
        <v>25.46</v>
      </c>
      <c r="F823" s="53" t="n">
        <v>0</v>
      </c>
      <c r="G823" s="51" t="n">
        <v>0</v>
      </c>
      <c r="H823" s="51" t="n">
        <v>0</v>
      </c>
      <c r="I823" s="51"/>
    </row>
    <row r="824" customFormat="false" ht="15" hidden="false" customHeight="false" outlineLevel="0" collapsed="false">
      <c r="A824" s="51" t="s">
        <v>111</v>
      </c>
      <c r="B824" s="51" t="n">
        <v>48</v>
      </c>
      <c r="C824" s="51" t="s">
        <v>314</v>
      </c>
      <c r="D824" s="52" t="n">
        <v>45997</v>
      </c>
      <c r="E824" s="53" t="n">
        <v>13.26</v>
      </c>
      <c r="F824" s="53" t="n">
        <v>117.94</v>
      </c>
      <c r="G824" s="51" t="n">
        <v>2</v>
      </c>
      <c r="H824" s="51" t="n">
        <v>2</v>
      </c>
      <c r="I824" s="51"/>
    </row>
    <row r="825" customFormat="false" ht="15" hidden="false" customHeight="false" outlineLevel="0" collapsed="false">
      <c r="A825" s="51" t="s">
        <v>111</v>
      </c>
      <c r="B825" s="51" t="n">
        <v>48</v>
      </c>
      <c r="C825" s="51" t="s">
        <v>314</v>
      </c>
      <c r="D825" s="52" t="n">
        <v>45998</v>
      </c>
      <c r="E825" s="53" t="n">
        <v>16.62</v>
      </c>
      <c r="F825" s="53" t="n">
        <v>37.95</v>
      </c>
      <c r="G825" s="51" t="n">
        <v>1</v>
      </c>
      <c r="H825" s="51" t="n">
        <v>1</v>
      </c>
      <c r="I825" s="51"/>
    </row>
    <row r="826" customFormat="false" ht="15" hidden="false" customHeight="false" outlineLevel="0" collapsed="false">
      <c r="A826" s="51" t="s">
        <v>111</v>
      </c>
      <c r="B826" s="51" t="n">
        <v>48</v>
      </c>
      <c r="C826" s="51" t="s">
        <v>314</v>
      </c>
      <c r="D826" s="52" t="n">
        <v>45999</v>
      </c>
      <c r="E826" s="53" t="n">
        <v>19.13</v>
      </c>
      <c r="F826" s="53" t="n">
        <v>107.85</v>
      </c>
      <c r="G826" s="51" t="n">
        <v>3</v>
      </c>
      <c r="H826" s="51" t="n">
        <v>3</v>
      </c>
      <c r="I826" s="51"/>
    </row>
    <row r="827" customFormat="false" ht="15" hidden="false" customHeight="false" outlineLevel="0" collapsed="false">
      <c r="A827" s="51" t="s">
        <v>111</v>
      </c>
      <c r="B827" s="51" t="n">
        <v>48</v>
      </c>
      <c r="C827" s="51" t="s">
        <v>314</v>
      </c>
      <c r="D827" s="52" t="n">
        <v>46000</v>
      </c>
      <c r="E827" s="53" t="n">
        <v>21.77</v>
      </c>
      <c r="F827" s="53" t="n">
        <v>114.85</v>
      </c>
      <c r="G827" s="51" t="n">
        <v>3</v>
      </c>
      <c r="H827" s="51" t="n">
        <v>3</v>
      </c>
      <c r="I827" s="51"/>
    </row>
    <row r="828" customFormat="false" ht="15" hidden="false" customHeight="false" outlineLevel="0" collapsed="false">
      <c r="A828" s="51" t="s">
        <v>111</v>
      </c>
      <c r="B828" s="51" t="n">
        <v>48</v>
      </c>
      <c r="C828" s="51" t="s">
        <v>314</v>
      </c>
      <c r="D828" s="52" t="n">
        <v>46001</v>
      </c>
      <c r="E828" s="53" t="n">
        <v>15.59</v>
      </c>
      <c r="F828" s="53" t="n">
        <v>0</v>
      </c>
      <c r="G828" s="51" t="n">
        <v>0</v>
      </c>
      <c r="H828" s="51" t="n">
        <v>0</v>
      </c>
      <c r="I828" s="51"/>
    </row>
    <row r="829" customFormat="false" ht="15" hidden="false" customHeight="false" outlineLevel="0" collapsed="false">
      <c r="A829" s="51" t="s">
        <v>111</v>
      </c>
      <c r="B829" s="51" t="n">
        <v>48</v>
      </c>
      <c r="C829" s="51" t="s">
        <v>314</v>
      </c>
      <c r="D829" s="52" t="n">
        <v>46002</v>
      </c>
      <c r="E829" s="53" t="n">
        <v>13.14</v>
      </c>
      <c r="F829" s="53" t="n">
        <v>94.99</v>
      </c>
      <c r="G829" s="51" t="n">
        <v>1</v>
      </c>
      <c r="H829" s="51" t="n">
        <v>1</v>
      </c>
      <c r="I829" s="51"/>
    </row>
    <row r="830" customFormat="false" ht="15" hidden="false" customHeight="false" outlineLevel="0" collapsed="false">
      <c r="A830" s="51" t="s">
        <v>111</v>
      </c>
      <c r="B830" s="51" t="n">
        <v>48</v>
      </c>
      <c r="C830" s="51" t="s">
        <v>314</v>
      </c>
      <c r="D830" s="52" t="n">
        <v>46003</v>
      </c>
      <c r="E830" s="53" t="n">
        <v>15.05</v>
      </c>
      <c r="F830" s="53" t="n">
        <v>0</v>
      </c>
      <c r="G830" s="51" t="n">
        <v>0</v>
      </c>
      <c r="H830" s="51" t="n">
        <v>0</v>
      </c>
      <c r="I830" s="51"/>
    </row>
    <row r="831" customFormat="false" ht="15" hidden="false" customHeight="false" outlineLevel="0" collapsed="false">
      <c r="A831" s="51" t="s">
        <v>111</v>
      </c>
      <c r="B831" s="51" t="n">
        <v>48</v>
      </c>
      <c r="C831" s="51" t="s">
        <v>314</v>
      </c>
      <c r="D831" s="52" t="n">
        <v>46004</v>
      </c>
      <c r="E831" s="53" t="n">
        <v>20.94</v>
      </c>
      <c r="F831" s="53" t="n">
        <v>131.8</v>
      </c>
      <c r="G831" s="51" t="n">
        <v>4</v>
      </c>
      <c r="H831" s="51" t="n">
        <v>4</v>
      </c>
      <c r="I831" s="51"/>
    </row>
    <row r="832" customFormat="false" ht="15" hidden="false" customHeight="false" outlineLevel="0" collapsed="false">
      <c r="A832" s="51" t="s">
        <v>111</v>
      </c>
      <c r="B832" s="51" t="n">
        <v>48</v>
      </c>
      <c r="C832" s="51" t="s">
        <v>314</v>
      </c>
      <c r="D832" s="52" t="n">
        <v>46005</v>
      </c>
      <c r="E832" s="53" t="n">
        <v>18.02</v>
      </c>
      <c r="F832" s="53" t="n">
        <v>0</v>
      </c>
      <c r="G832" s="51" t="n">
        <v>0</v>
      </c>
      <c r="H832" s="51" t="n">
        <v>0</v>
      </c>
      <c r="I832" s="51"/>
    </row>
    <row r="833" customFormat="false" ht="15" hidden="false" customHeight="false" outlineLevel="0" collapsed="false">
      <c r="A833" s="51" t="s">
        <v>111</v>
      </c>
      <c r="B833" s="51" t="n">
        <v>48</v>
      </c>
      <c r="C833" s="51" t="s">
        <v>314</v>
      </c>
      <c r="D833" s="52" t="n">
        <v>46006</v>
      </c>
      <c r="E833" s="53" t="n">
        <v>13.27</v>
      </c>
      <c r="F833" s="53" t="n">
        <v>37.95</v>
      </c>
      <c r="G833" s="51" t="n">
        <v>1</v>
      </c>
      <c r="H833" s="51" t="n">
        <v>1</v>
      </c>
      <c r="I833" s="51"/>
    </row>
    <row r="834" customFormat="false" ht="15" hidden="false" customHeight="false" outlineLevel="0" collapsed="false">
      <c r="A834" s="51" t="s">
        <v>116</v>
      </c>
      <c r="B834" s="51" t="n">
        <v>45</v>
      </c>
      <c r="C834" s="51" t="s">
        <v>314</v>
      </c>
      <c r="D834" s="52" t="n">
        <v>45945</v>
      </c>
      <c r="E834" s="53" t="n">
        <v>545.76</v>
      </c>
      <c r="F834" s="53" t="n">
        <v>979.83</v>
      </c>
      <c r="G834" s="51" t="n">
        <v>17</v>
      </c>
      <c r="H834" s="51" t="n">
        <v>17</v>
      </c>
      <c r="I834" s="51"/>
    </row>
    <row r="835" customFormat="false" ht="15" hidden="false" customHeight="false" outlineLevel="0" collapsed="false">
      <c r="A835" s="51" t="s">
        <v>116</v>
      </c>
      <c r="B835" s="51" t="n">
        <v>45</v>
      </c>
      <c r="C835" s="51" t="s">
        <v>314</v>
      </c>
      <c r="D835" s="52" t="n">
        <v>45946</v>
      </c>
      <c r="E835" s="53" t="n">
        <v>491.03</v>
      </c>
      <c r="F835" s="53" t="n">
        <v>1110.81</v>
      </c>
      <c r="G835" s="51" t="n">
        <v>18</v>
      </c>
      <c r="H835" s="51" t="n">
        <v>19</v>
      </c>
      <c r="I835" s="51"/>
    </row>
    <row r="836" customFormat="false" ht="15" hidden="false" customHeight="false" outlineLevel="0" collapsed="false">
      <c r="A836" s="51" t="s">
        <v>116</v>
      </c>
      <c r="B836" s="51" t="n">
        <v>45</v>
      </c>
      <c r="C836" s="51" t="s">
        <v>314</v>
      </c>
      <c r="D836" s="52" t="n">
        <v>45947</v>
      </c>
      <c r="E836" s="53" t="n">
        <v>175.35</v>
      </c>
      <c r="F836" s="53" t="n">
        <v>824.87</v>
      </c>
      <c r="G836" s="51" t="n">
        <v>13</v>
      </c>
      <c r="H836" s="51" t="n">
        <v>13</v>
      </c>
      <c r="I836" s="51"/>
    </row>
    <row r="837" customFormat="false" ht="15" hidden="false" customHeight="false" outlineLevel="0" collapsed="false">
      <c r="A837" s="51" t="s">
        <v>116</v>
      </c>
      <c r="B837" s="51" t="n">
        <v>45</v>
      </c>
      <c r="C837" s="51" t="s">
        <v>314</v>
      </c>
      <c r="D837" s="52" t="n">
        <v>45948</v>
      </c>
      <c r="E837" s="53" t="n">
        <v>138.35</v>
      </c>
      <c r="F837" s="53" t="n">
        <v>64.99</v>
      </c>
      <c r="G837" s="51" t="n">
        <v>1</v>
      </c>
      <c r="H837" s="51" t="n">
        <v>1</v>
      </c>
      <c r="I837" s="51"/>
    </row>
    <row r="838" customFormat="false" ht="15" hidden="false" customHeight="false" outlineLevel="0" collapsed="false">
      <c r="A838" s="51" t="s">
        <v>116</v>
      </c>
      <c r="B838" s="51" t="n">
        <v>45</v>
      </c>
      <c r="C838" s="51" t="s">
        <v>314</v>
      </c>
      <c r="D838" s="52" t="n">
        <v>45949</v>
      </c>
      <c r="E838" s="53" t="n">
        <v>121.68</v>
      </c>
      <c r="F838" s="53" t="n">
        <v>229.96</v>
      </c>
      <c r="G838" s="51" t="n">
        <v>4</v>
      </c>
      <c r="H838" s="51" t="n">
        <v>4</v>
      </c>
      <c r="I838" s="51"/>
    </row>
    <row r="839" customFormat="false" ht="15" hidden="false" customHeight="false" outlineLevel="0" collapsed="false">
      <c r="A839" s="51" t="s">
        <v>116</v>
      </c>
      <c r="B839" s="51" t="n">
        <v>45</v>
      </c>
      <c r="C839" s="51" t="s">
        <v>314</v>
      </c>
      <c r="D839" s="52" t="n">
        <v>45950</v>
      </c>
      <c r="E839" s="53" t="n">
        <v>145.48</v>
      </c>
      <c r="F839" s="53" t="n">
        <v>214.96</v>
      </c>
      <c r="G839" s="51" t="n">
        <v>4</v>
      </c>
      <c r="H839" s="51" t="n">
        <v>4</v>
      </c>
      <c r="I839" s="51"/>
    </row>
    <row r="840" customFormat="false" ht="15" hidden="false" customHeight="false" outlineLevel="0" collapsed="false">
      <c r="A840" s="51" t="s">
        <v>116</v>
      </c>
      <c r="B840" s="51" t="n">
        <v>45</v>
      </c>
      <c r="C840" s="51" t="s">
        <v>314</v>
      </c>
      <c r="D840" s="52" t="n">
        <v>45951</v>
      </c>
      <c r="E840" s="53" t="n">
        <v>127.29</v>
      </c>
      <c r="F840" s="53" t="n">
        <v>254.96</v>
      </c>
      <c r="G840" s="51" t="n">
        <v>4</v>
      </c>
      <c r="H840" s="51" t="n">
        <v>4</v>
      </c>
      <c r="I840" s="51" t="s">
        <v>1386</v>
      </c>
    </row>
    <row r="841" customFormat="false" ht="15" hidden="false" customHeight="false" outlineLevel="0" collapsed="false">
      <c r="A841" s="51" t="s">
        <v>116</v>
      </c>
      <c r="B841" s="51" t="n">
        <v>45</v>
      </c>
      <c r="C841" s="51" t="s">
        <v>314</v>
      </c>
      <c r="D841" s="52" t="n">
        <v>45952</v>
      </c>
      <c r="E841" s="53" t="n">
        <v>105.2</v>
      </c>
      <c r="F841" s="53" t="n">
        <v>164.97</v>
      </c>
      <c r="G841" s="51" t="n">
        <v>3</v>
      </c>
      <c r="H841" s="51" t="n">
        <v>3</v>
      </c>
      <c r="I841" s="51" t="s">
        <v>1386</v>
      </c>
    </row>
    <row r="842" customFormat="false" ht="15" hidden="false" customHeight="false" outlineLevel="0" collapsed="false">
      <c r="A842" s="51" t="s">
        <v>116</v>
      </c>
      <c r="B842" s="51" t="n">
        <v>45</v>
      </c>
      <c r="C842" s="51" t="s">
        <v>314</v>
      </c>
      <c r="D842" s="52" t="n">
        <v>45953</v>
      </c>
      <c r="E842" s="53" t="n">
        <v>57.95</v>
      </c>
      <c r="F842" s="53" t="n">
        <v>119.98</v>
      </c>
      <c r="G842" s="51" t="n">
        <v>2</v>
      </c>
      <c r="H842" s="51" t="n">
        <v>2</v>
      </c>
      <c r="I842" s="51" t="s">
        <v>1386</v>
      </c>
    </row>
    <row r="843" customFormat="false" ht="15" hidden="false" customHeight="false" outlineLevel="0" collapsed="false">
      <c r="A843" s="51" t="s">
        <v>116</v>
      </c>
      <c r="B843" s="51" t="n">
        <v>45</v>
      </c>
      <c r="C843" s="51" t="s">
        <v>314</v>
      </c>
      <c r="D843" s="52" t="n">
        <v>45954</v>
      </c>
      <c r="E843" s="53" t="n">
        <v>64.21</v>
      </c>
      <c r="F843" s="53" t="n">
        <v>104.98</v>
      </c>
      <c r="G843" s="51" t="n">
        <v>2</v>
      </c>
      <c r="H843" s="51" t="n">
        <v>2</v>
      </c>
      <c r="I843" s="51" t="s">
        <v>1386</v>
      </c>
    </row>
    <row r="844" customFormat="false" ht="15" hidden="false" customHeight="false" outlineLevel="0" collapsed="false">
      <c r="A844" s="51" t="s">
        <v>116</v>
      </c>
      <c r="B844" s="51" t="n">
        <v>45</v>
      </c>
      <c r="C844" s="51" t="s">
        <v>314</v>
      </c>
      <c r="D844" s="52" t="n">
        <v>45955</v>
      </c>
      <c r="E844" s="53" t="n">
        <v>82.23</v>
      </c>
      <c r="F844" s="53" t="n">
        <v>174.97</v>
      </c>
      <c r="G844" s="51" t="n">
        <v>3</v>
      </c>
      <c r="H844" s="51" t="n">
        <v>3</v>
      </c>
      <c r="I844" s="51" t="s">
        <v>1386</v>
      </c>
    </row>
    <row r="845" customFormat="false" ht="15" hidden="false" customHeight="false" outlineLevel="0" collapsed="false">
      <c r="A845" s="51" t="s">
        <v>116</v>
      </c>
      <c r="B845" s="51" t="n">
        <v>45</v>
      </c>
      <c r="C845" s="51" t="s">
        <v>314</v>
      </c>
      <c r="D845" s="52" t="n">
        <v>45956</v>
      </c>
      <c r="E845" s="53" t="n">
        <v>124.37</v>
      </c>
      <c r="F845" s="53" t="n">
        <v>386.89</v>
      </c>
      <c r="G845" s="51" t="n">
        <v>7</v>
      </c>
      <c r="H845" s="51" t="n">
        <v>7</v>
      </c>
      <c r="I845" s="51" t="s">
        <v>1386</v>
      </c>
    </row>
    <row r="846" customFormat="false" ht="15" hidden="false" customHeight="false" outlineLevel="0" collapsed="false">
      <c r="A846" s="51" t="s">
        <v>116</v>
      </c>
      <c r="B846" s="51" t="n">
        <v>45</v>
      </c>
      <c r="C846" s="51" t="s">
        <v>314</v>
      </c>
      <c r="D846" s="52" t="n">
        <v>45957</v>
      </c>
      <c r="E846" s="53" t="n">
        <v>80.86</v>
      </c>
      <c r="F846" s="53" t="n">
        <v>259.96</v>
      </c>
      <c r="G846" s="51" t="n">
        <v>4</v>
      </c>
      <c r="H846" s="51" t="n">
        <v>4</v>
      </c>
      <c r="I846" s="51" t="s">
        <v>1386</v>
      </c>
    </row>
    <row r="847" customFormat="false" ht="15" hidden="false" customHeight="false" outlineLevel="0" collapsed="false">
      <c r="A847" s="51" t="s">
        <v>116</v>
      </c>
      <c r="B847" s="51" t="n">
        <v>45</v>
      </c>
      <c r="C847" s="51" t="s">
        <v>314</v>
      </c>
      <c r="D847" s="52" t="n">
        <v>45958</v>
      </c>
      <c r="E847" s="53" t="n">
        <v>80.47</v>
      </c>
      <c r="F847" s="53" t="n">
        <v>0</v>
      </c>
      <c r="G847" s="51" t="n">
        <v>0</v>
      </c>
      <c r="H847" s="51" t="n">
        <v>0</v>
      </c>
      <c r="I847" s="51" t="s">
        <v>1386</v>
      </c>
    </row>
    <row r="848" customFormat="false" ht="15" hidden="false" customHeight="false" outlineLevel="0" collapsed="false">
      <c r="A848" s="51" t="s">
        <v>116</v>
      </c>
      <c r="B848" s="51" t="n">
        <v>45</v>
      </c>
      <c r="C848" s="51" t="s">
        <v>314</v>
      </c>
      <c r="D848" s="52" t="n">
        <v>45959</v>
      </c>
      <c r="E848" s="53" t="n">
        <v>111.88</v>
      </c>
      <c r="F848" s="53" t="n">
        <v>249.96</v>
      </c>
      <c r="G848" s="51" t="n">
        <v>4</v>
      </c>
      <c r="H848" s="51" t="n">
        <v>4</v>
      </c>
      <c r="I848" s="51" t="s">
        <v>1386</v>
      </c>
    </row>
    <row r="849" customFormat="false" ht="15" hidden="false" customHeight="false" outlineLevel="0" collapsed="false">
      <c r="A849" s="51" t="s">
        <v>116</v>
      </c>
      <c r="B849" s="51" t="n">
        <v>45</v>
      </c>
      <c r="C849" s="51" t="s">
        <v>314</v>
      </c>
      <c r="D849" s="52" t="n">
        <v>45960</v>
      </c>
      <c r="E849" s="53" t="n">
        <v>75.83</v>
      </c>
      <c r="F849" s="53" t="n">
        <v>334.95</v>
      </c>
      <c r="G849" s="51" t="n">
        <v>5</v>
      </c>
      <c r="H849" s="51" t="n">
        <v>5</v>
      </c>
      <c r="I849" s="51" t="s">
        <v>1386</v>
      </c>
    </row>
    <row r="850" customFormat="false" ht="15" hidden="false" customHeight="false" outlineLevel="0" collapsed="false">
      <c r="A850" s="51" t="s">
        <v>116</v>
      </c>
      <c r="B850" s="51" t="n">
        <v>45</v>
      </c>
      <c r="C850" s="51" t="s">
        <v>314</v>
      </c>
      <c r="D850" s="52" t="n">
        <v>45961</v>
      </c>
      <c r="E850" s="53" t="n">
        <v>94.88</v>
      </c>
      <c r="F850" s="53" t="n">
        <v>124.98</v>
      </c>
      <c r="G850" s="51" t="n">
        <v>2</v>
      </c>
      <c r="H850" s="51" t="n">
        <v>2</v>
      </c>
      <c r="I850" s="51" t="s">
        <v>1386</v>
      </c>
    </row>
    <row r="851" customFormat="false" ht="15" hidden="false" customHeight="false" outlineLevel="0" collapsed="false">
      <c r="A851" s="51" t="s">
        <v>116</v>
      </c>
      <c r="B851" s="51" t="n">
        <v>45</v>
      </c>
      <c r="C851" s="51" t="s">
        <v>314</v>
      </c>
      <c r="D851" s="52" t="n">
        <v>45962</v>
      </c>
      <c r="E851" s="53" t="n">
        <v>88.77</v>
      </c>
      <c r="F851" s="53" t="n">
        <v>104.98</v>
      </c>
      <c r="G851" s="51" t="n">
        <v>2</v>
      </c>
      <c r="H851" s="51" t="n">
        <v>2</v>
      </c>
      <c r="I851" s="51" t="s">
        <v>1386</v>
      </c>
    </row>
    <row r="852" customFormat="false" ht="15" hidden="false" customHeight="false" outlineLevel="0" collapsed="false">
      <c r="A852" s="51" t="s">
        <v>116</v>
      </c>
      <c r="B852" s="51" t="n">
        <v>45</v>
      </c>
      <c r="C852" s="51" t="s">
        <v>314</v>
      </c>
      <c r="D852" s="52" t="n">
        <v>45963</v>
      </c>
      <c r="E852" s="53" t="n">
        <v>110.49</v>
      </c>
      <c r="F852" s="53" t="n">
        <v>119.98</v>
      </c>
      <c r="G852" s="51" t="n">
        <v>2</v>
      </c>
      <c r="H852" s="51" t="n">
        <v>2</v>
      </c>
      <c r="I852" s="51" t="s">
        <v>1386</v>
      </c>
    </row>
    <row r="853" customFormat="false" ht="15" hidden="false" customHeight="false" outlineLevel="0" collapsed="false">
      <c r="A853" s="51" t="s">
        <v>116</v>
      </c>
      <c r="B853" s="51" t="n">
        <v>45</v>
      </c>
      <c r="C853" s="51" t="s">
        <v>314</v>
      </c>
      <c r="D853" s="52" t="n">
        <v>45964</v>
      </c>
      <c r="E853" s="53" t="n">
        <v>109.68</v>
      </c>
      <c r="F853" s="53" t="n">
        <v>324.94</v>
      </c>
      <c r="G853" s="51" t="n">
        <v>6</v>
      </c>
      <c r="H853" s="51" t="n">
        <v>6</v>
      </c>
      <c r="I853" s="51" t="s">
        <v>1386</v>
      </c>
    </row>
    <row r="854" customFormat="false" ht="15" hidden="false" customHeight="false" outlineLevel="0" collapsed="false">
      <c r="A854" s="51" t="s">
        <v>116</v>
      </c>
      <c r="B854" s="51" t="n">
        <v>45</v>
      </c>
      <c r="C854" s="51" t="s">
        <v>314</v>
      </c>
      <c r="D854" s="52" t="n">
        <v>45965</v>
      </c>
      <c r="E854" s="53" t="n">
        <v>108.88</v>
      </c>
      <c r="F854" s="53" t="n">
        <v>229.96</v>
      </c>
      <c r="G854" s="51" t="n">
        <v>4</v>
      </c>
      <c r="H854" s="51" t="n">
        <v>4</v>
      </c>
      <c r="I854" s="51" t="s">
        <v>1386</v>
      </c>
    </row>
    <row r="855" customFormat="false" ht="15" hidden="false" customHeight="false" outlineLevel="0" collapsed="false">
      <c r="A855" s="51" t="s">
        <v>116</v>
      </c>
      <c r="B855" s="51" t="n">
        <v>45</v>
      </c>
      <c r="C855" s="51" t="s">
        <v>314</v>
      </c>
      <c r="D855" s="52" t="n">
        <v>45966</v>
      </c>
      <c r="E855" s="53" t="n">
        <v>89.2</v>
      </c>
      <c r="F855" s="53" t="n">
        <v>119.98</v>
      </c>
      <c r="G855" s="51" t="n">
        <v>2</v>
      </c>
      <c r="H855" s="51" t="n">
        <v>2</v>
      </c>
      <c r="I855" s="51" t="s">
        <v>1386</v>
      </c>
    </row>
    <row r="856" customFormat="false" ht="15" hidden="false" customHeight="false" outlineLevel="0" collapsed="false">
      <c r="A856" s="51" t="s">
        <v>116</v>
      </c>
      <c r="B856" s="51" t="n">
        <v>45</v>
      </c>
      <c r="C856" s="51" t="s">
        <v>314</v>
      </c>
      <c r="D856" s="52" t="n">
        <v>45967</v>
      </c>
      <c r="E856" s="53" t="n">
        <v>119.61</v>
      </c>
      <c r="F856" s="53" t="n">
        <v>424.93</v>
      </c>
      <c r="G856" s="51" t="n">
        <v>7</v>
      </c>
      <c r="H856" s="51" t="n">
        <v>7</v>
      </c>
      <c r="I856" s="51" t="s">
        <v>1386</v>
      </c>
    </row>
    <row r="857" customFormat="false" ht="15" hidden="false" customHeight="false" outlineLevel="0" collapsed="false">
      <c r="A857" s="51" t="s">
        <v>116</v>
      </c>
      <c r="B857" s="51" t="n">
        <v>45</v>
      </c>
      <c r="C857" s="51" t="s">
        <v>314</v>
      </c>
      <c r="D857" s="52" t="n">
        <v>45968</v>
      </c>
      <c r="E857" s="53" t="n">
        <v>112.9</v>
      </c>
      <c r="F857" s="53" t="n">
        <v>179.97</v>
      </c>
      <c r="G857" s="51" t="n">
        <v>3</v>
      </c>
      <c r="H857" s="51" t="n">
        <v>3</v>
      </c>
      <c r="I857" s="51" t="s">
        <v>1386</v>
      </c>
    </row>
    <row r="858" customFormat="false" ht="15" hidden="false" customHeight="false" outlineLevel="0" collapsed="false">
      <c r="A858" s="51" t="s">
        <v>116</v>
      </c>
      <c r="B858" s="51" t="n">
        <v>45</v>
      </c>
      <c r="C858" s="51" t="s">
        <v>314</v>
      </c>
      <c r="D858" s="52" t="n">
        <v>45969</v>
      </c>
      <c r="E858" s="53" t="n">
        <v>111.74</v>
      </c>
      <c r="F858" s="53" t="n">
        <v>229.96</v>
      </c>
      <c r="G858" s="51" t="n">
        <v>4</v>
      </c>
      <c r="H858" s="51" t="n">
        <v>4</v>
      </c>
      <c r="I858" s="51" t="s">
        <v>1386</v>
      </c>
    </row>
    <row r="859" customFormat="false" ht="15" hidden="false" customHeight="false" outlineLevel="0" collapsed="false">
      <c r="A859" s="51" t="s">
        <v>116</v>
      </c>
      <c r="B859" s="51" t="n">
        <v>45</v>
      </c>
      <c r="C859" s="51" t="s">
        <v>314</v>
      </c>
      <c r="D859" s="52" t="n">
        <v>45970</v>
      </c>
      <c r="E859" s="53" t="n">
        <v>127.07</v>
      </c>
      <c r="F859" s="53" t="n">
        <v>304.95</v>
      </c>
      <c r="G859" s="51" t="n">
        <v>5</v>
      </c>
      <c r="H859" s="51" t="n">
        <v>5</v>
      </c>
      <c r="I859" s="51" t="s">
        <v>1386</v>
      </c>
    </row>
    <row r="860" customFormat="false" ht="15" hidden="false" customHeight="false" outlineLevel="0" collapsed="false">
      <c r="A860" s="51" t="s">
        <v>116</v>
      </c>
      <c r="B860" s="51" t="n">
        <v>45</v>
      </c>
      <c r="C860" s="51" t="s">
        <v>314</v>
      </c>
      <c r="D860" s="52" t="n">
        <v>45971</v>
      </c>
      <c r="E860" s="53" t="n">
        <v>89.15</v>
      </c>
      <c r="F860" s="53" t="n">
        <v>349.94</v>
      </c>
      <c r="G860" s="51" t="n">
        <v>5</v>
      </c>
      <c r="H860" s="51" t="n">
        <v>6</v>
      </c>
      <c r="I860" s="51" t="s">
        <v>1386</v>
      </c>
    </row>
    <row r="861" customFormat="false" ht="15" hidden="false" customHeight="false" outlineLevel="0" collapsed="false">
      <c r="A861" s="51" t="s">
        <v>116</v>
      </c>
      <c r="B861" s="51" t="n">
        <v>45</v>
      </c>
      <c r="C861" s="51" t="s">
        <v>314</v>
      </c>
      <c r="D861" s="52" t="n">
        <v>45972</v>
      </c>
      <c r="E861" s="53" t="n">
        <v>73.91</v>
      </c>
      <c r="F861" s="53" t="n">
        <v>174.97</v>
      </c>
      <c r="G861" s="51" t="n">
        <v>3</v>
      </c>
      <c r="H861" s="51" t="n">
        <v>3</v>
      </c>
      <c r="I861" s="51" t="s">
        <v>1386</v>
      </c>
    </row>
    <row r="862" customFormat="false" ht="15" hidden="false" customHeight="false" outlineLevel="0" collapsed="false">
      <c r="A862" s="51" t="s">
        <v>116</v>
      </c>
      <c r="B862" s="51" t="n">
        <v>45</v>
      </c>
      <c r="C862" s="51" t="s">
        <v>314</v>
      </c>
      <c r="D862" s="52" t="n">
        <v>45973</v>
      </c>
      <c r="E862" s="53" t="n">
        <v>70.07</v>
      </c>
      <c r="F862" s="53" t="n">
        <v>109.98</v>
      </c>
      <c r="G862" s="51" t="n">
        <v>2</v>
      </c>
      <c r="H862" s="51" t="n">
        <v>2</v>
      </c>
      <c r="I862" s="51" t="s">
        <v>1386</v>
      </c>
    </row>
    <row r="863" customFormat="false" ht="15" hidden="false" customHeight="false" outlineLevel="0" collapsed="false">
      <c r="A863" s="51" t="s">
        <v>116</v>
      </c>
      <c r="B863" s="51" t="n">
        <v>45</v>
      </c>
      <c r="C863" s="51" t="s">
        <v>314</v>
      </c>
      <c r="D863" s="52" t="n">
        <v>45974</v>
      </c>
      <c r="E863" s="53" t="n">
        <v>46.06</v>
      </c>
      <c r="F863" s="53" t="n">
        <v>137.97</v>
      </c>
      <c r="G863" s="51" t="n">
        <v>3</v>
      </c>
      <c r="H863" s="51" t="n">
        <v>3</v>
      </c>
      <c r="I863" s="51" t="s">
        <v>1386</v>
      </c>
    </row>
    <row r="864" customFormat="false" ht="15" hidden="false" customHeight="false" outlineLevel="0" collapsed="false">
      <c r="A864" s="51" t="s">
        <v>116</v>
      </c>
      <c r="B864" s="51" t="n">
        <v>45</v>
      </c>
      <c r="C864" s="51" t="s">
        <v>314</v>
      </c>
      <c r="D864" s="52" t="n">
        <v>45975</v>
      </c>
      <c r="E864" s="53" t="n">
        <v>83.71</v>
      </c>
      <c r="F864" s="53" t="n">
        <v>244.96</v>
      </c>
      <c r="G864" s="51" t="n">
        <v>4</v>
      </c>
      <c r="H864" s="51" t="n">
        <v>4</v>
      </c>
      <c r="I864" s="51" t="s">
        <v>1386</v>
      </c>
    </row>
    <row r="865" customFormat="false" ht="15" hidden="false" customHeight="false" outlineLevel="0" collapsed="false">
      <c r="A865" s="51" t="s">
        <v>116</v>
      </c>
      <c r="B865" s="51" t="n">
        <v>45</v>
      </c>
      <c r="C865" s="51" t="s">
        <v>314</v>
      </c>
      <c r="D865" s="52" t="n">
        <v>45976</v>
      </c>
      <c r="E865" s="53" t="n">
        <v>112.73</v>
      </c>
      <c r="F865" s="53" t="n">
        <v>409.93</v>
      </c>
      <c r="G865" s="51" t="n">
        <v>7</v>
      </c>
      <c r="H865" s="51" t="n">
        <v>7</v>
      </c>
      <c r="I865" s="51" t="s">
        <v>1386</v>
      </c>
    </row>
    <row r="866" customFormat="false" ht="15" hidden="false" customHeight="false" outlineLevel="0" collapsed="false">
      <c r="A866" s="51" t="s">
        <v>116</v>
      </c>
      <c r="B866" s="51" t="n">
        <v>45</v>
      </c>
      <c r="C866" s="51" t="s">
        <v>314</v>
      </c>
      <c r="D866" s="52" t="n">
        <v>45977</v>
      </c>
      <c r="E866" s="53" t="n">
        <v>104.95</v>
      </c>
      <c r="F866" s="53" t="n">
        <v>254.96</v>
      </c>
      <c r="G866" s="51" t="n">
        <v>4</v>
      </c>
      <c r="H866" s="51" t="n">
        <v>4</v>
      </c>
      <c r="I866" s="51" t="s">
        <v>1386</v>
      </c>
    </row>
    <row r="867" customFormat="false" ht="15" hidden="false" customHeight="false" outlineLevel="0" collapsed="false">
      <c r="A867" s="51" t="s">
        <v>116</v>
      </c>
      <c r="B867" s="51" t="n">
        <v>45</v>
      </c>
      <c r="C867" s="51" t="s">
        <v>314</v>
      </c>
      <c r="D867" s="52" t="n">
        <v>45978</v>
      </c>
      <c r="E867" s="53" t="n">
        <v>75.93</v>
      </c>
      <c r="F867" s="53" t="n">
        <v>252.95</v>
      </c>
      <c r="G867" s="51" t="n">
        <v>5</v>
      </c>
      <c r="H867" s="51" t="n">
        <v>5</v>
      </c>
      <c r="I867" s="51" t="s">
        <v>1386</v>
      </c>
    </row>
    <row r="868" customFormat="false" ht="15" hidden="false" customHeight="false" outlineLevel="0" collapsed="false">
      <c r="A868" s="51" t="s">
        <v>116</v>
      </c>
      <c r="B868" s="51" t="n">
        <v>45</v>
      </c>
      <c r="C868" s="51" t="s">
        <v>314</v>
      </c>
      <c r="D868" s="52" t="n">
        <v>45979</v>
      </c>
      <c r="E868" s="53" t="n">
        <v>113.83</v>
      </c>
      <c r="F868" s="53" t="n">
        <v>349.94</v>
      </c>
      <c r="G868" s="51" t="n">
        <v>6</v>
      </c>
      <c r="H868" s="51" t="n">
        <v>6</v>
      </c>
      <c r="I868" s="51" t="s">
        <v>1386</v>
      </c>
    </row>
    <row r="869" customFormat="false" ht="15" hidden="false" customHeight="false" outlineLevel="0" collapsed="false">
      <c r="A869" s="51" t="s">
        <v>116</v>
      </c>
      <c r="B869" s="51" t="n">
        <v>45</v>
      </c>
      <c r="C869" s="51" t="s">
        <v>314</v>
      </c>
      <c r="D869" s="52" t="n">
        <v>45980</v>
      </c>
      <c r="E869" s="53" t="n">
        <v>93.06</v>
      </c>
      <c r="F869" s="53" t="n">
        <v>109.98</v>
      </c>
      <c r="G869" s="51" t="n">
        <v>2</v>
      </c>
      <c r="H869" s="51" t="n">
        <v>2</v>
      </c>
      <c r="I869" s="51" t="s">
        <v>1386</v>
      </c>
    </row>
    <row r="870" customFormat="false" ht="15" hidden="false" customHeight="false" outlineLevel="0" collapsed="false">
      <c r="A870" s="51" t="s">
        <v>116</v>
      </c>
      <c r="B870" s="51" t="n">
        <v>45</v>
      </c>
      <c r="C870" s="51" t="s">
        <v>314</v>
      </c>
      <c r="D870" s="52" t="n">
        <v>45981</v>
      </c>
      <c r="E870" s="53" t="n">
        <v>95.3</v>
      </c>
      <c r="F870" s="53" t="n">
        <v>319.95</v>
      </c>
      <c r="G870" s="51" t="n">
        <v>5</v>
      </c>
      <c r="H870" s="51" t="n">
        <v>5</v>
      </c>
      <c r="I870" s="51" t="s">
        <v>1387</v>
      </c>
    </row>
    <row r="871" customFormat="false" ht="15" hidden="false" customHeight="false" outlineLevel="0" collapsed="false">
      <c r="A871" s="51" t="s">
        <v>116</v>
      </c>
      <c r="B871" s="51" t="n">
        <v>45</v>
      </c>
      <c r="C871" s="51" t="s">
        <v>314</v>
      </c>
      <c r="D871" s="52" t="n">
        <v>45982</v>
      </c>
      <c r="E871" s="53" t="n">
        <v>23.02</v>
      </c>
      <c r="F871" s="53" t="n">
        <v>233.95</v>
      </c>
      <c r="G871" s="51" t="n">
        <v>5</v>
      </c>
      <c r="H871" s="51" t="n">
        <v>5</v>
      </c>
      <c r="I871" s="51" t="s">
        <v>1387</v>
      </c>
    </row>
    <row r="872" customFormat="false" ht="15" hidden="false" customHeight="false" outlineLevel="0" collapsed="false">
      <c r="A872" s="51" t="s">
        <v>116</v>
      </c>
      <c r="B872" s="51" t="n">
        <v>45</v>
      </c>
      <c r="C872" s="51" t="s">
        <v>314</v>
      </c>
      <c r="D872" s="52" t="n">
        <v>45983</v>
      </c>
      <c r="E872" s="53" t="n">
        <v>28.59</v>
      </c>
      <c r="F872" s="53" t="n">
        <v>0</v>
      </c>
      <c r="G872" s="51" t="n">
        <v>0</v>
      </c>
      <c r="H872" s="51" t="n">
        <v>0</v>
      </c>
      <c r="I872" s="51" t="s">
        <v>1387</v>
      </c>
    </row>
    <row r="873" customFormat="false" ht="15" hidden="false" customHeight="false" outlineLevel="0" collapsed="false">
      <c r="A873" s="51" t="s">
        <v>116</v>
      </c>
      <c r="B873" s="51" t="n">
        <v>45</v>
      </c>
      <c r="C873" s="51" t="s">
        <v>314</v>
      </c>
      <c r="D873" s="52" t="n">
        <v>45984</v>
      </c>
      <c r="E873" s="53" t="n">
        <v>33.59</v>
      </c>
      <c r="F873" s="53" t="n">
        <v>124.98</v>
      </c>
      <c r="G873" s="51" t="n">
        <v>2</v>
      </c>
      <c r="H873" s="51" t="n">
        <v>2</v>
      </c>
      <c r="I873" s="51" t="s">
        <v>1387</v>
      </c>
    </row>
    <row r="874" customFormat="false" ht="15" hidden="false" customHeight="false" outlineLevel="0" collapsed="false">
      <c r="A874" s="51" t="s">
        <v>116</v>
      </c>
      <c r="B874" s="51" t="n">
        <v>45</v>
      </c>
      <c r="C874" s="51" t="s">
        <v>314</v>
      </c>
      <c r="D874" s="52" t="n">
        <v>45985</v>
      </c>
      <c r="E874" s="53" t="n">
        <v>34.04</v>
      </c>
      <c r="F874" s="53" t="n">
        <v>135.98</v>
      </c>
      <c r="G874" s="51" t="n">
        <v>3</v>
      </c>
      <c r="H874" s="51" t="n">
        <v>3</v>
      </c>
      <c r="I874" s="51" t="s">
        <v>1387</v>
      </c>
    </row>
    <row r="875" customFormat="false" ht="15" hidden="false" customHeight="false" outlineLevel="0" collapsed="false">
      <c r="A875" s="51" t="s">
        <v>116</v>
      </c>
      <c r="B875" s="51" t="n">
        <v>45</v>
      </c>
      <c r="C875" s="51" t="s">
        <v>314</v>
      </c>
      <c r="D875" s="52" t="n">
        <v>45986</v>
      </c>
      <c r="E875" s="53" t="n">
        <v>27.07</v>
      </c>
      <c r="F875" s="53" t="n">
        <v>69.99</v>
      </c>
      <c r="G875" s="51" t="n">
        <v>1</v>
      </c>
      <c r="H875" s="51" t="n">
        <v>1</v>
      </c>
      <c r="I875" s="51" t="s">
        <v>1387</v>
      </c>
    </row>
    <row r="876" customFormat="false" ht="15" hidden="false" customHeight="false" outlineLevel="0" collapsed="false">
      <c r="A876" s="51" t="s">
        <v>116</v>
      </c>
      <c r="B876" s="51" t="n">
        <v>45</v>
      </c>
      <c r="C876" s="51" t="s">
        <v>314</v>
      </c>
      <c r="D876" s="52" t="n">
        <v>45987</v>
      </c>
      <c r="E876" s="53" t="n">
        <v>42.67</v>
      </c>
      <c r="F876" s="53" t="n">
        <v>89.98</v>
      </c>
      <c r="G876" s="51" t="n">
        <v>2</v>
      </c>
      <c r="H876" s="51" t="n">
        <v>2</v>
      </c>
      <c r="I876" s="51" t="s">
        <v>1387</v>
      </c>
    </row>
    <row r="877" customFormat="false" ht="15" hidden="false" customHeight="false" outlineLevel="0" collapsed="false">
      <c r="A877" s="51" t="s">
        <v>116</v>
      </c>
      <c r="B877" s="51" t="n">
        <v>45</v>
      </c>
      <c r="C877" s="51" t="s">
        <v>314</v>
      </c>
      <c r="D877" s="52" t="n">
        <v>45988</v>
      </c>
      <c r="E877" s="53" t="n">
        <v>23.65</v>
      </c>
      <c r="F877" s="53" t="n">
        <v>119.98</v>
      </c>
      <c r="G877" s="51" t="n">
        <v>2</v>
      </c>
      <c r="H877" s="51" t="n">
        <v>2</v>
      </c>
      <c r="I877" s="51" t="s">
        <v>1387</v>
      </c>
    </row>
    <row r="878" customFormat="false" ht="15" hidden="false" customHeight="false" outlineLevel="0" collapsed="false">
      <c r="A878" s="51" t="s">
        <v>116</v>
      </c>
      <c r="B878" s="51" t="n">
        <v>45</v>
      </c>
      <c r="C878" s="51" t="s">
        <v>314</v>
      </c>
      <c r="D878" s="52" t="n">
        <v>45989</v>
      </c>
      <c r="E878" s="53" t="n">
        <v>44.78</v>
      </c>
      <c r="F878" s="53" t="n">
        <v>189.97</v>
      </c>
      <c r="G878" s="51" t="n">
        <v>3</v>
      </c>
      <c r="H878" s="51" t="n">
        <v>3</v>
      </c>
      <c r="I878" s="51" t="s">
        <v>1387</v>
      </c>
    </row>
    <row r="879" customFormat="false" ht="15" hidden="false" customHeight="false" outlineLevel="0" collapsed="false">
      <c r="A879" s="51" t="s">
        <v>116</v>
      </c>
      <c r="B879" s="51" t="n">
        <v>45</v>
      </c>
      <c r="C879" s="51" t="s">
        <v>314</v>
      </c>
      <c r="D879" s="52" t="n">
        <v>45990</v>
      </c>
      <c r="E879" s="53" t="n">
        <v>39.01</v>
      </c>
      <c r="F879" s="53" t="n">
        <v>114.98</v>
      </c>
      <c r="G879" s="51" t="n">
        <v>2</v>
      </c>
      <c r="H879" s="51" t="n">
        <v>2</v>
      </c>
      <c r="I879" s="51" t="s">
        <v>1387</v>
      </c>
    </row>
    <row r="880" customFormat="false" ht="15" hidden="false" customHeight="false" outlineLevel="0" collapsed="false">
      <c r="A880" s="51" t="s">
        <v>116</v>
      </c>
      <c r="B880" s="51" t="n">
        <v>45</v>
      </c>
      <c r="C880" s="51" t="s">
        <v>314</v>
      </c>
      <c r="D880" s="52" t="n">
        <v>45991</v>
      </c>
      <c r="E880" s="53" t="n">
        <v>49.5</v>
      </c>
      <c r="F880" s="53" t="n">
        <v>294.95</v>
      </c>
      <c r="G880" s="51" t="n">
        <v>4</v>
      </c>
      <c r="H880" s="51" t="n">
        <v>5</v>
      </c>
      <c r="I880" s="51" t="s">
        <v>1387</v>
      </c>
    </row>
    <row r="881" customFormat="false" ht="15" hidden="false" customHeight="false" outlineLevel="0" collapsed="false">
      <c r="A881" s="51" t="s">
        <v>116</v>
      </c>
      <c r="B881" s="51" t="n">
        <v>45</v>
      </c>
      <c r="C881" s="51" t="s">
        <v>314</v>
      </c>
      <c r="D881" s="52" t="n">
        <v>45992</v>
      </c>
      <c r="E881" s="53" t="n">
        <v>35.34</v>
      </c>
      <c r="F881" s="53" t="n">
        <v>615.9</v>
      </c>
      <c r="G881" s="51" t="n">
        <v>10</v>
      </c>
      <c r="H881" s="51" t="n">
        <v>10</v>
      </c>
      <c r="I881" s="51" t="s">
        <v>1387</v>
      </c>
    </row>
    <row r="882" customFormat="false" ht="15" hidden="false" customHeight="false" outlineLevel="0" collapsed="false">
      <c r="A882" s="51" t="s">
        <v>116</v>
      </c>
      <c r="B882" s="51" t="n">
        <v>45</v>
      </c>
      <c r="C882" s="51" t="s">
        <v>314</v>
      </c>
      <c r="D882" s="52" t="n">
        <v>45993</v>
      </c>
      <c r="E882" s="53" t="n">
        <v>17.5</v>
      </c>
      <c r="F882" s="53" t="n">
        <v>69.99</v>
      </c>
      <c r="G882" s="51" t="n">
        <v>1</v>
      </c>
      <c r="H882" s="51" t="n">
        <v>1</v>
      </c>
      <c r="I882" s="51"/>
    </row>
    <row r="883" customFormat="false" ht="15" hidden="false" customHeight="false" outlineLevel="0" collapsed="false">
      <c r="A883" s="51" t="s">
        <v>116</v>
      </c>
      <c r="B883" s="51" t="n">
        <v>45</v>
      </c>
      <c r="C883" s="51" t="s">
        <v>314</v>
      </c>
      <c r="D883" s="52" t="n">
        <v>45994</v>
      </c>
      <c r="E883" s="53" t="n">
        <v>27.52</v>
      </c>
      <c r="F883" s="53" t="n">
        <v>229.96</v>
      </c>
      <c r="G883" s="51" t="n">
        <v>4</v>
      </c>
      <c r="H883" s="51" t="n">
        <v>4</v>
      </c>
      <c r="I883" s="51"/>
    </row>
    <row r="884" customFormat="false" ht="15" hidden="false" customHeight="false" outlineLevel="0" collapsed="false">
      <c r="A884" s="51" t="s">
        <v>116</v>
      </c>
      <c r="B884" s="51" t="n">
        <v>45</v>
      </c>
      <c r="C884" s="51" t="s">
        <v>314</v>
      </c>
      <c r="D884" s="52" t="n">
        <v>45995</v>
      </c>
      <c r="E884" s="53" t="n">
        <v>47.72</v>
      </c>
      <c r="F884" s="53" t="n">
        <v>201.96</v>
      </c>
      <c r="G884" s="51" t="n">
        <v>4</v>
      </c>
      <c r="H884" s="51" t="n">
        <v>4</v>
      </c>
      <c r="I884" s="51"/>
    </row>
    <row r="885" customFormat="false" ht="15" hidden="false" customHeight="false" outlineLevel="0" collapsed="false">
      <c r="A885" s="51" t="s">
        <v>116</v>
      </c>
      <c r="B885" s="51" t="n">
        <v>45</v>
      </c>
      <c r="C885" s="51" t="s">
        <v>314</v>
      </c>
      <c r="D885" s="52" t="n">
        <v>45996</v>
      </c>
      <c r="E885" s="53" t="n">
        <v>22.61</v>
      </c>
      <c r="F885" s="53" t="n">
        <v>284.95</v>
      </c>
      <c r="G885" s="51" t="n">
        <v>5</v>
      </c>
      <c r="H885" s="51" t="n">
        <v>5</v>
      </c>
      <c r="I885" s="51"/>
    </row>
    <row r="886" customFormat="false" ht="15" hidden="false" customHeight="false" outlineLevel="0" collapsed="false">
      <c r="A886" s="51" t="s">
        <v>116</v>
      </c>
      <c r="B886" s="51" t="n">
        <v>45</v>
      </c>
      <c r="C886" s="51" t="s">
        <v>314</v>
      </c>
      <c r="D886" s="52" t="n">
        <v>45997</v>
      </c>
      <c r="E886" s="53" t="n">
        <v>48.24</v>
      </c>
      <c r="F886" s="53" t="n">
        <v>77.98</v>
      </c>
      <c r="G886" s="51" t="n">
        <v>2</v>
      </c>
      <c r="H886" s="51" t="n">
        <v>2</v>
      </c>
      <c r="I886" s="51"/>
    </row>
    <row r="887" customFormat="false" ht="15" hidden="false" customHeight="false" outlineLevel="0" collapsed="false">
      <c r="A887" s="51" t="s">
        <v>116</v>
      </c>
      <c r="B887" s="51" t="n">
        <v>45</v>
      </c>
      <c r="C887" s="51" t="s">
        <v>314</v>
      </c>
      <c r="D887" s="52" t="n">
        <v>45998</v>
      </c>
      <c r="E887" s="53" t="n">
        <v>67.46</v>
      </c>
      <c r="F887" s="53" t="n">
        <v>297.94</v>
      </c>
      <c r="G887" s="51" t="n">
        <v>6</v>
      </c>
      <c r="H887" s="51" t="n">
        <v>6</v>
      </c>
      <c r="I887" s="51"/>
    </row>
    <row r="888" customFormat="false" ht="15" hidden="false" customHeight="false" outlineLevel="0" collapsed="false">
      <c r="A888" s="51" t="s">
        <v>116</v>
      </c>
      <c r="B888" s="51" t="n">
        <v>45</v>
      </c>
      <c r="C888" s="51" t="s">
        <v>314</v>
      </c>
      <c r="D888" s="52" t="n">
        <v>45999</v>
      </c>
      <c r="E888" s="53" t="n">
        <v>44.88</v>
      </c>
      <c r="F888" s="53" t="n">
        <v>419.93</v>
      </c>
      <c r="G888" s="51" t="n">
        <v>7</v>
      </c>
      <c r="H888" s="51" t="n">
        <v>7</v>
      </c>
      <c r="I888" s="51"/>
    </row>
    <row r="889" customFormat="false" ht="15" hidden="false" customHeight="false" outlineLevel="0" collapsed="false">
      <c r="A889" s="51" t="s">
        <v>116</v>
      </c>
      <c r="B889" s="51" t="n">
        <v>45</v>
      </c>
      <c r="C889" s="51" t="s">
        <v>314</v>
      </c>
      <c r="D889" s="52" t="n">
        <v>46000</v>
      </c>
      <c r="E889" s="53" t="n">
        <v>56.6</v>
      </c>
      <c r="F889" s="53" t="n">
        <v>362.93</v>
      </c>
      <c r="G889" s="51" t="n">
        <v>7</v>
      </c>
      <c r="H889" s="51" t="n">
        <v>7</v>
      </c>
      <c r="I889" s="51"/>
    </row>
    <row r="890" customFormat="false" ht="15" hidden="false" customHeight="false" outlineLevel="0" collapsed="false">
      <c r="A890" s="51" t="s">
        <v>116</v>
      </c>
      <c r="B890" s="51" t="n">
        <v>45</v>
      </c>
      <c r="C890" s="51" t="s">
        <v>314</v>
      </c>
      <c r="D890" s="52" t="n">
        <v>46001</v>
      </c>
      <c r="E890" s="53" t="n">
        <v>22.37</v>
      </c>
      <c r="F890" s="53" t="n">
        <v>384.93</v>
      </c>
      <c r="G890" s="51" t="n">
        <v>7</v>
      </c>
      <c r="H890" s="51" t="n">
        <v>7</v>
      </c>
      <c r="I890" s="51"/>
    </row>
    <row r="891" customFormat="false" ht="15" hidden="false" customHeight="false" outlineLevel="0" collapsed="false">
      <c r="A891" s="51" t="s">
        <v>116</v>
      </c>
      <c r="B891" s="51" t="n">
        <v>45</v>
      </c>
      <c r="C891" s="51" t="s">
        <v>314</v>
      </c>
      <c r="D891" s="52" t="n">
        <v>46002</v>
      </c>
      <c r="E891" s="53" t="n">
        <v>13.49</v>
      </c>
      <c r="F891" s="53" t="n">
        <v>362.85</v>
      </c>
      <c r="G891" s="51" t="n">
        <v>6</v>
      </c>
      <c r="H891" s="51" t="n">
        <v>7</v>
      </c>
      <c r="I891" s="51"/>
    </row>
    <row r="892" customFormat="false" ht="15" hidden="false" customHeight="false" outlineLevel="0" collapsed="false">
      <c r="A892" s="51" t="s">
        <v>116</v>
      </c>
      <c r="B892" s="51" t="n">
        <v>45</v>
      </c>
      <c r="C892" s="51" t="s">
        <v>314</v>
      </c>
      <c r="D892" s="52" t="n">
        <v>46003</v>
      </c>
      <c r="E892" s="53" t="n">
        <v>9.87</v>
      </c>
      <c r="F892" s="53" t="n">
        <v>129.98</v>
      </c>
      <c r="G892" s="51" t="n">
        <v>2</v>
      </c>
      <c r="H892" s="51" t="n">
        <v>2</v>
      </c>
      <c r="I892" s="51"/>
    </row>
    <row r="893" customFormat="false" ht="15" hidden="false" customHeight="false" outlineLevel="0" collapsed="false">
      <c r="A893" s="51" t="s">
        <v>116</v>
      </c>
      <c r="B893" s="51" t="n">
        <v>45</v>
      </c>
      <c r="C893" s="51" t="s">
        <v>314</v>
      </c>
      <c r="D893" s="52" t="n">
        <v>46004</v>
      </c>
      <c r="E893" s="53" t="n">
        <v>4.28</v>
      </c>
      <c r="F893" s="53" t="n">
        <v>64.99</v>
      </c>
      <c r="G893" s="51" t="n">
        <v>1</v>
      </c>
      <c r="H893" s="51" t="n">
        <v>1</v>
      </c>
      <c r="I893" s="51"/>
    </row>
    <row r="894" customFormat="false" ht="15" hidden="false" customHeight="false" outlineLevel="0" collapsed="false">
      <c r="A894" s="51" t="s">
        <v>116</v>
      </c>
      <c r="B894" s="51" t="n">
        <v>45</v>
      </c>
      <c r="C894" s="51" t="s">
        <v>314</v>
      </c>
      <c r="D894" s="52" t="n">
        <v>46005</v>
      </c>
      <c r="E894" s="53" t="n">
        <v>8.11</v>
      </c>
      <c r="F894" s="53" t="n">
        <v>54.99</v>
      </c>
      <c r="G894" s="51" t="n">
        <v>1</v>
      </c>
      <c r="H894" s="51" t="n">
        <v>1</v>
      </c>
      <c r="I894" s="51"/>
    </row>
    <row r="895" customFormat="false" ht="15" hidden="false" customHeight="false" outlineLevel="0" collapsed="false">
      <c r="A895" s="51" t="s">
        <v>116</v>
      </c>
      <c r="B895" s="51" t="n">
        <v>45</v>
      </c>
      <c r="C895" s="51" t="s">
        <v>314</v>
      </c>
      <c r="D895" s="52" t="n">
        <v>46006</v>
      </c>
      <c r="E895" s="53" t="n">
        <v>11.85</v>
      </c>
      <c r="F895" s="53" t="n">
        <v>134.98</v>
      </c>
      <c r="G895" s="51" t="n">
        <v>2</v>
      </c>
      <c r="H895" s="51" t="n">
        <v>2</v>
      </c>
      <c r="I895" s="51"/>
    </row>
    <row r="896" customFormat="false" ht="15" hidden="false" customHeight="false" outlineLevel="0" collapsed="false">
      <c r="A896" s="51" t="s">
        <v>134</v>
      </c>
      <c r="B896" s="51" t="n">
        <v>42</v>
      </c>
      <c r="C896" s="51" t="s">
        <v>314</v>
      </c>
      <c r="D896" s="52" t="n">
        <v>45945</v>
      </c>
      <c r="E896" s="53" t="n">
        <v>249.07</v>
      </c>
      <c r="F896" s="53" t="n">
        <v>564.9</v>
      </c>
      <c r="G896" s="51" t="n">
        <v>10</v>
      </c>
      <c r="H896" s="51" t="n">
        <v>10</v>
      </c>
      <c r="I896" s="51"/>
    </row>
    <row r="897" customFormat="false" ht="15" hidden="false" customHeight="false" outlineLevel="0" collapsed="false">
      <c r="A897" s="51" t="s">
        <v>134</v>
      </c>
      <c r="B897" s="51" t="n">
        <v>42</v>
      </c>
      <c r="C897" s="51" t="s">
        <v>314</v>
      </c>
      <c r="D897" s="52" t="n">
        <v>45946</v>
      </c>
      <c r="E897" s="53" t="n">
        <v>269.57</v>
      </c>
      <c r="F897" s="53" t="n">
        <v>469.92</v>
      </c>
      <c r="G897" s="51" t="n">
        <v>8</v>
      </c>
      <c r="H897" s="51" t="n">
        <v>8</v>
      </c>
      <c r="I897" s="51"/>
    </row>
    <row r="898" customFormat="false" ht="15" hidden="false" customHeight="false" outlineLevel="0" collapsed="false">
      <c r="A898" s="51" t="s">
        <v>134</v>
      </c>
      <c r="B898" s="51" t="n">
        <v>42</v>
      </c>
      <c r="C898" s="51" t="s">
        <v>314</v>
      </c>
      <c r="D898" s="52" t="n">
        <v>45947</v>
      </c>
      <c r="E898" s="53" t="n">
        <v>270.12</v>
      </c>
      <c r="F898" s="53" t="n">
        <v>606.88</v>
      </c>
      <c r="G898" s="51" t="n">
        <v>11</v>
      </c>
      <c r="H898" s="51" t="n">
        <v>12</v>
      </c>
      <c r="I898" s="51"/>
    </row>
    <row r="899" customFormat="false" ht="15" hidden="false" customHeight="false" outlineLevel="0" collapsed="false">
      <c r="A899" s="51" t="s">
        <v>134</v>
      </c>
      <c r="B899" s="51" t="n">
        <v>42</v>
      </c>
      <c r="C899" s="51" t="s">
        <v>314</v>
      </c>
      <c r="D899" s="52" t="n">
        <v>45948</v>
      </c>
      <c r="E899" s="53" t="n">
        <v>337.03</v>
      </c>
      <c r="F899" s="53" t="n">
        <v>339.94</v>
      </c>
      <c r="G899" s="51" t="n">
        <v>6</v>
      </c>
      <c r="H899" s="51" t="n">
        <v>6</v>
      </c>
      <c r="I899" s="51"/>
    </row>
    <row r="900" customFormat="false" ht="15" hidden="false" customHeight="false" outlineLevel="0" collapsed="false">
      <c r="A900" s="51" t="s">
        <v>134</v>
      </c>
      <c r="B900" s="51" t="n">
        <v>42</v>
      </c>
      <c r="C900" s="51" t="s">
        <v>314</v>
      </c>
      <c r="D900" s="52" t="n">
        <v>45949</v>
      </c>
      <c r="E900" s="53" t="n">
        <v>324.33</v>
      </c>
      <c r="F900" s="53" t="n">
        <v>344.94</v>
      </c>
      <c r="G900" s="51" t="n">
        <v>6</v>
      </c>
      <c r="H900" s="51" t="n">
        <v>6</v>
      </c>
      <c r="I900" s="51"/>
    </row>
    <row r="901" customFormat="false" ht="15" hidden="false" customHeight="false" outlineLevel="0" collapsed="false">
      <c r="A901" s="51" t="s">
        <v>134</v>
      </c>
      <c r="B901" s="51" t="n">
        <v>42</v>
      </c>
      <c r="C901" s="51" t="s">
        <v>314</v>
      </c>
      <c r="D901" s="52" t="n">
        <v>45950</v>
      </c>
      <c r="E901" s="53" t="n">
        <v>306.6</v>
      </c>
      <c r="F901" s="53" t="n">
        <v>419.93</v>
      </c>
      <c r="G901" s="51" t="n">
        <v>7</v>
      </c>
      <c r="H901" s="51" t="n">
        <v>7</v>
      </c>
      <c r="I901" s="51"/>
    </row>
    <row r="902" customFormat="false" ht="15" hidden="false" customHeight="false" outlineLevel="0" collapsed="false">
      <c r="A902" s="51" t="s">
        <v>134</v>
      </c>
      <c r="B902" s="51" t="n">
        <v>42</v>
      </c>
      <c r="C902" s="51" t="s">
        <v>314</v>
      </c>
      <c r="D902" s="52" t="n">
        <v>45951</v>
      </c>
      <c r="E902" s="53" t="n">
        <v>204.3</v>
      </c>
      <c r="F902" s="53" t="n">
        <v>284.95</v>
      </c>
      <c r="G902" s="51" t="n">
        <v>5</v>
      </c>
      <c r="H902" s="51" t="n">
        <v>5</v>
      </c>
      <c r="I902" s="51" t="s">
        <v>1386</v>
      </c>
    </row>
    <row r="903" customFormat="false" ht="15" hidden="false" customHeight="false" outlineLevel="0" collapsed="false">
      <c r="A903" s="51" t="s">
        <v>134</v>
      </c>
      <c r="B903" s="51" t="n">
        <v>42</v>
      </c>
      <c r="C903" s="51" t="s">
        <v>314</v>
      </c>
      <c r="D903" s="52" t="n">
        <v>45952</v>
      </c>
      <c r="E903" s="53" t="n">
        <v>126.84</v>
      </c>
      <c r="F903" s="53" t="n">
        <v>220.94</v>
      </c>
      <c r="G903" s="51" t="n">
        <v>7</v>
      </c>
      <c r="H903" s="51" t="n">
        <v>7</v>
      </c>
      <c r="I903" s="51" t="s">
        <v>1386</v>
      </c>
    </row>
    <row r="904" customFormat="false" ht="15" hidden="false" customHeight="false" outlineLevel="0" collapsed="false">
      <c r="A904" s="51" t="s">
        <v>134</v>
      </c>
      <c r="B904" s="51" t="n">
        <v>42</v>
      </c>
      <c r="C904" s="51" t="s">
        <v>314</v>
      </c>
      <c r="D904" s="52" t="n">
        <v>45953</v>
      </c>
      <c r="E904" s="53" t="n">
        <v>113.04</v>
      </c>
      <c r="F904" s="53" t="n">
        <v>617.89</v>
      </c>
      <c r="G904" s="51" t="n">
        <v>9</v>
      </c>
      <c r="H904" s="51" t="n">
        <v>11</v>
      </c>
      <c r="I904" s="51" t="s">
        <v>1386</v>
      </c>
    </row>
    <row r="905" customFormat="false" ht="15" hidden="false" customHeight="false" outlineLevel="0" collapsed="false">
      <c r="A905" s="51" t="s">
        <v>134</v>
      </c>
      <c r="B905" s="51" t="n">
        <v>42</v>
      </c>
      <c r="C905" s="51" t="s">
        <v>314</v>
      </c>
      <c r="D905" s="52" t="n">
        <v>45954</v>
      </c>
      <c r="E905" s="53" t="n">
        <v>101.03</v>
      </c>
      <c r="F905" s="53" t="n">
        <v>0</v>
      </c>
      <c r="G905" s="51" t="n">
        <v>0</v>
      </c>
      <c r="H905" s="51" t="n">
        <v>0</v>
      </c>
      <c r="I905" s="51" t="s">
        <v>1386</v>
      </c>
    </row>
    <row r="906" customFormat="false" ht="15" hidden="false" customHeight="false" outlineLevel="0" collapsed="false">
      <c r="A906" s="51" t="s">
        <v>134</v>
      </c>
      <c r="B906" s="51" t="n">
        <v>42</v>
      </c>
      <c r="C906" s="51" t="s">
        <v>314</v>
      </c>
      <c r="D906" s="52" t="n">
        <v>45955</v>
      </c>
      <c r="E906" s="53" t="n">
        <v>141.15</v>
      </c>
      <c r="F906" s="53" t="n">
        <v>254.96</v>
      </c>
      <c r="G906" s="51" t="n">
        <v>4</v>
      </c>
      <c r="H906" s="51" t="n">
        <v>4</v>
      </c>
      <c r="I906" s="51" t="s">
        <v>1386</v>
      </c>
    </row>
    <row r="907" customFormat="false" ht="15" hidden="false" customHeight="false" outlineLevel="0" collapsed="false">
      <c r="A907" s="51" t="s">
        <v>134</v>
      </c>
      <c r="B907" s="51" t="n">
        <v>42</v>
      </c>
      <c r="C907" s="51" t="s">
        <v>314</v>
      </c>
      <c r="D907" s="52" t="n">
        <v>45956</v>
      </c>
      <c r="E907" s="53" t="n">
        <v>151.66</v>
      </c>
      <c r="F907" s="53" t="n">
        <v>444.93</v>
      </c>
      <c r="G907" s="51" t="n">
        <v>7</v>
      </c>
      <c r="H907" s="51" t="n">
        <v>7</v>
      </c>
      <c r="I907" s="51" t="s">
        <v>1386</v>
      </c>
    </row>
    <row r="908" customFormat="false" ht="15" hidden="false" customHeight="false" outlineLevel="0" collapsed="false">
      <c r="A908" s="51" t="s">
        <v>134</v>
      </c>
      <c r="B908" s="51" t="n">
        <v>42</v>
      </c>
      <c r="C908" s="51" t="s">
        <v>314</v>
      </c>
      <c r="D908" s="52" t="n">
        <v>45957</v>
      </c>
      <c r="E908" s="53" t="n">
        <v>126.68</v>
      </c>
      <c r="F908" s="53" t="n">
        <v>349.94</v>
      </c>
      <c r="G908" s="51" t="n">
        <v>6</v>
      </c>
      <c r="H908" s="51" t="n">
        <v>6</v>
      </c>
      <c r="I908" s="51" t="s">
        <v>1386</v>
      </c>
    </row>
    <row r="909" customFormat="false" ht="15" hidden="false" customHeight="false" outlineLevel="0" collapsed="false">
      <c r="A909" s="51" t="s">
        <v>134</v>
      </c>
      <c r="B909" s="51" t="n">
        <v>42</v>
      </c>
      <c r="C909" s="51" t="s">
        <v>314</v>
      </c>
      <c r="D909" s="52" t="n">
        <v>45958</v>
      </c>
      <c r="E909" s="53" t="n">
        <v>154.58</v>
      </c>
      <c r="F909" s="53" t="n">
        <v>64.99</v>
      </c>
      <c r="G909" s="51" t="n">
        <v>1</v>
      </c>
      <c r="H909" s="51" t="n">
        <v>1</v>
      </c>
      <c r="I909" s="51" t="s">
        <v>1386</v>
      </c>
    </row>
    <row r="910" customFormat="false" ht="15" hidden="false" customHeight="false" outlineLevel="0" collapsed="false">
      <c r="A910" s="51" t="s">
        <v>134</v>
      </c>
      <c r="B910" s="51" t="n">
        <v>42</v>
      </c>
      <c r="C910" s="51" t="s">
        <v>314</v>
      </c>
      <c r="D910" s="52" t="n">
        <v>45959</v>
      </c>
      <c r="E910" s="53" t="n">
        <v>115.46</v>
      </c>
      <c r="F910" s="53" t="n">
        <v>209.97</v>
      </c>
      <c r="G910" s="51" t="n">
        <v>3</v>
      </c>
      <c r="H910" s="51" t="n">
        <v>3</v>
      </c>
      <c r="I910" s="51" t="s">
        <v>1386</v>
      </c>
    </row>
    <row r="911" customFormat="false" ht="15" hidden="false" customHeight="false" outlineLevel="0" collapsed="false">
      <c r="A911" s="51" t="s">
        <v>134</v>
      </c>
      <c r="B911" s="51" t="n">
        <v>42</v>
      </c>
      <c r="C911" s="51" t="s">
        <v>314</v>
      </c>
      <c r="D911" s="52" t="n">
        <v>45960</v>
      </c>
      <c r="E911" s="53" t="n">
        <v>114.63</v>
      </c>
      <c r="F911" s="53" t="n">
        <v>174.97</v>
      </c>
      <c r="G911" s="51" t="n">
        <v>3</v>
      </c>
      <c r="H911" s="51" t="n">
        <v>3</v>
      </c>
      <c r="I911" s="51" t="s">
        <v>1386</v>
      </c>
    </row>
    <row r="912" customFormat="false" ht="15" hidden="false" customHeight="false" outlineLevel="0" collapsed="false">
      <c r="A912" s="51" t="s">
        <v>134</v>
      </c>
      <c r="B912" s="51" t="n">
        <v>42</v>
      </c>
      <c r="C912" s="51" t="s">
        <v>314</v>
      </c>
      <c r="D912" s="52" t="n">
        <v>45961</v>
      </c>
      <c r="E912" s="53" t="n">
        <v>133.03</v>
      </c>
      <c r="F912" s="53" t="n">
        <v>239.96</v>
      </c>
      <c r="G912" s="51" t="n">
        <v>3</v>
      </c>
      <c r="H912" s="51" t="n">
        <v>4</v>
      </c>
      <c r="I912" s="51" t="s">
        <v>1386</v>
      </c>
    </row>
    <row r="913" customFormat="false" ht="15" hidden="false" customHeight="false" outlineLevel="0" collapsed="false">
      <c r="A913" s="51" t="s">
        <v>134</v>
      </c>
      <c r="B913" s="51" t="n">
        <v>42</v>
      </c>
      <c r="C913" s="51" t="s">
        <v>314</v>
      </c>
      <c r="D913" s="52" t="n">
        <v>45962</v>
      </c>
      <c r="E913" s="53" t="n">
        <v>102.36</v>
      </c>
      <c r="F913" s="53" t="n">
        <v>54.99</v>
      </c>
      <c r="G913" s="51" t="n">
        <v>1</v>
      </c>
      <c r="H913" s="51" t="n">
        <v>1</v>
      </c>
      <c r="I913" s="51" t="s">
        <v>1386</v>
      </c>
    </row>
    <row r="914" customFormat="false" ht="15" hidden="false" customHeight="false" outlineLevel="0" collapsed="false">
      <c r="A914" s="51" t="s">
        <v>134</v>
      </c>
      <c r="B914" s="51" t="n">
        <v>42</v>
      </c>
      <c r="C914" s="51" t="s">
        <v>314</v>
      </c>
      <c r="D914" s="52" t="n">
        <v>45963</v>
      </c>
      <c r="E914" s="53" t="n">
        <v>133.1</v>
      </c>
      <c r="F914" s="53" t="n">
        <v>262.95</v>
      </c>
      <c r="G914" s="51" t="n">
        <v>5</v>
      </c>
      <c r="H914" s="51" t="n">
        <v>5</v>
      </c>
      <c r="I914" s="51" t="s">
        <v>1386</v>
      </c>
    </row>
    <row r="915" customFormat="false" ht="15" hidden="false" customHeight="false" outlineLevel="0" collapsed="false">
      <c r="A915" s="51" t="s">
        <v>134</v>
      </c>
      <c r="B915" s="51" t="n">
        <v>42</v>
      </c>
      <c r="C915" s="51" t="s">
        <v>314</v>
      </c>
      <c r="D915" s="52" t="n">
        <v>45964</v>
      </c>
      <c r="E915" s="53" t="n">
        <v>164.56</v>
      </c>
      <c r="F915" s="53" t="n">
        <v>454.92</v>
      </c>
      <c r="G915" s="51" t="n">
        <v>8</v>
      </c>
      <c r="H915" s="51" t="n">
        <v>8</v>
      </c>
      <c r="I915" s="51" t="s">
        <v>1386</v>
      </c>
    </row>
    <row r="916" customFormat="false" ht="15" hidden="false" customHeight="false" outlineLevel="0" collapsed="false">
      <c r="A916" s="51" t="s">
        <v>134</v>
      </c>
      <c r="B916" s="51" t="n">
        <v>42</v>
      </c>
      <c r="C916" s="51" t="s">
        <v>314</v>
      </c>
      <c r="D916" s="52" t="n">
        <v>45965</v>
      </c>
      <c r="E916" s="53" t="n">
        <v>155.12</v>
      </c>
      <c r="F916" s="53" t="n">
        <v>284.95</v>
      </c>
      <c r="G916" s="51" t="n">
        <v>5</v>
      </c>
      <c r="H916" s="51" t="n">
        <v>5</v>
      </c>
      <c r="I916" s="51" t="s">
        <v>1386</v>
      </c>
    </row>
    <row r="917" customFormat="false" ht="15" hidden="false" customHeight="false" outlineLevel="0" collapsed="false">
      <c r="A917" s="51" t="s">
        <v>134</v>
      </c>
      <c r="B917" s="51" t="n">
        <v>42</v>
      </c>
      <c r="C917" s="51" t="s">
        <v>314</v>
      </c>
      <c r="D917" s="52" t="n">
        <v>45966</v>
      </c>
      <c r="E917" s="53" t="n">
        <v>172.54</v>
      </c>
      <c r="F917" s="53" t="n">
        <v>229.96</v>
      </c>
      <c r="G917" s="51" t="n">
        <v>4</v>
      </c>
      <c r="H917" s="51" t="n">
        <v>4</v>
      </c>
      <c r="I917" s="51" t="s">
        <v>1386</v>
      </c>
    </row>
    <row r="918" customFormat="false" ht="15" hidden="false" customHeight="false" outlineLevel="0" collapsed="false">
      <c r="A918" s="51" t="s">
        <v>134</v>
      </c>
      <c r="B918" s="51" t="n">
        <v>42</v>
      </c>
      <c r="C918" s="51" t="s">
        <v>314</v>
      </c>
      <c r="D918" s="52" t="n">
        <v>45967</v>
      </c>
      <c r="E918" s="53" t="n">
        <v>185.46</v>
      </c>
      <c r="F918" s="53" t="n">
        <v>379.94</v>
      </c>
      <c r="G918" s="51" t="n">
        <v>6</v>
      </c>
      <c r="H918" s="51" t="n">
        <v>6</v>
      </c>
      <c r="I918" s="51" t="s">
        <v>1386</v>
      </c>
    </row>
    <row r="919" customFormat="false" ht="15" hidden="false" customHeight="false" outlineLevel="0" collapsed="false">
      <c r="A919" s="51" t="s">
        <v>134</v>
      </c>
      <c r="B919" s="51" t="n">
        <v>42</v>
      </c>
      <c r="C919" s="51" t="s">
        <v>314</v>
      </c>
      <c r="D919" s="52" t="n">
        <v>45968</v>
      </c>
      <c r="E919" s="53" t="n">
        <v>195.67</v>
      </c>
      <c r="F919" s="53" t="n">
        <v>298.95</v>
      </c>
      <c r="G919" s="51" t="n">
        <v>5</v>
      </c>
      <c r="H919" s="51" t="n">
        <v>5</v>
      </c>
      <c r="I919" s="51" t="s">
        <v>1386</v>
      </c>
    </row>
    <row r="920" customFormat="false" ht="15" hidden="false" customHeight="false" outlineLevel="0" collapsed="false">
      <c r="A920" s="51" t="s">
        <v>134</v>
      </c>
      <c r="B920" s="51" t="n">
        <v>42</v>
      </c>
      <c r="C920" s="51" t="s">
        <v>314</v>
      </c>
      <c r="D920" s="52" t="n">
        <v>45969</v>
      </c>
      <c r="E920" s="53" t="n">
        <v>208.66</v>
      </c>
      <c r="F920" s="53" t="n">
        <v>354.94</v>
      </c>
      <c r="G920" s="51" t="n">
        <v>6</v>
      </c>
      <c r="H920" s="51" t="n">
        <v>6</v>
      </c>
      <c r="I920" s="51" t="s">
        <v>1386</v>
      </c>
    </row>
    <row r="921" customFormat="false" ht="15" hidden="false" customHeight="false" outlineLevel="0" collapsed="false">
      <c r="A921" s="51" t="s">
        <v>134</v>
      </c>
      <c r="B921" s="51" t="n">
        <v>42</v>
      </c>
      <c r="C921" s="51" t="s">
        <v>314</v>
      </c>
      <c r="D921" s="52" t="n">
        <v>45970</v>
      </c>
      <c r="E921" s="53" t="n">
        <v>224.21</v>
      </c>
      <c r="F921" s="53" t="n">
        <v>722.87</v>
      </c>
      <c r="G921" s="51" t="n">
        <v>12</v>
      </c>
      <c r="H921" s="51" t="n">
        <v>13</v>
      </c>
      <c r="I921" s="51" t="s">
        <v>1386</v>
      </c>
    </row>
    <row r="922" customFormat="false" ht="15" hidden="false" customHeight="false" outlineLevel="0" collapsed="false">
      <c r="A922" s="51" t="s">
        <v>134</v>
      </c>
      <c r="B922" s="51" t="n">
        <v>42</v>
      </c>
      <c r="C922" s="51" t="s">
        <v>314</v>
      </c>
      <c r="D922" s="52" t="n">
        <v>45971</v>
      </c>
      <c r="E922" s="53" t="n">
        <v>181.61</v>
      </c>
      <c r="F922" s="53" t="n">
        <v>224.96</v>
      </c>
      <c r="G922" s="51" t="n">
        <v>4</v>
      </c>
      <c r="H922" s="51" t="n">
        <v>4</v>
      </c>
      <c r="I922" s="51" t="s">
        <v>1386</v>
      </c>
    </row>
    <row r="923" customFormat="false" ht="15" hidden="false" customHeight="false" outlineLevel="0" collapsed="false">
      <c r="A923" s="51" t="s">
        <v>134</v>
      </c>
      <c r="B923" s="51" t="n">
        <v>42</v>
      </c>
      <c r="C923" s="51" t="s">
        <v>314</v>
      </c>
      <c r="D923" s="52" t="n">
        <v>45972</v>
      </c>
      <c r="E923" s="53" t="n">
        <v>120.67</v>
      </c>
      <c r="F923" s="53" t="n">
        <v>174.97</v>
      </c>
      <c r="G923" s="51" t="n">
        <v>3</v>
      </c>
      <c r="H923" s="51" t="n">
        <v>3</v>
      </c>
      <c r="I923" s="51" t="s">
        <v>1386</v>
      </c>
    </row>
    <row r="924" customFormat="false" ht="15" hidden="false" customHeight="false" outlineLevel="0" collapsed="false">
      <c r="A924" s="51" t="s">
        <v>134</v>
      </c>
      <c r="B924" s="51" t="n">
        <v>42</v>
      </c>
      <c r="C924" s="51" t="s">
        <v>314</v>
      </c>
      <c r="D924" s="52" t="n">
        <v>45973</v>
      </c>
      <c r="E924" s="53" t="n">
        <v>101.43</v>
      </c>
      <c r="F924" s="53" t="n">
        <v>174.97</v>
      </c>
      <c r="G924" s="51" t="n">
        <v>3</v>
      </c>
      <c r="H924" s="51" t="n">
        <v>3</v>
      </c>
      <c r="I924" s="51" t="s">
        <v>1386</v>
      </c>
    </row>
    <row r="925" customFormat="false" ht="15" hidden="false" customHeight="false" outlineLevel="0" collapsed="false">
      <c r="A925" s="51" t="s">
        <v>134</v>
      </c>
      <c r="B925" s="51" t="n">
        <v>42</v>
      </c>
      <c r="C925" s="51" t="s">
        <v>314</v>
      </c>
      <c r="D925" s="52" t="n">
        <v>45974</v>
      </c>
      <c r="E925" s="53" t="n">
        <v>138.03</v>
      </c>
      <c r="F925" s="53" t="n">
        <v>105.98</v>
      </c>
      <c r="G925" s="51" t="n">
        <v>2</v>
      </c>
      <c r="H925" s="51" t="n">
        <v>2</v>
      </c>
      <c r="I925" s="51" t="s">
        <v>1386</v>
      </c>
    </row>
    <row r="926" customFormat="false" ht="15" hidden="false" customHeight="false" outlineLevel="0" collapsed="false">
      <c r="A926" s="51" t="s">
        <v>134</v>
      </c>
      <c r="B926" s="51" t="n">
        <v>42</v>
      </c>
      <c r="C926" s="51" t="s">
        <v>314</v>
      </c>
      <c r="D926" s="52" t="n">
        <v>45975</v>
      </c>
      <c r="E926" s="53" t="n">
        <v>132.27</v>
      </c>
      <c r="F926" s="53" t="n">
        <v>365.93</v>
      </c>
      <c r="G926" s="51" t="n">
        <v>7</v>
      </c>
      <c r="H926" s="51" t="n">
        <v>7</v>
      </c>
      <c r="I926" s="51" t="s">
        <v>1386</v>
      </c>
    </row>
    <row r="927" customFormat="false" ht="15" hidden="false" customHeight="false" outlineLevel="0" collapsed="false">
      <c r="A927" s="51" t="s">
        <v>134</v>
      </c>
      <c r="B927" s="51" t="n">
        <v>42</v>
      </c>
      <c r="C927" s="51" t="s">
        <v>314</v>
      </c>
      <c r="D927" s="52" t="n">
        <v>45976</v>
      </c>
      <c r="E927" s="53" t="n">
        <v>184.02</v>
      </c>
      <c r="F927" s="53" t="n">
        <v>498.92</v>
      </c>
      <c r="G927" s="51" t="n">
        <v>8</v>
      </c>
      <c r="H927" s="51" t="n">
        <v>8</v>
      </c>
      <c r="I927" s="51" t="s">
        <v>1386</v>
      </c>
    </row>
    <row r="928" customFormat="false" ht="15" hidden="false" customHeight="false" outlineLevel="0" collapsed="false">
      <c r="A928" s="51" t="s">
        <v>134</v>
      </c>
      <c r="B928" s="51" t="n">
        <v>42</v>
      </c>
      <c r="C928" s="51" t="s">
        <v>314</v>
      </c>
      <c r="D928" s="52" t="n">
        <v>45977</v>
      </c>
      <c r="E928" s="53" t="n">
        <v>155.87</v>
      </c>
      <c r="F928" s="53" t="n">
        <v>108.98</v>
      </c>
      <c r="G928" s="51" t="n">
        <v>2</v>
      </c>
      <c r="H928" s="51" t="n">
        <v>2</v>
      </c>
      <c r="I928" s="51" t="s">
        <v>1386</v>
      </c>
    </row>
    <row r="929" customFormat="false" ht="15" hidden="false" customHeight="false" outlineLevel="0" collapsed="false">
      <c r="A929" s="51" t="s">
        <v>134</v>
      </c>
      <c r="B929" s="51" t="n">
        <v>42</v>
      </c>
      <c r="C929" s="51" t="s">
        <v>314</v>
      </c>
      <c r="D929" s="52" t="n">
        <v>45978</v>
      </c>
      <c r="E929" s="53" t="n">
        <v>144.5</v>
      </c>
      <c r="F929" s="53" t="n">
        <v>202.96</v>
      </c>
      <c r="G929" s="51" t="n">
        <v>4</v>
      </c>
      <c r="H929" s="51" t="n">
        <v>4</v>
      </c>
      <c r="I929" s="51" t="s">
        <v>1386</v>
      </c>
    </row>
    <row r="930" customFormat="false" ht="15" hidden="false" customHeight="false" outlineLevel="0" collapsed="false">
      <c r="A930" s="51" t="s">
        <v>134</v>
      </c>
      <c r="B930" s="51" t="n">
        <v>42</v>
      </c>
      <c r="C930" s="51" t="s">
        <v>314</v>
      </c>
      <c r="D930" s="52" t="n">
        <v>45979</v>
      </c>
      <c r="E930" s="53" t="n">
        <v>135.88</v>
      </c>
      <c r="F930" s="53" t="n">
        <v>216.96</v>
      </c>
      <c r="G930" s="51" t="n">
        <v>4</v>
      </c>
      <c r="H930" s="51" t="n">
        <v>4</v>
      </c>
      <c r="I930" s="51" t="s">
        <v>1386</v>
      </c>
    </row>
    <row r="931" customFormat="false" ht="15" hidden="false" customHeight="false" outlineLevel="0" collapsed="false">
      <c r="A931" s="51" t="s">
        <v>134</v>
      </c>
      <c r="B931" s="51" t="n">
        <v>42</v>
      </c>
      <c r="C931" s="51" t="s">
        <v>314</v>
      </c>
      <c r="D931" s="52" t="n">
        <v>45980</v>
      </c>
      <c r="E931" s="53" t="n">
        <v>118.18</v>
      </c>
      <c r="F931" s="53" t="n">
        <v>324.5</v>
      </c>
      <c r="G931" s="51" t="n">
        <v>6</v>
      </c>
      <c r="H931" s="51" t="n">
        <v>6</v>
      </c>
      <c r="I931" s="51" t="s">
        <v>1386</v>
      </c>
    </row>
    <row r="932" customFormat="false" ht="15" hidden="false" customHeight="false" outlineLevel="0" collapsed="false">
      <c r="A932" s="51" t="s">
        <v>134</v>
      </c>
      <c r="B932" s="51" t="n">
        <v>42</v>
      </c>
      <c r="C932" s="51" t="s">
        <v>314</v>
      </c>
      <c r="D932" s="52" t="n">
        <v>45981</v>
      </c>
      <c r="E932" s="53" t="n">
        <v>183.97</v>
      </c>
      <c r="F932" s="53" t="n">
        <v>51.99</v>
      </c>
      <c r="G932" s="51" t="n">
        <v>1</v>
      </c>
      <c r="H932" s="51" t="n">
        <v>1</v>
      </c>
      <c r="I932" s="51" t="s">
        <v>1387</v>
      </c>
    </row>
    <row r="933" customFormat="false" ht="15" hidden="false" customHeight="false" outlineLevel="0" collapsed="false">
      <c r="A933" s="51" t="s">
        <v>134</v>
      </c>
      <c r="B933" s="51" t="n">
        <v>42</v>
      </c>
      <c r="C933" s="51" t="s">
        <v>314</v>
      </c>
      <c r="D933" s="52" t="n">
        <v>45982</v>
      </c>
      <c r="E933" s="53" t="n">
        <v>133.53</v>
      </c>
      <c r="F933" s="53" t="n">
        <v>276.94</v>
      </c>
      <c r="G933" s="51" t="n">
        <v>6</v>
      </c>
      <c r="H933" s="51" t="n">
        <v>6</v>
      </c>
      <c r="I933" s="51" t="s">
        <v>1387</v>
      </c>
    </row>
    <row r="934" customFormat="false" ht="15" hidden="false" customHeight="false" outlineLevel="0" collapsed="false">
      <c r="A934" s="51" t="s">
        <v>134</v>
      </c>
      <c r="B934" s="51" t="n">
        <v>42</v>
      </c>
      <c r="C934" s="51" t="s">
        <v>314</v>
      </c>
      <c r="D934" s="52" t="n">
        <v>45983</v>
      </c>
      <c r="E934" s="53" t="n">
        <v>146.14</v>
      </c>
      <c r="F934" s="53" t="n">
        <v>486.9</v>
      </c>
      <c r="G934" s="51" t="n">
        <v>10</v>
      </c>
      <c r="H934" s="51" t="n">
        <v>10</v>
      </c>
      <c r="I934" s="51" t="s">
        <v>1387</v>
      </c>
    </row>
    <row r="935" customFormat="false" ht="15" hidden="false" customHeight="false" outlineLevel="0" collapsed="false">
      <c r="A935" s="51" t="s">
        <v>134</v>
      </c>
      <c r="B935" s="51" t="n">
        <v>42</v>
      </c>
      <c r="C935" s="51" t="s">
        <v>314</v>
      </c>
      <c r="D935" s="52" t="n">
        <v>45984</v>
      </c>
      <c r="E935" s="53" t="n">
        <v>166.03</v>
      </c>
      <c r="F935" s="53" t="n">
        <v>175.96</v>
      </c>
      <c r="G935" s="51" t="n">
        <v>4</v>
      </c>
      <c r="H935" s="51" t="n">
        <v>4</v>
      </c>
      <c r="I935" s="51" t="s">
        <v>1387</v>
      </c>
    </row>
    <row r="936" customFormat="false" ht="15" hidden="false" customHeight="false" outlineLevel="0" collapsed="false">
      <c r="A936" s="51" t="s">
        <v>134</v>
      </c>
      <c r="B936" s="51" t="n">
        <v>42</v>
      </c>
      <c r="C936" s="51" t="s">
        <v>314</v>
      </c>
      <c r="D936" s="52" t="n">
        <v>45985</v>
      </c>
      <c r="E936" s="53" t="n">
        <v>141.22</v>
      </c>
      <c r="F936" s="53" t="n">
        <v>43.99</v>
      </c>
      <c r="G936" s="51" t="n">
        <v>1</v>
      </c>
      <c r="H936" s="51" t="n">
        <v>1</v>
      </c>
      <c r="I936" s="51" t="s">
        <v>1387</v>
      </c>
    </row>
    <row r="937" customFormat="false" ht="15" hidden="false" customHeight="false" outlineLevel="0" collapsed="false">
      <c r="A937" s="51" t="s">
        <v>134</v>
      </c>
      <c r="B937" s="51" t="n">
        <v>42</v>
      </c>
      <c r="C937" s="51" t="s">
        <v>314</v>
      </c>
      <c r="D937" s="52" t="n">
        <v>45986</v>
      </c>
      <c r="E937" s="53" t="n">
        <v>185.11</v>
      </c>
      <c r="F937" s="53" t="n">
        <v>323.93</v>
      </c>
      <c r="G937" s="51" t="n">
        <v>7</v>
      </c>
      <c r="H937" s="51" t="n">
        <v>7</v>
      </c>
      <c r="I937" s="51" t="s">
        <v>1387</v>
      </c>
    </row>
    <row r="938" customFormat="false" ht="15" hidden="false" customHeight="false" outlineLevel="0" collapsed="false">
      <c r="A938" s="51" t="s">
        <v>134</v>
      </c>
      <c r="B938" s="51" t="n">
        <v>42</v>
      </c>
      <c r="C938" s="51" t="s">
        <v>314</v>
      </c>
      <c r="D938" s="52" t="n">
        <v>45987</v>
      </c>
      <c r="E938" s="53" t="n">
        <v>264.72</v>
      </c>
      <c r="F938" s="53" t="n">
        <v>652.43</v>
      </c>
      <c r="G938" s="51" t="n">
        <v>13</v>
      </c>
      <c r="H938" s="51" t="n">
        <v>13</v>
      </c>
      <c r="I938" s="51" t="s">
        <v>1387</v>
      </c>
    </row>
    <row r="939" customFormat="false" ht="15" hidden="false" customHeight="false" outlineLevel="0" collapsed="false">
      <c r="A939" s="51" t="s">
        <v>134</v>
      </c>
      <c r="B939" s="51" t="n">
        <v>42</v>
      </c>
      <c r="C939" s="51" t="s">
        <v>314</v>
      </c>
      <c r="D939" s="52" t="n">
        <v>45988</v>
      </c>
      <c r="E939" s="53" t="n">
        <v>111.96</v>
      </c>
      <c r="F939" s="53" t="n">
        <v>504.9</v>
      </c>
      <c r="G939" s="51" t="n">
        <v>10</v>
      </c>
      <c r="H939" s="51" t="n">
        <v>10</v>
      </c>
      <c r="I939" s="51" t="s">
        <v>1387</v>
      </c>
    </row>
    <row r="940" customFormat="false" ht="15" hidden="false" customHeight="false" outlineLevel="0" collapsed="false">
      <c r="A940" s="51" t="s">
        <v>134</v>
      </c>
      <c r="B940" s="51" t="n">
        <v>42</v>
      </c>
      <c r="C940" s="51" t="s">
        <v>314</v>
      </c>
      <c r="D940" s="52" t="n">
        <v>45989</v>
      </c>
      <c r="E940" s="53" t="n">
        <v>525.86</v>
      </c>
      <c r="F940" s="53" t="n">
        <v>1468.7</v>
      </c>
      <c r="G940" s="51" t="n">
        <v>30</v>
      </c>
      <c r="H940" s="51" t="n">
        <v>30</v>
      </c>
      <c r="I940" s="51" t="s">
        <v>1387</v>
      </c>
    </row>
    <row r="941" customFormat="false" ht="15" hidden="false" customHeight="false" outlineLevel="0" collapsed="false">
      <c r="A941" s="51" t="s">
        <v>134</v>
      </c>
      <c r="B941" s="51" t="n">
        <v>42</v>
      </c>
      <c r="C941" s="51" t="s">
        <v>314</v>
      </c>
      <c r="D941" s="52" t="n">
        <v>45990</v>
      </c>
      <c r="E941" s="53" t="n">
        <v>320.44</v>
      </c>
      <c r="F941" s="53" t="n">
        <v>445.87</v>
      </c>
      <c r="G941" s="51" t="n">
        <v>9</v>
      </c>
      <c r="H941" s="51" t="n">
        <v>9</v>
      </c>
      <c r="I941" s="51" t="s">
        <v>1387</v>
      </c>
    </row>
    <row r="942" customFormat="false" ht="15" hidden="false" customHeight="false" outlineLevel="0" collapsed="false">
      <c r="A942" s="51" t="s">
        <v>134</v>
      </c>
      <c r="B942" s="51" t="n">
        <v>42</v>
      </c>
      <c r="C942" s="51" t="s">
        <v>314</v>
      </c>
      <c r="D942" s="52" t="n">
        <v>45991</v>
      </c>
      <c r="E942" s="53" t="n">
        <v>204.59</v>
      </c>
      <c r="F942" s="53" t="n">
        <v>404.92</v>
      </c>
      <c r="G942" s="51" t="n">
        <v>8</v>
      </c>
      <c r="H942" s="51" t="n">
        <v>8</v>
      </c>
      <c r="I942" s="51" t="s">
        <v>1387</v>
      </c>
    </row>
    <row r="943" customFormat="false" ht="15" hidden="false" customHeight="false" outlineLevel="0" collapsed="false">
      <c r="A943" s="51" t="s">
        <v>134</v>
      </c>
      <c r="B943" s="51" t="n">
        <v>42</v>
      </c>
      <c r="C943" s="51" t="s">
        <v>314</v>
      </c>
      <c r="D943" s="52" t="n">
        <v>45992</v>
      </c>
      <c r="E943" s="53" t="n">
        <v>360.88</v>
      </c>
      <c r="F943" s="53" t="n">
        <v>1058.53</v>
      </c>
      <c r="G943" s="51" t="n">
        <v>22</v>
      </c>
      <c r="H943" s="51" t="n">
        <v>22</v>
      </c>
      <c r="I943" s="51" t="s">
        <v>1387</v>
      </c>
    </row>
    <row r="944" customFormat="false" ht="15" hidden="false" customHeight="false" outlineLevel="0" collapsed="false">
      <c r="A944" s="51" t="s">
        <v>134</v>
      </c>
      <c r="B944" s="51" t="n">
        <v>42</v>
      </c>
      <c r="C944" s="51" t="s">
        <v>314</v>
      </c>
      <c r="D944" s="52" t="n">
        <v>45993</v>
      </c>
      <c r="E944" s="53" t="n">
        <v>184.99</v>
      </c>
      <c r="F944" s="53" t="n">
        <v>430.93</v>
      </c>
      <c r="G944" s="51" t="n">
        <v>7</v>
      </c>
      <c r="H944" s="51" t="n">
        <v>7</v>
      </c>
      <c r="I944" s="51"/>
    </row>
    <row r="945" customFormat="false" ht="15" hidden="false" customHeight="false" outlineLevel="0" collapsed="false">
      <c r="A945" s="51" t="s">
        <v>134</v>
      </c>
      <c r="B945" s="51" t="n">
        <v>42</v>
      </c>
      <c r="C945" s="51" t="s">
        <v>314</v>
      </c>
      <c r="D945" s="52" t="n">
        <v>45994</v>
      </c>
      <c r="E945" s="53" t="n">
        <v>185.65</v>
      </c>
      <c r="F945" s="53" t="n">
        <v>414.93</v>
      </c>
      <c r="G945" s="51" t="n">
        <v>7</v>
      </c>
      <c r="H945" s="51" t="n">
        <v>7</v>
      </c>
      <c r="I945" s="51"/>
    </row>
    <row r="946" customFormat="false" ht="15" hidden="false" customHeight="false" outlineLevel="0" collapsed="false">
      <c r="A946" s="51" t="s">
        <v>134</v>
      </c>
      <c r="B946" s="51" t="n">
        <v>42</v>
      </c>
      <c r="C946" s="51" t="s">
        <v>314</v>
      </c>
      <c r="D946" s="52" t="n">
        <v>45995</v>
      </c>
      <c r="E946" s="53" t="n">
        <v>225.94</v>
      </c>
      <c r="F946" s="53" t="n">
        <v>442.93</v>
      </c>
      <c r="G946" s="51" t="n">
        <v>7</v>
      </c>
      <c r="H946" s="51" t="n">
        <v>7</v>
      </c>
      <c r="I946" s="51"/>
    </row>
    <row r="947" customFormat="false" ht="15" hidden="false" customHeight="false" outlineLevel="0" collapsed="false">
      <c r="A947" s="51" t="s">
        <v>134</v>
      </c>
      <c r="B947" s="51" t="n">
        <v>42</v>
      </c>
      <c r="C947" s="51" t="s">
        <v>314</v>
      </c>
      <c r="D947" s="52" t="n">
        <v>45996</v>
      </c>
      <c r="E947" s="53" t="n">
        <v>202.19</v>
      </c>
      <c r="F947" s="53" t="n">
        <v>529.91</v>
      </c>
      <c r="G947" s="51" t="n">
        <v>9</v>
      </c>
      <c r="H947" s="51" t="n">
        <v>9</v>
      </c>
      <c r="I947" s="51"/>
    </row>
    <row r="948" customFormat="false" ht="15" hidden="false" customHeight="false" outlineLevel="0" collapsed="false">
      <c r="A948" s="51" t="s">
        <v>134</v>
      </c>
      <c r="B948" s="51" t="n">
        <v>42</v>
      </c>
      <c r="C948" s="51" t="s">
        <v>314</v>
      </c>
      <c r="D948" s="52" t="n">
        <v>45997</v>
      </c>
      <c r="E948" s="53" t="n">
        <v>216.58</v>
      </c>
      <c r="F948" s="53" t="n">
        <v>937.83</v>
      </c>
      <c r="G948" s="51" t="n">
        <v>17</v>
      </c>
      <c r="H948" s="51" t="n">
        <v>17</v>
      </c>
      <c r="I948" s="51"/>
    </row>
    <row r="949" customFormat="false" ht="15" hidden="false" customHeight="false" outlineLevel="0" collapsed="false">
      <c r="A949" s="51" t="s">
        <v>134</v>
      </c>
      <c r="B949" s="51" t="n">
        <v>42</v>
      </c>
      <c r="C949" s="51" t="s">
        <v>314</v>
      </c>
      <c r="D949" s="52" t="n">
        <v>45998</v>
      </c>
      <c r="E949" s="53" t="n">
        <v>252.59</v>
      </c>
      <c r="F949" s="53" t="n">
        <v>719.88</v>
      </c>
      <c r="G949" s="51" t="n">
        <v>12</v>
      </c>
      <c r="H949" s="51" t="n">
        <v>12</v>
      </c>
      <c r="I949" s="51"/>
    </row>
    <row r="950" customFormat="false" ht="15" hidden="false" customHeight="false" outlineLevel="0" collapsed="false">
      <c r="A950" s="51" t="s">
        <v>134</v>
      </c>
      <c r="B950" s="51" t="n">
        <v>42</v>
      </c>
      <c r="C950" s="51" t="s">
        <v>314</v>
      </c>
      <c r="D950" s="52" t="n">
        <v>45999</v>
      </c>
      <c r="E950" s="53" t="n">
        <v>230.5</v>
      </c>
      <c r="F950" s="53" t="n">
        <v>574.9</v>
      </c>
      <c r="G950" s="51" t="n">
        <v>9</v>
      </c>
      <c r="H950" s="51" t="n">
        <v>10</v>
      </c>
      <c r="I950" s="51"/>
    </row>
    <row r="951" customFormat="false" ht="15" hidden="false" customHeight="false" outlineLevel="0" collapsed="false">
      <c r="A951" s="51" t="s">
        <v>134</v>
      </c>
      <c r="B951" s="51" t="n">
        <v>42</v>
      </c>
      <c r="C951" s="51" t="s">
        <v>314</v>
      </c>
      <c r="D951" s="52" t="n">
        <v>46000</v>
      </c>
      <c r="E951" s="53" t="n">
        <v>203.68</v>
      </c>
      <c r="F951" s="53" t="n">
        <v>1100.8</v>
      </c>
      <c r="G951" s="51" t="n">
        <v>20</v>
      </c>
      <c r="H951" s="51" t="n">
        <v>20</v>
      </c>
      <c r="I951" s="51"/>
    </row>
    <row r="952" customFormat="false" ht="15" hidden="false" customHeight="false" outlineLevel="0" collapsed="false">
      <c r="A952" s="51" t="s">
        <v>134</v>
      </c>
      <c r="B952" s="51" t="n">
        <v>42</v>
      </c>
      <c r="C952" s="51" t="s">
        <v>314</v>
      </c>
      <c r="D952" s="52" t="n">
        <v>46001</v>
      </c>
      <c r="E952" s="53" t="n">
        <v>187.79</v>
      </c>
      <c r="F952" s="53" t="n">
        <v>414.93</v>
      </c>
      <c r="G952" s="51" t="n">
        <v>7</v>
      </c>
      <c r="H952" s="51" t="n">
        <v>7</v>
      </c>
      <c r="I952" s="51"/>
    </row>
    <row r="953" customFormat="false" ht="15" hidden="false" customHeight="false" outlineLevel="0" collapsed="false">
      <c r="A953" s="51" t="s">
        <v>134</v>
      </c>
      <c r="B953" s="51" t="n">
        <v>42</v>
      </c>
      <c r="C953" s="51" t="s">
        <v>314</v>
      </c>
      <c r="D953" s="52" t="n">
        <v>46002</v>
      </c>
      <c r="E953" s="53" t="n">
        <v>231.93</v>
      </c>
      <c r="F953" s="53" t="n">
        <v>764.87</v>
      </c>
      <c r="G953" s="51" t="n">
        <v>13</v>
      </c>
      <c r="H953" s="51" t="n">
        <v>13</v>
      </c>
      <c r="I953" s="51"/>
    </row>
    <row r="954" customFormat="false" ht="15" hidden="false" customHeight="false" outlineLevel="0" collapsed="false">
      <c r="A954" s="51" t="s">
        <v>134</v>
      </c>
      <c r="B954" s="51" t="n">
        <v>42</v>
      </c>
      <c r="C954" s="51" t="s">
        <v>314</v>
      </c>
      <c r="D954" s="52" t="n">
        <v>46003</v>
      </c>
      <c r="E954" s="53" t="n">
        <v>238.18</v>
      </c>
      <c r="F954" s="53" t="n">
        <v>639.89</v>
      </c>
      <c r="G954" s="51" t="n">
        <v>11</v>
      </c>
      <c r="H954" s="51" t="n">
        <v>11</v>
      </c>
      <c r="I954" s="51"/>
    </row>
    <row r="955" customFormat="false" ht="15" hidden="false" customHeight="false" outlineLevel="0" collapsed="false">
      <c r="A955" s="51" t="s">
        <v>134</v>
      </c>
      <c r="B955" s="51" t="n">
        <v>42</v>
      </c>
      <c r="C955" s="51" t="s">
        <v>314</v>
      </c>
      <c r="D955" s="52" t="n">
        <v>46004</v>
      </c>
      <c r="E955" s="53" t="n">
        <v>283.73</v>
      </c>
      <c r="F955" s="53" t="n">
        <v>1469.75</v>
      </c>
      <c r="G955" s="51" t="n">
        <v>25</v>
      </c>
      <c r="H955" s="51" t="n">
        <v>25</v>
      </c>
      <c r="I955" s="51"/>
    </row>
    <row r="956" customFormat="false" ht="15" hidden="false" customHeight="false" outlineLevel="0" collapsed="false">
      <c r="A956" s="51" t="s">
        <v>134</v>
      </c>
      <c r="B956" s="51" t="n">
        <v>42</v>
      </c>
      <c r="C956" s="51" t="s">
        <v>314</v>
      </c>
      <c r="D956" s="52" t="n">
        <v>46005</v>
      </c>
      <c r="E956" s="53" t="n">
        <v>220.5</v>
      </c>
      <c r="F956" s="53" t="n">
        <v>1419.77</v>
      </c>
      <c r="G956" s="51" t="n">
        <v>23</v>
      </c>
      <c r="H956" s="51" t="n">
        <v>23</v>
      </c>
      <c r="I956" s="51"/>
    </row>
    <row r="957" customFormat="false" ht="15" hidden="false" customHeight="false" outlineLevel="0" collapsed="false">
      <c r="A957" s="51" t="s">
        <v>134</v>
      </c>
      <c r="B957" s="51" t="n">
        <v>42</v>
      </c>
      <c r="C957" s="51" t="s">
        <v>314</v>
      </c>
      <c r="D957" s="52" t="n">
        <v>46006</v>
      </c>
      <c r="E957" s="53" t="n">
        <v>247.25</v>
      </c>
      <c r="F957" s="53" t="n">
        <v>1089.83</v>
      </c>
      <c r="G957" s="51" t="n">
        <v>17</v>
      </c>
      <c r="H957" s="51" t="n">
        <v>17</v>
      </c>
      <c r="I957" s="51"/>
    </row>
    <row r="958" customFormat="false" ht="15" hidden="false" customHeight="false" outlineLevel="0" collapsed="false">
      <c r="A958" s="51" t="s">
        <v>151</v>
      </c>
      <c r="B958" s="51" t="n">
        <v>49</v>
      </c>
      <c r="C958" s="51" t="s">
        <v>314</v>
      </c>
      <c r="D958" s="52" t="n">
        <v>45945</v>
      </c>
      <c r="E958" s="53" t="n">
        <v>0</v>
      </c>
      <c r="F958" s="53" t="n">
        <v>0</v>
      </c>
      <c r="G958" s="51" t="n">
        <v>0</v>
      </c>
      <c r="H958" s="51" t="n">
        <v>0</v>
      </c>
      <c r="I958" s="51"/>
    </row>
    <row r="959" customFormat="false" ht="15" hidden="false" customHeight="false" outlineLevel="0" collapsed="false">
      <c r="A959" s="51" t="s">
        <v>151</v>
      </c>
      <c r="B959" s="51" t="n">
        <v>49</v>
      </c>
      <c r="C959" s="51" t="s">
        <v>314</v>
      </c>
      <c r="D959" s="52" t="n">
        <v>45946</v>
      </c>
      <c r="E959" s="53" t="n">
        <v>0</v>
      </c>
      <c r="F959" s="53" t="n">
        <v>0</v>
      </c>
      <c r="G959" s="51" t="n">
        <v>0</v>
      </c>
      <c r="H959" s="51" t="n">
        <v>0</v>
      </c>
      <c r="I959" s="51"/>
    </row>
    <row r="960" customFormat="false" ht="15" hidden="false" customHeight="false" outlineLevel="0" collapsed="false">
      <c r="A960" s="51" t="s">
        <v>151</v>
      </c>
      <c r="B960" s="51" t="n">
        <v>49</v>
      </c>
      <c r="C960" s="51" t="s">
        <v>314</v>
      </c>
      <c r="D960" s="52" t="n">
        <v>45947</v>
      </c>
      <c r="E960" s="53" t="n">
        <v>0</v>
      </c>
      <c r="F960" s="53" t="n">
        <v>0</v>
      </c>
      <c r="G960" s="51" t="n">
        <v>0</v>
      </c>
      <c r="H960" s="51" t="n">
        <v>0</v>
      </c>
      <c r="I960" s="51"/>
    </row>
    <row r="961" customFormat="false" ht="15" hidden="false" customHeight="false" outlineLevel="0" collapsed="false">
      <c r="A961" s="51" t="s">
        <v>151</v>
      </c>
      <c r="B961" s="51" t="n">
        <v>49</v>
      </c>
      <c r="C961" s="51" t="s">
        <v>314</v>
      </c>
      <c r="D961" s="52" t="n">
        <v>45948</v>
      </c>
      <c r="E961" s="53" t="n">
        <v>0</v>
      </c>
      <c r="F961" s="53" t="n">
        <v>0</v>
      </c>
      <c r="G961" s="51" t="n">
        <v>0</v>
      </c>
      <c r="H961" s="51" t="n">
        <v>0</v>
      </c>
      <c r="I961" s="51"/>
    </row>
    <row r="962" customFormat="false" ht="15" hidden="false" customHeight="false" outlineLevel="0" collapsed="false">
      <c r="A962" s="51" t="s">
        <v>151</v>
      </c>
      <c r="B962" s="51" t="n">
        <v>49</v>
      </c>
      <c r="C962" s="51" t="s">
        <v>314</v>
      </c>
      <c r="D962" s="52" t="n">
        <v>45949</v>
      </c>
      <c r="E962" s="53" t="n">
        <v>0</v>
      </c>
      <c r="F962" s="53" t="n">
        <v>0</v>
      </c>
      <c r="G962" s="51" t="n">
        <v>0</v>
      </c>
      <c r="H962" s="51" t="n">
        <v>0</v>
      </c>
      <c r="I962" s="51"/>
    </row>
    <row r="963" customFormat="false" ht="15" hidden="false" customHeight="false" outlineLevel="0" collapsed="false">
      <c r="A963" s="51" t="s">
        <v>151</v>
      </c>
      <c r="B963" s="51" t="n">
        <v>49</v>
      </c>
      <c r="C963" s="51" t="s">
        <v>314</v>
      </c>
      <c r="D963" s="52" t="n">
        <v>45950</v>
      </c>
      <c r="E963" s="53" t="n">
        <v>0</v>
      </c>
      <c r="F963" s="53" t="n">
        <v>0</v>
      </c>
      <c r="G963" s="51" t="n">
        <v>0</v>
      </c>
      <c r="H963" s="51" t="n">
        <v>0</v>
      </c>
      <c r="I963" s="51"/>
    </row>
    <row r="964" customFormat="false" ht="15" hidden="false" customHeight="false" outlineLevel="0" collapsed="false">
      <c r="A964" s="51" t="s">
        <v>151</v>
      </c>
      <c r="B964" s="51" t="n">
        <v>49</v>
      </c>
      <c r="C964" s="51" t="s">
        <v>314</v>
      </c>
      <c r="D964" s="52" t="n">
        <v>45951</v>
      </c>
      <c r="E964" s="53" t="n">
        <v>0</v>
      </c>
      <c r="F964" s="53" t="n">
        <v>0</v>
      </c>
      <c r="G964" s="51" t="n">
        <v>0</v>
      </c>
      <c r="H964" s="51" t="n">
        <v>0</v>
      </c>
      <c r="I964" s="51" t="s">
        <v>1386</v>
      </c>
    </row>
    <row r="965" customFormat="false" ht="15" hidden="false" customHeight="false" outlineLevel="0" collapsed="false">
      <c r="A965" s="51" t="s">
        <v>151</v>
      </c>
      <c r="B965" s="51" t="n">
        <v>49</v>
      </c>
      <c r="C965" s="51" t="s">
        <v>314</v>
      </c>
      <c r="D965" s="52" t="n">
        <v>45952</v>
      </c>
      <c r="E965" s="53" t="n">
        <v>0</v>
      </c>
      <c r="F965" s="53" t="n">
        <v>0</v>
      </c>
      <c r="G965" s="51" t="n">
        <v>0</v>
      </c>
      <c r="H965" s="51" t="n">
        <v>0</v>
      </c>
      <c r="I965" s="51" t="s">
        <v>1386</v>
      </c>
    </row>
    <row r="966" customFormat="false" ht="15" hidden="false" customHeight="false" outlineLevel="0" collapsed="false">
      <c r="A966" s="51" t="s">
        <v>151</v>
      </c>
      <c r="B966" s="51" t="n">
        <v>49</v>
      </c>
      <c r="C966" s="51" t="s">
        <v>314</v>
      </c>
      <c r="D966" s="52" t="n">
        <v>45953</v>
      </c>
      <c r="E966" s="53" t="n">
        <v>0</v>
      </c>
      <c r="F966" s="53" t="n">
        <v>0</v>
      </c>
      <c r="G966" s="51" t="n">
        <v>0</v>
      </c>
      <c r="H966" s="51" t="n">
        <v>0</v>
      </c>
      <c r="I966" s="51" t="s">
        <v>1386</v>
      </c>
    </row>
    <row r="967" customFormat="false" ht="15" hidden="false" customHeight="false" outlineLevel="0" collapsed="false">
      <c r="A967" s="51" t="s">
        <v>151</v>
      </c>
      <c r="B967" s="51" t="n">
        <v>49</v>
      </c>
      <c r="C967" s="51" t="s">
        <v>314</v>
      </c>
      <c r="D967" s="52" t="n">
        <v>45954</v>
      </c>
      <c r="E967" s="53" t="n">
        <v>0</v>
      </c>
      <c r="F967" s="53" t="n">
        <v>0</v>
      </c>
      <c r="G967" s="51" t="n">
        <v>0</v>
      </c>
      <c r="H967" s="51" t="n">
        <v>0</v>
      </c>
      <c r="I967" s="51" t="s">
        <v>1386</v>
      </c>
    </row>
    <row r="968" customFormat="false" ht="15" hidden="false" customHeight="false" outlineLevel="0" collapsed="false">
      <c r="A968" s="51" t="s">
        <v>151</v>
      </c>
      <c r="B968" s="51" t="n">
        <v>49</v>
      </c>
      <c r="C968" s="51" t="s">
        <v>314</v>
      </c>
      <c r="D968" s="52" t="n">
        <v>45955</v>
      </c>
      <c r="E968" s="53" t="n">
        <v>0</v>
      </c>
      <c r="F968" s="53" t="n">
        <v>0</v>
      </c>
      <c r="G968" s="51" t="n">
        <v>0</v>
      </c>
      <c r="H968" s="51" t="n">
        <v>0</v>
      </c>
      <c r="I968" s="51" t="s">
        <v>1386</v>
      </c>
    </row>
    <row r="969" customFormat="false" ht="15" hidden="false" customHeight="false" outlineLevel="0" collapsed="false">
      <c r="A969" s="51" t="s">
        <v>151</v>
      </c>
      <c r="B969" s="51" t="n">
        <v>49</v>
      </c>
      <c r="C969" s="51" t="s">
        <v>314</v>
      </c>
      <c r="D969" s="52" t="n">
        <v>45956</v>
      </c>
      <c r="E969" s="53" t="n">
        <v>0</v>
      </c>
      <c r="F969" s="53" t="n">
        <v>0</v>
      </c>
      <c r="G969" s="51" t="n">
        <v>0</v>
      </c>
      <c r="H969" s="51" t="n">
        <v>0</v>
      </c>
      <c r="I969" s="51" t="s">
        <v>1386</v>
      </c>
    </row>
    <row r="970" customFormat="false" ht="15" hidden="false" customHeight="false" outlineLevel="0" collapsed="false">
      <c r="A970" s="51" t="s">
        <v>151</v>
      </c>
      <c r="B970" s="51" t="n">
        <v>49</v>
      </c>
      <c r="C970" s="51" t="s">
        <v>314</v>
      </c>
      <c r="D970" s="52" t="n">
        <v>45957</v>
      </c>
      <c r="E970" s="53" t="n">
        <v>0</v>
      </c>
      <c r="F970" s="53" t="n">
        <v>0</v>
      </c>
      <c r="G970" s="51" t="n">
        <v>0</v>
      </c>
      <c r="H970" s="51" t="n">
        <v>0</v>
      </c>
      <c r="I970" s="51" t="s">
        <v>1386</v>
      </c>
    </row>
    <row r="971" customFormat="false" ht="15" hidden="false" customHeight="false" outlineLevel="0" collapsed="false">
      <c r="A971" s="51" t="s">
        <v>151</v>
      </c>
      <c r="B971" s="51" t="n">
        <v>49</v>
      </c>
      <c r="C971" s="51" t="s">
        <v>314</v>
      </c>
      <c r="D971" s="52" t="n">
        <v>45958</v>
      </c>
      <c r="E971" s="53" t="n">
        <v>0</v>
      </c>
      <c r="F971" s="53" t="n">
        <v>0</v>
      </c>
      <c r="G971" s="51" t="n">
        <v>0</v>
      </c>
      <c r="H971" s="51" t="n">
        <v>0</v>
      </c>
      <c r="I971" s="51" t="s">
        <v>1386</v>
      </c>
    </row>
    <row r="972" customFormat="false" ht="15" hidden="false" customHeight="false" outlineLevel="0" collapsed="false">
      <c r="A972" s="51" t="s">
        <v>151</v>
      </c>
      <c r="B972" s="51" t="n">
        <v>49</v>
      </c>
      <c r="C972" s="51" t="s">
        <v>314</v>
      </c>
      <c r="D972" s="52" t="n">
        <v>45959</v>
      </c>
      <c r="E972" s="53" t="n">
        <v>0</v>
      </c>
      <c r="F972" s="53" t="n">
        <v>0</v>
      </c>
      <c r="G972" s="51" t="n">
        <v>0</v>
      </c>
      <c r="H972" s="51" t="n">
        <v>0</v>
      </c>
      <c r="I972" s="51" t="s">
        <v>1386</v>
      </c>
    </row>
    <row r="973" customFormat="false" ht="15" hidden="false" customHeight="false" outlineLevel="0" collapsed="false">
      <c r="A973" s="51" t="s">
        <v>151</v>
      </c>
      <c r="B973" s="51" t="n">
        <v>49</v>
      </c>
      <c r="C973" s="51" t="s">
        <v>314</v>
      </c>
      <c r="D973" s="52" t="n">
        <v>45960</v>
      </c>
      <c r="E973" s="53" t="n">
        <v>0</v>
      </c>
      <c r="F973" s="53" t="n">
        <v>0</v>
      </c>
      <c r="G973" s="51" t="n">
        <v>0</v>
      </c>
      <c r="H973" s="51" t="n">
        <v>0</v>
      </c>
      <c r="I973" s="51" t="s">
        <v>1386</v>
      </c>
    </row>
    <row r="974" customFormat="false" ht="15" hidden="false" customHeight="false" outlineLevel="0" collapsed="false">
      <c r="A974" s="51" t="s">
        <v>151</v>
      </c>
      <c r="B974" s="51" t="n">
        <v>49</v>
      </c>
      <c r="C974" s="51" t="s">
        <v>314</v>
      </c>
      <c r="D974" s="52" t="n">
        <v>45961</v>
      </c>
      <c r="E974" s="53" t="n">
        <v>0</v>
      </c>
      <c r="F974" s="53" t="n">
        <v>0</v>
      </c>
      <c r="G974" s="51" t="n">
        <v>0</v>
      </c>
      <c r="H974" s="51" t="n">
        <v>0</v>
      </c>
      <c r="I974" s="51" t="s">
        <v>1386</v>
      </c>
    </row>
    <row r="975" customFormat="false" ht="15" hidden="false" customHeight="false" outlineLevel="0" collapsed="false">
      <c r="A975" s="51" t="s">
        <v>151</v>
      </c>
      <c r="B975" s="51" t="n">
        <v>49</v>
      </c>
      <c r="C975" s="51" t="s">
        <v>314</v>
      </c>
      <c r="D975" s="52" t="n">
        <v>45962</v>
      </c>
      <c r="E975" s="53" t="n">
        <v>0</v>
      </c>
      <c r="F975" s="53" t="n">
        <v>0</v>
      </c>
      <c r="G975" s="51" t="n">
        <v>0</v>
      </c>
      <c r="H975" s="51" t="n">
        <v>0</v>
      </c>
      <c r="I975" s="51" t="s">
        <v>1386</v>
      </c>
    </row>
    <row r="976" customFormat="false" ht="15" hidden="false" customHeight="false" outlineLevel="0" collapsed="false">
      <c r="A976" s="51" t="s">
        <v>151</v>
      </c>
      <c r="B976" s="51" t="n">
        <v>49</v>
      </c>
      <c r="C976" s="51" t="s">
        <v>314</v>
      </c>
      <c r="D976" s="52" t="n">
        <v>45963</v>
      </c>
      <c r="E976" s="53" t="n">
        <v>0</v>
      </c>
      <c r="F976" s="53" t="n">
        <v>0</v>
      </c>
      <c r="G976" s="51" t="n">
        <v>0</v>
      </c>
      <c r="H976" s="51" t="n">
        <v>0</v>
      </c>
      <c r="I976" s="51" t="s">
        <v>1386</v>
      </c>
    </row>
    <row r="977" customFormat="false" ht="15" hidden="false" customHeight="false" outlineLevel="0" collapsed="false">
      <c r="A977" s="51" t="s">
        <v>151</v>
      </c>
      <c r="B977" s="51" t="n">
        <v>49</v>
      </c>
      <c r="C977" s="51" t="s">
        <v>314</v>
      </c>
      <c r="D977" s="52" t="n">
        <v>45964</v>
      </c>
      <c r="E977" s="53" t="n">
        <v>0</v>
      </c>
      <c r="F977" s="53" t="n">
        <v>0</v>
      </c>
      <c r="G977" s="51" t="n">
        <v>0</v>
      </c>
      <c r="H977" s="51" t="n">
        <v>0</v>
      </c>
      <c r="I977" s="51" t="s">
        <v>1386</v>
      </c>
    </row>
    <row r="978" customFormat="false" ht="15" hidden="false" customHeight="false" outlineLevel="0" collapsed="false">
      <c r="A978" s="51" t="s">
        <v>151</v>
      </c>
      <c r="B978" s="51" t="n">
        <v>49</v>
      </c>
      <c r="C978" s="51" t="s">
        <v>314</v>
      </c>
      <c r="D978" s="52" t="n">
        <v>45965</v>
      </c>
      <c r="E978" s="53" t="n">
        <v>0</v>
      </c>
      <c r="F978" s="53" t="n">
        <v>0</v>
      </c>
      <c r="G978" s="51" t="n">
        <v>0</v>
      </c>
      <c r="H978" s="51" t="n">
        <v>0</v>
      </c>
      <c r="I978" s="51" t="s">
        <v>1386</v>
      </c>
    </row>
    <row r="979" customFormat="false" ht="15" hidden="false" customHeight="false" outlineLevel="0" collapsed="false">
      <c r="A979" s="51" t="s">
        <v>151</v>
      </c>
      <c r="B979" s="51" t="n">
        <v>49</v>
      </c>
      <c r="C979" s="51" t="s">
        <v>314</v>
      </c>
      <c r="D979" s="52" t="n">
        <v>45966</v>
      </c>
      <c r="E979" s="53" t="n">
        <v>0</v>
      </c>
      <c r="F979" s="53" t="n">
        <v>0</v>
      </c>
      <c r="G979" s="51" t="n">
        <v>0</v>
      </c>
      <c r="H979" s="51" t="n">
        <v>0</v>
      </c>
      <c r="I979" s="51" t="s">
        <v>1386</v>
      </c>
    </row>
    <row r="980" customFormat="false" ht="15" hidden="false" customHeight="false" outlineLevel="0" collapsed="false">
      <c r="A980" s="51" t="s">
        <v>151</v>
      </c>
      <c r="B980" s="51" t="n">
        <v>49</v>
      </c>
      <c r="C980" s="51" t="s">
        <v>314</v>
      </c>
      <c r="D980" s="52" t="n">
        <v>45967</v>
      </c>
      <c r="E980" s="53" t="n">
        <v>0</v>
      </c>
      <c r="F980" s="53" t="n">
        <v>0</v>
      </c>
      <c r="G980" s="51" t="n">
        <v>0</v>
      </c>
      <c r="H980" s="51" t="n">
        <v>0</v>
      </c>
      <c r="I980" s="51" t="s">
        <v>1386</v>
      </c>
    </row>
    <row r="981" customFormat="false" ht="15" hidden="false" customHeight="false" outlineLevel="0" collapsed="false">
      <c r="A981" s="51" t="s">
        <v>151</v>
      </c>
      <c r="B981" s="51" t="n">
        <v>49</v>
      </c>
      <c r="C981" s="51" t="s">
        <v>314</v>
      </c>
      <c r="D981" s="52" t="n">
        <v>45968</v>
      </c>
      <c r="E981" s="53" t="n">
        <v>0</v>
      </c>
      <c r="F981" s="53" t="n">
        <v>0</v>
      </c>
      <c r="G981" s="51" t="n">
        <v>0</v>
      </c>
      <c r="H981" s="51" t="n">
        <v>0</v>
      </c>
      <c r="I981" s="51" t="s">
        <v>1386</v>
      </c>
    </row>
    <row r="982" customFormat="false" ht="15" hidden="false" customHeight="false" outlineLevel="0" collapsed="false">
      <c r="A982" s="51" t="s">
        <v>151</v>
      </c>
      <c r="B982" s="51" t="n">
        <v>49</v>
      </c>
      <c r="C982" s="51" t="s">
        <v>314</v>
      </c>
      <c r="D982" s="52" t="n">
        <v>45969</v>
      </c>
      <c r="E982" s="53" t="n">
        <v>0</v>
      </c>
      <c r="F982" s="53" t="n">
        <v>0</v>
      </c>
      <c r="G982" s="51" t="n">
        <v>0</v>
      </c>
      <c r="H982" s="51" t="n">
        <v>0</v>
      </c>
      <c r="I982" s="51" t="s">
        <v>1386</v>
      </c>
    </row>
    <row r="983" customFormat="false" ht="15" hidden="false" customHeight="false" outlineLevel="0" collapsed="false">
      <c r="A983" s="51" t="s">
        <v>151</v>
      </c>
      <c r="B983" s="51" t="n">
        <v>49</v>
      </c>
      <c r="C983" s="51" t="s">
        <v>314</v>
      </c>
      <c r="D983" s="52" t="n">
        <v>45970</v>
      </c>
      <c r="E983" s="53" t="n">
        <v>0</v>
      </c>
      <c r="F983" s="53" t="n">
        <v>0</v>
      </c>
      <c r="G983" s="51" t="n">
        <v>0</v>
      </c>
      <c r="H983" s="51" t="n">
        <v>0</v>
      </c>
      <c r="I983" s="51" t="s">
        <v>1386</v>
      </c>
    </row>
    <row r="984" customFormat="false" ht="15" hidden="false" customHeight="false" outlineLevel="0" collapsed="false">
      <c r="A984" s="51" t="s">
        <v>151</v>
      </c>
      <c r="B984" s="51" t="n">
        <v>49</v>
      </c>
      <c r="C984" s="51" t="s">
        <v>314</v>
      </c>
      <c r="D984" s="52" t="n">
        <v>45971</v>
      </c>
      <c r="E984" s="53" t="n">
        <v>0</v>
      </c>
      <c r="F984" s="53" t="n">
        <v>0</v>
      </c>
      <c r="G984" s="51" t="n">
        <v>0</v>
      </c>
      <c r="H984" s="51" t="n">
        <v>0</v>
      </c>
      <c r="I984" s="51" t="s">
        <v>1386</v>
      </c>
    </row>
    <row r="985" customFormat="false" ht="15" hidden="false" customHeight="false" outlineLevel="0" collapsed="false">
      <c r="A985" s="51" t="s">
        <v>151</v>
      </c>
      <c r="B985" s="51" t="n">
        <v>49</v>
      </c>
      <c r="C985" s="51" t="s">
        <v>314</v>
      </c>
      <c r="D985" s="52" t="n">
        <v>45972</v>
      </c>
      <c r="E985" s="53" t="n">
        <v>0</v>
      </c>
      <c r="F985" s="53" t="n">
        <v>0</v>
      </c>
      <c r="G985" s="51" t="n">
        <v>0</v>
      </c>
      <c r="H985" s="51" t="n">
        <v>0</v>
      </c>
      <c r="I985" s="51" t="s">
        <v>1386</v>
      </c>
    </row>
    <row r="986" customFormat="false" ht="15" hidden="false" customHeight="false" outlineLevel="0" collapsed="false">
      <c r="A986" s="51" t="s">
        <v>151</v>
      </c>
      <c r="B986" s="51" t="n">
        <v>49</v>
      </c>
      <c r="C986" s="51" t="s">
        <v>314</v>
      </c>
      <c r="D986" s="52" t="n">
        <v>45973</v>
      </c>
      <c r="E986" s="53" t="n">
        <v>0</v>
      </c>
      <c r="F986" s="53" t="n">
        <v>0</v>
      </c>
      <c r="G986" s="51" t="n">
        <v>0</v>
      </c>
      <c r="H986" s="51" t="n">
        <v>0</v>
      </c>
      <c r="I986" s="51" t="s">
        <v>1386</v>
      </c>
    </row>
    <row r="987" customFormat="false" ht="15" hidden="false" customHeight="false" outlineLevel="0" collapsed="false">
      <c r="A987" s="51" t="s">
        <v>151</v>
      </c>
      <c r="B987" s="51" t="n">
        <v>49</v>
      </c>
      <c r="C987" s="51" t="s">
        <v>314</v>
      </c>
      <c r="D987" s="52" t="n">
        <v>45974</v>
      </c>
      <c r="E987" s="53" t="n">
        <v>0</v>
      </c>
      <c r="F987" s="53" t="n">
        <v>0</v>
      </c>
      <c r="G987" s="51" t="n">
        <v>0</v>
      </c>
      <c r="H987" s="51" t="n">
        <v>0</v>
      </c>
      <c r="I987" s="51" t="s">
        <v>1386</v>
      </c>
    </row>
    <row r="988" customFormat="false" ht="15" hidden="false" customHeight="false" outlineLevel="0" collapsed="false">
      <c r="A988" s="51" t="s">
        <v>151</v>
      </c>
      <c r="B988" s="51" t="n">
        <v>49</v>
      </c>
      <c r="C988" s="51" t="s">
        <v>314</v>
      </c>
      <c r="D988" s="52" t="n">
        <v>45975</v>
      </c>
      <c r="E988" s="53" t="n">
        <v>0</v>
      </c>
      <c r="F988" s="53" t="n">
        <v>0</v>
      </c>
      <c r="G988" s="51" t="n">
        <v>0</v>
      </c>
      <c r="H988" s="51" t="n">
        <v>0</v>
      </c>
      <c r="I988" s="51" t="s">
        <v>1386</v>
      </c>
    </row>
    <row r="989" customFormat="false" ht="15" hidden="false" customHeight="false" outlineLevel="0" collapsed="false">
      <c r="A989" s="51" t="s">
        <v>151</v>
      </c>
      <c r="B989" s="51" t="n">
        <v>49</v>
      </c>
      <c r="C989" s="51" t="s">
        <v>314</v>
      </c>
      <c r="D989" s="52" t="n">
        <v>45976</v>
      </c>
      <c r="E989" s="53" t="n">
        <v>0</v>
      </c>
      <c r="F989" s="53" t="n">
        <v>0</v>
      </c>
      <c r="G989" s="51" t="n">
        <v>0</v>
      </c>
      <c r="H989" s="51" t="n">
        <v>0</v>
      </c>
      <c r="I989" s="51" t="s">
        <v>1386</v>
      </c>
    </row>
    <row r="990" customFormat="false" ht="15" hidden="false" customHeight="false" outlineLevel="0" collapsed="false">
      <c r="A990" s="51" t="s">
        <v>151</v>
      </c>
      <c r="B990" s="51" t="n">
        <v>49</v>
      </c>
      <c r="C990" s="51" t="s">
        <v>314</v>
      </c>
      <c r="D990" s="52" t="n">
        <v>45977</v>
      </c>
      <c r="E990" s="53" t="n">
        <v>0</v>
      </c>
      <c r="F990" s="53" t="n">
        <v>0</v>
      </c>
      <c r="G990" s="51" t="n">
        <v>0</v>
      </c>
      <c r="H990" s="51" t="n">
        <v>0</v>
      </c>
      <c r="I990" s="51" t="s">
        <v>1386</v>
      </c>
    </row>
    <row r="991" customFormat="false" ht="15" hidden="false" customHeight="false" outlineLevel="0" collapsed="false">
      <c r="A991" s="51" t="s">
        <v>151</v>
      </c>
      <c r="B991" s="51" t="n">
        <v>49</v>
      </c>
      <c r="C991" s="51" t="s">
        <v>314</v>
      </c>
      <c r="D991" s="52" t="n">
        <v>45978</v>
      </c>
      <c r="E991" s="53" t="n">
        <v>0</v>
      </c>
      <c r="F991" s="53" t="n">
        <v>0</v>
      </c>
      <c r="G991" s="51" t="n">
        <v>0</v>
      </c>
      <c r="H991" s="51" t="n">
        <v>0</v>
      </c>
      <c r="I991" s="51" t="s">
        <v>1386</v>
      </c>
    </row>
    <row r="992" customFormat="false" ht="15" hidden="false" customHeight="false" outlineLevel="0" collapsed="false">
      <c r="A992" s="51" t="s">
        <v>151</v>
      </c>
      <c r="B992" s="51" t="n">
        <v>49</v>
      </c>
      <c r="C992" s="51" t="s">
        <v>314</v>
      </c>
      <c r="D992" s="52" t="n">
        <v>45979</v>
      </c>
      <c r="E992" s="53" t="n">
        <v>0</v>
      </c>
      <c r="F992" s="53" t="n">
        <v>0</v>
      </c>
      <c r="G992" s="51" t="n">
        <v>0</v>
      </c>
      <c r="H992" s="51" t="n">
        <v>0</v>
      </c>
      <c r="I992" s="51" t="s">
        <v>1386</v>
      </c>
    </row>
    <row r="993" customFormat="false" ht="15" hidden="false" customHeight="false" outlineLevel="0" collapsed="false">
      <c r="A993" s="51" t="s">
        <v>151</v>
      </c>
      <c r="B993" s="51" t="n">
        <v>49</v>
      </c>
      <c r="C993" s="51" t="s">
        <v>314</v>
      </c>
      <c r="D993" s="52" t="n">
        <v>45980</v>
      </c>
      <c r="E993" s="53" t="n">
        <v>0</v>
      </c>
      <c r="F993" s="53" t="n">
        <v>0</v>
      </c>
      <c r="G993" s="51" t="n">
        <v>0</v>
      </c>
      <c r="H993" s="51" t="n">
        <v>0</v>
      </c>
      <c r="I993" s="51" t="s">
        <v>1386</v>
      </c>
    </row>
    <row r="994" customFormat="false" ht="15" hidden="false" customHeight="false" outlineLevel="0" collapsed="false">
      <c r="A994" s="51" t="s">
        <v>151</v>
      </c>
      <c r="B994" s="51" t="n">
        <v>49</v>
      </c>
      <c r="C994" s="51" t="s">
        <v>314</v>
      </c>
      <c r="D994" s="52" t="n">
        <v>45981</v>
      </c>
      <c r="E994" s="53" t="n">
        <v>0</v>
      </c>
      <c r="F994" s="53" t="n">
        <v>0</v>
      </c>
      <c r="G994" s="51" t="n">
        <v>0</v>
      </c>
      <c r="H994" s="51" t="n">
        <v>0</v>
      </c>
      <c r="I994" s="51" t="s">
        <v>1387</v>
      </c>
    </row>
    <row r="995" customFormat="false" ht="15" hidden="false" customHeight="false" outlineLevel="0" collapsed="false">
      <c r="A995" s="51" t="s">
        <v>151</v>
      </c>
      <c r="B995" s="51" t="n">
        <v>49</v>
      </c>
      <c r="C995" s="51" t="s">
        <v>314</v>
      </c>
      <c r="D995" s="52" t="n">
        <v>45982</v>
      </c>
      <c r="E995" s="53" t="n">
        <v>0</v>
      </c>
      <c r="F995" s="53" t="n">
        <v>0</v>
      </c>
      <c r="G995" s="51" t="n">
        <v>0</v>
      </c>
      <c r="H995" s="51" t="n">
        <v>0</v>
      </c>
      <c r="I995" s="51" t="s">
        <v>1387</v>
      </c>
    </row>
    <row r="996" customFormat="false" ht="15" hidden="false" customHeight="false" outlineLevel="0" collapsed="false">
      <c r="A996" s="51" t="s">
        <v>151</v>
      </c>
      <c r="B996" s="51" t="n">
        <v>49</v>
      </c>
      <c r="C996" s="51" t="s">
        <v>314</v>
      </c>
      <c r="D996" s="52" t="n">
        <v>45983</v>
      </c>
      <c r="E996" s="53" t="n">
        <v>0</v>
      </c>
      <c r="F996" s="53" t="n">
        <v>0</v>
      </c>
      <c r="G996" s="51" t="n">
        <v>0</v>
      </c>
      <c r="H996" s="51" t="n">
        <v>0</v>
      </c>
      <c r="I996" s="51" t="s">
        <v>1387</v>
      </c>
    </row>
    <row r="997" customFormat="false" ht="15" hidden="false" customHeight="false" outlineLevel="0" collapsed="false">
      <c r="A997" s="51" t="s">
        <v>151</v>
      </c>
      <c r="B997" s="51" t="n">
        <v>49</v>
      </c>
      <c r="C997" s="51" t="s">
        <v>314</v>
      </c>
      <c r="D997" s="52" t="n">
        <v>45984</v>
      </c>
      <c r="E997" s="53" t="n">
        <v>0</v>
      </c>
      <c r="F997" s="53" t="n">
        <v>0</v>
      </c>
      <c r="G997" s="51" t="n">
        <v>0</v>
      </c>
      <c r="H997" s="51" t="n">
        <v>0</v>
      </c>
      <c r="I997" s="51" t="s">
        <v>1387</v>
      </c>
    </row>
    <row r="998" customFormat="false" ht="15" hidden="false" customHeight="false" outlineLevel="0" collapsed="false">
      <c r="A998" s="51" t="s">
        <v>151</v>
      </c>
      <c r="B998" s="51" t="n">
        <v>49</v>
      </c>
      <c r="C998" s="51" t="s">
        <v>314</v>
      </c>
      <c r="D998" s="52" t="n">
        <v>45985</v>
      </c>
      <c r="E998" s="53" t="n">
        <v>0</v>
      </c>
      <c r="F998" s="53" t="n">
        <v>0</v>
      </c>
      <c r="G998" s="51" t="n">
        <v>0</v>
      </c>
      <c r="H998" s="51" t="n">
        <v>0</v>
      </c>
      <c r="I998" s="51" t="s">
        <v>1387</v>
      </c>
    </row>
    <row r="999" customFormat="false" ht="15" hidden="false" customHeight="false" outlineLevel="0" collapsed="false">
      <c r="A999" s="51" t="s">
        <v>151</v>
      </c>
      <c r="B999" s="51" t="n">
        <v>49</v>
      </c>
      <c r="C999" s="51" t="s">
        <v>314</v>
      </c>
      <c r="D999" s="52" t="n">
        <v>45986</v>
      </c>
      <c r="E999" s="53" t="n">
        <v>0</v>
      </c>
      <c r="F999" s="53" t="n">
        <v>0</v>
      </c>
      <c r="G999" s="51" t="n">
        <v>0</v>
      </c>
      <c r="H999" s="51" t="n">
        <v>0</v>
      </c>
      <c r="I999" s="51" t="s">
        <v>1387</v>
      </c>
    </row>
    <row r="1000" customFormat="false" ht="15" hidden="false" customHeight="false" outlineLevel="0" collapsed="false">
      <c r="A1000" s="51" t="s">
        <v>151</v>
      </c>
      <c r="B1000" s="51" t="n">
        <v>49</v>
      </c>
      <c r="C1000" s="51" t="s">
        <v>314</v>
      </c>
      <c r="D1000" s="52" t="n">
        <v>45987</v>
      </c>
      <c r="E1000" s="53" t="n">
        <v>0</v>
      </c>
      <c r="F1000" s="53" t="n">
        <v>0</v>
      </c>
      <c r="G1000" s="51" t="n">
        <v>0</v>
      </c>
      <c r="H1000" s="51" t="n">
        <v>0</v>
      </c>
      <c r="I1000" s="51" t="s">
        <v>1387</v>
      </c>
    </row>
    <row r="1001" customFormat="false" ht="15" hidden="false" customHeight="false" outlineLevel="0" collapsed="false">
      <c r="A1001" s="51" t="s">
        <v>151</v>
      </c>
      <c r="B1001" s="51" t="n">
        <v>49</v>
      </c>
      <c r="C1001" s="51" t="s">
        <v>314</v>
      </c>
      <c r="D1001" s="52" t="n">
        <v>45988</v>
      </c>
      <c r="E1001" s="53" t="n">
        <v>0</v>
      </c>
      <c r="F1001" s="53" t="n">
        <v>0</v>
      </c>
      <c r="G1001" s="51" t="n">
        <v>0</v>
      </c>
      <c r="H1001" s="51" t="n">
        <v>0</v>
      </c>
      <c r="I1001" s="51" t="s">
        <v>1387</v>
      </c>
    </row>
    <row r="1002" customFormat="false" ht="15" hidden="false" customHeight="false" outlineLevel="0" collapsed="false">
      <c r="A1002" s="51" t="s">
        <v>151</v>
      </c>
      <c r="B1002" s="51" t="n">
        <v>49</v>
      </c>
      <c r="C1002" s="51" t="s">
        <v>314</v>
      </c>
      <c r="D1002" s="52" t="n">
        <v>45989</v>
      </c>
      <c r="E1002" s="53" t="n">
        <v>0</v>
      </c>
      <c r="F1002" s="53" t="n">
        <v>0</v>
      </c>
      <c r="G1002" s="51" t="n">
        <v>0</v>
      </c>
      <c r="H1002" s="51" t="n">
        <v>0</v>
      </c>
      <c r="I1002" s="51" t="s">
        <v>1387</v>
      </c>
    </row>
    <row r="1003" customFormat="false" ht="15" hidden="false" customHeight="false" outlineLevel="0" collapsed="false">
      <c r="A1003" s="51" t="s">
        <v>151</v>
      </c>
      <c r="B1003" s="51" t="n">
        <v>49</v>
      </c>
      <c r="C1003" s="51" t="s">
        <v>314</v>
      </c>
      <c r="D1003" s="52" t="n">
        <v>45990</v>
      </c>
      <c r="E1003" s="53" t="n">
        <v>0</v>
      </c>
      <c r="F1003" s="53" t="n">
        <v>0</v>
      </c>
      <c r="G1003" s="51" t="n">
        <v>0</v>
      </c>
      <c r="H1003" s="51" t="n">
        <v>0</v>
      </c>
      <c r="I1003" s="51" t="s">
        <v>1387</v>
      </c>
    </row>
    <row r="1004" customFormat="false" ht="15" hidden="false" customHeight="false" outlineLevel="0" collapsed="false">
      <c r="A1004" s="51" t="s">
        <v>151</v>
      </c>
      <c r="B1004" s="51" t="n">
        <v>49</v>
      </c>
      <c r="C1004" s="51" t="s">
        <v>314</v>
      </c>
      <c r="D1004" s="52" t="n">
        <v>45991</v>
      </c>
      <c r="E1004" s="53" t="n">
        <v>0</v>
      </c>
      <c r="F1004" s="53" t="n">
        <v>0</v>
      </c>
      <c r="G1004" s="51" t="n">
        <v>0</v>
      </c>
      <c r="H1004" s="51" t="n">
        <v>0</v>
      </c>
      <c r="I1004" s="51" t="s">
        <v>1387</v>
      </c>
    </row>
    <row r="1005" customFormat="false" ht="15" hidden="false" customHeight="false" outlineLevel="0" collapsed="false">
      <c r="A1005" s="51" t="s">
        <v>151</v>
      </c>
      <c r="B1005" s="51" t="n">
        <v>49</v>
      </c>
      <c r="C1005" s="51" t="s">
        <v>314</v>
      </c>
      <c r="D1005" s="52" t="n">
        <v>45992</v>
      </c>
      <c r="E1005" s="53" t="n">
        <v>0</v>
      </c>
      <c r="F1005" s="53" t="n">
        <v>0</v>
      </c>
      <c r="G1005" s="51" t="n">
        <v>0</v>
      </c>
      <c r="H1005" s="51" t="n">
        <v>0</v>
      </c>
      <c r="I1005" s="51" t="s">
        <v>1387</v>
      </c>
    </row>
    <row r="1006" customFormat="false" ht="15" hidden="false" customHeight="false" outlineLevel="0" collapsed="false">
      <c r="A1006" s="51" t="s">
        <v>151</v>
      </c>
      <c r="B1006" s="51" t="n">
        <v>49</v>
      </c>
      <c r="C1006" s="51" t="s">
        <v>314</v>
      </c>
      <c r="D1006" s="52" t="n">
        <v>45993</v>
      </c>
      <c r="E1006" s="53" t="n">
        <v>0</v>
      </c>
      <c r="F1006" s="53" t="n">
        <v>0</v>
      </c>
      <c r="G1006" s="51" t="n">
        <v>0</v>
      </c>
      <c r="H1006" s="51" t="n">
        <v>0</v>
      </c>
      <c r="I1006" s="51"/>
    </row>
    <row r="1007" customFormat="false" ht="15" hidden="false" customHeight="false" outlineLevel="0" collapsed="false">
      <c r="A1007" s="51" t="s">
        <v>151</v>
      </c>
      <c r="B1007" s="51" t="n">
        <v>49</v>
      </c>
      <c r="C1007" s="51" t="s">
        <v>314</v>
      </c>
      <c r="D1007" s="52" t="n">
        <v>45994</v>
      </c>
      <c r="E1007" s="53" t="n">
        <v>0</v>
      </c>
      <c r="F1007" s="53" t="n">
        <v>0</v>
      </c>
      <c r="G1007" s="51" t="n">
        <v>0</v>
      </c>
      <c r="H1007" s="51" t="n">
        <v>0</v>
      </c>
      <c r="I1007" s="51"/>
    </row>
    <row r="1008" customFormat="false" ht="15" hidden="false" customHeight="false" outlineLevel="0" collapsed="false">
      <c r="A1008" s="51" t="s">
        <v>151</v>
      </c>
      <c r="B1008" s="51" t="n">
        <v>49</v>
      </c>
      <c r="C1008" s="51" t="s">
        <v>314</v>
      </c>
      <c r="D1008" s="52" t="n">
        <v>45995</v>
      </c>
      <c r="E1008" s="53" t="n">
        <v>0</v>
      </c>
      <c r="F1008" s="53" t="n">
        <v>0</v>
      </c>
      <c r="G1008" s="51" t="n">
        <v>0</v>
      </c>
      <c r="H1008" s="51" t="n">
        <v>0</v>
      </c>
      <c r="I1008" s="51"/>
    </row>
    <row r="1009" customFormat="false" ht="15" hidden="false" customHeight="false" outlineLevel="0" collapsed="false">
      <c r="A1009" s="51" t="s">
        <v>151</v>
      </c>
      <c r="B1009" s="51" t="n">
        <v>49</v>
      </c>
      <c r="C1009" s="51" t="s">
        <v>314</v>
      </c>
      <c r="D1009" s="52" t="n">
        <v>45996</v>
      </c>
      <c r="E1009" s="53" t="n">
        <v>0</v>
      </c>
      <c r="F1009" s="53" t="n">
        <v>0</v>
      </c>
      <c r="G1009" s="51" t="n">
        <v>0</v>
      </c>
      <c r="H1009" s="51" t="n">
        <v>0</v>
      </c>
      <c r="I1009" s="51"/>
    </row>
    <row r="1010" customFormat="false" ht="15" hidden="false" customHeight="false" outlineLevel="0" collapsed="false">
      <c r="A1010" s="51" t="s">
        <v>151</v>
      </c>
      <c r="B1010" s="51" t="n">
        <v>49</v>
      </c>
      <c r="C1010" s="51" t="s">
        <v>314</v>
      </c>
      <c r="D1010" s="52" t="n">
        <v>45997</v>
      </c>
      <c r="E1010" s="53" t="n">
        <v>0</v>
      </c>
      <c r="F1010" s="53" t="n">
        <v>0</v>
      </c>
      <c r="G1010" s="51" t="n">
        <v>0</v>
      </c>
      <c r="H1010" s="51" t="n">
        <v>0</v>
      </c>
      <c r="I1010" s="51"/>
    </row>
    <row r="1011" customFormat="false" ht="15" hidden="false" customHeight="false" outlineLevel="0" collapsed="false">
      <c r="A1011" s="51" t="s">
        <v>151</v>
      </c>
      <c r="B1011" s="51" t="n">
        <v>49</v>
      </c>
      <c r="C1011" s="51" t="s">
        <v>314</v>
      </c>
      <c r="D1011" s="52" t="n">
        <v>45998</v>
      </c>
      <c r="E1011" s="53" t="n">
        <v>0</v>
      </c>
      <c r="F1011" s="53" t="n">
        <v>0</v>
      </c>
      <c r="G1011" s="51" t="n">
        <v>0</v>
      </c>
      <c r="H1011" s="51" t="n">
        <v>0</v>
      </c>
      <c r="I1011" s="51"/>
    </row>
    <row r="1012" customFormat="false" ht="15" hidden="false" customHeight="false" outlineLevel="0" collapsed="false">
      <c r="A1012" s="51" t="s">
        <v>151</v>
      </c>
      <c r="B1012" s="51" t="n">
        <v>49</v>
      </c>
      <c r="C1012" s="51" t="s">
        <v>314</v>
      </c>
      <c r="D1012" s="52" t="n">
        <v>45999</v>
      </c>
      <c r="E1012" s="53" t="n">
        <v>0</v>
      </c>
      <c r="F1012" s="53" t="n">
        <v>0</v>
      </c>
      <c r="G1012" s="51" t="n">
        <v>0</v>
      </c>
      <c r="H1012" s="51" t="n">
        <v>0</v>
      </c>
      <c r="I1012" s="51"/>
    </row>
    <row r="1013" customFormat="false" ht="15" hidden="false" customHeight="false" outlineLevel="0" collapsed="false">
      <c r="A1013" s="51" t="s">
        <v>151</v>
      </c>
      <c r="B1013" s="51" t="n">
        <v>49</v>
      </c>
      <c r="C1013" s="51" t="s">
        <v>314</v>
      </c>
      <c r="D1013" s="52" t="n">
        <v>46000</v>
      </c>
      <c r="E1013" s="53" t="n">
        <v>0</v>
      </c>
      <c r="F1013" s="53" t="n">
        <v>0</v>
      </c>
      <c r="G1013" s="51" t="n">
        <v>0</v>
      </c>
      <c r="H1013" s="51" t="n">
        <v>0</v>
      </c>
      <c r="I1013" s="51"/>
    </row>
    <row r="1014" customFormat="false" ht="15" hidden="false" customHeight="false" outlineLevel="0" collapsed="false">
      <c r="A1014" s="51" t="s">
        <v>151</v>
      </c>
      <c r="B1014" s="51" t="n">
        <v>49</v>
      </c>
      <c r="C1014" s="51" t="s">
        <v>314</v>
      </c>
      <c r="D1014" s="52" t="n">
        <v>46001</v>
      </c>
      <c r="E1014" s="53" t="n">
        <v>0</v>
      </c>
      <c r="F1014" s="53" t="n">
        <v>0</v>
      </c>
      <c r="G1014" s="51" t="n">
        <v>0</v>
      </c>
      <c r="H1014" s="51" t="n">
        <v>0</v>
      </c>
      <c r="I1014" s="51"/>
    </row>
    <row r="1015" customFormat="false" ht="15" hidden="false" customHeight="false" outlineLevel="0" collapsed="false">
      <c r="A1015" s="51" t="s">
        <v>151</v>
      </c>
      <c r="B1015" s="51" t="n">
        <v>49</v>
      </c>
      <c r="C1015" s="51" t="s">
        <v>314</v>
      </c>
      <c r="D1015" s="52" t="n">
        <v>46002</v>
      </c>
      <c r="E1015" s="53" t="n">
        <v>0</v>
      </c>
      <c r="F1015" s="53" t="n">
        <v>0</v>
      </c>
      <c r="G1015" s="51" t="n">
        <v>0</v>
      </c>
      <c r="H1015" s="51" t="n">
        <v>0</v>
      </c>
      <c r="I1015" s="51"/>
    </row>
    <row r="1016" customFormat="false" ht="15" hidden="false" customHeight="false" outlineLevel="0" collapsed="false">
      <c r="A1016" s="51" t="s">
        <v>151</v>
      </c>
      <c r="B1016" s="51" t="n">
        <v>49</v>
      </c>
      <c r="C1016" s="51" t="s">
        <v>314</v>
      </c>
      <c r="D1016" s="52" t="n">
        <v>46003</v>
      </c>
      <c r="E1016" s="53" t="n">
        <v>0</v>
      </c>
      <c r="F1016" s="53" t="n">
        <v>0</v>
      </c>
      <c r="G1016" s="51" t="n">
        <v>0</v>
      </c>
      <c r="H1016" s="51" t="n">
        <v>0</v>
      </c>
      <c r="I1016" s="51"/>
    </row>
    <row r="1017" customFormat="false" ht="15" hidden="false" customHeight="false" outlineLevel="0" collapsed="false">
      <c r="A1017" s="51" t="s">
        <v>151</v>
      </c>
      <c r="B1017" s="51" t="n">
        <v>49</v>
      </c>
      <c r="C1017" s="51" t="s">
        <v>314</v>
      </c>
      <c r="D1017" s="52" t="n">
        <v>46004</v>
      </c>
      <c r="E1017" s="53" t="n">
        <v>0</v>
      </c>
      <c r="F1017" s="53" t="n">
        <v>0</v>
      </c>
      <c r="G1017" s="51" t="n">
        <v>0</v>
      </c>
      <c r="H1017" s="51" t="n">
        <v>0</v>
      </c>
      <c r="I1017" s="51"/>
    </row>
    <row r="1018" customFormat="false" ht="15" hidden="false" customHeight="false" outlineLevel="0" collapsed="false">
      <c r="A1018" s="51" t="s">
        <v>151</v>
      </c>
      <c r="B1018" s="51" t="n">
        <v>49</v>
      </c>
      <c r="C1018" s="51" t="s">
        <v>314</v>
      </c>
      <c r="D1018" s="52" t="n">
        <v>46005</v>
      </c>
      <c r="E1018" s="53" t="n">
        <v>0</v>
      </c>
      <c r="F1018" s="53" t="n">
        <v>0</v>
      </c>
      <c r="G1018" s="51" t="n">
        <v>0</v>
      </c>
      <c r="H1018" s="51" t="n">
        <v>0</v>
      </c>
      <c r="I1018" s="51"/>
    </row>
    <row r="1019" customFormat="false" ht="15" hidden="false" customHeight="false" outlineLevel="0" collapsed="false">
      <c r="A1019" s="51" t="s">
        <v>151</v>
      </c>
      <c r="B1019" s="51" t="n">
        <v>49</v>
      </c>
      <c r="C1019" s="51" t="s">
        <v>314</v>
      </c>
      <c r="D1019" s="52" t="n">
        <v>46006</v>
      </c>
      <c r="E1019" s="53" t="n">
        <v>0</v>
      </c>
      <c r="F1019" s="53" t="n">
        <v>0</v>
      </c>
      <c r="G1019" s="51" t="n">
        <v>0</v>
      </c>
      <c r="H1019" s="51" t="n">
        <v>0</v>
      </c>
      <c r="I1019" s="51"/>
    </row>
  </sheetData>
  <autoFilter ref="A1:I10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6"/>
    <col collapsed="false" customWidth="true" hidden="false" outlineLevel="0" max="4" min="4" style="0" width="26"/>
    <col collapsed="false" customWidth="true" hidden="false" outlineLevel="0" max="6" min="5" style="0" width="10"/>
    <col collapsed="false" customWidth="true" hidden="false" outlineLevel="0" max="8" min="7" style="0" width="8"/>
    <col collapsed="false" customWidth="true" hidden="false" outlineLevel="0" max="9" min="9" style="0" width="7"/>
    <col collapsed="false" customWidth="true" hidden="false" outlineLevel="0" max="11" min="10" style="0" width="8"/>
    <col collapsed="false" customWidth="true" hidden="false" outlineLevel="0" max="12" min="12" style="0" width="7"/>
    <col collapsed="false" customWidth="true" hidden="false" outlineLevel="0" max="14" min="13" style="0" width="8"/>
    <col collapsed="false" customWidth="true" hidden="false" outlineLevel="0" max="15" min="15" style="0" width="7"/>
    <col collapsed="false" customWidth="true" hidden="false" outlineLevel="0" max="17" min="16" style="0" width="8"/>
    <col collapsed="false" customWidth="true" hidden="false" outlineLevel="0" max="18" min="18" style="0" width="7"/>
    <col collapsed="false" customWidth="true" hidden="false" outlineLevel="0" max="20" min="19" style="0" width="8"/>
    <col collapsed="false" customWidth="true" hidden="false" outlineLevel="0" max="21" min="21" style="0" width="7"/>
  </cols>
  <sheetData>
    <row r="1" customFormat="false" ht="60" hidden="false" customHeight="true" outlineLevel="0" collapsed="false">
      <c r="A1" s="14" t="s">
        <v>1388</v>
      </c>
      <c r="B1" s="14" t="s">
        <v>1389</v>
      </c>
      <c r="C1" s="14" t="s">
        <v>245</v>
      </c>
      <c r="D1" s="14" t="s">
        <v>1390</v>
      </c>
      <c r="E1" s="14" t="s">
        <v>1391</v>
      </c>
      <c r="F1" s="14" t="s">
        <v>1392</v>
      </c>
      <c r="G1" s="14" t="s">
        <v>1393</v>
      </c>
      <c r="H1" s="14" t="s">
        <v>1394</v>
      </c>
      <c r="I1" s="14" t="s">
        <v>1395</v>
      </c>
      <c r="J1" s="14" t="s">
        <v>1396</v>
      </c>
      <c r="K1" s="14" t="s">
        <v>1397</v>
      </c>
      <c r="L1" s="14" t="s">
        <v>1398</v>
      </c>
      <c r="M1" s="14" t="s">
        <v>1399</v>
      </c>
      <c r="N1" s="14" t="s">
        <v>1400</v>
      </c>
      <c r="O1" s="14" t="s">
        <v>1401</v>
      </c>
      <c r="P1" s="14" t="s">
        <v>1402</v>
      </c>
      <c r="Q1" s="14" t="s">
        <v>1403</v>
      </c>
      <c r="R1" s="14" t="s">
        <v>282</v>
      </c>
      <c r="S1" s="14" t="s">
        <v>1404</v>
      </c>
      <c r="T1" s="14" t="s">
        <v>1405</v>
      </c>
      <c r="U1" s="14" t="s">
        <v>1406</v>
      </c>
    </row>
    <row r="2" customFormat="false" ht="15" hidden="false" customHeight="false" outlineLevel="0" collapsed="false">
      <c r="A2" s="54" t="s">
        <v>1407</v>
      </c>
      <c r="B2" s="54" t="s">
        <v>1408</v>
      </c>
      <c r="C2" s="54" t="s">
        <v>1409</v>
      </c>
      <c r="D2" s="54" t="s">
        <v>72</v>
      </c>
      <c r="E2" s="54" t="s">
        <v>825</v>
      </c>
      <c r="F2" s="54" t="s">
        <v>1410</v>
      </c>
      <c r="G2" s="55" t="n">
        <v>123.9</v>
      </c>
      <c r="H2" s="55" t="n">
        <v>163.2</v>
      </c>
      <c r="I2" s="56" t="n">
        <f aca="false">IF(AND(ISNUMBER(H2),ISNUMBER(G2),N(G2)&gt;=5),H2/G2,"")</f>
        <v>1.31719128329298</v>
      </c>
      <c r="J2" s="55" t="n">
        <v>69.5</v>
      </c>
      <c r="K2" s="55" t="n">
        <v>73.4</v>
      </c>
      <c r="L2" s="56" t="n">
        <f aca="false">IF(AND(ISNUMBER(K2),ISNUMBER(J2),N(J2)&gt;=5),K2/J2,"")</f>
        <v>1.05611510791367</v>
      </c>
      <c r="M2" s="55" t="n">
        <v>33.4</v>
      </c>
      <c r="N2" s="55" t="n">
        <v>41.5</v>
      </c>
      <c r="O2" s="56" t="n">
        <f aca="false">IF(AND(ISNUMBER(N2),ISNUMBER(M2),N(M2)&gt;=5),N2/M2,"")</f>
        <v>1.24251497005988</v>
      </c>
      <c r="P2" s="55" t="n">
        <v>39.6</v>
      </c>
      <c r="Q2" s="55" t="n">
        <v>65.8</v>
      </c>
      <c r="R2" s="56" t="n">
        <f aca="false">IF(AND(ISNUMBER(Q2),ISNUMBER(P2),N(P2)&gt;=5),Q2/P2,"")</f>
        <v>1.66161616161616</v>
      </c>
      <c r="S2" s="55" t="n">
        <v>59.6</v>
      </c>
      <c r="T2" s="55" t="n">
        <v>163.5</v>
      </c>
      <c r="U2" s="57" t="n">
        <f aca="false">IF(AND(ISNUMBER(T2),ISNUMBER(S2),N(S2)&gt;0),T2/S2-1,"")</f>
        <v>1.74328859060403</v>
      </c>
    </row>
    <row r="3" customFormat="false" ht="15" hidden="false" customHeight="false" outlineLevel="0" collapsed="false">
      <c r="A3" s="54" t="s">
        <v>1411</v>
      </c>
      <c r="B3" s="54" t="s">
        <v>1408</v>
      </c>
      <c r="C3" s="54" t="s">
        <v>1409</v>
      </c>
      <c r="D3" s="54" t="s">
        <v>38</v>
      </c>
      <c r="E3" s="54" t="s">
        <v>825</v>
      </c>
      <c r="F3" s="54" t="s">
        <v>1410</v>
      </c>
      <c r="G3" s="55" t="n">
        <v>92</v>
      </c>
      <c r="H3" s="55" t="n">
        <v>127</v>
      </c>
      <c r="I3" s="56" t="n">
        <f aca="false">IF(AND(ISNUMBER(H3),ISNUMBER(G3),N(G3)&gt;=5),H3/G3,"")</f>
        <v>1.3804347826087</v>
      </c>
      <c r="J3" s="55" t="n">
        <v>61</v>
      </c>
      <c r="K3" s="55" t="n">
        <v>80.4</v>
      </c>
      <c r="L3" s="56" t="n">
        <f aca="false">IF(AND(ISNUMBER(K3),ISNUMBER(J3),N(J3)&gt;=5),K3/J3,"")</f>
        <v>1.31803278688525</v>
      </c>
      <c r="M3" s="55" t="n">
        <v>143.7</v>
      </c>
      <c r="N3" s="55" t="n">
        <v>130.5</v>
      </c>
      <c r="O3" s="56" t="n">
        <f aca="false">IF(AND(ISNUMBER(N3),ISNUMBER(M3),N(M3)&gt;=5),N3/M3,"")</f>
        <v>0.908141962421712</v>
      </c>
      <c r="P3" s="55" t="n">
        <v>58.3</v>
      </c>
      <c r="Q3" s="55" t="n">
        <v>10.5</v>
      </c>
      <c r="R3" s="56" t="n">
        <f aca="false">IF(AND(ISNUMBER(Q3),ISNUMBER(P3),N(P3)&gt;=5),Q3/P3,"")</f>
        <v>0.180102915951973</v>
      </c>
      <c r="S3" s="55" t="n">
        <v>106.1</v>
      </c>
      <c r="T3" s="55" t="n">
        <v>164.1</v>
      </c>
      <c r="U3" s="57" t="n">
        <f aca="false">IF(AND(ISNUMBER(T3),ISNUMBER(S3),N(S3)&gt;0),T3/S3-1,"")</f>
        <v>0.546654099905749</v>
      </c>
    </row>
    <row r="4" customFormat="false" ht="15" hidden="false" customHeight="false" outlineLevel="0" collapsed="false">
      <c r="A4" s="54" t="s">
        <v>1412</v>
      </c>
      <c r="B4" s="54" t="s">
        <v>1408</v>
      </c>
      <c r="C4" s="54" t="s">
        <v>1409</v>
      </c>
      <c r="D4" s="54" t="s">
        <v>78</v>
      </c>
      <c r="E4" s="54" t="s">
        <v>315</v>
      </c>
      <c r="F4" s="54" t="s">
        <v>1410</v>
      </c>
      <c r="G4" s="55"/>
      <c r="H4" s="55"/>
      <c r="I4" s="56" t="str">
        <f aca="false">IF(AND(ISNUMBER(H4),ISNUMBER(G4),N(G4)&gt;=5),H4/G4,"")</f>
        <v/>
      </c>
      <c r="J4" s="55"/>
      <c r="K4" s="55"/>
      <c r="L4" s="56" t="str">
        <f aca="false">IF(AND(ISNUMBER(K4),ISNUMBER(J4),N(J4)&gt;=5),K4/J4,"")</f>
        <v/>
      </c>
      <c r="M4" s="55" t="n">
        <v>63.5</v>
      </c>
      <c r="N4" s="55" t="n">
        <v>77.2</v>
      </c>
      <c r="O4" s="56" t="n">
        <f aca="false">IF(AND(ISNUMBER(N4),ISNUMBER(M4),N(M4)&gt;=5),N4/M4,"")</f>
        <v>1.21574803149606</v>
      </c>
      <c r="P4" s="55" t="n">
        <v>1.9</v>
      </c>
      <c r="Q4" s="55" t="n">
        <v>3.8</v>
      </c>
      <c r="R4" s="56" t="str">
        <f aca="false">IF(AND(ISNUMBER(Q4),ISNUMBER(P4),N(P4)&gt;=5),Q4/P4,"")</f>
        <v/>
      </c>
      <c r="S4" s="55" t="n">
        <v>63.6</v>
      </c>
      <c r="T4" s="55" t="n">
        <v>1.5</v>
      </c>
      <c r="U4" s="57" t="n">
        <f aca="false">IF(AND(ISNUMBER(T4),ISNUMBER(S4),N(S4)&gt;0),T4/S4-1,"")</f>
        <v>-0.976415094339623</v>
      </c>
    </row>
    <row r="5" customFormat="false" ht="15" hidden="false" customHeight="false" outlineLevel="0" collapsed="false">
      <c r="A5" s="54" t="s">
        <v>1413</v>
      </c>
      <c r="B5" s="54" t="s">
        <v>1408</v>
      </c>
      <c r="C5" s="54" t="s">
        <v>1409</v>
      </c>
      <c r="D5" s="54" t="s">
        <v>111</v>
      </c>
      <c r="E5" s="54" t="s">
        <v>825</v>
      </c>
      <c r="F5" s="54" t="s">
        <v>1410</v>
      </c>
      <c r="G5" s="55" t="n">
        <v>0</v>
      </c>
      <c r="H5" s="55" t="n">
        <v>0</v>
      </c>
      <c r="I5" s="56" t="str">
        <f aca="false">IF(AND(ISNUMBER(H5),ISNUMBER(G5),N(G5)&gt;=5),H5/G5,"")</f>
        <v/>
      </c>
      <c r="J5" s="55" t="n">
        <v>0</v>
      </c>
      <c r="K5" s="55" t="n">
        <v>0</v>
      </c>
      <c r="L5" s="56" t="str">
        <f aca="false">IF(AND(ISNUMBER(K5),ISNUMBER(J5),N(J5)&gt;=5),K5/J5,"")</f>
        <v/>
      </c>
      <c r="M5" s="55" t="n">
        <v>0</v>
      </c>
      <c r="N5" s="55" t="n">
        <v>0</v>
      </c>
      <c r="O5" s="56" t="str">
        <f aca="false">IF(AND(ISNUMBER(N5),ISNUMBER(M5),N(M5)&gt;=5),N5/M5,"")</f>
        <v/>
      </c>
      <c r="P5" s="55" t="n">
        <v>0</v>
      </c>
      <c r="Q5" s="55" t="n">
        <v>0</v>
      </c>
      <c r="R5" s="56" t="str">
        <f aca="false">IF(AND(ISNUMBER(Q5),ISNUMBER(P5),N(P5)&gt;=5),Q5/P5,"")</f>
        <v/>
      </c>
      <c r="S5" s="55" t="n">
        <v>0.4</v>
      </c>
      <c r="T5" s="55" t="n">
        <v>0.6</v>
      </c>
      <c r="U5" s="57" t="n">
        <f aca="false">IF(AND(ISNUMBER(T5),ISNUMBER(S5),N(S5)&gt;0),T5/S5-1,"")</f>
        <v>0.5</v>
      </c>
    </row>
    <row r="6" customFormat="false" ht="15" hidden="false" customHeight="false" outlineLevel="0" collapsed="false">
      <c r="A6" s="54" t="s">
        <v>1414</v>
      </c>
      <c r="B6" s="54" t="s">
        <v>1408</v>
      </c>
      <c r="C6" s="54" t="s">
        <v>1409</v>
      </c>
      <c r="D6" s="54" t="s">
        <v>49</v>
      </c>
      <c r="E6" s="54" t="s">
        <v>1415</v>
      </c>
      <c r="F6" s="54" t="s">
        <v>1410</v>
      </c>
      <c r="G6" s="55"/>
      <c r="H6" s="55"/>
      <c r="I6" s="56" t="str">
        <f aca="false">IF(AND(ISNUMBER(H6),ISNUMBER(G6),N(G6)&gt;=5),H6/G6,"")</f>
        <v/>
      </c>
      <c r="J6" s="55"/>
      <c r="K6" s="55"/>
      <c r="L6" s="56" t="str">
        <f aca="false">IF(AND(ISNUMBER(K6),ISNUMBER(J6),N(J6)&gt;=5),K6/J6,"")</f>
        <v/>
      </c>
      <c r="M6" s="55" t="n">
        <v>80.3</v>
      </c>
      <c r="N6" s="55" t="n">
        <v>115.8</v>
      </c>
      <c r="O6" s="56" t="n">
        <f aca="false">IF(AND(ISNUMBER(N6),ISNUMBER(M6),N(M6)&gt;=5),N6/M6,"")</f>
        <v>1.44209215442092</v>
      </c>
      <c r="P6" s="55" t="n">
        <v>0.7</v>
      </c>
      <c r="Q6" s="55" t="n">
        <v>100</v>
      </c>
      <c r="R6" s="56" t="str">
        <f aca="false">IF(AND(ISNUMBER(Q6),ISNUMBER(P6),N(P6)&gt;=5),Q6/P6,"")</f>
        <v/>
      </c>
      <c r="S6" s="55" t="n">
        <v>52.7</v>
      </c>
      <c r="T6" s="55" t="n">
        <v>120</v>
      </c>
      <c r="U6" s="57" t="n">
        <f aca="false">IF(AND(ISNUMBER(T6),ISNUMBER(S6),N(S6)&gt;0),T6/S6-1,"")</f>
        <v>1.27703984819734</v>
      </c>
    </row>
    <row r="7" customFormat="false" ht="15" hidden="false" customHeight="false" outlineLevel="0" collapsed="false">
      <c r="A7" s="54" t="s">
        <v>1416</v>
      </c>
      <c r="B7" s="54" t="s">
        <v>1408</v>
      </c>
      <c r="C7" s="54" t="s">
        <v>1409</v>
      </c>
      <c r="D7" s="54" t="s">
        <v>99</v>
      </c>
      <c r="E7" s="54" t="s">
        <v>825</v>
      </c>
      <c r="F7" s="54" t="s">
        <v>1410</v>
      </c>
      <c r="G7" s="55" t="n">
        <v>68.9</v>
      </c>
      <c r="H7" s="55" t="n">
        <v>95.4</v>
      </c>
      <c r="I7" s="56" t="n">
        <f aca="false">IF(AND(ISNUMBER(H7),ISNUMBER(G7),N(G7)&gt;=5),H7/G7,"")</f>
        <v>1.38461538461538</v>
      </c>
      <c r="J7" s="55" t="n">
        <v>67</v>
      </c>
      <c r="K7" s="55" t="n">
        <v>47.1</v>
      </c>
      <c r="L7" s="56" t="n">
        <f aca="false">IF(AND(ISNUMBER(K7),ISNUMBER(J7),N(J7)&gt;=5),K7/J7,"")</f>
        <v>0.702985074626866</v>
      </c>
      <c r="M7" s="55" t="n">
        <v>89</v>
      </c>
      <c r="N7" s="55" t="n">
        <v>115.5</v>
      </c>
      <c r="O7" s="56" t="n">
        <f aca="false">IF(AND(ISNUMBER(N7),ISNUMBER(M7),N(M7)&gt;=5),N7/M7,"")</f>
        <v>1.29775280898876</v>
      </c>
      <c r="P7" s="55" t="n">
        <v>27.6</v>
      </c>
      <c r="Q7" s="55" t="n">
        <v>27.8</v>
      </c>
      <c r="R7" s="56" t="n">
        <f aca="false">IF(AND(ISNUMBER(Q7),ISNUMBER(P7),N(P7)&gt;=5),Q7/P7,"")</f>
        <v>1.00724637681159</v>
      </c>
      <c r="S7" s="55" t="n">
        <v>74.3</v>
      </c>
      <c r="T7" s="55" t="n">
        <v>137.5</v>
      </c>
      <c r="U7" s="57" t="n">
        <f aca="false">IF(AND(ISNUMBER(T7),ISNUMBER(S7),N(S7)&gt;0),T7/S7-1,"")</f>
        <v>0.850605652759085</v>
      </c>
    </row>
    <row r="8" customFormat="false" ht="15" hidden="false" customHeight="false" outlineLevel="0" collapsed="false">
      <c r="A8" s="54" t="s">
        <v>1417</v>
      </c>
      <c r="B8" s="54" t="s">
        <v>1408</v>
      </c>
      <c r="C8" s="54" t="s">
        <v>1409</v>
      </c>
      <c r="D8" s="54" t="s">
        <v>92</v>
      </c>
      <c r="E8" s="54" t="s">
        <v>825</v>
      </c>
      <c r="F8" s="54" t="s">
        <v>1410</v>
      </c>
      <c r="G8" s="55" t="n">
        <v>98.1</v>
      </c>
      <c r="H8" s="55" t="n">
        <v>70.8</v>
      </c>
      <c r="I8" s="56" t="n">
        <f aca="false">IF(AND(ISNUMBER(H8),ISNUMBER(G8),N(G8)&gt;=5),H8/G8,"")</f>
        <v>0.7217125382263</v>
      </c>
      <c r="J8" s="55" t="n">
        <v>1.6</v>
      </c>
      <c r="K8" s="55" t="n">
        <v>2.4</v>
      </c>
      <c r="L8" s="56" t="str">
        <f aca="false">IF(AND(ISNUMBER(K8),ISNUMBER(J8),N(J8)&gt;=5),K8/J8,"")</f>
        <v/>
      </c>
      <c r="M8" s="55" t="n">
        <v>78</v>
      </c>
      <c r="N8" s="55" t="n">
        <v>84</v>
      </c>
      <c r="O8" s="56" t="n">
        <f aca="false">IF(AND(ISNUMBER(N8),ISNUMBER(M8),N(M8)&gt;=5),N8/M8,"")</f>
        <v>1.07692307692308</v>
      </c>
      <c r="P8" s="55" t="n">
        <v>2</v>
      </c>
      <c r="Q8" s="55" t="n">
        <v>4.8</v>
      </c>
      <c r="R8" s="56" t="str">
        <f aca="false">IF(AND(ISNUMBER(Q8),ISNUMBER(P8),N(P8)&gt;=5),Q8/P8,"")</f>
        <v/>
      </c>
      <c r="S8" s="55" t="n">
        <v>68.9</v>
      </c>
      <c r="T8" s="55" t="n">
        <v>51.7</v>
      </c>
      <c r="U8" s="57" t="n">
        <f aca="false">IF(AND(ISNUMBER(T8),ISNUMBER(S8),N(S8)&gt;0),T8/S8-1,"")</f>
        <v>-0.249637155297533</v>
      </c>
    </row>
    <row r="9" customFormat="false" ht="15" hidden="false" customHeight="false" outlineLevel="0" collapsed="false">
      <c r="A9" s="54" t="s">
        <v>1418</v>
      </c>
      <c r="B9" s="54" t="s">
        <v>1408</v>
      </c>
      <c r="C9" s="54" t="s">
        <v>1419</v>
      </c>
      <c r="D9" s="54" t="s">
        <v>83</v>
      </c>
      <c r="E9" s="54" t="s">
        <v>1415</v>
      </c>
      <c r="F9" s="54" t="s">
        <v>1410</v>
      </c>
      <c r="G9" s="55"/>
      <c r="H9" s="55"/>
      <c r="I9" s="56" t="str">
        <f aca="false">IF(AND(ISNUMBER(H9),ISNUMBER(G9),N(G9)&gt;=5),H9/G9,"")</f>
        <v/>
      </c>
      <c r="J9" s="55"/>
      <c r="K9" s="55"/>
      <c r="L9" s="56" t="str">
        <f aca="false">IF(AND(ISNUMBER(K9),ISNUMBER(J9),N(J9)&gt;=5),K9/J9,"")</f>
        <v/>
      </c>
      <c r="M9" s="55" t="n">
        <v>12.5</v>
      </c>
      <c r="N9" s="55" t="n">
        <v>11.8</v>
      </c>
      <c r="O9" s="56" t="n">
        <f aca="false">IF(AND(ISNUMBER(N9),ISNUMBER(M9),N(M9)&gt;=5),N9/M9,"")</f>
        <v>0.944</v>
      </c>
      <c r="P9" s="55" t="n">
        <v>0</v>
      </c>
      <c r="Q9" s="55" t="n">
        <v>0</v>
      </c>
      <c r="R9" s="56" t="str">
        <f aca="false">IF(AND(ISNUMBER(Q9),ISNUMBER(P9),N(P9)&gt;=5),Q9/P9,"")</f>
        <v/>
      </c>
      <c r="S9" s="55" t="n">
        <v>5.9</v>
      </c>
      <c r="T9" s="55" t="n">
        <v>22.4</v>
      </c>
      <c r="U9" s="57" t="n">
        <f aca="false">IF(AND(ISNUMBER(T9),ISNUMBER(S9),N(S9)&gt;0),T9/S9-1,"")</f>
        <v>2.79661016949153</v>
      </c>
    </row>
    <row r="10" customFormat="false" ht="15" hidden="false" customHeight="false" outlineLevel="0" collapsed="false">
      <c r="A10" s="54" t="s">
        <v>1420</v>
      </c>
      <c r="B10" s="54" t="s">
        <v>1408</v>
      </c>
      <c r="C10" s="54" t="s">
        <v>1419</v>
      </c>
      <c r="D10" s="54" t="s">
        <v>55</v>
      </c>
      <c r="E10" s="54" t="s">
        <v>825</v>
      </c>
      <c r="F10" s="54" t="s">
        <v>1410</v>
      </c>
      <c r="G10" s="55" t="n">
        <v>0.5</v>
      </c>
      <c r="H10" s="55" t="n">
        <v>1</v>
      </c>
      <c r="I10" s="56" t="str">
        <f aca="false">IF(AND(ISNUMBER(H10),ISNUMBER(G10),N(G10)&gt;=5),H10/G10,"")</f>
        <v/>
      </c>
      <c r="J10" s="55" t="n">
        <v>0</v>
      </c>
      <c r="K10" s="55" t="n">
        <v>0</v>
      </c>
      <c r="L10" s="56" t="str">
        <f aca="false">IF(AND(ISNUMBER(K10),ISNUMBER(J10),N(J10)&gt;=5),K10/J10,"")</f>
        <v/>
      </c>
      <c r="M10" s="55" t="n">
        <v>31.2</v>
      </c>
      <c r="N10" s="55" t="n">
        <v>6.2</v>
      </c>
      <c r="O10" s="56" t="n">
        <f aca="false">IF(AND(ISNUMBER(N10),ISNUMBER(M10),N(M10)&gt;=5),N10/M10,"")</f>
        <v>0.198717948717949</v>
      </c>
      <c r="P10" s="55" t="n">
        <v>0.1</v>
      </c>
      <c r="Q10" s="55" t="n">
        <v>18.8</v>
      </c>
      <c r="R10" s="56" t="str">
        <f aca="false">IF(AND(ISNUMBER(Q10),ISNUMBER(P10),N(P10)&gt;=5),Q10/P10,"")</f>
        <v/>
      </c>
      <c r="S10" s="55" t="n">
        <v>32.8</v>
      </c>
      <c r="T10" s="55" t="n">
        <v>45.3</v>
      </c>
      <c r="U10" s="57" t="n">
        <f aca="false">IF(AND(ISNUMBER(T10),ISNUMBER(S10),N(S10)&gt;0),T10/S10-1,"")</f>
        <v>0.38109756097561</v>
      </c>
    </row>
    <row r="11" customFormat="false" ht="15" hidden="false" customHeight="false" outlineLevel="0" collapsed="false">
      <c r="A11" s="54" t="s">
        <v>1421</v>
      </c>
      <c r="B11" s="54" t="s">
        <v>1408</v>
      </c>
      <c r="C11" s="54" t="s">
        <v>1419</v>
      </c>
      <c r="D11" s="54" t="s">
        <v>140</v>
      </c>
      <c r="E11" s="54" t="s">
        <v>1415</v>
      </c>
      <c r="F11" s="54" t="s">
        <v>1410</v>
      </c>
      <c r="G11" s="55"/>
      <c r="H11" s="55"/>
      <c r="I11" s="56" t="str">
        <f aca="false">IF(AND(ISNUMBER(H11),ISNUMBER(G11),N(G11)&gt;=5),H11/G11,"")</f>
        <v/>
      </c>
      <c r="J11" s="55"/>
      <c r="K11" s="55"/>
      <c r="L11" s="56" t="str">
        <f aca="false">IF(AND(ISNUMBER(K11),ISNUMBER(J11),N(J11)&gt;=5),K11/J11,"")</f>
        <v/>
      </c>
      <c r="M11" s="55" t="n">
        <v>0</v>
      </c>
      <c r="N11" s="55" t="n">
        <v>0</v>
      </c>
      <c r="O11" s="56" t="str">
        <f aca="false">IF(AND(ISNUMBER(N11),ISNUMBER(M11),N(M11)&gt;=5),N11/M11,"")</f>
        <v/>
      </c>
      <c r="P11" s="55" t="n">
        <v>0</v>
      </c>
      <c r="Q11" s="55" t="n">
        <v>0</v>
      </c>
      <c r="R11" s="56" t="str">
        <f aca="false">IF(AND(ISNUMBER(Q11),ISNUMBER(P11),N(P11)&gt;=5),Q11/P11,"")</f>
        <v/>
      </c>
      <c r="S11" s="55" t="n">
        <v>13.5</v>
      </c>
      <c r="T11" s="55" t="n">
        <v>30.2</v>
      </c>
      <c r="U11" s="57" t="n">
        <f aca="false">IF(AND(ISNUMBER(T11),ISNUMBER(S11),N(S11)&gt;0),T11/S11-1,"")</f>
        <v>1.23703703703704</v>
      </c>
    </row>
    <row r="12" customFormat="false" ht="15" hidden="false" customHeight="false" outlineLevel="0" collapsed="false">
      <c r="A12" s="54" t="s">
        <v>1422</v>
      </c>
      <c r="B12" s="54" t="s">
        <v>1408</v>
      </c>
      <c r="C12" s="54" t="s">
        <v>1419</v>
      </c>
      <c r="D12" s="54" t="s">
        <v>134</v>
      </c>
      <c r="E12" s="54" t="s">
        <v>825</v>
      </c>
      <c r="F12" s="54" t="s">
        <v>1410</v>
      </c>
      <c r="G12" s="55" t="n">
        <v>15.4</v>
      </c>
      <c r="H12" s="55" t="n">
        <v>30.2</v>
      </c>
      <c r="I12" s="56" t="n">
        <f aca="false">IF(AND(ISNUMBER(H12),ISNUMBER(G12),N(G12)&gt;=5),H12/G12,"")</f>
        <v>1.96103896103896</v>
      </c>
      <c r="J12" s="55" t="n">
        <v>1.7</v>
      </c>
      <c r="K12" s="55" t="n">
        <v>0.6</v>
      </c>
      <c r="L12" s="56" t="str">
        <f aca="false">IF(AND(ISNUMBER(K12),ISNUMBER(J12),N(J12)&gt;=5),K12/J12,"")</f>
        <v/>
      </c>
      <c r="M12" s="55" t="n">
        <v>6.7</v>
      </c>
      <c r="N12" s="55" t="n">
        <v>21.8</v>
      </c>
      <c r="O12" s="56" t="n">
        <f aca="false">IF(AND(ISNUMBER(N12),ISNUMBER(M12),N(M12)&gt;=5),N12/M12,"")</f>
        <v>3.25373134328358</v>
      </c>
      <c r="P12" s="55" t="n">
        <v>0.6</v>
      </c>
      <c r="Q12" s="55" t="n">
        <v>12.8</v>
      </c>
      <c r="R12" s="56" t="str">
        <f aca="false">IF(AND(ISNUMBER(Q12),ISNUMBER(P12),N(P12)&gt;=5),Q12/P12,"")</f>
        <v/>
      </c>
      <c r="S12" s="55" t="n">
        <v>2.8</v>
      </c>
      <c r="T12" s="55" t="n">
        <v>37.8</v>
      </c>
      <c r="U12" s="57" t="n">
        <f aca="false">IF(AND(ISNUMBER(T12),ISNUMBER(S12),N(S12)&gt;0),T12/S12-1,"")</f>
        <v>12.5</v>
      </c>
    </row>
    <row r="13" customFormat="false" ht="15" hidden="false" customHeight="false" outlineLevel="0" collapsed="false">
      <c r="A13" s="54" t="s">
        <v>1423</v>
      </c>
      <c r="B13" s="54" t="s">
        <v>1408</v>
      </c>
      <c r="C13" s="54" t="s">
        <v>1424</v>
      </c>
      <c r="D13" s="54" t="s">
        <v>127</v>
      </c>
      <c r="E13" s="54" t="s">
        <v>1425</v>
      </c>
      <c r="F13" s="54" t="s">
        <v>1426</v>
      </c>
      <c r="G13" s="55"/>
      <c r="H13" s="55"/>
      <c r="I13" s="56" t="str">
        <f aca="false">IF(AND(ISNUMBER(H13),ISNUMBER(G13),N(G13)&gt;=5),H13/G13,"")</f>
        <v/>
      </c>
      <c r="J13" s="55"/>
      <c r="K13" s="55"/>
      <c r="L13" s="56" t="str">
        <f aca="false">IF(AND(ISNUMBER(K13),ISNUMBER(J13),N(J13)&gt;=5),K13/J13,"")</f>
        <v/>
      </c>
      <c r="M13" s="55" t="n">
        <v>0</v>
      </c>
      <c r="N13" s="55" t="n">
        <v>0</v>
      </c>
      <c r="O13" s="56" t="str">
        <f aca="false">IF(AND(ISNUMBER(N13),ISNUMBER(M13),N(M13)&gt;=5),N13/M13,"")</f>
        <v/>
      </c>
      <c r="P13" s="55" t="n">
        <v>0</v>
      </c>
      <c r="Q13" s="55" t="n">
        <v>0</v>
      </c>
      <c r="R13" s="56" t="str">
        <f aca="false">IF(AND(ISNUMBER(Q13),ISNUMBER(P13),N(P13)&gt;=5),Q13/P13,"")</f>
        <v/>
      </c>
      <c r="S13" s="55" t="n">
        <v>0</v>
      </c>
      <c r="T13" s="55" t="n">
        <v>0.1</v>
      </c>
      <c r="U13" s="57" t="str">
        <f aca="false">IF(AND(ISNUMBER(T13),ISNUMBER(S13),N(S13)&gt;0),T13/S13-1,"")</f>
        <v/>
      </c>
    </row>
    <row r="14" customFormat="false" ht="15" hidden="false" customHeight="false" outlineLevel="0" collapsed="false">
      <c r="A14" s="15" t="s">
        <v>691</v>
      </c>
      <c r="B14" s="15" t="s">
        <v>1427</v>
      </c>
      <c r="C14" s="15" t="s">
        <v>689</v>
      </c>
      <c r="D14" s="15" t="s">
        <v>99</v>
      </c>
      <c r="E14" s="15" t="s">
        <v>315</v>
      </c>
      <c r="F14" s="15" t="s">
        <v>1428</v>
      </c>
      <c r="G14" s="15"/>
      <c r="H14" s="15"/>
      <c r="I14" s="25" t="str">
        <f aca="false">IF(AND(ISNUMBER(H14),ISNUMBER(G14),N(G14)&gt;=5),H14/G14,"")</f>
        <v/>
      </c>
      <c r="J14" s="15"/>
      <c r="K14" s="15"/>
      <c r="L14" s="25" t="str">
        <f aca="false">IF(AND(ISNUMBER(K14),ISNUMBER(J14),N(J14)&gt;=5),K14/J14,"")</f>
        <v/>
      </c>
      <c r="M14" s="15" t="n">
        <v>104.8</v>
      </c>
      <c r="N14" s="15" t="n">
        <v>128.5</v>
      </c>
      <c r="O14" s="25" t="n">
        <f aca="false">IF(AND(ISNUMBER(N14),ISNUMBER(M14),N(M14)&gt;=5),N14/M14,"")</f>
        <v>1.22614503816794</v>
      </c>
      <c r="P14" s="15" t="n">
        <v>10.8</v>
      </c>
      <c r="Q14" s="15" t="n">
        <v>19.8</v>
      </c>
      <c r="R14" s="25" t="n">
        <f aca="false">IF(AND(ISNUMBER(Q14),ISNUMBER(P14),N(P14)&gt;=5),Q14/P14,"")</f>
        <v>1.83333333333333</v>
      </c>
      <c r="S14" s="15" t="n">
        <v>103</v>
      </c>
      <c r="T14" s="15" t="n">
        <v>146</v>
      </c>
      <c r="U14" s="22" t="n">
        <f aca="false">IF(AND(ISNUMBER(T14),ISNUMBER(S14),N(S14)&gt;0),T14/S14-1,"")</f>
        <v>0.41747572815534</v>
      </c>
    </row>
    <row r="15" customFormat="false" ht="15" hidden="false" customHeight="false" outlineLevel="0" collapsed="false">
      <c r="A15" s="15" t="s">
        <v>688</v>
      </c>
      <c r="B15" s="15" t="s">
        <v>1427</v>
      </c>
      <c r="C15" s="15" t="s">
        <v>686</v>
      </c>
      <c r="D15" s="15" t="s">
        <v>99</v>
      </c>
      <c r="E15" s="15" t="s">
        <v>315</v>
      </c>
      <c r="F15" s="15" t="s">
        <v>1428</v>
      </c>
      <c r="G15" s="15"/>
      <c r="H15" s="15"/>
      <c r="I15" s="25" t="str">
        <f aca="false">IF(AND(ISNUMBER(H15),ISNUMBER(G15),N(G15)&gt;=5),H15/G15,"")</f>
        <v/>
      </c>
      <c r="J15" s="15"/>
      <c r="K15" s="15"/>
      <c r="L15" s="25" t="str">
        <f aca="false">IF(AND(ISNUMBER(K15),ISNUMBER(J15),N(J15)&gt;=5),K15/J15,"")</f>
        <v/>
      </c>
      <c r="M15" s="15" t="n">
        <v>258.6</v>
      </c>
      <c r="N15" s="15" t="n">
        <v>94.2</v>
      </c>
      <c r="O15" s="25" t="n">
        <f aca="false">IF(AND(ISNUMBER(N15),ISNUMBER(M15),N(M15)&gt;=5),N15/M15,"")</f>
        <v>0.364269141531323</v>
      </c>
      <c r="P15" s="15" t="n">
        <v>113.3</v>
      </c>
      <c r="Q15" s="15" t="n">
        <v>79.8</v>
      </c>
      <c r="R15" s="25" t="n">
        <f aca="false">IF(AND(ISNUMBER(Q15),ISNUMBER(P15),N(P15)&gt;=5),Q15/P15,"")</f>
        <v>0.70432480141218</v>
      </c>
      <c r="S15" s="15" t="n">
        <v>174.3</v>
      </c>
      <c r="T15" s="15" t="n">
        <v>249</v>
      </c>
      <c r="U15" s="22" t="n">
        <f aca="false">IF(AND(ISNUMBER(T15),ISNUMBER(S15),N(S15)&gt;0),T15/S15-1,"")</f>
        <v>0.428571428571428</v>
      </c>
    </row>
    <row r="16" customFormat="false" ht="15" hidden="false" customHeight="false" outlineLevel="0" collapsed="false">
      <c r="A16" s="15" t="s">
        <v>797</v>
      </c>
      <c r="B16" s="15" t="s">
        <v>1427</v>
      </c>
      <c r="C16" s="15" t="s">
        <v>795</v>
      </c>
      <c r="D16" s="15" t="s">
        <v>1429</v>
      </c>
      <c r="E16" s="15" t="s">
        <v>326</v>
      </c>
      <c r="F16" s="15" t="s">
        <v>1430</v>
      </c>
      <c r="G16" s="15"/>
      <c r="H16" s="15"/>
      <c r="I16" s="25" t="str">
        <f aca="false">IF(AND(ISNUMBER(H16),ISNUMBER(G16),N(G16)&gt;=5),H16/G16,"")</f>
        <v/>
      </c>
      <c r="J16" s="15"/>
      <c r="K16" s="15"/>
      <c r="L16" s="25" t="str">
        <f aca="false">IF(AND(ISNUMBER(K16),ISNUMBER(J16),N(J16)&gt;=5),K16/J16,"")</f>
        <v/>
      </c>
      <c r="M16" s="15" t="n">
        <v>362.6</v>
      </c>
      <c r="N16" s="15" t="n">
        <v>266</v>
      </c>
      <c r="O16" s="25" t="n">
        <f aca="false">IF(AND(ISNUMBER(N16),ISNUMBER(M16),N(M16)&gt;=5),N16/M16,"")</f>
        <v>0.733590733590734</v>
      </c>
      <c r="P16" s="15" t="n">
        <v>29.1</v>
      </c>
      <c r="Q16" s="15" t="n">
        <v>42.2</v>
      </c>
      <c r="R16" s="25" t="n">
        <f aca="false">IF(AND(ISNUMBER(Q16),ISNUMBER(P16),N(P16)&gt;=5),Q16/P16,"")</f>
        <v>1.45017182130584</v>
      </c>
      <c r="S16" s="15" t="n">
        <v>359.2</v>
      </c>
      <c r="T16" s="15" t="n">
        <v>220.8</v>
      </c>
      <c r="U16" s="22" t="n">
        <f aca="false">IF(AND(ISNUMBER(T16),ISNUMBER(S16),N(S16)&gt;0),T16/S16-1,"")</f>
        <v>-0.385300668151448</v>
      </c>
    </row>
    <row r="17" customFormat="false" ht="15" hidden="false" customHeight="false" outlineLevel="0" collapsed="false">
      <c r="A17" s="15" t="s">
        <v>680</v>
      </c>
      <c r="B17" s="15" t="s">
        <v>1427</v>
      </c>
      <c r="C17" s="15" t="s">
        <v>678</v>
      </c>
      <c r="D17" s="15" t="s">
        <v>99</v>
      </c>
      <c r="E17" s="15" t="s">
        <v>315</v>
      </c>
      <c r="F17" s="15" t="s">
        <v>1428</v>
      </c>
      <c r="G17" s="15"/>
      <c r="H17" s="15"/>
      <c r="I17" s="25" t="str">
        <f aca="false">IF(AND(ISNUMBER(H17),ISNUMBER(G17),N(G17)&gt;=5),H17/G17,"")</f>
        <v/>
      </c>
      <c r="J17" s="15"/>
      <c r="K17" s="15"/>
      <c r="L17" s="25" t="str">
        <f aca="false">IF(AND(ISNUMBER(K17),ISNUMBER(J17),N(J17)&gt;=5),K17/J17,"")</f>
        <v/>
      </c>
      <c r="M17" s="15" t="n">
        <v>772.5</v>
      </c>
      <c r="N17" s="15" t="n">
        <v>763.5</v>
      </c>
      <c r="O17" s="25" t="n">
        <f aca="false">IF(AND(ISNUMBER(N17),ISNUMBER(M17),N(M17)&gt;=5),N17/M17,"")</f>
        <v>0.988349514563107</v>
      </c>
      <c r="P17" s="15" t="n">
        <v>397.3</v>
      </c>
      <c r="Q17" s="15" t="n">
        <v>316</v>
      </c>
      <c r="R17" s="25" t="n">
        <f aca="false">IF(AND(ISNUMBER(Q17),ISNUMBER(P17),N(P17)&gt;=5),Q17/P17,"")</f>
        <v>0.79536873898817</v>
      </c>
      <c r="S17" s="15" t="n">
        <v>742.3</v>
      </c>
      <c r="T17" s="15" t="n">
        <v>727.2</v>
      </c>
      <c r="U17" s="22" t="n">
        <f aca="false">IF(AND(ISNUMBER(T17),ISNUMBER(S17),N(S17)&gt;0),T17/S17-1,"")</f>
        <v>-0.0203421797117067</v>
      </c>
    </row>
    <row r="18" customFormat="false" ht="15" hidden="false" customHeight="false" outlineLevel="0" collapsed="false">
      <c r="A18" s="15" t="s">
        <v>324</v>
      </c>
      <c r="B18" s="15" t="s">
        <v>1427</v>
      </c>
      <c r="C18" s="15" t="s">
        <v>322</v>
      </c>
      <c r="D18" s="15" t="s">
        <v>1431</v>
      </c>
      <c r="E18" s="15" t="s">
        <v>326</v>
      </c>
      <c r="F18" s="15" t="s">
        <v>1428</v>
      </c>
      <c r="G18" s="15"/>
      <c r="H18" s="15"/>
      <c r="I18" s="25" t="str">
        <f aca="false">IF(AND(ISNUMBER(H18),ISNUMBER(G18),N(G18)&gt;=5),H18/G18,"")</f>
        <v/>
      </c>
      <c r="J18" s="15"/>
      <c r="K18" s="15"/>
      <c r="L18" s="25" t="str">
        <f aca="false">IF(AND(ISNUMBER(K18),ISNUMBER(J18),N(J18)&gt;=5),K18/J18,"")</f>
        <v/>
      </c>
      <c r="M18" s="15" t="n">
        <v>263.5</v>
      </c>
      <c r="N18" s="15" t="n">
        <v>474.2</v>
      </c>
      <c r="O18" s="25" t="n">
        <f aca="false">IF(AND(ISNUMBER(N18),ISNUMBER(M18),N(M18)&gt;=5),N18/M18,"")</f>
        <v>1.79962049335863</v>
      </c>
      <c r="P18" s="15" t="n">
        <v>24.4</v>
      </c>
      <c r="Q18" s="15" t="n">
        <v>31</v>
      </c>
      <c r="R18" s="25" t="n">
        <f aca="false">IF(AND(ISNUMBER(Q18),ISNUMBER(P18),N(P18)&gt;=5),Q18/P18,"")</f>
        <v>1.27049180327869</v>
      </c>
      <c r="S18" s="15" t="n">
        <v>372.7</v>
      </c>
      <c r="T18" s="15" t="n">
        <v>374.5</v>
      </c>
      <c r="U18" s="22" t="n">
        <f aca="false">IF(AND(ISNUMBER(T18),ISNUMBER(S18),N(S18)&gt;0),T18/S18-1,"")</f>
        <v>0.00482962167963508</v>
      </c>
    </row>
    <row r="19" customFormat="false" ht="15" hidden="false" customHeight="false" outlineLevel="0" collapsed="false">
      <c r="A19" s="15" t="s">
        <v>787</v>
      </c>
      <c r="B19" s="15" t="s">
        <v>1427</v>
      </c>
      <c r="C19" s="15" t="s">
        <v>785</v>
      </c>
      <c r="D19" s="15" t="s">
        <v>1429</v>
      </c>
      <c r="E19" s="15" t="s">
        <v>326</v>
      </c>
      <c r="F19" s="15" t="s">
        <v>1430</v>
      </c>
      <c r="G19" s="15"/>
      <c r="H19" s="15"/>
      <c r="I19" s="25" t="str">
        <f aca="false">IF(AND(ISNUMBER(H19),ISNUMBER(G19),N(G19)&gt;=5),H19/G19,"")</f>
        <v/>
      </c>
      <c r="J19" s="15"/>
      <c r="K19" s="15"/>
      <c r="L19" s="25" t="str">
        <f aca="false">IF(AND(ISNUMBER(K19),ISNUMBER(J19),N(J19)&gt;=5),K19/J19,"")</f>
        <v/>
      </c>
      <c r="M19" s="15" t="n">
        <v>222.8</v>
      </c>
      <c r="N19" s="15" t="n">
        <v>348.2</v>
      </c>
      <c r="O19" s="25" t="n">
        <f aca="false">IF(AND(ISNUMBER(N19),ISNUMBER(M19),N(M19)&gt;=5),N19/M19,"")</f>
        <v>1.56283662477558</v>
      </c>
      <c r="P19" s="15" t="n">
        <v>9.4</v>
      </c>
      <c r="Q19" s="15" t="n">
        <v>8.2</v>
      </c>
      <c r="R19" s="25" t="n">
        <f aca="false">IF(AND(ISNUMBER(Q19),ISNUMBER(P19),N(P19)&gt;=5),Q19/P19,"")</f>
        <v>0.872340425531915</v>
      </c>
      <c r="S19" s="15" t="n">
        <v>355.9</v>
      </c>
      <c r="T19" s="15" t="n">
        <v>491.4</v>
      </c>
      <c r="U19" s="22" t="n">
        <f aca="false">IF(AND(ISNUMBER(T19),ISNUMBER(S19),N(S19)&gt;0),T19/S19-1,"")</f>
        <v>0.380724922731104</v>
      </c>
    </row>
    <row r="20" customFormat="false" ht="15" hidden="false" customHeight="false" outlineLevel="0" collapsed="false">
      <c r="A20" s="15" t="s">
        <v>821</v>
      </c>
      <c r="B20" s="15" t="s">
        <v>1427</v>
      </c>
      <c r="C20" s="15" t="s">
        <v>819</v>
      </c>
      <c r="D20" s="15" t="s">
        <v>1429</v>
      </c>
      <c r="E20" s="15" t="s">
        <v>326</v>
      </c>
      <c r="F20" s="15" t="s">
        <v>1430</v>
      </c>
      <c r="G20" s="15"/>
      <c r="H20" s="15"/>
      <c r="I20" s="25" t="str">
        <f aca="false">IF(AND(ISNUMBER(H20),ISNUMBER(G20),N(G20)&gt;=5),H20/G20,"")</f>
        <v/>
      </c>
      <c r="J20" s="15"/>
      <c r="K20" s="15"/>
      <c r="L20" s="25" t="str">
        <f aca="false">IF(AND(ISNUMBER(K20),ISNUMBER(J20),N(J20)&gt;=5),K20/J20,"")</f>
        <v/>
      </c>
      <c r="M20" s="15" t="n">
        <v>75.4</v>
      </c>
      <c r="N20" s="15" t="n">
        <v>79.2</v>
      </c>
      <c r="O20" s="25" t="n">
        <f aca="false">IF(AND(ISNUMBER(N20),ISNUMBER(M20),N(M20)&gt;=5),N20/M20,"")</f>
        <v>1.05039787798408</v>
      </c>
      <c r="P20" s="15" t="n">
        <v>154.9</v>
      </c>
      <c r="Q20" s="15" t="n">
        <v>158.2</v>
      </c>
      <c r="R20" s="25" t="n">
        <f aca="false">IF(AND(ISNUMBER(Q20),ISNUMBER(P20),N(P20)&gt;=5),Q20/P20,"")</f>
        <v>1.02130406714009</v>
      </c>
      <c r="S20" s="15" t="n">
        <v>80.1</v>
      </c>
      <c r="T20" s="15" t="n">
        <v>87.1</v>
      </c>
      <c r="U20" s="22" t="n">
        <f aca="false">IF(AND(ISNUMBER(T20),ISNUMBER(S20),N(S20)&gt;0),T20/S20-1,"")</f>
        <v>0.0873907615480649</v>
      </c>
    </row>
    <row r="21" customFormat="false" ht="15" hidden="false" customHeight="false" outlineLevel="0" collapsed="false">
      <c r="A21" s="15" t="s">
        <v>1101</v>
      </c>
      <c r="B21" s="15" t="s">
        <v>1427</v>
      </c>
      <c r="C21" s="15" t="s">
        <v>1099</v>
      </c>
      <c r="D21" s="15" t="s">
        <v>148</v>
      </c>
      <c r="E21" s="15" t="s">
        <v>326</v>
      </c>
      <c r="F21" s="15" t="s">
        <v>1430</v>
      </c>
      <c r="G21" s="15"/>
      <c r="H21" s="15"/>
      <c r="I21" s="25" t="str">
        <f aca="false">IF(AND(ISNUMBER(H21),ISNUMBER(G21),N(G21)&gt;=5),H21/G21,"")</f>
        <v/>
      </c>
      <c r="J21" s="15"/>
      <c r="K21" s="15"/>
      <c r="L21" s="25" t="str">
        <f aca="false">IF(AND(ISNUMBER(K21),ISNUMBER(J21),N(J21)&gt;=5),K21/J21,"")</f>
        <v/>
      </c>
      <c r="M21" s="15" t="n">
        <v>2466.4</v>
      </c>
      <c r="N21" s="15" t="n">
        <v>2386.5</v>
      </c>
      <c r="O21" s="25" t="n">
        <f aca="false">IF(AND(ISNUMBER(N21),ISNUMBER(M21),N(M21)&gt;=5),N21/M21,"")</f>
        <v>0.967604605903341</v>
      </c>
      <c r="P21" s="15" t="n">
        <v>152.1</v>
      </c>
      <c r="Q21" s="15" t="n">
        <v>41.8</v>
      </c>
      <c r="R21" s="25" t="n">
        <f aca="false">IF(AND(ISNUMBER(Q21),ISNUMBER(P21),N(P21)&gt;=5),Q21/P21,"")</f>
        <v>0.274819197896121</v>
      </c>
      <c r="S21" s="15" t="n">
        <v>1719</v>
      </c>
      <c r="T21" s="15" t="n">
        <v>2030</v>
      </c>
      <c r="U21" s="22" t="n">
        <f aca="false">IF(AND(ISNUMBER(T21),ISNUMBER(S21),N(S21)&gt;0),T21/S21-1,"")</f>
        <v>0.180919139034322</v>
      </c>
    </row>
    <row r="22" customFormat="false" ht="15" hidden="false" customHeight="false" outlineLevel="0" collapsed="false">
      <c r="A22" s="15" t="s">
        <v>318</v>
      </c>
      <c r="B22" s="15" t="s">
        <v>1427</v>
      </c>
      <c r="C22" s="15" t="s">
        <v>316</v>
      </c>
      <c r="D22" s="15" t="s">
        <v>1432</v>
      </c>
      <c r="E22" s="15" t="s">
        <v>315</v>
      </c>
      <c r="F22" s="15" t="s">
        <v>1428</v>
      </c>
      <c r="G22" s="15"/>
      <c r="H22" s="15"/>
      <c r="I22" s="25" t="str">
        <f aca="false">IF(AND(ISNUMBER(H22),ISNUMBER(G22),N(G22)&gt;=5),H22/G22,"")</f>
        <v/>
      </c>
      <c r="J22" s="15"/>
      <c r="K22" s="15"/>
      <c r="L22" s="25" t="str">
        <f aca="false">IF(AND(ISNUMBER(K22),ISNUMBER(J22),N(J22)&gt;=5),K22/J22,"")</f>
        <v/>
      </c>
      <c r="M22" s="15" t="n">
        <v>556.9</v>
      </c>
      <c r="N22" s="15" t="n">
        <v>657.2</v>
      </c>
      <c r="O22" s="25" t="n">
        <f aca="false">IF(AND(ISNUMBER(N22),ISNUMBER(M22),N(M22)&gt;=5),N22/M22,"")</f>
        <v>1.18010414796193</v>
      </c>
      <c r="P22" s="15" t="n">
        <v>102</v>
      </c>
      <c r="Q22" s="15" t="n">
        <v>151.8</v>
      </c>
      <c r="R22" s="25" t="n">
        <f aca="false">IF(AND(ISNUMBER(Q22),ISNUMBER(P22),N(P22)&gt;=5),Q22/P22,"")</f>
        <v>1.48823529411765</v>
      </c>
      <c r="S22" s="15" t="n">
        <v>259.8</v>
      </c>
      <c r="T22" s="15" t="n">
        <v>667.9</v>
      </c>
      <c r="U22" s="22" t="n">
        <f aca="false">IF(AND(ISNUMBER(T22),ISNUMBER(S22),N(S22)&gt;0),T22/S22-1,"")</f>
        <v>1.57082371054657</v>
      </c>
    </row>
    <row r="23" customFormat="false" ht="15" hidden="false" customHeight="false" outlineLevel="0" collapsed="false">
      <c r="A23" s="15" t="s">
        <v>770</v>
      </c>
      <c r="B23" s="15" t="s">
        <v>1427</v>
      </c>
      <c r="C23" s="15" t="s">
        <v>768</v>
      </c>
      <c r="D23" s="15" t="s">
        <v>104</v>
      </c>
      <c r="E23" s="15" t="s">
        <v>326</v>
      </c>
      <c r="F23" s="15" t="s">
        <v>1430</v>
      </c>
      <c r="G23" s="15"/>
      <c r="H23" s="15"/>
      <c r="I23" s="25" t="str">
        <f aca="false">IF(AND(ISNUMBER(H23),ISNUMBER(G23),N(G23)&gt;=5),H23/G23,"")</f>
        <v/>
      </c>
      <c r="J23" s="15"/>
      <c r="K23" s="15"/>
      <c r="L23" s="25" t="str">
        <f aca="false">IF(AND(ISNUMBER(K23),ISNUMBER(J23),N(J23)&gt;=5),K23/J23,"")</f>
        <v/>
      </c>
      <c r="M23" s="15" t="n">
        <v>2738.1</v>
      </c>
      <c r="N23" s="15" t="n">
        <v>2904.8</v>
      </c>
      <c r="O23" s="25" t="n">
        <f aca="false">IF(AND(ISNUMBER(N23),ISNUMBER(M23),N(M23)&gt;=5),N23/M23,"")</f>
        <v>1.06088163324933</v>
      </c>
      <c r="P23" s="15" t="n">
        <v>872.9</v>
      </c>
      <c r="Q23" s="15" t="n">
        <v>1619</v>
      </c>
      <c r="R23" s="25" t="n">
        <f aca="false">IF(AND(ISNUMBER(Q23),ISNUMBER(P23),N(P23)&gt;=5),Q23/P23,"")</f>
        <v>1.8547370832856</v>
      </c>
      <c r="S23" s="15" t="n">
        <v>2414.9</v>
      </c>
      <c r="T23" s="15" t="n">
        <v>3236.6</v>
      </c>
      <c r="U23" s="22" t="n">
        <f aca="false">IF(AND(ISNUMBER(T23),ISNUMBER(S23),N(S23)&gt;0),T23/S23-1,"")</f>
        <v>0.340262536751004</v>
      </c>
    </row>
    <row r="24" customFormat="false" ht="15" hidden="false" customHeight="false" outlineLevel="0" collapsed="false">
      <c r="A24" s="15" t="s">
        <v>1033</v>
      </c>
      <c r="B24" s="15" t="s">
        <v>1427</v>
      </c>
      <c r="C24" s="15" t="s">
        <v>1031</v>
      </c>
      <c r="D24" s="15" t="s">
        <v>145</v>
      </c>
      <c r="E24" s="15" t="s">
        <v>326</v>
      </c>
      <c r="F24" s="15" t="s">
        <v>1430</v>
      </c>
      <c r="G24" s="15"/>
      <c r="H24" s="15"/>
      <c r="I24" s="25" t="str">
        <f aca="false">IF(AND(ISNUMBER(H24),ISNUMBER(G24),N(G24)&gt;=5),H24/G24,"")</f>
        <v/>
      </c>
      <c r="J24" s="15"/>
      <c r="K24" s="15"/>
      <c r="L24" s="25" t="str">
        <f aca="false">IF(AND(ISNUMBER(K24),ISNUMBER(J24),N(J24)&gt;=5),K24/J24,"")</f>
        <v/>
      </c>
      <c r="M24" s="15" t="n">
        <v>348.8</v>
      </c>
      <c r="N24" s="15" t="n">
        <v>400.5</v>
      </c>
      <c r="O24" s="25" t="n">
        <f aca="false">IF(AND(ISNUMBER(N24),ISNUMBER(M24),N(M24)&gt;=5),N24/M24,"")</f>
        <v>1.14822247706422</v>
      </c>
      <c r="P24" s="15" t="n">
        <v>0.8</v>
      </c>
      <c r="Q24" s="15" t="n">
        <v>6.2</v>
      </c>
      <c r="R24" s="25" t="str">
        <f aca="false">IF(AND(ISNUMBER(Q24),ISNUMBER(P24),N(P24)&gt;=5),Q24/P24,"")</f>
        <v/>
      </c>
      <c r="S24" s="15" t="n">
        <v>365.4</v>
      </c>
      <c r="T24" s="15" t="n">
        <v>280.8</v>
      </c>
      <c r="U24" s="22" t="n">
        <f aca="false">IF(AND(ISNUMBER(T24),ISNUMBER(S24),N(S24)&gt;0),T24/S24-1,"")</f>
        <v>-0.231527093596059</v>
      </c>
    </row>
    <row r="25" customFormat="false" ht="15" hidden="false" customHeight="false" outlineLevel="0" collapsed="false">
      <c r="A25" s="15" t="s">
        <v>360</v>
      </c>
      <c r="B25" s="15" t="s">
        <v>1427</v>
      </c>
      <c r="C25" s="15" t="s">
        <v>358</v>
      </c>
      <c r="D25" s="15" t="s">
        <v>1432</v>
      </c>
      <c r="E25" s="15" t="s">
        <v>315</v>
      </c>
      <c r="F25" s="15" t="s">
        <v>1428</v>
      </c>
      <c r="G25" s="15"/>
      <c r="H25" s="15"/>
      <c r="I25" s="25" t="str">
        <f aca="false">IF(AND(ISNUMBER(H25),ISNUMBER(G25),N(G25)&gt;=5),H25/G25,"")</f>
        <v/>
      </c>
      <c r="J25" s="15"/>
      <c r="K25" s="15"/>
      <c r="L25" s="25" t="str">
        <f aca="false">IF(AND(ISNUMBER(K25),ISNUMBER(J25),N(J25)&gt;=5),K25/J25,"")</f>
        <v/>
      </c>
      <c r="M25" s="15" t="n">
        <v>83.8</v>
      </c>
      <c r="N25" s="15" t="n">
        <v>85.2</v>
      </c>
      <c r="O25" s="25" t="n">
        <f aca="false">IF(AND(ISNUMBER(N25),ISNUMBER(M25),N(M25)&gt;=5),N25/M25,"")</f>
        <v>1.01670644391408</v>
      </c>
      <c r="P25" s="15" t="n">
        <v>10.4</v>
      </c>
      <c r="Q25" s="15" t="n">
        <v>24</v>
      </c>
      <c r="R25" s="25" t="n">
        <f aca="false">IF(AND(ISNUMBER(Q25),ISNUMBER(P25),N(P25)&gt;=5),Q25/P25,"")</f>
        <v>2.30769230769231</v>
      </c>
      <c r="S25" s="15" t="n">
        <v>64.5</v>
      </c>
      <c r="T25" s="15" t="n">
        <v>46</v>
      </c>
      <c r="U25" s="22" t="n">
        <f aca="false">IF(AND(ISNUMBER(T25),ISNUMBER(S25),N(S25)&gt;0),T25/S25-1,"")</f>
        <v>-0.286821705426357</v>
      </c>
    </row>
    <row r="26" customFormat="false" ht="15" hidden="false" customHeight="false" outlineLevel="0" collapsed="false">
      <c r="A26" s="15" t="s">
        <v>309</v>
      </c>
      <c r="B26" s="15" t="s">
        <v>1427</v>
      </c>
      <c r="C26" s="15" t="s">
        <v>307</v>
      </c>
      <c r="D26" s="15" t="s">
        <v>1432</v>
      </c>
      <c r="E26" s="15" t="s">
        <v>315</v>
      </c>
      <c r="F26" s="15" t="s">
        <v>1428</v>
      </c>
      <c r="G26" s="15"/>
      <c r="H26" s="15"/>
      <c r="I26" s="25" t="str">
        <f aca="false">IF(AND(ISNUMBER(H26),ISNUMBER(G26),N(G26)&gt;=5),H26/G26,"")</f>
        <v/>
      </c>
      <c r="J26" s="15"/>
      <c r="K26" s="15"/>
      <c r="L26" s="25" t="str">
        <f aca="false">IF(AND(ISNUMBER(K26),ISNUMBER(J26),N(J26)&gt;=5),K26/J26,"")</f>
        <v/>
      </c>
      <c r="M26" s="15" t="n">
        <v>924.6</v>
      </c>
      <c r="N26" s="15" t="n">
        <v>986.2</v>
      </c>
      <c r="O26" s="25" t="n">
        <f aca="false">IF(AND(ISNUMBER(N26),ISNUMBER(M26),N(M26)&gt;=5),N26/M26,"")</f>
        <v>1.06662340471555</v>
      </c>
      <c r="P26" s="15" t="n">
        <v>371.8</v>
      </c>
      <c r="Q26" s="15" t="n">
        <v>574.2</v>
      </c>
      <c r="R26" s="25" t="n">
        <f aca="false">IF(AND(ISNUMBER(Q26),ISNUMBER(P26),N(P26)&gt;=5),Q26/P26,"")</f>
        <v>1.54437869822485</v>
      </c>
      <c r="S26" s="15" t="n">
        <v>832.8</v>
      </c>
      <c r="T26" s="15" t="n">
        <v>785.1</v>
      </c>
      <c r="U26" s="22" t="n">
        <f aca="false">IF(AND(ISNUMBER(T26),ISNUMBER(S26),N(S26)&gt;0),T26/S26-1,"")</f>
        <v>-0.0572766570605187</v>
      </c>
    </row>
    <row r="27" customFormat="false" ht="15" hidden="false" customHeight="false" outlineLevel="0" collapsed="false">
      <c r="A27" s="15" t="s">
        <v>698</v>
      </c>
      <c r="B27" s="15" t="s">
        <v>1427</v>
      </c>
      <c r="C27" s="15" t="s">
        <v>696</v>
      </c>
      <c r="D27" s="15" t="s">
        <v>99</v>
      </c>
      <c r="E27" s="15" t="s">
        <v>315</v>
      </c>
      <c r="F27" s="15" t="s">
        <v>1428</v>
      </c>
      <c r="G27" s="15"/>
      <c r="H27" s="15"/>
      <c r="I27" s="25" t="str">
        <f aca="false">IF(AND(ISNUMBER(H27),ISNUMBER(G27),N(G27)&gt;=5),H27/G27,"")</f>
        <v/>
      </c>
      <c r="J27" s="15"/>
      <c r="K27" s="15"/>
      <c r="L27" s="25" t="str">
        <f aca="false">IF(AND(ISNUMBER(K27),ISNUMBER(J27),N(J27)&gt;=5),K27/J27,"")</f>
        <v/>
      </c>
      <c r="M27" s="15" t="n">
        <v>0.8</v>
      </c>
      <c r="N27" s="15" t="n">
        <v>14.8</v>
      </c>
      <c r="O27" s="25" t="str">
        <f aca="false">IF(AND(ISNUMBER(N27),ISNUMBER(M27),N(M27)&gt;=5),N27/M27,"")</f>
        <v/>
      </c>
      <c r="P27" s="15" t="n">
        <v>0</v>
      </c>
      <c r="Q27" s="15" t="n">
        <v>0</v>
      </c>
      <c r="R27" s="25" t="str">
        <f aca="false">IF(AND(ISNUMBER(Q27),ISNUMBER(P27),N(P27)&gt;=5),Q27/P27,"")</f>
        <v/>
      </c>
      <c r="S27" s="15" t="n">
        <v>2.2</v>
      </c>
      <c r="T27" s="15" t="n">
        <v>86.1</v>
      </c>
      <c r="U27" s="22" t="n">
        <f aca="false">IF(AND(ISNUMBER(T27),ISNUMBER(S27),N(S27)&gt;0),T27/S27-1,"")</f>
        <v>38.1363636363636</v>
      </c>
    </row>
    <row r="28" customFormat="false" ht="15" hidden="false" customHeight="false" outlineLevel="0" collapsed="false">
      <c r="A28" s="15" t="s">
        <v>572</v>
      </c>
      <c r="B28" s="15" t="s">
        <v>1427</v>
      </c>
      <c r="C28" s="15" t="s">
        <v>570</v>
      </c>
      <c r="D28" s="15" t="s">
        <v>1433</v>
      </c>
      <c r="E28" s="15" t="s">
        <v>326</v>
      </c>
      <c r="F28" s="15" t="s">
        <v>1428</v>
      </c>
      <c r="G28" s="15"/>
      <c r="H28" s="15"/>
      <c r="I28" s="25" t="str">
        <f aca="false">IF(AND(ISNUMBER(H28),ISNUMBER(G28),N(G28)&gt;=5),H28/G28,"")</f>
        <v/>
      </c>
      <c r="J28" s="15"/>
      <c r="K28" s="15"/>
      <c r="L28" s="25" t="str">
        <f aca="false">IF(AND(ISNUMBER(K28),ISNUMBER(J28),N(J28)&gt;=5),K28/J28,"")</f>
        <v/>
      </c>
      <c r="M28" s="15" t="n">
        <v>43.5</v>
      </c>
      <c r="N28" s="15" t="n">
        <v>18.2</v>
      </c>
      <c r="O28" s="25" t="n">
        <f aca="false">IF(AND(ISNUMBER(N28),ISNUMBER(M28),N(M28)&gt;=5),N28/M28,"")</f>
        <v>0.418390804597701</v>
      </c>
      <c r="P28" s="15" t="n">
        <v>91.2</v>
      </c>
      <c r="Q28" s="15" t="n">
        <v>70</v>
      </c>
      <c r="R28" s="25" t="n">
        <f aca="false">IF(AND(ISNUMBER(Q28),ISNUMBER(P28),N(P28)&gt;=5),Q28/P28,"")</f>
        <v>0.767543859649123</v>
      </c>
      <c r="S28" s="15" t="n">
        <v>57.6</v>
      </c>
      <c r="T28" s="15" t="n">
        <v>162.2</v>
      </c>
      <c r="U28" s="22" t="n">
        <f aca="false">IF(AND(ISNUMBER(T28),ISNUMBER(S28),N(S28)&gt;0),T28/S28-1,"")</f>
        <v>1.81597222222222</v>
      </c>
    </row>
    <row r="29" customFormat="false" ht="15" hidden="false" customHeight="false" outlineLevel="0" collapsed="false">
      <c r="A29" s="15" t="s">
        <v>580</v>
      </c>
      <c r="B29" s="15" t="s">
        <v>1427</v>
      </c>
      <c r="C29" s="15" t="s">
        <v>578</v>
      </c>
      <c r="D29" s="15" t="s">
        <v>1433</v>
      </c>
      <c r="E29" s="15" t="s">
        <v>326</v>
      </c>
      <c r="F29" s="15" t="s">
        <v>1428</v>
      </c>
      <c r="G29" s="15"/>
      <c r="H29" s="15"/>
      <c r="I29" s="25" t="str">
        <f aca="false">IF(AND(ISNUMBER(H29),ISNUMBER(G29),N(G29)&gt;=5),H29/G29,"")</f>
        <v/>
      </c>
      <c r="J29" s="15"/>
      <c r="K29" s="15"/>
      <c r="L29" s="25" t="str">
        <f aca="false">IF(AND(ISNUMBER(K29),ISNUMBER(J29),N(J29)&gt;=5),K29/J29,"")</f>
        <v/>
      </c>
      <c r="M29" s="15" t="n">
        <v>190.1</v>
      </c>
      <c r="N29" s="15" t="n">
        <v>144</v>
      </c>
      <c r="O29" s="25" t="n">
        <f aca="false">IF(AND(ISNUMBER(N29),ISNUMBER(M29),N(M29)&gt;=5),N29/M29,"")</f>
        <v>0.757496054708048</v>
      </c>
      <c r="P29" s="15" t="n">
        <v>12.7</v>
      </c>
      <c r="Q29" s="15" t="n">
        <v>28</v>
      </c>
      <c r="R29" s="25" t="n">
        <f aca="false">IF(AND(ISNUMBER(Q29),ISNUMBER(P29),N(P29)&gt;=5),Q29/P29,"")</f>
        <v>2.20472440944882</v>
      </c>
      <c r="S29" s="15" t="n">
        <v>236.5</v>
      </c>
      <c r="T29" s="15" t="n">
        <v>216.6</v>
      </c>
      <c r="U29" s="22" t="n">
        <f aca="false">IF(AND(ISNUMBER(T29),ISNUMBER(S29),N(S29)&gt;0),T29/S29-1,"")</f>
        <v>-0.0841437632135307</v>
      </c>
    </row>
    <row r="30" customFormat="false" ht="15" hidden="false" customHeight="false" outlineLevel="0" collapsed="false">
      <c r="A30" s="15" t="s">
        <v>1029</v>
      </c>
      <c r="B30" s="15" t="s">
        <v>1427</v>
      </c>
      <c r="C30" s="15" t="s">
        <v>1027</v>
      </c>
      <c r="D30" s="15" t="s">
        <v>145</v>
      </c>
      <c r="E30" s="15" t="s">
        <v>326</v>
      </c>
      <c r="F30" s="15" t="s">
        <v>1430</v>
      </c>
      <c r="G30" s="15"/>
      <c r="H30" s="15"/>
      <c r="I30" s="25" t="str">
        <f aca="false">IF(AND(ISNUMBER(H30),ISNUMBER(G30),N(G30)&gt;=5),H30/G30,"")</f>
        <v/>
      </c>
      <c r="J30" s="15"/>
      <c r="K30" s="15"/>
      <c r="L30" s="25" t="str">
        <f aca="false">IF(AND(ISNUMBER(K30),ISNUMBER(J30),N(J30)&gt;=5),K30/J30,"")</f>
        <v/>
      </c>
      <c r="M30" s="15" t="n">
        <v>239.3</v>
      </c>
      <c r="N30" s="15" t="n">
        <v>272.5</v>
      </c>
      <c r="O30" s="25" t="n">
        <f aca="false">IF(AND(ISNUMBER(N30),ISNUMBER(M30),N(M30)&gt;=5),N30/M30,"")</f>
        <v>1.13873798579189</v>
      </c>
      <c r="P30" s="15" t="n">
        <v>8.3</v>
      </c>
      <c r="Q30" s="15" t="n">
        <v>3</v>
      </c>
      <c r="R30" s="25" t="n">
        <f aca="false">IF(AND(ISNUMBER(Q30),ISNUMBER(P30),N(P30)&gt;=5),Q30/P30,"")</f>
        <v>0.36144578313253</v>
      </c>
      <c r="S30" s="15" t="n">
        <v>298.5</v>
      </c>
      <c r="T30" s="15" t="n">
        <v>275.2</v>
      </c>
      <c r="U30" s="22" t="n">
        <f aca="false">IF(AND(ISNUMBER(T30),ISNUMBER(S30),N(S30)&gt;0),T30/S30-1,"")</f>
        <v>-0.0780569514237857</v>
      </c>
    </row>
    <row r="31" customFormat="false" ht="15" hidden="false" customHeight="false" outlineLevel="0" collapsed="false">
      <c r="A31" s="15" t="s">
        <v>590</v>
      </c>
      <c r="B31" s="15" t="s">
        <v>1427</v>
      </c>
      <c r="C31" s="15" t="s">
        <v>588</v>
      </c>
      <c r="D31" s="15" t="s">
        <v>1433</v>
      </c>
      <c r="E31" s="15" t="s">
        <v>315</v>
      </c>
      <c r="F31" s="15" t="s">
        <v>1428</v>
      </c>
      <c r="G31" s="15"/>
      <c r="H31" s="15"/>
      <c r="I31" s="25" t="str">
        <f aca="false">IF(AND(ISNUMBER(H31),ISNUMBER(G31),N(G31)&gt;=5),H31/G31,"")</f>
        <v/>
      </c>
      <c r="J31" s="15"/>
      <c r="K31" s="15"/>
      <c r="L31" s="25" t="str">
        <f aca="false">IF(AND(ISNUMBER(K31),ISNUMBER(J31),N(J31)&gt;=5),K31/J31,"")</f>
        <v/>
      </c>
      <c r="M31" s="15" t="n">
        <v>31.9</v>
      </c>
      <c r="N31" s="15" t="n">
        <v>28.5</v>
      </c>
      <c r="O31" s="25" t="n">
        <f aca="false">IF(AND(ISNUMBER(N31),ISNUMBER(M31),N(M31)&gt;=5),N31/M31,"")</f>
        <v>0.893416927899687</v>
      </c>
      <c r="P31" s="15" t="n">
        <v>2.8</v>
      </c>
      <c r="Q31" s="15" t="n">
        <v>3</v>
      </c>
      <c r="R31" s="25" t="str">
        <f aca="false">IF(AND(ISNUMBER(Q31),ISNUMBER(P31),N(P31)&gt;=5),Q31/P31,"")</f>
        <v/>
      </c>
      <c r="S31" s="15" t="n">
        <v>38.5</v>
      </c>
      <c r="T31" s="15" t="n">
        <v>22.1</v>
      </c>
      <c r="U31" s="22" t="n">
        <f aca="false">IF(AND(ISNUMBER(T31),ISNUMBER(S31),N(S31)&gt;0),T31/S31-1,"")</f>
        <v>-0.425974025974026</v>
      </c>
    </row>
    <row r="32" customFormat="false" ht="15" hidden="false" customHeight="false" outlineLevel="0" collapsed="false">
      <c r="A32" s="15" t="s">
        <v>852</v>
      </c>
      <c r="B32" s="15" t="s">
        <v>1427</v>
      </c>
      <c r="C32" s="15" t="s">
        <v>850</v>
      </c>
      <c r="D32" s="15" t="s">
        <v>111</v>
      </c>
      <c r="E32" s="15" t="s">
        <v>531</v>
      </c>
      <c r="F32" s="15" t="s">
        <v>1434</v>
      </c>
      <c r="G32" s="15"/>
      <c r="H32" s="15"/>
      <c r="I32" s="25" t="str">
        <f aca="false">IF(AND(ISNUMBER(H32),ISNUMBER(G32),N(G32)&gt;=5),H32/G32,"")</f>
        <v/>
      </c>
      <c r="J32" s="15"/>
      <c r="K32" s="15"/>
      <c r="L32" s="25" t="str">
        <f aca="false">IF(AND(ISNUMBER(K32),ISNUMBER(J32),N(J32)&gt;=5),K32/J32,"")</f>
        <v/>
      </c>
      <c r="M32" s="15" t="n">
        <v>92.9</v>
      </c>
      <c r="N32" s="15" t="n">
        <v>114.8</v>
      </c>
      <c r="O32" s="25" t="n">
        <f aca="false">IF(AND(ISNUMBER(N32),ISNUMBER(M32),N(M32)&gt;=5),N32/M32,"")</f>
        <v>1.23573735199139</v>
      </c>
      <c r="P32" s="15" t="n">
        <v>4.9</v>
      </c>
      <c r="Q32" s="15" t="n">
        <v>6.5</v>
      </c>
      <c r="R32" s="25" t="str">
        <f aca="false">IF(AND(ISNUMBER(Q32),ISNUMBER(P32),N(P32)&gt;=5),Q32/P32,"")</f>
        <v/>
      </c>
      <c r="S32" s="15" t="n">
        <v>112.4</v>
      </c>
      <c r="T32" s="15" t="n">
        <v>96.7</v>
      </c>
      <c r="U32" s="22" t="n">
        <f aca="false">IF(AND(ISNUMBER(T32),ISNUMBER(S32),N(S32)&gt;0),T32/S32-1,"")</f>
        <v>-0.139679715302491</v>
      </c>
    </row>
    <row r="33" customFormat="false" ht="15" hidden="false" customHeight="false" outlineLevel="0" collapsed="false">
      <c r="A33" s="15" t="s">
        <v>944</v>
      </c>
      <c r="B33" s="15" t="s">
        <v>1427</v>
      </c>
      <c r="C33" s="15" t="s">
        <v>942</v>
      </c>
      <c r="D33" s="15" t="s">
        <v>1435</v>
      </c>
      <c r="E33" s="15" t="s">
        <v>315</v>
      </c>
      <c r="F33" s="15" t="s">
        <v>1428</v>
      </c>
      <c r="G33" s="15"/>
      <c r="H33" s="15"/>
      <c r="I33" s="25" t="str">
        <f aca="false">IF(AND(ISNUMBER(H33),ISNUMBER(G33),N(G33)&gt;=5),H33/G33,"")</f>
        <v/>
      </c>
      <c r="J33" s="15"/>
      <c r="K33" s="15"/>
      <c r="L33" s="25" t="str">
        <f aca="false">IF(AND(ISNUMBER(K33),ISNUMBER(J33),N(J33)&gt;=5),K33/J33,"")</f>
        <v/>
      </c>
      <c r="M33" s="15" t="n">
        <v>34.8</v>
      </c>
      <c r="N33" s="15" t="n">
        <v>21.8</v>
      </c>
      <c r="O33" s="25" t="n">
        <f aca="false">IF(AND(ISNUMBER(N33),ISNUMBER(M33),N(M33)&gt;=5),N33/M33,"")</f>
        <v>0.626436781609196</v>
      </c>
      <c r="P33" s="15" t="n">
        <v>0</v>
      </c>
      <c r="Q33" s="15" t="n">
        <v>0</v>
      </c>
      <c r="R33" s="25" t="str">
        <f aca="false">IF(AND(ISNUMBER(Q33),ISNUMBER(P33),N(P33)&gt;=5),Q33/P33,"")</f>
        <v/>
      </c>
      <c r="S33" s="15" t="n">
        <v>33.8</v>
      </c>
      <c r="T33" s="15" t="n">
        <v>31.4</v>
      </c>
      <c r="U33" s="22" t="n">
        <f aca="false">IF(AND(ISNUMBER(T33),ISNUMBER(S33),N(S33)&gt;0),T33/S33-1,"")</f>
        <v>-0.0710059171597632</v>
      </c>
    </row>
    <row r="34" customFormat="false" ht="15" hidden="false" customHeight="false" outlineLevel="0" collapsed="false">
      <c r="A34" s="15" t="s">
        <v>565</v>
      </c>
      <c r="B34" s="15" t="s">
        <v>1427</v>
      </c>
      <c r="C34" s="15" t="s">
        <v>494</v>
      </c>
      <c r="D34" s="15" t="s">
        <v>1436</v>
      </c>
      <c r="E34" s="15" t="s">
        <v>326</v>
      </c>
      <c r="F34" s="15" t="s">
        <v>1428</v>
      </c>
      <c r="G34" s="15"/>
      <c r="H34" s="15"/>
      <c r="I34" s="25" t="str">
        <f aca="false">IF(AND(ISNUMBER(H34),ISNUMBER(G34),N(G34)&gt;=5),H34/G34,"")</f>
        <v/>
      </c>
      <c r="J34" s="15"/>
      <c r="K34" s="15"/>
      <c r="L34" s="25" t="str">
        <f aca="false">IF(AND(ISNUMBER(K34),ISNUMBER(J34),N(J34)&gt;=5),K34/J34,"")</f>
        <v/>
      </c>
      <c r="M34" s="15" t="n">
        <v>442.7</v>
      </c>
      <c r="N34" s="15" t="n">
        <v>435.8</v>
      </c>
      <c r="O34" s="25" t="n">
        <f aca="false">IF(AND(ISNUMBER(N34),ISNUMBER(M34),N(M34)&gt;=5),N34/M34,"")</f>
        <v>0.984413824260221</v>
      </c>
      <c r="P34" s="15" t="n">
        <v>35.5</v>
      </c>
      <c r="Q34" s="15" t="n">
        <v>76</v>
      </c>
      <c r="R34" s="25" t="n">
        <f aca="false">IF(AND(ISNUMBER(Q34),ISNUMBER(P34),N(P34)&gt;=5),Q34/P34,"")</f>
        <v>2.14084507042254</v>
      </c>
      <c r="S34" s="15" t="n">
        <v>433.4</v>
      </c>
      <c r="T34" s="15" t="n">
        <v>502.5</v>
      </c>
      <c r="U34" s="22" t="n">
        <f aca="false">IF(AND(ISNUMBER(T34),ISNUMBER(S34),N(S34)&gt;0),T34/S34-1,"")</f>
        <v>0.159437009690817</v>
      </c>
    </row>
    <row r="35" customFormat="false" ht="15" hidden="false" customHeight="false" outlineLevel="0" collapsed="false">
      <c r="A35" s="15" t="s">
        <v>645</v>
      </c>
      <c r="B35" s="15" t="s">
        <v>1427</v>
      </c>
      <c r="C35" s="15" t="s">
        <v>643</v>
      </c>
      <c r="D35" s="15" t="s">
        <v>1433</v>
      </c>
      <c r="E35" s="15" t="s">
        <v>326</v>
      </c>
      <c r="F35" s="15" t="s">
        <v>1430</v>
      </c>
      <c r="G35" s="15"/>
      <c r="H35" s="15"/>
      <c r="I35" s="25" t="str">
        <f aca="false">IF(AND(ISNUMBER(H35),ISNUMBER(G35),N(G35)&gt;=5),H35/G35,"")</f>
        <v/>
      </c>
      <c r="J35" s="15"/>
      <c r="K35" s="15"/>
      <c r="L35" s="25" t="str">
        <f aca="false">IF(AND(ISNUMBER(K35),ISNUMBER(J35),N(J35)&gt;=5),K35/J35,"")</f>
        <v/>
      </c>
      <c r="M35" s="15" t="n">
        <v>0</v>
      </c>
      <c r="N35" s="15" t="n">
        <v>0</v>
      </c>
      <c r="O35" s="25" t="str">
        <f aca="false">IF(AND(ISNUMBER(N35),ISNUMBER(M35),N(M35)&gt;=5),N35/M35,"")</f>
        <v/>
      </c>
      <c r="P35" s="15" t="n">
        <v>0</v>
      </c>
      <c r="Q35" s="15" t="n">
        <v>0</v>
      </c>
      <c r="R35" s="25" t="str">
        <f aca="false">IF(AND(ISNUMBER(Q35),ISNUMBER(P35),N(P35)&gt;=5),Q35/P35,"")</f>
        <v/>
      </c>
      <c r="S35" s="15" t="n">
        <v>0</v>
      </c>
      <c r="T35" s="15" t="n">
        <v>0.2</v>
      </c>
      <c r="U35" s="22" t="str">
        <f aca="false">IF(AND(ISNUMBER(T35),ISNUMBER(S35),N(S35)&gt;0),T35/S35-1,"")</f>
        <v/>
      </c>
    </row>
    <row r="36" customFormat="false" ht="15" hidden="false" customHeight="false" outlineLevel="0" collapsed="false">
      <c r="A36" s="15" t="s">
        <v>586</v>
      </c>
      <c r="B36" s="15" t="s">
        <v>1427</v>
      </c>
      <c r="C36" s="15" t="s">
        <v>584</v>
      </c>
      <c r="D36" s="15" t="s">
        <v>1433</v>
      </c>
      <c r="E36" s="15" t="s">
        <v>315</v>
      </c>
      <c r="F36" s="15" t="s">
        <v>1428</v>
      </c>
      <c r="G36" s="15"/>
      <c r="H36" s="15"/>
      <c r="I36" s="25" t="str">
        <f aca="false">IF(AND(ISNUMBER(H36),ISNUMBER(G36),N(G36)&gt;=5),H36/G36,"")</f>
        <v/>
      </c>
      <c r="J36" s="15"/>
      <c r="K36" s="15"/>
      <c r="L36" s="25" t="str">
        <f aca="false">IF(AND(ISNUMBER(K36),ISNUMBER(J36),N(J36)&gt;=5),K36/J36,"")</f>
        <v/>
      </c>
      <c r="M36" s="15" t="n">
        <v>100.2</v>
      </c>
      <c r="N36" s="15" t="n">
        <v>103.8</v>
      </c>
      <c r="O36" s="25" t="n">
        <f aca="false">IF(AND(ISNUMBER(N36),ISNUMBER(M36),N(M36)&gt;=5),N36/M36,"")</f>
        <v>1.03592814371257</v>
      </c>
      <c r="P36" s="15" t="n">
        <v>7.2</v>
      </c>
      <c r="Q36" s="15" t="n">
        <v>4.5</v>
      </c>
      <c r="R36" s="25" t="n">
        <f aca="false">IF(AND(ISNUMBER(Q36),ISNUMBER(P36),N(P36)&gt;=5),Q36/P36,"")</f>
        <v>0.625</v>
      </c>
      <c r="S36" s="15" t="n">
        <v>103.7</v>
      </c>
      <c r="T36" s="15" t="n">
        <v>97.6</v>
      </c>
      <c r="U36" s="22" t="n">
        <f aca="false">IF(AND(ISNUMBER(T36),ISNUMBER(S36),N(S36)&gt;0),T36/S36-1,"")</f>
        <v>-0.0588235294117648</v>
      </c>
    </row>
    <row r="37" customFormat="false" ht="15" hidden="false" customHeight="false" outlineLevel="0" collapsed="false">
      <c r="A37" s="15" t="s">
        <v>356</v>
      </c>
      <c r="B37" s="15" t="s">
        <v>1427</v>
      </c>
      <c r="C37" s="15" t="s">
        <v>354</v>
      </c>
      <c r="D37" s="15" t="s">
        <v>1432</v>
      </c>
      <c r="E37" s="15" t="s">
        <v>315</v>
      </c>
      <c r="F37" s="15" t="s">
        <v>1428</v>
      </c>
      <c r="G37" s="15"/>
      <c r="H37" s="15"/>
      <c r="I37" s="25" t="str">
        <f aca="false">IF(AND(ISNUMBER(H37),ISNUMBER(G37),N(G37)&gt;=5),H37/G37,"")</f>
        <v/>
      </c>
      <c r="J37" s="15"/>
      <c r="K37" s="15"/>
      <c r="L37" s="25" t="str">
        <f aca="false">IF(AND(ISNUMBER(K37),ISNUMBER(J37),N(J37)&gt;=5),K37/J37,"")</f>
        <v/>
      </c>
      <c r="M37" s="15" t="n">
        <v>107.7</v>
      </c>
      <c r="N37" s="15" t="n">
        <v>191.5</v>
      </c>
      <c r="O37" s="25" t="n">
        <f aca="false">IF(AND(ISNUMBER(N37),ISNUMBER(M37),N(M37)&gt;=5),N37/M37,"")</f>
        <v>1.77808727948004</v>
      </c>
      <c r="P37" s="15" t="n">
        <v>49.4</v>
      </c>
      <c r="Q37" s="15" t="n">
        <v>99.8</v>
      </c>
      <c r="R37" s="25" t="n">
        <f aca="false">IF(AND(ISNUMBER(Q37),ISNUMBER(P37),N(P37)&gt;=5),Q37/P37,"")</f>
        <v>2.02024291497976</v>
      </c>
      <c r="S37" s="15" t="n">
        <v>127.5</v>
      </c>
      <c r="T37" s="15" t="n">
        <v>175.6</v>
      </c>
      <c r="U37" s="22" t="n">
        <f aca="false">IF(AND(ISNUMBER(T37),ISNUMBER(S37),N(S37)&gt;0),T37/S37-1,"")</f>
        <v>0.377254901960784</v>
      </c>
    </row>
    <row r="38" customFormat="false" ht="15" hidden="false" customHeight="false" outlineLevel="0" collapsed="false">
      <c r="A38" s="15" t="s">
        <v>1021</v>
      </c>
      <c r="B38" s="15" t="s">
        <v>1427</v>
      </c>
      <c r="C38" s="15" t="s">
        <v>327</v>
      </c>
      <c r="D38" s="15" t="s">
        <v>145</v>
      </c>
      <c r="E38" s="15" t="s">
        <v>326</v>
      </c>
      <c r="F38" s="15" t="s">
        <v>1430</v>
      </c>
      <c r="G38" s="15"/>
      <c r="H38" s="15"/>
      <c r="I38" s="25" t="str">
        <f aca="false">IF(AND(ISNUMBER(H38),ISNUMBER(G38),N(G38)&gt;=5),H38/G38,"")</f>
        <v/>
      </c>
      <c r="J38" s="15"/>
      <c r="K38" s="15"/>
      <c r="L38" s="25" t="str">
        <f aca="false">IF(AND(ISNUMBER(K38),ISNUMBER(J38),N(J38)&gt;=5),K38/J38,"")</f>
        <v/>
      </c>
      <c r="M38" s="15" t="n">
        <v>2200.9</v>
      </c>
      <c r="N38" s="15" t="n">
        <v>2056.2</v>
      </c>
      <c r="O38" s="25" t="n">
        <f aca="false">IF(AND(ISNUMBER(N38),ISNUMBER(M38),N(M38)&gt;=5),N38/M38,"")</f>
        <v>0.934254168749148</v>
      </c>
      <c r="P38" s="15" t="n">
        <v>88.8</v>
      </c>
      <c r="Q38" s="15" t="n">
        <v>32.8</v>
      </c>
      <c r="R38" s="25" t="n">
        <f aca="false">IF(AND(ISNUMBER(Q38),ISNUMBER(P38),N(P38)&gt;=5),Q38/P38,"")</f>
        <v>0.369369369369369</v>
      </c>
      <c r="S38" s="15" t="n">
        <v>2141.5</v>
      </c>
      <c r="T38" s="15" t="n">
        <v>2179.4</v>
      </c>
      <c r="U38" s="22" t="n">
        <f aca="false">IF(AND(ISNUMBER(T38),ISNUMBER(S38),N(S38)&gt;0),T38/S38-1,"")</f>
        <v>0.0176978753210366</v>
      </c>
    </row>
    <row r="39" customFormat="false" ht="15" hidden="false" customHeight="false" outlineLevel="0" collapsed="false">
      <c r="A39" s="15" t="s">
        <v>391</v>
      </c>
      <c r="B39" s="15" t="s">
        <v>1427</v>
      </c>
      <c r="C39" s="15" t="s">
        <v>389</v>
      </c>
      <c r="D39" s="15" t="s">
        <v>1437</v>
      </c>
      <c r="E39" s="15" t="s">
        <v>315</v>
      </c>
      <c r="F39" s="15" t="s">
        <v>1428</v>
      </c>
      <c r="G39" s="15"/>
      <c r="H39" s="15"/>
      <c r="I39" s="25" t="str">
        <f aca="false">IF(AND(ISNUMBER(H39),ISNUMBER(G39),N(G39)&gt;=5),H39/G39,"")</f>
        <v/>
      </c>
      <c r="J39" s="15"/>
      <c r="K39" s="15"/>
      <c r="L39" s="25" t="str">
        <f aca="false">IF(AND(ISNUMBER(K39),ISNUMBER(J39),N(J39)&gt;=5),K39/J39,"")</f>
        <v/>
      </c>
      <c r="M39" s="15" t="n">
        <v>70.2</v>
      </c>
      <c r="N39" s="15" t="n">
        <v>51.5</v>
      </c>
      <c r="O39" s="25" t="n">
        <f aca="false">IF(AND(ISNUMBER(N39),ISNUMBER(M39),N(M39)&gt;=5),N39/M39,"")</f>
        <v>0.733618233618234</v>
      </c>
      <c r="P39" s="15" t="n">
        <v>0</v>
      </c>
      <c r="Q39" s="15" t="n">
        <v>0</v>
      </c>
      <c r="R39" s="25" t="str">
        <f aca="false">IF(AND(ISNUMBER(Q39),ISNUMBER(P39),N(P39)&gt;=5),Q39/P39,"")</f>
        <v/>
      </c>
      <c r="S39" s="15" t="n">
        <v>34.4</v>
      </c>
      <c r="T39" s="15" t="n">
        <v>24.5</v>
      </c>
      <c r="U39" s="22" t="n">
        <f aca="false">IF(AND(ISNUMBER(T39),ISNUMBER(S39),N(S39)&gt;0),T39/S39-1,"")</f>
        <v>-0.287790697674419</v>
      </c>
    </row>
    <row r="40" customFormat="false" ht="15" hidden="false" customHeight="false" outlineLevel="0" collapsed="false">
      <c r="A40" s="15" t="s">
        <v>568</v>
      </c>
      <c r="B40" s="15" t="s">
        <v>1427</v>
      </c>
      <c r="C40" s="15" t="s">
        <v>475</v>
      </c>
      <c r="D40" s="15" t="s">
        <v>1433</v>
      </c>
      <c r="E40" s="15" t="s">
        <v>326</v>
      </c>
      <c r="F40" s="15" t="s">
        <v>1428</v>
      </c>
      <c r="G40" s="15"/>
      <c r="H40" s="15"/>
      <c r="I40" s="25" t="str">
        <f aca="false">IF(AND(ISNUMBER(H40),ISNUMBER(G40),N(G40)&gt;=5),H40/G40,"")</f>
        <v/>
      </c>
      <c r="J40" s="15"/>
      <c r="K40" s="15"/>
      <c r="L40" s="25" t="str">
        <f aca="false">IF(AND(ISNUMBER(K40),ISNUMBER(J40),N(J40)&gt;=5),K40/J40,"")</f>
        <v/>
      </c>
      <c r="M40" s="15" t="n">
        <v>864</v>
      </c>
      <c r="N40" s="15" t="n">
        <v>705.8</v>
      </c>
      <c r="O40" s="25" t="n">
        <f aca="false">IF(AND(ISNUMBER(N40),ISNUMBER(M40),N(M40)&gt;=5),N40/M40,"")</f>
        <v>0.816898148148148</v>
      </c>
      <c r="P40" s="15" t="n">
        <v>82.8</v>
      </c>
      <c r="Q40" s="15" t="n">
        <v>78</v>
      </c>
      <c r="R40" s="25" t="n">
        <f aca="false">IF(AND(ISNUMBER(Q40),ISNUMBER(P40),N(P40)&gt;=5),Q40/P40,"")</f>
        <v>0.942028985507247</v>
      </c>
      <c r="S40" s="15" t="n">
        <v>572.8</v>
      </c>
      <c r="T40" s="15" t="n">
        <v>489.9</v>
      </c>
      <c r="U40" s="22" t="n">
        <f aca="false">IF(AND(ISNUMBER(T40),ISNUMBER(S40),N(S40)&gt;0),T40/S40-1,"")</f>
        <v>-0.144727653631285</v>
      </c>
    </row>
    <row r="41" customFormat="false" ht="15" hidden="false" customHeight="false" outlineLevel="0" collapsed="false">
      <c r="A41" s="15" t="s">
        <v>615</v>
      </c>
      <c r="B41" s="15" t="s">
        <v>1427</v>
      </c>
      <c r="C41" s="15" t="s">
        <v>613</v>
      </c>
      <c r="D41" s="15" t="s">
        <v>1433</v>
      </c>
      <c r="E41" s="15" t="s">
        <v>326</v>
      </c>
      <c r="F41" s="15" t="s">
        <v>1428</v>
      </c>
      <c r="G41" s="15"/>
      <c r="H41" s="15"/>
      <c r="I41" s="25" t="str">
        <f aca="false">IF(AND(ISNUMBER(H41),ISNUMBER(G41),N(G41)&gt;=5),H41/G41,"")</f>
        <v/>
      </c>
      <c r="J41" s="15"/>
      <c r="K41" s="15"/>
      <c r="L41" s="25" t="str">
        <f aca="false">IF(AND(ISNUMBER(K41),ISNUMBER(J41),N(J41)&gt;=5),K41/J41,"")</f>
        <v/>
      </c>
      <c r="M41" s="15" t="n">
        <v>82.8</v>
      </c>
      <c r="N41" s="15" t="n">
        <v>97</v>
      </c>
      <c r="O41" s="25" t="n">
        <f aca="false">IF(AND(ISNUMBER(N41),ISNUMBER(M41),N(M41)&gt;=5),N41/M41,"")</f>
        <v>1.17149758454106</v>
      </c>
      <c r="P41" s="15" t="n">
        <v>8.8</v>
      </c>
      <c r="Q41" s="15" t="n">
        <v>12.2</v>
      </c>
      <c r="R41" s="25" t="n">
        <f aca="false">IF(AND(ISNUMBER(Q41),ISNUMBER(P41),N(P41)&gt;=5),Q41/P41,"")</f>
        <v>1.38636363636364</v>
      </c>
      <c r="S41" s="15" t="n">
        <v>82.4</v>
      </c>
      <c r="T41" s="15" t="n">
        <v>132.5</v>
      </c>
      <c r="U41" s="22" t="n">
        <f aca="false">IF(AND(ISNUMBER(T41),ISNUMBER(S41),N(S41)&gt;0),T41/S41-1,"")</f>
        <v>0.608009708737864</v>
      </c>
    </row>
    <row r="42" customFormat="false" ht="15" hidden="false" customHeight="false" outlineLevel="0" collapsed="false">
      <c r="A42" s="15" t="s">
        <v>1089</v>
      </c>
      <c r="B42" s="15" t="s">
        <v>1427</v>
      </c>
      <c r="C42" s="15" t="s">
        <v>1087</v>
      </c>
      <c r="D42" s="15" t="s">
        <v>148</v>
      </c>
      <c r="E42" s="15" t="s">
        <v>326</v>
      </c>
      <c r="F42" s="15" t="s">
        <v>1430</v>
      </c>
      <c r="G42" s="15"/>
      <c r="H42" s="15"/>
      <c r="I42" s="25" t="str">
        <f aca="false">IF(AND(ISNUMBER(H42),ISNUMBER(G42),N(G42)&gt;=5),H42/G42,"")</f>
        <v/>
      </c>
      <c r="J42" s="15"/>
      <c r="K42" s="15"/>
      <c r="L42" s="25" t="str">
        <f aca="false">IF(AND(ISNUMBER(K42),ISNUMBER(J42),N(J42)&gt;=5),K42/J42,"")</f>
        <v/>
      </c>
      <c r="M42" s="15" t="n">
        <v>6139.4</v>
      </c>
      <c r="N42" s="15" t="n">
        <v>5096.8</v>
      </c>
      <c r="O42" s="25" t="n">
        <f aca="false">IF(AND(ISNUMBER(N42),ISNUMBER(M42),N(M42)&gt;=5),N42/M42,"")</f>
        <v>0.830178844838258</v>
      </c>
      <c r="P42" s="15" t="n">
        <v>525.6</v>
      </c>
      <c r="Q42" s="15" t="n">
        <v>665</v>
      </c>
      <c r="R42" s="25" t="n">
        <f aca="false">IF(AND(ISNUMBER(Q42),ISNUMBER(P42),N(P42)&gt;=5),Q42/P42,"")</f>
        <v>1.26522070015221</v>
      </c>
      <c r="S42" s="15" t="n">
        <v>4540.5</v>
      </c>
      <c r="T42" s="15" t="n">
        <v>6593.4</v>
      </c>
      <c r="U42" s="22" t="n">
        <f aca="false">IF(AND(ISNUMBER(T42),ISNUMBER(S42),N(S42)&gt;0),T42/S42-1,"")</f>
        <v>0.45213082259663</v>
      </c>
    </row>
    <row r="43" customFormat="false" ht="15" hidden="false" customHeight="false" outlineLevel="0" collapsed="false">
      <c r="A43" s="15" t="s">
        <v>908</v>
      </c>
      <c r="B43" s="15" t="s">
        <v>1427</v>
      </c>
      <c r="C43" s="15" t="s">
        <v>906</v>
      </c>
      <c r="D43" s="15" t="s">
        <v>1435</v>
      </c>
      <c r="E43" s="15" t="s">
        <v>315</v>
      </c>
      <c r="F43" s="15" t="s">
        <v>1428</v>
      </c>
      <c r="G43" s="15"/>
      <c r="H43" s="15"/>
      <c r="I43" s="25" t="str">
        <f aca="false">IF(AND(ISNUMBER(H43),ISNUMBER(G43),N(G43)&gt;=5),H43/G43,"")</f>
        <v/>
      </c>
      <c r="J43" s="15"/>
      <c r="K43" s="15"/>
      <c r="L43" s="25" t="str">
        <f aca="false">IF(AND(ISNUMBER(K43),ISNUMBER(J43),N(J43)&gt;=5),K43/J43,"")</f>
        <v/>
      </c>
      <c r="M43" s="15" t="n">
        <v>76.2</v>
      </c>
      <c r="N43" s="15" t="n">
        <v>83.8</v>
      </c>
      <c r="O43" s="25" t="n">
        <f aca="false">IF(AND(ISNUMBER(N43),ISNUMBER(M43),N(M43)&gt;=5),N43/M43,"")</f>
        <v>1.0997375328084</v>
      </c>
      <c r="P43" s="15" t="n">
        <v>26.5</v>
      </c>
      <c r="Q43" s="15" t="n">
        <v>43.5</v>
      </c>
      <c r="R43" s="25" t="n">
        <f aca="false">IF(AND(ISNUMBER(Q43),ISNUMBER(P43),N(P43)&gt;=5),Q43/P43,"")</f>
        <v>1.64150943396226</v>
      </c>
      <c r="S43" s="15" t="n">
        <v>103.7</v>
      </c>
      <c r="T43" s="15" t="n">
        <v>68.2</v>
      </c>
      <c r="U43" s="22" t="n">
        <f aca="false">IF(AND(ISNUMBER(T43),ISNUMBER(S43),N(S43)&gt;0),T43/S43-1,"")</f>
        <v>-0.342333654773385</v>
      </c>
    </row>
    <row r="44" customFormat="false" ht="15" hidden="false" customHeight="false" outlineLevel="0" collapsed="false">
      <c r="A44" s="15" t="s">
        <v>1137</v>
      </c>
      <c r="B44" s="15" t="s">
        <v>1427</v>
      </c>
      <c r="C44" s="15" t="s">
        <v>1135</v>
      </c>
      <c r="D44" s="15" t="s">
        <v>148</v>
      </c>
      <c r="E44" s="15" t="s">
        <v>326</v>
      </c>
      <c r="F44" s="15" t="s">
        <v>1430</v>
      </c>
      <c r="G44" s="15"/>
      <c r="H44" s="15"/>
      <c r="I44" s="25" t="str">
        <f aca="false">IF(AND(ISNUMBER(H44),ISNUMBER(G44),N(G44)&gt;=5),H44/G44,"")</f>
        <v/>
      </c>
      <c r="J44" s="15"/>
      <c r="K44" s="15"/>
      <c r="L44" s="25" t="str">
        <f aca="false">IF(AND(ISNUMBER(K44),ISNUMBER(J44),N(J44)&gt;=5),K44/J44,"")</f>
        <v/>
      </c>
      <c r="M44" s="15" t="n">
        <v>133.3</v>
      </c>
      <c r="N44" s="15" t="n">
        <v>91.5</v>
      </c>
      <c r="O44" s="25" t="n">
        <f aca="false">IF(AND(ISNUMBER(N44),ISNUMBER(M44),N(M44)&gt;=5),N44/M44,"")</f>
        <v>0.68642160540135</v>
      </c>
      <c r="P44" s="15" t="n">
        <v>61.6</v>
      </c>
      <c r="Q44" s="15" t="n">
        <v>0.2</v>
      </c>
      <c r="R44" s="25" t="n">
        <f aca="false">IF(AND(ISNUMBER(Q44),ISNUMBER(P44),N(P44)&gt;=5),Q44/P44,"")</f>
        <v>0.00324675324675325</v>
      </c>
      <c r="S44" s="15" t="n">
        <v>395.4</v>
      </c>
      <c r="T44" s="15" t="n">
        <v>224.9</v>
      </c>
      <c r="U44" s="22" t="n">
        <f aca="false">IF(AND(ISNUMBER(T44),ISNUMBER(S44),N(S44)&gt;0),T44/S44-1,"")</f>
        <v>-0.431208902377339</v>
      </c>
    </row>
    <row r="45" customFormat="false" ht="15" hidden="false" customHeight="false" outlineLevel="0" collapsed="false">
      <c r="A45" s="15" t="s">
        <v>922</v>
      </c>
      <c r="B45" s="15" t="s">
        <v>1427</v>
      </c>
      <c r="C45" s="15" t="s">
        <v>920</v>
      </c>
      <c r="D45" s="15" t="s">
        <v>1435</v>
      </c>
      <c r="E45" s="15" t="s">
        <v>315</v>
      </c>
      <c r="F45" s="15" t="s">
        <v>1428</v>
      </c>
      <c r="G45" s="15"/>
      <c r="H45" s="15"/>
      <c r="I45" s="25" t="str">
        <f aca="false">IF(AND(ISNUMBER(H45),ISNUMBER(G45),N(G45)&gt;=5),H45/G45,"")</f>
        <v/>
      </c>
      <c r="J45" s="15"/>
      <c r="K45" s="15"/>
      <c r="L45" s="25" t="str">
        <f aca="false">IF(AND(ISNUMBER(K45),ISNUMBER(J45),N(J45)&gt;=5),K45/J45,"")</f>
        <v/>
      </c>
      <c r="M45" s="15" t="n">
        <v>62.1</v>
      </c>
      <c r="N45" s="15" t="n">
        <v>69</v>
      </c>
      <c r="O45" s="25" t="n">
        <f aca="false">IF(AND(ISNUMBER(N45),ISNUMBER(M45),N(M45)&gt;=5),N45/M45,"")</f>
        <v>1.11111111111111</v>
      </c>
      <c r="P45" s="15" t="n">
        <v>5</v>
      </c>
      <c r="Q45" s="15" t="n">
        <v>8</v>
      </c>
      <c r="R45" s="25" t="n">
        <f aca="false">IF(AND(ISNUMBER(Q45),ISNUMBER(P45),N(P45)&gt;=5),Q45/P45,"")</f>
        <v>1.6</v>
      </c>
      <c r="S45" s="15" t="n">
        <v>56.7</v>
      </c>
      <c r="T45" s="15" t="n">
        <v>66.6</v>
      </c>
      <c r="U45" s="22" t="n">
        <f aca="false">IF(AND(ISNUMBER(T45),ISNUMBER(S45),N(S45)&gt;0),T45/S45-1,"")</f>
        <v>0.174603174603174</v>
      </c>
    </row>
    <row r="46" customFormat="false" ht="15" hidden="false" customHeight="false" outlineLevel="0" collapsed="false">
      <c r="A46" s="15" t="s">
        <v>693</v>
      </c>
      <c r="B46" s="15" t="s">
        <v>1427</v>
      </c>
      <c r="C46" s="15" t="s">
        <v>678</v>
      </c>
      <c r="D46" s="15" t="s">
        <v>99</v>
      </c>
      <c r="E46" s="15" t="s">
        <v>315</v>
      </c>
      <c r="F46" s="15" t="s">
        <v>1428</v>
      </c>
      <c r="G46" s="15"/>
      <c r="H46" s="15"/>
      <c r="I46" s="25" t="str">
        <f aca="false">IF(AND(ISNUMBER(H46),ISNUMBER(G46),N(G46)&gt;=5),H46/G46,"")</f>
        <v/>
      </c>
      <c r="J46" s="15"/>
      <c r="K46" s="15"/>
      <c r="L46" s="25" t="str">
        <f aca="false">IF(AND(ISNUMBER(K46),ISNUMBER(J46),N(J46)&gt;=5),K46/J46,"")</f>
        <v/>
      </c>
      <c r="M46" s="15" t="n">
        <v>155.7</v>
      </c>
      <c r="N46" s="15" t="n">
        <v>192.2</v>
      </c>
      <c r="O46" s="25" t="n">
        <f aca="false">IF(AND(ISNUMBER(N46),ISNUMBER(M46),N(M46)&gt;=5),N46/M46,"")</f>
        <v>1.23442517662171</v>
      </c>
      <c r="P46" s="15" t="n">
        <v>119</v>
      </c>
      <c r="Q46" s="15" t="n">
        <v>131</v>
      </c>
      <c r="R46" s="25" t="n">
        <f aca="false">IF(AND(ISNUMBER(Q46),ISNUMBER(P46),N(P46)&gt;=5),Q46/P46,"")</f>
        <v>1.10084033613445</v>
      </c>
      <c r="S46" s="15" t="n">
        <v>133.8</v>
      </c>
      <c r="T46" s="15" t="n">
        <v>169.5</v>
      </c>
      <c r="U46" s="22" t="n">
        <f aca="false">IF(AND(ISNUMBER(T46),ISNUMBER(S46),N(S46)&gt;0),T46/S46-1,"")</f>
        <v>0.266816143497758</v>
      </c>
    </row>
    <row r="47" customFormat="false" ht="15" hidden="false" customHeight="false" outlineLevel="0" collapsed="false">
      <c r="A47" s="15" t="s">
        <v>502</v>
      </c>
      <c r="B47" s="15" t="s">
        <v>1427</v>
      </c>
      <c r="C47" s="15" t="s">
        <v>438</v>
      </c>
      <c r="D47" s="15" t="s">
        <v>1438</v>
      </c>
      <c r="E47" s="15" t="s">
        <v>315</v>
      </c>
      <c r="F47" s="15" t="s">
        <v>1428</v>
      </c>
      <c r="G47" s="15"/>
      <c r="H47" s="15"/>
      <c r="I47" s="25" t="str">
        <f aca="false">IF(AND(ISNUMBER(H47),ISNUMBER(G47),N(G47)&gt;=5),H47/G47,"")</f>
        <v/>
      </c>
      <c r="J47" s="15"/>
      <c r="K47" s="15"/>
      <c r="L47" s="25" t="str">
        <f aca="false">IF(AND(ISNUMBER(K47),ISNUMBER(J47),N(J47)&gt;=5),K47/J47,"")</f>
        <v/>
      </c>
      <c r="M47" s="15" t="n">
        <v>0.1</v>
      </c>
      <c r="N47" s="15" t="n">
        <v>2.5</v>
      </c>
      <c r="O47" s="25" t="str">
        <f aca="false">IF(AND(ISNUMBER(N47),ISNUMBER(M47),N(M47)&gt;=5),N47/M47,"")</f>
        <v/>
      </c>
      <c r="P47" s="15" t="n">
        <v>0</v>
      </c>
      <c r="Q47" s="15" t="n">
        <v>0</v>
      </c>
      <c r="R47" s="25" t="str">
        <f aca="false">IF(AND(ISNUMBER(Q47),ISNUMBER(P47),N(P47)&gt;=5),Q47/P47,"")</f>
        <v/>
      </c>
      <c r="S47" s="15" t="n">
        <v>22.3</v>
      </c>
      <c r="T47" s="15" t="n">
        <v>1</v>
      </c>
      <c r="U47" s="22" t="n">
        <f aca="false">IF(AND(ISNUMBER(T47),ISNUMBER(S47),N(S47)&gt;0),T47/S47-1,"")</f>
        <v>-0.955156950672646</v>
      </c>
    </row>
    <row r="48" customFormat="false" ht="15" hidden="false" customHeight="false" outlineLevel="0" collapsed="false">
      <c r="A48" s="15" t="s">
        <v>961</v>
      </c>
      <c r="B48" s="15" t="s">
        <v>1427</v>
      </c>
      <c r="C48" s="15" t="s">
        <v>959</v>
      </c>
      <c r="D48" s="15" t="s">
        <v>130</v>
      </c>
      <c r="E48" s="15" t="s">
        <v>315</v>
      </c>
      <c r="F48" s="15" t="s">
        <v>1428</v>
      </c>
      <c r="G48" s="15"/>
      <c r="H48" s="15"/>
      <c r="I48" s="25" t="str">
        <f aca="false">IF(AND(ISNUMBER(H48),ISNUMBER(G48),N(G48)&gt;=5),H48/G48,"")</f>
        <v/>
      </c>
      <c r="J48" s="15"/>
      <c r="K48" s="15"/>
      <c r="L48" s="25" t="str">
        <f aca="false">IF(AND(ISNUMBER(K48),ISNUMBER(J48),N(J48)&gt;=5),K48/J48,"")</f>
        <v/>
      </c>
      <c r="M48" s="15" t="n">
        <v>604.1</v>
      </c>
      <c r="N48" s="15" t="n">
        <v>1220.5</v>
      </c>
      <c r="O48" s="25" t="n">
        <f aca="false">IF(AND(ISNUMBER(N48),ISNUMBER(M48),N(M48)&gt;=5),N48/M48,"")</f>
        <v>2.02036086740606</v>
      </c>
      <c r="P48" s="15" t="n">
        <v>59.4</v>
      </c>
      <c r="Q48" s="15" t="n">
        <v>541.5</v>
      </c>
      <c r="R48" s="25" t="n">
        <f aca="false">IF(AND(ISNUMBER(Q48),ISNUMBER(P48),N(P48)&gt;=5),Q48/P48,"")</f>
        <v>9.11616161616162</v>
      </c>
      <c r="S48" s="15" t="n">
        <v>320</v>
      </c>
      <c r="T48" s="15" t="n">
        <v>482.3</v>
      </c>
      <c r="U48" s="22" t="n">
        <f aca="false">IF(AND(ISNUMBER(T48),ISNUMBER(S48),N(S48)&gt;0),T48/S48-1,"")</f>
        <v>0.5071875</v>
      </c>
    </row>
    <row r="49" customFormat="false" ht="15" hidden="false" customHeight="false" outlineLevel="0" collapsed="false">
      <c r="A49" s="15" t="s">
        <v>937</v>
      </c>
      <c r="B49" s="15" t="s">
        <v>1427</v>
      </c>
      <c r="C49" s="15" t="s">
        <v>935</v>
      </c>
      <c r="D49" s="15" t="s">
        <v>1435</v>
      </c>
      <c r="E49" s="15" t="s">
        <v>315</v>
      </c>
      <c r="F49" s="15" t="s">
        <v>1428</v>
      </c>
      <c r="G49" s="15"/>
      <c r="H49" s="15"/>
      <c r="I49" s="25" t="str">
        <f aca="false">IF(AND(ISNUMBER(H49),ISNUMBER(G49),N(G49)&gt;=5),H49/G49,"")</f>
        <v/>
      </c>
      <c r="J49" s="15"/>
      <c r="K49" s="15"/>
      <c r="L49" s="25" t="str">
        <f aca="false">IF(AND(ISNUMBER(K49),ISNUMBER(J49),N(J49)&gt;=5),K49/J49,"")</f>
        <v/>
      </c>
      <c r="M49" s="15" t="n">
        <v>26.8</v>
      </c>
      <c r="N49" s="15" t="n">
        <v>31.5</v>
      </c>
      <c r="O49" s="25" t="n">
        <f aca="false">IF(AND(ISNUMBER(N49),ISNUMBER(M49),N(M49)&gt;=5),N49/M49,"")</f>
        <v>1.17537313432836</v>
      </c>
      <c r="P49" s="15" t="n">
        <v>12.1</v>
      </c>
      <c r="Q49" s="15" t="n">
        <v>24.2</v>
      </c>
      <c r="R49" s="25" t="n">
        <f aca="false">IF(AND(ISNUMBER(Q49),ISNUMBER(P49),N(P49)&gt;=5),Q49/P49,"")</f>
        <v>2</v>
      </c>
      <c r="S49" s="15" t="n">
        <v>22</v>
      </c>
      <c r="T49" s="15" t="n">
        <v>34.9</v>
      </c>
      <c r="U49" s="22" t="n">
        <f aca="false">IF(AND(ISNUMBER(T49),ISNUMBER(S49),N(S49)&gt;0),T49/S49-1,"")</f>
        <v>0.586363636363636</v>
      </c>
    </row>
    <row r="50" customFormat="false" ht="15" hidden="false" customHeight="false" outlineLevel="0" collapsed="false">
      <c r="A50" s="15" t="s">
        <v>544</v>
      </c>
      <c r="B50" s="15" t="s">
        <v>1427</v>
      </c>
      <c r="C50" s="15" t="s">
        <v>542</v>
      </c>
      <c r="D50" s="15" t="s">
        <v>1439</v>
      </c>
      <c r="E50" s="15" t="s">
        <v>315</v>
      </c>
      <c r="F50" s="15" t="s">
        <v>1428</v>
      </c>
      <c r="G50" s="15"/>
      <c r="H50" s="15"/>
      <c r="I50" s="25" t="str">
        <f aca="false">IF(AND(ISNUMBER(H50),ISNUMBER(G50),N(G50)&gt;=5),H50/G50,"")</f>
        <v/>
      </c>
      <c r="J50" s="15"/>
      <c r="K50" s="15"/>
      <c r="L50" s="25" t="str">
        <f aca="false">IF(AND(ISNUMBER(K50),ISNUMBER(J50),N(J50)&gt;=5),K50/J50,"")</f>
        <v/>
      </c>
      <c r="M50" s="15" t="n">
        <v>175.7</v>
      </c>
      <c r="N50" s="15" t="n">
        <v>215.5</v>
      </c>
      <c r="O50" s="25" t="n">
        <f aca="false">IF(AND(ISNUMBER(N50),ISNUMBER(M50),N(M50)&gt;=5),N50/M50,"")</f>
        <v>1.22652248150256</v>
      </c>
      <c r="P50" s="15" t="n">
        <v>71.9</v>
      </c>
      <c r="Q50" s="15" t="n">
        <v>70.5</v>
      </c>
      <c r="R50" s="25" t="n">
        <f aca="false">IF(AND(ISNUMBER(Q50),ISNUMBER(P50),N(P50)&gt;=5),Q50/P50,"")</f>
        <v>0.980528511821975</v>
      </c>
      <c r="S50" s="15" t="n">
        <v>133.5</v>
      </c>
      <c r="T50" s="15" t="n">
        <v>273.1</v>
      </c>
      <c r="U50" s="22" t="n">
        <f aca="false">IF(AND(ISNUMBER(T50),ISNUMBER(S50),N(S50)&gt;0),T50/S50-1,"")</f>
        <v>1.04569288389513</v>
      </c>
    </row>
    <row r="51" customFormat="false" ht="15" hidden="false" customHeight="false" outlineLevel="0" collapsed="false">
      <c r="A51" s="15" t="s">
        <v>781</v>
      </c>
      <c r="B51" s="15" t="s">
        <v>1427</v>
      </c>
      <c r="C51" s="15" t="s">
        <v>779</v>
      </c>
      <c r="D51" s="15" t="s">
        <v>104</v>
      </c>
      <c r="E51" s="15" t="s">
        <v>326</v>
      </c>
      <c r="F51" s="15" t="s">
        <v>1430</v>
      </c>
      <c r="G51" s="15"/>
      <c r="H51" s="15"/>
      <c r="I51" s="25" t="str">
        <f aca="false">IF(AND(ISNUMBER(H51),ISNUMBER(G51),N(G51)&gt;=5),H51/G51,"")</f>
        <v/>
      </c>
      <c r="J51" s="15"/>
      <c r="K51" s="15"/>
      <c r="L51" s="25" t="str">
        <f aca="false">IF(AND(ISNUMBER(K51),ISNUMBER(J51),N(J51)&gt;=5),K51/J51,"")</f>
        <v/>
      </c>
      <c r="M51" s="15" t="n">
        <v>735</v>
      </c>
      <c r="N51" s="15" t="n">
        <v>782</v>
      </c>
      <c r="O51" s="25" t="n">
        <f aca="false">IF(AND(ISNUMBER(N51),ISNUMBER(M51),N(M51)&gt;=5),N51/M51,"")</f>
        <v>1.06394557823129</v>
      </c>
      <c r="P51" s="15" t="n">
        <v>200.9</v>
      </c>
      <c r="Q51" s="15" t="n">
        <v>466</v>
      </c>
      <c r="R51" s="25" t="n">
        <f aca="false">IF(AND(ISNUMBER(Q51),ISNUMBER(P51),N(P51)&gt;=5),Q51/P51,"")</f>
        <v>2.31956197112992</v>
      </c>
      <c r="S51" s="15" t="n">
        <v>699.2</v>
      </c>
      <c r="T51" s="15" t="n">
        <v>1015</v>
      </c>
      <c r="U51" s="22" t="n">
        <f aca="false">IF(AND(ISNUMBER(T51),ISNUMBER(S51),N(S51)&gt;0),T51/S51-1,"")</f>
        <v>0.451659038901602</v>
      </c>
    </row>
    <row r="52" customFormat="false" ht="15" hidden="false" customHeight="false" outlineLevel="0" collapsed="false">
      <c r="A52" s="15" t="s">
        <v>833</v>
      </c>
      <c r="B52" s="15" t="s">
        <v>1427</v>
      </c>
      <c r="C52" s="15" t="s">
        <v>831</v>
      </c>
      <c r="D52" s="15" t="s">
        <v>104</v>
      </c>
      <c r="E52" s="15" t="s">
        <v>326</v>
      </c>
      <c r="F52" s="15" t="s">
        <v>1430</v>
      </c>
      <c r="G52" s="15"/>
      <c r="H52" s="15"/>
      <c r="I52" s="25" t="str">
        <f aca="false">IF(AND(ISNUMBER(H52),ISNUMBER(G52),N(G52)&gt;=5),H52/G52,"")</f>
        <v/>
      </c>
      <c r="J52" s="15"/>
      <c r="K52" s="15"/>
      <c r="L52" s="25" t="str">
        <f aca="false">IF(AND(ISNUMBER(K52),ISNUMBER(J52),N(J52)&gt;=5),K52/J52,"")</f>
        <v/>
      </c>
      <c r="M52" s="15" t="n">
        <v>505.8</v>
      </c>
      <c r="N52" s="15" t="n">
        <v>566</v>
      </c>
      <c r="O52" s="25" t="n">
        <f aca="false">IF(AND(ISNUMBER(N52),ISNUMBER(M52),N(M52)&gt;=5),N52/M52,"")</f>
        <v>1.11901937524713</v>
      </c>
      <c r="P52" s="15" t="n">
        <v>35.8</v>
      </c>
      <c r="Q52" s="15" t="n">
        <v>24.2</v>
      </c>
      <c r="R52" s="25" t="n">
        <f aca="false">IF(AND(ISNUMBER(Q52),ISNUMBER(P52),N(P52)&gt;=5),Q52/P52,"")</f>
        <v>0.675977653631285</v>
      </c>
      <c r="S52" s="15" t="n">
        <v>358.1</v>
      </c>
      <c r="T52" s="15" t="n">
        <v>281.2</v>
      </c>
      <c r="U52" s="22" t="n">
        <f aca="false">IF(AND(ISNUMBER(T52),ISNUMBER(S52),N(S52)&gt;0),T52/S52-1,"")</f>
        <v>-0.214744484780788</v>
      </c>
    </row>
    <row r="53" customFormat="false" ht="15" hidden="false" customHeight="false" outlineLevel="0" collapsed="false">
      <c r="A53" s="15" t="s">
        <v>621</v>
      </c>
      <c r="B53" s="15" t="s">
        <v>1427</v>
      </c>
      <c r="C53" s="15" t="s">
        <v>619</v>
      </c>
      <c r="D53" s="15" t="s">
        <v>1433</v>
      </c>
      <c r="E53" s="15" t="s">
        <v>326</v>
      </c>
      <c r="F53" s="15" t="s">
        <v>1428</v>
      </c>
      <c r="G53" s="15"/>
      <c r="H53" s="15"/>
      <c r="I53" s="25" t="str">
        <f aca="false">IF(AND(ISNUMBER(H53),ISNUMBER(G53),N(G53)&gt;=5),H53/G53,"")</f>
        <v/>
      </c>
      <c r="J53" s="15"/>
      <c r="K53" s="15"/>
      <c r="L53" s="25" t="str">
        <f aca="false">IF(AND(ISNUMBER(K53),ISNUMBER(J53),N(J53)&gt;=5),K53/J53,"")</f>
        <v/>
      </c>
      <c r="M53" s="15" t="n">
        <v>38.5</v>
      </c>
      <c r="N53" s="15" t="n">
        <v>33.8</v>
      </c>
      <c r="O53" s="25" t="n">
        <f aca="false">IF(AND(ISNUMBER(N53),ISNUMBER(M53),N(M53)&gt;=5),N53/M53,"")</f>
        <v>0.877922077922078</v>
      </c>
      <c r="P53" s="15" t="n">
        <v>4.3</v>
      </c>
      <c r="Q53" s="15" t="n">
        <v>5</v>
      </c>
      <c r="R53" s="25" t="str">
        <f aca="false">IF(AND(ISNUMBER(Q53),ISNUMBER(P53),N(P53)&gt;=5),Q53/P53,"")</f>
        <v/>
      </c>
      <c r="S53" s="15" t="n">
        <v>35.7</v>
      </c>
      <c r="T53" s="15" t="n">
        <v>64.4</v>
      </c>
      <c r="U53" s="22" t="n">
        <f aca="false">IF(AND(ISNUMBER(T53),ISNUMBER(S53),N(S53)&gt;0),T53/S53-1,"")</f>
        <v>0.803921568627451</v>
      </c>
    </row>
    <row r="54" customFormat="false" ht="15" hidden="false" customHeight="false" outlineLevel="0" collapsed="false">
      <c r="A54" s="15" t="s">
        <v>774</v>
      </c>
      <c r="B54" s="15" t="s">
        <v>1427</v>
      </c>
      <c r="C54" s="15" t="s">
        <v>772</v>
      </c>
      <c r="D54" s="15" t="s">
        <v>1429</v>
      </c>
      <c r="E54" s="15" t="s">
        <v>326</v>
      </c>
      <c r="F54" s="15" t="s">
        <v>1430</v>
      </c>
      <c r="G54" s="15"/>
      <c r="H54" s="15"/>
      <c r="I54" s="25" t="str">
        <f aca="false">IF(AND(ISNUMBER(H54),ISNUMBER(G54),N(G54)&gt;=5),H54/G54,"")</f>
        <v/>
      </c>
      <c r="J54" s="15"/>
      <c r="K54" s="15"/>
      <c r="L54" s="25" t="str">
        <f aca="false">IF(AND(ISNUMBER(K54),ISNUMBER(J54),N(J54)&gt;=5),K54/J54,"")</f>
        <v/>
      </c>
      <c r="M54" s="15" t="n">
        <v>1550.6</v>
      </c>
      <c r="N54" s="15" t="n">
        <v>1539.8</v>
      </c>
      <c r="O54" s="25" t="n">
        <f aca="false">IF(AND(ISNUMBER(N54),ISNUMBER(M54),N(M54)&gt;=5),N54/M54,"")</f>
        <v>0.993034954211273</v>
      </c>
      <c r="P54" s="15" t="n">
        <v>733.4</v>
      </c>
      <c r="Q54" s="15" t="n">
        <v>808.5</v>
      </c>
      <c r="R54" s="25" t="n">
        <f aca="false">IF(AND(ISNUMBER(Q54),ISNUMBER(P54),N(P54)&gt;=5),Q54/P54,"")</f>
        <v>1.10239978183801</v>
      </c>
      <c r="S54" s="15" t="n">
        <v>1422.4</v>
      </c>
      <c r="T54" s="15" t="n">
        <v>1740.6</v>
      </c>
      <c r="U54" s="22" t="n">
        <f aca="false">IF(AND(ISNUMBER(T54),ISNUMBER(S54),N(S54)&gt;0),T54/S54-1,"")</f>
        <v>0.223706411698537</v>
      </c>
    </row>
    <row r="55" customFormat="false" ht="15" hidden="false" customHeight="false" outlineLevel="0" collapsed="false">
      <c r="A55" s="15" t="s">
        <v>632</v>
      </c>
      <c r="B55" s="15" t="s">
        <v>1427</v>
      </c>
      <c r="C55" s="15" t="s">
        <v>630</v>
      </c>
      <c r="D55" s="15" t="s">
        <v>1433</v>
      </c>
      <c r="E55" s="15" t="s">
        <v>315</v>
      </c>
      <c r="F55" s="15" t="s">
        <v>1428</v>
      </c>
      <c r="G55" s="15"/>
      <c r="H55" s="15"/>
      <c r="I55" s="25" t="str">
        <f aca="false">IF(AND(ISNUMBER(H55),ISNUMBER(G55),N(G55)&gt;=5),H55/G55,"")</f>
        <v/>
      </c>
      <c r="J55" s="15"/>
      <c r="K55" s="15"/>
      <c r="L55" s="25" t="str">
        <f aca="false">IF(AND(ISNUMBER(K55),ISNUMBER(J55),N(J55)&gt;=5),K55/J55,"")</f>
        <v/>
      </c>
      <c r="M55" s="15" t="n">
        <v>14.2</v>
      </c>
      <c r="N55" s="15" t="n">
        <v>9.8</v>
      </c>
      <c r="O55" s="25" t="n">
        <f aca="false">IF(AND(ISNUMBER(N55),ISNUMBER(M55),N(M55)&gt;=5),N55/M55,"")</f>
        <v>0.690140845070423</v>
      </c>
      <c r="P55" s="15" t="n">
        <v>1.9</v>
      </c>
      <c r="Q55" s="15" t="n">
        <v>1.5</v>
      </c>
      <c r="R55" s="25" t="str">
        <f aca="false">IF(AND(ISNUMBER(Q55),ISNUMBER(P55),N(P55)&gt;=5),Q55/P55,"")</f>
        <v/>
      </c>
      <c r="S55" s="15" t="n">
        <v>21.1</v>
      </c>
      <c r="T55" s="15" t="n">
        <v>25</v>
      </c>
      <c r="U55" s="22" t="n">
        <f aca="false">IF(AND(ISNUMBER(T55),ISNUMBER(S55),N(S55)&gt;0),T55/S55-1,"")</f>
        <v>0.184834123222749</v>
      </c>
    </row>
    <row r="56" customFormat="false" ht="15" hidden="false" customHeight="false" outlineLevel="0" collapsed="false">
      <c r="A56" s="15" t="s">
        <v>1105</v>
      </c>
      <c r="B56" s="15" t="s">
        <v>1427</v>
      </c>
      <c r="C56" s="15" t="s">
        <v>1103</v>
      </c>
      <c r="D56" s="15" t="s">
        <v>148</v>
      </c>
      <c r="E56" s="15" t="s">
        <v>326</v>
      </c>
      <c r="F56" s="15" t="s">
        <v>1430</v>
      </c>
      <c r="G56" s="15"/>
      <c r="H56" s="15"/>
      <c r="I56" s="25" t="str">
        <f aca="false">IF(AND(ISNUMBER(H56),ISNUMBER(G56),N(G56)&gt;=5),H56/G56,"")</f>
        <v/>
      </c>
      <c r="J56" s="15"/>
      <c r="K56" s="15"/>
      <c r="L56" s="25" t="str">
        <f aca="false">IF(AND(ISNUMBER(K56),ISNUMBER(J56),N(J56)&gt;=5),K56/J56,"")</f>
        <v/>
      </c>
      <c r="M56" s="15" t="n">
        <v>2112.1</v>
      </c>
      <c r="N56" s="15" t="n">
        <v>1021</v>
      </c>
      <c r="O56" s="25" t="n">
        <f aca="false">IF(AND(ISNUMBER(N56),ISNUMBER(M56),N(M56)&gt;=5),N56/M56,"")</f>
        <v>0.483405141801998</v>
      </c>
      <c r="P56" s="15" t="n">
        <v>517.9</v>
      </c>
      <c r="Q56" s="15" t="n">
        <v>148.8</v>
      </c>
      <c r="R56" s="25" t="n">
        <f aca="false">IF(AND(ISNUMBER(Q56),ISNUMBER(P56),N(P56)&gt;=5),Q56/P56,"")</f>
        <v>0.28731415331145</v>
      </c>
      <c r="S56" s="15" t="n">
        <v>1454</v>
      </c>
      <c r="T56" s="15" t="n">
        <v>1646</v>
      </c>
      <c r="U56" s="22" t="n">
        <f aca="false">IF(AND(ISNUMBER(T56),ISNUMBER(S56),N(S56)&gt;0),T56/S56-1,"")</f>
        <v>0.132049518569463</v>
      </c>
    </row>
    <row r="57" customFormat="false" ht="15" hidden="false" customHeight="false" outlineLevel="0" collapsed="false">
      <c r="A57" s="15" t="s">
        <v>695</v>
      </c>
      <c r="B57" s="15" t="s">
        <v>1427</v>
      </c>
      <c r="C57" s="15" t="s">
        <v>678</v>
      </c>
      <c r="D57" s="15" t="s">
        <v>99</v>
      </c>
      <c r="E57" s="15" t="s">
        <v>315</v>
      </c>
      <c r="F57" s="15" t="s">
        <v>1428</v>
      </c>
      <c r="G57" s="15"/>
      <c r="H57" s="15"/>
      <c r="I57" s="25" t="str">
        <f aca="false">IF(AND(ISNUMBER(H57),ISNUMBER(G57),N(G57)&gt;=5),H57/G57,"")</f>
        <v/>
      </c>
      <c r="J57" s="15"/>
      <c r="K57" s="15"/>
      <c r="L57" s="25" t="str">
        <f aca="false">IF(AND(ISNUMBER(K57),ISNUMBER(J57),N(J57)&gt;=5),K57/J57,"")</f>
        <v/>
      </c>
      <c r="M57" s="15" t="n">
        <v>222.8</v>
      </c>
      <c r="N57" s="15" t="n">
        <v>203.8</v>
      </c>
      <c r="O57" s="25" t="n">
        <f aca="false">IF(AND(ISNUMBER(N57),ISNUMBER(M57),N(M57)&gt;=5),N57/M57,"")</f>
        <v>0.914721723518851</v>
      </c>
      <c r="P57" s="15" t="n">
        <v>24.4</v>
      </c>
      <c r="Q57" s="15" t="n">
        <v>47.5</v>
      </c>
      <c r="R57" s="25" t="n">
        <f aca="false">IF(AND(ISNUMBER(Q57),ISNUMBER(P57),N(P57)&gt;=5),Q57/P57,"")</f>
        <v>1.94672131147541</v>
      </c>
      <c r="S57" s="15" t="n">
        <v>181.9</v>
      </c>
      <c r="T57" s="15" t="n">
        <v>131.4</v>
      </c>
      <c r="U57" s="22" t="n">
        <f aca="false">IF(AND(ISNUMBER(T57),ISNUMBER(S57),N(S57)&gt;0),T57/S57-1,"")</f>
        <v>-0.277625068719076</v>
      </c>
    </row>
    <row r="58" customFormat="false" ht="15" hidden="false" customHeight="false" outlineLevel="0" collapsed="false">
      <c r="A58" s="15" t="s">
        <v>1037</v>
      </c>
      <c r="B58" s="15" t="s">
        <v>1427</v>
      </c>
      <c r="C58" s="15" t="s">
        <v>1035</v>
      </c>
      <c r="D58" s="15" t="s">
        <v>145</v>
      </c>
      <c r="E58" s="15" t="s">
        <v>326</v>
      </c>
      <c r="F58" s="15" t="s">
        <v>1430</v>
      </c>
      <c r="G58" s="15"/>
      <c r="H58" s="15"/>
      <c r="I58" s="25" t="str">
        <f aca="false">IF(AND(ISNUMBER(H58),ISNUMBER(G58),N(G58)&gt;=5),H58/G58,"")</f>
        <v/>
      </c>
      <c r="J58" s="15"/>
      <c r="K58" s="15"/>
      <c r="L58" s="25" t="str">
        <f aca="false">IF(AND(ISNUMBER(K58),ISNUMBER(J58),N(J58)&gt;=5),K58/J58,"")</f>
        <v/>
      </c>
      <c r="M58" s="15" t="n">
        <v>296.6</v>
      </c>
      <c r="N58" s="15" t="n">
        <v>314.2</v>
      </c>
      <c r="O58" s="25" t="n">
        <f aca="false">IF(AND(ISNUMBER(N58),ISNUMBER(M58),N(M58)&gt;=5),N58/M58,"")</f>
        <v>1.05933917734322</v>
      </c>
      <c r="P58" s="15" t="n">
        <v>12.3</v>
      </c>
      <c r="Q58" s="15" t="n">
        <v>12.8</v>
      </c>
      <c r="R58" s="25" t="n">
        <f aca="false">IF(AND(ISNUMBER(Q58),ISNUMBER(P58),N(P58)&gt;=5),Q58/P58,"")</f>
        <v>1.04065040650407</v>
      </c>
      <c r="S58" s="15" t="n">
        <v>314.8</v>
      </c>
      <c r="T58" s="15" t="n">
        <v>231.1</v>
      </c>
      <c r="U58" s="22" t="n">
        <f aca="false">IF(AND(ISNUMBER(T58),ISNUMBER(S58),N(S58)&gt;0),T58/S58-1,"")</f>
        <v>-0.265883100381194</v>
      </c>
    </row>
    <row r="59" customFormat="false" ht="15" hidden="false" customHeight="false" outlineLevel="0" collapsed="false">
      <c r="A59" s="15" t="s">
        <v>439</v>
      </c>
      <c r="B59" s="15" t="s">
        <v>1427</v>
      </c>
      <c r="C59" s="15" t="s">
        <v>438</v>
      </c>
      <c r="D59" s="15" t="s">
        <v>1440</v>
      </c>
      <c r="E59" s="15" t="s">
        <v>315</v>
      </c>
      <c r="F59" s="15" t="s">
        <v>1428</v>
      </c>
      <c r="G59" s="15"/>
      <c r="H59" s="15"/>
      <c r="I59" s="25" t="str">
        <f aca="false">IF(AND(ISNUMBER(H59),ISNUMBER(G59),N(G59)&gt;=5),H59/G59,"")</f>
        <v/>
      </c>
      <c r="J59" s="15"/>
      <c r="K59" s="15"/>
      <c r="L59" s="25" t="str">
        <f aca="false">IF(AND(ISNUMBER(K59),ISNUMBER(J59),N(J59)&gt;=5),K59/J59,"")</f>
        <v/>
      </c>
      <c r="M59" s="15" t="n">
        <v>0</v>
      </c>
      <c r="N59" s="15" t="n">
        <v>0</v>
      </c>
      <c r="O59" s="25" t="str">
        <f aca="false">IF(AND(ISNUMBER(N59),ISNUMBER(M59),N(M59)&gt;=5),N59/M59,"")</f>
        <v/>
      </c>
      <c r="P59" s="15" t="n">
        <v>0</v>
      </c>
      <c r="Q59" s="15" t="n">
        <v>0</v>
      </c>
      <c r="R59" s="25" t="str">
        <f aca="false">IF(AND(ISNUMBER(Q59),ISNUMBER(P59),N(P59)&gt;=5),Q59/P59,"")</f>
        <v/>
      </c>
      <c r="S59" s="15" t="n">
        <v>13.3</v>
      </c>
      <c r="T59" s="15" t="n">
        <v>0.3</v>
      </c>
      <c r="U59" s="22" t="n">
        <f aca="false">IF(AND(ISNUMBER(T59),ISNUMBER(S59),N(S59)&gt;0),T59/S59-1,"")</f>
        <v>-0.977443609022556</v>
      </c>
    </row>
    <row r="60" customFormat="false" ht="15" hidden="false" customHeight="false" outlineLevel="0" collapsed="false">
      <c r="A60" s="15" t="s">
        <v>1133</v>
      </c>
      <c r="B60" s="15" t="s">
        <v>1427</v>
      </c>
      <c r="C60" s="15" t="s">
        <v>1131</v>
      </c>
      <c r="D60" s="15" t="s">
        <v>148</v>
      </c>
      <c r="E60" s="15" t="s">
        <v>326</v>
      </c>
      <c r="F60" s="15" t="s">
        <v>1430</v>
      </c>
      <c r="G60" s="15"/>
      <c r="H60" s="15"/>
      <c r="I60" s="25" t="str">
        <f aca="false">IF(AND(ISNUMBER(H60),ISNUMBER(G60),N(G60)&gt;=5),H60/G60,"")</f>
        <v/>
      </c>
      <c r="J60" s="15"/>
      <c r="K60" s="15"/>
      <c r="L60" s="25" t="str">
        <f aca="false">IF(AND(ISNUMBER(K60),ISNUMBER(J60),N(J60)&gt;=5),K60/J60,"")</f>
        <v/>
      </c>
      <c r="M60" s="15" t="n">
        <v>557.2</v>
      </c>
      <c r="N60" s="15" t="n">
        <v>430.2</v>
      </c>
      <c r="O60" s="25" t="n">
        <f aca="false">IF(AND(ISNUMBER(N60),ISNUMBER(M60),N(M60)&gt;=5),N60/M60,"")</f>
        <v>0.772074659009332</v>
      </c>
      <c r="P60" s="15" t="n">
        <v>28</v>
      </c>
      <c r="Q60" s="15" t="n">
        <v>22</v>
      </c>
      <c r="R60" s="25" t="n">
        <f aca="false">IF(AND(ISNUMBER(Q60),ISNUMBER(P60),N(P60)&gt;=5),Q60/P60,"")</f>
        <v>0.785714285714286</v>
      </c>
      <c r="S60" s="15" t="n">
        <v>397</v>
      </c>
      <c r="T60" s="15" t="n">
        <v>419.1</v>
      </c>
      <c r="U60" s="22" t="n">
        <f aca="false">IF(AND(ISNUMBER(T60),ISNUMBER(S60),N(S60)&gt;0),T60/S60-1,"")</f>
        <v>0.0556675062972294</v>
      </c>
    </row>
    <row r="61" customFormat="false" ht="15" hidden="false" customHeight="false" outlineLevel="0" collapsed="false">
      <c r="A61" s="15" t="s">
        <v>629</v>
      </c>
      <c r="B61" s="15" t="s">
        <v>1427</v>
      </c>
      <c r="C61" s="15" t="s">
        <v>627</v>
      </c>
      <c r="D61" s="15" t="s">
        <v>1433</v>
      </c>
      <c r="E61" s="15" t="s">
        <v>326</v>
      </c>
      <c r="F61" s="15" t="s">
        <v>1428</v>
      </c>
      <c r="G61" s="15"/>
      <c r="H61" s="15"/>
      <c r="I61" s="25" t="str">
        <f aca="false">IF(AND(ISNUMBER(H61),ISNUMBER(G61),N(G61)&gt;=5),H61/G61,"")</f>
        <v/>
      </c>
      <c r="J61" s="15"/>
      <c r="K61" s="15"/>
      <c r="L61" s="25" t="str">
        <f aca="false">IF(AND(ISNUMBER(K61),ISNUMBER(J61),N(J61)&gt;=5),K61/J61,"")</f>
        <v/>
      </c>
      <c r="M61" s="15" t="n">
        <v>28</v>
      </c>
      <c r="N61" s="15" t="n">
        <v>28.5</v>
      </c>
      <c r="O61" s="25" t="n">
        <f aca="false">IF(AND(ISNUMBER(N61),ISNUMBER(M61),N(M61)&gt;=5),N61/M61,"")</f>
        <v>1.01785714285714</v>
      </c>
      <c r="P61" s="15" t="n">
        <v>4.8</v>
      </c>
      <c r="Q61" s="15" t="n">
        <v>7</v>
      </c>
      <c r="R61" s="25" t="str">
        <f aca="false">IF(AND(ISNUMBER(Q61),ISNUMBER(P61),N(P61)&gt;=5),Q61/P61,"")</f>
        <v/>
      </c>
      <c r="S61" s="15" t="n">
        <v>27.1</v>
      </c>
      <c r="T61" s="15" t="n">
        <v>39.9</v>
      </c>
      <c r="U61" s="22" t="n">
        <f aca="false">IF(AND(ISNUMBER(T61),ISNUMBER(S61),N(S61)&gt;0),T61/S61-1,"")</f>
        <v>0.472324723247232</v>
      </c>
    </row>
    <row r="62" customFormat="false" ht="15" hidden="false" customHeight="false" outlineLevel="0" collapsed="false">
      <c r="A62" s="15" t="s">
        <v>658</v>
      </c>
      <c r="B62" s="15" t="s">
        <v>1427</v>
      </c>
      <c r="C62" s="15" t="s">
        <v>598</v>
      </c>
      <c r="D62" s="15" t="s">
        <v>92</v>
      </c>
      <c r="E62" s="15" t="s">
        <v>326</v>
      </c>
      <c r="F62" s="15" t="s">
        <v>1428</v>
      </c>
      <c r="G62" s="15"/>
      <c r="H62" s="15"/>
      <c r="I62" s="25" t="str">
        <f aca="false">IF(AND(ISNUMBER(H62),ISNUMBER(G62),N(G62)&gt;=5),H62/G62,"")</f>
        <v/>
      </c>
      <c r="J62" s="15"/>
      <c r="K62" s="15"/>
      <c r="L62" s="25" t="str">
        <f aca="false">IF(AND(ISNUMBER(K62),ISNUMBER(J62),N(J62)&gt;=5),K62/J62,"")</f>
        <v/>
      </c>
      <c r="M62" s="15" t="n">
        <v>20.3</v>
      </c>
      <c r="N62" s="15" t="n">
        <v>19.5</v>
      </c>
      <c r="O62" s="25" t="n">
        <f aca="false">IF(AND(ISNUMBER(N62),ISNUMBER(M62),N(M62)&gt;=5),N62/M62,"")</f>
        <v>0.960591133004926</v>
      </c>
      <c r="P62" s="15" t="n">
        <v>0.7</v>
      </c>
      <c r="Q62" s="15" t="n">
        <v>2.5</v>
      </c>
      <c r="R62" s="25" t="str">
        <f aca="false">IF(AND(ISNUMBER(Q62),ISNUMBER(P62),N(P62)&gt;=5),Q62/P62,"")</f>
        <v/>
      </c>
      <c r="S62" s="15" t="n">
        <v>20.2</v>
      </c>
      <c r="T62" s="15" t="n">
        <v>17</v>
      </c>
      <c r="U62" s="22" t="n">
        <f aca="false">IF(AND(ISNUMBER(T62),ISNUMBER(S62),N(S62)&gt;0),T62/S62-1,"")</f>
        <v>-0.158415841584158</v>
      </c>
    </row>
    <row r="63" customFormat="false" ht="15" hidden="false" customHeight="false" outlineLevel="0" collapsed="false">
      <c r="A63" s="15" t="s">
        <v>784</v>
      </c>
      <c r="B63" s="15" t="s">
        <v>1427</v>
      </c>
      <c r="C63" s="15" t="s">
        <v>782</v>
      </c>
      <c r="D63" s="15" t="s">
        <v>104</v>
      </c>
      <c r="E63" s="15" t="s">
        <v>326</v>
      </c>
      <c r="F63" s="15" t="s">
        <v>1430</v>
      </c>
      <c r="G63" s="15"/>
      <c r="H63" s="15"/>
      <c r="I63" s="25" t="str">
        <f aca="false">IF(AND(ISNUMBER(H63),ISNUMBER(G63),N(G63)&gt;=5),H63/G63,"")</f>
        <v/>
      </c>
      <c r="J63" s="15"/>
      <c r="K63" s="15"/>
      <c r="L63" s="25" t="str">
        <f aca="false">IF(AND(ISNUMBER(K63),ISNUMBER(J63),N(J63)&gt;=5),K63/J63,"")</f>
        <v/>
      </c>
      <c r="M63" s="15" t="n">
        <v>727.6</v>
      </c>
      <c r="N63" s="15" t="n">
        <v>734</v>
      </c>
      <c r="O63" s="25" t="n">
        <f aca="false">IF(AND(ISNUMBER(N63),ISNUMBER(M63),N(M63)&gt;=5),N63/M63,"")</f>
        <v>1.0087960417812</v>
      </c>
      <c r="P63" s="15" t="n">
        <v>82.5</v>
      </c>
      <c r="Q63" s="15" t="n">
        <v>95.5</v>
      </c>
      <c r="R63" s="25" t="n">
        <f aca="false">IF(AND(ISNUMBER(Q63),ISNUMBER(P63),N(P63)&gt;=5),Q63/P63,"")</f>
        <v>1.15757575757576</v>
      </c>
      <c r="S63" s="15" t="n">
        <v>719</v>
      </c>
      <c r="T63" s="15" t="n">
        <v>518.7</v>
      </c>
      <c r="U63" s="22" t="n">
        <f aca="false">IF(AND(ISNUMBER(T63),ISNUMBER(S63),N(S63)&gt;0),T63/S63-1,"")</f>
        <v>-0.278581363004172</v>
      </c>
    </row>
    <row r="64" customFormat="false" ht="15" hidden="false" customHeight="false" outlineLevel="0" collapsed="false">
      <c r="A64" s="15" t="s">
        <v>673</v>
      </c>
      <c r="B64" s="15" t="s">
        <v>1427</v>
      </c>
      <c r="C64" s="15" t="s">
        <v>671</v>
      </c>
      <c r="D64" s="15" t="s">
        <v>92</v>
      </c>
      <c r="E64" s="15" t="s">
        <v>326</v>
      </c>
      <c r="F64" s="15" t="s">
        <v>1428</v>
      </c>
      <c r="G64" s="15"/>
      <c r="H64" s="15"/>
      <c r="I64" s="25" t="str">
        <f aca="false">IF(AND(ISNUMBER(H64),ISNUMBER(G64),N(G64)&gt;=5),H64/G64,"")</f>
        <v/>
      </c>
      <c r="J64" s="15"/>
      <c r="K64" s="15"/>
      <c r="L64" s="25" t="str">
        <f aca="false">IF(AND(ISNUMBER(K64),ISNUMBER(J64),N(J64)&gt;=5),K64/J64,"")</f>
        <v/>
      </c>
      <c r="M64" s="15" t="n">
        <v>0</v>
      </c>
      <c r="N64" s="15" t="n">
        <v>0.8</v>
      </c>
      <c r="O64" s="25" t="str">
        <f aca="false">IF(AND(ISNUMBER(N64),ISNUMBER(M64),N(M64)&gt;=5),N64/M64,"")</f>
        <v/>
      </c>
      <c r="P64" s="15" t="n">
        <v>0</v>
      </c>
      <c r="Q64" s="15" t="n">
        <v>0</v>
      </c>
      <c r="R64" s="25" t="str">
        <f aca="false">IF(AND(ISNUMBER(Q64),ISNUMBER(P64),N(P64)&gt;=5),Q64/P64,"")</f>
        <v/>
      </c>
      <c r="S64" s="15" t="n">
        <v>0</v>
      </c>
      <c r="T64" s="15" t="n">
        <v>0.1</v>
      </c>
      <c r="U64" s="22" t="str">
        <f aca="false">IF(AND(ISNUMBER(T64),ISNUMBER(S64),N(S64)&gt;0),T64/S64-1,"")</f>
        <v/>
      </c>
    </row>
    <row r="65" customFormat="false" ht="15" hidden="false" customHeight="false" outlineLevel="0" collapsed="false">
      <c r="A65" s="15" t="s">
        <v>684</v>
      </c>
      <c r="B65" s="15" t="s">
        <v>1427</v>
      </c>
      <c r="C65" s="15" t="s">
        <v>682</v>
      </c>
      <c r="D65" s="15" t="s">
        <v>99</v>
      </c>
      <c r="E65" s="15" t="s">
        <v>315</v>
      </c>
      <c r="F65" s="15" t="s">
        <v>1428</v>
      </c>
      <c r="G65" s="15"/>
      <c r="H65" s="15"/>
      <c r="I65" s="25" t="str">
        <f aca="false">IF(AND(ISNUMBER(H65),ISNUMBER(G65),N(G65)&gt;=5),H65/G65,"")</f>
        <v/>
      </c>
      <c r="J65" s="15"/>
      <c r="K65" s="15"/>
      <c r="L65" s="25" t="str">
        <f aca="false">IF(AND(ISNUMBER(K65),ISNUMBER(J65),N(J65)&gt;=5),K65/J65,"")</f>
        <v/>
      </c>
      <c r="M65" s="15" t="n">
        <v>263.1</v>
      </c>
      <c r="N65" s="15" t="n">
        <v>309.5</v>
      </c>
      <c r="O65" s="25" t="n">
        <f aca="false">IF(AND(ISNUMBER(N65),ISNUMBER(M65),N(M65)&gt;=5),N65/M65,"")</f>
        <v>1.17635879893577</v>
      </c>
      <c r="P65" s="15" t="n">
        <v>66.4</v>
      </c>
      <c r="Q65" s="15" t="n">
        <v>211</v>
      </c>
      <c r="R65" s="25" t="n">
        <f aca="false">IF(AND(ISNUMBER(Q65),ISNUMBER(P65),N(P65)&gt;=5),Q65/P65,"")</f>
        <v>3.17771084337349</v>
      </c>
      <c r="S65" s="15" t="n">
        <v>269.4</v>
      </c>
      <c r="T65" s="15" t="n">
        <v>226.5</v>
      </c>
      <c r="U65" s="22" t="n">
        <f aca="false">IF(AND(ISNUMBER(T65),ISNUMBER(S65),N(S65)&gt;0),T65/S65-1,"")</f>
        <v>-0.15924276169265</v>
      </c>
    </row>
    <row r="66" customFormat="false" ht="15" hidden="false" customHeight="false" outlineLevel="0" collapsed="false">
      <c r="A66" s="15" t="s">
        <v>975</v>
      </c>
      <c r="B66" s="15" t="s">
        <v>1427</v>
      </c>
      <c r="C66" s="15" t="s">
        <v>516</v>
      </c>
      <c r="D66" s="15" t="s">
        <v>134</v>
      </c>
      <c r="E66" s="15" t="s">
        <v>315</v>
      </c>
      <c r="F66" s="15" t="s">
        <v>1428</v>
      </c>
      <c r="G66" s="15"/>
      <c r="H66" s="15"/>
      <c r="I66" s="25" t="str">
        <f aca="false">IF(AND(ISNUMBER(H66),ISNUMBER(G66),N(G66)&gt;=5),H66/G66,"")</f>
        <v/>
      </c>
      <c r="J66" s="15"/>
      <c r="K66" s="15"/>
      <c r="L66" s="25" t="str">
        <f aca="false">IF(AND(ISNUMBER(K66),ISNUMBER(J66),N(J66)&gt;=5),K66/J66,"")</f>
        <v/>
      </c>
      <c r="M66" s="15" t="n">
        <v>555.3</v>
      </c>
      <c r="N66" s="15" t="n">
        <v>784.8</v>
      </c>
      <c r="O66" s="25" t="n">
        <f aca="false">IF(AND(ISNUMBER(N66),ISNUMBER(M66),N(M66)&gt;=5),N66/M66,"")</f>
        <v>1.41329011345219</v>
      </c>
      <c r="P66" s="15" t="n">
        <v>275.1</v>
      </c>
      <c r="Q66" s="15" t="n">
        <v>475.5</v>
      </c>
      <c r="R66" s="25" t="n">
        <f aca="false">IF(AND(ISNUMBER(Q66),ISNUMBER(P66),N(P66)&gt;=5),Q66/P66,"")</f>
        <v>1.72846237731734</v>
      </c>
      <c r="S66" s="15" t="n">
        <v>521.3</v>
      </c>
      <c r="T66" s="15" t="n">
        <v>480.4</v>
      </c>
      <c r="U66" s="22" t="n">
        <f aca="false">IF(AND(ISNUMBER(T66),ISNUMBER(S66),N(S66)&gt;0),T66/S66-1,"")</f>
        <v>-0.0784577018990984</v>
      </c>
    </row>
    <row r="67" customFormat="false" ht="15" hidden="false" customHeight="false" outlineLevel="0" collapsed="false">
      <c r="A67" s="15" t="s">
        <v>1109</v>
      </c>
      <c r="B67" s="15" t="s">
        <v>1427</v>
      </c>
      <c r="C67" s="15" t="s">
        <v>1107</v>
      </c>
      <c r="D67" s="15" t="s">
        <v>148</v>
      </c>
      <c r="E67" s="15" t="s">
        <v>326</v>
      </c>
      <c r="F67" s="15" t="s">
        <v>1430</v>
      </c>
      <c r="G67" s="15"/>
      <c r="H67" s="15"/>
      <c r="I67" s="25" t="str">
        <f aca="false">IF(AND(ISNUMBER(H67),ISNUMBER(G67),N(G67)&gt;=5),H67/G67,"")</f>
        <v/>
      </c>
      <c r="J67" s="15"/>
      <c r="K67" s="15"/>
      <c r="L67" s="25" t="str">
        <f aca="false">IF(AND(ISNUMBER(K67),ISNUMBER(J67),N(J67)&gt;=5),K67/J67,"")</f>
        <v/>
      </c>
      <c r="M67" s="15" t="n">
        <v>1485.8</v>
      </c>
      <c r="N67" s="15" t="n">
        <v>1544.5</v>
      </c>
      <c r="O67" s="25" t="n">
        <f aca="false">IF(AND(ISNUMBER(N67),ISNUMBER(M67),N(M67)&gt;=5),N67/M67,"")</f>
        <v>1.03950733611522</v>
      </c>
      <c r="P67" s="15" t="n">
        <v>84.5</v>
      </c>
      <c r="Q67" s="15" t="n">
        <v>210</v>
      </c>
      <c r="R67" s="25" t="n">
        <f aca="false">IF(AND(ISNUMBER(Q67),ISNUMBER(P67),N(P67)&gt;=5),Q67/P67,"")</f>
        <v>2.48520710059172</v>
      </c>
      <c r="S67" s="15" t="n">
        <v>1547.2</v>
      </c>
      <c r="T67" s="15" t="n">
        <v>2096.3</v>
      </c>
      <c r="U67" s="22" t="n">
        <f aca="false">IF(AND(ISNUMBER(T67),ISNUMBER(S67),N(S67)&gt;0),T67/S67-1,"")</f>
        <v>0.354899172699069</v>
      </c>
    </row>
    <row r="68" customFormat="false" ht="15" hidden="false" customHeight="false" outlineLevel="0" collapsed="false">
      <c r="A68" s="15" t="s">
        <v>808</v>
      </c>
      <c r="B68" s="15" t="s">
        <v>1427</v>
      </c>
      <c r="C68" s="15" t="s">
        <v>806</v>
      </c>
      <c r="D68" s="15" t="s">
        <v>1429</v>
      </c>
      <c r="E68" s="15" t="s">
        <v>326</v>
      </c>
      <c r="F68" s="15" t="s">
        <v>1430</v>
      </c>
      <c r="G68" s="15"/>
      <c r="H68" s="15"/>
      <c r="I68" s="25" t="str">
        <f aca="false">IF(AND(ISNUMBER(H68),ISNUMBER(G68),N(G68)&gt;=5),H68/G68,"")</f>
        <v/>
      </c>
      <c r="J68" s="15"/>
      <c r="K68" s="15"/>
      <c r="L68" s="25" t="str">
        <f aca="false">IF(AND(ISNUMBER(K68),ISNUMBER(J68),N(J68)&gt;=5),K68/J68,"")</f>
        <v/>
      </c>
      <c r="M68" s="15" t="n">
        <v>215.1</v>
      </c>
      <c r="N68" s="15" t="n">
        <v>63</v>
      </c>
      <c r="O68" s="25" t="n">
        <f aca="false">IF(AND(ISNUMBER(N68),ISNUMBER(M68),N(M68)&gt;=5),N68/M68,"")</f>
        <v>0.292887029288703</v>
      </c>
      <c r="P68" s="15" t="n">
        <v>87.3</v>
      </c>
      <c r="Q68" s="15" t="n">
        <v>76</v>
      </c>
      <c r="R68" s="25" t="n">
        <f aca="false">IF(AND(ISNUMBER(Q68),ISNUMBER(P68),N(P68)&gt;=5),Q68/P68,"")</f>
        <v>0.870561282932417</v>
      </c>
      <c r="S68" s="15" t="n">
        <v>207.3</v>
      </c>
      <c r="T68" s="15" t="n">
        <v>186.9</v>
      </c>
      <c r="U68" s="22" t="n">
        <f aca="false">IF(AND(ISNUMBER(T68),ISNUMBER(S68),N(S68)&gt;0),T68/S68-1,"")</f>
        <v>-0.0984081041968162</v>
      </c>
    </row>
    <row r="69" customFormat="false" ht="15" hidden="false" customHeight="false" outlineLevel="0" collapsed="false">
      <c r="A69" s="15" t="s">
        <v>676</v>
      </c>
      <c r="B69" s="15" t="s">
        <v>1427</v>
      </c>
      <c r="C69" s="15" t="s">
        <v>674</v>
      </c>
      <c r="D69" s="15" t="s">
        <v>99</v>
      </c>
      <c r="E69" s="15" t="s">
        <v>315</v>
      </c>
      <c r="F69" s="15" t="s">
        <v>1428</v>
      </c>
      <c r="G69" s="15"/>
      <c r="H69" s="15"/>
      <c r="I69" s="25" t="str">
        <f aca="false">IF(AND(ISNUMBER(H69),ISNUMBER(G69),N(G69)&gt;=5),H69/G69,"")</f>
        <v/>
      </c>
      <c r="J69" s="15"/>
      <c r="K69" s="15"/>
      <c r="L69" s="25" t="str">
        <f aca="false">IF(AND(ISNUMBER(K69),ISNUMBER(J69),N(J69)&gt;=5),K69/J69,"")</f>
        <v/>
      </c>
      <c r="M69" s="15" t="n">
        <v>707.8</v>
      </c>
      <c r="N69" s="15" t="n">
        <v>1024.2</v>
      </c>
      <c r="O69" s="25" t="n">
        <f aca="false">IF(AND(ISNUMBER(N69),ISNUMBER(M69),N(M69)&gt;=5),N69/M69,"")</f>
        <v>1.44701893190167</v>
      </c>
      <c r="P69" s="15" t="n">
        <v>189.2</v>
      </c>
      <c r="Q69" s="15" t="n">
        <v>295.8</v>
      </c>
      <c r="R69" s="25" t="n">
        <f aca="false">IF(AND(ISNUMBER(Q69),ISNUMBER(P69),N(P69)&gt;=5),Q69/P69,"")</f>
        <v>1.56342494714588</v>
      </c>
      <c r="S69" s="15" t="n">
        <v>769.5</v>
      </c>
      <c r="T69" s="15" t="n">
        <v>800.8</v>
      </c>
      <c r="U69" s="22" t="n">
        <f aca="false">IF(AND(ISNUMBER(T69),ISNUMBER(S69),N(S69)&gt;0),T69/S69-1,"")</f>
        <v>0.040675763482781</v>
      </c>
    </row>
    <row r="70" customFormat="false" ht="15" hidden="false" customHeight="false" outlineLevel="0" collapsed="false">
      <c r="A70" s="15" t="s">
        <v>626</v>
      </c>
      <c r="B70" s="15" t="s">
        <v>1427</v>
      </c>
      <c r="C70" s="15" t="s">
        <v>624</v>
      </c>
      <c r="D70" s="15" t="s">
        <v>1433</v>
      </c>
      <c r="E70" s="15" t="s">
        <v>326</v>
      </c>
      <c r="F70" s="15" t="s">
        <v>1428</v>
      </c>
      <c r="G70" s="15"/>
      <c r="H70" s="15"/>
      <c r="I70" s="25" t="str">
        <f aca="false">IF(AND(ISNUMBER(H70),ISNUMBER(G70),N(G70)&gt;=5),H70/G70,"")</f>
        <v/>
      </c>
      <c r="J70" s="15"/>
      <c r="K70" s="15"/>
      <c r="L70" s="25" t="str">
        <f aca="false">IF(AND(ISNUMBER(K70),ISNUMBER(J70),N(J70)&gt;=5),K70/J70,"")</f>
        <v/>
      </c>
      <c r="M70" s="15" t="n">
        <v>36</v>
      </c>
      <c r="N70" s="15" t="n">
        <v>35.5</v>
      </c>
      <c r="O70" s="25" t="n">
        <f aca="false">IF(AND(ISNUMBER(N70),ISNUMBER(M70),N(M70)&gt;=5),N70/M70,"")</f>
        <v>0.986111111111111</v>
      </c>
      <c r="P70" s="15" t="n">
        <v>1.2</v>
      </c>
      <c r="Q70" s="15" t="n">
        <v>0.5</v>
      </c>
      <c r="R70" s="25" t="str">
        <f aca="false">IF(AND(ISNUMBER(Q70),ISNUMBER(P70),N(P70)&gt;=5),Q70/P70,"")</f>
        <v/>
      </c>
      <c r="S70" s="15" t="n">
        <v>28.2</v>
      </c>
      <c r="T70" s="15" t="n">
        <v>41.4</v>
      </c>
      <c r="U70" s="22" t="n">
        <f aca="false">IF(AND(ISNUMBER(T70),ISNUMBER(S70),N(S70)&gt;0),T70/S70-1,"")</f>
        <v>0.468085106382979</v>
      </c>
    </row>
    <row r="71" customFormat="false" ht="15" hidden="false" customHeight="false" outlineLevel="0" collapsed="false">
      <c r="A71" s="15" t="s">
        <v>805</v>
      </c>
      <c r="B71" s="15" t="s">
        <v>1427</v>
      </c>
      <c r="C71" s="15" t="s">
        <v>803</v>
      </c>
      <c r="D71" s="15" t="s">
        <v>1429</v>
      </c>
      <c r="E71" s="15" t="s">
        <v>326</v>
      </c>
      <c r="F71" s="15" t="s">
        <v>1428</v>
      </c>
      <c r="G71" s="15"/>
      <c r="H71" s="15"/>
      <c r="I71" s="25" t="str">
        <f aca="false">IF(AND(ISNUMBER(H71),ISNUMBER(G71),N(G71)&gt;=5),H71/G71,"")</f>
        <v/>
      </c>
      <c r="J71" s="15"/>
      <c r="K71" s="15"/>
      <c r="L71" s="25" t="str">
        <f aca="false">IF(AND(ISNUMBER(K71),ISNUMBER(J71),N(J71)&gt;=5),K71/J71,"")</f>
        <v/>
      </c>
      <c r="M71" s="15" t="n">
        <v>561.1</v>
      </c>
      <c r="N71" s="15" t="n">
        <v>496.2</v>
      </c>
      <c r="O71" s="25" t="n">
        <f aca="false">IF(AND(ISNUMBER(N71),ISNUMBER(M71),N(M71)&gt;=5),N71/M71,"")</f>
        <v>0.884334343254322</v>
      </c>
      <c r="P71" s="15" t="n">
        <v>7.3</v>
      </c>
      <c r="Q71" s="15" t="n">
        <v>4.5</v>
      </c>
      <c r="R71" s="25" t="n">
        <f aca="false">IF(AND(ISNUMBER(Q71),ISNUMBER(P71),N(P71)&gt;=5),Q71/P71,"")</f>
        <v>0.616438356164384</v>
      </c>
      <c r="S71" s="15" t="n">
        <v>458.6</v>
      </c>
      <c r="T71" s="15" t="n">
        <v>275.2</v>
      </c>
      <c r="U71" s="22" t="n">
        <f aca="false">IF(AND(ISNUMBER(T71),ISNUMBER(S71),N(S71)&gt;0),T71/S71-1,"")</f>
        <v>-0.399912778020061</v>
      </c>
    </row>
    <row r="72" customFormat="false" ht="15" hidden="false" customHeight="false" outlineLevel="0" collapsed="false">
      <c r="A72" s="15" t="s">
        <v>1041</v>
      </c>
      <c r="B72" s="15" t="s">
        <v>1427</v>
      </c>
      <c r="C72" s="15" t="s">
        <v>1039</v>
      </c>
      <c r="D72" s="15" t="s">
        <v>145</v>
      </c>
      <c r="E72" s="15" t="s">
        <v>326</v>
      </c>
      <c r="F72" s="15" t="s">
        <v>1430</v>
      </c>
      <c r="G72" s="15"/>
      <c r="H72" s="15"/>
      <c r="I72" s="25" t="str">
        <f aca="false">IF(AND(ISNUMBER(H72),ISNUMBER(G72),N(G72)&gt;=5),H72/G72,"")</f>
        <v/>
      </c>
      <c r="J72" s="15"/>
      <c r="K72" s="15"/>
      <c r="L72" s="25" t="str">
        <f aca="false">IF(AND(ISNUMBER(K72),ISNUMBER(J72),N(J72)&gt;=5),K72/J72,"")</f>
        <v/>
      </c>
      <c r="M72" s="15" t="n">
        <v>97.5</v>
      </c>
      <c r="N72" s="15" t="n">
        <v>130.8</v>
      </c>
      <c r="O72" s="25" t="n">
        <f aca="false">IF(AND(ISNUMBER(N72),ISNUMBER(M72),N(M72)&gt;=5),N72/M72,"")</f>
        <v>1.34153846153846</v>
      </c>
      <c r="P72" s="15" t="n">
        <v>2.5</v>
      </c>
      <c r="Q72" s="15" t="n">
        <v>1</v>
      </c>
      <c r="R72" s="25" t="str">
        <f aca="false">IF(AND(ISNUMBER(Q72),ISNUMBER(P72),N(P72)&gt;=5),Q72/P72,"")</f>
        <v/>
      </c>
      <c r="S72" s="15" t="n">
        <v>194.8</v>
      </c>
      <c r="T72" s="15" t="n">
        <v>263.1</v>
      </c>
      <c r="U72" s="22" t="n">
        <f aca="false">IF(AND(ISNUMBER(T72),ISNUMBER(S72),N(S72)&gt;0),T72/S72-1,"")</f>
        <v>0.350616016427105</v>
      </c>
    </row>
    <row r="73" customFormat="false" ht="15" hidden="false" customHeight="false" outlineLevel="0" collapsed="false">
      <c r="A73" s="15" t="s">
        <v>926</v>
      </c>
      <c r="B73" s="15" t="s">
        <v>1427</v>
      </c>
      <c r="C73" s="15" t="s">
        <v>924</v>
      </c>
      <c r="D73" s="15" t="s">
        <v>1435</v>
      </c>
      <c r="E73" s="15" t="s">
        <v>315</v>
      </c>
      <c r="F73" s="15" t="s">
        <v>1428</v>
      </c>
      <c r="G73" s="15"/>
      <c r="H73" s="15"/>
      <c r="I73" s="25" t="str">
        <f aca="false">IF(AND(ISNUMBER(H73),ISNUMBER(G73),N(G73)&gt;=5),H73/G73,"")</f>
        <v/>
      </c>
      <c r="J73" s="15"/>
      <c r="K73" s="15"/>
      <c r="L73" s="25" t="str">
        <f aca="false">IF(AND(ISNUMBER(K73),ISNUMBER(J73),N(J73)&gt;=5),K73/J73,"")</f>
        <v/>
      </c>
      <c r="M73" s="15" t="n">
        <v>41.2</v>
      </c>
      <c r="N73" s="15" t="n">
        <v>35</v>
      </c>
      <c r="O73" s="25" t="n">
        <f aca="false">IF(AND(ISNUMBER(N73),ISNUMBER(M73),N(M73)&gt;=5),N73/M73,"")</f>
        <v>0.849514563106796</v>
      </c>
      <c r="P73" s="15" t="n">
        <v>10</v>
      </c>
      <c r="Q73" s="15" t="n">
        <v>3.2</v>
      </c>
      <c r="R73" s="25" t="n">
        <f aca="false">IF(AND(ISNUMBER(Q73),ISNUMBER(P73),N(P73)&gt;=5),Q73/P73,"")</f>
        <v>0.32</v>
      </c>
      <c r="S73" s="15" t="n">
        <v>22.9</v>
      </c>
      <c r="T73" s="15" t="n">
        <v>32.8</v>
      </c>
      <c r="U73" s="22" t="n">
        <f aca="false">IF(AND(ISNUMBER(T73),ISNUMBER(S73),N(S73)&gt;0),T73/S73-1,"")</f>
        <v>0.432314410480349</v>
      </c>
    </row>
    <row r="74" customFormat="false" ht="15" hidden="false" customHeight="false" outlineLevel="0" collapsed="false">
      <c r="A74" s="15" t="s">
        <v>802</v>
      </c>
      <c r="B74" s="15" t="s">
        <v>1427</v>
      </c>
      <c r="C74" s="15" t="s">
        <v>772</v>
      </c>
      <c r="D74" s="15" t="s">
        <v>1429</v>
      </c>
      <c r="E74" s="15" t="s">
        <v>326</v>
      </c>
      <c r="F74" s="15" t="s">
        <v>1430</v>
      </c>
      <c r="G74" s="15"/>
      <c r="H74" s="15"/>
      <c r="I74" s="25" t="str">
        <f aca="false">IF(AND(ISNUMBER(H74),ISNUMBER(G74),N(G74)&gt;=5),H74/G74,"")</f>
        <v/>
      </c>
      <c r="J74" s="15"/>
      <c r="K74" s="15"/>
      <c r="L74" s="25" t="str">
        <f aca="false">IF(AND(ISNUMBER(K74),ISNUMBER(J74),N(J74)&gt;=5),K74/J74,"")</f>
        <v/>
      </c>
      <c r="M74" s="15" t="n">
        <v>735.9</v>
      </c>
      <c r="N74" s="15" t="n">
        <v>643.2</v>
      </c>
      <c r="O74" s="25" t="n">
        <f aca="false">IF(AND(ISNUMBER(N74),ISNUMBER(M74),N(M74)&gt;=5),N74/M74,"")</f>
        <v>0.874031797798614</v>
      </c>
      <c r="P74" s="15" t="n">
        <v>113.5</v>
      </c>
      <c r="Q74" s="15" t="n">
        <v>242.2</v>
      </c>
      <c r="R74" s="25" t="n">
        <f aca="false">IF(AND(ISNUMBER(Q74),ISNUMBER(P74),N(P74)&gt;=5),Q74/P74,"")</f>
        <v>2.13392070484582</v>
      </c>
      <c r="S74" s="15" t="n">
        <v>645.6</v>
      </c>
      <c r="T74" s="15" t="n">
        <v>750.6</v>
      </c>
      <c r="U74" s="22" t="n">
        <f aca="false">IF(AND(ISNUMBER(T74),ISNUMBER(S74),N(S74)&gt;0),T74/S74-1,"")</f>
        <v>0.162639405204461</v>
      </c>
    </row>
    <row r="75" customFormat="false" ht="15" hidden="false" customHeight="false" outlineLevel="0" collapsed="false">
      <c r="A75" s="15" t="s">
        <v>1006</v>
      </c>
      <c r="B75" s="15" t="s">
        <v>1427</v>
      </c>
      <c r="C75" s="15" t="s">
        <v>307</v>
      </c>
      <c r="D75" s="15" t="s">
        <v>134</v>
      </c>
      <c r="E75" s="15" t="s">
        <v>531</v>
      </c>
      <c r="F75" s="15" t="s">
        <v>1441</v>
      </c>
      <c r="G75" s="15"/>
      <c r="H75" s="15"/>
      <c r="I75" s="25" t="str">
        <f aca="false">IF(AND(ISNUMBER(H75),ISNUMBER(G75),N(G75)&gt;=5),H75/G75,"")</f>
        <v/>
      </c>
      <c r="J75" s="15"/>
      <c r="K75" s="15"/>
      <c r="L75" s="25" t="str">
        <f aca="false">IF(AND(ISNUMBER(K75),ISNUMBER(J75),N(J75)&gt;=5),K75/J75,"")</f>
        <v/>
      </c>
      <c r="M75" s="15" t="n">
        <v>1195</v>
      </c>
      <c r="N75" s="15" t="n">
        <v>1275</v>
      </c>
      <c r="O75" s="25" t="n">
        <f aca="false">IF(AND(ISNUMBER(N75),ISNUMBER(M75),N(M75)&gt;=5),N75/M75,"")</f>
        <v>1.06694560669456</v>
      </c>
      <c r="P75" s="15" t="n">
        <v>44.8</v>
      </c>
      <c r="Q75" s="15" t="n">
        <v>146.2</v>
      </c>
      <c r="R75" s="25" t="n">
        <f aca="false">IF(AND(ISNUMBER(Q75),ISNUMBER(P75),N(P75)&gt;=5),Q75/P75,"")</f>
        <v>3.26339285714286</v>
      </c>
      <c r="S75" s="15" t="n">
        <v>923.2</v>
      </c>
      <c r="T75" s="15" t="n">
        <v>1213.3</v>
      </c>
      <c r="U75" s="22" t="n">
        <f aca="false">IF(AND(ISNUMBER(T75),ISNUMBER(S75),N(S75)&gt;0),T75/S75-1,"")</f>
        <v>0.314233102253033</v>
      </c>
    </row>
    <row r="76" customFormat="false" ht="15" hidden="false" customHeight="false" outlineLevel="0" collapsed="false">
      <c r="A76" s="15" t="s">
        <v>562</v>
      </c>
      <c r="B76" s="15" t="s">
        <v>1427</v>
      </c>
      <c r="C76" s="15" t="s">
        <v>327</v>
      </c>
      <c r="D76" s="15" t="s">
        <v>1436</v>
      </c>
      <c r="E76" s="15" t="s">
        <v>326</v>
      </c>
      <c r="F76" s="15" t="s">
        <v>1428</v>
      </c>
      <c r="G76" s="15"/>
      <c r="H76" s="15"/>
      <c r="I76" s="25" t="str">
        <f aca="false">IF(AND(ISNUMBER(H76),ISNUMBER(G76),N(G76)&gt;=5),H76/G76,"")</f>
        <v/>
      </c>
      <c r="J76" s="15"/>
      <c r="K76" s="15"/>
      <c r="L76" s="25" t="str">
        <f aca="false">IF(AND(ISNUMBER(K76),ISNUMBER(J76),N(J76)&gt;=5),K76/J76,"")</f>
        <v/>
      </c>
      <c r="M76" s="15" t="n">
        <v>651.1</v>
      </c>
      <c r="N76" s="15" t="n">
        <v>674.8</v>
      </c>
      <c r="O76" s="25" t="n">
        <f aca="false">IF(AND(ISNUMBER(N76),ISNUMBER(M76),N(M76)&gt;=5),N76/M76,"")</f>
        <v>1.0363999385655</v>
      </c>
      <c r="P76" s="15" t="n">
        <v>53</v>
      </c>
      <c r="Q76" s="15" t="n">
        <v>38.8</v>
      </c>
      <c r="R76" s="25" t="n">
        <f aca="false">IF(AND(ISNUMBER(Q76),ISNUMBER(P76),N(P76)&gt;=5),Q76/P76,"")</f>
        <v>0.732075471698113</v>
      </c>
      <c r="S76" s="15" t="n">
        <v>767.9</v>
      </c>
      <c r="T76" s="15" t="n">
        <v>665.3</v>
      </c>
      <c r="U76" s="22" t="n">
        <f aca="false">IF(AND(ISNUMBER(T76),ISNUMBER(S76),N(S76)&gt;0),T76/S76-1,"")</f>
        <v>-0.133611147284803</v>
      </c>
    </row>
    <row r="77" customFormat="false" ht="15" hidden="false" customHeight="false" outlineLevel="0" collapsed="false">
      <c r="A77" s="15" t="s">
        <v>989</v>
      </c>
      <c r="B77" s="15" t="s">
        <v>1427</v>
      </c>
      <c r="C77" s="15" t="s">
        <v>987</v>
      </c>
      <c r="D77" s="15" t="s">
        <v>134</v>
      </c>
      <c r="E77" s="15" t="s">
        <v>315</v>
      </c>
      <c r="F77" s="15" t="s">
        <v>1428</v>
      </c>
      <c r="G77" s="15"/>
      <c r="H77" s="15"/>
      <c r="I77" s="25" t="str">
        <f aca="false">IF(AND(ISNUMBER(H77),ISNUMBER(G77),N(G77)&gt;=5),H77/G77,"")</f>
        <v/>
      </c>
      <c r="J77" s="15"/>
      <c r="K77" s="15"/>
      <c r="L77" s="25" t="str">
        <f aca="false">IF(AND(ISNUMBER(K77),ISNUMBER(J77),N(J77)&gt;=5),K77/J77,"")</f>
        <v/>
      </c>
      <c r="M77" s="15" t="n">
        <v>254.8</v>
      </c>
      <c r="N77" s="15" t="n">
        <v>222.5</v>
      </c>
      <c r="O77" s="25" t="n">
        <f aca="false">IF(AND(ISNUMBER(N77),ISNUMBER(M77),N(M77)&gt;=5),N77/M77,"")</f>
        <v>0.873233908948195</v>
      </c>
      <c r="P77" s="15" t="n">
        <v>116.9</v>
      </c>
      <c r="Q77" s="15" t="n">
        <v>287.2</v>
      </c>
      <c r="R77" s="25" t="n">
        <f aca="false">IF(AND(ISNUMBER(Q77),ISNUMBER(P77),N(P77)&gt;=5),Q77/P77,"")</f>
        <v>2.45680068434559</v>
      </c>
      <c r="S77" s="15" t="n">
        <v>182.2</v>
      </c>
      <c r="T77" s="15" t="n">
        <v>355.7</v>
      </c>
      <c r="U77" s="22" t="n">
        <f aca="false">IF(AND(ISNUMBER(T77),ISNUMBER(S77),N(S77)&gt;0),T77/S77-1,"")</f>
        <v>0.95225027442371</v>
      </c>
    </row>
    <row r="78" customFormat="false" ht="15" hidden="false" customHeight="false" outlineLevel="0" collapsed="false">
      <c r="A78" s="15" t="s">
        <v>1093</v>
      </c>
      <c r="B78" s="15" t="s">
        <v>1427</v>
      </c>
      <c r="C78" s="15" t="s">
        <v>1091</v>
      </c>
      <c r="D78" s="15" t="s">
        <v>148</v>
      </c>
      <c r="E78" s="15" t="s">
        <v>326</v>
      </c>
      <c r="F78" s="15" t="s">
        <v>1430</v>
      </c>
      <c r="G78" s="15"/>
      <c r="H78" s="15"/>
      <c r="I78" s="25" t="str">
        <f aca="false">IF(AND(ISNUMBER(H78),ISNUMBER(G78),N(G78)&gt;=5),H78/G78,"")</f>
        <v/>
      </c>
      <c r="J78" s="15"/>
      <c r="K78" s="15"/>
      <c r="L78" s="25" t="str">
        <f aca="false">IF(AND(ISNUMBER(K78),ISNUMBER(J78),N(J78)&gt;=5),K78/J78,"")</f>
        <v/>
      </c>
      <c r="M78" s="15" t="n">
        <v>3767.7</v>
      </c>
      <c r="N78" s="15" t="n">
        <v>3275.2</v>
      </c>
      <c r="O78" s="25" t="n">
        <f aca="false">IF(AND(ISNUMBER(N78),ISNUMBER(M78),N(M78)&gt;=5),N78/M78,"")</f>
        <v>0.86928364784882</v>
      </c>
      <c r="P78" s="15" t="n">
        <v>1556.3</v>
      </c>
      <c r="Q78" s="15" t="n">
        <v>1176.2</v>
      </c>
      <c r="R78" s="25" t="n">
        <f aca="false">IF(AND(ISNUMBER(Q78),ISNUMBER(P78),N(P78)&gt;=5),Q78/P78,"")</f>
        <v>0.755766882991711</v>
      </c>
      <c r="S78" s="15" t="n">
        <v>3101.4</v>
      </c>
      <c r="T78" s="15" t="n">
        <v>2881.4</v>
      </c>
      <c r="U78" s="22" t="n">
        <f aca="false">IF(AND(ISNUMBER(T78),ISNUMBER(S78),N(S78)&gt;0),T78/S78-1,"")</f>
        <v>-0.0709357064551492</v>
      </c>
    </row>
    <row r="79" customFormat="false" ht="15" hidden="false" customHeight="false" outlineLevel="0" collapsed="false">
      <c r="A79" s="15" t="s">
        <v>954</v>
      </c>
      <c r="B79" s="15" t="s">
        <v>1427</v>
      </c>
      <c r="C79" s="15" t="s">
        <v>953</v>
      </c>
      <c r="D79" s="15" t="s">
        <v>1435</v>
      </c>
      <c r="E79" s="15" t="s">
        <v>531</v>
      </c>
      <c r="F79" s="15" t="s">
        <v>1441</v>
      </c>
      <c r="G79" s="15"/>
      <c r="H79" s="15"/>
      <c r="I79" s="25" t="str">
        <f aca="false">IF(AND(ISNUMBER(H79),ISNUMBER(G79),N(G79)&gt;=5),H79/G79,"")</f>
        <v/>
      </c>
      <c r="J79" s="15"/>
      <c r="K79" s="15"/>
      <c r="L79" s="25" t="str">
        <f aca="false">IF(AND(ISNUMBER(K79),ISNUMBER(J79),N(J79)&gt;=5),K79/J79,"")</f>
        <v/>
      </c>
      <c r="M79" s="15" t="n">
        <v>0</v>
      </c>
      <c r="N79" s="15" t="n">
        <v>0</v>
      </c>
      <c r="O79" s="25" t="str">
        <f aca="false">IF(AND(ISNUMBER(N79),ISNUMBER(M79),N(M79)&gt;=5),N79/M79,"")</f>
        <v/>
      </c>
      <c r="P79" s="15" t="n">
        <v>0</v>
      </c>
      <c r="Q79" s="15" t="n">
        <v>0</v>
      </c>
      <c r="R79" s="25" t="str">
        <f aca="false">IF(AND(ISNUMBER(Q79),ISNUMBER(P79),N(P79)&gt;=5),Q79/P79,"")</f>
        <v/>
      </c>
      <c r="S79" s="15" t="n">
        <v>0</v>
      </c>
      <c r="T79" s="15" t="n">
        <v>0</v>
      </c>
      <c r="U79" s="22" t="str">
        <f aca="false">IF(AND(ISNUMBER(T79),ISNUMBER(S79),N(S79)&gt;0),T79/S79-1,"")</f>
        <v/>
      </c>
    </row>
    <row r="80" customFormat="false" ht="15" hidden="false" customHeight="false" outlineLevel="0" collapsed="false">
      <c r="A80" s="15" t="s">
        <v>972</v>
      </c>
      <c r="B80" s="15" t="s">
        <v>1427</v>
      </c>
      <c r="C80" s="15" t="s">
        <v>532</v>
      </c>
      <c r="D80" s="15" t="s">
        <v>134</v>
      </c>
      <c r="E80" s="15" t="s">
        <v>315</v>
      </c>
      <c r="F80" s="15" t="s">
        <v>1428</v>
      </c>
      <c r="G80" s="15"/>
      <c r="H80" s="15"/>
      <c r="I80" s="25" t="str">
        <f aca="false">IF(AND(ISNUMBER(H80),ISNUMBER(G80),N(G80)&gt;=5),H80/G80,"")</f>
        <v/>
      </c>
      <c r="J80" s="15"/>
      <c r="K80" s="15"/>
      <c r="L80" s="25" t="str">
        <f aca="false">IF(AND(ISNUMBER(K80),ISNUMBER(J80),N(J80)&gt;=5),K80/J80,"")</f>
        <v/>
      </c>
      <c r="M80" s="15" t="n">
        <v>751.5</v>
      </c>
      <c r="N80" s="15" t="n">
        <v>317.5</v>
      </c>
      <c r="O80" s="25" t="n">
        <f aca="false">IF(AND(ISNUMBER(N80),ISNUMBER(M80),N(M80)&gt;=5),N80/M80,"")</f>
        <v>0.422488356620093</v>
      </c>
      <c r="P80" s="15" t="n">
        <v>147.9</v>
      </c>
      <c r="Q80" s="15" t="n">
        <v>117</v>
      </c>
      <c r="R80" s="25" t="n">
        <f aca="false">IF(AND(ISNUMBER(Q80),ISNUMBER(P80),N(P80)&gt;=5),Q80/P80,"")</f>
        <v>0.791075050709939</v>
      </c>
      <c r="S80" s="15" t="n">
        <v>620.2</v>
      </c>
      <c r="T80" s="15" t="n">
        <v>410.6</v>
      </c>
      <c r="U80" s="22" t="n">
        <f aca="false">IF(AND(ISNUMBER(T80),ISNUMBER(S80),N(S80)&gt;0),T80/S80-1,"")</f>
        <v>-0.337955498226379</v>
      </c>
    </row>
    <row r="81" customFormat="false" ht="15" hidden="false" customHeight="false" outlineLevel="0" collapsed="false">
      <c r="A81" s="15" t="s">
        <v>650</v>
      </c>
      <c r="B81" s="15" t="s">
        <v>1427</v>
      </c>
      <c r="C81" s="15" t="s">
        <v>595</v>
      </c>
      <c r="D81" s="15" t="s">
        <v>1442</v>
      </c>
      <c r="E81" s="15" t="s">
        <v>326</v>
      </c>
      <c r="F81" s="15" t="s">
        <v>1428</v>
      </c>
      <c r="G81" s="15"/>
      <c r="H81" s="15"/>
      <c r="I81" s="25" t="str">
        <f aca="false">IF(AND(ISNUMBER(H81),ISNUMBER(G81),N(G81)&gt;=5),H81/G81,"")</f>
        <v/>
      </c>
      <c r="J81" s="15"/>
      <c r="K81" s="15"/>
      <c r="L81" s="25" t="str">
        <f aca="false">IF(AND(ISNUMBER(K81),ISNUMBER(J81),N(J81)&gt;=5),K81/J81,"")</f>
        <v/>
      </c>
      <c r="M81" s="15" t="n">
        <v>80.5</v>
      </c>
      <c r="N81" s="15" t="n">
        <v>92.2</v>
      </c>
      <c r="O81" s="25" t="n">
        <f aca="false">IF(AND(ISNUMBER(N81),ISNUMBER(M81),N(M81)&gt;=5),N81/M81,"")</f>
        <v>1.14534161490683</v>
      </c>
      <c r="P81" s="15" t="n">
        <v>0.8</v>
      </c>
      <c r="Q81" s="15" t="n">
        <v>1</v>
      </c>
      <c r="R81" s="25" t="str">
        <f aca="false">IF(AND(ISNUMBER(Q81),ISNUMBER(P81),N(P81)&gt;=5),Q81/P81,"")</f>
        <v/>
      </c>
      <c r="S81" s="15" t="n">
        <v>80</v>
      </c>
      <c r="T81" s="15" t="n">
        <v>88.9</v>
      </c>
      <c r="U81" s="22" t="n">
        <f aca="false">IF(AND(ISNUMBER(T81),ISNUMBER(S81),N(S81)&gt;0),T81/S81-1,"")</f>
        <v>0.11125</v>
      </c>
    </row>
    <row r="82" customFormat="false" ht="15" hidden="false" customHeight="false" outlineLevel="0" collapsed="false">
      <c r="A82" s="15" t="s">
        <v>703</v>
      </c>
      <c r="B82" s="15" t="s">
        <v>1427</v>
      </c>
      <c r="C82" s="15" t="s">
        <v>701</v>
      </c>
      <c r="D82" s="15" t="s">
        <v>99</v>
      </c>
      <c r="E82" s="15" t="s">
        <v>315</v>
      </c>
      <c r="F82" s="15" t="s">
        <v>1428</v>
      </c>
      <c r="G82" s="15"/>
      <c r="H82" s="15"/>
      <c r="I82" s="25" t="str">
        <f aca="false">IF(AND(ISNUMBER(H82),ISNUMBER(G82),N(G82)&gt;=5),H82/G82,"")</f>
        <v/>
      </c>
      <c r="J82" s="15"/>
      <c r="K82" s="15"/>
      <c r="L82" s="25" t="str">
        <f aca="false">IF(AND(ISNUMBER(K82),ISNUMBER(J82),N(J82)&gt;=5),K82/J82,"")</f>
        <v/>
      </c>
      <c r="M82" s="15" t="n">
        <v>91.7</v>
      </c>
      <c r="N82" s="15" t="n">
        <v>105.8</v>
      </c>
      <c r="O82" s="25" t="n">
        <f aca="false">IF(AND(ISNUMBER(N82),ISNUMBER(M82),N(M82)&gt;=5),N82/M82,"")</f>
        <v>1.15376226826609</v>
      </c>
      <c r="P82" s="15" t="n">
        <v>6.5</v>
      </c>
      <c r="Q82" s="15" t="n">
        <v>19.8</v>
      </c>
      <c r="R82" s="25" t="n">
        <f aca="false">IF(AND(ISNUMBER(Q82),ISNUMBER(P82),N(P82)&gt;=5),Q82/P82,"")</f>
        <v>3.04615384615385</v>
      </c>
      <c r="S82" s="15" t="n">
        <v>92</v>
      </c>
      <c r="T82" s="15" t="n">
        <v>102</v>
      </c>
      <c r="U82" s="22" t="n">
        <f aca="false">IF(AND(ISNUMBER(T82),ISNUMBER(S82),N(S82)&gt;0),T82/S82-1,"")</f>
        <v>0.108695652173913</v>
      </c>
    </row>
    <row r="83" customFormat="false" ht="15" hidden="false" customHeight="false" outlineLevel="0" collapsed="false">
      <c r="A83" s="15" t="s">
        <v>918</v>
      </c>
      <c r="B83" s="15" t="s">
        <v>1427</v>
      </c>
      <c r="C83" s="15" t="s">
        <v>516</v>
      </c>
      <c r="D83" s="15" t="s">
        <v>1435</v>
      </c>
      <c r="E83" s="15" t="s">
        <v>315</v>
      </c>
      <c r="F83" s="15" t="s">
        <v>1428</v>
      </c>
      <c r="G83" s="15"/>
      <c r="H83" s="15"/>
      <c r="I83" s="25" t="str">
        <f aca="false">IF(AND(ISNUMBER(H83),ISNUMBER(G83),N(G83)&gt;=5),H83/G83,"")</f>
        <v/>
      </c>
      <c r="J83" s="15"/>
      <c r="K83" s="15"/>
      <c r="L83" s="25" t="str">
        <f aca="false">IF(AND(ISNUMBER(K83),ISNUMBER(J83),N(J83)&gt;=5),K83/J83,"")</f>
        <v/>
      </c>
      <c r="M83" s="15" t="n">
        <v>131.3</v>
      </c>
      <c r="N83" s="15" t="n">
        <v>295.8</v>
      </c>
      <c r="O83" s="25" t="n">
        <f aca="false">IF(AND(ISNUMBER(N83),ISNUMBER(M83),N(M83)&gt;=5),N83/M83,"")</f>
        <v>2.25285605483625</v>
      </c>
      <c r="P83" s="15" t="n">
        <v>42.4</v>
      </c>
      <c r="Q83" s="15" t="n">
        <v>336.5</v>
      </c>
      <c r="R83" s="25" t="n">
        <f aca="false">IF(AND(ISNUMBER(Q83),ISNUMBER(P83),N(P83)&gt;=5),Q83/P83,"")</f>
        <v>7.93632075471698</v>
      </c>
      <c r="S83" s="15" t="n">
        <v>109.9</v>
      </c>
      <c r="T83" s="15" t="n">
        <v>203.4</v>
      </c>
      <c r="U83" s="22" t="n">
        <f aca="false">IF(AND(ISNUMBER(T83),ISNUMBER(S83),N(S83)&gt;0),T83/S83-1,"")</f>
        <v>0.850773430391265</v>
      </c>
    </row>
    <row r="84" customFormat="false" ht="15" hidden="false" customHeight="false" outlineLevel="0" collapsed="false">
      <c r="A84" s="15" t="s">
        <v>597</v>
      </c>
      <c r="B84" s="15" t="s">
        <v>1427</v>
      </c>
      <c r="C84" s="15" t="s">
        <v>595</v>
      </c>
      <c r="D84" s="15" t="s">
        <v>1433</v>
      </c>
      <c r="E84" s="15" t="s">
        <v>315</v>
      </c>
      <c r="F84" s="15" t="s">
        <v>1428</v>
      </c>
      <c r="G84" s="15"/>
      <c r="H84" s="15"/>
      <c r="I84" s="25" t="str">
        <f aca="false">IF(AND(ISNUMBER(H84),ISNUMBER(G84),N(G84)&gt;=5),H84/G84,"")</f>
        <v/>
      </c>
      <c r="J84" s="15"/>
      <c r="K84" s="15"/>
      <c r="L84" s="25" t="str">
        <f aca="false">IF(AND(ISNUMBER(K84),ISNUMBER(J84),N(J84)&gt;=5),K84/J84,"")</f>
        <v/>
      </c>
      <c r="M84" s="15" t="n">
        <v>10.2</v>
      </c>
      <c r="N84" s="15" t="n">
        <v>10.2</v>
      </c>
      <c r="O84" s="25" t="n">
        <f aca="false">IF(AND(ISNUMBER(N84),ISNUMBER(M84),N(M84)&gt;=5),N84/M84,"")</f>
        <v>1</v>
      </c>
      <c r="P84" s="15" t="n">
        <v>0.5</v>
      </c>
      <c r="Q84" s="15" t="n">
        <v>0.8</v>
      </c>
      <c r="R84" s="25" t="str">
        <f aca="false">IF(AND(ISNUMBER(Q84),ISNUMBER(P84),N(P84)&gt;=5),Q84/P84,"")</f>
        <v/>
      </c>
      <c r="S84" s="15" t="n">
        <v>9.8</v>
      </c>
      <c r="T84" s="15" t="n">
        <v>12.2</v>
      </c>
      <c r="U84" s="22" t="n">
        <f aca="false">IF(AND(ISNUMBER(T84),ISNUMBER(S84),N(S84)&gt;0),T84/S84-1,"")</f>
        <v>0.244897959183673</v>
      </c>
    </row>
    <row r="85" customFormat="false" ht="15" hidden="false" customHeight="false" outlineLevel="0" collapsed="false">
      <c r="A85" s="15" t="s">
        <v>790</v>
      </c>
      <c r="B85" s="15" t="s">
        <v>1427</v>
      </c>
      <c r="C85" s="15" t="s">
        <v>788</v>
      </c>
      <c r="D85" s="15" t="s">
        <v>104</v>
      </c>
      <c r="E85" s="15" t="s">
        <v>326</v>
      </c>
      <c r="F85" s="15" t="s">
        <v>1430</v>
      </c>
      <c r="G85" s="15"/>
      <c r="H85" s="15"/>
      <c r="I85" s="25" t="str">
        <f aca="false">IF(AND(ISNUMBER(H85),ISNUMBER(G85),N(G85)&gt;=5),H85/G85,"")</f>
        <v/>
      </c>
      <c r="J85" s="15"/>
      <c r="K85" s="15"/>
      <c r="L85" s="25" t="str">
        <f aca="false">IF(AND(ISNUMBER(K85),ISNUMBER(J85),N(J85)&gt;=5),K85/J85,"")</f>
        <v/>
      </c>
      <c r="M85" s="15" t="n">
        <v>137.3</v>
      </c>
      <c r="N85" s="15" t="n">
        <v>180.2</v>
      </c>
      <c r="O85" s="25" t="n">
        <f aca="false">IF(AND(ISNUMBER(N85),ISNUMBER(M85),N(M85)&gt;=5),N85/M85,"")</f>
        <v>1.31245447924253</v>
      </c>
      <c r="P85" s="15" t="n">
        <v>68.2</v>
      </c>
      <c r="Q85" s="15" t="n">
        <v>86.2</v>
      </c>
      <c r="R85" s="25" t="n">
        <f aca="false">IF(AND(ISNUMBER(Q85),ISNUMBER(P85),N(P85)&gt;=5),Q85/P85,"")</f>
        <v>1.26392961876833</v>
      </c>
      <c r="S85" s="15" t="n">
        <v>156</v>
      </c>
      <c r="T85" s="15" t="n">
        <v>129.1</v>
      </c>
      <c r="U85" s="22" t="n">
        <f aca="false">IF(AND(ISNUMBER(T85),ISNUMBER(S85),N(S85)&gt;0),T85/S85-1,"")</f>
        <v>-0.172435897435898</v>
      </c>
    </row>
    <row r="86" customFormat="false" ht="15" hidden="false" customHeight="false" outlineLevel="0" collapsed="false">
      <c r="A86" s="15" t="s">
        <v>980</v>
      </c>
      <c r="B86" s="15" t="s">
        <v>1427</v>
      </c>
      <c r="C86" s="15" t="s">
        <v>924</v>
      </c>
      <c r="D86" s="15" t="s">
        <v>134</v>
      </c>
      <c r="E86" s="15" t="s">
        <v>315</v>
      </c>
      <c r="F86" s="15" t="s">
        <v>1428</v>
      </c>
      <c r="G86" s="15"/>
      <c r="H86" s="15"/>
      <c r="I86" s="25" t="str">
        <f aca="false">IF(AND(ISNUMBER(H86),ISNUMBER(G86),N(G86)&gt;=5),H86/G86,"")</f>
        <v/>
      </c>
      <c r="J86" s="15"/>
      <c r="K86" s="15"/>
      <c r="L86" s="25" t="str">
        <f aca="false">IF(AND(ISNUMBER(K86),ISNUMBER(J86),N(J86)&gt;=5),K86/J86,"")</f>
        <v/>
      </c>
      <c r="M86" s="15" t="n">
        <v>1061.3</v>
      </c>
      <c r="N86" s="15" t="n">
        <v>1635</v>
      </c>
      <c r="O86" s="25" t="n">
        <f aca="false">IF(AND(ISNUMBER(N86),ISNUMBER(M86),N(M86)&gt;=5),N86/M86,"")</f>
        <v>1.54056345990766</v>
      </c>
      <c r="P86" s="15" t="n">
        <v>313.2</v>
      </c>
      <c r="Q86" s="15" t="n">
        <v>248</v>
      </c>
      <c r="R86" s="25" t="n">
        <f aca="false">IF(AND(ISNUMBER(Q86),ISNUMBER(P86),N(P86)&gt;=5),Q86/P86,"")</f>
        <v>0.791826309067688</v>
      </c>
      <c r="S86" s="15" t="n">
        <v>565.7</v>
      </c>
      <c r="T86" s="15" t="n">
        <v>471.3</v>
      </c>
      <c r="U86" s="22" t="n">
        <f aca="false">IF(AND(ISNUMBER(T86),ISNUMBER(S86),N(S86)&gt;0),T86/S86-1,"")</f>
        <v>-0.166872900830829</v>
      </c>
    </row>
    <row r="87" customFormat="false" ht="15" hidden="false" customHeight="false" outlineLevel="0" collapsed="false">
      <c r="A87" s="15" t="s">
        <v>811</v>
      </c>
      <c r="B87" s="15" t="s">
        <v>1427</v>
      </c>
      <c r="C87" s="15" t="s">
        <v>809</v>
      </c>
      <c r="D87" s="15" t="s">
        <v>1429</v>
      </c>
      <c r="E87" s="15" t="s">
        <v>326</v>
      </c>
      <c r="F87" s="15" t="s">
        <v>1428</v>
      </c>
      <c r="G87" s="15"/>
      <c r="H87" s="15"/>
      <c r="I87" s="25" t="str">
        <f aca="false">IF(AND(ISNUMBER(H87),ISNUMBER(G87),N(G87)&gt;=5),H87/G87,"")</f>
        <v/>
      </c>
      <c r="J87" s="15"/>
      <c r="K87" s="15"/>
      <c r="L87" s="25" t="str">
        <f aca="false">IF(AND(ISNUMBER(K87),ISNUMBER(J87),N(J87)&gt;=5),K87/J87,"")</f>
        <v/>
      </c>
      <c r="M87" s="15" t="n">
        <v>220.9</v>
      </c>
      <c r="N87" s="15" t="n">
        <v>205</v>
      </c>
      <c r="O87" s="25" t="n">
        <f aca="false">IF(AND(ISNUMBER(N87),ISNUMBER(M87),N(M87)&gt;=5),N87/M87,"")</f>
        <v>0.928021729289271</v>
      </c>
      <c r="P87" s="15" t="n">
        <v>168.8</v>
      </c>
      <c r="Q87" s="15" t="n">
        <v>218.8</v>
      </c>
      <c r="R87" s="25" t="n">
        <f aca="false">IF(AND(ISNUMBER(Q87),ISNUMBER(P87),N(P87)&gt;=5),Q87/P87,"")</f>
        <v>1.29620853080569</v>
      </c>
      <c r="S87" s="15" t="n">
        <v>198.3</v>
      </c>
      <c r="T87" s="15" t="n">
        <v>248.8</v>
      </c>
      <c r="U87" s="22" t="n">
        <f aca="false">IF(AND(ISNUMBER(T87),ISNUMBER(S87),N(S87)&gt;0),T87/S87-1,"")</f>
        <v>0.254664649520928</v>
      </c>
    </row>
    <row r="88" customFormat="false" ht="15" hidden="false" customHeight="false" outlineLevel="0" collapsed="false">
      <c r="A88" s="15" t="s">
        <v>969</v>
      </c>
      <c r="B88" s="15" t="s">
        <v>1427</v>
      </c>
      <c r="C88" s="15" t="s">
        <v>532</v>
      </c>
      <c r="D88" s="15" t="s">
        <v>130</v>
      </c>
      <c r="E88" s="15" t="s">
        <v>315</v>
      </c>
      <c r="F88" s="15" t="s">
        <v>1428</v>
      </c>
      <c r="G88" s="15"/>
      <c r="H88" s="15"/>
      <c r="I88" s="25" t="str">
        <f aca="false">IF(AND(ISNUMBER(H88),ISNUMBER(G88),N(G88)&gt;=5),H88/G88,"")</f>
        <v/>
      </c>
      <c r="J88" s="15"/>
      <c r="K88" s="15"/>
      <c r="L88" s="25" t="str">
        <f aca="false">IF(AND(ISNUMBER(K88),ISNUMBER(J88),N(J88)&gt;=5),K88/J88,"")</f>
        <v/>
      </c>
      <c r="M88" s="15" t="n">
        <v>12.9</v>
      </c>
      <c r="N88" s="15" t="n">
        <v>7.2</v>
      </c>
      <c r="O88" s="25" t="n">
        <f aca="false">IF(AND(ISNUMBER(N88),ISNUMBER(M88),N(M88)&gt;=5),N88/M88,"")</f>
        <v>0.558139534883721</v>
      </c>
      <c r="P88" s="15" t="n">
        <v>28.8</v>
      </c>
      <c r="Q88" s="15" t="n">
        <v>19.8</v>
      </c>
      <c r="R88" s="25" t="n">
        <f aca="false">IF(AND(ISNUMBER(Q88),ISNUMBER(P88),N(P88)&gt;=5),Q88/P88,"")</f>
        <v>0.6875</v>
      </c>
      <c r="S88" s="15" t="n">
        <v>12.1</v>
      </c>
      <c r="T88" s="15" t="n">
        <v>10.4</v>
      </c>
      <c r="U88" s="22" t="n">
        <f aca="false">IF(AND(ISNUMBER(T88),ISNUMBER(S88),N(S88)&gt;0),T88/S88-1,"")</f>
        <v>-0.140495867768595</v>
      </c>
    </row>
    <row r="89" customFormat="false" ht="15" hidden="false" customHeight="false" outlineLevel="0" collapsed="false">
      <c r="A89" s="15" t="s">
        <v>451</v>
      </c>
      <c r="B89" s="15" t="s">
        <v>1427</v>
      </c>
      <c r="C89" s="15" t="s">
        <v>449</v>
      </c>
      <c r="D89" s="15" t="s">
        <v>1443</v>
      </c>
      <c r="E89" s="15" t="s">
        <v>315</v>
      </c>
      <c r="F89" s="15" t="s">
        <v>1428</v>
      </c>
      <c r="G89" s="15"/>
      <c r="H89" s="15"/>
      <c r="I89" s="25" t="str">
        <f aca="false">IF(AND(ISNUMBER(H89),ISNUMBER(G89),N(G89)&gt;=5),H89/G89,"")</f>
        <v/>
      </c>
      <c r="J89" s="15"/>
      <c r="K89" s="15"/>
      <c r="L89" s="25" t="str">
        <f aca="false">IF(AND(ISNUMBER(K89),ISNUMBER(J89),N(J89)&gt;=5),K89/J89,"")</f>
        <v/>
      </c>
      <c r="M89" s="15" t="n">
        <v>1.3</v>
      </c>
      <c r="N89" s="15" t="n">
        <v>2.2</v>
      </c>
      <c r="O89" s="25" t="str">
        <f aca="false">IF(AND(ISNUMBER(N89),ISNUMBER(M89),N(M89)&gt;=5),N89/M89,"")</f>
        <v/>
      </c>
      <c r="P89" s="15" t="n">
        <v>3.5</v>
      </c>
      <c r="Q89" s="15" t="n">
        <v>2.5</v>
      </c>
      <c r="R89" s="25" t="str">
        <f aca="false">IF(AND(ISNUMBER(Q89),ISNUMBER(P89),N(P89)&gt;=5),Q89/P89,"")</f>
        <v/>
      </c>
      <c r="S89" s="15" t="n">
        <v>1.7</v>
      </c>
      <c r="T89" s="15" t="n">
        <v>5.7</v>
      </c>
      <c r="U89" s="22" t="n">
        <f aca="false">IF(AND(ISNUMBER(T89),ISNUMBER(S89),N(S89)&gt;0),T89/S89-1,"")</f>
        <v>2.35294117647059</v>
      </c>
    </row>
    <row r="90" customFormat="false" ht="15" hidden="false" customHeight="false" outlineLevel="0" collapsed="false">
      <c r="A90" s="15" t="s">
        <v>618</v>
      </c>
      <c r="B90" s="15" t="s">
        <v>1427</v>
      </c>
      <c r="C90" s="15" t="s">
        <v>307</v>
      </c>
      <c r="D90" s="15" t="s">
        <v>1433</v>
      </c>
      <c r="E90" s="15" t="s">
        <v>315</v>
      </c>
      <c r="F90" s="15" t="s">
        <v>1428</v>
      </c>
      <c r="G90" s="15"/>
      <c r="H90" s="15"/>
      <c r="I90" s="25" t="str">
        <f aca="false">IF(AND(ISNUMBER(H90),ISNUMBER(G90),N(G90)&gt;=5),H90/G90,"")</f>
        <v/>
      </c>
      <c r="J90" s="15"/>
      <c r="K90" s="15"/>
      <c r="L90" s="25" t="str">
        <f aca="false">IF(AND(ISNUMBER(K90),ISNUMBER(J90),N(J90)&gt;=5),K90/J90,"")</f>
        <v/>
      </c>
      <c r="M90" s="15" t="n">
        <v>20.8</v>
      </c>
      <c r="N90" s="15" t="n">
        <v>31.8</v>
      </c>
      <c r="O90" s="25" t="n">
        <f aca="false">IF(AND(ISNUMBER(N90),ISNUMBER(M90),N(M90)&gt;=5),N90/M90,"")</f>
        <v>1.52884615384615</v>
      </c>
      <c r="P90" s="15" t="n">
        <v>20.4</v>
      </c>
      <c r="Q90" s="15" t="n">
        <v>17.8</v>
      </c>
      <c r="R90" s="25" t="n">
        <f aca="false">IF(AND(ISNUMBER(Q90),ISNUMBER(P90),N(P90)&gt;=5),Q90/P90,"")</f>
        <v>0.872549019607843</v>
      </c>
      <c r="S90" s="15" t="n">
        <v>24.4</v>
      </c>
      <c r="T90" s="15" t="n">
        <v>28.2</v>
      </c>
      <c r="U90" s="22" t="n">
        <f aca="false">IF(AND(ISNUMBER(T90),ISNUMBER(S90),N(S90)&gt;0),T90/S90-1,"")</f>
        <v>0.155737704918033</v>
      </c>
    </row>
    <row r="91" customFormat="false" ht="15" hidden="false" customHeight="false" outlineLevel="0" collapsed="false">
      <c r="A91" s="15" t="s">
        <v>1121</v>
      </c>
      <c r="B91" s="15" t="s">
        <v>1427</v>
      </c>
      <c r="C91" s="15" t="s">
        <v>1119</v>
      </c>
      <c r="D91" s="15" t="s">
        <v>148</v>
      </c>
      <c r="E91" s="15" t="s">
        <v>326</v>
      </c>
      <c r="F91" s="15" t="s">
        <v>1430</v>
      </c>
      <c r="G91" s="15"/>
      <c r="H91" s="15"/>
      <c r="I91" s="25" t="str">
        <f aca="false">IF(AND(ISNUMBER(H91),ISNUMBER(G91),N(G91)&gt;=5),H91/G91,"")</f>
        <v/>
      </c>
      <c r="J91" s="15"/>
      <c r="K91" s="15"/>
      <c r="L91" s="25" t="str">
        <f aca="false">IF(AND(ISNUMBER(K91),ISNUMBER(J91),N(J91)&gt;=5),K91/J91,"")</f>
        <v/>
      </c>
      <c r="M91" s="15" t="n">
        <v>166.8</v>
      </c>
      <c r="N91" s="15" t="n">
        <v>130.2</v>
      </c>
      <c r="O91" s="25" t="n">
        <f aca="false">IF(AND(ISNUMBER(N91),ISNUMBER(M91),N(M91)&gt;=5),N91/M91,"")</f>
        <v>0.780575539568345</v>
      </c>
      <c r="P91" s="15" t="n">
        <v>14.8</v>
      </c>
      <c r="Q91" s="15" t="n">
        <v>4.8</v>
      </c>
      <c r="R91" s="25" t="n">
        <f aca="false">IF(AND(ISNUMBER(Q91),ISNUMBER(P91),N(P91)&gt;=5),Q91/P91,"")</f>
        <v>0.324324324324324</v>
      </c>
      <c r="S91" s="15" t="n">
        <v>136.8</v>
      </c>
      <c r="T91" s="15" t="n">
        <v>131.9</v>
      </c>
      <c r="U91" s="22" t="n">
        <f aca="false">IF(AND(ISNUMBER(T91),ISNUMBER(S91),N(S91)&gt;0),T91/S91-1,"")</f>
        <v>-0.0358187134502924</v>
      </c>
    </row>
    <row r="92" customFormat="false" ht="15" hidden="false" customHeight="false" outlineLevel="0" collapsed="false">
      <c r="A92" s="15" t="s">
        <v>824</v>
      </c>
      <c r="B92" s="15" t="s">
        <v>1427</v>
      </c>
      <c r="C92" s="15" t="s">
        <v>822</v>
      </c>
      <c r="D92" s="15" t="s">
        <v>104</v>
      </c>
      <c r="E92" s="15" t="s">
        <v>825</v>
      </c>
      <c r="F92" s="15" t="s">
        <v>1430</v>
      </c>
      <c r="G92" s="15" t="n">
        <v>181</v>
      </c>
      <c r="H92" s="15" t="n">
        <v>47.2</v>
      </c>
      <c r="I92" s="25" t="n">
        <f aca="false">IF(AND(ISNUMBER(H92),ISNUMBER(G92),N(G92)&gt;=5),H92/G92,"")</f>
        <v>0.260773480662983</v>
      </c>
      <c r="J92" s="15" t="n">
        <v>336.1</v>
      </c>
      <c r="K92" s="15" t="n">
        <v>276.2</v>
      </c>
      <c r="L92" s="25" t="n">
        <f aca="false">IF(AND(ISNUMBER(K92),ISNUMBER(J92),N(J92)&gt;=5),K92/J92,"")</f>
        <v>0.821779232371318</v>
      </c>
      <c r="M92" s="15" t="n">
        <v>30.5</v>
      </c>
      <c r="N92" s="15" t="n">
        <v>39.5</v>
      </c>
      <c r="O92" s="25" t="n">
        <f aca="false">IF(AND(ISNUMBER(N92),ISNUMBER(M92),N(M92)&gt;=5),N92/M92,"")</f>
        <v>1.29508196721311</v>
      </c>
      <c r="P92" s="15" t="n">
        <v>0</v>
      </c>
      <c r="Q92" s="15" t="n">
        <v>0</v>
      </c>
      <c r="R92" s="25" t="str">
        <f aca="false">IF(AND(ISNUMBER(Q92),ISNUMBER(P92),N(P92)&gt;=5),Q92/P92,"")</f>
        <v/>
      </c>
      <c r="S92" s="15" t="n">
        <v>43.6</v>
      </c>
      <c r="T92" s="15" t="n">
        <v>303.3</v>
      </c>
      <c r="U92" s="22" t="n">
        <f aca="false">IF(AND(ISNUMBER(T92),ISNUMBER(S92),N(S92)&gt;0),T92/S92-1,"")</f>
        <v>5.95642201834862</v>
      </c>
    </row>
    <row r="93" customFormat="false" ht="15" hidden="false" customHeight="false" outlineLevel="0" collapsed="false">
      <c r="A93" s="15" t="s">
        <v>551</v>
      </c>
      <c r="B93" s="15" t="s">
        <v>1427</v>
      </c>
      <c r="C93" s="15" t="s">
        <v>549</v>
      </c>
      <c r="D93" s="15" t="s">
        <v>1439</v>
      </c>
      <c r="E93" s="15" t="s">
        <v>553</v>
      </c>
      <c r="F93" s="15" t="s">
        <v>1428</v>
      </c>
      <c r="G93" s="15"/>
      <c r="H93" s="15"/>
      <c r="I93" s="25" t="str">
        <f aca="false">IF(AND(ISNUMBER(H93),ISNUMBER(G93),N(G93)&gt;=5),H93/G93,"")</f>
        <v/>
      </c>
      <c r="J93" s="15"/>
      <c r="K93" s="15"/>
      <c r="L93" s="25" t="str">
        <f aca="false">IF(AND(ISNUMBER(K93),ISNUMBER(J93),N(J93)&gt;=5),K93/J93,"")</f>
        <v/>
      </c>
      <c r="M93" s="15" t="n">
        <v>41.8</v>
      </c>
      <c r="N93" s="15" t="n">
        <v>35.8</v>
      </c>
      <c r="O93" s="25" t="n">
        <f aca="false">IF(AND(ISNUMBER(N93),ISNUMBER(M93),N(M93)&gt;=5),N93/M93,"")</f>
        <v>0.856459330143541</v>
      </c>
      <c r="P93" s="15" t="n">
        <v>3.4</v>
      </c>
      <c r="Q93" s="15" t="n">
        <v>4.8</v>
      </c>
      <c r="R93" s="25" t="str">
        <f aca="false">IF(AND(ISNUMBER(Q93),ISNUMBER(P93),N(P93)&gt;=5),Q93/P93,"")</f>
        <v/>
      </c>
      <c r="S93" s="15" t="n">
        <v>32.4</v>
      </c>
      <c r="T93" s="15" t="n">
        <v>25.3</v>
      </c>
      <c r="U93" s="22" t="n">
        <f aca="false">IF(AND(ISNUMBER(T93),ISNUMBER(S93),N(S93)&gt;0),T93/S93-1,"")</f>
        <v>-0.219135802469136</v>
      </c>
    </row>
    <row r="94" customFormat="false" ht="15" hidden="false" customHeight="false" outlineLevel="0" collapsed="false">
      <c r="A94" s="15" t="s">
        <v>1055</v>
      </c>
      <c r="B94" s="15" t="s">
        <v>1427</v>
      </c>
      <c r="C94" s="15" t="s">
        <v>1053</v>
      </c>
      <c r="D94" s="15" t="s">
        <v>145</v>
      </c>
      <c r="E94" s="15" t="s">
        <v>326</v>
      </c>
      <c r="F94" s="15" t="s">
        <v>1430</v>
      </c>
      <c r="G94" s="15"/>
      <c r="H94" s="15"/>
      <c r="I94" s="25" t="str">
        <f aca="false">IF(AND(ISNUMBER(H94),ISNUMBER(G94),N(G94)&gt;=5),H94/G94,"")</f>
        <v/>
      </c>
      <c r="J94" s="15"/>
      <c r="K94" s="15"/>
      <c r="L94" s="25" t="str">
        <f aca="false">IF(AND(ISNUMBER(K94),ISNUMBER(J94),N(J94)&gt;=5),K94/J94,"")</f>
        <v/>
      </c>
      <c r="M94" s="15" t="n">
        <v>464.2</v>
      </c>
      <c r="N94" s="15" t="n">
        <v>469</v>
      </c>
      <c r="O94" s="25" t="n">
        <f aca="false">IF(AND(ISNUMBER(N94),ISNUMBER(M94),N(M94)&gt;=5),N94/M94,"")</f>
        <v>1.01034037052994</v>
      </c>
      <c r="P94" s="15" t="n">
        <v>108.3</v>
      </c>
      <c r="Q94" s="15" t="n">
        <v>85.5</v>
      </c>
      <c r="R94" s="25" t="n">
        <f aca="false">IF(AND(ISNUMBER(Q94),ISNUMBER(P94),N(P94)&gt;=5),Q94/P94,"")</f>
        <v>0.789473684210526</v>
      </c>
      <c r="S94" s="15" t="n">
        <v>405.7</v>
      </c>
      <c r="T94" s="15" t="n">
        <v>435.4</v>
      </c>
      <c r="U94" s="22" t="n">
        <f aca="false">IF(AND(ISNUMBER(T94),ISNUMBER(S94),N(S94)&gt;0),T94/S94-1,"")</f>
        <v>0.0732068030564457</v>
      </c>
    </row>
    <row r="95" customFormat="false" ht="15" hidden="false" customHeight="false" outlineLevel="0" collapsed="false">
      <c r="A95" s="15" t="s">
        <v>559</v>
      </c>
      <c r="B95" s="15" t="s">
        <v>1427</v>
      </c>
      <c r="C95" s="15" t="s">
        <v>362</v>
      </c>
      <c r="D95" s="15" t="s">
        <v>1436</v>
      </c>
      <c r="E95" s="15" t="s">
        <v>326</v>
      </c>
      <c r="F95" s="15" t="s">
        <v>1428</v>
      </c>
      <c r="G95" s="15"/>
      <c r="H95" s="15"/>
      <c r="I95" s="25" t="str">
        <f aca="false">IF(AND(ISNUMBER(H95),ISNUMBER(G95),N(G95)&gt;=5),H95/G95,"")</f>
        <v/>
      </c>
      <c r="J95" s="15"/>
      <c r="K95" s="15"/>
      <c r="L95" s="25" t="str">
        <f aca="false">IF(AND(ISNUMBER(K95),ISNUMBER(J95),N(J95)&gt;=5),K95/J95,"")</f>
        <v/>
      </c>
      <c r="M95" s="15" t="n">
        <v>1354.7</v>
      </c>
      <c r="N95" s="15" t="n">
        <v>1510.2</v>
      </c>
      <c r="O95" s="25" t="n">
        <f aca="false">IF(AND(ISNUMBER(N95),ISNUMBER(M95),N(M95)&gt;=5),N95/M95,"")</f>
        <v>1.1147855613789</v>
      </c>
      <c r="P95" s="15" t="n">
        <v>152.8</v>
      </c>
      <c r="Q95" s="15" t="n">
        <v>191</v>
      </c>
      <c r="R95" s="25" t="n">
        <f aca="false">IF(AND(ISNUMBER(Q95),ISNUMBER(P95),N(P95)&gt;=5),Q95/P95,"")</f>
        <v>1.25</v>
      </c>
      <c r="S95" s="15" t="n">
        <v>1293.4</v>
      </c>
      <c r="T95" s="15" t="n">
        <v>1696.6</v>
      </c>
      <c r="U95" s="22" t="n">
        <f aca="false">IF(AND(ISNUMBER(T95),ISNUMBER(S95),N(S95)&gt;0),T95/S95-1,"")</f>
        <v>0.3117365084274</v>
      </c>
    </row>
    <row r="96" customFormat="false" ht="15" hidden="false" customHeight="false" outlineLevel="0" collapsed="false">
      <c r="A96" s="15" t="s">
        <v>647</v>
      </c>
      <c r="B96" s="15" t="s">
        <v>1427</v>
      </c>
      <c r="C96" s="15" t="s">
        <v>362</v>
      </c>
      <c r="D96" s="15" t="s">
        <v>1442</v>
      </c>
      <c r="E96" s="15" t="s">
        <v>326</v>
      </c>
      <c r="F96" s="15" t="s">
        <v>1428</v>
      </c>
      <c r="G96" s="15"/>
      <c r="H96" s="15"/>
      <c r="I96" s="25" t="str">
        <f aca="false">IF(AND(ISNUMBER(H96),ISNUMBER(G96),N(G96)&gt;=5),H96/G96,"")</f>
        <v/>
      </c>
      <c r="J96" s="15"/>
      <c r="K96" s="15"/>
      <c r="L96" s="25" t="str">
        <f aca="false">IF(AND(ISNUMBER(K96),ISNUMBER(J96),N(J96)&gt;=5),K96/J96,"")</f>
        <v/>
      </c>
      <c r="M96" s="15" t="n">
        <v>153.3</v>
      </c>
      <c r="N96" s="15" t="n">
        <v>171.5</v>
      </c>
      <c r="O96" s="25" t="n">
        <f aca="false">IF(AND(ISNUMBER(N96),ISNUMBER(M96),N(M96)&gt;=5),N96/M96,"")</f>
        <v>1.11872146118721</v>
      </c>
      <c r="P96" s="15" t="n">
        <v>58</v>
      </c>
      <c r="Q96" s="15" t="n">
        <v>91.2</v>
      </c>
      <c r="R96" s="25" t="n">
        <f aca="false">IF(AND(ISNUMBER(Q96),ISNUMBER(P96),N(P96)&gt;=5),Q96/P96,"")</f>
        <v>1.57241379310345</v>
      </c>
      <c r="S96" s="15" t="n">
        <v>164.5</v>
      </c>
      <c r="T96" s="15" t="n">
        <v>171.2</v>
      </c>
      <c r="U96" s="22" t="n">
        <f aca="false">IF(AND(ISNUMBER(T96),ISNUMBER(S96),N(S96)&gt;0),T96/S96-1,"")</f>
        <v>0.0407294832826748</v>
      </c>
    </row>
    <row r="97" customFormat="false" ht="15" hidden="false" customHeight="false" outlineLevel="0" collapsed="false">
      <c r="A97" s="15" t="s">
        <v>1141</v>
      </c>
      <c r="B97" s="15" t="s">
        <v>1427</v>
      </c>
      <c r="C97" s="15" t="s">
        <v>1139</v>
      </c>
      <c r="D97" s="15" t="s">
        <v>148</v>
      </c>
      <c r="E97" s="15" t="s">
        <v>326</v>
      </c>
      <c r="F97" s="15" t="s">
        <v>1430</v>
      </c>
      <c r="G97" s="15"/>
      <c r="H97" s="15"/>
      <c r="I97" s="25" t="str">
        <f aca="false">IF(AND(ISNUMBER(H97),ISNUMBER(G97),N(G97)&gt;=5),H97/G97,"")</f>
        <v/>
      </c>
      <c r="J97" s="15"/>
      <c r="K97" s="15"/>
      <c r="L97" s="25" t="str">
        <f aca="false">IF(AND(ISNUMBER(K97),ISNUMBER(J97),N(J97)&gt;=5),K97/J97,"")</f>
        <v/>
      </c>
      <c r="M97" s="15" t="n">
        <v>161.1</v>
      </c>
      <c r="N97" s="15" t="n">
        <v>221.2</v>
      </c>
      <c r="O97" s="25" t="n">
        <f aca="false">IF(AND(ISNUMBER(N97),ISNUMBER(M97),N(M97)&gt;=5),N97/M97,"")</f>
        <v>1.37306021104904</v>
      </c>
      <c r="P97" s="15" t="n">
        <v>252.4</v>
      </c>
      <c r="Q97" s="15" t="n">
        <v>226.5</v>
      </c>
      <c r="R97" s="25" t="n">
        <f aca="false">IF(AND(ISNUMBER(Q97),ISNUMBER(P97),N(P97)&gt;=5),Q97/P97,"")</f>
        <v>0.897385103011094</v>
      </c>
      <c r="S97" s="15" t="n">
        <v>132.7</v>
      </c>
      <c r="T97" s="15" t="n">
        <v>73</v>
      </c>
      <c r="U97" s="22" t="n">
        <f aca="false">IF(AND(ISNUMBER(T97),ISNUMBER(S97),N(S97)&gt;0),T97/S97-1,"")</f>
        <v>-0.449886963074604</v>
      </c>
    </row>
    <row r="98" customFormat="false" ht="15" hidden="false" customHeight="false" outlineLevel="0" collapsed="false">
      <c r="A98" s="15" t="s">
        <v>523</v>
      </c>
      <c r="B98" s="15" t="s">
        <v>1427</v>
      </c>
      <c r="C98" s="15" t="s">
        <v>521</v>
      </c>
      <c r="D98" s="15" t="s">
        <v>1444</v>
      </c>
      <c r="E98" s="15" t="s">
        <v>315</v>
      </c>
      <c r="F98" s="15" t="s">
        <v>1428</v>
      </c>
      <c r="G98" s="15"/>
      <c r="H98" s="15"/>
      <c r="I98" s="25" t="str">
        <f aca="false">IF(AND(ISNUMBER(H98),ISNUMBER(G98),N(G98)&gt;=5),H98/G98,"")</f>
        <v/>
      </c>
      <c r="J98" s="15"/>
      <c r="K98" s="15"/>
      <c r="L98" s="25" t="str">
        <f aca="false">IF(AND(ISNUMBER(K98),ISNUMBER(J98),N(J98)&gt;=5),K98/J98,"")</f>
        <v/>
      </c>
      <c r="M98" s="15" t="n">
        <v>57.9</v>
      </c>
      <c r="N98" s="15" t="n">
        <v>56.8</v>
      </c>
      <c r="O98" s="25" t="n">
        <f aca="false">IF(AND(ISNUMBER(N98),ISNUMBER(M98),N(M98)&gt;=5),N98/M98,"")</f>
        <v>0.981001727115717</v>
      </c>
      <c r="P98" s="15" t="n">
        <v>0.2</v>
      </c>
      <c r="Q98" s="15" t="n">
        <v>0.2</v>
      </c>
      <c r="R98" s="25" t="str">
        <f aca="false">IF(AND(ISNUMBER(Q98),ISNUMBER(P98),N(P98)&gt;=5),Q98/P98,"")</f>
        <v/>
      </c>
      <c r="S98" s="15" t="n">
        <v>59.7</v>
      </c>
      <c r="T98" s="15" t="n">
        <v>55.4</v>
      </c>
      <c r="U98" s="22" t="n">
        <f aca="false">IF(AND(ISNUMBER(T98),ISNUMBER(S98),N(S98)&gt;0),T98/S98-1,"")</f>
        <v>-0.0720268006700168</v>
      </c>
    </row>
    <row r="99" customFormat="false" ht="15" hidden="false" customHeight="false" outlineLevel="0" collapsed="false">
      <c r="A99" s="15" t="s">
        <v>1117</v>
      </c>
      <c r="B99" s="15" t="s">
        <v>1427</v>
      </c>
      <c r="C99" s="15" t="s">
        <v>1115</v>
      </c>
      <c r="D99" s="15" t="s">
        <v>148</v>
      </c>
      <c r="E99" s="15" t="s">
        <v>326</v>
      </c>
      <c r="F99" s="15" t="s">
        <v>1430</v>
      </c>
      <c r="G99" s="15"/>
      <c r="H99" s="15"/>
      <c r="I99" s="25" t="str">
        <f aca="false">IF(AND(ISNUMBER(H99),ISNUMBER(G99),N(G99)&gt;=5),H99/G99,"")</f>
        <v/>
      </c>
      <c r="J99" s="15"/>
      <c r="K99" s="15"/>
      <c r="L99" s="25" t="str">
        <f aca="false">IF(AND(ISNUMBER(K99),ISNUMBER(J99),N(J99)&gt;=5),K99/J99,"")</f>
        <v/>
      </c>
      <c r="M99" s="15" t="n">
        <v>3655.4</v>
      </c>
      <c r="N99" s="15" t="n">
        <v>1620.2</v>
      </c>
      <c r="O99" s="25" t="n">
        <f aca="false">IF(AND(ISNUMBER(N99),ISNUMBER(M99),N(M99)&gt;=5),N99/M99,"")</f>
        <v>0.443234666520764</v>
      </c>
      <c r="P99" s="15" t="n">
        <v>86.3</v>
      </c>
      <c r="Q99" s="15" t="n">
        <v>5</v>
      </c>
      <c r="R99" s="25" t="n">
        <f aca="false">IF(AND(ISNUMBER(Q99),ISNUMBER(P99),N(P99)&gt;=5),Q99/P99,"")</f>
        <v>0.0579374275782155</v>
      </c>
      <c r="S99" s="15" t="n">
        <v>2218.8</v>
      </c>
      <c r="T99" s="15" t="n">
        <v>3160</v>
      </c>
      <c r="U99" s="22" t="n">
        <f aca="false">IF(AND(ISNUMBER(T99),ISNUMBER(S99),N(S99)&gt;0),T99/S99-1,"")</f>
        <v>0.42419325761673</v>
      </c>
    </row>
    <row r="100" customFormat="false" ht="15" hidden="false" customHeight="false" outlineLevel="0" collapsed="false">
      <c r="A100" s="15" t="s">
        <v>827</v>
      </c>
      <c r="B100" s="15" t="s">
        <v>1427</v>
      </c>
      <c r="C100" s="15" t="s">
        <v>678</v>
      </c>
      <c r="D100" s="15" t="s">
        <v>104</v>
      </c>
      <c r="E100" s="15" t="s">
        <v>326</v>
      </c>
      <c r="F100" s="15" t="s">
        <v>1430</v>
      </c>
      <c r="G100" s="15"/>
      <c r="H100" s="15"/>
      <c r="I100" s="25" t="str">
        <f aca="false">IF(AND(ISNUMBER(H100),ISNUMBER(G100),N(G100)&gt;=5),H100/G100,"")</f>
        <v/>
      </c>
      <c r="J100" s="15"/>
      <c r="K100" s="15"/>
      <c r="L100" s="25" t="str">
        <f aca="false">IF(AND(ISNUMBER(K100),ISNUMBER(J100),N(J100)&gt;=5),K100/J100,"")</f>
        <v/>
      </c>
      <c r="M100" s="15" t="n">
        <v>144.2</v>
      </c>
      <c r="N100" s="15" t="n">
        <v>184</v>
      </c>
      <c r="O100" s="25" t="n">
        <f aca="false">IF(AND(ISNUMBER(N100),ISNUMBER(M100),N(M100)&gt;=5),N100/M100,"")</f>
        <v>1.27600554785021</v>
      </c>
      <c r="P100" s="15" t="n">
        <v>16.4</v>
      </c>
      <c r="Q100" s="15" t="n">
        <v>30.2</v>
      </c>
      <c r="R100" s="25" t="n">
        <f aca="false">IF(AND(ISNUMBER(Q100),ISNUMBER(P100),N(P100)&gt;=5),Q100/P100,"")</f>
        <v>1.84146341463415</v>
      </c>
      <c r="S100" s="15" t="n">
        <v>166.3</v>
      </c>
      <c r="T100" s="15" t="n">
        <v>190.1</v>
      </c>
      <c r="U100" s="22" t="n">
        <f aca="false">IF(AND(ISNUMBER(T100),ISNUMBER(S100),N(S100)&gt;0),T100/S100-1,"")</f>
        <v>0.143114852675887</v>
      </c>
    </row>
    <row r="101" customFormat="false" ht="15" hidden="false" customHeight="false" outlineLevel="0" collapsed="false">
      <c r="A101" s="15" t="s">
        <v>529</v>
      </c>
      <c r="B101" s="15" t="s">
        <v>1427</v>
      </c>
      <c r="C101" s="15" t="s">
        <v>354</v>
      </c>
      <c r="D101" s="15" t="s">
        <v>1444</v>
      </c>
      <c r="E101" s="15" t="s">
        <v>531</v>
      </c>
      <c r="F101" s="15" t="s">
        <v>1434</v>
      </c>
      <c r="G101" s="15"/>
      <c r="H101" s="15"/>
      <c r="I101" s="25" t="str">
        <f aca="false">IF(AND(ISNUMBER(H101),ISNUMBER(G101),N(G101)&gt;=5),H101/G101,"")</f>
        <v/>
      </c>
      <c r="J101" s="15"/>
      <c r="K101" s="15"/>
      <c r="L101" s="25" t="str">
        <f aca="false">IF(AND(ISNUMBER(K101),ISNUMBER(J101),N(J101)&gt;=5),K101/J101,"")</f>
        <v/>
      </c>
      <c r="M101" s="15" t="n">
        <v>19.8</v>
      </c>
      <c r="N101" s="15" t="n">
        <v>25.8</v>
      </c>
      <c r="O101" s="25" t="n">
        <f aca="false">IF(AND(ISNUMBER(N101),ISNUMBER(M101),N(M101)&gt;=5),N101/M101,"")</f>
        <v>1.3030303030303</v>
      </c>
      <c r="P101" s="15" t="n">
        <v>3.8</v>
      </c>
      <c r="Q101" s="15" t="n">
        <v>38.2</v>
      </c>
      <c r="R101" s="25" t="str">
        <f aca="false">IF(AND(ISNUMBER(Q101),ISNUMBER(P101),N(P101)&gt;=5),Q101/P101,"")</f>
        <v/>
      </c>
      <c r="S101" s="15" t="n">
        <v>31.9</v>
      </c>
      <c r="T101" s="15" t="n">
        <v>29.5</v>
      </c>
      <c r="U101" s="22" t="n">
        <f aca="false">IF(AND(ISNUMBER(T101),ISNUMBER(S101),N(S101)&gt;0),T101/S101-1,"")</f>
        <v>-0.0752351097178683</v>
      </c>
    </row>
    <row r="102" customFormat="false" ht="15" hidden="false" customHeight="false" outlineLevel="0" collapsed="false">
      <c r="A102" s="15" t="s">
        <v>1063</v>
      </c>
      <c r="B102" s="15" t="s">
        <v>1427</v>
      </c>
      <c r="C102" s="15" t="s">
        <v>1061</v>
      </c>
      <c r="D102" s="15" t="s">
        <v>145</v>
      </c>
      <c r="E102" s="15" t="s">
        <v>326</v>
      </c>
      <c r="F102" s="15" t="s">
        <v>1430</v>
      </c>
      <c r="G102" s="15"/>
      <c r="H102" s="15"/>
      <c r="I102" s="25" t="str">
        <f aca="false">IF(AND(ISNUMBER(H102),ISNUMBER(G102),N(G102)&gt;=5),H102/G102,"")</f>
        <v/>
      </c>
      <c r="J102" s="15"/>
      <c r="K102" s="15"/>
      <c r="L102" s="25" t="str">
        <f aca="false">IF(AND(ISNUMBER(K102),ISNUMBER(J102),N(J102)&gt;=5),K102/J102,"")</f>
        <v/>
      </c>
      <c r="M102" s="15" t="n">
        <v>54.8</v>
      </c>
      <c r="N102" s="15" t="n">
        <v>94.8</v>
      </c>
      <c r="O102" s="25" t="n">
        <f aca="false">IF(AND(ISNUMBER(N102),ISNUMBER(M102),N(M102)&gt;=5),N102/M102,"")</f>
        <v>1.72992700729927</v>
      </c>
      <c r="P102" s="15" t="n">
        <v>5.9</v>
      </c>
      <c r="Q102" s="15" t="n">
        <v>3</v>
      </c>
      <c r="R102" s="25" t="n">
        <f aca="false">IF(AND(ISNUMBER(Q102),ISNUMBER(P102),N(P102)&gt;=5),Q102/P102,"")</f>
        <v>0.508474576271186</v>
      </c>
      <c r="S102" s="15" t="n">
        <v>71.5</v>
      </c>
      <c r="T102" s="15" t="n">
        <v>53.7</v>
      </c>
      <c r="U102" s="22" t="n">
        <f aca="false">IF(AND(ISNUMBER(T102),ISNUMBER(S102),N(S102)&gt;0),T102/S102-1,"")</f>
        <v>-0.248951048951049</v>
      </c>
    </row>
    <row r="103" customFormat="false" ht="15" hidden="false" customHeight="false" outlineLevel="0" collapsed="false">
      <c r="A103" s="15" t="s">
        <v>1069</v>
      </c>
      <c r="B103" s="15" t="s">
        <v>1427</v>
      </c>
      <c r="C103" s="15" t="s">
        <v>1067</v>
      </c>
      <c r="D103" s="15" t="s">
        <v>145</v>
      </c>
      <c r="E103" s="15" t="s">
        <v>326</v>
      </c>
      <c r="F103" s="15" t="s">
        <v>1430</v>
      </c>
      <c r="G103" s="15"/>
      <c r="H103" s="15"/>
      <c r="I103" s="25" t="str">
        <f aca="false">IF(AND(ISNUMBER(H103),ISNUMBER(G103),N(G103)&gt;=5),H103/G103,"")</f>
        <v/>
      </c>
      <c r="J103" s="15"/>
      <c r="K103" s="15"/>
      <c r="L103" s="25" t="str">
        <f aca="false">IF(AND(ISNUMBER(K103),ISNUMBER(J103),N(J103)&gt;=5),K103/J103,"")</f>
        <v/>
      </c>
      <c r="M103" s="15" t="n">
        <v>14.7</v>
      </c>
      <c r="N103" s="15" t="n">
        <v>15</v>
      </c>
      <c r="O103" s="25" t="n">
        <f aca="false">IF(AND(ISNUMBER(N103),ISNUMBER(M103),N(M103)&gt;=5),N103/M103,"")</f>
        <v>1.02040816326531</v>
      </c>
      <c r="P103" s="15" t="n">
        <v>0.2</v>
      </c>
      <c r="Q103" s="15" t="n">
        <v>0.2</v>
      </c>
      <c r="R103" s="25" t="str">
        <f aca="false">IF(AND(ISNUMBER(Q103),ISNUMBER(P103),N(P103)&gt;=5),Q103/P103,"")</f>
        <v/>
      </c>
      <c r="S103" s="15" t="n">
        <v>14.7</v>
      </c>
      <c r="T103" s="15" t="n">
        <v>45.2</v>
      </c>
      <c r="U103" s="22" t="n">
        <f aca="false">IF(AND(ISNUMBER(T103),ISNUMBER(S103),N(S103)&gt;0),T103/S103-1,"")</f>
        <v>2.07482993197279</v>
      </c>
    </row>
    <row r="104" customFormat="false" ht="15" hidden="false" customHeight="false" outlineLevel="0" collapsed="false">
      <c r="A104" s="15" t="s">
        <v>877</v>
      </c>
      <c r="B104" s="15" t="s">
        <v>1427</v>
      </c>
      <c r="C104" s="15" t="s">
        <v>875</v>
      </c>
      <c r="D104" s="15" t="s">
        <v>1445</v>
      </c>
      <c r="E104" s="15" t="s">
        <v>878</v>
      </c>
      <c r="F104" s="15" t="s">
        <v>1441</v>
      </c>
      <c r="G104" s="15" t="n">
        <v>5.5</v>
      </c>
      <c r="H104" s="15" t="n">
        <v>7.2</v>
      </c>
      <c r="I104" s="25" t="n">
        <f aca="false">IF(AND(ISNUMBER(H104),ISNUMBER(G104),N(G104)&gt;=5),H104/G104,"")</f>
        <v>1.30909090909091</v>
      </c>
      <c r="J104" s="15" t="n">
        <v>0.2</v>
      </c>
      <c r="K104" s="15" t="n">
        <v>0.2</v>
      </c>
      <c r="L104" s="25" t="str">
        <f aca="false">IF(AND(ISNUMBER(K104),ISNUMBER(J104),N(J104)&gt;=5),K104/J104,"")</f>
        <v/>
      </c>
      <c r="M104" s="15" t="n">
        <v>0</v>
      </c>
      <c r="N104" s="15" t="n">
        <v>0</v>
      </c>
      <c r="O104" s="25" t="str">
        <f aca="false">IF(AND(ISNUMBER(N104),ISNUMBER(M104),N(M104)&gt;=5),N104/M104,"")</f>
        <v/>
      </c>
      <c r="P104" s="15" t="n">
        <v>0</v>
      </c>
      <c r="Q104" s="15" t="n">
        <v>0</v>
      </c>
      <c r="R104" s="25" t="str">
        <f aca="false">IF(AND(ISNUMBER(Q104),ISNUMBER(P104),N(P104)&gt;=5),Q104/P104,"")</f>
        <v/>
      </c>
      <c r="S104" s="15" t="n">
        <v>0</v>
      </c>
      <c r="T104" s="15" t="n">
        <v>0</v>
      </c>
      <c r="U104" s="22" t="str">
        <f aca="false">IF(AND(ISNUMBER(T104),ISNUMBER(S104),N(S104)&gt;0),T104/S104-1,"")</f>
        <v/>
      </c>
    </row>
    <row r="105" customFormat="false" ht="15" hidden="false" customHeight="false" outlineLevel="0" collapsed="false">
      <c r="A105" s="15" t="s">
        <v>849</v>
      </c>
      <c r="B105" s="15" t="s">
        <v>1427</v>
      </c>
      <c r="C105" s="15" t="s">
        <v>779</v>
      </c>
      <c r="D105" s="15" t="s">
        <v>107</v>
      </c>
      <c r="E105" s="15" t="s">
        <v>531</v>
      </c>
      <c r="F105" s="15" t="s">
        <v>1441</v>
      </c>
      <c r="G105" s="15"/>
      <c r="H105" s="15"/>
      <c r="I105" s="25" t="str">
        <f aca="false">IF(AND(ISNUMBER(H105),ISNUMBER(G105),N(G105)&gt;=5),H105/G105,"")</f>
        <v/>
      </c>
      <c r="J105" s="15"/>
      <c r="K105" s="15"/>
      <c r="L105" s="25" t="str">
        <f aca="false">IF(AND(ISNUMBER(K105),ISNUMBER(J105),N(J105)&gt;=5),K105/J105,"")</f>
        <v/>
      </c>
      <c r="M105" s="15" t="n">
        <v>10.4</v>
      </c>
      <c r="N105" s="15" t="n">
        <v>11</v>
      </c>
      <c r="O105" s="25" t="n">
        <f aca="false">IF(AND(ISNUMBER(N105),ISNUMBER(M105),N(M105)&gt;=5),N105/M105,"")</f>
        <v>1.05769230769231</v>
      </c>
      <c r="P105" s="15" t="n">
        <v>0</v>
      </c>
      <c r="Q105" s="15" t="n">
        <v>0</v>
      </c>
      <c r="R105" s="25" t="str">
        <f aca="false">IF(AND(ISNUMBER(Q105),ISNUMBER(P105),N(P105)&gt;=5),Q105/P105,"")</f>
        <v/>
      </c>
      <c r="S105" s="15" t="n">
        <v>28.7</v>
      </c>
      <c r="T105" s="15" t="n">
        <v>0</v>
      </c>
      <c r="U105" s="22" t="n">
        <f aca="false">IF(AND(ISNUMBER(T105),ISNUMBER(S105),N(S105)&gt;0),T105/S105-1,"")</f>
        <v>-1</v>
      </c>
    </row>
    <row r="106" customFormat="false" ht="15" hidden="false" customHeight="false" outlineLevel="0" collapsed="false">
      <c r="A106" s="15" t="s">
        <v>1025</v>
      </c>
      <c r="B106" s="15" t="s">
        <v>1427</v>
      </c>
      <c r="C106" s="15" t="s">
        <v>1023</v>
      </c>
      <c r="D106" s="15" t="s">
        <v>145</v>
      </c>
      <c r="E106" s="15" t="s">
        <v>326</v>
      </c>
      <c r="F106" s="15" t="s">
        <v>1430</v>
      </c>
      <c r="G106" s="15"/>
      <c r="H106" s="15"/>
      <c r="I106" s="25" t="str">
        <f aca="false">IF(AND(ISNUMBER(H106),ISNUMBER(G106),N(G106)&gt;=5),H106/G106,"")</f>
        <v/>
      </c>
      <c r="J106" s="15"/>
      <c r="K106" s="15"/>
      <c r="L106" s="25" t="str">
        <f aca="false">IF(AND(ISNUMBER(K106),ISNUMBER(J106),N(J106)&gt;=5),K106/J106,"")</f>
        <v/>
      </c>
      <c r="M106" s="15" t="n">
        <v>571.1</v>
      </c>
      <c r="N106" s="15" t="n">
        <v>646.5</v>
      </c>
      <c r="O106" s="25" t="n">
        <f aca="false">IF(AND(ISNUMBER(N106),ISNUMBER(M106),N(M106)&gt;=5),N106/M106,"")</f>
        <v>1.13202591490107</v>
      </c>
      <c r="P106" s="15" t="n">
        <v>14.4</v>
      </c>
      <c r="Q106" s="15" t="n">
        <v>20.5</v>
      </c>
      <c r="R106" s="25" t="n">
        <f aca="false">IF(AND(ISNUMBER(Q106),ISNUMBER(P106),N(P106)&gt;=5),Q106/P106,"")</f>
        <v>1.42361111111111</v>
      </c>
      <c r="S106" s="15" t="n">
        <v>636.2</v>
      </c>
      <c r="T106" s="15" t="n">
        <v>686.7</v>
      </c>
      <c r="U106" s="22" t="n">
        <f aca="false">IF(AND(ISNUMBER(T106),ISNUMBER(S106),N(S106)&gt;0),T106/S106-1,"")</f>
        <v>0.07937755422823</v>
      </c>
    </row>
    <row r="107" customFormat="false" ht="15" hidden="false" customHeight="false" outlineLevel="0" collapsed="false">
      <c r="A107" s="15" t="s">
        <v>818</v>
      </c>
      <c r="B107" s="15" t="s">
        <v>1427</v>
      </c>
      <c r="C107" s="15" t="s">
        <v>816</v>
      </c>
      <c r="D107" s="15" t="s">
        <v>104</v>
      </c>
      <c r="E107" s="15" t="s">
        <v>326</v>
      </c>
      <c r="F107" s="15" t="s">
        <v>1430</v>
      </c>
      <c r="G107" s="15"/>
      <c r="H107" s="15"/>
      <c r="I107" s="25" t="str">
        <f aca="false">IF(AND(ISNUMBER(H107),ISNUMBER(G107),N(G107)&gt;=5),H107/G107,"")</f>
        <v/>
      </c>
      <c r="J107" s="15"/>
      <c r="K107" s="15"/>
      <c r="L107" s="25" t="str">
        <f aca="false">IF(AND(ISNUMBER(K107),ISNUMBER(J107),N(J107)&gt;=5),K107/J107,"")</f>
        <v/>
      </c>
      <c r="M107" s="15" t="n">
        <v>369.1</v>
      </c>
      <c r="N107" s="15" t="n">
        <v>427.5</v>
      </c>
      <c r="O107" s="25" t="n">
        <f aca="false">IF(AND(ISNUMBER(N107),ISNUMBER(M107),N(M107)&gt;=5),N107/M107,"")</f>
        <v>1.15822270387429</v>
      </c>
      <c r="P107" s="15" t="n">
        <v>16.6</v>
      </c>
      <c r="Q107" s="15" t="n">
        <v>45.2</v>
      </c>
      <c r="R107" s="25" t="n">
        <f aca="false">IF(AND(ISNUMBER(Q107),ISNUMBER(P107),N(P107)&gt;=5),Q107/P107,"")</f>
        <v>2.72289156626506</v>
      </c>
      <c r="S107" s="15" t="n">
        <v>244.1</v>
      </c>
      <c r="T107" s="15" t="n">
        <v>225.8</v>
      </c>
      <c r="U107" s="22" t="n">
        <f aca="false">IF(AND(ISNUMBER(T107),ISNUMBER(S107),N(S107)&gt;0),T107/S107-1,"")</f>
        <v>-0.0749692748873412</v>
      </c>
    </row>
    <row r="108" customFormat="false" ht="15" hidden="false" customHeight="false" outlineLevel="0" collapsed="false">
      <c r="A108" s="15" t="s">
        <v>576</v>
      </c>
      <c r="B108" s="15" t="s">
        <v>1427</v>
      </c>
      <c r="C108" s="15" t="s">
        <v>574</v>
      </c>
      <c r="D108" s="15" t="s">
        <v>1433</v>
      </c>
      <c r="E108" s="15" t="s">
        <v>315</v>
      </c>
      <c r="F108" s="15" t="s">
        <v>1428</v>
      </c>
      <c r="G108" s="15"/>
      <c r="H108" s="15"/>
      <c r="I108" s="25" t="str">
        <f aca="false">IF(AND(ISNUMBER(H108),ISNUMBER(G108),N(G108)&gt;=5),H108/G108,"")</f>
        <v/>
      </c>
      <c r="J108" s="15"/>
      <c r="K108" s="15"/>
      <c r="L108" s="25" t="str">
        <f aca="false">IF(AND(ISNUMBER(K108),ISNUMBER(J108),N(J108)&gt;=5),K108/J108,"")</f>
        <v/>
      </c>
      <c r="M108" s="15" t="n">
        <v>1</v>
      </c>
      <c r="N108" s="15" t="n">
        <v>1</v>
      </c>
      <c r="O108" s="25" t="str">
        <f aca="false">IF(AND(ISNUMBER(N108),ISNUMBER(M108),N(M108)&gt;=5),N108/M108,"")</f>
        <v/>
      </c>
      <c r="P108" s="15" t="n">
        <v>0</v>
      </c>
      <c r="Q108" s="15" t="n">
        <v>0</v>
      </c>
      <c r="R108" s="25" t="str">
        <f aca="false">IF(AND(ISNUMBER(Q108),ISNUMBER(P108),N(P108)&gt;=5),Q108/P108,"")</f>
        <v/>
      </c>
      <c r="S108" s="15" t="n">
        <v>1.5</v>
      </c>
      <c r="T108" s="15" t="n">
        <v>14</v>
      </c>
      <c r="U108" s="22" t="n">
        <f aca="false">IF(AND(ISNUMBER(T108),ISNUMBER(S108),N(S108)&gt;0),T108/S108-1,"")</f>
        <v>8.33333333333333</v>
      </c>
    </row>
    <row r="109" customFormat="false" ht="15" hidden="false" customHeight="false" outlineLevel="0" collapsed="false">
      <c r="A109" s="15" t="s">
        <v>603</v>
      </c>
      <c r="B109" s="15" t="s">
        <v>1427</v>
      </c>
      <c r="C109" s="15" t="s">
        <v>601</v>
      </c>
      <c r="D109" s="15" t="s">
        <v>1446</v>
      </c>
      <c r="E109" s="15" t="s">
        <v>315</v>
      </c>
      <c r="F109" s="15" t="s">
        <v>1428</v>
      </c>
      <c r="G109" s="15"/>
      <c r="H109" s="15"/>
      <c r="I109" s="25" t="str">
        <f aca="false">IF(AND(ISNUMBER(H109),ISNUMBER(G109),N(G109)&gt;=5),H109/G109,"")</f>
        <v/>
      </c>
      <c r="J109" s="15"/>
      <c r="K109" s="15"/>
      <c r="L109" s="25" t="str">
        <f aca="false">IF(AND(ISNUMBER(K109),ISNUMBER(J109),N(J109)&gt;=5),K109/J109,"")</f>
        <v/>
      </c>
      <c r="M109" s="15" t="n">
        <v>35.2</v>
      </c>
      <c r="N109" s="15" t="n">
        <v>19.5</v>
      </c>
      <c r="O109" s="25" t="n">
        <f aca="false">IF(AND(ISNUMBER(N109),ISNUMBER(M109),N(M109)&gt;=5),N109/M109,"")</f>
        <v>0.553977272727273</v>
      </c>
      <c r="P109" s="15" t="n">
        <v>3.7</v>
      </c>
      <c r="Q109" s="15" t="n">
        <v>2.5</v>
      </c>
      <c r="R109" s="25" t="str">
        <f aca="false">IF(AND(ISNUMBER(Q109),ISNUMBER(P109),N(P109)&gt;=5),Q109/P109,"")</f>
        <v/>
      </c>
      <c r="S109" s="15" t="n">
        <v>59.9</v>
      </c>
      <c r="T109" s="15" t="n">
        <v>33.4</v>
      </c>
      <c r="U109" s="22" t="n">
        <f aca="false">IF(AND(ISNUMBER(T109),ISNUMBER(S109),N(S109)&gt;0),T109/S109-1,"")</f>
        <v>-0.442404006677796</v>
      </c>
    </row>
    <row r="110" customFormat="false" ht="15" hidden="false" customHeight="false" outlineLevel="0" collapsed="false">
      <c r="A110" s="15" t="s">
        <v>1059</v>
      </c>
      <c r="B110" s="15" t="s">
        <v>1427</v>
      </c>
      <c r="C110" s="15" t="s">
        <v>1057</v>
      </c>
      <c r="D110" s="15" t="s">
        <v>145</v>
      </c>
      <c r="E110" s="15" t="s">
        <v>326</v>
      </c>
      <c r="F110" s="15" t="s">
        <v>1430</v>
      </c>
      <c r="G110" s="15"/>
      <c r="H110" s="15"/>
      <c r="I110" s="25" t="str">
        <f aca="false">IF(AND(ISNUMBER(H110),ISNUMBER(G110),N(G110)&gt;=5),H110/G110,"")</f>
        <v/>
      </c>
      <c r="J110" s="15"/>
      <c r="K110" s="15"/>
      <c r="L110" s="25" t="str">
        <f aca="false">IF(AND(ISNUMBER(K110),ISNUMBER(J110),N(J110)&gt;=5),K110/J110,"")</f>
        <v/>
      </c>
      <c r="M110" s="15" t="n">
        <v>206.7</v>
      </c>
      <c r="N110" s="15" t="n">
        <v>227.8</v>
      </c>
      <c r="O110" s="25" t="n">
        <f aca="false">IF(AND(ISNUMBER(N110),ISNUMBER(M110),N(M110)&gt;=5),N110/M110,"")</f>
        <v>1.10208030962748</v>
      </c>
      <c r="P110" s="15" t="n">
        <v>26</v>
      </c>
      <c r="Q110" s="15" t="n">
        <v>37</v>
      </c>
      <c r="R110" s="25" t="n">
        <f aca="false">IF(AND(ISNUMBER(Q110),ISNUMBER(P110),N(P110)&gt;=5),Q110/P110,"")</f>
        <v>1.42307692307692</v>
      </c>
      <c r="S110" s="15" t="n">
        <v>224.4</v>
      </c>
      <c r="T110" s="15" t="n">
        <v>428</v>
      </c>
      <c r="U110" s="22" t="n">
        <f aca="false">IF(AND(ISNUMBER(T110),ISNUMBER(S110),N(S110)&gt;0),T110/S110-1,"")</f>
        <v>0.907308377896613</v>
      </c>
    </row>
    <row r="111" customFormat="false" ht="15" hidden="false" customHeight="false" outlineLevel="0" collapsed="false">
      <c r="A111" s="15" t="s">
        <v>830</v>
      </c>
      <c r="B111" s="15" t="s">
        <v>1427</v>
      </c>
      <c r="C111" s="15" t="s">
        <v>828</v>
      </c>
      <c r="D111" s="15" t="s">
        <v>1429</v>
      </c>
      <c r="E111" s="15" t="s">
        <v>315</v>
      </c>
      <c r="F111" s="15" t="s">
        <v>1428</v>
      </c>
      <c r="G111" s="15"/>
      <c r="H111" s="15"/>
      <c r="I111" s="25" t="str">
        <f aca="false">IF(AND(ISNUMBER(H111),ISNUMBER(G111),N(G111)&gt;=5),H111/G111,"")</f>
        <v/>
      </c>
      <c r="J111" s="15"/>
      <c r="K111" s="15"/>
      <c r="L111" s="25" t="str">
        <f aca="false">IF(AND(ISNUMBER(K111),ISNUMBER(J111),N(J111)&gt;=5),K111/J111,"")</f>
        <v/>
      </c>
      <c r="M111" s="15" t="n">
        <v>36.7</v>
      </c>
      <c r="N111" s="15" t="n">
        <v>76.5</v>
      </c>
      <c r="O111" s="25" t="n">
        <f aca="false">IF(AND(ISNUMBER(N111),ISNUMBER(M111),N(M111)&gt;=5),N111/M111,"")</f>
        <v>2.08446866485014</v>
      </c>
      <c r="P111" s="15" t="n">
        <v>19.2</v>
      </c>
      <c r="Q111" s="15" t="n">
        <v>23.8</v>
      </c>
      <c r="R111" s="25" t="n">
        <f aca="false">IF(AND(ISNUMBER(Q111),ISNUMBER(P111),N(P111)&gt;=5),Q111/P111,"")</f>
        <v>1.23958333333333</v>
      </c>
      <c r="S111" s="15" t="n">
        <v>60</v>
      </c>
      <c r="T111" s="15" t="n">
        <v>86.3</v>
      </c>
      <c r="U111" s="22" t="n">
        <f aca="false">IF(AND(ISNUMBER(T111),ISNUMBER(S111),N(S111)&gt;0),T111/S111-1,"")</f>
        <v>0.438333333333333</v>
      </c>
    </row>
    <row r="112" customFormat="false" ht="15" hidden="false" customHeight="false" outlineLevel="0" collapsed="false">
      <c r="A112" s="15" t="s">
        <v>663</v>
      </c>
      <c r="B112" s="15" t="s">
        <v>1427</v>
      </c>
      <c r="C112" s="15" t="s">
        <v>307</v>
      </c>
      <c r="D112" s="15" t="s">
        <v>92</v>
      </c>
      <c r="E112" s="15" t="s">
        <v>326</v>
      </c>
      <c r="F112" s="15" t="s">
        <v>1430</v>
      </c>
      <c r="G112" s="15"/>
      <c r="H112" s="15"/>
      <c r="I112" s="25" t="str">
        <f aca="false">IF(AND(ISNUMBER(H112),ISNUMBER(G112),N(G112)&gt;=5),H112/G112,"")</f>
        <v/>
      </c>
      <c r="J112" s="15"/>
      <c r="K112" s="15"/>
      <c r="L112" s="25" t="str">
        <f aca="false">IF(AND(ISNUMBER(K112),ISNUMBER(J112),N(J112)&gt;=5),K112/J112,"")</f>
        <v/>
      </c>
      <c r="M112" s="15" t="n">
        <v>0</v>
      </c>
      <c r="N112" s="15" t="n">
        <v>0</v>
      </c>
      <c r="O112" s="25" t="str">
        <f aca="false">IF(AND(ISNUMBER(N112),ISNUMBER(M112),N(M112)&gt;=5),N112/M112,"")</f>
        <v/>
      </c>
      <c r="P112" s="15" t="n">
        <v>0</v>
      </c>
      <c r="Q112" s="15" t="n">
        <v>0</v>
      </c>
      <c r="R112" s="25" t="str">
        <f aca="false">IF(AND(ISNUMBER(Q112),ISNUMBER(P112),N(P112)&gt;=5),Q112/P112,"")</f>
        <v/>
      </c>
      <c r="S112" s="15" t="n">
        <v>1.8</v>
      </c>
      <c r="T112" s="15" t="n">
        <v>0</v>
      </c>
      <c r="U112" s="22" t="n">
        <f aca="false">IF(AND(ISNUMBER(T112),ISNUMBER(S112),N(S112)&gt;0),T112/S112-1,"")</f>
        <v>-1</v>
      </c>
    </row>
    <row r="113" customFormat="false" ht="15" hidden="false" customHeight="false" outlineLevel="0" collapsed="false">
      <c r="A113" s="15" t="s">
        <v>1125</v>
      </c>
      <c r="B113" s="15" t="s">
        <v>1427</v>
      </c>
      <c r="C113" s="15" t="s">
        <v>1123</v>
      </c>
      <c r="D113" s="15" t="s">
        <v>148</v>
      </c>
      <c r="E113" s="15" t="s">
        <v>326</v>
      </c>
      <c r="F113" s="15" t="s">
        <v>1430</v>
      </c>
      <c r="G113" s="15"/>
      <c r="H113" s="15"/>
      <c r="I113" s="25" t="str">
        <f aca="false">IF(AND(ISNUMBER(H113),ISNUMBER(G113),N(G113)&gt;=5),H113/G113,"")</f>
        <v/>
      </c>
      <c r="J113" s="15"/>
      <c r="K113" s="15"/>
      <c r="L113" s="25" t="str">
        <f aca="false">IF(AND(ISNUMBER(K113),ISNUMBER(J113),N(J113)&gt;=5),K113/J113,"")</f>
        <v/>
      </c>
      <c r="M113" s="15" t="n">
        <v>1611</v>
      </c>
      <c r="N113" s="15" t="n">
        <v>2019.8</v>
      </c>
      <c r="O113" s="25" t="n">
        <f aca="false">IF(AND(ISNUMBER(N113),ISNUMBER(M113),N(M113)&gt;=5),N113/M113,"")</f>
        <v>1.25375543140906</v>
      </c>
      <c r="P113" s="15" t="n">
        <v>105.3</v>
      </c>
      <c r="Q113" s="15" t="n">
        <v>113.8</v>
      </c>
      <c r="R113" s="25" t="n">
        <f aca="false">IF(AND(ISNUMBER(Q113),ISNUMBER(P113),N(P113)&gt;=5),Q113/P113,"")</f>
        <v>1.08072174738841</v>
      </c>
      <c r="S113" s="15" t="n">
        <v>1430.2</v>
      </c>
      <c r="T113" s="15" t="n">
        <v>987.8</v>
      </c>
      <c r="U113" s="22" t="n">
        <f aca="false">IF(AND(ISNUMBER(T113),ISNUMBER(S113),N(S113)&gt;0),T113/S113-1,"")</f>
        <v>-0.309327366801846</v>
      </c>
    </row>
    <row r="114" customFormat="false" ht="15" hidden="false" customHeight="false" outlineLevel="0" collapsed="false">
      <c r="A114" s="15" t="s">
        <v>930</v>
      </c>
      <c r="B114" s="15" t="s">
        <v>1427</v>
      </c>
      <c r="C114" s="15" t="s">
        <v>928</v>
      </c>
      <c r="D114" s="15" t="s">
        <v>1435</v>
      </c>
      <c r="E114" s="15" t="s">
        <v>315</v>
      </c>
      <c r="F114" s="15" t="s">
        <v>1428</v>
      </c>
      <c r="G114" s="15"/>
      <c r="H114" s="15"/>
      <c r="I114" s="25" t="str">
        <f aca="false">IF(AND(ISNUMBER(H114),ISNUMBER(G114),N(G114)&gt;=5),H114/G114,"")</f>
        <v/>
      </c>
      <c r="J114" s="15"/>
      <c r="K114" s="15"/>
      <c r="L114" s="25" t="str">
        <f aca="false">IF(AND(ISNUMBER(K114),ISNUMBER(J114),N(J114)&gt;=5),K114/J114,"")</f>
        <v/>
      </c>
      <c r="M114" s="15" t="n">
        <v>4.5</v>
      </c>
      <c r="N114" s="15" t="n">
        <v>5.2</v>
      </c>
      <c r="O114" s="25" t="str">
        <f aca="false">IF(AND(ISNUMBER(N114),ISNUMBER(M114),N(M114)&gt;=5),N114/M114,"")</f>
        <v/>
      </c>
      <c r="P114" s="15" t="n">
        <v>0.8</v>
      </c>
      <c r="Q114" s="15" t="n">
        <v>0.5</v>
      </c>
      <c r="R114" s="25" t="str">
        <f aca="false">IF(AND(ISNUMBER(Q114),ISNUMBER(P114),N(P114)&gt;=5),Q114/P114,"")</f>
        <v/>
      </c>
      <c r="S114" s="15" t="n">
        <v>7.2</v>
      </c>
      <c r="T114" s="15" t="n">
        <v>33.2</v>
      </c>
      <c r="U114" s="22" t="n">
        <f aca="false">IF(AND(ISNUMBER(T114),ISNUMBER(S114),N(S114)&gt;0),T114/S114-1,"")</f>
        <v>3.61111111111111</v>
      </c>
    </row>
    <row r="115" customFormat="false" ht="15" hidden="false" customHeight="false" outlineLevel="0" collapsed="false">
      <c r="A115" s="15" t="s">
        <v>985</v>
      </c>
      <c r="B115" s="15" t="s">
        <v>1427</v>
      </c>
      <c r="C115" s="15" t="s">
        <v>532</v>
      </c>
      <c r="D115" s="15" t="s">
        <v>134</v>
      </c>
      <c r="E115" s="15" t="s">
        <v>315</v>
      </c>
      <c r="F115" s="15" t="s">
        <v>1428</v>
      </c>
      <c r="G115" s="15"/>
      <c r="H115" s="15"/>
      <c r="I115" s="25" t="str">
        <f aca="false">IF(AND(ISNUMBER(H115),ISNUMBER(G115),N(G115)&gt;=5),H115/G115,"")</f>
        <v/>
      </c>
      <c r="J115" s="15"/>
      <c r="K115" s="15"/>
      <c r="L115" s="25" t="str">
        <f aca="false">IF(AND(ISNUMBER(K115),ISNUMBER(J115),N(J115)&gt;=5),K115/J115,"")</f>
        <v/>
      </c>
      <c r="M115" s="15" t="n">
        <v>3.4</v>
      </c>
      <c r="N115" s="15" t="n">
        <v>8</v>
      </c>
      <c r="O115" s="25" t="str">
        <f aca="false">IF(AND(ISNUMBER(N115),ISNUMBER(M115),N(M115)&gt;=5),N115/M115,"")</f>
        <v/>
      </c>
      <c r="P115" s="15" t="n">
        <v>7.6</v>
      </c>
      <c r="Q115" s="15" t="n">
        <v>9.8</v>
      </c>
      <c r="R115" s="25" t="n">
        <f aca="false">IF(AND(ISNUMBER(Q115),ISNUMBER(P115),N(P115)&gt;=5),Q115/P115,"")</f>
        <v>1.28947368421053</v>
      </c>
      <c r="S115" s="15" t="n">
        <v>5.7</v>
      </c>
      <c r="T115" s="15" t="n">
        <v>6.2</v>
      </c>
      <c r="U115" s="22" t="n">
        <f aca="false">IF(AND(ISNUMBER(T115),ISNUMBER(S115),N(S115)&gt;0),T115/S115-1,"")</f>
        <v>0.0877192982456141</v>
      </c>
    </row>
    <row r="116" customFormat="false" ht="15" hidden="false" customHeight="false" outlineLevel="0" collapsed="false">
      <c r="A116" s="15" t="s">
        <v>534</v>
      </c>
      <c r="B116" s="15" t="s">
        <v>1427</v>
      </c>
      <c r="C116" s="15" t="s">
        <v>532</v>
      </c>
      <c r="D116" s="15" t="s">
        <v>1444</v>
      </c>
      <c r="E116" s="15" t="s">
        <v>315</v>
      </c>
      <c r="F116" s="15" t="s">
        <v>1428</v>
      </c>
      <c r="G116" s="15"/>
      <c r="H116" s="15"/>
      <c r="I116" s="25" t="str">
        <f aca="false">IF(AND(ISNUMBER(H116),ISNUMBER(G116),N(G116)&gt;=5),H116/G116,"")</f>
        <v/>
      </c>
      <c r="J116" s="15"/>
      <c r="K116" s="15"/>
      <c r="L116" s="25" t="str">
        <f aca="false">IF(AND(ISNUMBER(K116),ISNUMBER(J116),N(J116)&gt;=5),K116/J116,"")</f>
        <v/>
      </c>
      <c r="M116" s="15" t="n">
        <v>1.4</v>
      </c>
      <c r="N116" s="15" t="n">
        <v>0</v>
      </c>
      <c r="O116" s="25" t="str">
        <f aca="false">IF(AND(ISNUMBER(N116),ISNUMBER(M116),N(M116)&gt;=5),N116/M116,"")</f>
        <v/>
      </c>
      <c r="P116" s="15" t="n">
        <v>0</v>
      </c>
      <c r="Q116" s="15" t="n">
        <v>0</v>
      </c>
      <c r="R116" s="25" t="str">
        <f aca="false">IF(AND(ISNUMBER(Q116),ISNUMBER(P116),N(P116)&gt;=5),Q116/P116,"")</f>
        <v/>
      </c>
      <c r="S116" s="15" t="n">
        <v>1.3</v>
      </c>
      <c r="T116" s="15" t="n">
        <v>1.6</v>
      </c>
      <c r="U116" s="22" t="n">
        <f aca="false">IF(AND(ISNUMBER(T116),ISNUMBER(S116),N(S116)&gt;0),T116/S116-1,"")</f>
        <v>0.230769230769231</v>
      </c>
    </row>
    <row r="117" customFormat="false" ht="15" hidden="false" customHeight="false" outlineLevel="0" collapsed="false">
      <c r="A117" s="15" t="s">
        <v>329</v>
      </c>
      <c r="B117" s="15" t="s">
        <v>1427</v>
      </c>
      <c r="C117" s="15" t="s">
        <v>327</v>
      </c>
      <c r="D117" s="15" t="s">
        <v>1447</v>
      </c>
      <c r="E117" s="15" t="s">
        <v>315</v>
      </c>
      <c r="F117" s="15" t="s">
        <v>1428</v>
      </c>
      <c r="G117" s="15"/>
      <c r="H117" s="15"/>
      <c r="I117" s="25" t="str">
        <f aca="false">IF(AND(ISNUMBER(H117),ISNUMBER(G117),N(G117)&gt;=5),H117/G117,"")</f>
        <v/>
      </c>
      <c r="J117" s="15"/>
      <c r="K117" s="15"/>
      <c r="L117" s="25" t="str">
        <f aca="false">IF(AND(ISNUMBER(K117),ISNUMBER(J117),N(J117)&gt;=5),K117/J117,"")</f>
        <v/>
      </c>
      <c r="M117" s="15" t="n">
        <v>1478.5</v>
      </c>
      <c r="N117" s="15" t="n">
        <v>1323.8</v>
      </c>
      <c r="O117" s="25" t="n">
        <f aca="false">IF(AND(ISNUMBER(N117),ISNUMBER(M117),N(M117)&gt;=5),N117/M117,"")</f>
        <v>0.895366925938451</v>
      </c>
      <c r="P117" s="15" t="n">
        <v>0</v>
      </c>
      <c r="Q117" s="15" t="n">
        <v>0</v>
      </c>
      <c r="R117" s="25" t="str">
        <f aca="false">IF(AND(ISNUMBER(Q117),ISNUMBER(P117),N(P117)&gt;=5),Q117/P117,"")</f>
        <v/>
      </c>
      <c r="S117" s="15" t="n">
        <v>886.7</v>
      </c>
      <c r="T117" s="15" t="n">
        <v>1364.5</v>
      </c>
      <c r="U117" s="22" t="n">
        <f aca="false">IF(AND(ISNUMBER(T117),ISNUMBER(S117),N(S117)&gt;0),T117/S117-1,"")</f>
        <v>0.538851922860043</v>
      </c>
    </row>
    <row r="118" customFormat="false" ht="15" hidden="false" customHeight="false" outlineLevel="0" collapsed="false">
      <c r="A118" s="15" t="s">
        <v>343</v>
      </c>
      <c r="B118" s="15" t="s">
        <v>1427</v>
      </c>
      <c r="C118" s="15" t="s">
        <v>341</v>
      </c>
      <c r="D118" s="15" t="s">
        <v>1432</v>
      </c>
      <c r="E118" s="15" t="s">
        <v>326</v>
      </c>
      <c r="F118" s="15" t="s">
        <v>1430</v>
      </c>
      <c r="G118" s="15"/>
      <c r="H118" s="15"/>
      <c r="I118" s="25" t="str">
        <f aca="false">IF(AND(ISNUMBER(H118),ISNUMBER(G118),N(G118)&gt;=5),H118/G118,"")</f>
        <v/>
      </c>
      <c r="J118" s="15"/>
      <c r="K118" s="15"/>
      <c r="L118" s="25" t="str">
        <f aca="false">IF(AND(ISNUMBER(K118),ISNUMBER(J118),N(J118)&gt;=5),K118/J118,"")</f>
        <v/>
      </c>
      <c r="M118" s="15" t="n">
        <v>356.5</v>
      </c>
      <c r="N118" s="15" t="n">
        <v>490</v>
      </c>
      <c r="O118" s="25" t="n">
        <f aca="false">IF(AND(ISNUMBER(N118),ISNUMBER(M118),N(M118)&gt;=5),N118/M118,"")</f>
        <v>1.37447405329593</v>
      </c>
      <c r="P118" s="15" t="n">
        <v>57.6</v>
      </c>
      <c r="Q118" s="15" t="n">
        <v>82.5</v>
      </c>
      <c r="R118" s="25" t="n">
        <f aca="false">IF(AND(ISNUMBER(Q118),ISNUMBER(P118),N(P118)&gt;=5),Q118/P118,"")</f>
        <v>1.43229166666667</v>
      </c>
      <c r="S118" s="15" t="n">
        <v>239.9</v>
      </c>
      <c r="T118" s="15" t="n">
        <v>571.4</v>
      </c>
      <c r="U118" s="22" t="n">
        <f aca="false">IF(AND(ISNUMBER(T118),ISNUMBER(S118),N(S118)&gt;0),T118/S118-1,"")</f>
        <v>1.38182576073364</v>
      </c>
    </row>
    <row r="119" customFormat="false" ht="15" hidden="false" customHeight="false" outlineLevel="0" collapsed="false">
      <c r="A119" s="15" t="s">
        <v>857</v>
      </c>
      <c r="B119" s="15" t="s">
        <v>1427</v>
      </c>
      <c r="C119" s="15" t="s">
        <v>855</v>
      </c>
      <c r="D119" s="15" t="s">
        <v>1448</v>
      </c>
      <c r="E119" s="15" t="s">
        <v>326</v>
      </c>
      <c r="F119" s="15" t="s">
        <v>1428</v>
      </c>
      <c r="G119" s="15"/>
      <c r="H119" s="15"/>
      <c r="I119" s="25" t="str">
        <f aca="false">IF(AND(ISNUMBER(H119),ISNUMBER(G119),N(G119)&gt;=5),H119/G119,"")</f>
        <v/>
      </c>
      <c r="J119" s="15"/>
      <c r="K119" s="15"/>
      <c r="L119" s="25" t="str">
        <f aca="false">IF(AND(ISNUMBER(K119),ISNUMBER(J119),N(J119)&gt;=5),K119/J119,"")</f>
        <v/>
      </c>
      <c r="M119" s="15" t="n">
        <v>151.6</v>
      </c>
      <c r="N119" s="15" t="n">
        <v>218.8</v>
      </c>
      <c r="O119" s="25" t="n">
        <f aca="false">IF(AND(ISNUMBER(N119),ISNUMBER(M119),N(M119)&gt;=5),N119/M119,"")</f>
        <v>1.44327176781003</v>
      </c>
      <c r="P119" s="15" t="n">
        <v>222.7</v>
      </c>
      <c r="Q119" s="15" t="n">
        <v>166</v>
      </c>
      <c r="R119" s="25" t="n">
        <f aca="false">IF(AND(ISNUMBER(Q119),ISNUMBER(P119),N(P119)&gt;=5),Q119/P119,"")</f>
        <v>0.745397395599461</v>
      </c>
      <c r="S119" s="15" t="n">
        <v>114.2</v>
      </c>
      <c r="T119" s="15" t="n">
        <v>141.4</v>
      </c>
      <c r="U119" s="22" t="n">
        <f aca="false">IF(AND(ISNUMBER(T119),ISNUMBER(S119),N(S119)&gt;0),T119/S119-1,"")</f>
        <v>0.238178633975482</v>
      </c>
    </row>
    <row r="120" customFormat="false" ht="15" hidden="false" customHeight="false" outlineLevel="0" collapsed="false">
      <c r="A120" s="15" t="s">
        <v>999</v>
      </c>
      <c r="B120" s="15" t="s">
        <v>1427</v>
      </c>
      <c r="C120" s="15" t="s">
        <v>855</v>
      </c>
      <c r="D120" s="15" t="s">
        <v>134</v>
      </c>
      <c r="E120" s="15" t="s">
        <v>315</v>
      </c>
      <c r="F120" s="15" t="s">
        <v>1428</v>
      </c>
      <c r="G120" s="15"/>
      <c r="H120" s="15"/>
      <c r="I120" s="25" t="str">
        <f aca="false">IF(AND(ISNUMBER(H120),ISNUMBER(G120),N(G120)&gt;=5),H120/G120,"")</f>
        <v/>
      </c>
      <c r="J120" s="15"/>
      <c r="K120" s="15"/>
      <c r="L120" s="25" t="str">
        <f aca="false">IF(AND(ISNUMBER(K120),ISNUMBER(J120),N(J120)&gt;=5),K120/J120,"")</f>
        <v/>
      </c>
      <c r="M120" s="15" t="n">
        <v>70.7</v>
      </c>
      <c r="N120" s="15" t="n">
        <v>94.5</v>
      </c>
      <c r="O120" s="25" t="n">
        <f aca="false">IF(AND(ISNUMBER(N120),ISNUMBER(M120),N(M120)&gt;=5),N120/M120,"")</f>
        <v>1.33663366336634</v>
      </c>
      <c r="P120" s="15" t="n">
        <v>139.8</v>
      </c>
      <c r="Q120" s="15" t="n">
        <v>77.2</v>
      </c>
      <c r="R120" s="25" t="n">
        <f aca="false">IF(AND(ISNUMBER(Q120),ISNUMBER(P120),N(P120)&gt;=5),Q120/P120,"")</f>
        <v>0.552217453505007</v>
      </c>
      <c r="S120" s="15" t="n">
        <v>85.9</v>
      </c>
      <c r="T120" s="15" t="n">
        <v>69.8</v>
      </c>
      <c r="U120" s="22" t="n">
        <f aca="false">IF(AND(ISNUMBER(T120),ISNUMBER(S120),N(S120)&gt;0),T120/S120-1,"")</f>
        <v>-0.187427240977881</v>
      </c>
    </row>
    <row r="121" customFormat="false" ht="15" hidden="false" customHeight="false" outlineLevel="0" collapsed="false">
      <c r="A121" s="15" t="s">
        <v>367</v>
      </c>
      <c r="B121" s="15" t="s">
        <v>1427</v>
      </c>
      <c r="C121" s="15" t="s">
        <v>349</v>
      </c>
      <c r="D121" s="15" t="s">
        <v>1431</v>
      </c>
      <c r="E121" s="15" t="s">
        <v>326</v>
      </c>
      <c r="F121" s="15" t="s">
        <v>1428</v>
      </c>
      <c r="G121" s="15"/>
      <c r="H121" s="15"/>
      <c r="I121" s="25" t="str">
        <f aca="false">IF(AND(ISNUMBER(H121),ISNUMBER(G121),N(G121)&gt;=5),H121/G121,"")</f>
        <v/>
      </c>
      <c r="J121" s="15"/>
      <c r="K121" s="15"/>
      <c r="L121" s="25" t="str">
        <f aca="false">IF(AND(ISNUMBER(K121),ISNUMBER(J121),N(J121)&gt;=5),K121/J121,"")</f>
        <v/>
      </c>
      <c r="M121" s="15" t="n">
        <v>431.4</v>
      </c>
      <c r="N121" s="15" t="n">
        <v>472.5</v>
      </c>
      <c r="O121" s="25" t="n">
        <f aca="false">IF(AND(ISNUMBER(N121),ISNUMBER(M121),N(M121)&gt;=5),N121/M121,"")</f>
        <v>1.09527121001391</v>
      </c>
      <c r="P121" s="15" t="n">
        <v>13.8</v>
      </c>
      <c r="Q121" s="15" t="n">
        <v>16.5</v>
      </c>
      <c r="R121" s="25" t="n">
        <f aca="false">IF(AND(ISNUMBER(Q121),ISNUMBER(P121),N(P121)&gt;=5),Q121/P121,"")</f>
        <v>1.19565217391304</v>
      </c>
      <c r="S121" s="15" t="n">
        <v>365.3</v>
      </c>
      <c r="T121" s="15" t="n">
        <v>327.3</v>
      </c>
      <c r="U121" s="22" t="n">
        <f aca="false">IF(AND(ISNUMBER(T121),ISNUMBER(S121),N(S121)&gt;0),T121/S121-1,"")</f>
        <v>-0.104024089789214</v>
      </c>
    </row>
    <row r="122" customFormat="false" ht="15" hidden="false" customHeight="false" outlineLevel="0" collapsed="false">
      <c r="A122" s="15" t="s">
        <v>641</v>
      </c>
      <c r="B122" s="15" t="s">
        <v>1427</v>
      </c>
      <c r="C122" s="15" t="s">
        <v>639</v>
      </c>
      <c r="D122" s="15" t="s">
        <v>1433</v>
      </c>
      <c r="E122" s="15" t="s">
        <v>326</v>
      </c>
      <c r="F122" s="15" t="s">
        <v>1428</v>
      </c>
      <c r="G122" s="15"/>
      <c r="H122" s="15"/>
      <c r="I122" s="25" t="str">
        <f aca="false">IF(AND(ISNUMBER(H122),ISNUMBER(G122),N(G122)&gt;=5),H122/G122,"")</f>
        <v/>
      </c>
      <c r="J122" s="15"/>
      <c r="K122" s="15"/>
      <c r="L122" s="25" t="str">
        <f aca="false">IF(AND(ISNUMBER(K122),ISNUMBER(J122),N(J122)&gt;=5),K122/J122,"")</f>
        <v/>
      </c>
      <c r="M122" s="15" t="n">
        <v>116.8</v>
      </c>
      <c r="N122" s="15" t="n">
        <v>124.2</v>
      </c>
      <c r="O122" s="25" t="n">
        <f aca="false">IF(AND(ISNUMBER(N122),ISNUMBER(M122),N(M122)&gt;=5),N122/M122,"")</f>
        <v>1.06335616438356</v>
      </c>
      <c r="P122" s="15" t="n">
        <v>2.1</v>
      </c>
      <c r="Q122" s="15" t="n">
        <v>2.5</v>
      </c>
      <c r="R122" s="25" t="str">
        <f aca="false">IF(AND(ISNUMBER(Q122),ISNUMBER(P122),N(P122)&gt;=5),Q122/P122,"")</f>
        <v/>
      </c>
      <c r="S122" s="15" t="n">
        <v>117.1</v>
      </c>
      <c r="T122" s="15" t="n">
        <v>98</v>
      </c>
      <c r="U122" s="22" t="n">
        <f aca="false">IF(AND(ISNUMBER(T122),ISNUMBER(S122),N(S122)&gt;0),T122/S122-1,"")</f>
        <v>-0.163108454312553</v>
      </c>
    </row>
    <row r="123" customFormat="false" ht="15" hidden="false" customHeight="false" outlineLevel="0" collapsed="false">
      <c r="A123" s="15" t="s">
        <v>455</v>
      </c>
      <c r="B123" s="15" t="s">
        <v>1427</v>
      </c>
      <c r="C123" s="15" t="s">
        <v>438</v>
      </c>
      <c r="D123" s="15" t="s">
        <v>1440</v>
      </c>
      <c r="E123" s="15" t="s">
        <v>315</v>
      </c>
      <c r="F123" s="15" t="s">
        <v>1428</v>
      </c>
      <c r="G123" s="15"/>
      <c r="H123" s="15"/>
      <c r="I123" s="25" t="str">
        <f aca="false">IF(AND(ISNUMBER(H123),ISNUMBER(G123),N(G123)&gt;=5),H123/G123,"")</f>
        <v/>
      </c>
      <c r="J123" s="15"/>
      <c r="K123" s="15"/>
      <c r="L123" s="25" t="str">
        <f aca="false">IF(AND(ISNUMBER(K123),ISNUMBER(J123),N(J123)&gt;=5),K123/J123,"")</f>
        <v/>
      </c>
      <c r="M123" s="15" t="n">
        <v>0</v>
      </c>
      <c r="N123" s="15" t="n">
        <v>0</v>
      </c>
      <c r="O123" s="25" t="str">
        <f aca="false">IF(AND(ISNUMBER(N123),ISNUMBER(M123),N(M123)&gt;=5),N123/M123,"")</f>
        <v/>
      </c>
      <c r="P123" s="15" t="n">
        <v>0</v>
      </c>
      <c r="Q123" s="15" t="n">
        <v>0</v>
      </c>
      <c r="R123" s="25" t="str">
        <f aca="false">IF(AND(ISNUMBER(Q123),ISNUMBER(P123),N(P123)&gt;=5),Q123/P123,"")</f>
        <v/>
      </c>
      <c r="S123" s="15" t="n">
        <v>5.8</v>
      </c>
      <c r="T123" s="15" t="n">
        <v>0.2</v>
      </c>
      <c r="U123" s="22" t="n">
        <f aca="false">IF(AND(ISNUMBER(T123),ISNUMBER(S123),N(S123)&gt;0),T123/S123-1,"")</f>
        <v>-0.96551724137931</v>
      </c>
    </row>
    <row r="124" customFormat="false" ht="15" hidden="false" customHeight="false" outlineLevel="0" collapsed="false">
      <c r="A124" s="15" t="s">
        <v>861</v>
      </c>
      <c r="B124" s="15" t="s">
        <v>1427</v>
      </c>
      <c r="C124" s="15" t="s">
        <v>438</v>
      </c>
      <c r="D124" s="15" t="s">
        <v>1449</v>
      </c>
      <c r="E124" s="15" t="s">
        <v>315</v>
      </c>
      <c r="F124" s="15" t="s">
        <v>1428</v>
      </c>
      <c r="G124" s="15"/>
      <c r="H124" s="15"/>
      <c r="I124" s="25" t="str">
        <f aca="false">IF(AND(ISNUMBER(H124),ISNUMBER(G124),N(G124)&gt;=5),H124/G124,"")</f>
        <v/>
      </c>
      <c r="J124" s="15"/>
      <c r="K124" s="15"/>
      <c r="L124" s="25" t="str">
        <f aca="false">IF(AND(ISNUMBER(K124),ISNUMBER(J124),N(J124)&gt;=5),K124/J124,"")</f>
        <v/>
      </c>
      <c r="M124" s="15" t="n">
        <v>0</v>
      </c>
      <c r="N124" s="15" t="n">
        <v>0</v>
      </c>
      <c r="O124" s="25" t="str">
        <f aca="false">IF(AND(ISNUMBER(N124),ISNUMBER(M124),N(M124)&gt;=5),N124/M124,"")</f>
        <v/>
      </c>
      <c r="P124" s="15" t="n">
        <v>0</v>
      </c>
      <c r="Q124" s="15" t="n">
        <v>0</v>
      </c>
      <c r="R124" s="25" t="str">
        <f aca="false">IF(AND(ISNUMBER(Q124),ISNUMBER(P124),N(P124)&gt;=5),Q124/P124,"")</f>
        <v/>
      </c>
      <c r="S124" s="15" t="n">
        <v>9.8</v>
      </c>
      <c r="T124" s="15" t="n">
        <v>0.1</v>
      </c>
      <c r="U124" s="22" t="n">
        <f aca="false">IF(AND(ISNUMBER(T124),ISNUMBER(S124),N(S124)&gt;0),T124/S124-1,"")</f>
        <v>-0.989795918367347</v>
      </c>
    </row>
    <row r="125" customFormat="false" ht="15" hidden="false" customHeight="false" outlineLevel="0" collapsed="false">
      <c r="A125" s="15" t="s">
        <v>351</v>
      </c>
      <c r="B125" s="15" t="s">
        <v>1427</v>
      </c>
      <c r="C125" s="15" t="s">
        <v>349</v>
      </c>
      <c r="D125" s="15" t="s">
        <v>1432</v>
      </c>
      <c r="E125" s="15" t="s">
        <v>326</v>
      </c>
      <c r="F125" s="15" t="s">
        <v>1428</v>
      </c>
      <c r="G125" s="15"/>
      <c r="H125" s="15"/>
      <c r="I125" s="25" t="str">
        <f aca="false">IF(AND(ISNUMBER(H125),ISNUMBER(G125),N(G125)&gt;=5),H125/G125,"")</f>
        <v/>
      </c>
      <c r="J125" s="15"/>
      <c r="K125" s="15"/>
      <c r="L125" s="25" t="str">
        <f aca="false">IF(AND(ISNUMBER(K125),ISNUMBER(J125),N(J125)&gt;=5),K125/J125,"")</f>
        <v/>
      </c>
      <c r="M125" s="15" t="n">
        <v>295.1</v>
      </c>
      <c r="N125" s="15" t="n">
        <v>388</v>
      </c>
      <c r="O125" s="25" t="n">
        <f aca="false">IF(AND(ISNUMBER(N125),ISNUMBER(M125),N(M125)&gt;=5),N125/M125,"")</f>
        <v>1.31480853947814</v>
      </c>
      <c r="P125" s="15" t="n">
        <v>1.1</v>
      </c>
      <c r="Q125" s="15" t="n">
        <v>0.5</v>
      </c>
      <c r="R125" s="25" t="str">
        <f aca="false">IF(AND(ISNUMBER(Q125),ISNUMBER(P125),N(P125)&gt;=5),Q125/P125,"")</f>
        <v/>
      </c>
      <c r="S125" s="15" t="n">
        <v>254.1</v>
      </c>
      <c r="T125" s="15" t="n">
        <v>411.3</v>
      </c>
      <c r="U125" s="22" t="n">
        <f aca="false">IF(AND(ISNUMBER(T125),ISNUMBER(S125),N(S125)&gt;0),T125/S125-1,"")</f>
        <v>0.618654073199528</v>
      </c>
    </row>
    <row r="126" customFormat="false" ht="15" hidden="false" customHeight="false" outlineLevel="0" collapsed="false">
      <c r="A126" s="15" t="s">
        <v>800</v>
      </c>
      <c r="B126" s="15" t="s">
        <v>1427</v>
      </c>
      <c r="C126" s="15" t="s">
        <v>798</v>
      </c>
      <c r="D126" s="15" t="s">
        <v>1429</v>
      </c>
      <c r="E126" s="15" t="s">
        <v>326</v>
      </c>
      <c r="F126" s="15" t="s">
        <v>1428</v>
      </c>
      <c r="G126" s="15"/>
      <c r="H126" s="15"/>
      <c r="I126" s="25" t="str">
        <f aca="false">IF(AND(ISNUMBER(H126),ISNUMBER(G126),N(G126)&gt;=5),H126/G126,"")</f>
        <v/>
      </c>
      <c r="J126" s="15"/>
      <c r="K126" s="15"/>
      <c r="L126" s="25" t="str">
        <f aca="false">IF(AND(ISNUMBER(K126),ISNUMBER(J126),N(J126)&gt;=5),K126/J126,"")</f>
        <v/>
      </c>
      <c r="M126" s="15" t="n">
        <v>192.3</v>
      </c>
      <c r="N126" s="15" t="n">
        <v>186.8</v>
      </c>
      <c r="O126" s="25" t="n">
        <f aca="false">IF(AND(ISNUMBER(N126),ISNUMBER(M126),N(M126)&gt;=5),N126/M126,"")</f>
        <v>0.971398855954238</v>
      </c>
      <c r="P126" s="15" t="n">
        <v>66.2</v>
      </c>
      <c r="Q126" s="15" t="n">
        <v>67.2</v>
      </c>
      <c r="R126" s="25" t="n">
        <f aca="false">IF(AND(ISNUMBER(Q126),ISNUMBER(P126),N(P126)&gt;=5),Q126/P126,"")</f>
        <v>1.01510574018127</v>
      </c>
      <c r="S126" s="15" t="n">
        <v>174.2</v>
      </c>
      <c r="T126" s="15" t="n">
        <v>146.9</v>
      </c>
      <c r="U126" s="22" t="n">
        <f aca="false">IF(AND(ISNUMBER(T126),ISNUMBER(S126),N(S126)&gt;0),T126/S126-1,"")</f>
        <v>-0.156716417910448</v>
      </c>
    </row>
    <row r="127" customFormat="false" ht="15" hidden="false" customHeight="false" outlineLevel="0" collapsed="false">
      <c r="A127" s="15" t="s">
        <v>653</v>
      </c>
      <c r="B127" s="15" t="s">
        <v>1427</v>
      </c>
      <c r="C127" s="15" t="s">
        <v>595</v>
      </c>
      <c r="D127" s="15" t="s">
        <v>1442</v>
      </c>
      <c r="E127" s="15" t="s">
        <v>326</v>
      </c>
      <c r="F127" s="15" t="s">
        <v>1428</v>
      </c>
      <c r="G127" s="15"/>
      <c r="H127" s="15"/>
      <c r="I127" s="25" t="str">
        <f aca="false">IF(AND(ISNUMBER(H127),ISNUMBER(G127),N(G127)&gt;=5),H127/G127,"")</f>
        <v/>
      </c>
      <c r="J127" s="15"/>
      <c r="K127" s="15"/>
      <c r="L127" s="25" t="str">
        <f aca="false">IF(AND(ISNUMBER(K127),ISNUMBER(J127),N(J127)&gt;=5),K127/J127,"")</f>
        <v/>
      </c>
      <c r="M127" s="15" t="n">
        <v>24.3</v>
      </c>
      <c r="N127" s="15" t="n">
        <v>41.5</v>
      </c>
      <c r="O127" s="25" t="n">
        <f aca="false">IF(AND(ISNUMBER(N127),ISNUMBER(M127),N(M127)&gt;=5),N127/M127,"")</f>
        <v>1.70781893004115</v>
      </c>
      <c r="P127" s="15" t="n">
        <v>0.1</v>
      </c>
      <c r="Q127" s="15" t="n">
        <v>0</v>
      </c>
      <c r="R127" s="25" t="str">
        <f aca="false">IF(AND(ISNUMBER(Q127),ISNUMBER(P127),N(P127)&gt;=5),Q127/P127,"")</f>
        <v/>
      </c>
      <c r="S127" s="15" t="n">
        <v>24.3</v>
      </c>
      <c r="T127" s="15" t="n">
        <v>70.8</v>
      </c>
      <c r="U127" s="22" t="n">
        <f aca="false">IF(AND(ISNUMBER(T127),ISNUMBER(S127),N(S127)&gt;0),T127/S127-1,"")</f>
        <v>1.91358024691358</v>
      </c>
    </row>
    <row r="128" customFormat="false" ht="15" hidden="false" customHeight="false" outlineLevel="0" collapsed="false">
      <c r="A128" s="15" t="s">
        <v>865</v>
      </c>
      <c r="B128" s="15" t="s">
        <v>1427</v>
      </c>
      <c r="C128" s="15" t="s">
        <v>864</v>
      </c>
      <c r="D128" s="15" t="s">
        <v>1448</v>
      </c>
      <c r="E128" s="15" t="s">
        <v>326</v>
      </c>
      <c r="F128" s="15" t="s">
        <v>1430</v>
      </c>
      <c r="G128" s="15"/>
      <c r="H128" s="15"/>
      <c r="I128" s="25" t="str">
        <f aca="false">IF(AND(ISNUMBER(H128),ISNUMBER(G128),N(G128)&gt;=5),H128/G128,"")</f>
        <v/>
      </c>
      <c r="J128" s="15"/>
      <c r="K128" s="15"/>
      <c r="L128" s="25" t="str">
        <f aca="false">IF(AND(ISNUMBER(K128),ISNUMBER(J128),N(J128)&gt;=5),K128/J128,"")</f>
        <v/>
      </c>
      <c r="M128" s="15" t="n">
        <v>0</v>
      </c>
      <c r="N128" s="15" t="n">
        <v>0</v>
      </c>
      <c r="O128" s="25" t="str">
        <f aca="false">IF(AND(ISNUMBER(N128),ISNUMBER(M128),N(M128)&gt;=5),N128/M128,"")</f>
        <v/>
      </c>
      <c r="P128" s="15" t="n">
        <v>0</v>
      </c>
      <c r="Q128" s="15" t="n">
        <v>0</v>
      </c>
      <c r="R128" s="25" t="str">
        <f aca="false">IF(AND(ISNUMBER(Q128),ISNUMBER(P128),N(P128)&gt;=5),Q128/P128,"")</f>
        <v/>
      </c>
      <c r="S128" s="15" t="n">
        <v>0.3</v>
      </c>
      <c r="T128" s="15" t="n">
        <v>0</v>
      </c>
      <c r="U128" s="22" t="n">
        <f aca="false">IF(AND(ISNUMBER(T128),ISNUMBER(S128),N(S128)&gt;0),T128/S128-1,"")</f>
        <v>-1</v>
      </c>
    </row>
    <row r="129" customFormat="false" ht="15" hidden="false" customHeight="false" outlineLevel="0" collapsed="false">
      <c r="A129" s="15" t="s">
        <v>347</v>
      </c>
      <c r="B129" s="15" t="s">
        <v>1427</v>
      </c>
      <c r="C129" s="15" t="s">
        <v>307</v>
      </c>
      <c r="D129" s="15" t="s">
        <v>1432</v>
      </c>
      <c r="E129" s="15" t="s">
        <v>326</v>
      </c>
      <c r="F129" s="15" t="s">
        <v>1428</v>
      </c>
      <c r="G129" s="15"/>
      <c r="H129" s="15"/>
      <c r="I129" s="25" t="str">
        <f aca="false">IF(AND(ISNUMBER(H129),ISNUMBER(G129),N(G129)&gt;=5),H129/G129,"")</f>
        <v/>
      </c>
      <c r="J129" s="15"/>
      <c r="K129" s="15"/>
      <c r="L129" s="25" t="str">
        <f aca="false">IF(AND(ISNUMBER(K129),ISNUMBER(J129),N(J129)&gt;=5),K129/J129,"")</f>
        <v/>
      </c>
      <c r="M129" s="15" t="n">
        <v>279.8</v>
      </c>
      <c r="N129" s="15" t="n">
        <v>493.8</v>
      </c>
      <c r="O129" s="25" t="n">
        <f aca="false">IF(AND(ISNUMBER(N129),ISNUMBER(M129),N(M129)&gt;=5),N129/M129,"")</f>
        <v>1.76483202287348</v>
      </c>
      <c r="P129" s="15" t="n">
        <v>320.1</v>
      </c>
      <c r="Q129" s="15" t="n">
        <v>534.8</v>
      </c>
      <c r="R129" s="25" t="n">
        <f aca="false">IF(AND(ISNUMBER(Q129),ISNUMBER(P129),N(P129)&gt;=5),Q129/P129,"")</f>
        <v>1.67072789753202</v>
      </c>
      <c r="S129" s="15" t="n">
        <v>248.7</v>
      </c>
      <c r="T129" s="15" t="n">
        <v>226.2</v>
      </c>
      <c r="U129" s="22" t="n">
        <f aca="false">IF(AND(ISNUMBER(T129),ISNUMBER(S129),N(S129)&gt;0),T129/S129-1,"")</f>
        <v>-0.0904704463208685</v>
      </c>
    </row>
    <row r="130" customFormat="false" ht="15" hidden="false" customHeight="false" outlineLevel="0" collapsed="false">
      <c r="A130" s="15" t="s">
        <v>1066</v>
      </c>
      <c r="B130" s="15" t="s">
        <v>1427</v>
      </c>
      <c r="C130" s="15" t="s">
        <v>307</v>
      </c>
      <c r="D130" s="15" t="s">
        <v>145</v>
      </c>
      <c r="E130" s="15" t="s">
        <v>326</v>
      </c>
      <c r="F130" s="15" t="s">
        <v>1430</v>
      </c>
      <c r="G130" s="15"/>
      <c r="H130" s="15"/>
      <c r="I130" s="25" t="str">
        <f aca="false">IF(AND(ISNUMBER(H130),ISNUMBER(G130),N(G130)&gt;=5),H130/G130,"")</f>
        <v/>
      </c>
      <c r="J130" s="15"/>
      <c r="K130" s="15"/>
      <c r="L130" s="25" t="str">
        <f aca="false">IF(AND(ISNUMBER(K130),ISNUMBER(J130),N(J130)&gt;=5),K130/J130,"")</f>
        <v/>
      </c>
      <c r="M130" s="15" t="n">
        <v>198.2</v>
      </c>
      <c r="N130" s="15" t="n">
        <v>197.8</v>
      </c>
      <c r="O130" s="25" t="n">
        <f aca="false">IF(AND(ISNUMBER(N130),ISNUMBER(M130),N(M130)&gt;=5),N130/M130,"")</f>
        <v>0.997981836528759</v>
      </c>
      <c r="P130" s="15" t="n">
        <v>80</v>
      </c>
      <c r="Q130" s="15" t="n">
        <v>89.2</v>
      </c>
      <c r="R130" s="25" t="n">
        <f aca="false">IF(AND(ISNUMBER(Q130),ISNUMBER(P130),N(P130)&gt;=5),Q130/P130,"")</f>
        <v>1.115</v>
      </c>
      <c r="S130" s="15" t="n">
        <v>72.8</v>
      </c>
      <c r="T130" s="15" t="n">
        <v>173.4</v>
      </c>
      <c r="U130" s="22" t="n">
        <f aca="false">IF(AND(ISNUMBER(T130),ISNUMBER(S130),N(S130)&gt;0),T130/S130-1,"")</f>
        <v>1.38186813186813</v>
      </c>
    </row>
    <row r="131" customFormat="false" ht="15" hidden="false" customHeight="false" outlineLevel="0" collapsed="false">
      <c r="A131" s="15" t="s">
        <v>655</v>
      </c>
      <c r="B131" s="15" t="s">
        <v>1427</v>
      </c>
      <c r="C131" s="15" t="s">
        <v>362</v>
      </c>
      <c r="D131" s="15" t="s">
        <v>92</v>
      </c>
      <c r="E131" s="15" t="s">
        <v>326</v>
      </c>
      <c r="F131" s="15" t="s">
        <v>1428</v>
      </c>
      <c r="G131" s="15"/>
      <c r="H131" s="15"/>
      <c r="I131" s="25" t="str">
        <f aca="false">IF(AND(ISNUMBER(H131),ISNUMBER(G131),N(G131)&gt;=5),H131/G131,"")</f>
        <v/>
      </c>
      <c r="J131" s="15"/>
      <c r="K131" s="15"/>
      <c r="L131" s="25" t="str">
        <f aca="false">IF(AND(ISNUMBER(K131),ISNUMBER(J131),N(J131)&gt;=5),K131/J131,"")</f>
        <v/>
      </c>
      <c r="M131" s="15" t="n">
        <v>128.1</v>
      </c>
      <c r="N131" s="15" t="n">
        <v>157.2</v>
      </c>
      <c r="O131" s="25" t="n">
        <f aca="false">IF(AND(ISNUMBER(N131),ISNUMBER(M131),N(M131)&gt;=5),N131/M131,"")</f>
        <v>1.2271662763466</v>
      </c>
      <c r="P131" s="15" t="n">
        <v>39.4</v>
      </c>
      <c r="Q131" s="15" t="n">
        <v>51</v>
      </c>
      <c r="R131" s="25" t="n">
        <f aca="false">IF(AND(ISNUMBER(Q131),ISNUMBER(P131),N(P131)&gt;=5),Q131/P131,"")</f>
        <v>1.29441624365482</v>
      </c>
      <c r="S131" s="15" t="n">
        <v>116.1</v>
      </c>
      <c r="T131" s="15" t="n">
        <v>148.6</v>
      </c>
      <c r="U131" s="22" t="n">
        <f aca="false">IF(AND(ISNUMBER(T131),ISNUMBER(S131),N(S131)&gt;0),T131/S131-1,"")</f>
        <v>0.279931093884582</v>
      </c>
    </row>
    <row r="132" customFormat="false" ht="15" hidden="false" customHeight="false" outlineLevel="0" collapsed="false">
      <c r="A132" s="15" t="s">
        <v>334</v>
      </c>
      <c r="B132" s="15" t="s">
        <v>1427</v>
      </c>
      <c r="C132" s="15" t="s">
        <v>332</v>
      </c>
      <c r="D132" s="15" t="s">
        <v>1440</v>
      </c>
      <c r="E132" s="15" t="s">
        <v>326</v>
      </c>
      <c r="F132" s="15" t="s">
        <v>1410</v>
      </c>
      <c r="G132" s="15"/>
      <c r="H132" s="15"/>
      <c r="I132" s="25" t="str">
        <f aca="false">IF(AND(ISNUMBER(H132),ISNUMBER(G132),N(G132)&gt;=5),H132/G132,"")</f>
        <v/>
      </c>
      <c r="J132" s="15"/>
      <c r="K132" s="15"/>
      <c r="L132" s="25" t="str">
        <f aca="false">IF(AND(ISNUMBER(K132),ISNUMBER(J132),N(J132)&gt;=5),K132/J132,"")</f>
        <v/>
      </c>
      <c r="M132" s="15" t="n">
        <v>198.1</v>
      </c>
      <c r="N132" s="15" t="n">
        <v>260</v>
      </c>
      <c r="O132" s="25" t="n">
        <f aca="false">IF(AND(ISNUMBER(N132),ISNUMBER(M132),N(M132)&gt;=5),N132/M132,"")</f>
        <v>1.31246845027764</v>
      </c>
      <c r="P132" s="15" t="n">
        <v>89.9</v>
      </c>
      <c r="Q132" s="15" t="n">
        <v>320.5</v>
      </c>
      <c r="R132" s="25" t="n">
        <f aca="false">IF(AND(ISNUMBER(Q132),ISNUMBER(P132),N(P132)&gt;=5),Q132/P132,"")</f>
        <v>3.5650723025584</v>
      </c>
      <c r="S132" s="15" t="n">
        <v>183.2</v>
      </c>
      <c r="T132" s="15" t="n">
        <v>230.2</v>
      </c>
      <c r="U132" s="22" t="n">
        <f aca="false">IF(AND(ISNUMBER(T132),ISNUMBER(S132),N(S132)&gt;0),T132/S132-1,"")</f>
        <v>0.256550218340611</v>
      </c>
    </row>
    <row r="133" customFormat="false" ht="15" hidden="false" customHeight="false" outlineLevel="0" collapsed="false">
      <c r="A133" s="15" t="s">
        <v>526</v>
      </c>
      <c r="B133" s="15" t="s">
        <v>1427</v>
      </c>
      <c r="C133" s="15"/>
      <c r="D133" s="15" t="s">
        <v>1444</v>
      </c>
      <c r="E133" s="15" t="s">
        <v>315</v>
      </c>
      <c r="F133" s="15" t="s">
        <v>1428</v>
      </c>
      <c r="G133" s="15"/>
      <c r="H133" s="15"/>
      <c r="I133" s="25" t="str">
        <f aca="false">IF(AND(ISNUMBER(H133),ISNUMBER(G133),N(G133)&gt;=5),H133/G133,"")</f>
        <v/>
      </c>
      <c r="J133" s="15"/>
      <c r="K133" s="15"/>
      <c r="L133" s="25" t="str">
        <f aca="false">IF(AND(ISNUMBER(K133),ISNUMBER(J133),N(J133)&gt;=5),K133/J133,"")</f>
        <v/>
      </c>
      <c r="M133" s="15" t="n">
        <v>97</v>
      </c>
      <c r="N133" s="15" t="n">
        <v>114.2</v>
      </c>
      <c r="O133" s="25" t="n">
        <f aca="false">IF(AND(ISNUMBER(N133),ISNUMBER(M133),N(M133)&gt;=5),N133/M133,"")</f>
        <v>1.17731958762887</v>
      </c>
      <c r="P133" s="15" t="n">
        <v>112.6</v>
      </c>
      <c r="Q133" s="15" t="n">
        <v>150.5</v>
      </c>
      <c r="R133" s="25" t="n">
        <f aca="false">IF(AND(ISNUMBER(Q133),ISNUMBER(P133),N(P133)&gt;=5),Q133/P133,"")</f>
        <v>1.33658969804618</v>
      </c>
      <c r="S133" s="15" t="n">
        <v>70.3</v>
      </c>
      <c r="T133" s="15" t="n">
        <v>72.2</v>
      </c>
      <c r="U133" s="22" t="n">
        <f aca="false">IF(AND(ISNUMBER(T133),ISNUMBER(S133),N(S133)&gt;0),T133/S133-1,"")</f>
        <v>0.0270270270270272</v>
      </c>
    </row>
    <row r="134" customFormat="false" ht="15" hidden="false" customHeight="false" outlineLevel="0" collapsed="false">
      <c r="A134" s="15" t="s">
        <v>488</v>
      </c>
      <c r="B134" s="15" t="s">
        <v>1427</v>
      </c>
      <c r="C134" s="15" t="s">
        <v>438</v>
      </c>
      <c r="D134" s="15" t="s">
        <v>1447</v>
      </c>
      <c r="E134" s="15" t="s">
        <v>315</v>
      </c>
      <c r="F134" s="15" t="s">
        <v>1428</v>
      </c>
      <c r="G134" s="15"/>
      <c r="H134" s="15"/>
      <c r="I134" s="25" t="str">
        <f aca="false">IF(AND(ISNUMBER(H134),ISNUMBER(G134),N(G134)&gt;=5),H134/G134,"")</f>
        <v/>
      </c>
      <c r="J134" s="15"/>
      <c r="K134" s="15"/>
      <c r="L134" s="25" t="str">
        <f aca="false">IF(AND(ISNUMBER(K134),ISNUMBER(J134),N(J134)&gt;=5),K134/J134,"")</f>
        <v/>
      </c>
      <c r="M134" s="15" t="n">
        <v>0</v>
      </c>
      <c r="N134" s="15" t="n">
        <v>0</v>
      </c>
      <c r="O134" s="25" t="str">
        <f aca="false">IF(AND(ISNUMBER(N134),ISNUMBER(M134),N(M134)&gt;=5),N134/M134,"")</f>
        <v/>
      </c>
      <c r="P134" s="15" t="n">
        <v>0</v>
      </c>
      <c r="Q134" s="15" t="n">
        <v>0</v>
      </c>
      <c r="R134" s="25" t="str">
        <f aca="false">IF(AND(ISNUMBER(Q134),ISNUMBER(P134),N(P134)&gt;=5),Q134/P134,"")</f>
        <v/>
      </c>
      <c r="S134" s="15" t="n">
        <v>23.9</v>
      </c>
      <c r="T134" s="15" t="n">
        <v>1.2</v>
      </c>
      <c r="U134" s="22" t="n">
        <f aca="false">IF(AND(ISNUMBER(T134),ISNUMBER(S134),N(S134)&gt;0),T134/S134-1,"")</f>
        <v>-0.94979079497908</v>
      </c>
    </row>
    <row r="135" customFormat="false" ht="15" hidden="false" customHeight="false" outlineLevel="0" collapsed="false">
      <c r="A135" s="15" t="s">
        <v>383</v>
      </c>
      <c r="B135" s="15" t="s">
        <v>1427</v>
      </c>
      <c r="C135" s="15" t="s">
        <v>381</v>
      </c>
      <c r="D135" s="15" t="s">
        <v>1450</v>
      </c>
      <c r="E135" s="15" t="s">
        <v>315</v>
      </c>
      <c r="F135" s="15" t="s">
        <v>1428</v>
      </c>
      <c r="G135" s="15"/>
      <c r="H135" s="15"/>
      <c r="I135" s="25" t="str">
        <f aca="false">IF(AND(ISNUMBER(H135),ISNUMBER(G135),N(G135)&gt;=5),H135/G135,"")</f>
        <v/>
      </c>
      <c r="J135" s="15"/>
      <c r="K135" s="15"/>
      <c r="L135" s="25" t="str">
        <f aca="false">IF(AND(ISNUMBER(K135),ISNUMBER(J135),N(J135)&gt;=5),K135/J135,"")</f>
        <v/>
      </c>
      <c r="M135" s="15" t="n">
        <v>23.4</v>
      </c>
      <c r="N135" s="15" t="n">
        <v>49.2</v>
      </c>
      <c r="O135" s="25" t="n">
        <f aca="false">IF(AND(ISNUMBER(N135),ISNUMBER(M135),N(M135)&gt;=5),N135/M135,"")</f>
        <v>2.1025641025641</v>
      </c>
      <c r="P135" s="15" t="n">
        <v>45.5</v>
      </c>
      <c r="Q135" s="15" t="n">
        <v>115.2</v>
      </c>
      <c r="R135" s="25" t="n">
        <f aca="false">IF(AND(ISNUMBER(Q135),ISNUMBER(P135),N(P135)&gt;=5),Q135/P135,"")</f>
        <v>2.53186813186813</v>
      </c>
      <c r="S135" s="15" t="n">
        <v>23.6</v>
      </c>
      <c r="T135" s="15" t="n">
        <v>2.9</v>
      </c>
      <c r="U135" s="22" t="n">
        <f aca="false">IF(AND(ISNUMBER(T135),ISNUMBER(S135),N(S135)&gt;0),T135/S135-1,"")</f>
        <v>-0.877118644067797</v>
      </c>
    </row>
    <row r="136" customFormat="false" ht="15" hidden="false" customHeight="false" outlineLevel="0" collapsed="false">
      <c r="A136" s="15" t="s">
        <v>401</v>
      </c>
      <c r="B136" s="15" t="s">
        <v>1427</v>
      </c>
      <c r="C136" s="15" t="s">
        <v>399</v>
      </c>
      <c r="D136" s="15" t="s">
        <v>1447</v>
      </c>
      <c r="E136" s="15" t="s">
        <v>315</v>
      </c>
      <c r="F136" s="15" t="s">
        <v>1428</v>
      </c>
      <c r="G136" s="15"/>
      <c r="H136" s="15"/>
      <c r="I136" s="25" t="str">
        <f aca="false">IF(AND(ISNUMBER(H136),ISNUMBER(G136),N(G136)&gt;=5),H136/G136,"")</f>
        <v/>
      </c>
      <c r="J136" s="15"/>
      <c r="K136" s="15"/>
      <c r="L136" s="25" t="str">
        <f aca="false">IF(AND(ISNUMBER(K136),ISNUMBER(J136),N(J136)&gt;=5),K136/J136,"")</f>
        <v/>
      </c>
      <c r="M136" s="15" t="n">
        <v>2.2</v>
      </c>
      <c r="N136" s="15" t="n">
        <v>2</v>
      </c>
      <c r="O136" s="25" t="str">
        <f aca="false">IF(AND(ISNUMBER(N136),ISNUMBER(M136),N(M136)&gt;=5),N136/M136,"")</f>
        <v/>
      </c>
      <c r="P136" s="15" t="n">
        <v>0</v>
      </c>
      <c r="Q136" s="15" t="n">
        <v>0</v>
      </c>
      <c r="R136" s="25" t="str">
        <f aca="false">IF(AND(ISNUMBER(Q136),ISNUMBER(P136),N(P136)&gt;=5),Q136/P136,"")</f>
        <v/>
      </c>
      <c r="S136" s="15" t="n">
        <v>2</v>
      </c>
      <c r="T136" s="15" t="n">
        <v>93.2</v>
      </c>
      <c r="U136" s="22" t="n">
        <f aca="false">IF(AND(ISNUMBER(T136),ISNUMBER(S136),N(S136)&gt;0),T136/S136-1,"")</f>
        <v>45.6</v>
      </c>
    </row>
    <row r="137" customFormat="false" ht="15" hidden="false" customHeight="false" outlineLevel="0" collapsed="false">
      <c r="A137" s="15" t="s">
        <v>977</v>
      </c>
      <c r="B137" s="15" t="s">
        <v>1427</v>
      </c>
      <c r="C137" s="15" t="s">
        <v>307</v>
      </c>
      <c r="D137" s="15" t="s">
        <v>134</v>
      </c>
      <c r="E137" s="15" t="s">
        <v>315</v>
      </c>
      <c r="F137" s="15" t="s">
        <v>1428</v>
      </c>
      <c r="G137" s="15"/>
      <c r="H137" s="15"/>
      <c r="I137" s="25" t="str">
        <f aca="false">IF(AND(ISNUMBER(H137),ISNUMBER(G137),N(G137)&gt;=5),H137/G137,"")</f>
        <v/>
      </c>
      <c r="J137" s="15"/>
      <c r="K137" s="15"/>
      <c r="L137" s="25" t="str">
        <f aca="false">IF(AND(ISNUMBER(K137),ISNUMBER(J137),N(J137)&gt;=5),K137/J137,"")</f>
        <v/>
      </c>
      <c r="M137" s="15" t="n">
        <v>132.6</v>
      </c>
      <c r="N137" s="15" t="n">
        <v>220.2</v>
      </c>
      <c r="O137" s="25" t="n">
        <f aca="false">IF(AND(ISNUMBER(N137),ISNUMBER(M137),N(M137)&gt;=5),N137/M137,"")</f>
        <v>1.6606334841629</v>
      </c>
      <c r="P137" s="15" t="n">
        <v>268.6</v>
      </c>
      <c r="Q137" s="15" t="n">
        <v>282.5</v>
      </c>
      <c r="R137" s="25" t="n">
        <f aca="false">IF(AND(ISNUMBER(Q137),ISNUMBER(P137),N(P137)&gt;=5),Q137/P137,"")</f>
        <v>1.05174981384959</v>
      </c>
      <c r="S137" s="15" t="n">
        <v>109.6</v>
      </c>
      <c r="T137" s="15" t="n">
        <v>299.4</v>
      </c>
      <c r="U137" s="22" t="n">
        <f aca="false">IF(AND(ISNUMBER(T137),ISNUMBER(S137),N(S137)&gt;0),T137/S137-1,"")</f>
        <v>1.73175182481752</v>
      </c>
    </row>
    <row r="138" customFormat="false" ht="15" hidden="false" customHeight="false" outlineLevel="0" collapsed="false">
      <c r="A138" s="15" t="s">
        <v>868</v>
      </c>
      <c r="B138" s="15" t="s">
        <v>1427</v>
      </c>
      <c r="C138" s="15" t="s">
        <v>866</v>
      </c>
      <c r="D138" s="15" t="s">
        <v>1451</v>
      </c>
      <c r="E138" s="15" t="s">
        <v>315</v>
      </c>
      <c r="F138" s="15" t="s">
        <v>1428</v>
      </c>
      <c r="G138" s="15"/>
      <c r="H138" s="15"/>
      <c r="I138" s="25" t="str">
        <f aca="false">IF(AND(ISNUMBER(H138),ISNUMBER(G138),N(G138)&gt;=5),H138/G138,"")</f>
        <v/>
      </c>
      <c r="J138" s="15"/>
      <c r="K138" s="15"/>
      <c r="L138" s="25" t="str">
        <f aca="false">IF(AND(ISNUMBER(K138),ISNUMBER(J138),N(J138)&gt;=5),K138/J138,"")</f>
        <v/>
      </c>
      <c r="M138" s="15" t="n">
        <v>9.9</v>
      </c>
      <c r="N138" s="15" t="n">
        <v>4.8</v>
      </c>
      <c r="O138" s="25" t="n">
        <f aca="false">IF(AND(ISNUMBER(N138),ISNUMBER(M138),N(M138)&gt;=5),N138/M138,"")</f>
        <v>0.484848484848485</v>
      </c>
      <c r="P138" s="15" t="n">
        <v>8.7</v>
      </c>
      <c r="Q138" s="15" t="n">
        <v>17</v>
      </c>
      <c r="R138" s="25" t="n">
        <f aca="false">IF(AND(ISNUMBER(Q138),ISNUMBER(P138),N(P138)&gt;=5),Q138/P138,"")</f>
        <v>1.95402298850575</v>
      </c>
      <c r="S138" s="15" t="n">
        <v>3.7</v>
      </c>
      <c r="T138" s="15" t="n">
        <v>15.5</v>
      </c>
      <c r="U138" s="22" t="n">
        <f aca="false">IF(AND(ISNUMBER(T138),ISNUMBER(S138),N(S138)&gt;0),T138/S138-1,"")</f>
        <v>3.18918918918919</v>
      </c>
    </row>
    <row r="139" customFormat="false" ht="15" hidden="false" customHeight="false" outlineLevel="0" collapsed="false">
      <c r="A139" s="15" t="s">
        <v>994</v>
      </c>
      <c r="B139" s="15" t="s">
        <v>1427</v>
      </c>
      <c r="C139" s="15" t="s">
        <v>992</v>
      </c>
      <c r="D139" s="15" t="s">
        <v>134</v>
      </c>
      <c r="E139" s="15" t="s">
        <v>531</v>
      </c>
      <c r="F139" s="15" t="s">
        <v>1441</v>
      </c>
      <c r="G139" s="15"/>
      <c r="H139" s="15"/>
      <c r="I139" s="25" t="str">
        <f aca="false">IF(AND(ISNUMBER(H139),ISNUMBER(G139),N(G139)&gt;=5),H139/G139,"")</f>
        <v/>
      </c>
      <c r="J139" s="15"/>
      <c r="K139" s="15"/>
      <c r="L139" s="25" t="str">
        <f aca="false">IF(AND(ISNUMBER(K139),ISNUMBER(J139),N(J139)&gt;=5),K139/J139,"")</f>
        <v/>
      </c>
      <c r="M139" s="15" t="n">
        <v>467.6</v>
      </c>
      <c r="N139" s="15" t="n">
        <v>680.2</v>
      </c>
      <c r="O139" s="25" t="n">
        <f aca="false">IF(AND(ISNUMBER(N139),ISNUMBER(M139),N(M139)&gt;=5),N139/M139,"")</f>
        <v>1.4546621043627</v>
      </c>
      <c r="P139" s="15" t="n">
        <v>114</v>
      </c>
      <c r="Q139" s="15" t="n">
        <v>360</v>
      </c>
      <c r="R139" s="25" t="n">
        <f aca="false">IF(AND(ISNUMBER(Q139),ISNUMBER(P139),N(P139)&gt;=5),Q139/P139,"")</f>
        <v>3.15789473684211</v>
      </c>
      <c r="S139" s="15" t="n">
        <v>290.1</v>
      </c>
      <c r="T139" s="15" t="n">
        <v>277.2</v>
      </c>
      <c r="U139" s="22" t="n">
        <f aca="false">IF(AND(ISNUMBER(T139),ISNUMBER(S139),N(S139)&gt;0),T139/S139-1,"")</f>
        <v>-0.0444674250258532</v>
      </c>
    </row>
    <row r="140" customFormat="false" ht="15" hidden="false" customHeight="false" outlineLevel="0" collapsed="false">
      <c r="A140" s="15" t="s">
        <v>364</v>
      </c>
      <c r="B140" s="15" t="s">
        <v>1427</v>
      </c>
      <c r="C140" s="15" t="s">
        <v>362</v>
      </c>
      <c r="D140" s="15" t="s">
        <v>1447</v>
      </c>
      <c r="E140" s="15" t="s">
        <v>315</v>
      </c>
      <c r="F140" s="15" t="s">
        <v>1428</v>
      </c>
      <c r="G140" s="15"/>
      <c r="H140" s="15"/>
      <c r="I140" s="25" t="str">
        <f aca="false">IF(AND(ISNUMBER(H140),ISNUMBER(G140),N(G140)&gt;=5),H140/G140,"")</f>
        <v/>
      </c>
      <c r="J140" s="15"/>
      <c r="K140" s="15"/>
      <c r="L140" s="25" t="str">
        <f aca="false">IF(AND(ISNUMBER(K140),ISNUMBER(J140),N(J140)&gt;=5),K140/J140,"")</f>
        <v/>
      </c>
      <c r="M140" s="15" t="n">
        <v>141.2</v>
      </c>
      <c r="N140" s="15" t="n">
        <v>114</v>
      </c>
      <c r="O140" s="25" t="n">
        <f aca="false">IF(AND(ISNUMBER(N140),ISNUMBER(M140),N(M140)&gt;=5),N140/M140,"")</f>
        <v>0.807365439093485</v>
      </c>
      <c r="P140" s="15" t="n">
        <v>193.2</v>
      </c>
      <c r="Q140" s="15" t="n">
        <v>145.5</v>
      </c>
      <c r="R140" s="25" t="n">
        <f aca="false">IF(AND(ISNUMBER(Q140),ISNUMBER(P140),N(P140)&gt;=5),Q140/P140,"")</f>
        <v>0.753105590062112</v>
      </c>
      <c r="S140" s="15" t="n">
        <v>54.9</v>
      </c>
      <c r="T140" s="15" t="n">
        <v>82.2</v>
      </c>
      <c r="U140" s="22" t="n">
        <f aca="false">IF(AND(ISNUMBER(T140),ISNUMBER(S140),N(S140)&gt;0),T140/S140-1,"")</f>
        <v>0.497267759562842</v>
      </c>
    </row>
    <row r="141" customFormat="false" ht="15" hidden="false" customHeight="false" outlineLevel="0" collapsed="false">
      <c r="A141" s="15" t="s">
        <v>395</v>
      </c>
      <c r="B141" s="15" t="s">
        <v>1427</v>
      </c>
      <c r="C141" s="15" t="s">
        <v>393</v>
      </c>
      <c r="D141" s="15" t="s">
        <v>1447</v>
      </c>
      <c r="E141" s="15" t="s">
        <v>315</v>
      </c>
      <c r="F141" s="15" t="s">
        <v>1428</v>
      </c>
      <c r="G141" s="15"/>
      <c r="H141" s="15"/>
      <c r="I141" s="25" t="str">
        <f aca="false">IF(AND(ISNUMBER(H141),ISNUMBER(G141),N(G141)&gt;=5),H141/G141,"")</f>
        <v/>
      </c>
      <c r="J141" s="15"/>
      <c r="K141" s="15"/>
      <c r="L141" s="25" t="str">
        <f aca="false">IF(AND(ISNUMBER(K141),ISNUMBER(J141),N(J141)&gt;=5),K141/J141,"")</f>
        <v/>
      </c>
      <c r="M141" s="15" t="n">
        <v>0</v>
      </c>
      <c r="N141" s="15" t="n">
        <v>0</v>
      </c>
      <c r="O141" s="25" t="str">
        <f aca="false">IF(AND(ISNUMBER(N141),ISNUMBER(M141),N(M141)&gt;=5),N141/M141,"")</f>
        <v/>
      </c>
      <c r="P141" s="15" t="n">
        <v>0</v>
      </c>
      <c r="Q141" s="15" t="n">
        <v>0</v>
      </c>
      <c r="R141" s="25" t="str">
        <f aca="false">IF(AND(ISNUMBER(Q141),ISNUMBER(P141),N(P141)&gt;=5),Q141/P141,"")</f>
        <v/>
      </c>
      <c r="S141" s="15" t="n">
        <v>0</v>
      </c>
      <c r="T141" s="15" t="n">
        <v>29.8</v>
      </c>
      <c r="U141" s="22" t="str">
        <f aca="false">IF(AND(ISNUMBER(T141),ISNUMBER(S141),N(S141)&gt;0),T141/S141-1,"")</f>
        <v/>
      </c>
    </row>
    <row r="142" customFormat="false" ht="15" hidden="false" customHeight="false" outlineLevel="0" collapsed="false">
      <c r="A142" s="15" t="s">
        <v>371</v>
      </c>
      <c r="B142" s="15" t="s">
        <v>1427</v>
      </c>
      <c r="C142" s="15" t="s">
        <v>369</v>
      </c>
      <c r="D142" s="15" t="s">
        <v>1447</v>
      </c>
      <c r="E142" s="15" t="s">
        <v>315</v>
      </c>
      <c r="F142" s="15" t="s">
        <v>1428</v>
      </c>
      <c r="G142" s="15"/>
      <c r="H142" s="15"/>
      <c r="I142" s="25" t="str">
        <f aca="false">IF(AND(ISNUMBER(H142),ISNUMBER(G142),N(G142)&gt;=5),H142/G142,"")</f>
        <v/>
      </c>
      <c r="J142" s="15"/>
      <c r="K142" s="15"/>
      <c r="L142" s="25" t="str">
        <f aca="false">IF(AND(ISNUMBER(K142),ISNUMBER(J142),N(J142)&gt;=5),K142/J142,"")</f>
        <v/>
      </c>
      <c r="M142" s="15" t="n">
        <v>0</v>
      </c>
      <c r="N142" s="15" t="n">
        <v>0</v>
      </c>
      <c r="O142" s="25" t="str">
        <f aca="false">IF(AND(ISNUMBER(N142),ISNUMBER(M142),N(M142)&gt;=5),N142/M142,"")</f>
        <v/>
      </c>
      <c r="P142" s="15" t="n">
        <v>0</v>
      </c>
      <c r="Q142" s="15" t="n">
        <v>0</v>
      </c>
      <c r="R142" s="25" t="str">
        <f aca="false">IF(AND(ISNUMBER(Q142),ISNUMBER(P142),N(P142)&gt;=5),Q142/P142,"")</f>
        <v/>
      </c>
      <c r="S142" s="15" t="n">
        <v>0</v>
      </c>
      <c r="T142" s="15" t="n">
        <v>69.1</v>
      </c>
      <c r="U142" s="22" t="str">
        <f aca="false">IF(AND(ISNUMBER(T142),ISNUMBER(S142),N(S142)&gt;0),T142/S142-1,"")</f>
        <v/>
      </c>
    </row>
    <row r="143" customFormat="false" ht="15" hidden="false" customHeight="false" outlineLevel="0" collapsed="false">
      <c r="A143" s="15" t="s">
        <v>398</v>
      </c>
      <c r="B143" s="15" t="s">
        <v>1427</v>
      </c>
      <c r="C143" s="15" t="s">
        <v>385</v>
      </c>
      <c r="D143" s="15" t="s">
        <v>1447</v>
      </c>
      <c r="E143" s="15" t="s">
        <v>315</v>
      </c>
      <c r="F143" s="15" t="s">
        <v>1428</v>
      </c>
      <c r="G143" s="15"/>
      <c r="H143" s="15"/>
      <c r="I143" s="25" t="str">
        <f aca="false">IF(AND(ISNUMBER(H143),ISNUMBER(G143),N(G143)&gt;=5),H143/G143,"")</f>
        <v/>
      </c>
      <c r="J143" s="15"/>
      <c r="K143" s="15"/>
      <c r="L143" s="25" t="str">
        <f aca="false">IF(AND(ISNUMBER(K143),ISNUMBER(J143),N(J143)&gt;=5),K143/J143,"")</f>
        <v/>
      </c>
      <c r="M143" s="15" t="n">
        <v>0</v>
      </c>
      <c r="N143" s="15" t="n">
        <v>0</v>
      </c>
      <c r="O143" s="25" t="str">
        <f aca="false">IF(AND(ISNUMBER(N143),ISNUMBER(M143),N(M143)&gt;=5),N143/M143,"")</f>
        <v/>
      </c>
      <c r="P143" s="15" t="n">
        <v>0</v>
      </c>
      <c r="Q143" s="15" t="n">
        <v>0</v>
      </c>
      <c r="R143" s="25" t="str">
        <f aca="false">IF(AND(ISNUMBER(Q143),ISNUMBER(P143),N(P143)&gt;=5),Q143/P143,"")</f>
        <v/>
      </c>
      <c r="S143" s="15" t="n">
        <v>0</v>
      </c>
      <c r="T143" s="15" t="n">
        <v>21.5</v>
      </c>
      <c r="U143" s="22" t="str">
        <f aca="false">IF(AND(ISNUMBER(T143),ISNUMBER(S143),N(S143)&gt;0),T143/S143-1,"")</f>
        <v/>
      </c>
    </row>
    <row r="144" customFormat="false" ht="15" hidden="false" customHeight="false" outlineLevel="0" collapsed="false">
      <c r="A144" s="15" t="s">
        <v>339</v>
      </c>
      <c r="B144" s="15" t="s">
        <v>1427</v>
      </c>
      <c r="C144" s="15" t="s">
        <v>337</v>
      </c>
      <c r="D144" s="15" t="s">
        <v>1447</v>
      </c>
      <c r="E144" s="15" t="s">
        <v>315</v>
      </c>
      <c r="F144" s="15" t="s">
        <v>1410</v>
      </c>
      <c r="G144" s="15"/>
      <c r="H144" s="15"/>
      <c r="I144" s="25" t="str">
        <f aca="false">IF(AND(ISNUMBER(H144),ISNUMBER(G144),N(G144)&gt;=5),H144/G144,"")</f>
        <v/>
      </c>
      <c r="J144" s="15"/>
      <c r="K144" s="15"/>
      <c r="L144" s="25" t="str">
        <f aca="false">IF(AND(ISNUMBER(K144),ISNUMBER(J144),N(J144)&gt;=5),K144/J144,"")</f>
        <v/>
      </c>
      <c r="M144" s="15" t="n">
        <v>0</v>
      </c>
      <c r="N144" s="15" t="n">
        <v>0</v>
      </c>
      <c r="O144" s="25" t="str">
        <f aca="false">IF(AND(ISNUMBER(N144),ISNUMBER(M144),N(M144)&gt;=5),N144/M144,"")</f>
        <v/>
      </c>
      <c r="P144" s="15" t="n">
        <v>0</v>
      </c>
      <c r="Q144" s="15" t="n">
        <v>0</v>
      </c>
      <c r="R144" s="25" t="str">
        <f aca="false">IF(AND(ISNUMBER(Q144),ISNUMBER(P144),N(P144)&gt;=5),Q144/P144,"")</f>
        <v/>
      </c>
      <c r="S144" s="15" t="n">
        <v>0</v>
      </c>
      <c r="T144" s="15" t="n">
        <v>4.2</v>
      </c>
      <c r="U144" s="22" t="str">
        <f aca="false">IF(AND(ISNUMBER(T144),ISNUMBER(S144),N(S144)&gt;0),T144/S144-1,"")</f>
        <v/>
      </c>
    </row>
    <row r="146" customFormat="false" ht="15" hidden="false" customHeight="false" outlineLevel="0" collapsed="false">
      <c r="A146" s="9" t="s">
        <v>1452</v>
      </c>
    </row>
  </sheetData>
  <autoFilter ref="A1:U14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
    <col collapsed="false" customWidth="true" hidden="false" outlineLevel="0" max="4" min="4" style="0" width="16"/>
    <col collapsed="false" customWidth="true" hidden="false" outlineLevel="0" max="6" min="5" style="0" width="12"/>
    <col collapsed="false" customWidth="true" hidden="false" outlineLevel="0" max="7" min="7" style="0" width="8"/>
    <col collapsed="false" customWidth="true" hidden="false" outlineLevel="0" max="8" min="8" style="0" width="9"/>
    <col collapsed="false" customWidth="true" hidden="false" outlineLevel="0" max="18" min="9" style="0" width="7"/>
    <col collapsed="false" customWidth="true" hidden="false" outlineLevel="0" max="19" min="19" style="0" width="10"/>
    <col collapsed="false" customWidth="true" hidden="false" outlineLevel="0" max="20" min="20" style="0" width="40"/>
  </cols>
  <sheetData>
    <row r="1" customFormat="false" ht="60" hidden="false" customHeight="true" outlineLevel="0" collapsed="false">
      <c r="A1" s="14" t="s">
        <v>25</v>
      </c>
      <c r="B1" s="14" t="s">
        <v>26</v>
      </c>
      <c r="C1" s="14" t="s">
        <v>164</v>
      </c>
      <c r="D1" s="14" t="s">
        <v>165</v>
      </c>
      <c r="E1" s="14" t="s">
        <v>1453</v>
      </c>
      <c r="F1" s="14" t="s">
        <v>1454</v>
      </c>
      <c r="G1" s="14" t="s">
        <v>1455</v>
      </c>
      <c r="H1" s="14" t="s">
        <v>1456</v>
      </c>
      <c r="I1" s="14" t="s">
        <v>174</v>
      </c>
      <c r="J1" s="14" t="s">
        <v>1457</v>
      </c>
      <c r="K1" s="14" t="s">
        <v>1458</v>
      </c>
      <c r="L1" s="14" t="s">
        <v>190</v>
      </c>
      <c r="M1" s="14" t="s">
        <v>1459</v>
      </c>
      <c r="N1" s="14" t="s">
        <v>1460</v>
      </c>
      <c r="O1" s="14" t="s">
        <v>1461</v>
      </c>
      <c r="P1" s="14" t="s">
        <v>1462</v>
      </c>
      <c r="Q1" s="14" t="s">
        <v>1463</v>
      </c>
      <c r="R1" s="14" t="s">
        <v>1464</v>
      </c>
      <c r="S1" s="14" t="s">
        <v>1465</v>
      </c>
      <c r="T1" s="14" t="s">
        <v>1466</v>
      </c>
    </row>
    <row r="2" customFormat="false" ht="15" hidden="false" customHeight="false" outlineLevel="0" collapsed="false">
      <c r="A2" s="15" t="s">
        <v>37</v>
      </c>
      <c r="B2" s="15" t="s">
        <v>38</v>
      </c>
      <c r="C2" s="15" t="n">
        <v>59</v>
      </c>
      <c r="D2" s="15" t="s">
        <v>196</v>
      </c>
      <c r="E2" s="44"/>
      <c r="F2" s="44"/>
      <c r="G2" s="47"/>
      <c r="H2" s="46"/>
      <c r="I2" s="24" t="n">
        <f aca="false">IFERROR(INDEX(Dashboard!$M:$M,MATCH($C2,Dashboard!$C:$C,0)),"")</f>
        <v>1813</v>
      </c>
      <c r="J2" s="41" t="n">
        <f aca="false">IF(ISNUMBER(I2),I2/28,"")</f>
        <v>64.75</v>
      </c>
      <c r="K2" s="25" t="n">
        <f aca="false">IFERROR(INDEX(Dashboard!$AB:$AB,MATCH($C2,Dashboard!$C:$C,0)),"")</f>
        <v>4.25499842172625</v>
      </c>
      <c r="L2" s="23" t="n">
        <f aca="false">IFERROR(INDEX(Dashboard!$AC:$AC,MATCH($C2,Dashboard!$C:$C,0)),"")</f>
        <v>0.0625285893332814</v>
      </c>
      <c r="M2" s="25" t="n">
        <f aca="false">IFERROR(INDEX(Dashboard!$AD:$AD,MATCH($C2,Dashboard!$C:$C,0)),"")</f>
        <v>0.908141962421712</v>
      </c>
      <c r="N2" s="25" t="n">
        <f aca="false">IFERROR(INDEX(Dashboard!$AE:$AE,MATCH($C2,Dashboard!$C:$C,0)),"")</f>
        <v>1.24628629911979</v>
      </c>
      <c r="O2" s="27" t="str">
        <f aca="false">IFERROR(INDEX(Dashboard!$AH:$AH,MATCH($C2,Dashboard!$C:$C,0)),"")</f>
        <v/>
      </c>
      <c r="P2" s="23" t="str">
        <f aca="false">IFERROR(INDEX(Dashboard!$AG:$AG,MATCH($C2,Dashboard!$C:$C,0)),"")</f>
        <v/>
      </c>
      <c r="Q2" s="58"/>
      <c r="R2" s="25" t="str">
        <f aca="false">IF(AND(ISNUMBER(O2),ISNUMBER(Q2),N(Q2)&gt;0),O2/Q2,"")</f>
        <v/>
      </c>
      <c r="S2" s="44"/>
      <c r="T2" s="44"/>
    </row>
    <row r="3" customFormat="false" ht="15" hidden="false" customHeight="false" outlineLevel="0" collapsed="false">
      <c r="A3" s="15" t="s">
        <v>37</v>
      </c>
      <c r="B3" s="15" t="s">
        <v>49</v>
      </c>
      <c r="C3" s="15" t="n">
        <v>30</v>
      </c>
      <c r="D3" s="15" t="s">
        <v>196</v>
      </c>
      <c r="E3" s="44"/>
      <c r="F3" s="44"/>
      <c r="G3" s="47"/>
      <c r="H3" s="46"/>
      <c r="I3" s="24" t="n">
        <f aca="false">IFERROR(INDEX(Dashboard!$M:$M,MATCH($C3,Dashboard!$C:$C,0)),"")</f>
        <v>1905</v>
      </c>
      <c r="J3" s="41" t="n">
        <f aca="false">IF(ISNUMBER(I3),I3/28,"")</f>
        <v>68.0357142857143</v>
      </c>
      <c r="K3" s="25" t="n">
        <f aca="false">IFERROR(INDEX(Dashboard!$AB:$AB,MATCH($C3,Dashboard!$C:$C,0)),"")</f>
        <v>2.48830239061316</v>
      </c>
      <c r="L3" s="23" t="n">
        <f aca="false">IFERROR(INDEX(Dashboard!$AC:$AC,MATCH($C3,Dashboard!$C:$C,0)),"")</f>
        <v>0.0640323652709055</v>
      </c>
      <c r="M3" s="25" t="n">
        <f aca="false">IFERROR(INDEX(Dashboard!$AD:$AD,MATCH($C3,Dashboard!$C:$C,0)),"")</f>
        <v>1.44209215442092</v>
      </c>
      <c r="N3" s="25" t="n">
        <f aca="false">IFERROR(INDEX(Dashboard!$AE:$AE,MATCH($C3,Dashboard!$C:$C,0)),"")</f>
        <v>1.24628629911979</v>
      </c>
      <c r="O3" s="27" t="str">
        <f aca="false">IFERROR(INDEX(Dashboard!$AH:$AH,MATCH($C3,Dashboard!$C:$C,0)),"")</f>
        <v/>
      </c>
      <c r="P3" s="23" t="str">
        <f aca="false">IFERROR(INDEX(Dashboard!$AG:$AG,MATCH($C3,Dashboard!$C:$C,0)),"")</f>
        <v/>
      </c>
      <c r="Q3" s="58"/>
      <c r="R3" s="25" t="str">
        <f aca="false">IF(AND(ISNUMBER(O3),ISNUMBER(Q3),N(Q3)&gt;0),O3/Q3,"")</f>
        <v/>
      </c>
      <c r="S3" s="44"/>
      <c r="T3" s="44"/>
    </row>
    <row r="4" customFormat="false" ht="15" hidden="false" customHeight="false" outlineLevel="0" collapsed="false">
      <c r="A4" s="15" t="s">
        <v>37</v>
      </c>
      <c r="B4" s="15" t="s">
        <v>55</v>
      </c>
      <c r="C4" s="15" t="n">
        <v>32</v>
      </c>
      <c r="D4" s="15" t="s">
        <v>200</v>
      </c>
      <c r="E4" s="44"/>
      <c r="F4" s="44"/>
      <c r="G4" s="47"/>
      <c r="H4" s="46"/>
      <c r="I4" s="24" t="n">
        <f aca="false">IFERROR(INDEX(Dashboard!$M:$M,MATCH($C4,Dashboard!$C:$C,0)),"")</f>
        <v>91</v>
      </c>
      <c r="J4" s="41" t="n">
        <f aca="false">IF(ISNUMBER(I4),I4/28,"")</f>
        <v>3.25</v>
      </c>
      <c r="K4" s="25" t="n">
        <f aca="false">IFERROR(INDEX(Dashboard!$AB:$AB,MATCH($C4,Dashboard!$C:$C,0)),"")</f>
        <v>1.20129003702319</v>
      </c>
      <c r="L4" s="23" t="n">
        <f aca="false">IFERROR(INDEX(Dashboard!$AC:$AC,MATCH($C4,Dashboard!$C:$C,0)),"")</f>
        <v>0.18701620548344</v>
      </c>
      <c r="M4" s="25" t="n">
        <f aca="false">IFERROR(INDEX(Dashboard!$AD:$AD,MATCH($C4,Dashboard!$C:$C,0)),"")</f>
        <v>0.198717948717949</v>
      </c>
      <c r="N4" s="25" t="n">
        <f aca="false">IFERROR(INDEX(Dashboard!$AE:$AE,MATCH($C4,Dashboard!$C:$C,0)),"")</f>
        <v>1.31480853947814</v>
      </c>
      <c r="O4" s="27" t="str">
        <f aca="false">IFERROR(INDEX(Dashboard!$AH:$AH,MATCH($C4,Dashboard!$C:$C,0)),"")</f>
        <v/>
      </c>
      <c r="P4" s="23" t="str">
        <f aca="false">IFERROR(INDEX(Dashboard!$AG:$AG,MATCH($C4,Dashboard!$C:$C,0)),"")</f>
        <v/>
      </c>
      <c r="Q4" s="58"/>
      <c r="R4" s="25" t="str">
        <f aca="false">IF(AND(ISNUMBER(O4),ISNUMBER(Q4),N(Q4)&gt;0),O4/Q4,"")</f>
        <v/>
      </c>
      <c r="S4" s="44"/>
      <c r="T4" s="44"/>
    </row>
    <row r="5" customFormat="false" ht="15" hidden="false" customHeight="false" outlineLevel="0" collapsed="false">
      <c r="A5" s="15" t="s">
        <v>37</v>
      </c>
      <c r="B5" s="15" t="s">
        <v>61</v>
      </c>
      <c r="C5" s="15" t="n">
        <v>36</v>
      </c>
      <c r="D5" s="15" t="s">
        <v>200</v>
      </c>
      <c r="E5" s="44"/>
      <c r="F5" s="44"/>
      <c r="G5" s="47"/>
      <c r="H5" s="46"/>
      <c r="I5" s="24" t="n">
        <f aca="false">IFERROR(INDEX(Dashboard!$M:$M,MATCH($C5,Dashboard!$C:$C,0)),"")</f>
        <v>2</v>
      </c>
      <c r="J5" s="41" t="n">
        <f aca="false">IF(ISNUMBER(I5),I5/28,"")</f>
        <v>0.0714285714285714</v>
      </c>
      <c r="K5" s="25" t="str">
        <f aca="false">IFERROR(INDEX(Dashboard!$AB:$AB,MATCH($C5,Dashboard!$C:$C,0)),"")</f>
        <v/>
      </c>
      <c r="L5" s="23" t="str">
        <f aca="false">IFERROR(INDEX(Dashboard!$AC:$AC,MATCH($C5,Dashboard!$C:$C,0)),"")</f>
        <v/>
      </c>
      <c r="M5" s="25" t="n">
        <f aca="false">IFERROR(INDEX(Dashboard!$AD:$AD,MATCH($C5,Dashboard!$C:$C,0)),"")</f>
        <v>0</v>
      </c>
      <c r="N5" s="25" t="n">
        <f aca="false">IFERROR(INDEX(Dashboard!$AE:$AE,MATCH($C5,Dashboard!$C:$C,0)),"")</f>
        <v>1.31480853947814</v>
      </c>
      <c r="O5" s="27" t="str">
        <f aca="false">IFERROR(INDEX(Dashboard!$AH:$AH,MATCH($C5,Dashboard!$C:$C,0)),"")</f>
        <v/>
      </c>
      <c r="P5" s="23" t="str">
        <f aca="false">IFERROR(INDEX(Dashboard!$AG:$AG,MATCH($C5,Dashboard!$C:$C,0)),"")</f>
        <v/>
      </c>
      <c r="Q5" s="58"/>
      <c r="R5" s="25" t="str">
        <f aca="false">IF(AND(ISNUMBER(O5),ISNUMBER(Q5),N(Q5)&gt;0),O5/Q5,"")</f>
        <v/>
      </c>
      <c r="S5" s="44"/>
      <c r="T5" s="44"/>
    </row>
    <row r="6" customFormat="false" ht="15" hidden="false" customHeight="false" outlineLevel="0" collapsed="false">
      <c r="A6" s="15" t="s">
        <v>37</v>
      </c>
      <c r="B6" s="15" t="s">
        <v>65</v>
      </c>
      <c r="C6" s="15" t="n">
        <v>73</v>
      </c>
      <c r="D6" s="15" t="s">
        <v>204</v>
      </c>
      <c r="E6" s="44"/>
      <c r="F6" s="44"/>
      <c r="G6" s="47"/>
      <c r="H6" s="46"/>
      <c r="I6" s="24" t="n">
        <f aca="false">IFERROR(INDEX(Dashboard!$M:$M,MATCH($C6,Dashboard!$C:$C,0)),"")</f>
        <v>102</v>
      </c>
      <c r="J6" s="41" t="n">
        <f aca="false">IF(ISNUMBER(I6),I6/28,"")</f>
        <v>3.64285714285714</v>
      </c>
      <c r="K6" s="25" t="str">
        <f aca="false">IFERROR(INDEX(Dashboard!$AB:$AB,MATCH($C6,Dashboard!$C:$C,0)),"")</f>
        <v/>
      </c>
      <c r="L6" s="23" t="str">
        <f aca="false">IFERROR(INDEX(Dashboard!$AC:$AC,MATCH($C6,Dashboard!$C:$C,0)),"")</f>
        <v/>
      </c>
      <c r="M6" s="25" t="n">
        <f aca="false">IFERROR(INDEX(Dashboard!$AD:$AD,MATCH($C6,Dashboard!$C:$C,0)),"")</f>
        <v>0</v>
      </c>
      <c r="N6" s="25" t="n">
        <f aca="false">IFERROR(INDEX(Dashboard!$AE:$AE,MATCH($C6,Dashboard!$C:$C,0)),"")</f>
        <v>1.24156722549612</v>
      </c>
      <c r="O6" s="27" t="str">
        <f aca="false">IFERROR(INDEX(Dashboard!$AH:$AH,MATCH($C6,Dashboard!$C:$C,0)),"")</f>
        <v/>
      </c>
      <c r="P6" s="23" t="str">
        <f aca="false">IFERROR(INDEX(Dashboard!$AG:$AG,MATCH($C6,Dashboard!$C:$C,0)),"")</f>
        <v/>
      </c>
      <c r="Q6" s="58"/>
      <c r="R6" s="25" t="str">
        <f aca="false">IF(AND(ISNUMBER(O6),ISNUMBER(Q6),N(Q6)&gt;0),O6/Q6,"")</f>
        <v/>
      </c>
      <c r="S6" s="44"/>
      <c r="T6" s="44"/>
    </row>
    <row r="7" customFormat="false" ht="15" hidden="false" customHeight="false" outlineLevel="0" collapsed="false">
      <c r="A7" s="15" t="s">
        <v>37</v>
      </c>
      <c r="B7" s="15" t="s">
        <v>68</v>
      </c>
      <c r="C7" s="15" t="n">
        <v>40</v>
      </c>
      <c r="D7" s="15" t="s">
        <v>144</v>
      </c>
      <c r="E7" s="44"/>
      <c r="F7" s="44"/>
      <c r="G7" s="47"/>
      <c r="H7" s="46"/>
      <c r="I7" s="24" t="n">
        <f aca="false">IFERROR(INDEX(Dashboard!$M:$M,MATCH($C7,Dashboard!$C:$C,0)),"")</f>
        <v>0</v>
      </c>
      <c r="J7" s="41" t="n">
        <f aca="false">IF(ISNUMBER(I7),I7/28,"")</f>
        <v>0</v>
      </c>
      <c r="K7" s="25" t="str">
        <f aca="false">IFERROR(INDEX(Dashboard!$AB:$AB,MATCH($C7,Dashboard!$C:$C,0)),"")</f>
        <v/>
      </c>
      <c r="L7" s="23" t="str">
        <f aca="false">IFERROR(INDEX(Dashboard!$AC:$AC,MATCH($C7,Dashboard!$C:$C,0)),"")</f>
        <v/>
      </c>
      <c r="M7" s="25" t="n">
        <f aca="false">IFERROR(INDEX(Dashboard!$AD:$AD,MATCH($C7,Dashboard!$C:$C,0)),"")</f>
        <v>0</v>
      </c>
      <c r="N7" s="25" t="n">
        <f aca="false">IFERROR(INDEX(Dashboard!$AE:$AE,MATCH($C7,Dashboard!$C:$C,0)),"")</f>
        <v>1.04149090582305</v>
      </c>
      <c r="O7" s="27" t="str">
        <f aca="false">IFERROR(INDEX(Dashboard!$AH:$AH,MATCH($C7,Dashboard!$C:$C,0)),"")</f>
        <v/>
      </c>
      <c r="P7" s="23" t="str">
        <f aca="false">IFERROR(INDEX(Dashboard!$AG:$AG,MATCH($C7,Dashboard!$C:$C,0)),"")</f>
        <v/>
      </c>
      <c r="Q7" s="58"/>
      <c r="R7" s="25" t="str">
        <f aca="false">IF(AND(ISNUMBER(O7),ISNUMBER(Q7),N(Q7)&gt;0),O7/Q7,"")</f>
        <v/>
      </c>
      <c r="S7" s="44"/>
      <c r="T7" s="44"/>
    </row>
    <row r="8" customFormat="false" ht="15" hidden="false" customHeight="false" outlineLevel="0" collapsed="false">
      <c r="A8" s="15" t="s">
        <v>71</v>
      </c>
      <c r="B8" s="15" t="s">
        <v>72</v>
      </c>
      <c r="C8" s="15" t="n">
        <v>37</v>
      </c>
      <c r="D8" s="15" t="s">
        <v>208</v>
      </c>
      <c r="E8" s="44"/>
      <c r="F8" s="44"/>
      <c r="G8" s="47"/>
      <c r="H8" s="46"/>
      <c r="I8" s="24" t="n">
        <f aca="false">IFERROR(INDEX(Dashboard!$M:$M,MATCH($C8,Dashboard!$C:$C,0)),"")</f>
        <v>2627</v>
      </c>
      <c r="J8" s="41" t="n">
        <f aca="false">IF(ISNUMBER(I8),I8/28,"")</f>
        <v>93.8214285714286</v>
      </c>
      <c r="K8" s="25" t="n">
        <f aca="false">IFERROR(INDEX(Dashboard!$AB:$AB,MATCH($C8,Dashboard!$C:$C,0)),"")</f>
        <v>2.63613379818177</v>
      </c>
      <c r="L8" s="23" t="n">
        <f aca="false">IFERROR(INDEX(Dashboard!$AC:$AC,MATCH($C8,Dashboard!$C:$C,0)),"")</f>
        <v>0.0486052539678985</v>
      </c>
      <c r="M8" s="25" t="n">
        <f aca="false">IFERROR(INDEX(Dashboard!$AD:$AD,MATCH($C8,Dashboard!$C:$C,0)),"")</f>
        <v>1.24251497005988</v>
      </c>
      <c r="N8" s="25" t="n">
        <f aca="false">IFERROR(INDEX(Dashboard!$AE:$AE,MATCH($C8,Dashboard!$C:$C,0)),"")</f>
        <v>0.986111111111111</v>
      </c>
      <c r="O8" s="27" t="str">
        <f aca="false">IFERROR(INDEX(Dashboard!$AH:$AH,MATCH($C8,Dashboard!$C:$C,0)),"")</f>
        <v/>
      </c>
      <c r="P8" s="23" t="str">
        <f aca="false">IFERROR(INDEX(Dashboard!$AG:$AG,MATCH($C8,Dashboard!$C:$C,0)),"")</f>
        <v/>
      </c>
      <c r="Q8" s="58"/>
      <c r="R8" s="25" t="str">
        <f aca="false">IF(AND(ISNUMBER(O8),ISNUMBER(Q8),N(Q8)&gt;0),O8/Q8,"")</f>
        <v/>
      </c>
      <c r="S8" s="44"/>
      <c r="T8" s="44"/>
    </row>
    <row r="9" customFormat="false" ht="15" hidden="false" customHeight="false" outlineLevel="0" collapsed="false">
      <c r="A9" s="15" t="s">
        <v>71</v>
      </c>
      <c r="B9" s="15" t="s">
        <v>78</v>
      </c>
      <c r="C9" s="15" t="n">
        <v>31</v>
      </c>
      <c r="D9" s="15" t="s">
        <v>208</v>
      </c>
      <c r="E9" s="44"/>
      <c r="F9" s="44"/>
      <c r="G9" s="47"/>
      <c r="H9" s="46"/>
      <c r="I9" s="24" t="n">
        <f aca="false">IFERROR(INDEX(Dashboard!$M:$M,MATCH($C9,Dashboard!$C:$C,0)),"")</f>
        <v>479</v>
      </c>
      <c r="J9" s="41" t="n">
        <f aca="false">IF(ISNUMBER(I9),I9/28,"")</f>
        <v>17.1071428571429</v>
      </c>
      <c r="K9" s="25" t="n">
        <f aca="false">IFERROR(INDEX(Dashboard!$AB:$AB,MATCH($C9,Dashboard!$C:$C,0)),"")</f>
        <v>3.08474196776965</v>
      </c>
      <c r="L9" s="23" t="n">
        <f aca="false">IFERROR(INDEX(Dashboard!$AC:$AC,MATCH($C9,Dashboard!$C:$C,0)),"")</f>
        <v>0.148449224069209</v>
      </c>
      <c r="M9" s="25" t="n">
        <f aca="false">IFERROR(INDEX(Dashboard!$AD:$AD,MATCH($C9,Dashboard!$C:$C,0)),"")</f>
        <v>1.21574803149606</v>
      </c>
      <c r="N9" s="25" t="n">
        <f aca="false">IFERROR(INDEX(Dashboard!$AE:$AE,MATCH($C9,Dashboard!$C:$C,0)),"")</f>
        <v>0.986111111111111</v>
      </c>
      <c r="O9" s="27" t="str">
        <f aca="false">IFERROR(INDEX(Dashboard!$AH:$AH,MATCH($C9,Dashboard!$C:$C,0)),"")</f>
        <v/>
      </c>
      <c r="P9" s="23" t="str">
        <f aca="false">IFERROR(INDEX(Dashboard!$AG:$AG,MATCH($C9,Dashboard!$C:$C,0)),"")</f>
        <v/>
      </c>
      <c r="Q9" s="58"/>
      <c r="R9" s="25" t="str">
        <f aca="false">IF(AND(ISNUMBER(O9),ISNUMBER(Q9),N(Q9)&gt;0),O9/Q9,"")</f>
        <v/>
      </c>
      <c r="S9" s="44"/>
      <c r="T9" s="44"/>
    </row>
    <row r="10" customFormat="false" ht="15" hidden="false" customHeight="false" outlineLevel="0" collapsed="false">
      <c r="A10" s="15" t="s">
        <v>71</v>
      </c>
      <c r="B10" s="15" t="s">
        <v>83</v>
      </c>
      <c r="C10" s="15" t="n">
        <v>39</v>
      </c>
      <c r="D10" s="15" t="s">
        <v>208</v>
      </c>
      <c r="E10" s="44"/>
      <c r="F10" s="44"/>
      <c r="G10" s="47"/>
      <c r="H10" s="46"/>
      <c r="I10" s="24" t="n">
        <f aca="false">IFERROR(INDEX(Dashboard!$M:$M,MATCH($C10,Dashboard!$C:$C,0)),"")</f>
        <v>700</v>
      </c>
      <c r="J10" s="41" t="n">
        <f aca="false">IF(ISNUMBER(I10),I10/28,"")</f>
        <v>25</v>
      </c>
      <c r="K10" s="25" t="n">
        <f aca="false">IFERROR(INDEX(Dashboard!$AB:$AB,MATCH($C10,Dashboard!$C:$C,0)),"")</f>
        <v>2.58972243360095</v>
      </c>
      <c r="L10" s="23" t="n">
        <f aca="false">IFERROR(INDEX(Dashboard!$AC:$AC,MATCH($C10,Dashboard!$C:$C,0)),"")</f>
        <v>0.157655488833264</v>
      </c>
      <c r="M10" s="25" t="n">
        <f aca="false">IFERROR(INDEX(Dashboard!$AD:$AD,MATCH($C10,Dashboard!$C:$C,0)),"")</f>
        <v>0.944</v>
      </c>
      <c r="N10" s="25" t="n">
        <f aca="false">IFERROR(INDEX(Dashboard!$AE:$AE,MATCH($C10,Dashboard!$C:$C,0)),"")</f>
        <v>1.00892857142857</v>
      </c>
      <c r="O10" s="27" t="str">
        <f aca="false">IFERROR(INDEX(Dashboard!$AH:$AH,MATCH($C10,Dashboard!$C:$C,0)),"")</f>
        <v/>
      </c>
      <c r="P10" s="23" t="str">
        <f aca="false">IFERROR(INDEX(Dashboard!$AG:$AG,MATCH($C10,Dashboard!$C:$C,0)),"")</f>
        <v/>
      </c>
      <c r="Q10" s="58"/>
      <c r="R10" s="25" t="str">
        <f aca="false">IF(AND(ISNUMBER(O10),ISNUMBER(Q10),N(Q10)&gt;0),O10/Q10,"")</f>
        <v/>
      </c>
      <c r="S10" s="44"/>
      <c r="T10" s="44"/>
    </row>
    <row r="11" customFormat="false" ht="15" hidden="false" customHeight="false" outlineLevel="0" collapsed="false">
      <c r="A11" s="15" t="s">
        <v>71</v>
      </c>
      <c r="B11" s="15" t="s">
        <v>89</v>
      </c>
      <c r="C11" s="15" t="n">
        <v>74</v>
      </c>
      <c r="D11" s="15" t="s">
        <v>208</v>
      </c>
      <c r="E11" s="44"/>
      <c r="F11" s="44"/>
      <c r="G11" s="47"/>
      <c r="H11" s="46"/>
      <c r="I11" s="24" t="n">
        <f aca="false">IFERROR(INDEX(Dashboard!$M:$M,MATCH($C11,Dashboard!$C:$C,0)),"")</f>
        <v>0</v>
      </c>
      <c r="J11" s="41" t="n">
        <f aca="false">IF(ISNUMBER(I11),I11/28,"")</f>
        <v>0</v>
      </c>
      <c r="K11" s="25" t="str">
        <f aca="false">IFERROR(INDEX(Dashboard!$AB:$AB,MATCH($C11,Dashboard!$C:$C,0)),"")</f>
        <v/>
      </c>
      <c r="L11" s="23" t="str">
        <f aca="false">IFERROR(INDEX(Dashboard!$AC:$AC,MATCH($C11,Dashboard!$C:$C,0)),"")</f>
        <v/>
      </c>
      <c r="M11" s="25" t="n">
        <f aca="false">IFERROR(INDEX(Dashboard!$AD:$AD,MATCH($C11,Dashboard!$C:$C,0)),"")</f>
        <v>0</v>
      </c>
      <c r="N11" s="25" t="n">
        <f aca="false">IFERROR(INDEX(Dashboard!$AE:$AE,MATCH($C11,Dashboard!$C:$C,0)),"")</f>
        <v>1.01785714285714</v>
      </c>
      <c r="O11" s="27" t="str">
        <f aca="false">IFERROR(INDEX(Dashboard!$AH:$AH,MATCH($C11,Dashboard!$C:$C,0)),"")</f>
        <v/>
      </c>
      <c r="P11" s="23" t="str">
        <f aca="false">IFERROR(INDEX(Dashboard!$AG:$AG,MATCH($C11,Dashboard!$C:$C,0)),"")</f>
        <v/>
      </c>
      <c r="Q11" s="58"/>
      <c r="R11" s="25" t="str">
        <f aca="false">IF(AND(ISNUMBER(O11),ISNUMBER(Q11),N(Q11)&gt;0),O11/Q11,"")</f>
        <v/>
      </c>
      <c r="S11" s="44"/>
      <c r="T11" s="44"/>
    </row>
    <row r="12" customFormat="false" ht="15" hidden="false" customHeight="false" outlineLevel="0" collapsed="false">
      <c r="A12" s="15" t="s">
        <v>71</v>
      </c>
      <c r="B12" s="15" t="s">
        <v>92</v>
      </c>
      <c r="C12" s="15" t="n">
        <v>38</v>
      </c>
      <c r="D12" s="15" t="s">
        <v>214</v>
      </c>
      <c r="E12" s="44"/>
      <c r="F12" s="44"/>
      <c r="G12" s="47"/>
      <c r="H12" s="46"/>
      <c r="I12" s="24" t="n">
        <f aca="false">IFERROR(INDEX(Dashboard!$M:$M,MATCH($C12,Dashboard!$C:$C,0)),"")</f>
        <v>759</v>
      </c>
      <c r="J12" s="41" t="n">
        <f aca="false">IF(ISNUMBER(I12),I12/28,"")</f>
        <v>27.1071428571429</v>
      </c>
      <c r="K12" s="25" t="n">
        <f aca="false">IFERROR(INDEX(Dashboard!$AB:$AB,MATCH($C12,Dashboard!$C:$C,0)),"")</f>
        <v>2.46933371991109</v>
      </c>
      <c r="L12" s="23" t="n">
        <f aca="false">IFERROR(INDEX(Dashboard!$AC:$AC,MATCH($C12,Dashboard!$C:$C,0)),"")</f>
        <v>0.0778377816660717</v>
      </c>
      <c r="M12" s="25" t="n">
        <f aca="false">IFERROR(INDEX(Dashboard!$AD:$AD,MATCH($C12,Dashboard!$C:$C,0)),"")</f>
        <v>1.07692307692308</v>
      </c>
      <c r="N12" s="25" t="n">
        <f aca="false">IFERROR(INDEX(Dashboard!$AE:$AE,MATCH($C12,Dashboard!$C:$C,0)),"")</f>
        <v>1.11675351128306</v>
      </c>
      <c r="O12" s="27" t="str">
        <f aca="false">IFERROR(INDEX(Dashboard!$AH:$AH,MATCH($C12,Dashboard!$C:$C,0)),"")</f>
        <v/>
      </c>
      <c r="P12" s="23" t="str">
        <f aca="false">IFERROR(INDEX(Dashboard!$AG:$AG,MATCH($C12,Dashboard!$C:$C,0)),"")</f>
        <v/>
      </c>
      <c r="Q12" s="58"/>
      <c r="R12" s="25" t="str">
        <f aca="false">IF(AND(ISNUMBER(O12),ISNUMBER(Q12),N(Q12)&gt;0),O12/Q12,"")</f>
        <v/>
      </c>
      <c r="S12" s="44"/>
      <c r="T12" s="44"/>
    </row>
    <row r="13" customFormat="false" ht="15" hidden="false" customHeight="false" outlineLevel="0" collapsed="false">
      <c r="A13" s="15" t="s">
        <v>98</v>
      </c>
      <c r="B13" s="15" t="s">
        <v>99</v>
      </c>
      <c r="C13" s="15" t="n">
        <v>55</v>
      </c>
      <c r="D13" s="15" t="s">
        <v>216</v>
      </c>
      <c r="E13" s="44"/>
      <c r="F13" s="44"/>
      <c r="G13" s="47"/>
      <c r="H13" s="46"/>
      <c r="I13" s="24" t="n">
        <f aca="false">IFERROR(INDEX(Dashboard!$M:$M,MATCH($C13,Dashboard!$C:$C,0)),"")</f>
        <v>125</v>
      </c>
      <c r="J13" s="41" t="n">
        <f aca="false">IF(ISNUMBER(I13),I13/28,"")</f>
        <v>4.46428571428571</v>
      </c>
      <c r="K13" s="25" t="n">
        <f aca="false">IFERROR(INDEX(Dashboard!$AB:$AB,MATCH($C13,Dashboard!$C:$C,0)),"")</f>
        <v>1.35284789313679</v>
      </c>
      <c r="L13" s="23" t="n">
        <f aca="false">IFERROR(INDEX(Dashboard!$AC:$AC,MATCH($C13,Dashboard!$C:$C,0)),"")</f>
        <v>0.335716119196335</v>
      </c>
      <c r="M13" s="25" t="n">
        <f aca="false">IFERROR(INDEX(Dashboard!$AD:$AD,MATCH($C13,Dashboard!$C:$C,0)),"")</f>
        <v>1.29775280898876</v>
      </c>
      <c r="N13" s="25" t="n">
        <f aca="false">IFERROR(INDEX(Dashboard!$AE:$AE,MATCH($C13,Dashboard!$C:$C,0)),"")</f>
        <v>1.16506053360093</v>
      </c>
      <c r="O13" s="27" t="str">
        <f aca="false">IFERROR(INDEX(Dashboard!$AH:$AH,MATCH($C13,Dashboard!$C:$C,0)),"")</f>
        <v/>
      </c>
      <c r="P13" s="23" t="str">
        <f aca="false">IFERROR(INDEX(Dashboard!$AG:$AG,MATCH($C13,Dashboard!$C:$C,0)),"")</f>
        <v/>
      </c>
      <c r="Q13" s="58"/>
      <c r="R13" s="25" t="str">
        <f aca="false">IF(AND(ISNUMBER(O13),ISNUMBER(Q13),N(Q13)&gt;0),O13/Q13,"")</f>
        <v/>
      </c>
      <c r="S13" s="44"/>
      <c r="T13" s="44"/>
    </row>
    <row r="14" customFormat="false" ht="15" hidden="false" customHeight="false" outlineLevel="0" collapsed="false">
      <c r="A14" s="15" t="s">
        <v>98</v>
      </c>
      <c r="B14" s="15" t="s">
        <v>104</v>
      </c>
      <c r="C14" s="15" t="n">
        <v>56</v>
      </c>
      <c r="D14" s="15" t="s">
        <v>216</v>
      </c>
      <c r="E14" s="44"/>
      <c r="F14" s="44"/>
      <c r="G14" s="47"/>
      <c r="H14" s="46"/>
      <c r="I14" s="24" t="n">
        <f aca="false">IFERROR(INDEX(Dashboard!$M:$M,MATCH($C14,Dashboard!$C:$C,0)),"")</f>
        <v>4</v>
      </c>
      <c r="J14" s="41" t="n">
        <f aca="false">IF(ISNUMBER(I14),I14/28,"")</f>
        <v>0.142857142857143</v>
      </c>
      <c r="K14" s="25" t="str">
        <f aca="false">IFERROR(INDEX(Dashboard!$AB:$AB,MATCH($C14,Dashboard!$C:$C,0)),"")</f>
        <v/>
      </c>
      <c r="L14" s="23" t="str">
        <f aca="false">IFERROR(INDEX(Dashboard!$AC:$AC,MATCH($C14,Dashboard!$C:$C,0)),"")</f>
        <v/>
      </c>
      <c r="M14" s="25" t="n">
        <f aca="false">IFERROR(INDEX(Dashboard!$AD:$AD,MATCH($C14,Dashboard!$C:$C,0)),"")</f>
        <v>0</v>
      </c>
      <c r="N14" s="25" t="n">
        <f aca="false">IFERROR(INDEX(Dashboard!$AE:$AE,MATCH($C14,Dashboard!$C:$C,0)),"")</f>
        <v>1.05563975561671</v>
      </c>
      <c r="O14" s="27" t="str">
        <f aca="false">IFERROR(INDEX(Dashboard!$AH:$AH,MATCH($C14,Dashboard!$C:$C,0)),"")</f>
        <v/>
      </c>
      <c r="P14" s="23" t="str">
        <f aca="false">IFERROR(INDEX(Dashboard!$AG:$AG,MATCH($C14,Dashboard!$C:$C,0)),"")</f>
        <v/>
      </c>
      <c r="Q14" s="58"/>
      <c r="R14" s="25" t="str">
        <f aca="false">IF(AND(ISNUMBER(O14),ISNUMBER(Q14),N(Q14)&gt;0),O14/Q14,"")</f>
        <v/>
      </c>
      <c r="S14" s="44"/>
      <c r="T14" s="44"/>
    </row>
    <row r="15" customFormat="false" ht="15" hidden="false" customHeight="false" outlineLevel="0" collapsed="false">
      <c r="A15" s="15" t="s">
        <v>98</v>
      </c>
      <c r="B15" s="15" t="s">
        <v>107</v>
      </c>
      <c r="C15" s="15" t="n">
        <v>57</v>
      </c>
      <c r="D15" s="15" t="s">
        <v>216</v>
      </c>
      <c r="E15" s="44"/>
      <c r="F15" s="44"/>
      <c r="G15" s="47"/>
      <c r="H15" s="46"/>
      <c r="I15" s="24" t="n">
        <f aca="false">IFERROR(INDEX(Dashboard!$M:$M,MATCH($C15,Dashboard!$C:$C,0)),"")</f>
        <v>13</v>
      </c>
      <c r="J15" s="41" t="n">
        <f aca="false">IF(ISNUMBER(I15),I15/28,"")</f>
        <v>0.464285714285714</v>
      </c>
      <c r="K15" s="25" t="str">
        <f aca="false">IFERROR(INDEX(Dashboard!$AB:$AB,MATCH($C15,Dashboard!$C:$C,0)),"")</f>
        <v/>
      </c>
      <c r="L15" s="23" t="str">
        <f aca="false">IFERROR(INDEX(Dashboard!$AC:$AC,MATCH($C15,Dashboard!$C:$C,0)),"")</f>
        <v/>
      </c>
      <c r="M15" s="25" t="n">
        <f aca="false">IFERROR(INDEX(Dashboard!$AD:$AD,MATCH($C15,Dashboard!$C:$C,0)),"")</f>
        <v>0</v>
      </c>
      <c r="N15" s="25" t="n">
        <f aca="false">IFERROR(INDEX(Dashboard!$AE:$AE,MATCH($C15,Dashboard!$C:$C,0)),"")</f>
        <v>0.971398855954238</v>
      </c>
      <c r="O15" s="27" t="str">
        <f aca="false">IFERROR(INDEX(Dashboard!$AH:$AH,MATCH($C15,Dashboard!$C:$C,0)),"")</f>
        <v/>
      </c>
      <c r="P15" s="23" t="str">
        <f aca="false">IFERROR(INDEX(Dashboard!$AG:$AG,MATCH($C15,Dashboard!$C:$C,0)),"")</f>
        <v/>
      </c>
      <c r="Q15" s="58"/>
      <c r="R15" s="25" t="str">
        <f aca="false">IF(AND(ISNUMBER(O15),ISNUMBER(Q15),N(Q15)&gt;0),O15/Q15,"")</f>
        <v/>
      </c>
      <c r="S15" s="44"/>
      <c r="T15" s="44"/>
    </row>
    <row r="16" customFormat="false" ht="15" hidden="false" customHeight="false" outlineLevel="0" collapsed="false">
      <c r="A16" s="15" t="s">
        <v>110</v>
      </c>
      <c r="B16" s="15" t="s">
        <v>111</v>
      </c>
      <c r="C16" s="15" t="n">
        <v>48</v>
      </c>
      <c r="D16" s="15" t="s">
        <v>221</v>
      </c>
      <c r="E16" s="44"/>
      <c r="F16" s="44"/>
      <c r="G16" s="47"/>
      <c r="H16" s="46"/>
      <c r="I16" s="24" t="n">
        <f aca="false">IFERROR(INDEX(Dashboard!$M:$M,MATCH($C16,Dashboard!$C:$C,0)),"")</f>
        <v>89</v>
      </c>
      <c r="J16" s="41" t="n">
        <f aca="false">IF(ISNUMBER(I16),I16/28,"")</f>
        <v>3.17857142857143</v>
      </c>
      <c r="K16" s="25" t="n">
        <f aca="false">IFERROR(INDEX(Dashboard!$AB:$AB,MATCH($C16,Dashboard!$C:$C,0)),"")</f>
        <v>1.62839143677733</v>
      </c>
      <c r="L16" s="23" t="n">
        <f aca="false">IFERROR(INDEX(Dashboard!$AC:$AC,MATCH($C16,Dashboard!$C:$C,0)),"")</f>
        <v>0.0684689550010325</v>
      </c>
      <c r="M16" s="25" t="n">
        <f aca="false">IFERROR(INDEX(Dashboard!$AD:$AD,MATCH($C16,Dashboard!$C:$C,0)),"")</f>
        <v>0</v>
      </c>
      <c r="N16" s="25" t="n">
        <f aca="false">IFERROR(INDEX(Dashboard!$AE:$AE,MATCH($C16,Dashboard!$C:$C,0)),"")</f>
        <v>1.31480853947814</v>
      </c>
      <c r="O16" s="27" t="str">
        <f aca="false">IFERROR(INDEX(Dashboard!$AH:$AH,MATCH($C16,Dashboard!$C:$C,0)),"")</f>
        <v/>
      </c>
      <c r="P16" s="23" t="str">
        <f aca="false">IFERROR(INDEX(Dashboard!$AG:$AG,MATCH($C16,Dashboard!$C:$C,0)),"")</f>
        <v/>
      </c>
      <c r="Q16" s="58"/>
      <c r="R16" s="25" t="str">
        <f aca="false">IF(AND(ISNUMBER(O16),ISNUMBER(Q16),N(Q16)&gt;0),O16/Q16,"")</f>
        <v/>
      </c>
      <c r="S16" s="44"/>
      <c r="T16" s="44"/>
    </row>
    <row r="17" customFormat="false" ht="15" hidden="false" customHeight="false" outlineLevel="0" collapsed="false">
      <c r="A17" s="15" t="s">
        <v>110</v>
      </c>
      <c r="B17" s="15" t="s">
        <v>116</v>
      </c>
      <c r="C17" s="15" t="n">
        <v>45</v>
      </c>
      <c r="D17" s="15" t="s">
        <v>221</v>
      </c>
      <c r="E17" s="44"/>
      <c r="F17" s="44"/>
      <c r="G17" s="47"/>
      <c r="H17" s="46"/>
      <c r="I17" s="24" t="n">
        <f aca="false">IFERROR(INDEX(Dashboard!$M:$M,MATCH($C17,Dashboard!$C:$C,0)),"")</f>
        <v>332</v>
      </c>
      <c r="J17" s="41" t="n">
        <f aca="false">IF(ISNUMBER(I17),I17/28,"")</f>
        <v>11.8571428571429</v>
      </c>
      <c r="K17" s="25" t="n">
        <f aca="false">IFERROR(INDEX(Dashboard!$AB:$AB,MATCH($C17,Dashboard!$C:$C,0)),"")</f>
        <v>1.14442761532111</v>
      </c>
      <c r="L17" s="23" t="n">
        <f aca="false">IFERROR(INDEX(Dashboard!$AC:$AC,MATCH($C17,Dashboard!$C:$C,0)),"")</f>
        <v>0.0160618097914486</v>
      </c>
      <c r="M17" s="25" t="n">
        <f aca="false">IFERROR(INDEX(Dashboard!$AD:$AD,MATCH($C17,Dashboard!$C:$C,0)),"")</f>
        <v>0</v>
      </c>
      <c r="N17" s="25" t="n">
        <f aca="false">IFERROR(INDEX(Dashboard!$AE:$AE,MATCH($C17,Dashboard!$C:$C,0)),"")</f>
        <v>1.31246845027764</v>
      </c>
      <c r="O17" s="27" t="str">
        <f aca="false">IFERROR(INDEX(Dashboard!$AH:$AH,MATCH($C17,Dashboard!$C:$C,0)),"")</f>
        <v/>
      </c>
      <c r="P17" s="23" t="str">
        <f aca="false">IFERROR(INDEX(Dashboard!$AG:$AG,MATCH($C17,Dashboard!$C:$C,0)),"")</f>
        <v/>
      </c>
      <c r="Q17" s="58"/>
      <c r="R17" s="25" t="str">
        <f aca="false">IF(AND(ISNUMBER(O17),ISNUMBER(Q17),N(Q17)&gt;0),O17/Q17,"")</f>
        <v/>
      </c>
      <c r="S17" s="44"/>
      <c r="T17" s="44"/>
    </row>
    <row r="18" customFormat="false" ht="15" hidden="false" customHeight="false" outlineLevel="0" collapsed="false">
      <c r="A18" s="15" t="s">
        <v>110</v>
      </c>
      <c r="B18" s="15" t="s">
        <v>121</v>
      </c>
      <c r="C18" s="15" t="n">
        <v>76</v>
      </c>
      <c r="D18" s="15" t="s">
        <v>221</v>
      </c>
      <c r="E18" s="44"/>
      <c r="F18" s="44"/>
      <c r="G18" s="47"/>
      <c r="H18" s="46"/>
      <c r="I18" s="24" t="n">
        <f aca="false">IFERROR(INDEX(Dashboard!$M:$M,MATCH($C18,Dashboard!$C:$C,0)),"")</f>
        <v>0</v>
      </c>
      <c r="J18" s="41" t="n">
        <f aca="false">IF(ISNUMBER(I18),I18/28,"")</f>
        <v>0</v>
      </c>
      <c r="K18" s="25" t="str">
        <f aca="false">IFERROR(INDEX(Dashboard!$AB:$AB,MATCH($C18,Dashboard!$C:$C,0)),"")</f>
        <v/>
      </c>
      <c r="L18" s="23" t="str">
        <f aca="false">IFERROR(INDEX(Dashboard!$AC:$AC,MATCH($C18,Dashboard!$C:$C,0)),"")</f>
        <v/>
      </c>
      <c r="M18" s="25" t="n">
        <f aca="false">IFERROR(INDEX(Dashboard!$AD:$AD,MATCH($C18,Dashboard!$C:$C,0)),"")</f>
        <v>0</v>
      </c>
      <c r="N18" s="25" t="n">
        <f aca="false">IFERROR(INDEX(Dashboard!$AE:$AE,MATCH($C18,Dashboard!$C:$C,0)),"")</f>
        <v>1.25494758626279</v>
      </c>
      <c r="O18" s="27" t="str">
        <f aca="false">IFERROR(INDEX(Dashboard!$AH:$AH,MATCH($C18,Dashboard!$C:$C,0)),"")</f>
        <v/>
      </c>
      <c r="P18" s="23" t="str">
        <f aca="false">IFERROR(INDEX(Dashboard!$AG:$AG,MATCH($C18,Dashboard!$C:$C,0)),"")</f>
        <v/>
      </c>
      <c r="Q18" s="58"/>
      <c r="R18" s="25" t="str">
        <f aca="false">IF(AND(ISNUMBER(O18),ISNUMBER(Q18),N(Q18)&gt;0),O18/Q18,"")</f>
        <v/>
      </c>
      <c r="S18" s="44"/>
      <c r="T18" s="44"/>
    </row>
    <row r="19" customFormat="false" ht="15" hidden="false" customHeight="false" outlineLevel="0" collapsed="false">
      <c r="A19" s="15" t="s">
        <v>110</v>
      </c>
      <c r="B19" s="15" t="s">
        <v>124</v>
      </c>
      <c r="C19" s="15" t="n">
        <v>69</v>
      </c>
      <c r="D19" s="15" t="s">
        <v>205</v>
      </c>
      <c r="E19" s="44"/>
      <c r="F19" s="44"/>
      <c r="G19" s="47"/>
      <c r="H19" s="46"/>
      <c r="I19" s="24" t="n">
        <f aca="false">IFERROR(INDEX(Dashboard!$M:$M,MATCH($C19,Dashboard!$C:$C,0)),"")</f>
        <v>42</v>
      </c>
      <c r="J19" s="41" t="n">
        <f aca="false">IF(ISNUMBER(I19),I19/28,"")</f>
        <v>1.5</v>
      </c>
      <c r="K19" s="25" t="str">
        <f aca="false">IFERROR(INDEX(Dashboard!$AB:$AB,MATCH($C19,Dashboard!$C:$C,0)),"")</f>
        <v/>
      </c>
      <c r="L19" s="23" t="str">
        <f aca="false">IFERROR(INDEX(Dashboard!$AC:$AC,MATCH($C19,Dashboard!$C:$C,0)),"")</f>
        <v/>
      </c>
      <c r="M19" s="25" t="n">
        <f aca="false">IFERROR(INDEX(Dashboard!$AD:$AD,MATCH($C19,Dashboard!$C:$C,0)),"")</f>
        <v>0</v>
      </c>
      <c r="N19" s="25" t="n">
        <f aca="false">IFERROR(INDEX(Dashboard!$AE:$AE,MATCH($C19,Dashboard!$C:$C,0)),"")</f>
        <v>0.964060126329256</v>
      </c>
      <c r="O19" s="27" t="str">
        <f aca="false">IFERROR(INDEX(Dashboard!$AH:$AH,MATCH($C19,Dashboard!$C:$C,0)),"")</f>
        <v/>
      </c>
      <c r="P19" s="23" t="str">
        <f aca="false">IFERROR(INDEX(Dashboard!$AG:$AG,MATCH($C19,Dashboard!$C:$C,0)),"")</f>
        <v/>
      </c>
      <c r="Q19" s="58"/>
      <c r="R19" s="25" t="str">
        <f aca="false">IF(AND(ISNUMBER(O19),ISNUMBER(Q19),N(Q19)&gt;0),O19/Q19,"")</f>
        <v/>
      </c>
      <c r="S19" s="44"/>
      <c r="T19" s="44"/>
    </row>
    <row r="20" customFormat="false" ht="15" hidden="false" customHeight="false" outlineLevel="0" collapsed="false">
      <c r="A20" s="15" t="s">
        <v>110</v>
      </c>
      <c r="B20" s="15" t="s">
        <v>127</v>
      </c>
      <c r="C20" s="15" t="n">
        <v>70</v>
      </c>
      <c r="D20" s="15" t="s">
        <v>205</v>
      </c>
      <c r="E20" s="44"/>
      <c r="F20" s="44"/>
      <c r="G20" s="47"/>
      <c r="H20" s="46"/>
      <c r="I20" s="24" t="n">
        <f aca="false">IFERROR(INDEX(Dashboard!$M:$M,MATCH($C20,Dashboard!$C:$C,0)),"")</f>
        <v>310</v>
      </c>
      <c r="J20" s="41" t="n">
        <f aca="false">IF(ISNUMBER(I20),I20/28,"")</f>
        <v>11.0714285714286</v>
      </c>
      <c r="K20" s="25" t="str">
        <f aca="false">IFERROR(INDEX(Dashboard!$AB:$AB,MATCH($C20,Dashboard!$C:$C,0)),"")</f>
        <v/>
      </c>
      <c r="L20" s="23" t="str">
        <f aca="false">IFERROR(INDEX(Dashboard!$AC:$AC,MATCH($C20,Dashboard!$C:$C,0)),"")</f>
        <v/>
      </c>
      <c r="M20" s="25" t="n">
        <f aca="false">IFERROR(INDEX(Dashboard!$AD:$AD,MATCH($C20,Dashboard!$C:$C,0)),"")</f>
        <v>0</v>
      </c>
      <c r="N20" s="25" t="n">
        <f aca="false">IFERROR(INDEX(Dashboard!$AE:$AE,MATCH($C20,Dashboard!$C:$C,0)),"")</f>
        <v>1.10542432195976</v>
      </c>
      <c r="O20" s="27" t="str">
        <f aca="false">IFERROR(INDEX(Dashboard!$AH:$AH,MATCH($C20,Dashboard!$C:$C,0)),"")</f>
        <v/>
      </c>
      <c r="P20" s="23" t="str">
        <f aca="false">IFERROR(INDEX(Dashboard!$AG:$AG,MATCH($C20,Dashboard!$C:$C,0)),"")</f>
        <v/>
      </c>
      <c r="Q20" s="58"/>
      <c r="R20" s="25" t="str">
        <f aca="false">IF(AND(ISNUMBER(O20),ISNUMBER(Q20),N(Q20)&gt;0),O20/Q20,"")</f>
        <v/>
      </c>
      <c r="S20" s="44"/>
      <c r="T20" s="44"/>
    </row>
    <row r="21" customFormat="false" ht="15" hidden="false" customHeight="false" outlineLevel="0" collapsed="false">
      <c r="A21" s="15" t="s">
        <v>110</v>
      </c>
      <c r="B21" s="15" t="s">
        <v>130</v>
      </c>
      <c r="C21" s="15" t="n">
        <v>43</v>
      </c>
      <c r="D21" s="15" t="s">
        <v>227</v>
      </c>
      <c r="E21" s="44"/>
      <c r="F21" s="44"/>
      <c r="G21" s="47"/>
      <c r="H21" s="46"/>
      <c r="I21" s="24" t="n">
        <f aca="false">IFERROR(INDEX(Dashboard!$M:$M,MATCH($C21,Dashboard!$C:$C,0)),"")</f>
        <v>54</v>
      </c>
      <c r="J21" s="41" t="n">
        <f aca="false">IF(ISNUMBER(I21),I21/28,"")</f>
        <v>1.92857142857143</v>
      </c>
      <c r="K21" s="25" t="str">
        <f aca="false">IFERROR(INDEX(Dashboard!$AB:$AB,MATCH($C21,Dashboard!$C:$C,0)),"")</f>
        <v/>
      </c>
      <c r="L21" s="23" t="str">
        <f aca="false">IFERROR(INDEX(Dashboard!$AC:$AC,MATCH($C21,Dashboard!$C:$C,0)),"")</f>
        <v/>
      </c>
      <c r="M21" s="25" t="n">
        <f aca="false">IFERROR(INDEX(Dashboard!$AD:$AD,MATCH($C21,Dashboard!$C:$C,0)),"")</f>
        <v>0</v>
      </c>
      <c r="N21" s="25" t="n">
        <f aca="false">IFERROR(INDEX(Dashboard!$AE:$AE,MATCH($C21,Dashboard!$C:$C,0)),"")</f>
        <v>1.0997375328084</v>
      </c>
      <c r="O21" s="27" t="str">
        <f aca="false">IFERROR(INDEX(Dashboard!$AH:$AH,MATCH($C21,Dashboard!$C:$C,0)),"")</f>
        <v/>
      </c>
      <c r="P21" s="23" t="str">
        <f aca="false">IFERROR(INDEX(Dashboard!$AG:$AG,MATCH($C21,Dashboard!$C:$C,0)),"")</f>
        <v/>
      </c>
      <c r="Q21" s="58"/>
      <c r="R21" s="25" t="str">
        <f aca="false">IF(AND(ISNUMBER(O21),ISNUMBER(Q21),N(Q21)&gt;0),O21/Q21,"")</f>
        <v/>
      </c>
      <c r="S21" s="44"/>
      <c r="T21" s="44"/>
    </row>
    <row r="22" customFormat="false" ht="15" hidden="false" customHeight="false" outlineLevel="0" collapsed="false">
      <c r="A22" s="15" t="s">
        <v>110</v>
      </c>
      <c r="B22" s="15" t="s">
        <v>134</v>
      </c>
      <c r="C22" s="15" t="n">
        <v>42</v>
      </c>
      <c r="D22" s="15" t="s">
        <v>229</v>
      </c>
      <c r="E22" s="44"/>
      <c r="F22" s="44"/>
      <c r="G22" s="47"/>
      <c r="H22" s="46"/>
      <c r="I22" s="24" t="n">
        <f aca="false">IFERROR(INDEX(Dashboard!$M:$M,MATCH($C22,Dashboard!$C:$C,0)),"")</f>
        <v>78</v>
      </c>
      <c r="J22" s="41" t="n">
        <f aca="false">IF(ISNUMBER(I22),I22/28,"")</f>
        <v>2.78571428571429</v>
      </c>
      <c r="K22" s="25" t="n">
        <f aca="false">IFERROR(INDEX(Dashboard!$AB:$AB,MATCH($C22,Dashboard!$C:$C,0)),"")</f>
        <v>3.39376289624432</v>
      </c>
      <c r="L22" s="23" t="n">
        <f aca="false">IFERROR(INDEX(Dashboard!$AC:$AC,MATCH($C22,Dashboard!$C:$C,0)),"")</f>
        <v>0.122837052752191</v>
      </c>
      <c r="M22" s="25" t="n">
        <f aca="false">IFERROR(INDEX(Dashboard!$AD:$AD,MATCH($C22,Dashboard!$C:$C,0)),"")</f>
        <v>3.25373134328358</v>
      </c>
      <c r="N22" s="25" t="n">
        <f aca="false">IFERROR(INDEX(Dashboard!$AE:$AE,MATCH($C22,Dashboard!$C:$C,0)),"")</f>
        <v>1.37496188840926</v>
      </c>
      <c r="O22" s="27" t="str">
        <f aca="false">IFERROR(INDEX(Dashboard!$AH:$AH,MATCH($C22,Dashboard!$C:$C,0)),"")</f>
        <v/>
      </c>
      <c r="P22" s="23" t="str">
        <f aca="false">IFERROR(INDEX(Dashboard!$AG:$AG,MATCH($C22,Dashboard!$C:$C,0)),"")</f>
        <v/>
      </c>
      <c r="Q22" s="58"/>
      <c r="R22" s="25" t="str">
        <f aca="false">IF(AND(ISNUMBER(O22),ISNUMBER(Q22),N(Q22)&gt;0),O22/Q22,"")</f>
        <v/>
      </c>
      <c r="S22" s="44"/>
      <c r="T22" s="44"/>
    </row>
    <row r="23" customFormat="false" ht="15" hidden="false" customHeight="false" outlineLevel="0" collapsed="false">
      <c r="A23" s="15" t="s">
        <v>110</v>
      </c>
      <c r="B23" s="15" t="s">
        <v>140</v>
      </c>
      <c r="C23" s="15" t="n">
        <v>44</v>
      </c>
      <c r="D23" s="15" t="s">
        <v>227</v>
      </c>
      <c r="E23" s="44"/>
      <c r="F23" s="44"/>
      <c r="G23" s="47"/>
      <c r="H23" s="46"/>
      <c r="I23" s="24" t="n">
        <f aca="false">IFERROR(INDEX(Dashboard!$M:$M,MATCH($C23,Dashboard!$C:$C,0)),"")</f>
        <v>513</v>
      </c>
      <c r="J23" s="41" t="n">
        <f aca="false">IF(ISNUMBER(I23),I23/28,"")</f>
        <v>18.3214285714286</v>
      </c>
      <c r="K23" s="25" t="str">
        <f aca="false">IFERROR(INDEX(Dashboard!$AB:$AB,MATCH($C23,Dashboard!$C:$C,0)),"")</f>
        <v/>
      </c>
      <c r="L23" s="23" t="str">
        <f aca="false">IFERROR(INDEX(Dashboard!$AC:$AC,MATCH($C23,Dashboard!$C:$C,0)),"")</f>
        <v/>
      </c>
      <c r="M23" s="25" t="n">
        <f aca="false">IFERROR(INDEX(Dashboard!$AD:$AD,MATCH($C23,Dashboard!$C:$C,0)),"")</f>
        <v>0</v>
      </c>
      <c r="N23" s="25" t="n">
        <f aca="false">IFERROR(INDEX(Dashboard!$AE:$AE,MATCH($C23,Dashboard!$C:$C,0)),"")</f>
        <v>1.1787118677954</v>
      </c>
      <c r="O23" s="27" t="str">
        <f aca="false">IFERROR(INDEX(Dashboard!$AH:$AH,MATCH($C23,Dashboard!$C:$C,0)),"")</f>
        <v/>
      </c>
      <c r="P23" s="23" t="str">
        <f aca="false">IFERROR(INDEX(Dashboard!$AG:$AG,MATCH($C23,Dashboard!$C:$C,0)),"")</f>
        <v/>
      </c>
      <c r="Q23" s="58"/>
      <c r="R23" s="25" t="str">
        <f aca="false">IF(AND(ISNUMBER(O23),ISNUMBER(Q23),N(Q23)&gt;0),O23/Q23,"")</f>
        <v/>
      </c>
      <c r="S23" s="44"/>
      <c r="T23" s="44"/>
    </row>
    <row r="24" customFormat="false" ht="15" hidden="false" customHeight="false" outlineLevel="0" collapsed="false">
      <c r="A24" s="15" t="s">
        <v>144</v>
      </c>
      <c r="B24" s="15" t="s">
        <v>145</v>
      </c>
      <c r="C24" s="15" t="n">
        <v>46</v>
      </c>
      <c r="D24" s="15" t="s">
        <v>218</v>
      </c>
      <c r="E24" s="44"/>
      <c r="F24" s="44"/>
      <c r="G24" s="47"/>
      <c r="H24" s="46"/>
      <c r="I24" s="24" t="n">
        <f aca="false">IFERROR(INDEX(Dashboard!$M:$M,MATCH($C24,Dashboard!$C:$C,0)),"")</f>
        <v>32</v>
      </c>
      <c r="J24" s="41" t="n">
        <f aca="false">IF(ISNUMBER(I24),I24/28,"")</f>
        <v>1.14285714285714</v>
      </c>
      <c r="K24" s="25" t="str">
        <f aca="false">IFERROR(INDEX(Dashboard!$AB:$AB,MATCH($C24,Dashboard!$C:$C,0)),"")</f>
        <v/>
      </c>
      <c r="L24" s="23" t="str">
        <f aca="false">IFERROR(INDEX(Dashboard!$AC:$AC,MATCH($C24,Dashboard!$C:$C,0)),"")</f>
        <v/>
      </c>
      <c r="M24" s="25" t="n">
        <f aca="false">IFERROR(INDEX(Dashboard!$AD:$AD,MATCH($C24,Dashboard!$C:$C,0)),"")</f>
        <v>0</v>
      </c>
      <c r="N24" s="25" t="n">
        <f aca="false">IFERROR(INDEX(Dashboard!$AE:$AE,MATCH($C24,Dashboard!$C:$C,0)),"")</f>
        <v>1.10208030962748</v>
      </c>
      <c r="O24" s="27" t="str">
        <f aca="false">IFERROR(INDEX(Dashboard!$AH:$AH,MATCH($C24,Dashboard!$C:$C,0)),"")</f>
        <v/>
      </c>
      <c r="P24" s="23" t="str">
        <f aca="false">IFERROR(INDEX(Dashboard!$AG:$AG,MATCH($C24,Dashboard!$C:$C,0)),"")</f>
        <v/>
      </c>
      <c r="Q24" s="58"/>
      <c r="R24" s="25" t="str">
        <f aca="false">IF(AND(ISNUMBER(O24),ISNUMBER(Q24),N(Q24)&gt;0),O24/Q24,"")</f>
        <v/>
      </c>
      <c r="S24" s="44"/>
      <c r="T24" s="44"/>
    </row>
    <row r="25" customFormat="false" ht="15" hidden="false" customHeight="false" outlineLevel="0" collapsed="false">
      <c r="A25" s="15" t="s">
        <v>144</v>
      </c>
      <c r="B25" s="15" t="s">
        <v>148</v>
      </c>
      <c r="C25" s="15" t="n">
        <v>53</v>
      </c>
      <c r="D25" s="15" t="s">
        <v>218</v>
      </c>
      <c r="E25" s="44"/>
      <c r="F25" s="44"/>
      <c r="G25" s="47"/>
      <c r="H25" s="46"/>
      <c r="I25" s="24" t="n">
        <f aca="false">IFERROR(INDEX(Dashboard!$M:$M,MATCH($C25,Dashboard!$C:$C,0)),"")</f>
        <v>12</v>
      </c>
      <c r="J25" s="41" t="n">
        <f aca="false">IF(ISNUMBER(I25),I25/28,"")</f>
        <v>0.428571428571429</v>
      </c>
      <c r="K25" s="25" t="str">
        <f aca="false">IFERROR(INDEX(Dashboard!$AB:$AB,MATCH($C25,Dashboard!$C:$C,0)),"")</f>
        <v/>
      </c>
      <c r="L25" s="23" t="str">
        <f aca="false">IFERROR(INDEX(Dashboard!$AC:$AC,MATCH($C25,Dashboard!$C:$C,0)),"")</f>
        <v/>
      </c>
      <c r="M25" s="25" t="n">
        <f aca="false">IFERROR(INDEX(Dashboard!$AD:$AD,MATCH($C25,Dashboard!$C:$C,0)),"")</f>
        <v>0</v>
      </c>
      <c r="N25" s="25" t="n">
        <f aca="false">IFERROR(INDEX(Dashboard!$AE:$AE,MATCH($C25,Dashboard!$C:$C,0)),"")</f>
        <v>0.830178844838258</v>
      </c>
      <c r="O25" s="27" t="str">
        <f aca="false">IFERROR(INDEX(Dashboard!$AH:$AH,MATCH($C25,Dashboard!$C:$C,0)),"")</f>
        <v/>
      </c>
      <c r="P25" s="23" t="str">
        <f aca="false">IFERROR(INDEX(Dashboard!$AG:$AG,MATCH($C25,Dashboard!$C:$C,0)),"")</f>
        <v/>
      </c>
      <c r="Q25" s="58"/>
      <c r="R25" s="25" t="str">
        <f aca="false">IF(AND(ISNUMBER(O25),ISNUMBER(Q25),N(Q25)&gt;0),O25/Q25,"")</f>
        <v/>
      </c>
      <c r="S25" s="44"/>
      <c r="T25" s="44"/>
    </row>
    <row r="26" customFormat="false" ht="15" hidden="false" customHeight="false" outlineLevel="0" collapsed="false">
      <c r="A26" s="15" t="s">
        <v>144</v>
      </c>
      <c r="B26" s="15" t="s">
        <v>151</v>
      </c>
      <c r="C26" s="15" t="n">
        <v>49</v>
      </c>
      <c r="D26" s="15" t="s">
        <v>144</v>
      </c>
      <c r="E26" s="44"/>
      <c r="F26" s="44"/>
      <c r="G26" s="47"/>
      <c r="H26" s="46"/>
      <c r="I26" s="24" t="n">
        <f aca="false">IFERROR(INDEX(Dashboard!$M:$M,MATCH($C26,Dashboard!$C:$C,0)),"")</f>
        <v>2</v>
      </c>
      <c r="J26" s="41" t="n">
        <f aca="false">IF(ISNUMBER(I26),I26/28,"")</f>
        <v>0.0714285714285714</v>
      </c>
      <c r="K26" s="25" t="str">
        <f aca="false">IFERROR(INDEX(Dashboard!$AB:$AB,MATCH($C26,Dashboard!$C:$C,0)),"")</f>
        <v/>
      </c>
      <c r="L26" s="23" t="str">
        <f aca="false">IFERROR(INDEX(Dashboard!$AC:$AC,MATCH($C26,Dashboard!$C:$C,0)),"")</f>
        <v/>
      </c>
      <c r="M26" s="25" t="n">
        <f aca="false">IFERROR(INDEX(Dashboard!$AD:$AD,MATCH($C26,Dashboard!$C:$C,0)),"")</f>
        <v>0</v>
      </c>
      <c r="N26" s="25" t="n">
        <f aca="false">IFERROR(INDEX(Dashboard!$AE:$AE,MATCH($C26,Dashboard!$C:$C,0)),"")</f>
        <v>0</v>
      </c>
      <c r="O26" s="27" t="str">
        <f aca="false">IFERROR(INDEX(Dashboard!$AH:$AH,MATCH($C26,Dashboard!$C:$C,0)),"")</f>
        <v/>
      </c>
      <c r="P26" s="23" t="str">
        <f aca="false">IFERROR(INDEX(Dashboard!$AG:$AG,MATCH($C26,Dashboard!$C:$C,0)),"")</f>
        <v/>
      </c>
      <c r="Q26" s="58"/>
      <c r="R26" s="25" t="str">
        <f aca="false">IF(AND(ISNUMBER(O26),ISNUMBER(Q26),N(Q26)&gt;0),O26/Q26,"")</f>
        <v/>
      </c>
      <c r="S26" s="44"/>
      <c r="T26" s="44"/>
    </row>
    <row r="27" customFormat="false" ht="15" hidden="false" customHeight="false" outlineLevel="0" collapsed="false">
      <c r="A27" s="15" t="s">
        <v>144</v>
      </c>
      <c r="B27" s="15" t="s">
        <v>154</v>
      </c>
      <c r="C27" s="15" t="n">
        <v>58</v>
      </c>
      <c r="D27" s="15" t="s">
        <v>144</v>
      </c>
      <c r="E27" s="44"/>
      <c r="F27" s="44"/>
      <c r="G27" s="47"/>
      <c r="H27" s="46"/>
      <c r="I27" s="24" t="n">
        <f aca="false">IFERROR(INDEX(Dashboard!$M:$M,MATCH($C27,Dashboard!$C:$C,0)),"")</f>
        <v>2</v>
      </c>
      <c r="J27" s="41" t="n">
        <f aca="false">IF(ISNUMBER(I27),I27/28,"")</f>
        <v>0.0714285714285714</v>
      </c>
      <c r="K27" s="25" t="str">
        <f aca="false">IFERROR(INDEX(Dashboard!$AB:$AB,MATCH($C27,Dashboard!$C:$C,0)),"")</f>
        <v/>
      </c>
      <c r="L27" s="23" t="str">
        <f aca="false">IFERROR(INDEX(Dashboard!$AC:$AC,MATCH($C27,Dashboard!$C:$C,0)),"")</f>
        <v/>
      </c>
      <c r="M27" s="25" t="n">
        <f aca="false">IFERROR(INDEX(Dashboard!$AD:$AD,MATCH($C27,Dashboard!$C:$C,0)),"")</f>
        <v>0</v>
      </c>
      <c r="N27" s="25" t="n">
        <f aca="false">IFERROR(INDEX(Dashboard!$AE:$AE,MATCH($C27,Dashboard!$C:$C,0)),"")</f>
        <v>0</v>
      </c>
      <c r="O27" s="27" t="str">
        <f aca="false">IFERROR(INDEX(Dashboard!$AH:$AH,MATCH($C27,Dashboard!$C:$C,0)),"")</f>
        <v/>
      </c>
      <c r="P27" s="23" t="str">
        <f aca="false">IFERROR(INDEX(Dashboard!$AG:$AG,MATCH($C27,Dashboard!$C:$C,0)),"")</f>
        <v/>
      </c>
      <c r="Q27" s="58"/>
      <c r="R27" s="25" t="str">
        <f aca="false">IF(AND(ISNUMBER(O27),ISNUMBER(Q27),N(Q27)&gt;0),O27/Q27,"")</f>
        <v/>
      </c>
      <c r="S27" s="44"/>
      <c r="T27" s="44"/>
    </row>
    <row r="28" customFormat="false" ht="15" hidden="false" customHeight="false" outlineLevel="0" collapsed="false">
      <c r="A28" s="15" t="s">
        <v>144</v>
      </c>
      <c r="B28" s="15" t="s">
        <v>157</v>
      </c>
      <c r="C28" s="15" t="n">
        <v>33</v>
      </c>
      <c r="D28" s="15" t="s">
        <v>144</v>
      </c>
      <c r="E28" s="44"/>
      <c r="F28" s="44"/>
      <c r="G28" s="47"/>
      <c r="H28" s="46"/>
      <c r="I28" s="24" t="n">
        <f aca="false">IFERROR(INDEX(Dashboard!$M:$M,MATCH($C28,Dashboard!$C:$C,0)),"")</f>
        <v>30</v>
      </c>
      <c r="J28" s="41" t="n">
        <f aca="false">IF(ISNUMBER(I28),I28/28,"")</f>
        <v>1.07142857142857</v>
      </c>
      <c r="K28" s="25" t="str">
        <f aca="false">IFERROR(INDEX(Dashboard!$AB:$AB,MATCH($C28,Dashboard!$C:$C,0)),"")</f>
        <v/>
      </c>
      <c r="L28" s="23" t="str">
        <f aca="false">IFERROR(INDEX(Dashboard!$AC:$AC,MATCH($C28,Dashboard!$C:$C,0)),"")</f>
        <v/>
      </c>
      <c r="M28" s="25" t="n">
        <f aca="false">IFERROR(INDEX(Dashboard!$AD:$AD,MATCH($C28,Dashboard!$C:$C,0)),"")</f>
        <v>0</v>
      </c>
      <c r="N28" s="25" t="n">
        <f aca="false">IFERROR(INDEX(Dashboard!$AE:$AE,MATCH($C28,Dashboard!$C:$C,0)),"")</f>
        <v>0</v>
      </c>
      <c r="O28" s="27" t="str">
        <f aca="false">IFERROR(INDEX(Dashboard!$AH:$AH,MATCH($C28,Dashboard!$C:$C,0)),"")</f>
        <v/>
      </c>
      <c r="P28" s="23" t="str">
        <f aca="false">IFERROR(INDEX(Dashboard!$AG:$AG,MATCH($C28,Dashboard!$C:$C,0)),"")</f>
        <v/>
      </c>
      <c r="Q28" s="58"/>
      <c r="R28" s="25" t="str">
        <f aca="false">IF(AND(ISNUMBER(O28),ISNUMBER(Q28),N(Q28)&gt;0),O28/Q28,"")</f>
        <v/>
      </c>
      <c r="S28" s="44"/>
      <c r="T28" s="44"/>
    </row>
    <row r="30" customFormat="false" ht="15" hidden="false" customHeight="false" outlineLevel="0" collapsed="false">
      <c r="A30" s="9" t="s">
        <v>1467</v>
      </c>
    </row>
    <row r="31" customFormat="false" ht="15" hidden="false" customHeight="false" outlineLevel="0" collapsed="false">
      <c r="A31" s="9" t="s">
        <v>1468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4" min="3" style="0" width="12"/>
    <col collapsed="false" customWidth="true" hidden="false" outlineLevel="0" max="5" min="5" style="0" width="18"/>
    <col collapsed="false" customWidth="true" hidden="false" outlineLevel="0" max="6" min="6" style="0" width="10"/>
    <col collapsed="false" customWidth="true" hidden="false" outlineLevel="0" max="7" min="7" style="0" width="40"/>
    <col collapsed="false" customWidth="true" hidden="false" outlineLevel="0" max="8" min="8" style="0" width="8"/>
  </cols>
  <sheetData>
    <row r="1" customFormat="false" ht="18" hidden="false" customHeight="true" outlineLevel="0" collapsed="false">
      <c r="A1" s="59" t="s">
        <v>1469</v>
      </c>
      <c r="B1" s="59"/>
      <c r="C1" s="59"/>
      <c r="D1" s="59"/>
      <c r="E1" s="59"/>
      <c r="F1" s="59"/>
      <c r="G1" s="59"/>
      <c r="H1" s="59"/>
    </row>
    <row r="2" customFormat="false" ht="43.5" hidden="false" customHeight="true" outlineLevel="0" collapsed="false">
      <c r="A2" s="60" t="s">
        <v>1470</v>
      </c>
      <c r="B2" s="60"/>
      <c r="C2" s="60"/>
      <c r="D2" s="60"/>
      <c r="E2" s="60"/>
      <c r="F2" s="60"/>
      <c r="G2" s="60"/>
      <c r="H2" s="60"/>
    </row>
    <row r="3" customFormat="false" ht="43.5" hidden="false" customHeight="true" outlineLevel="0" collapsed="false">
      <c r="A3" s="60" t="s">
        <v>1471</v>
      </c>
      <c r="B3" s="60"/>
      <c r="C3" s="60"/>
      <c r="D3" s="60"/>
      <c r="E3" s="60"/>
      <c r="F3" s="60"/>
      <c r="G3" s="60"/>
      <c r="H3" s="60"/>
    </row>
    <row r="4" customFormat="false" ht="43.5" hidden="false" customHeight="true" outlineLevel="0" collapsed="false">
      <c r="A4" s="60" t="s">
        <v>1472</v>
      </c>
      <c r="B4" s="60"/>
      <c r="C4" s="60"/>
      <c r="D4" s="60"/>
      <c r="E4" s="60"/>
      <c r="F4" s="60"/>
      <c r="G4" s="60"/>
      <c r="H4" s="60"/>
    </row>
    <row r="5" customFormat="false" ht="43.5" hidden="false" customHeight="true" outlineLevel="0" collapsed="false">
      <c r="A5" s="60" t="s">
        <v>1473</v>
      </c>
      <c r="B5" s="60"/>
      <c r="C5" s="60"/>
      <c r="D5" s="60"/>
      <c r="E5" s="60"/>
      <c r="F5" s="60"/>
      <c r="G5" s="60"/>
      <c r="H5" s="60"/>
    </row>
    <row r="6" customFormat="false" ht="43.5" hidden="false" customHeight="true" outlineLevel="0" collapsed="false">
      <c r="A6" s="60" t="s">
        <v>1474</v>
      </c>
      <c r="B6" s="60"/>
      <c r="C6" s="60"/>
      <c r="D6" s="60"/>
      <c r="E6" s="60"/>
      <c r="F6" s="60"/>
      <c r="G6" s="60"/>
      <c r="H6" s="60"/>
    </row>
    <row r="8" customFormat="false" ht="15" hidden="false" customHeight="false" outlineLevel="0" collapsed="false">
      <c r="A8" s="6" t="s">
        <v>1475</v>
      </c>
      <c r="B8" s="6" t="s">
        <v>1389</v>
      </c>
      <c r="C8" s="6" t="s">
        <v>1476</v>
      </c>
      <c r="D8" s="6" t="s">
        <v>246</v>
      </c>
      <c r="E8" s="6" t="s">
        <v>245</v>
      </c>
      <c r="F8" s="6" t="s">
        <v>1477</v>
      </c>
      <c r="G8" s="6" t="s">
        <v>1478</v>
      </c>
      <c r="H8" s="6" t="s">
        <v>25</v>
      </c>
    </row>
    <row r="9" customFormat="false" ht="15" hidden="false" customHeight="false" outlineLevel="0" collapsed="false">
      <c r="A9" s="55" t="s">
        <v>1479</v>
      </c>
      <c r="B9" s="55" t="s">
        <v>1408</v>
      </c>
      <c r="C9" s="55" t="s">
        <v>1480</v>
      </c>
      <c r="D9" s="55" t="s">
        <v>206</v>
      </c>
      <c r="E9" s="55" t="s">
        <v>1409</v>
      </c>
      <c r="F9" s="55"/>
      <c r="G9" s="55" t="s">
        <v>65</v>
      </c>
      <c r="H9" s="55" t="s">
        <v>37</v>
      </c>
    </row>
    <row r="10" customFormat="false" ht="15" hidden="false" customHeight="false" outlineLevel="0" collapsed="false">
      <c r="A10" s="55" t="s">
        <v>1479</v>
      </c>
      <c r="B10" s="55" t="s">
        <v>1408</v>
      </c>
      <c r="C10" s="55" t="s">
        <v>1414</v>
      </c>
      <c r="D10" s="55" t="s">
        <v>199</v>
      </c>
      <c r="E10" s="55" t="s">
        <v>1409</v>
      </c>
      <c r="F10" s="55"/>
      <c r="G10" s="55" t="s">
        <v>49</v>
      </c>
      <c r="H10" s="55" t="s">
        <v>37</v>
      </c>
    </row>
    <row r="11" customFormat="false" ht="15" hidden="false" customHeight="false" outlineLevel="0" collapsed="false">
      <c r="A11" s="55" t="s">
        <v>1479</v>
      </c>
      <c r="B11" s="55" t="s">
        <v>1408</v>
      </c>
      <c r="C11" s="55" t="s">
        <v>1411</v>
      </c>
      <c r="D11" s="55" t="s">
        <v>198</v>
      </c>
      <c r="E11" s="55" t="s">
        <v>1409</v>
      </c>
      <c r="F11" s="55"/>
      <c r="G11" s="55" t="s">
        <v>38</v>
      </c>
      <c r="H11" s="55" t="s">
        <v>37</v>
      </c>
    </row>
    <row r="12" customFormat="false" ht="15" hidden="false" customHeight="false" outlineLevel="0" collapsed="false">
      <c r="A12" s="55" t="s">
        <v>1479</v>
      </c>
      <c r="B12" s="55" t="s">
        <v>1408</v>
      </c>
      <c r="C12" s="55" t="s">
        <v>1420</v>
      </c>
      <c r="D12" s="55" t="s">
        <v>201</v>
      </c>
      <c r="E12" s="55" t="s">
        <v>1419</v>
      </c>
      <c r="F12" s="55"/>
      <c r="G12" s="55" t="s">
        <v>55</v>
      </c>
      <c r="H12" s="55" t="s">
        <v>37</v>
      </c>
    </row>
    <row r="13" customFormat="false" ht="15" hidden="false" customHeight="false" outlineLevel="0" collapsed="false">
      <c r="A13" s="55" t="s">
        <v>1479</v>
      </c>
      <c r="B13" s="55" t="s">
        <v>1408</v>
      </c>
      <c r="C13" s="55" t="s">
        <v>1481</v>
      </c>
      <c r="D13" s="55" t="s">
        <v>203</v>
      </c>
      <c r="E13" s="55" t="s">
        <v>1419</v>
      </c>
      <c r="F13" s="55"/>
      <c r="G13" s="55" t="s">
        <v>61</v>
      </c>
      <c r="H13" s="55" t="s">
        <v>37</v>
      </c>
    </row>
    <row r="14" customFormat="false" ht="15" hidden="false" customHeight="false" outlineLevel="0" collapsed="false">
      <c r="A14" s="55" t="s">
        <v>1479</v>
      </c>
      <c r="B14" s="55" t="s">
        <v>1408</v>
      </c>
      <c r="C14" s="55" t="s">
        <v>1423</v>
      </c>
      <c r="D14" s="55" t="s">
        <v>226</v>
      </c>
      <c r="E14" s="55" t="s">
        <v>1424</v>
      </c>
      <c r="F14" s="55"/>
      <c r="G14" s="55" t="s">
        <v>127</v>
      </c>
      <c r="H14" s="55" t="s">
        <v>110</v>
      </c>
    </row>
    <row r="15" customFormat="false" ht="15" hidden="false" customHeight="false" outlineLevel="0" collapsed="false">
      <c r="A15" s="55" t="s">
        <v>1479</v>
      </c>
      <c r="B15" s="55" t="s">
        <v>1408</v>
      </c>
      <c r="C15" s="55" t="s">
        <v>1413</v>
      </c>
      <c r="D15" s="55" t="s">
        <v>222</v>
      </c>
      <c r="E15" s="55" t="s">
        <v>1409</v>
      </c>
      <c r="F15" s="55"/>
      <c r="G15" s="55" t="s">
        <v>111</v>
      </c>
      <c r="H15" s="55" t="s">
        <v>110</v>
      </c>
    </row>
    <row r="16" customFormat="false" ht="15" hidden="false" customHeight="false" outlineLevel="0" collapsed="false">
      <c r="A16" s="55" t="s">
        <v>1479</v>
      </c>
      <c r="B16" s="55" t="s">
        <v>1408</v>
      </c>
      <c r="C16" s="55" t="s">
        <v>1482</v>
      </c>
      <c r="D16" s="55" t="s">
        <v>223</v>
      </c>
      <c r="E16" s="55" t="s">
        <v>1419</v>
      </c>
      <c r="F16" s="55"/>
      <c r="G16" s="55" t="s">
        <v>116</v>
      </c>
      <c r="H16" s="55" t="s">
        <v>110</v>
      </c>
    </row>
    <row r="17" customFormat="false" ht="15" hidden="false" customHeight="false" outlineLevel="0" collapsed="false">
      <c r="A17" s="55" t="s">
        <v>1479</v>
      </c>
      <c r="B17" s="55" t="s">
        <v>1408</v>
      </c>
      <c r="C17" s="55" t="s">
        <v>1421</v>
      </c>
      <c r="D17" s="55" t="s">
        <v>231</v>
      </c>
      <c r="E17" s="55" t="s">
        <v>1419</v>
      </c>
      <c r="F17" s="55"/>
      <c r="G17" s="55" t="s">
        <v>140</v>
      </c>
      <c r="H17" s="55" t="s">
        <v>110</v>
      </c>
    </row>
    <row r="18" customFormat="false" ht="15" hidden="false" customHeight="false" outlineLevel="0" collapsed="false">
      <c r="A18" s="55" t="s">
        <v>1479</v>
      </c>
      <c r="B18" s="55" t="s">
        <v>1408</v>
      </c>
      <c r="C18" s="55" t="s">
        <v>1483</v>
      </c>
      <c r="D18" s="55" t="s">
        <v>228</v>
      </c>
      <c r="E18" s="55" t="s">
        <v>1419</v>
      </c>
      <c r="F18" s="55"/>
      <c r="G18" s="55" t="s">
        <v>130</v>
      </c>
      <c r="H18" s="55" t="s">
        <v>110</v>
      </c>
    </row>
    <row r="19" customFormat="false" ht="15" hidden="false" customHeight="false" outlineLevel="0" collapsed="false">
      <c r="A19" s="55" t="s">
        <v>1479</v>
      </c>
      <c r="B19" s="55" t="s">
        <v>1408</v>
      </c>
      <c r="C19" s="55" t="s">
        <v>1422</v>
      </c>
      <c r="D19" s="55" t="s">
        <v>230</v>
      </c>
      <c r="E19" s="55" t="s">
        <v>1419</v>
      </c>
      <c r="F19" s="55"/>
      <c r="G19" s="55" t="s">
        <v>134</v>
      </c>
      <c r="H19" s="55" t="s">
        <v>110</v>
      </c>
    </row>
    <row r="20" customFormat="false" ht="15" hidden="false" customHeight="false" outlineLevel="0" collapsed="false">
      <c r="A20" s="55" t="s">
        <v>1479</v>
      </c>
      <c r="B20" s="55" t="s">
        <v>1408</v>
      </c>
      <c r="C20" s="55" t="s">
        <v>1484</v>
      </c>
      <c r="D20" s="55" t="s">
        <v>236</v>
      </c>
      <c r="E20" s="55" t="s">
        <v>1409</v>
      </c>
      <c r="F20" s="55"/>
      <c r="G20" s="55" t="s">
        <v>157</v>
      </c>
      <c r="H20" s="55" t="s">
        <v>144</v>
      </c>
    </row>
    <row r="21" customFormat="false" ht="15" hidden="false" customHeight="false" outlineLevel="0" collapsed="false">
      <c r="A21" s="55" t="s">
        <v>1479</v>
      </c>
      <c r="B21" s="55" t="s">
        <v>1408</v>
      </c>
      <c r="C21" s="55" t="s">
        <v>1485</v>
      </c>
      <c r="D21" s="55" t="s">
        <v>233</v>
      </c>
      <c r="E21" s="55" t="s">
        <v>1409</v>
      </c>
      <c r="F21" s="55"/>
      <c r="G21" s="55" t="s">
        <v>148</v>
      </c>
      <c r="H21" s="55" t="s">
        <v>144</v>
      </c>
    </row>
    <row r="22" customFormat="false" ht="15" hidden="false" customHeight="false" outlineLevel="0" collapsed="false">
      <c r="A22" s="55" t="s">
        <v>1479</v>
      </c>
      <c r="B22" s="55" t="s">
        <v>1408</v>
      </c>
      <c r="C22" s="55" t="s">
        <v>1486</v>
      </c>
      <c r="D22" s="55" t="s">
        <v>235</v>
      </c>
      <c r="E22" s="55" t="s">
        <v>1409</v>
      </c>
      <c r="F22" s="55"/>
      <c r="G22" s="55" t="s">
        <v>154</v>
      </c>
      <c r="H22" s="55" t="s">
        <v>144</v>
      </c>
    </row>
    <row r="23" customFormat="false" ht="15" hidden="false" customHeight="false" outlineLevel="0" collapsed="false">
      <c r="A23" s="55" t="s">
        <v>1479</v>
      </c>
      <c r="B23" s="55" t="s">
        <v>1408</v>
      </c>
      <c r="C23" s="55" t="s">
        <v>1487</v>
      </c>
      <c r="D23" s="55" t="s">
        <v>234</v>
      </c>
      <c r="E23" s="55" t="s">
        <v>1409</v>
      </c>
      <c r="F23" s="55"/>
      <c r="G23" s="55" t="s">
        <v>151</v>
      </c>
      <c r="H23" s="55" t="s">
        <v>144</v>
      </c>
    </row>
    <row r="24" customFormat="false" ht="15" hidden="false" customHeight="false" outlineLevel="0" collapsed="false">
      <c r="A24" s="55" t="s">
        <v>1479</v>
      </c>
      <c r="B24" s="55" t="s">
        <v>1408</v>
      </c>
      <c r="C24" s="55" t="s">
        <v>1488</v>
      </c>
      <c r="D24" s="55" t="s">
        <v>232</v>
      </c>
      <c r="E24" s="55" t="s">
        <v>1419</v>
      </c>
      <c r="F24" s="55"/>
      <c r="G24" s="55" t="s">
        <v>145</v>
      </c>
      <c r="H24" s="55" t="s">
        <v>144</v>
      </c>
    </row>
    <row r="25" customFormat="false" ht="15" hidden="false" customHeight="false" outlineLevel="0" collapsed="false">
      <c r="A25" s="55" t="s">
        <v>1479</v>
      </c>
      <c r="B25" s="55" t="s">
        <v>1408</v>
      </c>
      <c r="C25" s="55" t="s">
        <v>1407</v>
      </c>
      <c r="D25" s="55" t="s">
        <v>210</v>
      </c>
      <c r="E25" s="55" t="s">
        <v>1409</v>
      </c>
      <c r="F25" s="55"/>
      <c r="G25" s="55" t="s">
        <v>72</v>
      </c>
      <c r="H25" s="55" t="s">
        <v>71</v>
      </c>
    </row>
    <row r="26" customFormat="false" ht="15" hidden="false" customHeight="false" outlineLevel="0" collapsed="false">
      <c r="A26" s="55" t="s">
        <v>1479</v>
      </c>
      <c r="B26" s="55" t="s">
        <v>1408</v>
      </c>
      <c r="C26" s="55" t="s">
        <v>1412</v>
      </c>
      <c r="D26" s="55" t="s">
        <v>211</v>
      </c>
      <c r="E26" s="55" t="s">
        <v>1409</v>
      </c>
      <c r="F26" s="55"/>
      <c r="G26" s="55" t="s">
        <v>78</v>
      </c>
      <c r="H26" s="55" t="s">
        <v>71</v>
      </c>
    </row>
    <row r="27" customFormat="false" ht="15" hidden="false" customHeight="false" outlineLevel="0" collapsed="false">
      <c r="A27" s="55" t="s">
        <v>1479</v>
      </c>
      <c r="B27" s="55" t="s">
        <v>1408</v>
      </c>
      <c r="C27" s="55" t="s">
        <v>1417</v>
      </c>
      <c r="D27" s="55" t="s">
        <v>215</v>
      </c>
      <c r="E27" s="55" t="s">
        <v>1409</v>
      </c>
      <c r="F27" s="55"/>
      <c r="G27" s="55" t="s">
        <v>92</v>
      </c>
      <c r="H27" s="55" t="s">
        <v>71</v>
      </c>
    </row>
    <row r="28" customFormat="false" ht="15" hidden="false" customHeight="false" outlineLevel="0" collapsed="false">
      <c r="A28" s="55" t="s">
        <v>1479</v>
      </c>
      <c r="B28" s="55" t="s">
        <v>1408</v>
      </c>
      <c r="C28" s="55" t="s">
        <v>1418</v>
      </c>
      <c r="D28" s="55" t="s">
        <v>212</v>
      </c>
      <c r="E28" s="55" t="s">
        <v>1419</v>
      </c>
      <c r="F28" s="55"/>
      <c r="G28" s="55" t="s">
        <v>83</v>
      </c>
      <c r="H28" s="55" t="s">
        <v>71</v>
      </c>
    </row>
    <row r="29" customFormat="false" ht="15" hidden="false" customHeight="false" outlineLevel="0" collapsed="false">
      <c r="A29" s="55" t="s">
        <v>1479</v>
      </c>
      <c r="B29" s="55" t="s">
        <v>1408</v>
      </c>
      <c r="C29" s="55" t="s">
        <v>1416</v>
      </c>
      <c r="D29" s="55" t="s">
        <v>217</v>
      </c>
      <c r="E29" s="55" t="s">
        <v>1409</v>
      </c>
      <c r="F29" s="55"/>
      <c r="G29" s="55" t="s">
        <v>99</v>
      </c>
      <c r="H29" s="55" t="s">
        <v>98</v>
      </c>
    </row>
    <row r="30" customFormat="false" ht="15" hidden="false" customHeight="false" outlineLevel="0" collapsed="false">
      <c r="A30" s="55" t="s">
        <v>1479</v>
      </c>
      <c r="B30" s="55" t="s">
        <v>1408</v>
      </c>
      <c r="C30" s="55" t="s">
        <v>220</v>
      </c>
      <c r="D30" s="55" t="s">
        <v>220</v>
      </c>
      <c r="E30" s="55" t="s">
        <v>1419</v>
      </c>
      <c r="F30" s="55"/>
      <c r="G30" s="55" t="s">
        <v>107</v>
      </c>
      <c r="H30" s="55" t="s">
        <v>98</v>
      </c>
    </row>
    <row r="31" customFormat="false" ht="15" hidden="false" customHeight="false" outlineLevel="0" collapsed="false">
      <c r="A31" s="55" t="s">
        <v>1479</v>
      </c>
      <c r="B31" s="55" t="s">
        <v>1408</v>
      </c>
      <c r="C31" s="55" t="s">
        <v>1489</v>
      </c>
      <c r="D31" s="55" t="s">
        <v>219</v>
      </c>
      <c r="E31" s="55" t="s">
        <v>1419</v>
      </c>
      <c r="F31" s="55"/>
      <c r="G31" s="55" t="s">
        <v>104</v>
      </c>
      <c r="H31" s="55" t="s">
        <v>98</v>
      </c>
    </row>
    <row r="32" customFormat="false" ht="15" hidden="false" customHeight="false" outlineLevel="0" collapsed="false">
      <c r="A32" s="15" t="s">
        <v>1479</v>
      </c>
      <c r="B32" s="15" t="s">
        <v>1427</v>
      </c>
      <c r="C32" s="15" t="s">
        <v>360</v>
      </c>
      <c r="D32" s="15" t="s">
        <v>359</v>
      </c>
      <c r="E32" s="15" t="s">
        <v>358</v>
      </c>
      <c r="F32" s="15" t="s">
        <v>177</v>
      </c>
      <c r="G32" s="15" t="s">
        <v>1490</v>
      </c>
      <c r="H32" s="15" t="s">
        <v>37</v>
      </c>
    </row>
    <row r="33" customFormat="false" ht="15" hidden="false" customHeight="false" outlineLevel="0" collapsed="false">
      <c r="A33" s="15" t="s">
        <v>1479</v>
      </c>
      <c r="B33" s="15" t="s">
        <v>1427</v>
      </c>
      <c r="C33" s="15" t="s">
        <v>404</v>
      </c>
      <c r="D33" s="15" t="s">
        <v>403</v>
      </c>
      <c r="E33" s="15" t="s">
        <v>358</v>
      </c>
      <c r="F33" s="15" t="s">
        <v>177</v>
      </c>
      <c r="G33" s="15" t="s">
        <v>1491</v>
      </c>
      <c r="H33" s="15" t="s">
        <v>37</v>
      </c>
    </row>
    <row r="34" customFormat="false" ht="15" hidden="false" customHeight="false" outlineLevel="0" collapsed="false">
      <c r="A34" s="15" t="s">
        <v>1479</v>
      </c>
      <c r="B34" s="15" t="s">
        <v>1427</v>
      </c>
      <c r="C34" s="15" t="s">
        <v>356</v>
      </c>
      <c r="D34" s="15" t="s">
        <v>355</v>
      </c>
      <c r="E34" s="15" t="s">
        <v>354</v>
      </c>
      <c r="F34" s="15" t="s">
        <v>177</v>
      </c>
      <c r="G34" s="15" t="s">
        <v>1492</v>
      </c>
      <c r="H34" s="15" t="s">
        <v>37</v>
      </c>
    </row>
    <row r="35" customFormat="false" ht="15" hidden="false" customHeight="false" outlineLevel="0" collapsed="false">
      <c r="A35" s="15" t="s">
        <v>1479</v>
      </c>
      <c r="B35" s="15" t="s">
        <v>1427</v>
      </c>
      <c r="C35" s="15" t="s">
        <v>406</v>
      </c>
      <c r="D35" s="15" t="s">
        <v>405</v>
      </c>
      <c r="E35" s="15" t="s">
        <v>354</v>
      </c>
      <c r="F35" s="15" t="s">
        <v>177</v>
      </c>
      <c r="G35" s="15" t="s">
        <v>1491</v>
      </c>
      <c r="H35" s="15" t="s">
        <v>37</v>
      </c>
    </row>
    <row r="36" customFormat="false" ht="15" hidden="false" customHeight="false" outlineLevel="0" collapsed="false">
      <c r="A36" s="15" t="s">
        <v>1479</v>
      </c>
      <c r="B36" s="15" t="s">
        <v>1427</v>
      </c>
      <c r="C36" s="15" t="s">
        <v>364</v>
      </c>
      <c r="D36" s="15" t="s">
        <v>363</v>
      </c>
      <c r="E36" s="15" t="s">
        <v>362</v>
      </c>
      <c r="F36" s="15" t="s">
        <v>177</v>
      </c>
      <c r="G36" s="15" t="s">
        <v>1447</v>
      </c>
      <c r="H36" s="15" t="s">
        <v>37</v>
      </c>
    </row>
    <row r="37" customFormat="false" ht="15" hidden="false" customHeight="false" outlineLevel="0" collapsed="false">
      <c r="A37" s="15" t="s">
        <v>1479</v>
      </c>
      <c r="B37" s="15" t="s">
        <v>1427</v>
      </c>
      <c r="C37" s="15" t="s">
        <v>343</v>
      </c>
      <c r="D37" s="15" t="s">
        <v>342</v>
      </c>
      <c r="E37" s="15" t="s">
        <v>341</v>
      </c>
      <c r="F37" s="15" t="s">
        <v>177</v>
      </c>
      <c r="G37" s="15" t="s">
        <v>1492</v>
      </c>
      <c r="H37" s="15" t="s">
        <v>37</v>
      </c>
    </row>
    <row r="38" customFormat="false" ht="15" hidden="false" customHeight="false" outlineLevel="0" collapsed="false">
      <c r="A38" s="15" t="s">
        <v>1479</v>
      </c>
      <c r="B38" s="15" t="s">
        <v>1427</v>
      </c>
      <c r="C38" s="15" t="s">
        <v>391</v>
      </c>
      <c r="D38" s="15" t="s">
        <v>390</v>
      </c>
      <c r="E38" s="15" t="s">
        <v>389</v>
      </c>
      <c r="F38" s="15" t="s">
        <v>177</v>
      </c>
      <c r="G38" s="15" t="s">
        <v>1437</v>
      </c>
      <c r="H38" s="15" t="s">
        <v>37</v>
      </c>
    </row>
    <row r="39" customFormat="false" ht="15" hidden="false" customHeight="false" outlineLevel="0" collapsed="false">
      <c r="A39" s="15" t="s">
        <v>1479</v>
      </c>
      <c r="B39" s="15" t="s">
        <v>1427</v>
      </c>
      <c r="C39" s="15" t="s">
        <v>309</v>
      </c>
      <c r="D39" s="15" t="s">
        <v>308</v>
      </c>
      <c r="E39" s="15" t="s">
        <v>307</v>
      </c>
      <c r="F39" s="15" t="s">
        <v>176</v>
      </c>
      <c r="G39" s="15" t="s">
        <v>1493</v>
      </c>
      <c r="H39" s="15" t="s">
        <v>37</v>
      </c>
    </row>
    <row r="40" customFormat="false" ht="15" hidden="false" customHeight="false" outlineLevel="0" collapsed="false">
      <c r="A40" s="15" t="s">
        <v>1479</v>
      </c>
      <c r="B40" s="15" t="s">
        <v>1427</v>
      </c>
      <c r="C40" s="15" t="s">
        <v>347</v>
      </c>
      <c r="D40" s="15" t="s">
        <v>346</v>
      </c>
      <c r="E40" s="15" t="s">
        <v>307</v>
      </c>
      <c r="F40" s="15" t="s">
        <v>177</v>
      </c>
      <c r="G40" s="15" t="s">
        <v>1494</v>
      </c>
      <c r="H40" s="15" t="s">
        <v>37</v>
      </c>
    </row>
    <row r="41" customFormat="false" ht="15" hidden="false" customHeight="false" outlineLevel="0" collapsed="false">
      <c r="A41" s="15" t="s">
        <v>1479</v>
      </c>
      <c r="B41" s="15" t="s">
        <v>1427</v>
      </c>
      <c r="C41" s="15" t="s">
        <v>395</v>
      </c>
      <c r="D41" s="15" t="s">
        <v>394</v>
      </c>
      <c r="E41" s="15" t="s">
        <v>393</v>
      </c>
      <c r="F41" s="15" t="s">
        <v>177</v>
      </c>
      <c r="G41" s="15" t="s">
        <v>1447</v>
      </c>
      <c r="H41" s="15" t="s">
        <v>37</v>
      </c>
    </row>
    <row r="42" customFormat="false" ht="15" hidden="false" customHeight="false" outlineLevel="0" collapsed="false">
      <c r="A42" s="15" t="s">
        <v>1479</v>
      </c>
      <c r="B42" s="15" t="s">
        <v>1427</v>
      </c>
      <c r="C42" s="15" t="s">
        <v>375</v>
      </c>
      <c r="D42" s="15" t="s">
        <v>374</v>
      </c>
      <c r="E42" s="15" t="s">
        <v>373</v>
      </c>
      <c r="F42" s="15" t="s">
        <v>177</v>
      </c>
      <c r="G42" s="15" t="s">
        <v>1492</v>
      </c>
      <c r="H42" s="15" t="s">
        <v>37</v>
      </c>
    </row>
    <row r="43" customFormat="false" ht="15" hidden="false" customHeight="false" outlineLevel="0" collapsed="false">
      <c r="A43" s="15" t="s">
        <v>1479</v>
      </c>
      <c r="B43" s="15" t="s">
        <v>1427</v>
      </c>
      <c r="C43" s="15" t="s">
        <v>371</v>
      </c>
      <c r="D43" s="15" t="s">
        <v>370</v>
      </c>
      <c r="E43" s="15" t="s">
        <v>369</v>
      </c>
      <c r="F43" s="15" t="s">
        <v>177</v>
      </c>
      <c r="G43" s="15" t="s">
        <v>1447</v>
      </c>
      <c r="H43" s="15" t="s">
        <v>37</v>
      </c>
    </row>
    <row r="44" customFormat="false" ht="15" hidden="false" customHeight="false" outlineLevel="0" collapsed="false">
      <c r="A44" s="15" t="s">
        <v>1479</v>
      </c>
      <c r="B44" s="15" t="s">
        <v>1427</v>
      </c>
      <c r="C44" s="15" t="s">
        <v>378</v>
      </c>
      <c r="D44" s="15" t="s">
        <v>377</v>
      </c>
      <c r="E44" s="15" t="s">
        <v>376</v>
      </c>
      <c r="F44" s="15" t="s">
        <v>177</v>
      </c>
      <c r="G44" s="15" t="s">
        <v>1438</v>
      </c>
      <c r="H44" s="15" t="s">
        <v>37</v>
      </c>
    </row>
    <row r="45" customFormat="false" ht="15" hidden="false" customHeight="false" outlineLevel="0" collapsed="false">
      <c r="A45" s="15" t="s">
        <v>1479</v>
      </c>
      <c r="B45" s="15" t="s">
        <v>1427</v>
      </c>
      <c r="C45" s="15" t="s">
        <v>324</v>
      </c>
      <c r="D45" s="15" t="s">
        <v>323</v>
      </c>
      <c r="E45" s="15" t="s">
        <v>322</v>
      </c>
      <c r="F45" s="15" t="s">
        <v>176</v>
      </c>
      <c r="G45" s="15" t="s">
        <v>1495</v>
      </c>
      <c r="H45" s="15" t="s">
        <v>37</v>
      </c>
    </row>
    <row r="46" customFormat="false" ht="15" hidden="false" customHeight="false" outlineLevel="0" collapsed="false">
      <c r="A46" s="15" t="s">
        <v>1479</v>
      </c>
      <c r="B46" s="15" t="s">
        <v>1427</v>
      </c>
      <c r="C46" s="15" t="s">
        <v>383</v>
      </c>
      <c r="D46" s="15" t="s">
        <v>382</v>
      </c>
      <c r="E46" s="15" t="s">
        <v>381</v>
      </c>
      <c r="F46" s="15" t="s">
        <v>177</v>
      </c>
      <c r="G46" s="15" t="s">
        <v>1496</v>
      </c>
      <c r="H46" s="15" t="s">
        <v>37</v>
      </c>
    </row>
    <row r="47" customFormat="false" ht="15" hidden="false" customHeight="false" outlineLevel="0" collapsed="false">
      <c r="A47" s="15" t="s">
        <v>1479</v>
      </c>
      <c r="B47" s="15" t="s">
        <v>1427</v>
      </c>
      <c r="C47" s="15" t="s">
        <v>334</v>
      </c>
      <c r="D47" s="15" t="s">
        <v>333</v>
      </c>
      <c r="E47" s="15" t="s">
        <v>332</v>
      </c>
      <c r="F47" s="15" t="s">
        <v>177</v>
      </c>
      <c r="G47" s="15" t="s">
        <v>1497</v>
      </c>
      <c r="H47" s="15" t="s">
        <v>37</v>
      </c>
    </row>
    <row r="48" customFormat="false" ht="15" hidden="false" customHeight="false" outlineLevel="0" collapsed="false">
      <c r="A48" s="15" t="s">
        <v>1479</v>
      </c>
      <c r="B48" s="15" t="s">
        <v>1427</v>
      </c>
      <c r="C48" s="15" t="s">
        <v>329</v>
      </c>
      <c r="D48" s="15" t="s">
        <v>328</v>
      </c>
      <c r="E48" s="15" t="s">
        <v>327</v>
      </c>
      <c r="F48" s="15" t="s">
        <v>177</v>
      </c>
      <c r="G48" s="15" t="s">
        <v>1447</v>
      </c>
      <c r="H48" s="15" t="s">
        <v>37</v>
      </c>
    </row>
    <row r="49" customFormat="false" ht="15" hidden="false" customHeight="false" outlineLevel="0" collapsed="false">
      <c r="A49" s="15" t="s">
        <v>1479</v>
      </c>
      <c r="B49" s="15" t="s">
        <v>1427</v>
      </c>
      <c r="C49" s="15" t="s">
        <v>387</v>
      </c>
      <c r="D49" s="15" t="s">
        <v>386</v>
      </c>
      <c r="E49" s="15" t="s">
        <v>385</v>
      </c>
      <c r="F49" s="15" t="s">
        <v>177</v>
      </c>
      <c r="G49" s="15" t="s">
        <v>1447</v>
      </c>
      <c r="H49" s="15" t="s">
        <v>37</v>
      </c>
    </row>
    <row r="50" customFormat="false" ht="15" hidden="false" customHeight="false" outlineLevel="0" collapsed="false">
      <c r="A50" s="15" t="s">
        <v>1479</v>
      </c>
      <c r="B50" s="15" t="s">
        <v>1427</v>
      </c>
      <c r="C50" s="15" t="s">
        <v>398</v>
      </c>
      <c r="D50" s="15" t="s">
        <v>397</v>
      </c>
      <c r="E50" s="15" t="s">
        <v>385</v>
      </c>
      <c r="F50" s="15" t="s">
        <v>177</v>
      </c>
      <c r="G50" s="15" t="s">
        <v>1447</v>
      </c>
      <c r="H50" s="15" t="s">
        <v>37</v>
      </c>
    </row>
    <row r="51" customFormat="false" ht="15" hidden="false" customHeight="false" outlineLevel="0" collapsed="false">
      <c r="A51" s="15" t="s">
        <v>1479</v>
      </c>
      <c r="B51" s="15" t="s">
        <v>1427</v>
      </c>
      <c r="C51" s="15" t="s">
        <v>408</v>
      </c>
      <c r="D51" s="15" t="s">
        <v>408</v>
      </c>
      <c r="E51" s="15" t="s">
        <v>385</v>
      </c>
      <c r="F51" s="15" t="s">
        <v>177</v>
      </c>
      <c r="G51" s="15" t="s">
        <v>1498</v>
      </c>
      <c r="H51" s="15" t="s">
        <v>37</v>
      </c>
    </row>
    <row r="52" customFormat="false" ht="15" hidden="false" customHeight="false" outlineLevel="0" collapsed="false">
      <c r="A52" s="15" t="s">
        <v>1479</v>
      </c>
      <c r="B52" s="15" t="s">
        <v>1427</v>
      </c>
      <c r="C52" s="15" t="s">
        <v>318</v>
      </c>
      <c r="D52" s="15" t="s">
        <v>317</v>
      </c>
      <c r="E52" s="15" t="s">
        <v>316</v>
      </c>
      <c r="F52" s="15" t="s">
        <v>176</v>
      </c>
      <c r="G52" s="15" t="s">
        <v>1499</v>
      </c>
      <c r="H52" s="15" t="s">
        <v>37</v>
      </c>
    </row>
    <row r="53" customFormat="false" ht="15" hidden="false" customHeight="false" outlineLevel="0" collapsed="false">
      <c r="A53" s="15" t="s">
        <v>1479</v>
      </c>
      <c r="B53" s="15" t="s">
        <v>1427</v>
      </c>
      <c r="C53" s="15" t="s">
        <v>351</v>
      </c>
      <c r="D53" s="15" t="s">
        <v>350</v>
      </c>
      <c r="E53" s="15" t="s">
        <v>349</v>
      </c>
      <c r="F53" s="15" t="s">
        <v>177</v>
      </c>
      <c r="G53" s="15" t="s">
        <v>1492</v>
      </c>
      <c r="H53" s="15" t="s">
        <v>37</v>
      </c>
    </row>
    <row r="54" customFormat="false" ht="15" hidden="false" customHeight="false" outlineLevel="0" collapsed="false">
      <c r="A54" s="15" t="s">
        <v>1479</v>
      </c>
      <c r="B54" s="15" t="s">
        <v>1427</v>
      </c>
      <c r="C54" s="15" t="s">
        <v>367</v>
      </c>
      <c r="D54" s="15" t="s">
        <v>366</v>
      </c>
      <c r="E54" s="15" t="s">
        <v>349</v>
      </c>
      <c r="F54" s="15" t="s">
        <v>177</v>
      </c>
      <c r="G54" s="15" t="s">
        <v>1495</v>
      </c>
      <c r="H54" s="15" t="s">
        <v>37</v>
      </c>
    </row>
    <row r="55" customFormat="false" ht="15" hidden="false" customHeight="false" outlineLevel="0" collapsed="false">
      <c r="A55" s="15" t="s">
        <v>1479</v>
      </c>
      <c r="B55" s="15" t="s">
        <v>1427</v>
      </c>
      <c r="C55" s="15" t="s">
        <v>488</v>
      </c>
      <c r="D55" s="15" t="s">
        <v>487</v>
      </c>
      <c r="E55" s="15" t="s">
        <v>438</v>
      </c>
      <c r="F55" s="15"/>
      <c r="G55" s="15" t="s">
        <v>1447</v>
      </c>
      <c r="H55" s="15" t="s">
        <v>37</v>
      </c>
    </row>
    <row r="56" customFormat="false" ht="15" hidden="false" customHeight="false" outlineLevel="0" collapsed="false">
      <c r="A56" s="15" t="s">
        <v>1479</v>
      </c>
      <c r="B56" s="15" t="s">
        <v>1427</v>
      </c>
      <c r="C56" s="15" t="s">
        <v>502</v>
      </c>
      <c r="D56" s="15" t="s">
        <v>502</v>
      </c>
      <c r="E56" s="15" t="s">
        <v>438</v>
      </c>
      <c r="F56" s="15"/>
      <c r="G56" s="15" t="s">
        <v>1438</v>
      </c>
      <c r="H56" s="15" t="s">
        <v>37</v>
      </c>
    </row>
    <row r="57" customFormat="false" ht="15" hidden="false" customHeight="false" outlineLevel="0" collapsed="false">
      <c r="A57" s="15" t="s">
        <v>1479</v>
      </c>
      <c r="B57" s="15" t="s">
        <v>1427</v>
      </c>
      <c r="C57" s="15" t="s">
        <v>339</v>
      </c>
      <c r="D57" s="15" t="s">
        <v>338</v>
      </c>
      <c r="E57" s="15" t="s">
        <v>337</v>
      </c>
      <c r="F57" s="15" t="s">
        <v>177</v>
      </c>
      <c r="G57" s="15" t="s">
        <v>1447</v>
      </c>
      <c r="H57" s="15" t="s">
        <v>37</v>
      </c>
    </row>
    <row r="58" customFormat="false" ht="15" hidden="false" customHeight="false" outlineLevel="0" collapsed="false">
      <c r="A58" s="15" t="s">
        <v>1479</v>
      </c>
      <c r="B58" s="15" t="s">
        <v>1427</v>
      </c>
      <c r="C58" s="15" t="s">
        <v>401</v>
      </c>
      <c r="D58" s="15" t="s">
        <v>400</v>
      </c>
      <c r="E58" s="15" t="s">
        <v>399</v>
      </c>
      <c r="F58" s="15" t="s">
        <v>177</v>
      </c>
      <c r="G58" s="15" t="s">
        <v>1447</v>
      </c>
      <c r="H58" s="15" t="s">
        <v>37</v>
      </c>
    </row>
    <row r="59" customFormat="false" ht="15" hidden="false" customHeight="false" outlineLevel="0" collapsed="false">
      <c r="A59" s="15" t="s">
        <v>1479</v>
      </c>
      <c r="B59" s="15" t="s">
        <v>1427</v>
      </c>
      <c r="C59" s="15" t="s">
        <v>414</v>
      </c>
      <c r="D59" s="15" t="s">
        <v>414</v>
      </c>
      <c r="E59" s="15" t="s">
        <v>399</v>
      </c>
      <c r="F59" s="15" t="s">
        <v>177</v>
      </c>
      <c r="G59" s="15" t="s">
        <v>1437</v>
      </c>
      <c r="H59" s="15" t="s">
        <v>37</v>
      </c>
    </row>
    <row r="60" customFormat="false" ht="15" hidden="false" customHeight="false" outlineLevel="0" collapsed="false">
      <c r="A60" s="15" t="s">
        <v>1479</v>
      </c>
      <c r="B60" s="15" t="s">
        <v>1427</v>
      </c>
      <c r="C60" s="15" t="s">
        <v>412</v>
      </c>
      <c r="D60" s="15" t="s">
        <v>411</v>
      </c>
      <c r="E60" s="15" t="s">
        <v>410</v>
      </c>
      <c r="F60" s="15" t="s">
        <v>177</v>
      </c>
      <c r="G60" s="15" t="s">
        <v>1437</v>
      </c>
      <c r="H60" s="15" t="s">
        <v>37</v>
      </c>
    </row>
    <row r="61" customFormat="false" ht="15" hidden="false" customHeight="false" outlineLevel="0" collapsed="false">
      <c r="A61" s="15" t="s">
        <v>1479</v>
      </c>
      <c r="B61" s="15" t="s">
        <v>1427</v>
      </c>
      <c r="C61" s="15" t="s">
        <v>852</v>
      </c>
      <c r="D61" s="15" t="s">
        <v>851</v>
      </c>
      <c r="E61" s="15" t="s">
        <v>850</v>
      </c>
      <c r="F61" s="15" t="s">
        <v>176</v>
      </c>
      <c r="G61" s="15" t="s">
        <v>111</v>
      </c>
      <c r="H61" s="15" t="s">
        <v>110</v>
      </c>
    </row>
    <row r="62" customFormat="false" ht="15" hidden="false" customHeight="false" outlineLevel="0" collapsed="false">
      <c r="A62" s="15" t="s">
        <v>1479</v>
      </c>
      <c r="B62" s="15" t="s">
        <v>1427</v>
      </c>
      <c r="C62" s="15" t="s">
        <v>863</v>
      </c>
      <c r="D62" s="15" t="s">
        <v>862</v>
      </c>
      <c r="E62" s="15" t="s">
        <v>307</v>
      </c>
      <c r="F62" s="15" t="s">
        <v>177</v>
      </c>
      <c r="G62" s="15" t="s">
        <v>1500</v>
      </c>
      <c r="H62" s="15" t="s">
        <v>110</v>
      </c>
    </row>
    <row r="63" customFormat="false" ht="15" hidden="false" customHeight="false" outlineLevel="0" collapsed="false">
      <c r="A63" s="15" t="s">
        <v>1479</v>
      </c>
      <c r="B63" s="15" t="s">
        <v>1427</v>
      </c>
      <c r="C63" s="15" t="s">
        <v>857</v>
      </c>
      <c r="D63" s="15" t="s">
        <v>856</v>
      </c>
      <c r="E63" s="15" t="s">
        <v>855</v>
      </c>
      <c r="F63" s="15" t="s">
        <v>177</v>
      </c>
      <c r="G63" s="15" t="s">
        <v>1500</v>
      </c>
      <c r="H63" s="15" t="s">
        <v>110</v>
      </c>
    </row>
    <row r="64" customFormat="false" ht="15" hidden="false" customHeight="false" outlineLevel="0" collapsed="false">
      <c r="A64" s="15" t="s">
        <v>1479</v>
      </c>
      <c r="B64" s="15" t="s">
        <v>1427</v>
      </c>
      <c r="C64" s="15" t="s">
        <v>865</v>
      </c>
      <c r="D64" s="15" t="s">
        <v>865</v>
      </c>
      <c r="E64" s="15" t="s">
        <v>864</v>
      </c>
      <c r="F64" s="15" t="s">
        <v>177</v>
      </c>
      <c r="G64" s="15" t="s">
        <v>1500</v>
      </c>
      <c r="H64" s="15" t="s">
        <v>110</v>
      </c>
    </row>
    <row r="65" customFormat="false" ht="15" hidden="false" customHeight="false" outlineLevel="0" collapsed="false">
      <c r="A65" s="15" t="s">
        <v>1479</v>
      </c>
      <c r="B65" s="15" t="s">
        <v>1427</v>
      </c>
      <c r="C65" s="15" t="s">
        <v>877</v>
      </c>
      <c r="D65" s="15" t="s">
        <v>876</v>
      </c>
      <c r="E65" s="15" t="s">
        <v>875</v>
      </c>
      <c r="F65" s="15" t="s">
        <v>177</v>
      </c>
      <c r="G65" s="15" t="s">
        <v>1445</v>
      </c>
      <c r="H65" s="15" t="s">
        <v>110</v>
      </c>
    </row>
    <row r="66" customFormat="false" ht="15" hidden="false" customHeight="false" outlineLevel="0" collapsed="false">
      <c r="A66" s="15" t="s">
        <v>1479</v>
      </c>
      <c r="B66" s="15" t="s">
        <v>1427</v>
      </c>
      <c r="C66" s="15" t="s">
        <v>868</v>
      </c>
      <c r="D66" s="15" t="s">
        <v>867</v>
      </c>
      <c r="E66" s="15" t="s">
        <v>866</v>
      </c>
      <c r="F66" s="15" t="s">
        <v>177</v>
      </c>
      <c r="G66" s="15" t="s">
        <v>1451</v>
      </c>
      <c r="H66" s="15" t="s">
        <v>110</v>
      </c>
    </row>
    <row r="67" customFormat="false" ht="15" hidden="false" customHeight="false" outlineLevel="0" collapsed="false">
      <c r="A67" s="15" t="s">
        <v>1479</v>
      </c>
      <c r="B67" s="15" t="s">
        <v>1427</v>
      </c>
      <c r="C67" s="15" t="s">
        <v>872</v>
      </c>
      <c r="D67" s="15" t="s">
        <v>871</v>
      </c>
      <c r="E67" s="15" t="s">
        <v>870</v>
      </c>
      <c r="F67" s="15" t="s">
        <v>177</v>
      </c>
      <c r="G67" s="15" t="s">
        <v>1501</v>
      </c>
      <c r="H67" s="15" t="s">
        <v>110</v>
      </c>
    </row>
    <row r="68" customFormat="false" ht="15" hidden="false" customHeight="false" outlineLevel="0" collapsed="false">
      <c r="A68" s="15" t="s">
        <v>1479</v>
      </c>
      <c r="B68" s="15" t="s">
        <v>1427</v>
      </c>
      <c r="C68" s="15" t="s">
        <v>854</v>
      </c>
      <c r="D68" s="15" t="s">
        <v>853</v>
      </c>
      <c r="E68" s="15" t="s">
        <v>516</v>
      </c>
      <c r="F68" s="15" t="s">
        <v>177</v>
      </c>
      <c r="G68" s="15" t="s">
        <v>1501</v>
      </c>
      <c r="H68" s="15" t="s">
        <v>110</v>
      </c>
    </row>
    <row r="69" customFormat="false" ht="15" hidden="false" customHeight="false" outlineLevel="0" collapsed="false">
      <c r="A69" s="15" t="s">
        <v>1479</v>
      </c>
      <c r="B69" s="15" t="s">
        <v>1427</v>
      </c>
      <c r="C69" s="15" t="s">
        <v>859</v>
      </c>
      <c r="D69" s="15" t="s">
        <v>858</v>
      </c>
      <c r="E69" s="15" t="s">
        <v>516</v>
      </c>
      <c r="F69" s="15" t="s">
        <v>177</v>
      </c>
      <c r="G69" s="15" t="s">
        <v>1451</v>
      </c>
      <c r="H69" s="15" t="s">
        <v>110</v>
      </c>
    </row>
    <row r="70" customFormat="false" ht="15" hidden="false" customHeight="false" outlineLevel="0" collapsed="false">
      <c r="A70" s="15" t="s">
        <v>1479</v>
      </c>
      <c r="B70" s="15" t="s">
        <v>1427</v>
      </c>
      <c r="C70" s="15" t="s">
        <v>883</v>
      </c>
      <c r="D70" s="15" t="s">
        <v>882</v>
      </c>
      <c r="E70" s="15" t="s">
        <v>881</v>
      </c>
      <c r="F70" s="15" t="s">
        <v>177</v>
      </c>
      <c r="G70" s="15" t="s">
        <v>1502</v>
      </c>
      <c r="H70" s="15" t="s">
        <v>110</v>
      </c>
    </row>
    <row r="71" customFormat="false" ht="15" hidden="false" customHeight="false" outlineLevel="0" collapsed="false">
      <c r="A71" s="15" t="s">
        <v>1479</v>
      </c>
      <c r="B71" s="15" t="s">
        <v>1427</v>
      </c>
      <c r="C71" s="15" t="s">
        <v>861</v>
      </c>
      <c r="D71" s="15" t="s">
        <v>861</v>
      </c>
      <c r="E71" s="15" t="s">
        <v>438</v>
      </c>
      <c r="F71" s="15" t="s">
        <v>177</v>
      </c>
      <c r="G71" s="15" t="s">
        <v>1449</v>
      </c>
      <c r="H71" s="15" t="s">
        <v>110</v>
      </c>
    </row>
    <row r="72" customFormat="false" ht="15" hidden="false" customHeight="false" outlineLevel="0" collapsed="false">
      <c r="A72" s="15" t="s">
        <v>1479</v>
      </c>
      <c r="B72" s="15" t="s">
        <v>1427</v>
      </c>
      <c r="C72" s="15" t="s">
        <v>873</v>
      </c>
      <c r="D72" s="15" t="s">
        <v>873</v>
      </c>
      <c r="E72" s="15" t="s">
        <v>438</v>
      </c>
      <c r="F72" s="15" t="s">
        <v>177</v>
      </c>
      <c r="G72" s="15" t="s">
        <v>1449</v>
      </c>
      <c r="H72" s="15" t="s">
        <v>110</v>
      </c>
    </row>
    <row r="73" customFormat="false" ht="15" hidden="false" customHeight="false" outlineLevel="0" collapsed="false">
      <c r="A73" s="15" t="s">
        <v>1479</v>
      </c>
      <c r="B73" s="15" t="s">
        <v>1427</v>
      </c>
      <c r="C73" s="15" t="s">
        <v>637</v>
      </c>
      <c r="D73" s="15" t="s">
        <v>636</v>
      </c>
      <c r="E73" s="15"/>
      <c r="F73" s="15" t="s">
        <v>178</v>
      </c>
      <c r="G73" s="15" t="s">
        <v>1446</v>
      </c>
      <c r="H73" s="15" t="s">
        <v>71</v>
      </c>
    </row>
    <row r="74" customFormat="false" ht="15" hidden="false" customHeight="false" outlineLevel="0" collapsed="false">
      <c r="A74" s="15" t="s">
        <v>1479</v>
      </c>
      <c r="B74" s="15" t="s">
        <v>1427</v>
      </c>
      <c r="C74" s="15" t="s">
        <v>559</v>
      </c>
      <c r="D74" s="15" t="s">
        <v>558</v>
      </c>
      <c r="E74" s="15" t="s">
        <v>362</v>
      </c>
      <c r="F74" s="15" t="s">
        <v>176</v>
      </c>
      <c r="G74" s="15" t="s">
        <v>1503</v>
      </c>
      <c r="H74" s="15" t="s">
        <v>71</v>
      </c>
    </row>
    <row r="75" customFormat="false" ht="15" hidden="false" customHeight="false" outlineLevel="0" collapsed="false">
      <c r="A75" s="15" t="s">
        <v>1479</v>
      </c>
      <c r="B75" s="15" t="s">
        <v>1427</v>
      </c>
      <c r="C75" s="15" t="s">
        <v>647</v>
      </c>
      <c r="D75" s="15" t="s">
        <v>646</v>
      </c>
      <c r="E75" s="15" t="s">
        <v>362</v>
      </c>
      <c r="F75" s="15" t="s">
        <v>176</v>
      </c>
      <c r="G75" s="15" t="s">
        <v>1442</v>
      </c>
      <c r="H75" s="15" t="s">
        <v>71</v>
      </c>
    </row>
    <row r="76" customFormat="false" ht="15" hidden="false" customHeight="false" outlineLevel="0" collapsed="false">
      <c r="A76" s="15" t="s">
        <v>1479</v>
      </c>
      <c r="B76" s="15" t="s">
        <v>1427</v>
      </c>
      <c r="C76" s="15" t="s">
        <v>655</v>
      </c>
      <c r="D76" s="15" t="s">
        <v>654</v>
      </c>
      <c r="E76" s="15" t="s">
        <v>362</v>
      </c>
      <c r="F76" s="15" t="s">
        <v>177</v>
      </c>
      <c r="G76" s="15" t="s">
        <v>92</v>
      </c>
      <c r="H76" s="15" t="s">
        <v>71</v>
      </c>
    </row>
    <row r="77" customFormat="false" ht="15" hidden="false" customHeight="false" outlineLevel="0" collapsed="false">
      <c r="A77" s="15" t="s">
        <v>1479</v>
      </c>
      <c r="B77" s="15" t="s">
        <v>1427</v>
      </c>
      <c r="C77" s="15" t="s">
        <v>618</v>
      </c>
      <c r="D77" s="15" t="s">
        <v>617</v>
      </c>
      <c r="E77" s="15" t="s">
        <v>307</v>
      </c>
      <c r="F77" s="15" t="s">
        <v>178</v>
      </c>
      <c r="G77" s="15" t="s">
        <v>1504</v>
      </c>
      <c r="H77" s="15" t="s">
        <v>71</v>
      </c>
    </row>
    <row r="78" customFormat="false" ht="15" hidden="false" customHeight="false" outlineLevel="0" collapsed="false">
      <c r="A78" s="15" t="s">
        <v>1479</v>
      </c>
      <c r="B78" s="15" t="s">
        <v>1427</v>
      </c>
      <c r="C78" s="15" t="s">
        <v>590</v>
      </c>
      <c r="D78" s="15" t="s">
        <v>589</v>
      </c>
      <c r="E78" s="15" t="s">
        <v>588</v>
      </c>
      <c r="F78" s="15" t="s">
        <v>177</v>
      </c>
      <c r="G78" s="15" t="s">
        <v>1504</v>
      </c>
      <c r="H78" s="15" t="s">
        <v>71</v>
      </c>
    </row>
    <row r="79" customFormat="false" ht="15" hidden="false" customHeight="false" outlineLevel="0" collapsed="false">
      <c r="A79" s="15" t="s">
        <v>1479</v>
      </c>
      <c r="B79" s="15" t="s">
        <v>1427</v>
      </c>
      <c r="C79" s="15" t="s">
        <v>568</v>
      </c>
      <c r="D79" s="15" t="s">
        <v>567</v>
      </c>
      <c r="E79" s="15" t="s">
        <v>475</v>
      </c>
      <c r="F79" s="15" t="s">
        <v>177</v>
      </c>
      <c r="G79" s="15" t="s">
        <v>1504</v>
      </c>
      <c r="H79" s="15" t="s">
        <v>71</v>
      </c>
    </row>
    <row r="80" customFormat="false" ht="15" hidden="false" customHeight="false" outlineLevel="0" collapsed="false">
      <c r="A80" s="15" t="s">
        <v>1479</v>
      </c>
      <c r="B80" s="15" t="s">
        <v>1427</v>
      </c>
      <c r="C80" s="15" t="s">
        <v>576</v>
      </c>
      <c r="D80" s="15" t="s">
        <v>575</v>
      </c>
      <c r="E80" s="15" t="s">
        <v>574</v>
      </c>
      <c r="F80" s="15" t="s">
        <v>177</v>
      </c>
      <c r="G80" s="15" t="s">
        <v>1504</v>
      </c>
      <c r="H80" s="15" t="s">
        <v>71</v>
      </c>
    </row>
    <row r="81" customFormat="false" ht="15" hidden="false" customHeight="false" outlineLevel="0" collapsed="false">
      <c r="A81" s="15" t="s">
        <v>1479</v>
      </c>
      <c r="B81" s="15" t="s">
        <v>1427</v>
      </c>
      <c r="C81" s="15" t="s">
        <v>621</v>
      </c>
      <c r="D81" s="15" t="s">
        <v>620</v>
      </c>
      <c r="E81" s="15" t="s">
        <v>619</v>
      </c>
      <c r="F81" s="15" t="s">
        <v>178</v>
      </c>
      <c r="G81" s="15" t="s">
        <v>1504</v>
      </c>
      <c r="H81" s="15" t="s">
        <v>71</v>
      </c>
    </row>
    <row r="82" customFormat="false" ht="15" hidden="false" customHeight="false" outlineLevel="0" collapsed="false">
      <c r="A82" s="15" t="s">
        <v>1479</v>
      </c>
      <c r="B82" s="15" t="s">
        <v>1427</v>
      </c>
      <c r="C82" s="15" t="s">
        <v>600</v>
      </c>
      <c r="D82" s="15" t="s">
        <v>599</v>
      </c>
      <c r="E82" s="15" t="s">
        <v>598</v>
      </c>
      <c r="F82" s="15" t="s">
        <v>177</v>
      </c>
      <c r="G82" s="15" t="s">
        <v>1504</v>
      </c>
      <c r="H82" s="15" t="s">
        <v>71</v>
      </c>
    </row>
    <row r="83" customFormat="false" ht="15" hidden="false" customHeight="false" outlineLevel="0" collapsed="false">
      <c r="A83" s="15" t="s">
        <v>1479</v>
      </c>
      <c r="B83" s="15" t="s">
        <v>1427</v>
      </c>
      <c r="C83" s="15" t="s">
        <v>606</v>
      </c>
      <c r="D83" s="15" t="s">
        <v>605</v>
      </c>
      <c r="E83" s="15" t="s">
        <v>598</v>
      </c>
      <c r="F83" s="15" t="s">
        <v>177</v>
      </c>
      <c r="G83" s="15" t="s">
        <v>1504</v>
      </c>
      <c r="H83" s="15" t="s">
        <v>71</v>
      </c>
    </row>
    <row r="84" customFormat="false" ht="15" hidden="false" customHeight="false" outlineLevel="0" collapsed="false">
      <c r="A84" s="15" t="s">
        <v>1479</v>
      </c>
      <c r="B84" s="15" t="s">
        <v>1427</v>
      </c>
      <c r="C84" s="15" t="s">
        <v>658</v>
      </c>
      <c r="D84" s="15" t="s">
        <v>657</v>
      </c>
      <c r="E84" s="15" t="s">
        <v>598</v>
      </c>
      <c r="F84" s="15" t="s">
        <v>177</v>
      </c>
      <c r="G84" s="15" t="s">
        <v>92</v>
      </c>
      <c r="H84" s="15" t="s">
        <v>71</v>
      </c>
    </row>
    <row r="85" customFormat="false" ht="15" hidden="false" customHeight="false" outlineLevel="0" collapsed="false">
      <c r="A85" s="15" t="s">
        <v>1479</v>
      </c>
      <c r="B85" s="15" t="s">
        <v>1427</v>
      </c>
      <c r="C85" s="15" t="s">
        <v>629</v>
      </c>
      <c r="D85" s="15" t="s">
        <v>628</v>
      </c>
      <c r="E85" s="15" t="s">
        <v>627</v>
      </c>
      <c r="F85" s="15" t="s">
        <v>178</v>
      </c>
      <c r="G85" s="15" t="s">
        <v>1504</v>
      </c>
      <c r="H85" s="15" t="s">
        <v>71</v>
      </c>
    </row>
    <row r="86" customFormat="false" ht="15" hidden="false" customHeight="false" outlineLevel="0" collapsed="false">
      <c r="A86" s="15" t="s">
        <v>1479</v>
      </c>
      <c r="B86" s="15" t="s">
        <v>1427</v>
      </c>
      <c r="C86" s="15" t="s">
        <v>593</v>
      </c>
      <c r="D86" s="15" t="s">
        <v>592</v>
      </c>
      <c r="E86" s="15" t="s">
        <v>591</v>
      </c>
      <c r="F86" s="15" t="s">
        <v>177</v>
      </c>
      <c r="G86" s="15" t="s">
        <v>1504</v>
      </c>
      <c r="H86" s="15" t="s">
        <v>71</v>
      </c>
    </row>
    <row r="87" customFormat="false" ht="15" hidden="false" customHeight="false" outlineLevel="0" collapsed="false">
      <c r="A87" s="15" t="s">
        <v>1479</v>
      </c>
      <c r="B87" s="15" t="s">
        <v>1427</v>
      </c>
      <c r="C87" s="15" t="s">
        <v>603</v>
      </c>
      <c r="D87" s="15" t="s">
        <v>602</v>
      </c>
      <c r="E87" s="15" t="s">
        <v>601</v>
      </c>
      <c r="F87" s="15" t="s">
        <v>177</v>
      </c>
      <c r="G87" s="15" t="s">
        <v>1446</v>
      </c>
      <c r="H87" s="15" t="s">
        <v>71</v>
      </c>
    </row>
    <row r="88" customFormat="false" ht="15" hidden="false" customHeight="false" outlineLevel="0" collapsed="false">
      <c r="A88" s="15" t="s">
        <v>1479</v>
      </c>
      <c r="B88" s="15" t="s">
        <v>1427</v>
      </c>
      <c r="C88" s="15" t="s">
        <v>572</v>
      </c>
      <c r="D88" s="15" t="s">
        <v>571</v>
      </c>
      <c r="E88" s="15" t="s">
        <v>570</v>
      </c>
      <c r="F88" s="15" t="s">
        <v>177</v>
      </c>
      <c r="G88" s="15" t="s">
        <v>1504</v>
      </c>
      <c r="H88" s="15" t="s">
        <v>71</v>
      </c>
    </row>
    <row r="89" customFormat="false" ht="15" hidden="false" customHeight="false" outlineLevel="0" collapsed="false">
      <c r="A89" s="15" t="s">
        <v>1479</v>
      </c>
      <c r="B89" s="15" t="s">
        <v>1427</v>
      </c>
      <c r="C89" s="15" t="s">
        <v>562</v>
      </c>
      <c r="D89" s="15" t="s">
        <v>561</v>
      </c>
      <c r="E89" s="15" t="s">
        <v>327</v>
      </c>
      <c r="F89" s="15" t="s">
        <v>176</v>
      </c>
      <c r="G89" s="15" t="s">
        <v>1503</v>
      </c>
      <c r="H89" s="15" t="s">
        <v>71</v>
      </c>
    </row>
    <row r="90" customFormat="false" ht="15" hidden="false" customHeight="false" outlineLevel="0" collapsed="false">
      <c r="A90" s="15" t="s">
        <v>1479</v>
      </c>
      <c r="B90" s="15" t="s">
        <v>1427</v>
      </c>
      <c r="C90" s="15" t="s">
        <v>635</v>
      </c>
      <c r="D90" s="15" t="s">
        <v>634</v>
      </c>
      <c r="E90" s="15" t="s">
        <v>633</v>
      </c>
      <c r="F90" s="15" t="s">
        <v>178</v>
      </c>
      <c r="G90" s="15" t="s">
        <v>1504</v>
      </c>
      <c r="H90" s="15" t="s">
        <v>71</v>
      </c>
    </row>
    <row r="91" customFormat="false" ht="15" hidden="false" customHeight="false" outlineLevel="0" collapsed="false">
      <c r="A91" s="15" t="s">
        <v>1479</v>
      </c>
      <c r="B91" s="15" t="s">
        <v>1427</v>
      </c>
      <c r="C91" s="15" t="s">
        <v>565</v>
      </c>
      <c r="D91" s="15" t="s">
        <v>564</v>
      </c>
      <c r="E91" s="15" t="s">
        <v>494</v>
      </c>
      <c r="F91" s="15" t="s">
        <v>176</v>
      </c>
      <c r="G91" s="15" t="s">
        <v>1503</v>
      </c>
      <c r="H91" s="15" t="s">
        <v>71</v>
      </c>
    </row>
    <row r="92" customFormat="false" ht="15" hidden="false" customHeight="false" outlineLevel="0" collapsed="false">
      <c r="A92" s="15" t="s">
        <v>1479</v>
      </c>
      <c r="B92" s="15" t="s">
        <v>1427</v>
      </c>
      <c r="C92" s="15" t="s">
        <v>632</v>
      </c>
      <c r="D92" s="15" t="s">
        <v>631</v>
      </c>
      <c r="E92" s="15" t="s">
        <v>630</v>
      </c>
      <c r="F92" s="15" t="s">
        <v>178</v>
      </c>
      <c r="G92" s="15" t="s">
        <v>1504</v>
      </c>
      <c r="H92" s="15" t="s">
        <v>71</v>
      </c>
    </row>
    <row r="93" customFormat="false" ht="15" hidden="false" customHeight="false" outlineLevel="0" collapsed="false">
      <c r="A93" s="15" t="s">
        <v>1479</v>
      </c>
      <c r="B93" s="15" t="s">
        <v>1427</v>
      </c>
      <c r="C93" s="15" t="s">
        <v>609</v>
      </c>
      <c r="D93" s="15" t="s">
        <v>608</v>
      </c>
      <c r="E93" s="15" t="s">
        <v>607</v>
      </c>
      <c r="F93" s="15" t="s">
        <v>177</v>
      </c>
      <c r="G93" s="15" t="s">
        <v>1504</v>
      </c>
      <c r="H93" s="15" t="s">
        <v>71</v>
      </c>
    </row>
    <row r="94" customFormat="false" ht="15" hidden="false" customHeight="false" outlineLevel="0" collapsed="false">
      <c r="A94" s="15" t="s">
        <v>1479</v>
      </c>
      <c r="B94" s="15" t="s">
        <v>1427</v>
      </c>
      <c r="C94" s="15" t="s">
        <v>612</v>
      </c>
      <c r="D94" s="15" t="s">
        <v>611</v>
      </c>
      <c r="E94" s="15" t="s">
        <v>610</v>
      </c>
      <c r="F94" s="15" t="s">
        <v>177</v>
      </c>
      <c r="G94" s="15" t="s">
        <v>1504</v>
      </c>
      <c r="H94" s="15" t="s">
        <v>71</v>
      </c>
    </row>
    <row r="95" customFormat="false" ht="15" hidden="false" customHeight="false" outlineLevel="0" collapsed="false">
      <c r="A95" s="15" t="s">
        <v>1479</v>
      </c>
      <c r="B95" s="15" t="s">
        <v>1427</v>
      </c>
      <c r="C95" s="15" t="s">
        <v>615</v>
      </c>
      <c r="D95" s="15" t="s">
        <v>614</v>
      </c>
      <c r="E95" s="15" t="s">
        <v>613</v>
      </c>
      <c r="F95" s="15" t="s">
        <v>178</v>
      </c>
      <c r="G95" s="15" t="s">
        <v>1504</v>
      </c>
      <c r="H95" s="15" t="s">
        <v>71</v>
      </c>
    </row>
    <row r="96" customFormat="false" ht="15" hidden="false" customHeight="false" outlineLevel="0" collapsed="false">
      <c r="A96" s="15" t="s">
        <v>1479</v>
      </c>
      <c r="B96" s="15" t="s">
        <v>1427</v>
      </c>
      <c r="C96" s="15" t="s">
        <v>580</v>
      </c>
      <c r="D96" s="15" t="s">
        <v>579</v>
      </c>
      <c r="E96" s="15" t="s">
        <v>578</v>
      </c>
      <c r="F96" s="15" t="s">
        <v>177</v>
      </c>
      <c r="G96" s="15" t="s">
        <v>1504</v>
      </c>
      <c r="H96" s="15" t="s">
        <v>71</v>
      </c>
    </row>
    <row r="97" customFormat="false" ht="15" hidden="false" customHeight="false" outlineLevel="0" collapsed="false">
      <c r="A97" s="15" t="s">
        <v>1479</v>
      </c>
      <c r="B97" s="15" t="s">
        <v>1427</v>
      </c>
      <c r="C97" s="15" t="s">
        <v>641</v>
      </c>
      <c r="D97" s="15" t="s">
        <v>640</v>
      </c>
      <c r="E97" s="15" t="s">
        <v>639</v>
      </c>
      <c r="F97" s="15"/>
      <c r="G97" s="15" t="s">
        <v>1504</v>
      </c>
      <c r="H97" s="15" t="s">
        <v>71</v>
      </c>
    </row>
    <row r="98" customFormat="false" ht="15" hidden="false" customHeight="false" outlineLevel="0" collapsed="false">
      <c r="A98" s="15" t="s">
        <v>1479</v>
      </c>
      <c r="B98" s="15" t="s">
        <v>1427</v>
      </c>
      <c r="C98" s="15" t="s">
        <v>586</v>
      </c>
      <c r="D98" s="15" t="s">
        <v>585</v>
      </c>
      <c r="E98" s="15" t="s">
        <v>584</v>
      </c>
      <c r="F98" s="15" t="s">
        <v>177</v>
      </c>
      <c r="G98" s="15" t="s">
        <v>1504</v>
      </c>
      <c r="H98" s="15" t="s">
        <v>71</v>
      </c>
    </row>
    <row r="99" customFormat="false" ht="15" hidden="false" customHeight="false" outlineLevel="0" collapsed="false">
      <c r="A99" s="15" t="s">
        <v>1479</v>
      </c>
      <c r="B99" s="15" t="s">
        <v>1427</v>
      </c>
      <c r="C99" s="15" t="s">
        <v>597</v>
      </c>
      <c r="D99" s="15" t="s">
        <v>596</v>
      </c>
      <c r="E99" s="15" t="s">
        <v>595</v>
      </c>
      <c r="F99" s="15" t="s">
        <v>177</v>
      </c>
      <c r="G99" s="15" t="s">
        <v>1504</v>
      </c>
      <c r="H99" s="15" t="s">
        <v>71</v>
      </c>
    </row>
    <row r="100" customFormat="false" ht="15" hidden="false" customHeight="false" outlineLevel="0" collapsed="false">
      <c r="A100" s="15" t="s">
        <v>1479</v>
      </c>
      <c r="B100" s="15" t="s">
        <v>1427</v>
      </c>
      <c r="C100" s="15" t="s">
        <v>650</v>
      </c>
      <c r="D100" s="15" t="s">
        <v>649</v>
      </c>
      <c r="E100" s="15" t="s">
        <v>595</v>
      </c>
      <c r="F100" s="15" t="s">
        <v>178</v>
      </c>
      <c r="G100" s="15" t="s">
        <v>1442</v>
      </c>
      <c r="H100" s="15" t="s">
        <v>71</v>
      </c>
    </row>
    <row r="101" customFormat="false" ht="15" hidden="false" customHeight="false" outlineLevel="0" collapsed="false">
      <c r="A101" s="15" t="s">
        <v>1479</v>
      </c>
      <c r="B101" s="15" t="s">
        <v>1427</v>
      </c>
      <c r="C101" s="15" t="s">
        <v>653</v>
      </c>
      <c r="D101" s="15" t="s">
        <v>652</v>
      </c>
      <c r="E101" s="15" t="s">
        <v>595</v>
      </c>
      <c r="F101" s="15" t="s">
        <v>178</v>
      </c>
      <c r="G101" s="15" t="s">
        <v>1442</v>
      </c>
      <c r="H101" s="15" t="s">
        <v>71</v>
      </c>
    </row>
    <row r="102" customFormat="false" ht="15" hidden="false" customHeight="false" outlineLevel="0" collapsed="false">
      <c r="A102" s="15" t="s">
        <v>1505</v>
      </c>
      <c r="B102" s="15" t="s">
        <v>1427</v>
      </c>
      <c r="C102" s="15" t="s">
        <v>526</v>
      </c>
      <c r="D102" s="15" t="s">
        <v>525</v>
      </c>
      <c r="E102" s="15"/>
      <c r="F102" s="15" t="s">
        <v>177</v>
      </c>
      <c r="G102" s="15" t="s">
        <v>1444</v>
      </c>
      <c r="H102" s="15" t="s">
        <v>37</v>
      </c>
    </row>
    <row r="103" customFormat="false" ht="15" hidden="false" customHeight="false" outlineLevel="0" collapsed="false">
      <c r="A103" s="15" t="s">
        <v>1505</v>
      </c>
      <c r="B103" s="15" t="s">
        <v>1427</v>
      </c>
      <c r="C103" s="15" t="s">
        <v>537</v>
      </c>
      <c r="D103" s="15" t="s">
        <v>536</v>
      </c>
      <c r="E103" s="15"/>
      <c r="F103" s="15"/>
      <c r="G103" s="15" t="s">
        <v>68</v>
      </c>
      <c r="H103" s="15" t="s">
        <v>37</v>
      </c>
    </row>
    <row r="104" customFormat="false" ht="15" hidden="false" customHeight="false" outlineLevel="0" collapsed="false">
      <c r="A104" s="15" t="s">
        <v>1505</v>
      </c>
      <c r="B104" s="15" t="s">
        <v>1427</v>
      </c>
      <c r="C104" s="15" t="s">
        <v>547</v>
      </c>
      <c r="D104" s="15" t="s">
        <v>546</v>
      </c>
      <c r="E104" s="15"/>
      <c r="F104" s="15"/>
      <c r="G104" s="15" t="s">
        <v>68</v>
      </c>
      <c r="H104" s="15" t="s">
        <v>37</v>
      </c>
    </row>
    <row r="105" customFormat="false" ht="15" hidden="false" customHeight="false" outlineLevel="0" collapsed="false">
      <c r="A105" s="15" t="s">
        <v>1505</v>
      </c>
      <c r="B105" s="15" t="s">
        <v>1427</v>
      </c>
      <c r="C105" s="15" t="s">
        <v>424</v>
      </c>
      <c r="D105" s="15" t="s">
        <v>423</v>
      </c>
      <c r="E105" s="15" t="s">
        <v>422</v>
      </c>
      <c r="F105" s="15" t="s">
        <v>178</v>
      </c>
      <c r="G105" s="15" t="s">
        <v>1506</v>
      </c>
      <c r="H105" s="15" t="s">
        <v>37</v>
      </c>
    </row>
    <row r="106" customFormat="false" ht="15" hidden="false" customHeight="false" outlineLevel="0" collapsed="false">
      <c r="A106" s="15" t="s">
        <v>1505</v>
      </c>
      <c r="B106" s="15" t="s">
        <v>1427</v>
      </c>
      <c r="C106" s="15" t="s">
        <v>417</v>
      </c>
      <c r="D106" s="15" t="s">
        <v>416</v>
      </c>
      <c r="E106" s="15" t="s">
        <v>415</v>
      </c>
      <c r="F106" s="15" t="s">
        <v>178</v>
      </c>
      <c r="G106" s="15" t="s">
        <v>1506</v>
      </c>
      <c r="H106" s="15" t="s">
        <v>37</v>
      </c>
    </row>
    <row r="107" customFormat="false" ht="15" hidden="false" customHeight="false" outlineLevel="0" collapsed="false">
      <c r="A107" s="15" t="s">
        <v>1505</v>
      </c>
      <c r="B107" s="15" t="s">
        <v>1427</v>
      </c>
      <c r="C107" s="15" t="s">
        <v>481</v>
      </c>
      <c r="D107" s="15" t="s">
        <v>480</v>
      </c>
      <c r="E107" s="15" t="s">
        <v>479</v>
      </c>
      <c r="F107" s="15"/>
      <c r="G107" s="15" t="s">
        <v>38</v>
      </c>
      <c r="H107" s="15" t="s">
        <v>37</v>
      </c>
    </row>
    <row r="108" customFormat="false" ht="15" hidden="false" customHeight="false" outlineLevel="0" collapsed="false">
      <c r="A108" s="15" t="s">
        <v>1505</v>
      </c>
      <c r="B108" s="15" t="s">
        <v>1427</v>
      </c>
      <c r="C108" s="15" t="s">
        <v>529</v>
      </c>
      <c r="D108" s="15" t="s">
        <v>528</v>
      </c>
      <c r="E108" s="15" t="s">
        <v>354</v>
      </c>
      <c r="F108" s="15" t="s">
        <v>177</v>
      </c>
      <c r="G108" s="15" t="s">
        <v>1444</v>
      </c>
      <c r="H108" s="15" t="s">
        <v>37</v>
      </c>
    </row>
    <row r="109" customFormat="false" ht="15" hidden="false" customHeight="false" outlineLevel="0" collapsed="false">
      <c r="A109" s="15" t="s">
        <v>1505</v>
      </c>
      <c r="B109" s="15" t="s">
        <v>1427</v>
      </c>
      <c r="C109" s="15" t="s">
        <v>540</v>
      </c>
      <c r="D109" s="15" t="s">
        <v>539</v>
      </c>
      <c r="E109" s="15" t="s">
        <v>362</v>
      </c>
      <c r="F109" s="15"/>
      <c r="G109" s="15" t="s">
        <v>68</v>
      </c>
      <c r="H109" s="15" t="s">
        <v>37</v>
      </c>
    </row>
    <row r="110" customFormat="false" ht="15" hidden="false" customHeight="false" outlineLevel="0" collapsed="false">
      <c r="A110" s="15" t="s">
        <v>1505</v>
      </c>
      <c r="B110" s="15" t="s">
        <v>1427</v>
      </c>
      <c r="C110" s="15" t="s">
        <v>458</v>
      </c>
      <c r="D110" s="15" t="s">
        <v>457</v>
      </c>
      <c r="E110" s="15" t="s">
        <v>389</v>
      </c>
      <c r="F110" s="15" t="s">
        <v>178</v>
      </c>
      <c r="G110" s="15" t="s">
        <v>1506</v>
      </c>
      <c r="H110" s="15" t="s">
        <v>37</v>
      </c>
    </row>
    <row r="111" customFormat="false" ht="15" hidden="false" customHeight="false" outlineLevel="0" collapsed="false">
      <c r="A111" s="15" t="s">
        <v>1505</v>
      </c>
      <c r="B111" s="15" t="s">
        <v>1427</v>
      </c>
      <c r="C111" s="15" t="s">
        <v>443</v>
      </c>
      <c r="D111" s="15" t="s">
        <v>442</v>
      </c>
      <c r="E111" s="15" t="s">
        <v>441</v>
      </c>
      <c r="F111" s="15" t="s">
        <v>178</v>
      </c>
      <c r="G111" s="15" t="s">
        <v>1506</v>
      </c>
      <c r="H111" s="15" t="s">
        <v>37</v>
      </c>
    </row>
    <row r="112" customFormat="false" ht="15" hidden="false" customHeight="false" outlineLevel="0" collapsed="false">
      <c r="A112" s="15" t="s">
        <v>1505</v>
      </c>
      <c r="B112" s="15" t="s">
        <v>1427</v>
      </c>
      <c r="C112" s="15" t="s">
        <v>506</v>
      </c>
      <c r="D112" s="15" t="s">
        <v>505</v>
      </c>
      <c r="E112" s="15" t="s">
        <v>504</v>
      </c>
      <c r="F112" s="15"/>
      <c r="G112" s="15" t="s">
        <v>38</v>
      </c>
      <c r="H112" s="15" t="s">
        <v>37</v>
      </c>
    </row>
    <row r="113" customFormat="false" ht="15" hidden="false" customHeight="false" outlineLevel="0" collapsed="false">
      <c r="A113" s="15" t="s">
        <v>1505</v>
      </c>
      <c r="B113" s="15" t="s">
        <v>1427</v>
      </c>
      <c r="C113" s="15" t="s">
        <v>485</v>
      </c>
      <c r="D113" s="15" t="s">
        <v>484</v>
      </c>
      <c r="E113" s="15" t="s">
        <v>483</v>
      </c>
      <c r="F113" s="15"/>
      <c r="G113" s="15" t="s">
        <v>38</v>
      </c>
      <c r="H113" s="15" t="s">
        <v>37</v>
      </c>
    </row>
    <row r="114" customFormat="false" ht="15" hidden="false" customHeight="false" outlineLevel="0" collapsed="false">
      <c r="A114" s="15" t="s">
        <v>1505</v>
      </c>
      <c r="B114" s="15" t="s">
        <v>1427</v>
      </c>
      <c r="C114" s="15" t="s">
        <v>420</v>
      </c>
      <c r="D114" s="15" t="s">
        <v>419</v>
      </c>
      <c r="E114" s="15" t="s">
        <v>418</v>
      </c>
      <c r="F114" s="15" t="s">
        <v>178</v>
      </c>
      <c r="G114" s="15" t="s">
        <v>1506</v>
      </c>
      <c r="H114" s="15" t="s">
        <v>37</v>
      </c>
    </row>
    <row r="115" customFormat="false" ht="15" hidden="false" customHeight="false" outlineLevel="0" collapsed="false">
      <c r="A115" s="15" t="s">
        <v>1505</v>
      </c>
      <c r="B115" s="15" t="s">
        <v>1427</v>
      </c>
      <c r="C115" s="15" t="s">
        <v>492</v>
      </c>
      <c r="D115" s="15" t="s">
        <v>491</v>
      </c>
      <c r="E115" s="15" t="s">
        <v>490</v>
      </c>
      <c r="F115" s="15"/>
      <c r="G115" s="15" t="s">
        <v>38</v>
      </c>
      <c r="H115" s="15" t="s">
        <v>37</v>
      </c>
    </row>
    <row r="116" customFormat="false" ht="15" hidden="false" customHeight="false" outlineLevel="0" collapsed="false">
      <c r="A116" s="15" t="s">
        <v>1505</v>
      </c>
      <c r="B116" s="15" t="s">
        <v>1427</v>
      </c>
      <c r="C116" s="15" t="s">
        <v>534</v>
      </c>
      <c r="D116" s="15" t="s">
        <v>533</v>
      </c>
      <c r="E116" s="15" t="s">
        <v>532</v>
      </c>
      <c r="F116" s="15" t="s">
        <v>177</v>
      </c>
      <c r="G116" s="15" t="s">
        <v>1444</v>
      </c>
      <c r="H116" s="15" t="s">
        <v>37</v>
      </c>
    </row>
    <row r="117" customFormat="false" ht="15" hidden="false" customHeight="false" outlineLevel="0" collapsed="false">
      <c r="A117" s="15" t="s">
        <v>1505</v>
      </c>
      <c r="B117" s="15" t="s">
        <v>1427</v>
      </c>
      <c r="C117" s="15" t="s">
        <v>428</v>
      </c>
      <c r="D117" s="15" t="s">
        <v>427</v>
      </c>
      <c r="E117" s="15" t="s">
        <v>426</v>
      </c>
      <c r="F117" s="15" t="s">
        <v>178</v>
      </c>
      <c r="G117" s="15" t="s">
        <v>1506</v>
      </c>
      <c r="H117" s="15" t="s">
        <v>37</v>
      </c>
    </row>
    <row r="118" customFormat="false" ht="15" hidden="false" customHeight="false" outlineLevel="0" collapsed="false">
      <c r="A118" s="15" t="s">
        <v>1505</v>
      </c>
      <c r="B118" s="15" t="s">
        <v>1427</v>
      </c>
      <c r="C118" s="15" t="s">
        <v>477</v>
      </c>
      <c r="D118" s="15" t="s">
        <v>476</v>
      </c>
      <c r="E118" s="15" t="s">
        <v>475</v>
      </c>
      <c r="F118" s="15"/>
      <c r="G118" s="15" t="s">
        <v>38</v>
      </c>
      <c r="H118" s="15" t="s">
        <v>37</v>
      </c>
    </row>
    <row r="119" customFormat="false" ht="15" hidden="false" customHeight="false" outlineLevel="0" collapsed="false">
      <c r="A119" s="15" t="s">
        <v>1505</v>
      </c>
      <c r="B119" s="15" t="s">
        <v>1427</v>
      </c>
      <c r="C119" s="15" t="s">
        <v>432</v>
      </c>
      <c r="D119" s="15" t="s">
        <v>431</v>
      </c>
      <c r="E119" s="15" t="s">
        <v>430</v>
      </c>
      <c r="F119" s="15" t="s">
        <v>178</v>
      </c>
      <c r="G119" s="15" t="s">
        <v>1506</v>
      </c>
      <c r="H119" s="15" t="s">
        <v>37</v>
      </c>
    </row>
    <row r="120" customFormat="false" ht="15" hidden="false" customHeight="false" outlineLevel="0" collapsed="false">
      <c r="A120" s="15" t="s">
        <v>1505</v>
      </c>
      <c r="B120" s="15" t="s">
        <v>1427</v>
      </c>
      <c r="C120" s="15" t="s">
        <v>551</v>
      </c>
      <c r="D120" s="15" t="s">
        <v>550</v>
      </c>
      <c r="E120" s="15" t="s">
        <v>549</v>
      </c>
      <c r="F120" s="15"/>
      <c r="G120" s="15" t="s">
        <v>1439</v>
      </c>
      <c r="H120" s="15" t="s">
        <v>37</v>
      </c>
    </row>
    <row r="121" customFormat="false" ht="15" hidden="false" customHeight="false" outlineLevel="0" collapsed="false">
      <c r="A121" s="15" t="s">
        <v>1505</v>
      </c>
      <c r="B121" s="15" t="s">
        <v>1427</v>
      </c>
      <c r="C121" s="15" t="s">
        <v>514</v>
      </c>
      <c r="D121" s="15" t="s">
        <v>513</v>
      </c>
      <c r="E121" s="15" t="s">
        <v>376</v>
      </c>
      <c r="F121" s="15" t="s">
        <v>176</v>
      </c>
      <c r="G121" s="15" t="s">
        <v>65</v>
      </c>
      <c r="H121" s="15" t="s">
        <v>37</v>
      </c>
    </row>
    <row r="122" customFormat="false" ht="15" hidden="false" customHeight="false" outlineLevel="0" collapsed="false">
      <c r="A122" s="15" t="s">
        <v>1505</v>
      </c>
      <c r="B122" s="15" t="s">
        <v>1427</v>
      </c>
      <c r="C122" s="15" t="s">
        <v>436</v>
      </c>
      <c r="D122" s="15" t="s">
        <v>435</v>
      </c>
      <c r="E122" s="15" t="s">
        <v>434</v>
      </c>
      <c r="F122" s="15" t="s">
        <v>178</v>
      </c>
      <c r="G122" s="15" t="s">
        <v>1506</v>
      </c>
      <c r="H122" s="15" t="s">
        <v>37</v>
      </c>
    </row>
    <row r="123" customFormat="false" ht="15" hidden="false" customHeight="false" outlineLevel="0" collapsed="false">
      <c r="A123" s="15" t="s">
        <v>1505</v>
      </c>
      <c r="B123" s="15" t="s">
        <v>1427</v>
      </c>
      <c r="C123" s="15" t="s">
        <v>447</v>
      </c>
      <c r="D123" s="15" t="s">
        <v>446</v>
      </c>
      <c r="E123" s="15" t="s">
        <v>445</v>
      </c>
      <c r="F123" s="15" t="s">
        <v>178</v>
      </c>
      <c r="G123" s="15" t="s">
        <v>1506</v>
      </c>
      <c r="H123" s="15" t="s">
        <v>37</v>
      </c>
    </row>
    <row r="124" customFormat="false" ht="15" hidden="false" customHeight="false" outlineLevel="0" collapsed="false">
      <c r="A124" s="15" t="s">
        <v>1505</v>
      </c>
      <c r="B124" s="15" t="s">
        <v>1427</v>
      </c>
      <c r="C124" s="15" t="s">
        <v>500</v>
      </c>
      <c r="D124" s="15" t="s">
        <v>499</v>
      </c>
      <c r="E124" s="15" t="s">
        <v>498</v>
      </c>
      <c r="F124" s="15"/>
      <c r="G124" s="15" t="s">
        <v>38</v>
      </c>
      <c r="H124" s="15" t="s">
        <v>37</v>
      </c>
    </row>
    <row r="125" customFormat="false" ht="15" hidden="false" customHeight="false" outlineLevel="0" collapsed="false">
      <c r="A125" s="15" t="s">
        <v>1505</v>
      </c>
      <c r="B125" s="15" t="s">
        <v>1427</v>
      </c>
      <c r="C125" s="15" t="s">
        <v>451</v>
      </c>
      <c r="D125" s="15" t="s">
        <v>450</v>
      </c>
      <c r="E125" s="15" t="s">
        <v>449</v>
      </c>
      <c r="F125" s="15" t="s">
        <v>178</v>
      </c>
      <c r="G125" s="15" t="s">
        <v>1507</v>
      </c>
      <c r="H125" s="15" t="s">
        <v>37</v>
      </c>
    </row>
    <row r="126" customFormat="false" ht="15" hidden="false" customHeight="false" outlineLevel="0" collapsed="false">
      <c r="A126" s="15" t="s">
        <v>1505</v>
      </c>
      <c r="B126" s="15" t="s">
        <v>1427</v>
      </c>
      <c r="C126" s="15" t="s">
        <v>454</v>
      </c>
      <c r="D126" s="15" t="s">
        <v>453</v>
      </c>
      <c r="E126" s="15" t="s">
        <v>452</v>
      </c>
      <c r="F126" s="15" t="s">
        <v>178</v>
      </c>
      <c r="G126" s="15" t="s">
        <v>1506</v>
      </c>
      <c r="H126" s="15" t="s">
        <v>37</v>
      </c>
    </row>
    <row r="127" customFormat="false" ht="15" hidden="false" customHeight="false" outlineLevel="0" collapsed="false">
      <c r="A127" s="15" t="s">
        <v>1505</v>
      </c>
      <c r="B127" s="15" t="s">
        <v>1427</v>
      </c>
      <c r="C127" s="15" t="s">
        <v>461</v>
      </c>
      <c r="D127" s="15" t="s">
        <v>460</v>
      </c>
      <c r="E127" s="15" t="s">
        <v>459</v>
      </c>
      <c r="F127" s="15" t="s">
        <v>178</v>
      </c>
      <c r="G127" s="15" t="s">
        <v>1506</v>
      </c>
      <c r="H127" s="15" t="s">
        <v>37</v>
      </c>
    </row>
    <row r="128" customFormat="false" ht="15" hidden="false" customHeight="false" outlineLevel="0" collapsed="false">
      <c r="A128" s="15" t="s">
        <v>1505</v>
      </c>
      <c r="B128" s="15" t="s">
        <v>1427</v>
      </c>
      <c r="C128" s="15" t="s">
        <v>496</v>
      </c>
      <c r="D128" s="15" t="s">
        <v>495</v>
      </c>
      <c r="E128" s="15" t="s">
        <v>494</v>
      </c>
      <c r="F128" s="15"/>
      <c r="G128" s="15" t="s">
        <v>38</v>
      </c>
      <c r="H128" s="15" t="s">
        <v>37</v>
      </c>
    </row>
    <row r="129" customFormat="false" ht="15" hidden="false" customHeight="false" outlineLevel="0" collapsed="false">
      <c r="A129" s="15" t="s">
        <v>1505</v>
      </c>
      <c r="B129" s="15" t="s">
        <v>1427</v>
      </c>
      <c r="C129" s="15" t="s">
        <v>510</v>
      </c>
      <c r="D129" s="15" t="s">
        <v>509</v>
      </c>
      <c r="E129" s="15" t="s">
        <v>508</v>
      </c>
      <c r="F129" s="15"/>
      <c r="G129" s="15" t="s">
        <v>38</v>
      </c>
      <c r="H129" s="15" t="s">
        <v>37</v>
      </c>
    </row>
    <row r="130" customFormat="false" ht="15" hidden="false" customHeight="false" outlineLevel="0" collapsed="false">
      <c r="A130" s="15" t="s">
        <v>1505</v>
      </c>
      <c r="B130" s="15" t="s">
        <v>1427</v>
      </c>
      <c r="C130" s="15" t="s">
        <v>518</v>
      </c>
      <c r="D130" s="15" t="s">
        <v>517</v>
      </c>
      <c r="E130" s="15" t="s">
        <v>516</v>
      </c>
      <c r="F130" s="15" t="s">
        <v>176</v>
      </c>
      <c r="G130" s="15" t="s">
        <v>1444</v>
      </c>
      <c r="H130" s="15" t="s">
        <v>37</v>
      </c>
    </row>
    <row r="131" customFormat="false" ht="15" hidden="false" customHeight="false" outlineLevel="0" collapsed="false">
      <c r="A131" s="15" t="s">
        <v>1505</v>
      </c>
      <c r="B131" s="15" t="s">
        <v>1427</v>
      </c>
      <c r="C131" s="15" t="s">
        <v>439</v>
      </c>
      <c r="D131" s="15" t="s">
        <v>439</v>
      </c>
      <c r="E131" s="15" t="s">
        <v>438</v>
      </c>
      <c r="F131" s="15" t="s">
        <v>178</v>
      </c>
      <c r="G131" s="15" t="s">
        <v>1506</v>
      </c>
      <c r="H131" s="15" t="s">
        <v>37</v>
      </c>
    </row>
    <row r="132" customFormat="false" ht="15" hidden="false" customHeight="false" outlineLevel="0" collapsed="false">
      <c r="A132" s="15" t="s">
        <v>1505</v>
      </c>
      <c r="B132" s="15" t="s">
        <v>1427</v>
      </c>
      <c r="C132" s="15" t="s">
        <v>455</v>
      </c>
      <c r="D132" s="15" t="s">
        <v>455</v>
      </c>
      <c r="E132" s="15" t="s">
        <v>438</v>
      </c>
      <c r="F132" s="15" t="s">
        <v>178</v>
      </c>
      <c r="G132" s="15" t="s">
        <v>1506</v>
      </c>
      <c r="H132" s="15" t="s">
        <v>37</v>
      </c>
    </row>
    <row r="133" customFormat="false" ht="15" hidden="false" customHeight="false" outlineLevel="0" collapsed="false">
      <c r="A133" s="15" t="s">
        <v>1505</v>
      </c>
      <c r="B133" s="15" t="s">
        <v>1427</v>
      </c>
      <c r="C133" s="15" t="s">
        <v>556</v>
      </c>
      <c r="D133" s="15" t="s">
        <v>555</v>
      </c>
      <c r="E133" s="15" t="s">
        <v>554</v>
      </c>
      <c r="F133" s="15"/>
      <c r="G133" s="15" t="s">
        <v>68</v>
      </c>
      <c r="H133" s="15" t="s">
        <v>37</v>
      </c>
    </row>
    <row r="134" customFormat="false" ht="15" hidden="false" customHeight="false" outlineLevel="0" collapsed="false">
      <c r="A134" s="15" t="s">
        <v>1505</v>
      </c>
      <c r="B134" s="15" t="s">
        <v>1427</v>
      </c>
      <c r="C134" s="15" t="s">
        <v>463</v>
      </c>
      <c r="D134" s="15" t="s">
        <v>463</v>
      </c>
      <c r="E134" s="15" t="s">
        <v>399</v>
      </c>
      <c r="F134" s="15" t="s">
        <v>178</v>
      </c>
      <c r="G134" s="15" t="s">
        <v>1506</v>
      </c>
      <c r="H134" s="15" t="s">
        <v>37</v>
      </c>
    </row>
    <row r="135" customFormat="false" ht="15" hidden="false" customHeight="false" outlineLevel="0" collapsed="false">
      <c r="A135" s="15" t="s">
        <v>1505</v>
      </c>
      <c r="B135" s="15" t="s">
        <v>1427</v>
      </c>
      <c r="C135" s="15" t="s">
        <v>467</v>
      </c>
      <c r="D135" s="15" t="s">
        <v>467</v>
      </c>
      <c r="E135" s="15" t="s">
        <v>399</v>
      </c>
      <c r="F135" s="15" t="s">
        <v>178</v>
      </c>
      <c r="G135" s="15" t="s">
        <v>1508</v>
      </c>
      <c r="H135" s="15" t="s">
        <v>37</v>
      </c>
    </row>
    <row r="136" customFormat="false" ht="15" hidden="false" customHeight="false" outlineLevel="0" collapsed="false">
      <c r="A136" s="15" t="s">
        <v>1505</v>
      </c>
      <c r="B136" s="15" t="s">
        <v>1427</v>
      </c>
      <c r="C136" s="15" t="s">
        <v>470</v>
      </c>
      <c r="D136" s="15" t="s">
        <v>469</v>
      </c>
      <c r="E136" s="15" t="s">
        <v>399</v>
      </c>
      <c r="F136" s="15" t="s">
        <v>178</v>
      </c>
      <c r="G136" s="15" t="s">
        <v>1506</v>
      </c>
      <c r="H136" s="15" t="s">
        <v>37</v>
      </c>
    </row>
    <row r="137" customFormat="false" ht="15" hidden="false" customHeight="false" outlineLevel="0" collapsed="false">
      <c r="A137" s="15" t="s">
        <v>1505</v>
      </c>
      <c r="B137" s="15" t="s">
        <v>1427</v>
      </c>
      <c r="C137" s="15" t="s">
        <v>473</v>
      </c>
      <c r="D137" s="15" t="s">
        <v>472</v>
      </c>
      <c r="E137" s="15" t="s">
        <v>471</v>
      </c>
      <c r="F137" s="15" t="s">
        <v>178</v>
      </c>
      <c r="G137" s="15" t="s">
        <v>1506</v>
      </c>
      <c r="H137" s="15" t="s">
        <v>37</v>
      </c>
    </row>
    <row r="138" customFormat="false" ht="15" hidden="false" customHeight="false" outlineLevel="0" collapsed="false">
      <c r="A138" s="15" t="s">
        <v>1505</v>
      </c>
      <c r="B138" s="15" t="s">
        <v>1427</v>
      </c>
      <c r="C138" s="15" t="s">
        <v>544</v>
      </c>
      <c r="D138" s="15" t="s">
        <v>543</v>
      </c>
      <c r="E138" s="15" t="s">
        <v>542</v>
      </c>
      <c r="F138" s="15"/>
      <c r="G138" s="15" t="s">
        <v>1439</v>
      </c>
      <c r="H138" s="15" t="s">
        <v>37</v>
      </c>
    </row>
    <row r="139" customFormat="false" ht="15" hidden="false" customHeight="false" outlineLevel="0" collapsed="false">
      <c r="A139" s="15" t="s">
        <v>1505</v>
      </c>
      <c r="B139" s="15" t="s">
        <v>1427</v>
      </c>
      <c r="C139" s="15" t="s">
        <v>523</v>
      </c>
      <c r="D139" s="15" t="s">
        <v>522</v>
      </c>
      <c r="E139" s="15" t="s">
        <v>521</v>
      </c>
      <c r="F139" s="15" t="s">
        <v>177</v>
      </c>
      <c r="G139" s="15" t="s">
        <v>1444</v>
      </c>
      <c r="H139" s="15" t="s">
        <v>37</v>
      </c>
    </row>
    <row r="140" customFormat="false" ht="15" hidden="false" customHeight="false" outlineLevel="0" collapsed="false">
      <c r="A140" s="15" t="s">
        <v>1505</v>
      </c>
      <c r="B140" s="15" t="s">
        <v>1427</v>
      </c>
      <c r="C140" s="15" t="s">
        <v>908</v>
      </c>
      <c r="D140" s="15" t="s">
        <v>907</v>
      </c>
      <c r="E140" s="15" t="s">
        <v>906</v>
      </c>
      <c r="F140" s="15" t="s">
        <v>176</v>
      </c>
      <c r="G140" s="15" t="s">
        <v>1435</v>
      </c>
      <c r="H140" s="15" t="s">
        <v>110</v>
      </c>
    </row>
    <row r="141" customFormat="false" ht="15" hidden="false" customHeight="false" outlineLevel="0" collapsed="false">
      <c r="A141" s="15" t="s">
        <v>1505</v>
      </c>
      <c r="B141" s="15" t="s">
        <v>1427</v>
      </c>
      <c r="C141" s="15" t="s">
        <v>940</v>
      </c>
      <c r="D141" s="15" t="s">
        <v>939</v>
      </c>
      <c r="E141" s="15" t="s">
        <v>307</v>
      </c>
      <c r="F141" s="15" t="s">
        <v>177</v>
      </c>
      <c r="G141" s="15" t="s">
        <v>1435</v>
      </c>
      <c r="H141" s="15" t="s">
        <v>110</v>
      </c>
    </row>
    <row r="142" customFormat="false" ht="15" hidden="false" customHeight="false" outlineLevel="0" collapsed="false">
      <c r="A142" s="15" t="s">
        <v>1505</v>
      </c>
      <c r="B142" s="15" t="s">
        <v>1427</v>
      </c>
      <c r="C142" s="15" t="s">
        <v>977</v>
      </c>
      <c r="D142" s="15" t="s">
        <v>976</v>
      </c>
      <c r="E142" s="15" t="s">
        <v>307</v>
      </c>
      <c r="F142" s="15" t="s">
        <v>177</v>
      </c>
      <c r="G142" s="15" t="s">
        <v>134</v>
      </c>
      <c r="H142" s="15" t="s">
        <v>110</v>
      </c>
    </row>
    <row r="143" customFormat="false" ht="15" hidden="false" customHeight="false" outlineLevel="0" collapsed="false">
      <c r="A143" s="15" t="s">
        <v>1505</v>
      </c>
      <c r="B143" s="15" t="s">
        <v>1427</v>
      </c>
      <c r="C143" s="15" t="s">
        <v>1001</v>
      </c>
      <c r="D143" s="15" t="s">
        <v>1000</v>
      </c>
      <c r="E143" s="15" t="s">
        <v>307</v>
      </c>
      <c r="F143" s="15" t="s">
        <v>177</v>
      </c>
      <c r="G143" s="15" t="s">
        <v>134</v>
      </c>
      <c r="H143" s="15" t="s">
        <v>110</v>
      </c>
    </row>
    <row r="144" customFormat="false" ht="15" hidden="false" customHeight="false" outlineLevel="0" collapsed="false">
      <c r="A144" s="15" t="s">
        <v>1505</v>
      </c>
      <c r="B144" s="15" t="s">
        <v>1427</v>
      </c>
      <c r="C144" s="15" t="s">
        <v>1006</v>
      </c>
      <c r="D144" s="15" t="s">
        <v>1005</v>
      </c>
      <c r="E144" s="15" t="s">
        <v>307</v>
      </c>
      <c r="F144" s="15"/>
      <c r="G144" s="15" t="s">
        <v>134</v>
      </c>
      <c r="H144" s="15" t="s">
        <v>110</v>
      </c>
    </row>
    <row r="145" customFormat="false" ht="15" hidden="false" customHeight="false" outlineLevel="0" collapsed="false">
      <c r="A145" s="15" t="s">
        <v>1505</v>
      </c>
      <c r="B145" s="15" t="s">
        <v>1427</v>
      </c>
      <c r="C145" s="15" t="s">
        <v>1019</v>
      </c>
      <c r="D145" s="15" t="s">
        <v>1018</v>
      </c>
      <c r="E145" s="15" t="s">
        <v>307</v>
      </c>
      <c r="F145" s="15" t="s">
        <v>178</v>
      </c>
      <c r="G145" s="15" t="s">
        <v>140</v>
      </c>
      <c r="H145" s="15" t="s">
        <v>110</v>
      </c>
    </row>
    <row r="146" customFormat="false" ht="15" hidden="false" customHeight="false" outlineLevel="0" collapsed="false">
      <c r="A146" s="15" t="s">
        <v>1505</v>
      </c>
      <c r="B146" s="15" t="s">
        <v>1427</v>
      </c>
      <c r="C146" s="15" t="s">
        <v>1004</v>
      </c>
      <c r="D146" s="15" t="s">
        <v>1003</v>
      </c>
      <c r="E146" s="15" t="s">
        <v>1002</v>
      </c>
      <c r="F146" s="15" t="s">
        <v>177</v>
      </c>
      <c r="G146" s="15" t="s">
        <v>134</v>
      </c>
      <c r="H146" s="15" t="s">
        <v>110</v>
      </c>
    </row>
    <row r="147" customFormat="false" ht="15" hidden="false" customHeight="false" outlineLevel="0" collapsed="false">
      <c r="A147" s="15" t="s">
        <v>1505</v>
      </c>
      <c r="B147" s="15" t="s">
        <v>1427</v>
      </c>
      <c r="C147" s="15" t="s">
        <v>902</v>
      </c>
      <c r="D147" s="15" t="s">
        <v>901</v>
      </c>
      <c r="E147" s="15" t="s">
        <v>855</v>
      </c>
      <c r="F147" s="15"/>
      <c r="G147" s="15" t="s">
        <v>124</v>
      </c>
      <c r="H147" s="15" t="s">
        <v>110</v>
      </c>
    </row>
    <row r="148" customFormat="false" ht="15" hidden="false" customHeight="false" outlineLevel="0" collapsed="false">
      <c r="A148" s="15" t="s">
        <v>1505</v>
      </c>
      <c r="B148" s="15" t="s">
        <v>1427</v>
      </c>
      <c r="C148" s="15" t="s">
        <v>905</v>
      </c>
      <c r="D148" s="15" t="s">
        <v>904</v>
      </c>
      <c r="E148" s="15" t="s">
        <v>855</v>
      </c>
      <c r="F148" s="15"/>
      <c r="G148" s="15" t="s">
        <v>124</v>
      </c>
      <c r="H148" s="15" t="s">
        <v>110</v>
      </c>
    </row>
    <row r="149" customFormat="false" ht="15" hidden="false" customHeight="false" outlineLevel="0" collapsed="false">
      <c r="A149" s="15" t="s">
        <v>1505</v>
      </c>
      <c r="B149" s="15" t="s">
        <v>1427</v>
      </c>
      <c r="C149" s="15" t="s">
        <v>933</v>
      </c>
      <c r="D149" s="15" t="s">
        <v>932</v>
      </c>
      <c r="E149" s="15" t="s">
        <v>855</v>
      </c>
      <c r="F149" s="15" t="s">
        <v>177</v>
      </c>
      <c r="G149" s="15" t="s">
        <v>1435</v>
      </c>
      <c r="H149" s="15" t="s">
        <v>110</v>
      </c>
    </row>
    <row r="150" customFormat="false" ht="15" hidden="false" customHeight="false" outlineLevel="0" collapsed="false">
      <c r="A150" s="15" t="s">
        <v>1505</v>
      </c>
      <c r="B150" s="15" t="s">
        <v>1427</v>
      </c>
      <c r="C150" s="15" t="s">
        <v>999</v>
      </c>
      <c r="D150" s="15" t="s">
        <v>998</v>
      </c>
      <c r="E150" s="15" t="s">
        <v>855</v>
      </c>
      <c r="F150" s="15" t="s">
        <v>177</v>
      </c>
      <c r="G150" s="15" t="s">
        <v>134</v>
      </c>
      <c r="H150" s="15" t="s">
        <v>110</v>
      </c>
    </row>
    <row r="151" customFormat="false" ht="15" hidden="false" customHeight="false" outlineLevel="0" collapsed="false">
      <c r="A151" s="15" t="s">
        <v>1505</v>
      </c>
      <c r="B151" s="15" t="s">
        <v>1427</v>
      </c>
      <c r="C151" s="15" t="s">
        <v>887</v>
      </c>
      <c r="D151" s="15" t="s">
        <v>886</v>
      </c>
      <c r="E151" s="15" t="s">
        <v>885</v>
      </c>
      <c r="F151" s="15" t="s">
        <v>178</v>
      </c>
      <c r="G151" s="15" t="s">
        <v>1502</v>
      </c>
      <c r="H151" s="15" t="s">
        <v>110</v>
      </c>
    </row>
    <row r="152" customFormat="false" ht="15" hidden="false" customHeight="false" outlineLevel="0" collapsed="false">
      <c r="A152" s="15" t="s">
        <v>1505</v>
      </c>
      <c r="B152" s="15" t="s">
        <v>1427</v>
      </c>
      <c r="C152" s="15" t="s">
        <v>889</v>
      </c>
      <c r="D152" s="15" t="s">
        <v>888</v>
      </c>
      <c r="E152" s="15" t="s">
        <v>483</v>
      </c>
      <c r="F152" s="15" t="s">
        <v>178</v>
      </c>
      <c r="G152" s="15" t="s">
        <v>1502</v>
      </c>
      <c r="H152" s="15" t="s">
        <v>110</v>
      </c>
    </row>
    <row r="153" customFormat="false" ht="15" hidden="false" customHeight="false" outlineLevel="0" collapsed="false">
      <c r="A153" s="15" t="s">
        <v>1505</v>
      </c>
      <c r="B153" s="15" t="s">
        <v>1427</v>
      </c>
      <c r="C153" s="15" t="s">
        <v>922</v>
      </c>
      <c r="D153" s="15" t="s">
        <v>921</v>
      </c>
      <c r="E153" s="15" t="s">
        <v>920</v>
      </c>
      <c r="F153" s="15" t="s">
        <v>177</v>
      </c>
      <c r="G153" s="15" t="s">
        <v>1435</v>
      </c>
      <c r="H153" s="15" t="s">
        <v>110</v>
      </c>
    </row>
    <row r="154" customFormat="false" ht="15" hidden="false" customHeight="false" outlineLevel="0" collapsed="false">
      <c r="A154" s="15" t="s">
        <v>1505</v>
      </c>
      <c r="B154" s="15" t="s">
        <v>1427</v>
      </c>
      <c r="C154" s="15" t="s">
        <v>895</v>
      </c>
      <c r="D154" s="15" t="s">
        <v>894</v>
      </c>
      <c r="E154" s="15" t="s">
        <v>893</v>
      </c>
      <c r="F154" s="15"/>
      <c r="G154" s="15" t="s">
        <v>1502</v>
      </c>
      <c r="H154" s="15" t="s">
        <v>110</v>
      </c>
    </row>
    <row r="155" customFormat="false" ht="15" hidden="false" customHeight="false" outlineLevel="0" collapsed="false">
      <c r="A155" s="15" t="s">
        <v>1505</v>
      </c>
      <c r="B155" s="15" t="s">
        <v>1427</v>
      </c>
      <c r="C155" s="15" t="s">
        <v>944</v>
      </c>
      <c r="D155" s="15" t="s">
        <v>943</v>
      </c>
      <c r="E155" s="15" t="s">
        <v>942</v>
      </c>
      <c r="F155" s="15" t="s">
        <v>177</v>
      </c>
      <c r="G155" s="15" t="s">
        <v>1435</v>
      </c>
      <c r="H155" s="15" t="s">
        <v>110</v>
      </c>
    </row>
    <row r="156" customFormat="false" ht="15" hidden="false" customHeight="false" outlineLevel="0" collapsed="false">
      <c r="A156" s="15" t="s">
        <v>1505</v>
      </c>
      <c r="B156" s="15" t="s">
        <v>1427</v>
      </c>
      <c r="C156" s="15" t="s">
        <v>966</v>
      </c>
      <c r="D156" s="15" t="s">
        <v>965</v>
      </c>
      <c r="E156" s="15" t="s">
        <v>942</v>
      </c>
      <c r="F156" s="15" t="s">
        <v>177</v>
      </c>
      <c r="G156" s="15" t="s">
        <v>130</v>
      </c>
      <c r="H156" s="15" t="s">
        <v>110</v>
      </c>
    </row>
    <row r="157" customFormat="false" ht="15" hidden="false" customHeight="false" outlineLevel="0" collapsed="false">
      <c r="A157" s="15" t="s">
        <v>1505</v>
      </c>
      <c r="B157" s="15" t="s">
        <v>1427</v>
      </c>
      <c r="C157" s="15" t="s">
        <v>969</v>
      </c>
      <c r="D157" s="15" t="s">
        <v>968</v>
      </c>
      <c r="E157" s="15" t="s">
        <v>532</v>
      </c>
      <c r="F157" s="15" t="s">
        <v>177</v>
      </c>
      <c r="G157" s="15" t="s">
        <v>130</v>
      </c>
      <c r="H157" s="15" t="s">
        <v>110</v>
      </c>
    </row>
    <row r="158" customFormat="false" ht="15" hidden="false" customHeight="false" outlineLevel="0" collapsed="false">
      <c r="A158" s="15" t="s">
        <v>1505</v>
      </c>
      <c r="B158" s="15" t="s">
        <v>1427</v>
      </c>
      <c r="C158" s="15" t="s">
        <v>972</v>
      </c>
      <c r="D158" s="15" t="s">
        <v>971</v>
      </c>
      <c r="E158" s="15" t="s">
        <v>532</v>
      </c>
      <c r="F158" s="15" t="s">
        <v>176</v>
      </c>
      <c r="G158" s="15" t="s">
        <v>134</v>
      </c>
      <c r="H158" s="15" t="s">
        <v>110</v>
      </c>
    </row>
    <row r="159" customFormat="false" ht="15" hidden="false" customHeight="false" outlineLevel="0" collapsed="false">
      <c r="A159" s="15" t="s">
        <v>1505</v>
      </c>
      <c r="B159" s="15" t="s">
        <v>1427</v>
      </c>
      <c r="C159" s="15" t="s">
        <v>985</v>
      </c>
      <c r="D159" s="15" t="s">
        <v>984</v>
      </c>
      <c r="E159" s="15" t="s">
        <v>532</v>
      </c>
      <c r="F159" s="15" t="s">
        <v>177</v>
      </c>
      <c r="G159" s="15" t="s">
        <v>134</v>
      </c>
      <c r="H159" s="15" t="s">
        <v>110</v>
      </c>
    </row>
    <row r="160" customFormat="false" ht="15" hidden="false" customHeight="false" outlineLevel="0" collapsed="false">
      <c r="A160" s="15" t="s">
        <v>1505</v>
      </c>
      <c r="B160" s="15" t="s">
        <v>1427</v>
      </c>
      <c r="C160" s="15" t="s">
        <v>1008</v>
      </c>
      <c r="D160" s="15" t="s">
        <v>1007</v>
      </c>
      <c r="E160" s="15" t="s">
        <v>864</v>
      </c>
      <c r="F160" s="15"/>
      <c r="G160" s="15" t="s">
        <v>134</v>
      </c>
      <c r="H160" s="15" t="s">
        <v>110</v>
      </c>
    </row>
    <row r="161" customFormat="false" ht="15" hidden="false" customHeight="false" outlineLevel="0" collapsed="false">
      <c r="A161" s="15" t="s">
        <v>1505</v>
      </c>
      <c r="B161" s="15" t="s">
        <v>1427</v>
      </c>
      <c r="C161" s="15" t="s">
        <v>899</v>
      </c>
      <c r="D161" s="15" t="s">
        <v>898</v>
      </c>
      <c r="E161" s="15" t="s">
        <v>897</v>
      </c>
      <c r="F161" s="15"/>
      <c r="G161" s="15" t="s">
        <v>1502</v>
      </c>
      <c r="H161" s="15" t="s">
        <v>110</v>
      </c>
    </row>
    <row r="162" customFormat="false" ht="15" hidden="false" customHeight="false" outlineLevel="0" collapsed="false">
      <c r="A162" s="15" t="s">
        <v>1505</v>
      </c>
      <c r="B162" s="15" t="s">
        <v>1427</v>
      </c>
      <c r="C162" s="15" t="s">
        <v>989</v>
      </c>
      <c r="D162" s="15" t="s">
        <v>988</v>
      </c>
      <c r="E162" s="15" t="s">
        <v>987</v>
      </c>
      <c r="F162" s="15" t="s">
        <v>177</v>
      </c>
      <c r="G162" s="15" t="s">
        <v>134</v>
      </c>
      <c r="H162" s="15" t="s">
        <v>110</v>
      </c>
    </row>
    <row r="163" customFormat="false" ht="15" hidden="false" customHeight="false" outlineLevel="0" collapsed="false">
      <c r="A163" s="15" t="s">
        <v>1505</v>
      </c>
      <c r="B163" s="15" t="s">
        <v>1427</v>
      </c>
      <c r="C163" s="15" t="s">
        <v>911</v>
      </c>
      <c r="D163" s="15" t="s">
        <v>910</v>
      </c>
      <c r="E163" s="15" t="s">
        <v>866</v>
      </c>
      <c r="F163" s="15" t="s">
        <v>176</v>
      </c>
      <c r="G163" s="15" t="s">
        <v>1435</v>
      </c>
      <c r="H163" s="15" t="s">
        <v>110</v>
      </c>
    </row>
    <row r="164" customFormat="false" ht="15" hidden="false" customHeight="false" outlineLevel="0" collapsed="false">
      <c r="A164" s="15" t="s">
        <v>1505</v>
      </c>
      <c r="B164" s="15" t="s">
        <v>1427</v>
      </c>
      <c r="C164" s="15" t="s">
        <v>991</v>
      </c>
      <c r="D164" s="15" t="s">
        <v>990</v>
      </c>
      <c r="E164" s="15" t="s">
        <v>866</v>
      </c>
      <c r="F164" s="15" t="s">
        <v>177</v>
      </c>
      <c r="G164" s="15" t="s">
        <v>134</v>
      </c>
      <c r="H164" s="15" t="s">
        <v>110</v>
      </c>
    </row>
    <row r="165" customFormat="false" ht="15" hidden="false" customHeight="false" outlineLevel="0" collapsed="false">
      <c r="A165" s="15" t="s">
        <v>1505</v>
      </c>
      <c r="B165" s="15" t="s">
        <v>1427</v>
      </c>
      <c r="C165" s="15" t="s">
        <v>937</v>
      </c>
      <c r="D165" s="15" t="s">
        <v>936</v>
      </c>
      <c r="E165" s="15" t="s">
        <v>935</v>
      </c>
      <c r="F165" s="15" t="s">
        <v>177</v>
      </c>
      <c r="G165" s="15" t="s">
        <v>1435</v>
      </c>
      <c r="H165" s="15" t="s">
        <v>110</v>
      </c>
    </row>
    <row r="166" customFormat="false" ht="15" hidden="false" customHeight="false" outlineLevel="0" collapsed="false">
      <c r="A166" s="15" t="s">
        <v>1505</v>
      </c>
      <c r="B166" s="15" t="s">
        <v>1427</v>
      </c>
      <c r="C166" s="15" t="s">
        <v>994</v>
      </c>
      <c r="D166" s="15" t="s">
        <v>993</v>
      </c>
      <c r="E166" s="15" t="s">
        <v>992</v>
      </c>
      <c r="F166" s="15" t="s">
        <v>177</v>
      </c>
      <c r="G166" s="15" t="s">
        <v>134</v>
      </c>
      <c r="H166" s="15" t="s">
        <v>110</v>
      </c>
    </row>
    <row r="167" customFormat="false" ht="15" hidden="false" customHeight="false" outlineLevel="0" collapsed="false">
      <c r="A167" s="15" t="s">
        <v>1505</v>
      </c>
      <c r="B167" s="15" t="s">
        <v>1427</v>
      </c>
      <c r="C167" s="15" t="s">
        <v>926</v>
      </c>
      <c r="D167" s="15" t="s">
        <v>925</v>
      </c>
      <c r="E167" s="15" t="s">
        <v>924</v>
      </c>
      <c r="F167" s="15" t="s">
        <v>177</v>
      </c>
      <c r="G167" s="15" t="s">
        <v>1435</v>
      </c>
      <c r="H167" s="15" t="s">
        <v>110</v>
      </c>
    </row>
    <row r="168" customFormat="false" ht="15" hidden="false" customHeight="false" outlineLevel="0" collapsed="false">
      <c r="A168" s="15" t="s">
        <v>1505</v>
      </c>
      <c r="B168" s="15" t="s">
        <v>1427</v>
      </c>
      <c r="C168" s="15" t="s">
        <v>980</v>
      </c>
      <c r="D168" s="15" t="s">
        <v>979</v>
      </c>
      <c r="E168" s="15" t="s">
        <v>924</v>
      </c>
      <c r="F168" s="15" t="s">
        <v>177</v>
      </c>
      <c r="G168" s="15" t="s">
        <v>134</v>
      </c>
      <c r="H168" s="15" t="s">
        <v>110</v>
      </c>
    </row>
    <row r="169" customFormat="false" ht="15" hidden="false" customHeight="false" outlineLevel="0" collapsed="false">
      <c r="A169" s="15" t="s">
        <v>1505</v>
      </c>
      <c r="B169" s="15" t="s">
        <v>1427</v>
      </c>
      <c r="C169" s="15" t="s">
        <v>915</v>
      </c>
      <c r="D169" s="15" t="s">
        <v>914</v>
      </c>
      <c r="E169" s="15" t="s">
        <v>913</v>
      </c>
      <c r="F169" s="15" t="s">
        <v>176</v>
      </c>
      <c r="G169" s="15" t="s">
        <v>1435</v>
      </c>
      <c r="H169" s="15" t="s">
        <v>110</v>
      </c>
    </row>
    <row r="170" customFormat="false" ht="15" hidden="false" customHeight="false" outlineLevel="0" collapsed="false">
      <c r="A170" s="15" t="s">
        <v>1505</v>
      </c>
      <c r="B170" s="15" t="s">
        <v>1427</v>
      </c>
      <c r="C170" s="15" t="s">
        <v>1014</v>
      </c>
      <c r="D170" s="15" t="s">
        <v>1013</v>
      </c>
      <c r="E170" s="15" t="s">
        <v>1012</v>
      </c>
      <c r="F170" s="15"/>
      <c r="G170" s="15" t="s">
        <v>134</v>
      </c>
      <c r="H170" s="15" t="s">
        <v>110</v>
      </c>
    </row>
    <row r="171" customFormat="false" ht="15" hidden="false" customHeight="false" outlineLevel="0" collapsed="false">
      <c r="A171" s="15" t="s">
        <v>1505</v>
      </c>
      <c r="B171" s="15" t="s">
        <v>1427</v>
      </c>
      <c r="C171" s="15" t="s">
        <v>948</v>
      </c>
      <c r="D171" s="15" t="s">
        <v>947</v>
      </c>
      <c r="E171" s="15" t="s">
        <v>946</v>
      </c>
      <c r="F171" s="15" t="s">
        <v>177</v>
      </c>
      <c r="G171" s="15" t="s">
        <v>1435</v>
      </c>
      <c r="H171" s="15" t="s">
        <v>110</v>
      </c>
    </row>
    <row r="172" customFormat="false" ht="15" hidden="false" customHeight="false" outlineLevel="0" collapsed="false">
      <c r="A172" s="15" t="s">
        <v>1505</v>
      </c>
      <c r="B172" s="15" t="s">
        <v>1427</v>
      </c>
      <c r="C172" s="15" t="s">
        <v>957</v>
      </c>
      <c r="D172" s="15" t="s">
        <v>957</v>
      </c>
      <c r="E172" s="15" t="s">
        <v>956</v>
      </c>
      <c r="F172" s="15" t="s">
        <v>178</v>
      </c>
      <c r="G172" s="15" t="s">
        <v>1435</v>
      </c>
      <c r="H172" s="15" t="s">
        <v>110</v>
      </c>
    </row>
    <row r="173" customFormat="false" ht="15" hidden="false" customHeight="false" outlineLevel="0" collapsed="false">
      <c r="A173" s="15" t="s">
        <v>1505</v>
      </c>
      <c r="B173" s="15" t="s">
        <v>1427</v>
      </c>
      <c r="C173" s="15" t="s">
        <v>879</v>
      </c>
      <c r="D173" s="15" t="s">
        <v>879</v>
      </c>
      <c r="E173" s="15" t="s">
        <v>385</v>
      </c>
      <c r="F173" s="15" t="s">
        <v>178</v>
      </c>
      <c r="G173" s="15" t="s">
        <v>111</v>
      </c>
      <c r="H173" s="15" t="s">
        <v>110</v>
      </c>
    </row>
    <row r="174" customFormat="false" ht="15" hidden="false" customHeight="false" outlineLevel="0" collapsed="false">
      <c r="A174" s="15" t="s">
        <v>1505</v>
      </c>
      <c r="B174" s="15" t="s">
        <v>1427</v>
      </c>
      <c r="C174" s="15" t="s">
        <v>930</v>
      </c>
      <c r="D174" s="15" t="s">
        <v>929</v>
      </c>
      <c r="E174" s="15" t="s">
        <v>928</v>
      </c>
      <c r="F174" s="15" t="s">
        <v>177</v>
      </c>
      <c r="G174" s="15" t="s">
        <v>1435</v>
      </c>
      <c r="H174" s="15" t="s">
        <v>110</v>
      </c>
    </row>
    <row r="175" customFormat="false" ht="15" hidden="false" customHeight="false" outlineLevel="0" collapsed="false">
      <c r="A175" s="15" t="s">
        <v>1505</v>
      </c>
      <c r="B175" s="15" t="s">
        <v>1427</v>
      </c>
      <c r="C175" s="15" t="s">
        <v>918</v>
      </c>
      <c r="D175" s="15" t="s">
        <v>917</v>
      </c>
      <c r="E175" s="15" t="s">
        <v>516</v>
      </c>
      <c r="F175" s="15" t="s">
        <v>177</v>
      </c>
      <c r="G175" s="15" t="s">
        <v>1435</v>
      </c>
      <c r="H175" s="15" t="s">
        <v>110</v>
      </c>
    </row>
    <row r="176" customFormat="false" ht="15" hidden="false" customHeight="false" outlineLevel="0" collapsed="false">
      <c r="A176" s="15" t="s">
        <v>1505</v>
      </c>
      <c r="B176" s="15" t="s">
        <v>1427</v>
      </c>
      <c r="C176" s="15" t="s">
        <v>975</v>
      </c>
      <c r="D176" s="15" t="s">
        <v>974</v>
      </c>
      <c r="E176" s="15" t="s">
        <v>516</v>
      </c>
      <c r="F176" s="15" t="s">
        <v>177</v>
      </c>
      <c r="G176" s="15" t="s">
        <v>134</v>
      </c>
      <c r="H176" s="15" t="s">
        <v>110</v>
      </c>
    </row>
    <row r="177" customFormat="false" ht="15" hidden="false" customHeight="false" outlineLevel="0" collapsed="false">
      <c r="A177" s="15" t="s">
        <v>1505</v>
      </c>
      <c r="B177" s="15" t="s">
        <v>1427</v>
      </c>
      <c r="C177" s="15" t="s">
        <v>951</v>
      </c>
      <c r="D177" s="15" t="s">
        <v>951</v>
      </c>
      <c r="E177" s="15" t="s">
        <v>950</v>
      </c>
      <c r="F177" s="15" t="s">
        <v>177</v>
      </c>
      <c r="G177" s="15" t="s">
        <v>1435</v>
      </c>
      <c r="H177" s="15" t="s">
        <v>110</v>
      </c>
    </row>
    <row r="178" customFormat="false" ht="15" hidden="false" customHeight="false" outlineLevel="0" collapsed="false">
      <c r="A178" s="15" t="s">
        <v>1505</v>
      </c>
      <c r="B178" s="15" t="s">
        <v>1427</v>
      </c>
      <c r="C178" s="15" t="s">
        <v>961</v>
      </c>
      <c r="D178" s="15" t="s">
        <v>960</v>
      </c>
      <c r="E178" s="15" t="s">
        <v>959</v>
      </c>
      <c r="F178" s="15" t="s">
        <v>176</v>
      </c>
      <c r="G178" s="15" t="s">
        <v>130</v>
      </c>
      <c r="H178" s="15" t="s">
        <v>110</v>
      </c>
    </row>
    <row r="179" customFormat="false" ht="15" hidden="false" customHeight="false" outlineLevel="0" collapsed="false">
      <c r="A179" s="15" t="s">
        <v>1505</v>
      </c>
      <c r="B179" s="15" t="s">
        <v>1427</v>
      </c>
      <c r="C179" s="15" t="s">
        <v>954</v>
      </c>
      <c r="D179" s="15" t="s">
        <v>954</v>
      </c>
      <c r="E179" s="15" t="s">
        <v>953</v>
      </c>
      <c r="F179" s="15" t="s">
        <v>177</v>
      </c>
      <c r="G179" s="15" t="s">
        <v>1435</v>
      </c>
      <c r="H179" s="15" t="s">
        <v>110</v>
      </c>
    </row>
    <row r="180" customFormat="false" ht="15" hidden="false" customHeight="false" outlineLevel="0" collapsed="false">
      <c r="A180" s="15" t="s">
        <v>1505</v>
      </c>
      <c r="B180" s="15" t="s">
        <v>1427</v>
      </c>
      <c r="C180" s="15" t="s">
        <v>997</v>
      </c>
      <c r="D180" s="15" t="s">
        <v>996</v>
      </c>
      <c r="E180" s="15" t="s">
        <v>995</v>
      </c>
      <c r="F180" s="15" t="s">
        <v>177</v>
      </c>
      <c r="G180" s="15" t="s">
        <v>134</v>
      </c>
      <c r="H180" s="15" t="s">
        <v>110</v>
      </c>
    </row>
    <row r="181" customFormat="false" ht="15" hidden="false" customHeight="false" outlineLevel="0" collapsed="false">
      <c r="A181" s="15" t="s">
        <v>1505</v>
      </c>
      <c r="B181" s="15" t="s">
        <v>1427</v>
      </c>
      <c r="C181" s="15" t="s">
        <v>1017</v>
      </c>
      <c r="D181" s="15" t="s">
        <v>1016</v>
      </c>
      <c r="E181" s="15" t="s">
        <v>1015</v>
      </c>
      <c r="F181" s="15"/>
      <c r="G181" s="15" t="s">
        <v>134</v>
      </c>
      <c r="H181" s="15" t="s">
        <v>110</v>
      </c>
    </row>
    <row r="182" customFormat="false" ht="15" hidden="false" customHeight="false" outlineLevel="0" collapsed="false">
      <c r="A182" s="15" t="s">
        <v>1505</v>
      </c>
      <c r="B182" s="15" t="s">
        <v>1427</v>
      </c>
      <c r="C182" s="15" t="s">
        <v>983</v>
      </c>
      <c r="D182" s="15" t="s">
        <v>982</v>
      </c>
      <c r="E182" s="15" t="s">
        <v>981</v>
      </c>
      <c r="F182" s="15" t="s">
        <v>177</v>
      </c>
      <c r="G182" s="15" t="s">
        <v>134</v>
      </c>
      <c r="H182" s="15" t="s">
        <v>110</v>
      </c>
    </row>
    <row r="183" customFormat="false" ht="15" hidden="false" customHeight="false" outlineLevel="0" collapsed="false">
      <c r="A183" s="15" t="s">
        <v>1505</v>
      </c>
      <c r="B183" s="15" t="s">
        <v>1427</v>
      </c>
      <c r="C183" s="15" t="s">
        <v>1011</v>
      </c>
      <c r="D183" s="15" t="s">
        <v>1010</v>
      </c>
      <c r="E183" s="15" t="s">
        <v>1009</v>
      </c>
      <c r="F183" s="15"/>
      <c r="G183" s="15" t="s">
        <v>134</v>
      </c>
      <c r="H183" s="15" t="s">
        <v>110</v>
      </c>
    </row>
    <row r="184" customFormat="false" ht="15" hidden="false" customHeight="false" outlineLevel="0" collapsed="false">
      <c r="A184" s="15" t="s">
        <v>1505</v>
      </c>
      <c r="B184" s="15" t="s">
        <v>1427</v>
      </c>
      <c r="C184" s="15" t="s">
        <v>1093</v>
      </c>
      <c r="D184" s="15" t="s">
        <v>1092</v>
      </c>
      <c r="E184" s="15" t="s">
        <v>1091</v>
      </c>
      <c r="F184" s="15" t="s">
        <v>176</v>
      </c>
      <c r="G184" s="15" t="s">
        <v>148</v>
      </c>
      <c r="H184" s="15" t="s">
        <v>144</v>
      </c>
    </row>
    <row r="185" customFormat="false" ht="15" hidden="false" customHeight="false" outlineLevel="0" collapsed="false">
      <c r="A185" s="15" t="s">
        <v>1505</v>
      </c>
      <c r="B185" s="15" t="s">
        <v>1427</v>
      </c>
      <c r="C185" s="15" t="s">
        <v>1083</v>
      </c>
      <c r="D185" s="15" t="s">
        <v>1082</v>
      </c>
      <c r="E185" s="15" t="s">
        <v>1081</v>
      </c>
      <c r="F185" s="15" t="s">
        <v>178</v>
      </c>
      <c r="G185" s="15" t="s">
        <v>145</v>
      </c>
      <c r="H185" s="15" t="s">
        <v>144</v>
      </c>
    </row>
    <row r="186" customFormat="false" ht="15" hidden="false" customHeight="false" outlineLevel="0" collapsed="false">
      <c r="A186" s="15" t="s">
        <v>1505</v>
      </c>
      <c r="B186" s="15" t="s">
        <v>1427</v>
      </c>
      <c r="C186" s="15" t="s">
        <v>1295</v>
      </c>
      <c r="D186" s="15" t="s">
        <v>1294</v>
      </c>
      <c r="E186" s="15" t="s">
        <v>1293</v>
      </c>
      <c r="F186" s="15" t="s">
        <v>176</v>
      </c>
      <c r="G186" s="15" t="s">
        <v>157</v>
      </c>
      <c r="H186" s="15" t="s">
        <v>144</v>
      </c>
    </row>
    <row r="187" customFormat="false" ht="15" hidden="false" customHeight="false" outlineLevel="0" collapsed="false">
      <c r="A187" s="15" t="s">
        <v>1505</v>
      </c>
      <c r="B187" s="15" t="s">
        <v>1427</v>
      </c>
      <c r="C187" s="15" t="s">
        <v>1121</v>
      </c>
      <c r="D187" s="15" t="s">
        <v>1120</v>
      </c>
      <c r="E187" s="15" t="s">
        <v>1119</v>
      </c>
      <c r="F187" s="15" t="s">
        <v>177</v>
      </c>
      <c r="G187" s="15" t="s">
        <v>148</v>
      </c>
      <c r="H187" s="15" t="s">
        <v>144</v>
      </c>
    </row>
    <row r="188" customFormat="false" ht="15" hidden="false" customHeight="false" outlineLevel="0" collapsed="false">
      <c r="A188" s="15" t="s">
        <v>1505</v>
      </c>
      <c r="B188" s="15" t="s">
        <v>1427</v>
      </c>
      <c r="C188" s="15" t="s">
        <v>1283</v>
      </c>
      <c r="D188" s="15" t="s">
        <v>1282</v>
      </c>
      <c r="E188" s="15" t="s">
        <v>1281</v>
      </c>
      <c r="F188" s="15" t="s">
        <v>176</v>
      </c>
      <c r="G188" s="15" t="s">
        <v>157</v>
      </c>
      <c r="H188" s="15" t="s">
        <v>144</v>
      </c>
    </row>
    <row r="189" customFormat="false" ht="15" hidden="false" customHeight="false" outlineLevel="0" collapsed="false">
      <c r="A189" s="15" t="s">
        <v>1505</v>
      </c>
      <c r="B189" s="15" t="s">
        <v>1427</v>
      </c>
      <c r="C189" s="15" t="s">
        <v>1066</v>
      </c>
      <c r="D189" s="15" t="s">
        <v>1065</v>
      </c>
      <c r="E189" s="15" t="s">
        <v>307</v>
      </c>
      <c r="F189" s="15" t="s">
        <v>177</v>
      </c>
      <c r="G189" s="15" t="s">
        <v>145</v>
      </c>
      <c r="H189" s="15" t="s">
        <v>144</v>
      </c>
    </row>
    <row r="190" customFormat="false" ht="15" hidden="false" customHeight="false" outlineLevel="0" collapsed="false">
      <c r="A190" s="15" t="s">
        <v>1505</v>
      </c>
      <c r="B190" s="15" t="s">
        <v>1427</v>
      </c>
      <c r="C190" s="15" t="s">
        <v>1137</v>
      </c>
      <c r="D190" s="15" t="s">
        <v>1136</v>
      </c>
      <c r="E190" s="15" t="s">
        <v>1135</v>
      </c>
      <c r="F190" s="15" t="s">
        <v>177</v>
      </c>
      <c r="G190" s="15" t="s">
        <v>148</v>
      </c>
      <c r="H190" s="15" t="s">
        <v>144</v>
      </c>
    </row>
    <row r="191" customFormat="false" ht="15" hidden="false" customHeight="false" outlineLevel="0" collapsed="false">
      <c r="A191" s="15" t="s">
        <v>1505</v>
      </c>
      <c r="B191" s="15" t="s">
        <v>1427</v>
      </c>
      <c r="C191" s="15" t="s">
        <v>1187</v>
      </c>
      <c r="D191" s="15" t="s">
        <v>1186</v>
      </c>
      <c r="E191" s="15" t="s">
        <v>1185</v>
      </c>
      <c r="F191" s="15" t="s">
        <v>177</v>
      </c>
      <c r="G191" s="15" t="s">
        <v>151</v>
      </c>
      <c r="H191" s="15" t="s">
        <v>144</v>
      </c>
    </row>
    <row r="192" customFormat="false" ht="15" hidden="false" customHeight="false" outlineLevel="0" collapsed="false">
      <c r="A192" s="15" t="s">
        <v>1505</v>
      </c>
      <c r="B192" s="15" t="s">
        <v>1427</v>
      </c>
      <c r="C192" s="15" t="s">
        <v>1190</v>
      </c>
      <c r="D192" s="15" t="s">
        <v>1189</v>
      </c>
      <c r="E192" s="15" t="s">
        <v>1188</v>
      </c>
      <c r="F192" s="15" t="s">
        <v>177</v>
      </c>
      <c r="G192" s="15" t="s">
        <v>151</v>
      </c>
      <c r="H192" s="15" t="s">
        <v>144</v>
      </c>
    </row>
    <row r="193" customFormat="false" ht="15" hidden="false" customHeight="false" outlineLevel="0" collapsed="false">
      <c r="A193" s="15" t="s">
        <v>1505</v>
      </c>
      <c r="B193" s="15" t="s">
        <v>1427</v>
      </c>
      <c r="C193" s="15" t="s">
        <v>1172</v>
      </c>
      <c r="D193" s="15" t="s">
        <v>1171</v>
      </c>
      <c r="E193" s="15" t="s">
        <v>1170</v>
      </c>
      <c r="F193" s="15" t="s">
        <v>176</v>
      </c>
      <c r="G193" s="15" t="s">
        <v>151</v>
      </c>
      <c r="H193" s="15" t="s">
        <v>144</v>
      </c>
    </row>
    <row r="194" customFormat="false" ht="15" hidden="false" customHeight="false" outlineLevel="0" collapsed="false">
      <c r="A194" s="15" t="s">
        <v>1505</v>
      </c>
      <c r="B194" s="15" t="s">
        <v>1427</v>
      </c>
      <c r="C194" s="15" t="s">
        <v>1262</v>
      </c>
      <c r="D194" s="15" t="s">
        <v>1261</v>
      </c>
      <c r="E194" s="15" t="s">
        <v>1260</v>
      </c>
      <c r="F194" s="15" t="s">
        <v>177</v>
      </c>
      <c r="G194" s="15" t="s">
        <v>154</v>
      </c>
      <c r="H194" s="15" t="s">
        <v>144</v>
      </c>
    </row>
    <row r="195" customFormat="false" ht="15" hidden="false" customHeight="false" outlineLevel="0" collapsed="false">
      <c r="A195" s="15" t="s">
        <v>1505</v>
      </c>
      <c r="B195" s="15" t="s">
        <v>1427</v>
      </c>
      <c r="C195" s="15" t="s">
        <v>1086</v>
      </c>
      <c r="D195" s="15" t="s">
        <v>1085</v>
      </c>
      <c r="E195" s="15" t="s">
        <v>1084</v>
      </c>
      <c r="F195" s="15" t="s">
        <v>178</v>
      </c>
      <c r="G195" s="15" t="s">
        <v>145</v>
      </c>
      <c r="H195" s="15" t="s">
        <v>144</v>
      </c>
    </row>
    <row r="196" customFormat="false" ht="15" hidden="false" customHeight="false" outlineLevel="0" collapsed="false">
      <c r="A196" s="15" t="s">
        <v>1505</v>
      </c>
      <c r="B196" s="15" t="s">
        <v>1427</v>
      </c>
      <c r="C196" s="15" t="s">
        <v>1236</v>
      </c>
      <c r="D196" s="15" t="s">
        <v>1235</v>
      </c>
      <c r="E196" s="15" t="s">
        <v>1234</v>
      </c>
      <c r="F196" s="15" t="s">
        <v>177</v>
      </c>
      <c r="G196" s="15" t="s">
        <v>154</v>
      </c>
      <c r="H196" s="15" t="s">
        <v>144</v>
      </c>
    </row>
    <row r="197" customFormat="false" ht="15" hidden="false" customHeight="false" outlineLevel="0" collapsed="false">
      <c r="A197" s="15" t="s">
        <v>1505</v>
      </c>
      <c r="B197" s="15" t="s">
        <v>1427</v>
      </c>
      <c r="C197" s="15" t="s">
        <v>1279</v>
      </c>
      <c r="D197" s="15" t="s">
        <v>1278</v>
      </c>
      <c r="E197" s="15" t="s">
        <v>1277</v>
      </c>
      <c r="F197" s="15"/>
      <c r="G197" s="15" t="s">
        <v>154</v>
      </c>
      <c r="H197" s="15" t="s">
        <v>144</v>
      </c>
    </row>
    <row r="198" customFormat="false" ht="15" hidden="false" customHeight="false" outlineLevel="0" collapsed="false">
      <c r="A198" s="15" t="s">
        <v>1505</v>
      </c>
      <c r="B198" s="15" t="s">
        <v>1427</v>
      </c>
      <c r="C198" s="15" t="s">
        <v>1299</v>
      </c>
      <c r="D198" s="15" t="s">
        <v>1298</v>
      </c>
      <c r="E198" s="15" t="s">
        <v>1297</v>
      </c>
      <c r="F198" s="15" t="s">
        <v>176</v>
      </c>
      <c r="G198" s="15" t="s">
        <v>157</v>
      </c>
      <c r="H198" s="15" t="s">
        <v>144</v>
      </c>
    </row>
    <row r="199" customFormat="false" ht="15" hidden="false" customHeight="false" outlineLevel="0" collapsed="false">
      <c r="A199" s="15" t="s">
        <v>1505</v>
      </c>
      <c r="B199" s="15" t="s">
        <v>1427</v>
      </c>
      <c r="C199" s="15" t="s">
        <v>1345</v>
      </c>
      <c r="D199" s="15" t="s">
        <v>1344</v>
      </c>
      <c r="E199" s="15" t="s">
        <v>1297</v>
      </c>
      <c r="F199" s="15" t="s">
        <v>177</v>
      </c>
      <c r="G199" s="15" t="s">
        <v>157</v>
      </c>
      <c r="H199" s="15" t="s">
        <v>144</v>
      </c>
    </row>
    <row r="200" customFormat="false" ht="15" hidden="false" customHeight="false" outlineLevel="0" collapsed="false">
      <c r="A200" s="15" t="s">
        <v>1505</v>
      </c>
      <c r="B200" s="15" t="s">
        <v>1427</v>
      </c>
      <c r="C200" s="15" t="s">
        <v>1063</v>
      </c>
      <c r="D200" s="15" t="s">
        <v>1062</v>
      </c>
      <c r="E200" s="15" t="s">
        <v>1061</v>
      </c>
      <c r="F200" s="15" t="s">
        <v>177</v>
      </c>
      <c r="G200" s="15" t="s">
        <v>145</v>
      </c>
      <c r="H200" s="15" t="s">
        <v>144</v>
      </c>
    </row>
    <row r="201" customFormat="false" ht="15" hidden="false" customHeight="false" outlineLevel="0" collapsed="false">
      <c r="A201" s="15" t="s">
        <v>1505</v>
      </c>
      <c r="B201" s="15" t="s">
        <v>1427</v>
      </c>
      <c r="C201" s="15" t="s">
        <v>1033</v>
      </c>
      <c r="D201" s="15" t="s">
        <v>1032</v>
      </c>
      <c r="E201" s="15" t="s">
        <v>1031</v>
      </c>
      <c r="F201" s="15" t="s">
        <v>176</v>
      </c>
      <c r="G201" s="15" t="s">
        <v>145</v>
      </c>
      <c r="H201" s="15" t="s">
        <v>144</v>
      </c>
    </row>
    <row r="202" customFormat="false" ht="15" hidden="false" customHeight="false" outlineLevel="0" collapsed="false">
      <c r="A202" s="15" t="s">
        <v>1505</v>
      </c>
      <c r="B202" s="15" t="s">
        <v>1427</v>
      </c>
      <c r="C202" s="15" t="s">
        <v>1194</v>
      </c>
      <c r="D202" s="15" t="s">
        <v>1193</v>
      </c>
      <c r="E202" s="15" t="s">
        <v>1192</v>
      </c>
      <c r="F202" s="15" t="s">
        <v>177</v>
      </c>
      <c r="G202" s="15" t="s">
        <v>151</v>
      </c>
      <c r="H202" s="15" t="s">
        <v>144</v>
      </c>
    </row>
    <row r="203" customFormat="false" ht="15" hidden="false" customHeight="false" outlineLevel="0" collapsed="false">
      <c r="A203" s="15" t="s">
        <v>1505</v>
      </c>
      <c r="B203" s="15" t="s">
        <v>1427</v>
      </c>
      <c r="C203" s="15" t="s">
        <v>1025</v>
      </c>
      <c r="D203" s="15" t="s">
        <v>1024</v>
      </c>
      <c r="E203" s="15" t="s">
        <v>1023</v>
      </c>
      <c r="F203" s="15" t="s">
        <v>176</v>
      </c>
      <c r="G203" s="15" t="s">
        <v>145</v>
      </c>
      <c r="H203" s="15" t="s">
        <v>144</v>
      </c>
    </row>
    <row r="204" customFormat="false" ht="15" hidden="false" customHeight="false" outlineLevel="0" collapsed="false">
      <c r="A204" s="15" t="s">
        <v>1505</v>
      </c>
      <c r="B204" s="15" t="s">
        <v>1427</v>
      </c>
      <c r="C204" s="15" t="s">
        <v>1353</v>
      </c>
      <c r="D204" s="15" t="s">
        <v>1352</v>
      </c>
      <c r="E204" s="15" t="s">
        <v>1351</v>
      </c>
      <c r="F204" s="15" t="s">
        <v>177</v>
      </c>
      <c r="G204" s="15" t="s">
        <v>157</v>
      </c>
      <c r="H204" s="15" t="s">
        <v>144</v>
      </c>
    </row>
    <row r="205" customFormat="false" ht="15" hidden="false" customHeight="false" outlineLevel="0" collapsed="false">
      <c r="A205" s="15" t="s">
        <v>1505</v>
      </c>
      <c r="B205" s="15" t="s">
        <v>1427</v>
      </c>
      <c r="C205" s="15" t="s">
        <v>1287</v>
      </c>
      <c r="D205" s="15" t="s">
        <v>1286</v>
      </c>
      <c r="E205" s="15" t="s">
        <v>1285</v>
      </c>
      <c r="F205" s="15" t="s">
        <v>176</v>
      </c>
      <c r="G205" s="15" t="s">
        <v>157</v>
      </c>
      <c r="H205" s="15" t="s">
        <v>144</v>
      </c>
    </row>
    <row r="206" customFormat="false" ht="15" hidden="false" customHeight="false" outlineLevel="0" collapsed="false">
      <c r="A206" s="15" t="s">
        <v>1505</v>
      </c>
      <c r="B206" s="15" t="s">
        <v>1427</v>
      </c>
      <c r="C206" s="15" t="s">
        <v>1291</v>
      </c>
      <c r="D206" s="15" t="s">
        <v>1290</v>
      </c>
      <c r="E206" s="15" t="s">
        <v>1289</v>
      </c>
      <c r="F206" s="15" t="s">
        <v>176</v>
      </c>
      <c r="G206" s="15" t="s">
        <v>157</v>
      </c>
      <c r="H206" s="15" t="s">
        <v>144</v>
      </c>
    </row>
    <row r="207" customFormat="false" ht="15" hidden="false" customHeight="false" outlineLevel="0" collapsed="false">
      <c r="A207" s="15" t="s">
        <v>1505</v>
      </c>
      <c r="B207" s="15" t="s">
        <v>1427</v>
      </c>
      <c r="C207" s="15" t="s">
        <v>1302</v>
      </c>
      <c r="D207" s="15" t="s">
        <v>1301</v>
      </c>
      <c r="E207" s="15" t="s">
        <v>1289</v>
      </c>
      <c r="F207" s="15" t="s">
        <v>176</v>
      </c>
      <c r="G207" s="15" t="s">
        <v>157</v>
      </c>
      <c r="H207" s="15" t="s">
        <v>144</v>
      </c>
    </row>
    <row r="208" customFormat="false" ht="15" hidden="false" customHeight="false" outlineLevel="0" collapsed="false">
      <c r="A208" s="15" t="s">
        <v>1505</v>
      </c>
      <c r="B208" s="15" t="s">
        <v>1427</v>
      </c>
      <c r="C208" s="15" t="s">
        <v>1307</v>
      </c>
      <c r="D208" s="15" t="s">
        <v>1306</v>
      </c>
      <c r="E208" s="15" t="s">
        <v>1289</v>
      </c>
      <c r="F208" s="15" t="s">
        <v>176</v>
      </c>
      <c r="G208" s="15" t="s">
        <v>157</v>
      </c>
      <c r="H208" s="15" t="s">
        <v>144</v>
      </c>
    </row>
    <row r="209" customFormat="false" ht="15" hidden="false" customHeight="false" outlineLevel="0" collapsed="false">
      <c r="A209" s="15" t="s">
        <v>1505</v>
      </c>
      <c r="B209" s="15" t="s">
        <v>1427</v>
      </c>
      <c r="C209" s="15" t="s">
        <v>1310</v>
      </c>
      <c r="D209" s="15" t="s">
        <v>1309</v>
      </c>
      <c r="E209" s="15" t="s">
        <v>1289</v>
      </c>
      <c r="F209" s="15" t="s">
        <v>176</v>
      </c>
      <c r="G209" s="15" t="s">
        <v>157</v>
      </c>
      <c r="H209" s="15" t="s">
        <v>144</v>
      </c>
    </row>
    <row r="210" customFormat="false" ht="15" hidden="false" customHeight="false" outlineLevel="0" collapsed="false">
      <c r="A210" s="15" t="s">
        <v>1505</v>
      </c>
      <c r="B210" s="15" t="s">
        <v>1427</v>
      </c>
      <c r="C210" s="15" t="s">
        <v>1198</v>
      </c>
      <c r="D210" s="15" t="s">
        <v>1197</v>
      </c>
      <c r="E210" s="15" t="s">
        <v>1196</v>
      </c>
      <c r="F210" s="15" t="s">
        <v>177</v>
      </c>
      <c r="G210" s="15" t="s">
        <v>151</v>
      </c>
      <c r="H210" s="15" t="s">
        <v>144</v>
      </c>
    </row>
    <row r="211" customFormat="false" ht="15" hidden="false" customHeight="false" outlineLevel="0" collapsed="false">
      <c r="A211" s="15" t="s">
        <v>1505</v>
      </c>
      <c r="B211" s="15" t="s">
        <v>1427</v>
      </c>
      <c r="C211" s="15" t="s">
        <v>1117</v>
      </c>
      <c r="D211" s="15" t="s">
        <v>1116</v>
      </c>
      <c r="E211" s="15" t="s">
        <v>1115</v>
      </c>
      <c r="F211" s="15" t="s">
        <v>177</v>
      </c>
      <c r="G211" s="15" t="s">
        <v>148</v>
      </c>
      <c r="H211" s="15" t="s">
        <v>144</v>
      </c>
    </row>
    <row r="212" customFormat="false" ht="15" hidden="false" customHeight="false" outlineLevel="0" collapsed="false">
      <c r="A212" s="15" t="s">
        <v>1505</v>
      </c>
      <c r="B212" s="15" t="s">
        <v>1427</v>
      </c>
      <c r="C212" s="15" t="s">
        <v>1101</v>
      </c>
      <c r="D212" s="15" t="s">
        <v>1100</v>
      </c>
      <c r="E212" s="15" t="s">
        <v>1099</v>
      </c>
      <c r="F212" s="15" t="s">
        <v>176</v>
      </c>
      <c r="G212" s="15" t="s">
        <v>148</v>
      </c>
      <c r="H212" s="15" t="s">
        <v>144</v>
      </c>
    </row>
    <row r="213" customFormat="false" ht="15" hidden="false" customHeight="false" outlineLevel="0" collapsed="false">
      <c r="A213" s="15" t="s">
        <v>1505</v>
      </c>
      <c r="B213" s="15" t="s">
        <v>1427</v>
      </c>
      <c r="C213" s="15" t="s">
        <v>1313</v>
      </c>
      <c r="D213" s="15" t="s">
        <v>1312</v>
      </c>
      <c r="E213" s="15" t="s">
        <v>1099</v>
      </c>
      <c r="F213" s="15" t="s">
        <v>176</v>
      </c>
      <c r="G213" s="15" t="s">
        <v>157</v>
      </c>
      <c r="H213" s="15" t="s">
        <v>144</v>
      </c>
    </row>
    <row r="214" customFormat="false" ht="15" hidden="false" customHeight="false" outlineLevel="0" collapsed="false">
      <c r="A214" s="15" t="s">
        <v>1505</v>
      </c>
      <c r="B214" s="15" t="s">
        <v>1427</v>
      </c>
      <c r="C214" s="15" t="s">
        <v>1029</v>
      </c>
      <c r="D214" s="15" t="s">
        <v>1028</v>
      </c>
      <c r="E214" s="15" t="s">
        <v>1027</v>
      </c>
      <c r="F214" s="15" t="s">
        <v>176</v>
      </c>
      <c r="G214" s="15" t="s">
        <v>145</v>
      </c>
      <c r="H214" s="15" t="s">
        <v>144</v>
      </c>
    </row>
    <row r="215" customFormat="false" ht="15" hidden="false" customHeight="false" outlineLevel="0" collapsed="false">
      <c r="A215" s="15" t="s">
        <v>1505</v>
      </c>
      <c r="B215" s="15" t="s">
        <v>1427</v>
      </c>
      <c r="C215" s="15" t="s">
        <v>1045</v>
      </c>
      <c r="D215" s="15" t="s">
        <v>1044</v>
      </c>
      <c r="E215" s="15" t="s">
        <v>1043</v>
      </c>
      <c r="F215" s="15" t="s">
        <v>176</v>
      </c>
      <c r="G215" s="15" t="s">
        <v>145</v>
      </c>
      <c r="H215" s="15" t="s">
        <v>144</v>
      </c>
    </row>
    <row r="216" customFormat="false" ht="15" hidden="false" customHeight="false" outlineLevel="0" collapsed="false">
      <c r="A216" s="15" t="s">
        <v>1505</v>
      </c>
      <c r="B216" s="15" t="s">
        <v>1427</v>
      </c>
      <c r="C216" s="15" t="s">
        <v>1269</v>
      </c>
      <c r="D216" s="15" t="s">
        <v>1268</v>
      </c>
      <c r="E216" s="15" t="s">
        <v>1267</v>
      </c>
      <c r="F216" s="15" t="s">
        <v>177</v>
      </c>
      <c r="G216" s="15" t="s">
        <v>154</v>
      </c>
      <c r="H216" s="15" t="s">
        <v>144</v>
      </c>
    </row>
    <row r="217" customFormat="false" ht="15" hidden="false" customHeight="false" outlineLevel="0" collapsed="false">
      <c r="A217" s="15" t="s">
        <v>1505</v>
      </c>
      <c r="B217" s="15" t="s">
        <v>1427</v>
      </c>
      <c r="C217" s="15" t="s">
        <v>1325</v>
      </c>
      <c r="D217" s="15" t="s">
        <v>1324</v>
      </c>
      <c r="E217" s="15" t="s">
        <v>1323</v>
      </c>
      <c r="F217" s="15" t="s">
        <v>176</v>
      </c>
      <c r="G217" s="15" t="s">
        <v>157</v>
      </c>
      <c r="H217" s="15" t="s">
        <v>144</v>
      </c>
    </row>
    <row r="218" customFormat="false" ht="15" hidden="false" customHeight="false" outlineLevel="0" collapsed="false">
      <c r="A218" s="15" t="s">
        <v>1505</v>
      </c>
      <c r="B218" s="15" t="s">
        <v>1427</v>
      </c>
      <c r="C218" s="15" t="s">
        <v>1105</v>
      </c>
      <c r="D218" s="15" t="s">
        <v>1104</v>
      </c>
      <c r="E218" s="15" t="s">
        <v>1103</v>
      </c>
      <c r="F218" s="15" t="s">
        <v>176</v>
      </c>
      <c r="G218" s="15" t="s">
        <v>148</v>
      </c>
      <c r="H218" s="15" t="s">
        <v>144</v>
      </c>
    </row>
    <row r="219" customFormat="false" ht="15" hidden="false" customHeight="false" outlineLevel="0" collapsed="false">
      <c r="A219" s="15" t="s">
        <v>1505</v>
      </c>
      <c r="B219" s="15" t="s">
        <v>1427</v>
      </c>
      <c r="C219" s="15" t="s">
        <v>1157</v>
      </c>
      <c r="D219" s="15" t="s">
        <v>1156</v>
      </c>
      <c r="E219" s="15" t="s">
        <v>1155</v>
      </c>
      <c r="F219" s="15" t="s">
        <v>178</v>
      </c>
      <c r="G219" s="15" t="s">
        <v>148</v>
      </c>
      <c r="H219" s="15" t="s">
        <v>144</v>
      </c>
    </row>
    <row r="220" customFormat="false" ht="15" hidden="false" customHeight="false" outlineLevel="0" collapsed="false">
      <c r="A220" s="15" t="s">
        <v>1505</v>
      </c>
      <c r="B220" s="15" t="s">
        <v>1427</v>
      </c>
      <c r="C220" s="15" t="s">
        <v>1149</v>
      </c>
      <c r="D220" s="15" t="s">
        <v>1148</v>
      </c>
      <c r="E220" s="15" t="s">
        <v>1147</v>
      </c>
      <c r="F220" s="15" t="s">
        <v>178</v>
      </c>
      <c r="G220" s="15" t="s">
        <v>148</v>
      </c>
      <c r="H220" s="15" t="s">
        <v>144</v>
      </c>
    </row>
    <row r="221" customFormat="false" ht="15" hidden="false" customHeight="false" outlineLevel="0" collapsed="false">
      <c r="A221" s="15" t="s">
        <v>1505</v>
      </c>
      <c r="B221" s="15" t="s">
        <v>1427</v>
      </c>
      <c r="C221" s="15" t="s">
        <v>1069</v>
      </c>
      <c r="D221" s="15" t="s">
        <v>1068</v>
      </c>
      <c r="E221" s="15" t="s">
        <v>1067</v>
      </c>
      <c r="F221" s="15" t="s">
        <v>177</v>
      </c>
      <c r="G221" s="15" t="s">
        <v>145</v>
      </c>
      <c r="H221" s="15" t="s">
        <v>144</v>
      </c>
    </row>
    <row r="222" customFormat="false" ht="15" hidden="false" customHeight="false" outlineLevel="0" collapsed="false">
      <c r="A222" s="15" t="s">
        <v>1505</v>
      </c>
      <c r="B222" s="15" t="s">
        <v>1427</v>
      </c>
      <c r="C222" s="15" t="s">
        <v>1141</v>
      </c>
      <c r="D222" s="15" t="s">
        <v>1140</v>
      </c>
      <c r="E222" s="15" t="s">
        <v>1139</v>
      </c>
      <c r="F222" s="15" t="s">
        <v>177</v>
      </c>
      <c r="G222" s="15" t="s">
        <v>148</v>
      </c>
      <c r="H222" s="15" t="s">
        <v>144</v>
      </c>
    </row>
    <row r="223" customFormat="false" ht="15" hidden="false" customHeight="false" outlineLevel="0" collapsed="false">
      <c r="A223" s="15" t="s">
        <v>1505</v>
      </c>
      <c r="B223" s="15" t="s">
        <v>1427</v>
      </c>
      <c r="C223" s="15" t="s">
        <v>1328</v>
      </c>
      <c r="D223" s="15" t="s">
        <v>1327</v>
      </c>
      <c r="E223" s="15" t="s">
        <v>1326</v>
      </c>
      <c r="F223" s="15" t="s">
        <v>176</v>
      </c>
      <c r="G223" s="15" t="s">
        <v>157</v>
      </c>
      <c r="H223" s="15" t="s">
        <v>144</v>
      </c>
    </row>
    <row r="224" customFormat="false" ht="15" hidden="false" customHeight="false" outlineLevel="0" collapsed="false">
      <c r="A224" s="15" t="s">
        <v>1505</v>
      </c>
      <c r="B224" s="15" t="s">
        <v>1427</v>
      </c>
      <c r="C224" s="15" t="s">
        <v>1248</v>
      </c>
      <c r="D224" s="15" t="s">
        <v>1247</v>
      </c>
      <c r="E224" s="15" t="s">
        <v>1246</v>
      </c>
      <c r="F224" s="15" t="s">
        <v>177</v>
      </c>
      <c r="G224" s="15" t="s">
        <v>154</v>
      </c>
      <c r="H224" s="15" t="s">
        <v>144</v>
      </c>
    </row>
    <row r="225" customFormat="false" ht="15" hidden="false" customHeight="false" outlineLevel="0" collapsed="false">
      <c r="A225" s="15" t="s">
        <v>1505</v>
      </c>
      <c r="B225" s="15" t="s">
        <v>1427</v>
      </c>
      <c r="C225" s="15" t="s">
        <v>1021</v>
      </c>
      <c r="D225" s="15" t="s">
        <v>1020</v>
      </c>
      <c r="E225" s="15" t="s">
        <v>327</v>
      </c>
      <c r="F225" s="15" t="s">
        <v>176</v>
      </c>
      <c r="G225" s="15" t="s">
        <v>145</v>
      </c>
      <c r="H225" s="15" t="s">
        <v>144</v>
      </c>
    </row>
    <row r="226" customFormat="false" ht="15" hidden="false" customHeight="false" outlineLevel="0" collapsed="false">
      <c r="A226" s="15" t="s">
        <v>1505</v>
      </c>
      <c r="B226" s="15" t="s">
        <v>1427</v>
      </c>
      <c r="C226" s="15" t="s">
        <v>1076</v>
      </c>
      <c r="D226" s="15" t="s">
        <v>1075</v>
      </c>
      <c r="E226" s="15" t="s">
        <v>1074</v>
      </c>
      <c r="F226" s="15" t="s">
        <v>177</v>
      </c>
      <c r="G226" s="15" t="s">
        <v>145</v>
      </c>
      <c r="H226" s="15" t="s">
        <v>144</v>
      </c>
    </row>
    <row r="227" customFormat="false" ht="15" hidden="false" customHeight="false" outlineLevel="0" collapsed="false">
      <c r="A227" s="15" t="s">
        <v>1505</v>
      </c>
      <c r="B227" s="15" t="s">
        <v>1427</v>
      </c>
      <c r="C227" s="15" t="s">
        <v>1089</v>
      </c>
      <c r="D227" s="15" t="s">
        <v>1088</v>
      </c>
      <c r="E227" s="15" t="s">
        <v>1087</v>
      </c>
      <c r="F227" s="15" t="s">
        <v>176</v>
      </c>
      <c r="G227" s="15" t="s">
        <v>148</v>
      </c>
      <c r="H227" s="15" t="s">
        <v>144</v>
      </c>
    </row>
    <row r="228" customFormat="false" ht="15" hidden="false" customHeight="false" outlineLevel="0" collapsed="false">
      <c r="A228" s="15" t="s">
        <v>1505</v>
      </c>
      <c r="B228" s="15" t="s">
        <v>1427</v>
      </c>
      <c r="C228" s="15" t="s">
        <v>1251</v>
      </c>
      <c r="D228" s="15" t="s">
        <v>1250</v>
      </c>
      <c r="E228" s="15" t="s">
        <v>1249</v>
      </c>
      <c r="F228" s="15" t="s">
        <v>177</v>
      </c>
      <c r="G228" s="15" t="s">
        <v>154</v>
      </c>
      <c r="H228" s="15" t="s">
        <v>144</v>
      </c>
    </row>
    <row r="229" customFormat="false" ht="15" hidden="false" customHeight="false" outlineLevel="0" collapsed="false">
      <c r="A229" s="15" t="s">
        <v>1505</v>
      </c>
      <c r="B229" s="15" t="s">
        <v>1427</v>
      </c>
      <c r="C229" s="15" t="s">
        <v>1224</v>
      </c>
      <c r="D229" s="15" t="s">
        <v>1223</v>
      </c>
      <c r="E229" s="15" t="s">
        <v>1222</v>
      </c>
      <c r="F229" s="15" t="s">
        <v>176</v>
      </c>
      <c r="G229" s="15" t="s">
        <v>154</v>
      </c>
      <c r="H229" s="15" t="s">
        <v>144</v>
      </c>
    </row>
    <row r="230" customFormat="false" ht="15" hidden="false" customHeight="false" outlineLevel="0" collapsed="false">
      <c r="A230" s="15" t="s">
        <v>1505</v>
      </c>
      <c r="B230" s="15" t="s">
        <v>1427</v>
      </c>
      <c r="C230" s="15" t="s">
        <v>1037</v>
      </c>
      <c r="D230" s="15" t="s">
        <v>1036</v>
      </c>
      <c r="E230" s="15" t="s">
        <v>1035</v>
      </c>
      <c r="F230" s="15" t="s">
        <v>176</v>
      </c>
      <c r="G230" s="15" t="s">
        <v>145</v>
      </c>
      <c r="H230" s="15" t="s">
        <v>144</v>
      </c>
    </row>
    <row r="231" customFormat="false" ht="15" hidden="false" customHeight="false" outlineLevel="0" collapsed="false">
      <c r="A231" s="15" t="s">
        <v>1505</v>
      </c>
      <c r="B231" s="15" t="s">
        <v>1427</v>
      </c>
      <c r="C231" s="15" t="s">
        <v>1176</v>
      </c>
      <c r="D231" s="15" t="s">
        <v>1175</v>
      </c>
      <c r="E231" s="15" t="s">
        <v>1174</v>
      </c>
      <c r="F231" s="15" t="s">
        <v>176</v>
      </c>
      <c r="G231" s="15" t="s">
        <v>151</v>
      </c>
      <c r="H231" s="15" t="s">
        <v>144</v>
      </c>
    </row>
    <row r="232" customFormat="false" ht="15" hidden="false" customHeight="false" outlineLevel="0" collapsed="false">
      <c r="A232" s="15" t="s">
        <v>1505</v>
      </c>
      <c r="B232" s="15" t="s">
        <v>1427</v>
      </c>
      <c r="C232" s="15" t="s">
        <v>1041</v>
      </c>
      <c r="D232" s="15" t="s">
        <v>1040</v>
      </c>
      <c r="E232" s="15" t="s">
        <v>1039</v>
      </c>
      <c r="F232" s="15" t="s">
        <v>176</v>
      </c>
      <c r="G232" s="15" t="s">
        <v>145</v>
      </c>
      <c r="H232" s="15" t="s">
        <v>144</v>
      </c>
    </row>
    <row r="233" customFormat="false" ht="15" hidden="false" customHeight="false" outlineLevel="0" collapsed="false">
      <c r="A233" s="15" t="s">
        <v>1505</v>
      </c>
      <c r="B233" s="15" t="s">
        <v>1427</v>
      </c>
      <c r="C233" s="15" t="s">
        <v>1109</v>
      </c>
      <c r="D233" s="15" t="s">
        <v>1108</v>
      </c>
      <c r="E233" s="15" t="s">
        <v>1107</v>
      </c>
      <c r="F233" s="15" t="s">
        <v>176</v>
      </c>
      <c r="G233" s="15" t="s">
        <v>148</v>
      </c>
      <c r="H233" s="15" t="s">
        <v>144</v>
      </c>
    </row>
    <row r="234" customFormat="false" ht="15" hidden="false" customHeight="false" outlineLevel="0" collapsed="false">
      <c r="A234" s="15" t="s">
        <v>1505</v>
      </c>
      <c r="B234" s="15" t="s">
        <v>1427</v>
      </c>
      <c r="C234" s="15" t="s">
        <v>1342</v>
      </c>
      <c r="D234" s="15" t="s">
        <v>1341</v>
      </c>
      <c r="E234" s="15" t="s">
        <v>1340</v>
      </c>
      <c r="F234" s="15" t="s">
        <v>177</v>
      </c>
      <c r="G234" s="15" t="s">
        <v>157</v>
      </c>
      <c r="H234" s="15" t="s">
        <v>144</v>
      </c>
    </row>
    <row r="235" customFormat="false" ht="15" hidden="false" customHeight="false" outlineLevel="0" collapsed="false">
      <c r="A235" s="15" t="s">
        <v>1505</v>
      </c>
      <c r="B235" s="15" t="s">
        <v>1427</v>
      </c>
      <c r="C235" s="15" t="s">
        <v>1097</v>
      </c>
      <c r="D235" s="15" t="s">
        <v>1096</v>
      </c>
      <c r="E235" s="15" t="s">
        <v>1095</v>
      </c>
      <c r="F235" s="15" t="s">
        <v>176</v>
      </c>
      <c r="G235" s="15" t="s">
        <v>148</v>
      </c>
      <c r="H235" s="15" t="s">
        <v>144</v>
      </c>
    </row>
    <row r="236" customFormat="false" ht="15" hidden="false" customHeight="false" outlineLevel="0" collapsed="false">
      <c r="A236" s="15" t="s">
        <v>1505</v>
      </c>
      <c r="B236" s="15" t="s">
        <v>1427</v>
      </c>
      <c r="C236" s="15" t="s">
        <v>1180</v>
      </c>
      <c r="D236" s="15" t="s">
        <v>1179</v>
      </c>
      <c r="E236" s="15" t="s">
        <v>1178</v>
      </c>
      <c r="F236" s="15" t="s">
        <v>176</v>
      </c>
      <c r="G236" s="15" t="s">
        <v>151</v>
      </c>
      <c r="H236" s="15" t="s">
        <v>144</v>
      </c>
    </row>
    <row r="237" customFormat="false" ht="15" hidden="false" customHeight="false" outlineLevel="0" collapsed="false">
      <c r="A237" s="15" t="s">
        <v>1505</v>
      </c>
      <c r="B237" s="15" t="s">
        <v>1427</v>
      </c>
      <c r="C237" s="15" t="s">
        <v>1202</v>
      </c>
      <c r="D237" s="15" t="s">
        <v>1201</v>
      </c>
      <c r="E237" s="15" t="s">
        <v>1200</v>
      </c>
      <c r="F237" s="15" t="s">
        <v>177</v>
      </c>
      <c r="G237" s="15" t="s">
        <v>151</v>
      </c>
      <c r="H237" s="15" t="s">
        <v>144</v>
      </c>
    </row>
    <row r="238" customFormat="false" ht="15" hidden="false" customHeight="false" outlineLevel="0" collapsed="false">
      <c r="A238" s="15" t="s">
        <v>1505</v>
      </c>
      <c r="B238" s="15" t="s">
        <v>1427</v>
      </c>
      <c r="C238" s="15" t="s">
        <v>1205</v>
      </c>
      <c r="D238" s="15" t="s">
        <v>1204</v>
      </c>
      <c r="E238" s="15" t="s">
        <v>1203</v>
      </c>
      <c r="F238" s="15" t="s">
        <v>177</v>
      </c>
      <c r="G238" s="15" t="s">
        <v>151</v>
      </c>
      <c r="H238" s="15" t="s">
        <v>144</v>
      </c>
    </row>
    <row r="239" customFormat="false" ht="15" hidden="false" customHeight="false" outlineLevel="0" collapsed="false">
      <c r="A239" s="15" t="s">
        <v>1505</v>
      </c>
      <c r="B239" s="15" t="s">
        <v>1427</v>
      </c>
      <c r="C239" s="15" t="s">
        <v>1220</v>
      </c>
      <c r="D239" s="15" t="s">
        <v>1219</v>
      </c>
      <c r="E239" s="15" t="s">
        <v>1218</v>
      </c>
      <c r="F239" s="15" t="s">
        <v>176</v>
      </c>
      <c r="G239" s="15" t="s">
        <v>154</v>
      </c>
      <c r="H239" s="15" t="s">
        <v>144</v>
      </c>
    </row>
    <row r="240" customFormat="false" ht="15" hidden="false" customHeight="false" outlineLevel="0" collapsed="false">
      <c r="A240" s="15" t="s">
        <v>1505</v>
      </c>
      <c r="B240" s="15" t="s">
        <v>1427</v>
      </c>
      <c r="C240" s="15" t="s">
        <v>1165</v>
      </c>
      <c r="D240" s="15" t="s">
        <v>1164</v>
      </c>
      <c r="E240" s="15" t="s">
        <v>1163</v>
      </c>
      <c r="F240" s="15" t="s">
        <v>178</v>
      </c>
      <c r="G240" s="15" t="s">
        <v>148</v>
      </c>
      <c r="H240" s="15" t="s">
        <v>144</v>
      </c>
    </row>
    <row r="241" customFormat="false" ht="15" hidden="false" customHeight="false" outlineLevel="0" collapsed="false">
      <c r="A241" s="15" t="s">
        <v>1505</v>
      </c>
      <c r="B241" s="15" t="s">
        <v>1427</v>
      </c>
      <c r="C241" s="15" t="s">
        <v>1125</v>
      </c>
      <c r="D241" s="15" t="s">
        <v>1124</v>
      </c>
      <c r="E241" s="15" t="s">
        <v>1123</v>
      </c>
      <c r="F241" s="15" t="s">
        <v>177</v>
      </c>
      <c r="G241" s="15" t="s">
        <v>148</v>
      </c>
      <c r="H241" s="15" t="s">
        <v>144</v>
      </c>
    </row>
    <row r="242" customFormat="false" ht="15" hidden="false" customHeight="false" outlineLevel="0" collapsed="false">
      <c r="A242" s="15" t="s">
        <v>1505</v>
      </c>
      <c r="B242" s="15" t="s">
        <v>1427</v>
      </c>
      <c r="C242" s="15" t="s">
        <v>1276</v>
      </c>
      <c r="D242" s="15" t="s">
        <v>1275</v>
      </c>
      <c r="E242" s="15" t="s">
        <v>1274</v>
      </c>
      <c r="F242" s="15" t="s">
        <v>177</v>
      </c>
      <c r="G242" s="15" t="s">
        <v>154</v>
      </c>
      <c r="H242" s="15" t="s">
        <v>144</v>
      </c>
    </row>
    <row r="243" customFormat="false" ht="15" hidden="false" customHeight="false" outlineLevel="0" collapsed="false">
      <c r="A243" s="15" t="s">
        <v>1505</v>
      </c>
      <c r="B243" s="15" t="s">
        <v>1427</v>
      </c>
      <c r="C243" s="15" t="s">
        <v>1153</v>
      </c>
      <c r="D243" s="15" t="s">
        <v>1152</v>
      </c>
      <c r="E243" s="15" t="s">
        <v>1151</v>
      </c>
      <c r="F243" s="15" t="s">
        <v>178</v>
      </c>
      <c r="G243" s="15" t="s">
        <v>148</v>
      </c>
      <c r="H243" s="15" t="s">
        <v>144</v>
      </c>
    </row>
    <row r="244" customFormat="false" ht="15" hidden="false" customHeight="false" outlineLevel="0" collapsed="false">
      <c r="A244" s="15" t="s">
        <v>1505</v>
      </c>
      <c r="B244" s="15" t="s">
        <v>1427</v>
      </c>
      <c r="C244" s="15" t="s">
        <v>1183</v>
      </c>
      <c r="D244" s="15" t="s">
        <v>1182</v>
      </c>
      <c r="E244" s="15" t="s">
        <v>1181</v>
      </c>
      <c r="F244" s="15" t="s">
        <v>176</v>
      </c>
      <c r="G244" s="15" t="s">
        <v>151</v>
      </c>
      <c r="H244" s="15" t="s">
        <v>144</v>
      </c>
    </row>
    <row r="245" customFormat="false" ht="15" hidden="false" customHeight="false" outlineLevel="0" collapsed="false">
      <c r="A245" s="15" t="s">
        <v>1505</v>
      </c>
      <c r="B245" s="15" t="s">
        <v>1427</v>
      </c>
      <c r="C245" s="15" t="s">
        <v>1339</v>
      </c>
      <c r="D245" s="15" t="s">
        <v>1338</v>
      </c>
      <c r="E245" s="15" t="s">
        <v>1337</v>
      </c>
      <c r="F245" s="15" t="s">
        <v>176</v>
      </c>
      <c r="G245" s="15" t="s">
        <v>157</v>
      </c>
      <c r="H245" s="15" t="s">
        <v>144</v>
      </c>
    </row>
    <row r="246" customFormat="false" ht="15" hidden="false" customHeight="false" outlineLevel="0" collapsed="false">
      <c r="A246" s="15" t="s">
        <v>1505</v>
      </c>
      <c r="B246" s="15" t="s">
        <v>1427</v>
      </c>
      <c r="C246" s="15" t="s">
        <v>1347</v>
      </c>
      <c r="D246" s="15" t="s">
        <v>1346</v>
      </c>
      <c r="E246" s="15" t="s">
        <v>1337</v>
      </c>
      <c r="F246" s="15" t="s">
        <v>177</v>
      </c>
      <c r="G246" s="15" t="s">
        <v>157</v>
      </c>
      <c r="H246" s="15" t="s">
        <v>144</v>
      </c>
    </row>
    <row r="247" customFormat="false" ht="15" hidden="false" customHeight="false" outlineLevel="0" collapsed="false">
      <c r="A247" s="15" t="s">
        <v>1505</v>
      </c>
      <c r="B247" s="15" t="s">
        <v>1427</v>
      </c>
      <c r="C247" s="15" t="s">
        <v>1255</v>
      </c>
      <c r="D247" s="15" t="s">
        <v>1254</v>
      </c>
      <c r="E247" s="15" t="s">
        <v>1253</v>
      </c>
      <c r="F247" s="15" t="s">
        <v>177</v>
      </c>
      <c r="G247" s="15" t="s">
        <v>154</v>
      </c>
      <c r="H247" s="15" t="s">
        <v>144</v>
      </c>
    </row>
    <row r="248" customFormat="false" ht="15" hidden="false" customHeight="false" outlineLevel="0" collapsed="false">
      <c r="A248" s="15" t="s">
        <v>1505</v>
      </c>
      <c r="B248" s="15" t="s">
        <v>1427</v>
      </c>
      <c r="C248" s="15" t="s">
        <v>1216</v>
      </c>
      <c r="D248" s="15" t="s">
        <v>1215</v>
      </c>
      <c r="E248" s="15" t="s">
        <v>1214</v>
      </c>
      <c r="F248" s="15"/>
      <c r="G248" s="15" t="s">
        <v>151</v>
      </c>
      <c r="H248" s="15" t="s">
        <v>144</v>
      </c>
    </row>
    <row r="249" customFormat="false" ht="15" hidden="false" customHeight="false" outlineLevel="0" collapsed="false">
      <c r="A249" s="15" t="s">
        <v>1505</v>
      </c>
      <c r="B249" s="15" t="s">
        <v>1427</v>
      </c>
      <c r="C249" s="15" t="s">
        <v>1212</v>
      </c>
      <c r="D249" s="15" t="s">
        <v>1211</v>
      </c>
      <c r="E249" s="15" t="s">
        <v>1210</v>
      </c>
      <c r="F249" s="15"/>
      <c r="G249" s="15" t="s">
        <v>151</v>
      </c>
      <c r="H249" s="15" t="s">
        <v>144</v>
      </c>
    </row>
    <row r="250" customFormat="false" ht="15" hidden="false" customHeight="false" outlineLevel="0" collapsed="false">
      <c r="A250" s="15" t="s">
        <v>1505</v>
      </c>
      <c r="B250" s="15" t="s">
        <v>1427</v>
      </c>
      <c r="C250" s="15" t="s">
        <v>1305</v>
      </c>
      <c r="D250" s="15" t="s">
        <v>1304</v>
      </c>
      <c r="E250" s="15" t="s">
        <v>1303</v>
      </c>
      <c r="F250" s="15" t="s">
        <v>176</v>
      </c>
      <c r="G250" s="15" t="s">
        <v>157</v>
      </c>
      <c r="H250" s="15" t="s">
        <v>144</v>
      </c>
    </row>
    <row r="251" customFormat="false" ht="15" hidden="false" customHeight="false" outlineLevel="0" collapsed="false">
      <c r="A251" s="15" t="s">
        <v>1505</v>
      </c>
      <c r="B251" s="15" t="s">
        <v>1427</v>
      </c>
      <c r="C251" s="15" t="s">
        <v>1332</v>
      </c>
      <c r="D251" s="15" t="s">
        <v>1331</v>
      </c>
      <c r="E251" s="15" t="s">
        <v>1303</v>
      </c>
      <c r="F251" s="15" t="s">
        <v>176</v>
      </c>
      <c r="G251" s="15" t="s">
        <v>157</v>
      </c>
      <c r="H251" s="15" t="s">
        <v>144</v>
      </c>
    </row>
    <row r="252" customFormat="false" ht="15" hidden="false" customHeight="false" outlineLevel="0" collapsed="false">
      <c r="A252" s="15" t="s">
        <v>1505</v>
      </c>
      <c r="B252" s="15" t="s">
        <v>1427</v>
      </c>
      <c r="C252" s="15" t="s">
        <v>1356</v>
      </c>
      <c r="D252" s="15" t="s">
        <v>1355</v>
      </c>
      <c r="E252" s="15" t="s">
        <v>1354</v>
      </c>
      <c r="F252" s="15" t="s">
        <v>177</v>
      </c>
      <c r="G252" s="15" t="s">
        <v>157</v>
      </c>
      <c r="H252" s="15" t="s">
        <v>144</v>
      </c>
    </row>
    <row r="253" customFormat="false" ht="15" hidden="false" customHeight="false" outlineLevel="0" collapsed="false">
      <c r="A253" s="15" t="s">
        <v>1505</v>
      </c>
      <c r="B253" s="15" t="s">
        <v>1427</v>
      </c>
      <c r="C253" s="15" t="s">
        <v>1232</v>
      </c>
      <c r="D253" s="15" t="s">
        <v>1231</v>
      </c>
      <c r="E253" s="15" t="s">
        <v>1230</v>
      </c>
      <c r="F253" s="15" t="s">
        <v>177</v>
      </c>
      <c r="G253" s="15" t="s">
        <v>154</v>
      </c>
      <c r="H253" s="15" t="s">
        <v>144</v>
      </c>
    </row>
    <row r="254" customFormat="false" ht="15" hidden="false" customHeight="false" outlineLevel="0" collapsed="false">
      <c r="A254" s="15" t="s">
        <v>1505</v>
      </c>
      <c r="B254" s="15" t="s">
        <v>1427</v>
      </c>
      <c r="C254" s="15" t="s">
        <v>1335</v>
      </c>
      <c r="D254" s="15" t="s">
        <v>1334</v>
      </c>
      <c r="E254" s="15" t="s">
        <v>1333</v>
      </c>
      <c r="F254" s="15" t="s">
        <v>176</v>
      </c>
      <c r="G254" s="15" t="s">
        <v>157</v>
      </c>
      <c r="H254" s="15" t="s">
        <v>144</v>
      </c>
    </row>
    <row r="255" customFormat="false" ht="15" hidden="false" customHeight="false" outlineLevel="0" collapsed="false">
      <c r="A255" s="15" t="s">
        <v>1505</v>
      </c>
      <c r="B255" s="15" t="s">
        <v>1427</v>
      </c>
      <c r="C255" s="15" t="s">
        <v>1317</v>
      </c>
      <c r="D255" s="15" t="s">
        <v>1316</v>
      </c>
      <c r="E255" s="15" t="s">
        <v>1315</v>
      </c>
      <c r="F255" s="15" t="s">
        <v>176</v>
      </c>
      <c r="G255" s="15" t="s">
        <v>157</v>
      </c>
      <c r="H255" s="15" t="s">
        <v>144</v>
      </c>
    </row>
    <row r="256" customFormat="false" ht="15" hidden="false" customHeight="false" outlineLevel="0" collapsed="false">
      <c r="A256" s="15" t="s">
        <v>1505</v>
      </c>
      <c r="B256" s="15" t="s">
        <v>1427</v>
      </c>
      <c r="C256" s="15" t="s">
        <v>1228</v>
      </c>
      <c r="D256" s="15" t="s">
        <v>1227</v>
      </c>
      <c r="E256" s="15" t="s">
        <v>1226</v>
      </c>
      <c r="F256" s="15" t="s">
        <v>176</v>
      </c>
      <c r="G256" s="15" t="s">
        <v>154</v>
      </c>
      <c r="H256" s="15" t="s">
        <v>144</v>
      </c>
    </row>
    <row r="257" customFormat="false" ht="15" hidden="false" customHeight="false" outlineLevel="0" collapsed="false">
      <c r="A257" s="15" t="s">
        <v>1505</v>
      </c>
      <c r="B257" s="15" t="s">
        <v>1427</v>
      </c>
      <c r="C257" s="15" t="s">
        <v>1240</v>
      </c>
      <c r="D257" s="15" t="s">
        <v>1239</v>
      </c>
      <c r="E257" s="15" t="s">
        <v>1238</v>
      </c>
      <c r="F257" s="15" t="s">
        <v>177</v>
      </c>
      <c r="G257" s="15" t="s">
        <v>154</v>
      </c>
      <c r="H257" s="15" t="s">
        <v>144</v>
      </c>
    </row>
    <row r="258" customFormat="false" ht="15" hidden="false" customHeight="false" outlineLevel="0" collapsed="false">
      <c r="A258" s="15" t="s">
        <v>1505</v>
      </c>
      <c r="B258" s="15" t="s">
        <v>1427</v>
      </c>
      <c r="C258" s="15" t="s">
        <v>1145</v>
      </c>
      <c r="D258" s="15" t="s">
        <v>1144</v>
      </c>
      <c r="E258" s="15" t="s">
        <v>1143</v>
      </c>
      <c r="F258" s="15" t="s">
        <v>177</v>
      </c>
      <c r="G258" s="15" t="s">
        <v>148</v>
      </c>
      <c r="H258" s="15" t="s">
        <v>144</v>
      </c>
    </row>
    <row r="259" customFormat="false" ht="15" hidden="false" customHeight="false" outlineLevel="0" collapsed="false">
      <c r="A259" s="15" t="s">
        <v>1505</v>
      </c>
      <c r="B259" s="15" t="s">
        <v>1427</v>
      </c>
      <c r="C259" s="15" t="s">
        <v>1129</v>
      </c>
      <c r="D259" s="15" t="s">
        <v>1128</v>
      </c>
      <c r="E259" s="15" t="s">
        <v>1127</v>
      </c>
      <c r="F259" s="15" t="s">
        <v>177</v>
      </c>
      <c r="G259" s="15" t="s">
        <v>148</v>
      </c>
      <c r="H259" s="15" t="s">
        <v>144</v>
      </c>
    </row>
    <row r="260" customFormat="false" ht="15" hidden="false" customHeight="false" outlineLevel="0" collapsed="false">
      <c r="A260" s="15" t="s">
        <v>1505</v>
      </c>
      <c r="B260" s="15" t="s">
        <v>1427</v>
      </c>
      <c r="C260" s="15" t="s">
        <v>1072</v>
      </c>
      <c r="D260" s="15" t="s">
        <v>1071</v>
      </c>
      <c r="E260" s="15" t="s">
        <v>1070</v>
      </c>
      <c r="F260" s="15" t="s">
        <v>177</v>
      </c>
      <c r="G260" s="15" t="s">
        <v>145</v>
      </c>
      <c r="H260" s="15" t="s">
        <v>144</v>
      </c>
    </row>
    <row r="261" customFormat="false" ht="15" hidden="false" customHeight="false" outlineLevel="0" collapsed="false">
      <c r="A261" s="15" t="s">
        <v>1505</v>
      </c>
      <c r="B261" s="15" t="s">
        <v>1427</v>
      </c>
      <c r="C261" s="15" t="s">
        <v>1051</v>
      </c>
      <c r="D261" s="15" t="s">
        <v>1050</v>
      </c>
      <c r="E261" s="15" t="s">
        <v>1049</v>
      </c>
      <c r="F261" s="15" t="s">
        <v>177</v>
      </c>
      <c r="G261" s="15" t="s">
        <v>145</v>
      </c>
      <c r="H261" s="15" t="s">
        <v>144</v>
      </c>
    </row>
    <row r="262" customFormat="false" ht="15" hidden="false" customHeight="false" outlineLevel="0" collapsed="false">
      <c r="A262" s="15" t="s">
        <v>1505</v>
      </c>
      <c r="B262" s="15" t="s">
        <v>1427</v>
      </c>
      <c r="C262" s="15" t="s">
        <v>1055</v>
      </c>
      <c r="D262" s="15" t="s">
        <v>1054</v>
      </c>
      <c r="E262" s="15" t="s">
        <v>1053</v>
      </c>
      <c r="F262" s="15" t="s">
        <v>177</v>
      </c>
      <c r="G262" s="15" t="s">
        <v>145</v>
      </c>
      <c r="H262" s="15" t="s">
        <v>144</v>
      </c>
    </row>
    <row r="263" customFormat="false" ht="15" hidden="false" customHeight="false" outlineLevel="0" collapsed="false">
      <c r="A263" s="15" t="s">
        <v>1505</v>
      </c>
      <c r="B263" s="15" t="s">
        <v>1427</v>
      </c>
      <c r="C263" s="15" t="s">
        <v>1048</v>
      </c>
      <c r="D263" s="15" t="s">
        <v>1047</v>
      </c>
      <c r="E263" s="15" t="s">
        <v>1046</v>
      </c>
      <c r="F263" s="15" t="s">
        <v>176</v>
      </c>
      <c r="G263" s="15" t="s">
        <v>145</v>
      </c>
      <c r="H263" s="15" t="s">
        <v>144</v>
      </c>
    </row>
    <row r="264" customFormat="false" ht="15" hidden="false" customHeight="false" outlineLevel="0" collapsed="false">
      <c r="A264" s="15" t="s">
        <v>1505</v>
      </c>
      <c r="B264" s="15" t="s">
        <v>1427</v>
      </c>
      <c r="C264" s="15" t="s">
        <v>1350</v>
      </c>
      <c r="D264" s="15" t="s">
        <v>1349</v>
      </c>
      <c r="E264" s="15" t="s">
        <v>1348</v>
      </c>
      <c r="F264" s="15" t="s">
        <v>177</v>
      </c>
      <c r="G264" s="15" t="s">
        <v>157</v>
      </c>
      <c r="H264" s="15" t="s">
        <v>144</v>
      </c>
    </row>
    <row r="265" customFormat="false" ht="15" hidden="false" customHeight="false" outlineLevel="0" collapsed="false">
      <c r="A265" s="15" t="s">
        <v>1505</v>
      </c>
      <c r="B265" s="15" t="s">
        <v>1427</v>
      </c>
      <c r="C265" s="15" t="s">
        <v>1321</v>
      </c>
      <c r="D265" s="15" t="s">
        <v>1320</v>
      </c>
      <c r="E265" s="15" t="s">
        <v>1319</v>
      </c>
      <c r="F265" s="15" t="s">
        <v>176</v>
      </c>
      <c r="G265" s="15" t="s">
        <v>157</v>
      </c>
      <c r="H265" s="15" t="s">
        <v>144</v>
      </c>
    </row>
    <row r="266" customFormat="false" ht="15" hidden="false" customHeight="false" outlineLevel="0" collapsed="false">
      <c r="A266" s="15" t="s">
        <v>1505</v>
      </c>
      <c r="B266" s="15" t="s">
        <v>1427</v>
      </c>
      <c r="C266" s="15" t="s">
        <v>1113</v>
      </c>
      <c r="D266" s="15" t="s">
        <v>1112</v>
      </c>
      <c r="E266" s="15" t="s">
        <v>1111</v>
      </c>
      <c r="F266" s="15" t="s">
        <v>176</v>
      </c>
      <c r="G266" s="15" t="s">
        <v>148</v>
      </c>
      <c r="H266" s="15" t="s">
        <v>144</v>
      </c>
    </row>
    <row r="267" customFormat="false" ht="15" hidden="false" customHeight="false" outlineLevel="0" collapsed="false">
      <c r="A267" s="15" t="s">
        <v>1505</v>
      </c>
      <c r="B267" s="15" t="s">
        <v>1427</v>
      </c>
      <c r="C267" s="15" t="s">
        <v>1258</v>
      </c>
      <c r="D267" s="15" t="s">
        <v>1257</v>
      </c>
      <c r="E267" s="15" t="s">
        <v>1256</v>
      </c>
      <c r="F267" s="15" t="s">
        <v>177</v>
      </c>
      <c r="G267" s="15" t="s">
        <v>154</v>
      </c>
      <c r="H267" s="15" t="s">
        <v>144</v>
      </c>
    </row>
    <row r="268" customFormat="false" ht="15" hidden="false" customHeight="false" outlineLevel="0" collapsed="false">
      <c r="A268" s="15" t="s">
        <v>1505</v>
      </c>
      <c r="B268" s="15" t="s">
        <v>1427</v>
      </c>
      <c r="C268" s="15" t="s">
        <v>1080</v>
      </c>
      <c r="D268" s="15" t="s">
        <v>1079</v>
      </c>
      <c r="E268" s="15" t="s">
        <v>1078</v>
      </c>
      <c r="F268" s="15" t="s">
        <v>177</v>
      </c>
      <c r="G268" s="15" t="s">
        <v>145</v>
      </c>
      <c r="H268" s="15" t="s">
        <v>144</v>
      </c>
    </row>
    <row r="269" customFormat="false" ht="15" hidden="false" customHeight="false" outlineLevel="0" collapsed="false">
      <c r="A269" s="15" t="s">
        <v>1505</v>
      </c>
      <c r="B269" s="15" t="s">
        <v>1427</v>
      </c>
      <c r="C269" s="15" t="s">
        <v>1133</v>
      </c>
      <c r="D269" s="15" t="s">
        <v>1132</v>
      </c>
      <c r="E269" s="15" t="s">
        <v>1131</v>
      </c>
      <c r="F269" s="15" t="s">
        <v>177</v>
      </c>
      <c r="G269" s="15" t="s">
        <v>148</v>
      </c>
      <c r="H269" s="15" t="s">
        <v>144</v>
      </c>
    </row>
    <row r="270" customFormat="false" ht="15" hidden="false" customHeight="false" outlineLevel="0" collapsed="false">
      <c r="A270" s="15" t="s">
        <v>1505</v>
      </c>
      <c r="B270" s="15" t="s">
        <v>1427</v>
      </c>
      <c r="C270" s="15" t="s">
        <v>1208</v>
      </c>
      <c r="D270" s="15" t="s">
        <v>1207</v>
      </c>
      <c r="E270" s="15" t="s">
        <v>1206</v>
      </c>
      <c r="F270" s="15" t="s">
        <v>177</v>
      </c>
      <c r="G270" s="15" t="s">
        <v>151</v>
      </c>
      <c r="H270" s="15" t="s">
        <v>144</v>
      </c>
    </row>
    <row r="271" customFormat="false" ht="15" hidden="false" customHeight="false" outlineLevel="0" collapsed="false">
      <c r="A271" s="15" t="s">
        <v>1505</v>
      </c>
      <c r="B271" s="15" t="s">
        <v>1427</v>
      </c>
      <c r="C271" s="15" t="s">
        <v>1169</v>
      </c>
      <c r="D271" s="15" t="s">
        <v>1168</v>
      </c>
      <c r="E271" s="15" t="s">
        <v>1167</v>
      </c>
      <c r="F271" s="15" t="s">
        <v>178</v>
      </c>
      <c r="G271" s="15" t="s">
        <v>148</v>
      </c>
      <c r="H271" s="15" t="s">
        <v>144</v>
      </c>
    </row>
    <row r="272" customFormat="false" ht="15" hidden="false" customHeight="false" outlineLevel="0" collapsed="false">
      <c r="A272" s="15" t="s">
        <v>1505</v>
      </c>
      <c r="B272" s="15" t="s">
        <v>1427</v>
      </c>
      <c r="C272" s="15" t="s">
        <v>1161</v>
      </c>
      <c r="D272" s="15" t="s">
        <v>1160</v>
      </c>
      <c r="E272" s="15" t="s">
        <v>1159</v>
      </c>
      <c r="F272" s="15" t="s">
        <v>178</v>
      </c>
      <c r="G272" s="15" t="s">
        <v>148</v>
      </c>
      <c r="H272" s="15" t="s">
        <v>144</v>
      </c>
    </row>
    <row r="273" customFormat="false" ht="15" hidden="false" customHeight="false" outlineLevel="0" collapsed="false">
      <c r="A273" s="15" t="s">
        <v>1505</v>
      </c>
      <c r="B273" s="15" t="s">
        <v>1427</v>
      </c>
      <c r="C273" s="15" t="s">
        <v>1059</v>
      </c>
      <c r="D273" s="15" t="s">
        <v>1058</v>
      </c>
      <c r="E273" s="15" t="s">
        <v>1057</v>
      </c>
      <c r="F273" s="15" t="s">
        <v>177</v>
      </c>
      <c r="G273" s="15" t="s">
        <v>145</v>
      </c>
      <c r="H273" s="15" t="s">
        <v>144</v>
      </c>
    </row>
    <row r="274" customFormat="false" ht="15" hidden="false" customHeight="false" outlineLevel="0" collapsed="false">
      <c r="A274" s="15" t="s">
        <v>1505</v>
      </c>
      <c r="B274" s="15" t="s">
        <v>1427</v>
      </c>
      <c r="C274" s="15" t="s">
        <v>1244</v>
      </c>
      <c r="D274" s="15" t="s">
        <v>1243</v>
      </c>
      <c r="E274" s="15" t="s">
        <v>1242</v>
      </c>
      <c r="F274" s="15" t="s">
        <v>177</v>
      </c>
      <c r="G274" s="15" t="s">
        <v>154</v>
      </c>
      <c r="H274" s="15" t="s">
        <v>144</v>
      </c>
    </row>
    <row r="275" customFormat="false" ht="15" hidden="false" customHeight="false" outlineLevel="0" collapsed="false">
      <c r="A275" s="15" t="s">
        <v>1505</v>
      </c>
      <c r="B275" s="15" t="s">
        <v>1427</v>
      </c>
      <c r="C275" s="15" t="s">
        <v>1266</v>
      </c>
      <c r="D275" s="15" t="s">
        <v>1265</v>
      </c>
      <c r="E275" s="15" t="s">
        <v>1264</v>
      </c>
      <c r="F275" s="15" t="s">
        <v>177</v>
      </c>
      <c r="G275" s="15" t="s">
        <v>154</v>
      </c>
      <c r="H275" s="15" t="s">
        <v>144</v>
      </c>
    </row>
    <row r="276" customFormat="false" ht="15" hidden="false" customHeight="false" outlineLevel="0" collapsed="false">
      <c r="A276" s="15" t="s">
        <v>1505</v>
      </c>
      <c r="B276" s="15" t="s">
        <v>1427</v>
      </c>
      <c r="C276" s="15" t="s">
        <v>1273</v>
      </c>
      <c r="D276" s="15" t="s">
        <v>1272</v>
      </c>
      <c r="E276" s="15" t="s">
        <v>1271</v>
      </c>
      <c r="F276" s="15" t="s">
        <v>177</v>
      </c>
      <c r="G276" s="15" t="s">
        <v>154</v>
      </c>
      <c r="H276" s="15" t="s">
        <v>144</v>
      </c>
    </row>
    <row r="277" customFormat="false" ht="15" hidden="false" customHeight="false" outlineLevel="0" collapsed="false">
      <c r="A277" s="15" t="s">
        <v>1505</v>
      </c>
      <c r="B277" s="15" t="s">
        <v>1427</v>
      </c>
      <c r="C277" s="15" t="s">
        <v>663</v>
      </c>
      <c r="D277" s="15" t="s">
        <v>662</v>
      </c>
      <c r="E277" s="15" t="s">
        <v>307</v>
      </c>
      <c r="F277" s="15" t="s">
        <v>178</v>
      </c>
      <c r="G277" s="15" t="s">
        <v>92</v>
      </c>
      <c r="H277" s="15" t="s">
        <v>71</v>
      </c>
    </row>
    <row r="278" customFormat="false" ht="15" hidden="false" customHeight="false" outlineLevel="0" collapsed="false">
      <c r="A278" s="15" t="s">
        <v>1505</v>
      </c>
      <c r="B278" s="15" t="s">
        <v>1427</v>
      </c>
      <c r="C278" s="15" t="s">
        <v>645</v>
      </c>
      <c r="D278" s="15" t="s">
        <v>644</v>
      </c>
      <c r="E278" s="15" t="s">
        <v>643</v>
      </c>
      <c r="F278" s="15"/>
      <c r="G278" s="15" t="s">
        <v>1504</v>
      </c>
      <c r="H278" s="15" t="s">
        <v>71</v>
      </c>
    </row>
    <row r="279" customFormat="false" ht="15" hidden="false" customHeight="false" outlineLevel="0" collapsed="false">
      <c r="A279" s="15" t="s">
        <v>1505</v>
      </c>
      <c r="B279" s="15" t="s">
        <v>1427</v>
      </c>
      <c r="C279" s="15" t="s">
        <v>673</v>
      </c>
      <c r="D279" s="15" t="s">
        <v>672</v>
      </c>
      <c r="E279" s="15" t="s">
        <v>671</v>
      </c>
      <c r="F279" s="15"/>
      <c r="G279" s="15" t="s">
        <v>92</v>
      </c>
      <c r="H279" s="15" t="s">
        <v>71</v>
      </c>
    </row>
    <row r="280" customFormat="false" ht="15" hidden="false" customHeight="false" outlineLevel="0" collapsed="false">
      <c r="A280" s="15" t="s">
        <v>1505</v>
      </c>
      <c r="B280" s="15" t="s">
        <v>1427</v>
      </c>
      <c r="C280" s="15" t="s">
        <v>666</v>
      </c>
      <c r="D280" s="15" t="s">
        <v>665</v>
      </c>
      <c r="E280" s="15" t="s">
        <v>664</v>
      </c>
      <c r="F280" s="15" t="s">
        <v>178</v>
      </c>
      <c r="G280" s="15" t="s">
        <v>92</v>
      </c>
      <c r="H280" s="15" t="s">
        <v>71</v>
      </c>
    </row>
    <row r="281" customFormat="false" ht="15" hidden="false" customHeight="false" outlineLevel="0" collapsed="false">
      <c r="A281" s="15" t="s">
        <v>1505</v>
      </c>
      <c r="B281" s="15" t="s">
        <v>1427</v>
      </c>
      <c r="C281" s="15" t="s">
        <v>668</v>
      </c>
      <c r="D281" s="15" t="s">
        <v>667</v>
      </c>
      <c r="E281" s="15" t="s">
        <v>327</v>
      </c>
      <c r="F281" s="15" t="s">
        <v>178</v>
      </c>
      <c r="G281" s="15" t="s">
        <v>92</v>
      </c>
      <c r="H281" s="15" t="s">
        <v>71</v>
      </c>
    </row>
    <row r="282" customFormat="false" ht="15" hidden="false" customHeight="false" outlineLevel="0" collapsed="false">
      <c r="A282" s="15" t="s">
        <v>1505</v>
      </c>
      <c r="B282" s="15" t="s">
        <v>1427</v>
      </c>
      <c r="C282" s="15" t="s">
        <v>661</v>
      </c>
      <c r="D282" s="15" t="s">
        <v>660</v>
      </c>
      <c r="E282" s="15" t="s">
        <v>659</v>
      </c>
      <c r="F282" s="15" t="s">
        <v>178</v>
      </c>
      <c r="G282" s="15" t="s">
        <v>92</v>
      </c>
      <c r="H282" s="15" t="s">
        <v>71</v>
      </c>
    </row>
    <row r="283" customFormat="false" ht="15" hidden="false" customHeight="false" outlineLevel="0" collapsed="false">
      <c r="A283" s="15" t="s">
        <v>1505</v>
      </c>
      <c r="B283" s="15" t="s">
        <v>1427</v>
      </c>
      <c r="C283" s="15" t="s">
        <v>670</v>
      </c>
      <c r="D283" s="15" t="s">
        <v>669</v>
      </c>
      <c r="E283" s="15" t="s">
        <v>613</v>
      </c>
      <c r="F283" s="15" t="s">
        <v>178</v>
      </c>
      <c r="G283" s="15" t="s">
        <v>92</v>
      </c>
      <c r="H283" s="15" t="s">
        <v>71</v>
      </c>
    </row>
    <row r="284" customFormat="false" ht="15" hidden="false" customHeight="false" outlineLevel="0" collapsed="false">
      <c r="A284" s="15" t="s">
        <v>1505</v>
      </c>
      <c r="B284" s="15" t="s">
        <v>1427</v>
      </c>
      <c r="C284" s="15" t="s">
        <v>626</v>
      </c>
      <c r="D284" s="15" t="s">
        <v>625</v>
      </c>
      <c r="E284" s="15" t="s">
        <v>624</v>
      </c>
      <c r="F284" s="15" t="s">
        <v>178</v>
      </c>
      <c r="G284" s="15" t="s">
        <v>1504</v>
      </c>
      <c r="H284" s="15" t="s">
        <v>71</v>
      </c>
    </row>
    <row r="285" customFormat="false" ht="15" hidden="false" customHeight="false" outlineLevel="0" collapsed="false">
      <c r="A285" s="15" t="s">
        <v>1505</v>
      </c>
      <c r="B285" s="15" t="s">
        <v>1427</v>
      </c>
      <c r="C285" s="15" t="s">
        <v>688</v>
      </c>
      <c r="D285" s="15" t="s">
        <v>687</v>
      </c>
      <c r="E285" s="15" t="s">
        <v>686</v>
      </c>
      <c r="F285" s="15" t="s">
        <v>176</v>
      </c>
      <c r="G285" s="15" t="s">
        <v>99</v>
      </c>
      <c r="H285" s="15" t="s">
        <v>98</v>
      </c>
    </row>
    <row r="286" customFormat="false" ht="15" hidden="false" customHeight="false" outlineLevel="0" collapsed="false">
      <c r="A286" s="15" t="s">
        <v>1505</v>
      </c>
      <c r="B286" s="15" t="s">
        <v>1427</v>
      </c>
      <c r="C286" s="15" t="s">
        <v>830</v>
      </c>
      <c r="D286" s="15" t="s">
        <v>829</v>
      </c>
      <c r="E286" s="15" t="s">
        <v>828</v>
      </c>
      <c r="F286" s="15" t="s">
        <v>177</v>
      </c>
      <c r="G286" s="15" t="s">
        <v>1429</v>
      </c>
      <c r="H286" s="15" t="s">
        <v>98</v>
      </c>
    </row>
    <row r="287" customFormat="false" ht="15" hidden="false" customHeight="false" outlineLevel="0" collapsed="false">
      <c r="A287" s="15" t="s">
        <v>1505</v>
      </c>
      <c r="B287" s="15" t="s">
        <v>1427</v>
      </c>
      <c r="C287" s="15" t="s">
        <v>733</v>
      </c>
      <c r="D287" s="15" t="s">
        <v>732</v>
      </c>
      <c r="E287" s="15" t="s">
        <v>731</v>
      </c>
      <c r="F287" s="15"/>
      <c r="G287" s="15" t="s">
        <v>99</v>
      </c>
      <c r="H287" s="15" t="s">
        <v>98</v>
      </c>
    </row>
    <row r="288" customFormat="false" ht="15" hidden="false" customHeight="false" outlineLevel="0" collapsed="false">
      <c r="A288" s="15" t="s">
        <v>1505</v>
      </c>
      <c r="B288" s="15" t="s">
        <v>1427</v>
      </c>
      <c r="C288" s="15" t="s">
        <v>727</v>
      </c>
      <c r="D288" s="15" t="s">
        <v>726</v>
      </c>
      <c r="E288" s="15" t="s">
        <v>725</v>
      </c>
      <c r="F288" s="15"/>
      <c r="G288" s="15" t="s">
        <v>99</v>
      </c>
      <c r="H288" s="15" t="s">
        <v>98</v>
      </c>
    </row>
    <row r="289" customFormat="false" ht="15" hidden="false" customHeight="false" outlineLevel="0" collapsed="false">
      <c r="A289" s="15" t="s">
        <v>1505</v>
      </c>
      <c r="B289" s="15" t="s">
        <v>1427</v>
      </c>
      <c r="C289" s="15" t="s">
        <v>805</v>
      </c>
      <c r="D289" s="15" t="s">
        <v>804</v>
      </c>
      <c r="E289" s="15" t="s">
        <v>803</v>
      </c>
      <c r="F289" s="15" t="s">
        <v>177</v>
      </c>
      <c r="G289" s="15" t="s">
        <v>1429</v>
      </c>
      <c r="H289" s="15" t="s">
        <v>98</v>
      </c>
    </row>
    <row r="290" customFormat="false" ht="15" hidden="false" customHeight="false" outlineLevel="0" collapsed="false">
      <c r="A290" s="15" t="s">
        <v>1505</v>
      </c>
      <c r="B290" s="15" t="s">
        <v>1427</v>
      </c>
      <c r="C290" s="15" t="s">
        <v>835</v>
      </c>
      <c r="D290" s="15" t="s">
        <v>834</v>
      </c>
      <c r="E290" s="15" t="s">
        <v>803</v>
      </c>
      <c r="F290" s="15" t="s">
        <v>177</v>
      </c>
      <c r="G290" s="15" t="s">
        <v>104</v>
      </c>
      <c r="H290" s="15" t="s">
        <v>98</v>
      </c>
    </row>
    <row r="291" customFormat="false" ht="15" hidden="false" customHeight="false" outlineLevel="0" collapsed="false">
      <c r="A291" s="15" t="s">
        <v>1505</v>
      </c>
      <c r="B291" s="15" t="s">
        <v>1427</v>
      </c>
      <c r="C291" s="15" t="s">
        <v>790</v>
      </c>
      <c r="D291" s="15" t="s">
        <v>789</v>
      </c>
      <c r="E291" s="15" t="s">
        <v>788</v>
      </c>
      <c r="F291" s="15" t="s">
        <v>176</v>
      </c>
      <c r="G291" s="15" t="s">
        <v>104</v>
      </c>
      <c r="H291" s="15" t="s">
        <v>98</v>
      </c>
    </row>
    <row r="292" customFormat="false" ht="15" hidden="false" customHeight="false" outlineLevel="0" collapsed="false">
      <c r="A292" s="15" t="s">
        <v>1505</v>
      </c>
      <c r="B292" s="15" t="s">
        <v>1427</v>
      </c>
      <c r="C292" s="15" t="s">
        <v>844</v>
      </c>
      <c r="D292" s="15" t="s">
        <v>843</v>
      </c>
      <c r="E292" s="15" t="s">
        <v>842</v>
      </c>
      <c r="F292" s="15" t="s">
        <v>178</v>
      </c>
      <c r="G292" s="15" t="s">
        <v>104</v>
      </c>
      <c r="H292" s="15" t="s">
        <v>98</v>
      </c>
    </row>
    <row r="293" customFormat="false" ht="15" hidden="false" customHeight="false" outlineLevel="0" collapsed="false">
      <c r="A293" s="15" t="s">
        <v>1505</v>
      </c>
      <c r="B293" s="15" t="s">
        <v>1427</v>
      </c>
      <c r="C293" s="15" t="s">
        <v>708</v>
      </c>
      <c r="D293" s="15" t="s">
        <v>707</v>
      </c>
      <c r="E293" s="15" t="s">
        <v>706</v>
      </c>
      <c r="F293" s="15" t="s">
        <v>178</v>
      </c>
      <c r="G293" s="15" t="s">
        <v>99</v>
      </c>
      <c r="H293" s="15" t="s">
        <v>98</v>
      </c>
    </row>
    <row r="294" customFormat="false" ht="15" hidden="false" customHeight="false" outlineLevel="0" collapsed="false">
      <c r="A294" s="15" t="s">
        <v>1505</v>
      </c>
      <c r="B294" s="15" t="s">
        <v>1427</v>
      </c>
      <c r="C294" s="15" t="s">
        <v>730</v>
      </c>
      <c r="D294" s="15" t="s">
        <v>729</v>
      </c>
      <c r="E294" s="15" t="s">
        <v>728</v>
      </c>
      <c r="F294" s="15"/>
      <c r="G294" s="15" t="s">
        <v>99</v>
      </c>
      <c r="H294" s="15" t="s">
        <v>98</v>
      </c>
    </row>
    <row r="295" customFormat="false" ht="15" hidden="false" customHeight="false" outlineLevel="0" collapsed="false">
      <c r="A295" s="15" t="s">
        <v>1505</v>
      </c>
      <c r="B295" s="15" t="s">
        <v>1427</v>
      </c>
      <c r="C295" s="15" t="s">
        <v>698</v>
      </c>
      <c r="D295" s="15" t="s">
        <v>697</v>
      </c>
      <c r="E295" s="15" t="s">
        <v>696</v>
      </c>
      <c r="F295" s="15" t="s">
        <v>177</v>
      </c>
      <c r="G295" s="15" t="s">
        <v>99</v>
      </c>
      <c r="H295" s="15" t="s">
        <v>98</v>
      </c>
    </row>
    <row r="296" customFormat="false" ht="15" hidden="false" customHeight="false" outlineLevel="0" collapsed="false">
      <c r="A296" s="15" t="s">
        <v>1505</v>
      </c>
      <c r="B296" s="15" t="s">
        <v>1427</v>
      </c>
      <c r="C296" s="15" t="s">
        <v>720</v>
      </c>
      <c r="D296" s="15" t="s">
        <v>719</v>
      </c>
      <c r="E296" s="15" t="s">
        <v>718</v>
      </c>
      <c r="F296" s="15"/>
      <c r="G296" s="15" t="s">
        <v>99</v>
      </c>
      <c r="H296" s="15" t="s">
        <v>98</v>
      </c>
    </row>
    <row r="297" customFormat="false" ht="15" hidden="false" customHeight="false" outlineLevel="0" collapsed="false">
      <c r="A297" s="15" t="s">
        <v>1505</v>
      </c>
      <c r="B297" s="15" t="s">
        <v>1427</v>
      </c>
      <c r="C297" s="15" t="s">
        <v>815</v>
      </c>
      <c r="D297" s="15" t="s">
        <v>814</v>
      </c>
      <c r="E297" s="15" t="s">
        <v>813</v>
      </c>
      <c r="F297" s="15" t="s">
        <v>177</v>
      </c>
      <c r="G297" s="15" t="s">
        <v>1429</v>
      </c>
      <c r="H297" s="15" t="s">
        <v>98</v>
      </c>
    </row>
    <row r="298" customFormat="false" ht="15" hidden="false" customHeight="false" outlineLevel="0" collapsed="false">
      <c r="A298" s="15" t="s">
        <v>1505</v>
      </c>
      <c r="B298" s="15" t="s">
        <v>1427</v>
      </c>
      <c r="C298" s="15" t="s">
        <v>784</v>
      </c>
      <c r="D298" s="15" t="s">
        <v>783</v>
      </c>
      <c r="E298" s="15" t="s">
        <v>782</v>
      </c>
      <c r="F298" s="15" t="s">
        <v>176</v>
      </c>
      <c r="G298" s="15" t="s">
        <v>104</v>
      </c>
      <c r="H298" s="15" t="s">
        <v>98</v>
      </c>
    </row>
    <row r="299" customFormat="false" ht="15" hidden="false" customHeight="false" outlineLevel="0" collapsed="false">
      <c r="A299" s="15" t="s">
        <v>1505</v>
      </c>
      <c r="B299" s="15" t="s">
        <v>1427</v>
      </c>
      <c r="C299" s="15" t="s">
        <v>691</v>
      </c>
      <c r="D299" s="15" t="s">
        <v>690</v>
      </c>
      <c r="E299" s="15" t="s">
        <v>689</v>
      </c>
      <c r="F299" s="15" t="s">
        <v>176</v>
      </c>
      <c r="G299" s="15" t="s">
        <v>99</v>
      </c>
      <c r="H299" s="15" t="s">
        <v>98</v>
      </c>
    </row>
    <row r="300" customFormat="false" ht="15" hidden="false" customHeight="false" outlineLevel="0" collapsed="false">
      <c r="A300" s="15" t="s">
        <v>1505</v>
      </c>
      <c r="B300" s="15" t="s">
        <v>1427</v>
      </c>
      <c r="C300" s="15" t="s">
        <v>700</v>
      </c>
      <c r="D300" s="15" t="s">
        <v>699</v>
      </c>
      <c r="E300" s="15" t="s">
        <v>689</v>
      </c>
      <c r="F300" s="15" t="s">
        <v>177</v>
      </c>
      <c r="G300" s="15" t="s">
        <v>99</v>
      </c>
      <c r="H300" s="15" t="s">
        <v>98</v>
      </c>
    </row>
    <row r="301" customFormat="false" ht="15" hidden="false" customHeight="false" outlineLevel="0" collapsed="false">
      <c r="A301" s="15" t="s">
        <v>1505</v>
      </c>
      <c r="B301" s="15" t="s">
        <v>1427</v>
      </c>
      <c r="C301" s="15" t="s">
        <v>711</v>
      </c>
      <c r="D301" s="15" t="s">
        <v>710</v>
      </c>
      <c r="E301" s="15" t="s">
        <v>709</v>
      </c>
      <c r="F301" s="15"/>
      <c r="G301" s="15" t="s">
        <v>99</v>
      </c>
      <c r="H301" s="15" t="s">
        <v>98</v>
      </c>
    </row>
    <row r="302" customFormat="false" ht="15" hidden="false" customHeight="false" outlineLevel="0" collapsed="false">
      <c r="A302" s="15" t="s">
        <v>1505</v>
      </c>
      <c r="B302" s="15" t="s">
        <v>1427</v>
      </c>
      <c r="C302" s="15" t="s">
        <v>676</v>
      </c>
      <c r="D302" s="15" t="s">
        <v>675</v>
      </c>
      <c r="E302" s="15" t="s">
        <v>674</v>
      </c>
      <c r="F302" s="15" t="s">
        <v>176</v>
      </c>
      <c r="G302" s="15" t="s">
        <v>99</v>
      </c>
      <c r="H302" s="15" t="s">
        <v>98</v>
      </c>
    </row>
    <row r="303" customFormat="false" ht="15" hidden="false" customHeight="false" outlineLevel="0" collapsed="false">
      <c r="A303" s="15" t="s">
        <v>1505</v>
      </c>
      <c r="B303" s="15" t="s">
        <v>1427</v>
      </c>
      <c r="C303" s="15" t="s">
        <v>714</v>
      </c>
      <c r="D303" s="15" t="s">
        <v>713</v>
      </c>
      <c r="E303" s="15" t="s">
        <v>674</v>
      </c>
      <c r="F303" s="15"/>
      <c r="G303" s="15" t="s">
        <v>99</v>
      </c>
      <c r="H303" s="15" t="s">
        <v>98</v>
      </c>
    </row>
    <row r="304" customFormat="false" ht="15" hidden="false" customHeight="false" outlineLevel="0" collapsed="false">
      <c r="A304" s="15" t="s">
        <v>1505</v>
      </c>
      <c r="B304" s="15" t="s">
        <v>1427</v>
      </c>
      <c r="C304" s="15" t="s">
        <v>745</v>
      </c>
      <c r="D304" s="15" t="s">
        <v>744</v>
      </c>
      <c r="E304" s="15" t="s">
        <v>743</v>
      </c>
      <c r="F304" s="15"/>
      <c r="G304" s="15" t="s">
        <v>99</v>
      </c>
      <c r="H304" s="15" t="s">
        <v>98</v>
      </c>
    </row>
    <row r="305" customFormat="false" ht="15" hidden="false" customHeight="false" outlineLevel="0" collapsed="false">
      <c r="A305" s="15" t="s">
        <v>1505</v>
      </c>
      <c r="B305" s="15" t="s">
        <v>1427</v>
      </c>
      <c r="C305" s="15" t="s">
        <v>737</v>
      </c>
      <c r="D305" s="15" t="s">
        <v>736</v>
      </c>
      <c r="E305" s="15" t="s">
        <v>735</v>
      </c>
      <c r="F305" s="15"/>
      <c r="G305" s="15" t="s">
        <v>99</v>
      </c>
      <c r="H305" s="15" t="s">
        <v>98</v>
      </c>
    </row>
    <row r="306" customFormat="false" ht="15" hidden="false" customHeight="false" outlineLevel="0" collapsed="false">
      <c r="A306" s="15" t="s">
        <v>1505</v>
      </c>
      <c r="B306" s="15" t="s">
        <v>1427</v>
      </c>
      <c r="C306" s="15" t="s">
        <v>761</v>
      </c>
      <c r="D306" s="15" t="s">
        <v>760</v>
      </c>
      <c r="E306" s="15" t="s">
        <v>759</v>
      </c>
      <c r="F306" s="15"/>
      <c r="G306" s="15" t="s">
        <v>99</v>
      </c>
      <c r="H306" s="15" t="s">
        <v>98</v>
      </c>
    </row>
    <row r="307" customFormat="false" ht="15" hidden="false" customHeight="false" outlineLevel="0" collapsed="false">
      <c r="A307" s="15" t="s">
        <v>1505</v>
      </c>
      <c r="B307" s="15" t="s">
        <v>1427</v>
      </c>
      <c r="C307" s="15" t="s">
        <v>797</v>
      </c>
      <c r="D307" s="15" t="s">
        <v>796</v>
      </c>
      <c r="E307" s="15" t="s">
        <v>795</v>
      </c>
      <c r="F307" s="15" t="s">
        <v>176</v>
      </c>
      <c r="G307" s="15" t="s">
        <v>1429</v>
      </c>
      <c r="H307" s="15" t="s">
        <v>98</v>
      </c>
    </row>
    <row r="308" customFormat="false" ht="15" hidden="false" customHeight="false" outlineLevel="0" collapsed="false">
      <c r="A308" s="15" t="s">
        <v>1505</v>
      </c>
      <c r="B308" s="15" t="s">
        <v>1427</v>
      </c>
      <c r="C308" s="15" t="s">
        <v>758</v>
      </c>
      <c r="D308" s="15" t="s">
        <v>757</v>
      </c>
      <c r="E308" s="15" t="s">
        <v>756</v>
      </c>
      <c r="F308" s="15"/>
      <c r="G308" s="15" t="s">
        <v>99</v>
      </c>
      <c r="H308" s="15" t="s">
        <v>98</v>
      </c>
    </row>
    <row r="309" customFormat="false" ht="15" hidden="false" customHeight="false" outlineLevel="0" collapsed="false">
      <c r="A309" s="15" t="s">
        <v>1505</v>
      </c>
      <c r="B309" s="15" t="s">
        <v>1427</v>
      </c>
      <c r="C309" s="15" t="s">
        <v>755</v>
      </c>
      <c r="D309" s="15" t="s">
        <v>754</v>
      </c>
      <c r="E309" s="15" t="s">
        <v>753</v>
      </c>
      <c r="F309" s="15"/>
      <c r="G309" s="15" t="s">
        <v>99</v>
      </c>
      <c r="H309" s="15" t="s">
        <v>98</v>
      </c>
    </row>
    <row r="310" customFormat="false" ht="15" hidden="false" customHeight="false" outlineLevel="0" collapsed="false">
      <c r="A310" s="15" t="s">
        <v>1505</v>
      </c>
      <c r="B310" s="15" t="s">
        <v>1427</v>
      </c>
      <c r="C310" s="15" t="s">
        <v>778</v>
      </c>
      <c r="D310" s="15" t="s">
        <v>777</v>
      </c>
      <c r="E310" s="15" t="s">
        <v>776</v>
      </c>
      <c r="F310" s="15" t="s">
        <v>176</v>
      </c>
      <c r="G310" s="15" t="s">
        <v>1429</v>
      </c>
      <c r="H310" s="15" t="s">
        <v>98</v>
      </c>
    </row>
    <row r="311" customFormat="false" ht="15" hidden="false" customHeight="false" outlineLevel="0" collapsed="false">
      <c r="A311" s="15" t="s">
        <v>1505</v>
      </c>
      <c r="B311" s="15" t="s">
        <v>1427</v>
      </c>
      <c r="C311" s="15" t="s">
        <v>787</v>
      </c>
      <c r="D311" s="15" t="s">
        <v>786</v>
      </c>
      <c r="E311" s="15" t="s">
        <v>785</v>
      </c>
      <c r="F311" s="15" t="s">
        <v>176</v>
      </c>
      <c r="G311" s="15" t="s">
        <v>1429</v>
      </c>
      <c r="H311" s="15" t="s">
        <v>98</v>
      </c>
    </row>
    <row r="312" customFormat="false" ht="15" hidden="false" customHeight="false" outlineLevel="0" collapsed="false">
      <c r="A312" s="15" t="s">
        <v>1505</v>
      </c>
      <c r="B312" s="15" t="s">
        <v>1427</v>
      </c>
      <c r="C312" s="15" t="s">
        <v>774</v>
      </c>
      <c r="D312" s="15" t="s">
        <v>773</v>
      </c>
      <c r="E312" s="15" t="s">
        <v>772</v>
      </c>
      <c r="F312" s="15" t="s">
        <v>176</v>
      </c>
      <c r="G312" s="15" t="s">
        <v>1429</v>
      </c>
      <c r="H312" s="15" t="s">
        <v>98</v>
      </c>
    </row>
    <row r="313" customFormat="false" ht="15" hidden="false" customHeight="false" outlineLevel="0" collapsed="false">
      <c r="A313" s="15" t="s">
        <v>1505</v>
      </c>
      <c r="B313" s="15" t="s">
        <v>1427</v>
      </c>
      <c r="C313" s="15" t="s">
        <v>802</v>
      </c>
      <c r="D313" s="15" t="s">
        <v>801</v>
      </c>
      <c r="E313" s="15" t="s">
        <v>772</v>
      </c>
      <c r="F313" s="15" t="s">
        <v>177</v>
      </c>
      <c r="G313" s="15" t="s">
        <v>1429</v>
      </c>
      <c r="H313" s="15" t="s">
        <v>98</v>
      </c>
    </row>
    <row r="314" customFormat="false" ht="15" hidden="false" customHeight="false" outlineLevel="0" collapsed="false">
      <c r="A314" s="15" t="s">
        <v>1505</v>
      </c>
      <c r="B314" s="15" t="s">
        <v>1427</v>
      </c>
      <c r="C314" s="15" t="s">
        <v>839</v>
      </c>
      <c r="D314" s="15" t="s">
        <v>838</v>
      </c>
      <c r="E314" s="15" t="s">
        <v>772</v>
      </c>
      <c r="F314" s="15" t="s">
        <v>177</v>
      </c>
      <c r="G314" s="15" t="s">
        <v>104</v>
      </c>
      <c r="H314" s="15" t="s">
        <v>98</v>
      </c>
    </row>
    <row r="315" customFormat="false" ht="15" hidden="false" customHeight="false" outlineLevel="0" collapsed="false">
      <c r="A315" s="15" t="s">
        <v>1505</v>
      </c>
      <c r="B315" s="15" t="s">
        <v>1427</v>
      </c>
      <c r="C315" s="15" t="s">
        <v>770</v>
      </c>
      <c r="D315" s="15" t="s">
        <v>769</v>
      </c>
      <c r="E315" s="15" t="s">
        <v>768</v>
      </c>
      <c r="F315" s="15" t="s">
        <v>176</v>
      </c>
      <c r="G315" s="15" t="s">
        <v>104</v>
      </c>
      <c r="H315" s="15" t="s">
        <v>98</v>
      </c>
    </row>
    <row r="316" customFormat="false" ht="15" hidden="false" customHeight="false" outlineLevel="0" collapsed="false">
      <c r="A316" s="15" t="s">
        <v>1505</v>
      </c>
      <c r="B316" s="15" t="s">
        <v>1427</v>
      </c>
      <c r="C316" s="15" t="s">
        <v>818</v>
      </c>
      <c r="D316" s="15" t="s">
        <v>817</v>
      </c>
      <c r="E316" s="15" t="s">
        <v>816</v>
      </c>
      <c r="F316" s="15" t="s">
        <v>177</v>
      </c>
      <c r="G316" s="15" t="s">
        <v>104</v>
      </c>
      <c r="H316" s="15" t="s">
        <v>98</v>
      </c>
    </row>
    <row r="317" customFormat="false" ht="15" hidden="false" customHeight="false" outlineLevel="0" collapsed="false">
      <c r="A317" s="15" t="s">
        <v>1505</v>
      </c>
      <c r="B317" s="15" t="s">
        <v>1427</v>
      </c>
      <c r="C317" s="15" t="s">
        <v>821</v>
      </c>
      <c r="D317" s="15" t="s">
        <v>820</v>
      </c>
      <c r="E317" s="15" t="s">
        <v>819</v>
      </c>
      <c r="F317" s="15" t="s">
        <v>177</v>
      </c>
      <c r="G317" s="15" t="s">
        <v>1429</v>
      </c>
      <c r="H317" s="15" t="s">
        <v>98</v>
      </c>
    </row>
    <row r="318" customFormat="false" ht="15" hidden="false" customHeight="false" outlineLevel="0" collapsed="false">
      <c r="A318" s="15" t="s">
        <v>1505</v>
      </c>
      <c r="B318" s="15" t="s">
        <v>1427</v>
      </c>
      <c r="C318" s="15" t="s">
        <v>684</v>
      </c>
      <c r="D318" s="15" t="s">
        <v>683</v>
      </c>
      <c r="E318" s="15" t="s">
        <v>682</v>
      </c>
      <c r="F318" s="15" t="s">
        <v>176</v>
      </c>
      <c r="G318" s="15" t="s">
        <v>99</v>
      </c>
      <c r="H318" s="15" t="s">
        <v>98</v>
      </c>
    </row>
    <row r="319" customFormat="false" ht="15" hidden="false" customHeight="false" outlineLevel="0" collapsed="false">
      <c r="A319" s="15" t="s">
        <v>1505</v>
      </c>
      <c r="B319" s="15" t="s">
        <v>1427</v>
      </c>
      <c r="C319" s="15" t="s">
        <v>705</v>
      </c>
      <c r="D319" s="15" t="s">
        <v>705</v>
      </c>
      <c r="E319" s="15" t="s">
        <v>704</v>
      </c>
      <c r="F319" s="15" t="s">
        <v>177</v>
      </c>
      <c r="G319" s="15" t="s">
        <v>99</v>
      </c>
      <c r="H319" s="15" t="s">
        <v>98</v>
      </c>
    </row>
    <row r="320" customFormat="false" ht="15" hidden="false" customHeight="false" outlineLevel="0" collapsed="false">
      <c r="A320" s="15" t="s">
        <v>1505</v>
      </c>
      <c r="B320" s="15" t="s">
        <v>1427</v>
      </c>
      <c r="C320" s="15" t="s">
        <v>703</v>
      </c>
      <c r="D320" s="15" t="s">
        <v>702</v>
      </c>
      <c r="E320" s="15" t="s">
        <v>701</v>
      </c>
      <c r="F320" s="15" t="s">
        <v>177</v>
      </c>
      <c r="G320" s="15" t="s">
        <v>99</v>
      </c>
      <c r="H320" s="15" t="s">
        <v>98</v>
      </c>
    </row>
    <row r="321" customFormat="false" ht="15" hidden="false" customHeight="false" outlineLevel="0" collapsed="false">
      <c r="A321" s="15" t="s">
        <v>1505</v>
      </c>
      <c r="B321" s="15" t="s">
        <v>1427</v>
      </c>
      <c r="C321" s="15" t="s">
        <v>741</v>
      </c>
      <c r="D321" s="15" t="s">
        <v>740</v>
      </c>
      <c r="E321" s="15" t="s">
        <v>739</v>
      </c>
      <c r="F321" s="15"/>
      <c r="G321" s="15" t="s">
        <v>99</v>
      </c>
      <c r="H321" s="15" t="s">
        <v>98</v>
      </c>
    </row>
    <row r="322" customFormat="false" ht="15" hidden="false" customHeight="false" outlineLevel="0" collapsed="false">
      <c r="A322" s="15" t="s">
        <v>1505</v>
      </c>
      <c r="B322" s="15" t="s">
        <v>1427</v>
      </c>
      <c r="C322" s="15" t="s">
        <v>811</v>
      </c>
      <c r="D322" s="15" t="s">
        <v>810</v>
      </c>
      <c r="E322" s="15" t="s">
        <v>809</v>
      </c>
      <c r="F322" s="15" t="s">
        <v>177</v>
      </c>
      <c r="G322" s="15" t="s">
        <v>1429</v>
      </c>
      <c r="H322" s="15" t="s">
        <v>98</v>
      </c>
    </row>
    <row r="323" customFormat="false" ht="15" hidden="false" customHeight="false" outlineLevel="0" collapsed="false">
      <c r="A323" s="15" t="s">
        <v>1505</v>
      </c>
      <c r="B323" s="15" t="s">
        <v>1427</v>
      </c>
      <c r="C323" s="15" t="s">
        <v>764</v>
      </c>
      <c r="D323" s="15" t="s">
        <v>763</v>
      </c>
      <c r="E323" s="15" t="s">
        <v>762</v>
      </c>
      <c r="F323" s="15"/>
      <c r="G323" s="15" t="s">
        <v>99</v>
      </c>
      <c r="H323" s="15" t="s">
        <v>98</v>
      </c>
    </row>
    <row r="324" customFormat="false" ht="15" hidden="false" customHeight="false" outlineLevel="0" collapsed="false">
      <c r="A324" s="15" t="s">
        <v>1505</v>
      </c>
      <c r="B324" s="15" t="s">
        <v>1427</v>
      </c>
      <c r="C324" s="15" t="s">
        <v>748</v>
      </c>
      <c r="D324" s="15" t="s">
        <v>747</v>
      </c>
      <c r="E324" s="15" t="s">
        <v>746</v>
      </c>
      <c r="F324" s="15"/>
      <c r="G324" s="15" t="s">
        <v>99</v>
      </c>
      <c r="H324" s="15" t="s">
        <v>98</v>
      </c>
    </row>
    <row r="325" customFormat="false" ht="15" hidden="false" customHeight="false" outlineLevel="0" collapsed="false">
      <c r="A325" s="15" t="s">
        <v>1505</v>
      </c>
      <c r="B325" s="15" t="s">
        <v>1427</v>
      </c>
      <c r="C325" s="15" t="s">
        <v>833</v>
      </c>
      <c r="D325" s="15" t="s">
        <v>832</v>
      </c>
      <c r="E325" s="15" t="s">
        <v>831</v>
      </c>
      <c r="F325" s="15" t="s">
        <v>177</v>
      </c>
      <c r="G325" s="15" t="s">
        <v>104</v>
      </c>
      <c r="H325" s="15" t="s">
        <v>98</v>
      </c>
    </row>
    <row r="326" customFormat="false" ht="15" hidden="false" customHeight="false" outlineLevel="0" collapsed="false">
      <c r="A326" s="15" t="s">
        <v>1505</v>
      </c>
      <c r="B326" s="15" t="s">
        <v>1427</v>
      </c>
      <c r="C326" s="15" t="s">
        <v>767</v>
      </c>
      <c r="D326" s="15" t="s">
        <v>766</v>
      </c>
      <c r="E326" s="15" t="s">
        <v>765</v>
      </c>
      <c r="F326" s="15"/>
      <c r="G326" s="15" t="s">
        <v>99</v>
      </c>
      <c r="H326" s="15" t="s">
        <v>98</v>
      </c>
    </row>
    <row r="327" customFormat="false" ht="15" hidden="false" customHeight="false" outlineLevel="0" collapsed="false">
      <c r="A327" s="15" t="s">
        <v>1505</v>
      </c>
      <c r="B327" s="15" t="s">
        <v>1427</v>
      </c>
      <c r="C327" s="15" t="s">
        <v>723</v>
      </c>
      <c r="D327" s="15" t="s">
        <v>722</v>
      </c>
      <c r="E327" s="15" t="s">
        <v>721</v>
      </c>
      <c r="F327" s="15"/>
      <c r="G327" s="15" t="s">
        <v>99</v>
      </c>
      <c r="H327" s="15" t="s">
        <v>98</v>
      </c>
    </row>
    <row r="328" customFormat="false" ht="15" hidden="false" customHeight="false" outlineLevel="0" collapsed="false">
      <c r="A328" s="15" t="s">
        <v>1505</v>
      </c>
      <c r="B328" s="15" t="s">
        <v>1427</v>
      </c>
      <c r="C328" s="15" t="s">
        <v>824</v>
      </c>
      <c r="D328" s="15" t="s">
        <v>823</v>
      </c>
      <c r="E328" s="15" t="s">
        <v>822</v>
      </c>
      <c r="F328" s="15" t="s">
        <v>177</v>
      </c>
      <c r="G328" s="15" t="s">
        <v>104</v>
      </c>
      <c r="H328" s="15" t="s">
        <v>98</v>
      </c>
    </row>
    <row r="329" customFormat="false" ht="15" hidden="false" customHeight="false" outlineLevel="0" collapsed="false">
      <c r="A329" s="15" t="s">
        <v>1505</v>
      </c>
      <c r="B329" s="15" t="s">
        <v>1427</v>
      </c>
      <c r="C329" s="15" t="s">
        <v>800</v>
      </c>
      <c r="D329" s="15" t="s">
        <v>799</v>
      </c>
      <c r="E329" s="15" t="s">
        <v>798</v>
      </c>
      <c r="F329" s="15" t="s">
        <v>176</v>
      </c>
      <c r="G329" s="15" t="s">
        <v>1429</v>
      </c>
      <c r="H329" s="15" t="s">
        <v>98</v>
      </c>
    </row>
    <row r="330" customFormat="false" ht="15" hidden="false" customHeight="false" outlineLevel="0" collapsed="false">
      <c r="A330" s="15" t="s">
        <v>1505</v>
      </c>
      <c r="B330" s="15" t="s">
        <v>1427</v>
      </c>
      <c r="C330" s="15" t="s">
        <v>751</v>
      </c>
      <c r="D330" s="15" t="s">
        <v>750</v>
      </c>
      <c r="E330" s="15" t="s">
        <v>749</v>
      </c>
      <c r="F330" s="15"/>
      <c r="G330" s="15" t="s">
        <v>99</v>
      </c>
      <c r="H330" s="15" t="s">
        <v>98</v>
      </c>
    </row>
    <row r="331" customFormat="false" ht="15" hidden="false" customHeight="false" outlineLevel="0" collapsed="false">
      <c r="A331" s="15" t="s">
        <v>1505</v>
      </c>
      <c r="B331" s="15" t="s">
        <v>1427</v>
      </c>
      <c r="C331" s="15" t="s">
        <v>781</v>
      </c>
      <c r="D331" s="15" t="s">
        <v>780</v>
      </c>
      <c r="E331" s="15" t="s">
        <v>779</v>
      </c>
      <c r="F331" s="15" t="s">
        <v>176</v>
      </c>
      <c r="G331" s="15" t="s">
        <v>104</v>
      </c>
      <c r="H331" s="15" t="s">
        <v>98</v>
      </c>
    </row>
    <row r="332" customFormat="false" ht="15" hidden="false" customHeight="false" outlineLevel="0" collapsed="false">
      <c r="A332" s="15" t="s">
        <v>1505</v>
      </c>
      <c r="B332" s="15" t="s">
        <v>1427</v>
      </c>
      <c r="C332" s="15" t="s">
        <v>849</v>
      </c>
      <c r="D332" s="15" t="s">
        <v>848</v>
      </c>
      <c r="E332" s="15" t="s">
        <v>779</v>
      </c>
      <c r="F332" s="15" t="s">
        <v>177</v>
      </c>
      <c r="G332" s="15" t="s">
        <v>107</v>
      </c>
      <c r="H332" s="15" t="s">
        <v>98</v>
      </c>
    </row>
    <row r="333" customFormat="false" ht="15" hidden="false" customHeight="false" outlineLevel="0" collapsed="false">
      <c r="A333" s="15" t="s">
        <v>1505</v>
      </c>
      <c r="B333" s="15" t="s">
        <v>1427</v>
      </c>
      <c r="C333" s="15" t="s">
        <v>680</v>
      </c>
      <c r="D333" s="15" t="s">
        <v>679</v>
      </c>
      <c r="E333" s="15" t="s">
        <v>678</v>
      </c>
      <c r="F333" s="15" t="s">
        <v>176</v>
      </c>
      <c r="G333" s="15" t="s">
        <v>99</v>
      </c>
      <c r="H333" s="15" t="s">
        <v>98</v>
      </c>
    </row>
    <row r="334" customFormat="false" ht="15" hidden="false" customHeight="false" outlineLevel="0" collapsed="false">
      <c r="A334" s="15" t="s">
        <v>1505</v>
      </c>
      <c r="B334" s="15" t="s">
        <v>1427</v>
      </c>
      <c r="C334" s="15" t="s">
        <v>693</v>
      </c>
      <c r="D334" s="15" t="s">
        <v>692</v>
      </c>
      <c r="E334" s="15" t="s">
        <v>678</v>
      </c>
      <c r="F334" s="15" t="s">
        <v>177</v>
      </c>
      <c r="G334" s="15" t="s">
        <v>99</v>
      </c>
      <c r="H334" s="15" t="s">
        <v>98</v>
      </c>
    </row>
    <row r="335" customFormat="false" ht="15" hidden="false" customHeight="false" outlineLevel="0" collapsed="false">
      <c r="A335" s="15" t="s">
        <v>1505</v>
      </c>
      <c r="B335" s="15" t="s">
        <v>1427</v>
      </c>
      <c r="C335" s="15" t="s">
        <v>695</v>
      </c>
      <c r="D335" s="15" t="s">
        <v>694</v>
      </c>
      <c r="E335" s="15" t="s">
        <v>678</v>
      </c>
      <c r="F335" s="15" t="s">
        <v>177</v>
      </c>
      <c r="G335" s="15" t="s">
        <v>99</v>
      </c>
      <c r="H335" s="15" t="s">
        <v>98</v>
      </c>
    </row>
    <row r="336" customFormat="false" ht="15" hidden="false" customHeight="false" outlineLevel="0" collapsed="false">
      <c r="A336" s="15" t="s">
        <v>1505</v>
      </c>
      <c r="B336" s="15" t="s">
        <v>1427</v>
      </c>
      <c r="C336" s="15" t="s">
        <v>827</v>
      </c>
      <c r="D336" s="15" t="s">
        <v>826</v>
      </c>
      <c r="E336" s="15" t="s">
        <v>678</v>
      </c>
      <c r="F336" s="15" t="s">
        <v>177</v>
      </c>
      <c r="G336" s="15" t="s">
        <v>104</v>
      </c>
      <c r="H336" s="15" t="s">
        <v>98</v>
      </c>
    </row>
    <row r="337" customFormat="false" ht="15" hidden="false" customHeight="false" outlineLevel="0" collapsed="false">
      <c r="A337" s="15" t="s">
        <v>1505</v>
      </c>
      <c r="B337" s="15" t="s">
        <v>1427</v>
      </c>
      <c r="C337" s="15" t="s">
        <v>837</v>
      </c>
      <c r="D337" s="15" t="s">
        <v>836</v>
      </c>
      <c r="E337" s="15" t="s">
        <v>678</v>
      </c>
      <c r="F337" s="15" t="s">
        <v>177</v>
      </c>
      <c r="G337" s="15" t="s">
        <v>104</v>
      </c>
      <c r="H337" s="15" t="s">
        <v>98</v>
      </c>
    </row>
    <row r="338" customFormat="false" ht="15" hidden="false" customHeight="false" outlineLevel="0" collapsed="false">
      <c r="A338" s="15" t="s">
        <v>1505</v>
      </c>
      <c r="B338" s="15" t="s">
        <v>1427</v>
      </c>
      <c r="C338" s="15" t="s">
        <v>841</v>
      </c>
      <c r="D338" s="15" t="s">
        <v>840</v>
      </c>
      <c r="E338" s="15" t="s">
        <v>678</v>
      </c>
      <c r="F338" s="15" t="s">
        <v>177</v>
      </c>
      <c r="G338" s="15" t="s">
        <v>104</v>
      </c>
      <c r="H338" s="15" t="s">
        <v>98</v>
      </c>
    </row>
    <row r="339" customFormat="false" ht="15" hidden="false" customHeight="false" outlineLevel="0" collapsed="false">
      <c r="A339" s="15" t="s">
        <v>1505</v>
      </c>
      <c r="B339" s="15" t="s">
        <v>1427</v>
      </c>
      <c r="C339" s="15" t="s">
        <v>793</v>
      </c>
      <c r="D339" s="15" t="s">
        <v>792</v>
      </c>
      <c r="E339" s="15" t="s">
        <v>791</v>
      </c>
      <c r="F339" s="15" t="s">
        <v>176</v>
      </c>
      <c r="G339" s="15" t="s">
        <v>1429</v>
      </c>
      <c r="H339" s="15" t="s">
        <v>98</v>
      </c>
    </row>
    <row r="340" customFormat="false" ht="15" hidden="false" customHeight="false" outlineLevel="0" collapsed="false">
      <c r="A340" s="15" t="s">
        <v>1505</v>
      </c>
      <c r="B340" s="15" t="s">
        <v>1427</v>
      </c>
      <c r="C340" s="15" t="s">
        <v>808</v>
      </c>
      <c r="D340" s="15" t="s">
        <v>807</v>
      </c>
      <c r="E340" s="15" t="s">
        <v>806</v>
      </c>
      <c r="F340" s="15" t="s">
        <v>177</v>
      </c>
      <c r="G340" s="15" t="s">
        <v>1429</v>
      </c>
      <c r="H340" s="15" t="s">
        <v>98</v>
      </c>
    </row>
    <row r="341" customFormat="false" ht="15" hidden="false" customHeight="false" outlineLevel="0" collapsed="false">
      <c r="A341" s="15" t="s">
        <v>1505</v>
      </c>
      <c r="B341" s="15" t="s">
        <v>1427</v>
      </c>
      <c r="C341" s="15" t="s">
        <v>847</v>
      </c>
      <c r="D341" s="15" t="s">
        <v>846</v>
      </c>
      <c r="E341" s="15" t="s">
        <v>845</v>
      </c>
      <c r="F341" s="15"/>
      <c r="G341" s="15" t="s">
        <v>1429</v>
      </c>
      <c r="H341" s="15" t="s">
        <v>98</v>
      </c>
    </row>
  </sheetData>
  <autoFilter ref="A8:H341"/>
  <mergeCells count="6">
    <mergeCell ref="A1:H1"/>
    <mergeCell ref="A2:H2"/>
    <mergeCell ref="A3:H3"/>
    <mergeCell ref="A4:H4"/>
    <mergeCell ref="A5:H5"/>
    <mergeCell ref="A6:H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0"/>
    <col collapsed="false" customWidth="true" hidden="false" outlineLevel="0" max="3" min="3" style="0" width="36"/>
    <col collapsed="false" customWidth="true" hidden="false" outlineLevel="0" max="4" min="4" style="0" width="44"/>
    <col collapsed="false" customWidth="true" hidden="false" outlineLevel="0" max="5" min="5" style="0" width="18"/>
  </cols>
  <sheetData>
    <row r="1" customFormat="false" ht="15" hidden="false" customHeight="false" outlineLevel="0" collapsed="false">
      <c r="A1" s="61" t="s">
        <v>1509</v>
      </c>
      <c r="B1" s="61" t="s">
        <v>1510</v>
      </c>
      <c r="C1" s="61" t="s">
        <v>1511</v>
      </c>
      <c r="D1" s="61" t="s">
        <v>1512</v>
      </c>
      <c r="E1" s="61" t="s">
        <v>1513</v>
      </c>
    </row>
    <row r="2" customFormat="false" ht="22.35" hidden="false" customHeight="false" outlineLevel="0" collapsed="false">
      <c r="A2" s="62" t="s">
        <v>1514</v>
      </c>
      <c r="B2" s="62" t="s">
        <v>1515</v>
      </c>
      <c r="C2" s="62" t="s">
        <v>1516</v>
      </c>
      <c r="D2" s="62" t="s">
        <v>1517</v>
      </c>
      <c r="E2" s="62" t="s">
        <v>1518</v>
      </c>
    </row>
    <row r="3" customFormat="false" ht="22.35" hidden="false" customHeight="false" outlineLevel="0" collapsed="false">
      <c r="A3" s="62" t="s">
        <v>1519</v>
      </c>
      <c r="B3" s="62" t="s">
        <v>1520</v>
      </c>
      <c r="C3" s="62" t="s">
        <v>1521</v>
      </c>
      <c r="D3" s="62" t="s">
        <v>1522</v>
      </c>
      <c r="E3" s="62" t="s">
        <v>1518</v>
      </c>
    </row>
    <row r="4" customFormat="false" ht="32.8" hidden="false" customHeight="false" outlineLevel="0" collapsed="false">
      <c r="A4" s="62" t="s">
        <v>1523</v>
      </c>
      <c r="B4" s="62" t="s">
        <v>1524</v>
      </c>
      <c r="C4" s="62" t="s">
        <v>1525</v>
      </c>
      <c r="D4" s="62" t="s">
        <v>1526</v>
      </c>
      <c r="E4" s="62" t="s">
        <v>1527</v>
      </c>
    </row>
    <row r="5" customFormat="false" ht="22.35" hidden="false" customHeight="false" outlineLevel="0" collapsed="false">
      <c r="A5" s="62" t="s">
        <v>1528</v>
      </c>
      <c r="B5" s="62" t="s">
        <v>1529</v>
      </c>
      <c r="C5" s="62" t="s">
        <v>1530</v>
      </c>
      <c r="D5" s="62" t="s">
        <v>1531</v>
      </c>
      <c r="E5" s="62" t="s">
        <v>1532</v>
      </c>
    </row>
    <row r="6" customFormat="false" ht="22.35" hidden="false" customHeight="false" outlineLevel="0" collapsed="false">
      <c r="A6" s="62" t="s">
        <v>1533</v>
      </c>
      <c r="B6" s="62" t="s">
        <v>1534</v>
      </c>
      <c r="C6" s="62" t="s">
        <v>1535</v>
      </c>
      <c r="D6" s="62" t="s">
        <v>1536</v>
      </c>
      <c r="E6" s="62" t="s">
        <v>1537</v>
      </c>
    </row>
    <row r="7" customFormat="false" ht="22.35" hidden="false" customHeight="false" outlineLevel="0" collapsed="false">
      <c r="A7" s="62" t="s">
        <v>1538</v>
      </c>
      <c r="B7" s="62" t="s">
        <v>1539</v>
      </c>
      <c r="C7" s="62" t="s">
        <v>1540</v>
      </c>
      <c r="D7" s="62" t="s">
        <v>1541</v>
      </c>
      <c r="E7" s="62" t="s">
        <v>1542</v>
      </c>
    </row>
    <row r="8" customFormat="false" ht="22.35" hidden="false" customHeight="false" outlineLevel="0" collapsed="false">
      <c r="A8" s="62" t="s">
        <v>1543</v>
      </c>
      <c r="B8" s="62" t="s">
        <v>1544</v>
      </c>
      <c r="C8" s="62" t="s">
        <v>1545</v>
      </c>
      <c r="D8" s="62" t="s">
        <v>1546</v>
      </c>
      <c r="E8" s="62" t="s">
        <v>1547</v>
      </c>
    </row>
    <row r="9" customFormat="false" ht="22.35" hidden="false" customHeight="false" outlineLevel="0" collapsed="false">
      <c r="A9" s="62" t="s">
        <v>1548</v>
      </c>
      <c r="B9" s="62" t="s">
        <v>1549</v>
      </c>
      <c r="C9" s="62" t="s">
        <v>1550</v>
      </c>
      <c r="D9" s="62" t="s">
        <v>1551</v>
      </c>
      <c r="E9" s="62" t="s">
        <v>1552</v>
      </c>
    </row>
    <row r="10" customFormat="false" ht="22.35" hidden="false" customHeight="false" outlineLevel="0" collapsed="false">
      <c r="A10" s="62" t="s">
        <v>1553</v>
      </c>
      <c r="B10" s="62" t="s">
        <v>1554</v>
      </c>
      <c r="C10" s="62" t="s">
        <v>1555</v>
      </c>
      <c r="D10" s="62" t="s">
        <v>1556</v>
      </c>
      <c r="E10" s="62" t="s">
        <v>1557</v>
      </c>
    </row>
    <row r="11" customFormat="false" ht="22.35" hidden="false" customHeight="false" outlineLevel="0" collapsed="false">
      <c r="A11" s="62" t="s">
        <v>1558</v>
      </c>
      <c r="B11" s="62" t="s">
        <v>1559</v>
      </c>
      <c r="C11" s="62" t="s">
        <v>1560</v>
      </c>
      <c r="D11" s="62" t="s">
        <v>1561</v>
      </c>
      <c r="E11" s="62" t="s">
        <v>1552</v>
      </c>
    </row>
    <row r="12" customFormat="false" ht="15" hidden="false" customHeight="false" outlineLevel="0" collapsed="false">
      <c r="A12" s="62" t="s">
        <v>1562</v>
      </c>
      <c r="B12" s="62" t="s">
        <v>1563</v>
      </c>
      <c r="C12" s="62" t="s">
        <v>1564</v>
      </c>
      <c r="D12" s="62" t="s">
        <v>1565</v>
      </c>
      <c r="E12" s="62" t="s">
        <v>1532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8"/>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8" min="7" style="0" width="8"/>
    <col collapsed="false" customWidth="true" hidden="false" outlineLevel="0" max="9" min="9" style="0" width="7"/>
    <col collapsed="false" customWidth="true" hidden="false" outlineLevel="0" max="10" min="10" style="0" width="12"/>
    <col collapsed="false" customWidth="true" hidden="false" outlineLevel="0" max="11" min="11" style="0" width="8"/>
    <col collapsed="false" customWidth="true" hidden="false" outlineLevel="0" max="12" min="12" style="0" width="7"/>
    <col collapsed="false" customWidth="true" hidden="false" outlineLevel="0" max="16" min="13" style="0" width="8"/>
    <col collapsed="false" customWidth="true" hidden="false" outlineLevel="0" max="17" min="17" style="0" width="30"/>
  </cols>
  <sheetData>
    <row r="1" customFormat="false" ht="42" hidden="false" customHeight="true" outlineLevel="0" collapsed="false">
      <c r="A1" s="14" t="s">
        <v>1566</v>
      </c>
      <c r="B1" s="14" t="s">
        <v>1567</v>
      </c>
      <c r="C1" s="14" t="s">
        <v>25</v>
      </c>
      <c r="D1" s="14" t="s">
        <v>26</v>
      </c>
      <c r="E1" s="14" t="s">
        <v>1568</v>
      </c>
      <c r="F1" s="14" t="s">
        <v>1388</v>
      </c>
      <c r="G1" s="14" t="s">
        <v>1569</v>
      </c>
      <c r="H1" s="14" t="s">
        <v>1570</v>
      </c>
      <c r="I1" s="14" t="s">
        <v>1571</v>
      </c>
      <c r="J1" s="14" t="s">
        <v>1572</v>
      </c>
      <c r="K1" s="14" t="s">
        <v>1573</v>
      </c>
      <c r="L1" s="14" t="s">
        <v>1574</v>
      </c>
      <c r="M1" s="14" t="s">
        <v>1575</v>
      </c>
      <c r="N1" s="14" t="s">
        <v>1576</v>
      </c>
      <c r="O1" s="14" t="s">
        <v>1577</v>
      </c>
      <c r="P1" s="14" t="s">
        <v>1578</v>
      </c>
      <c r="Q1" s="14" t="s">
        <v>306</v>
      </c>
    </row>
    <row r="2" customFormat="false" ht="15" hidden="false" customHeight="false" outlineLevel="0" collapsed="false">
      <c r="A2" s="63" t="n">
        <v>46346</v>
      </c>
      <c r="B2" s="64" t="s">
        <v>1579</v>
      </c>
      <c r="C2" s="64" t="s">
        <v>37</v>
      </c>
      <c r="D2" s="64" t="s">
        <v>38</v>
      </c>
      <c r="E2" s="64" t="s">
        <v>1580</v>
      </c>
      <c r="F2" s="64" t="s">
        <v>318</v>
      </c>
      <c r="G2" s="64" t="n">
        <v>109.99</v>
      </c>
      <c r="H2" s="64" t="n">
        <v>129.99</v>
      </c>
      <c r="I2" s="64" t="s">
        <v>1581</v>
      </c>
      <c r="J2" s="64" t="s">
        <v>1582</v>
      </c>
      <c r="K2" s="64" t="n">
        <v>87.99</v>
      </c>
      <c r="L2" s="64"/>
      <c r="M2" s="64" t="n">
        <v>250</v>
      </c>
      <c r="N2" s="21" t="n">
        <f aca="false">IFERROR(INDEX('Lift Inputs'!$H:$H,MATCH(D2,'Lift Inputs'!$B:$B,0)),"")</f>
        <v>0</v>
      </c>
      <c r="O2" s="36" t="str">
        <f aca="false">IF(AND(ISNUMBER(N2),OR(ISNUMBER(G2),ISNUMBER(K2))),IF(MIN(IF(ISNUMBER(G2),G2,10^9),IF(ISNUMBER(K2),K2,10^9))&lt;N2,"YES","no"),"")</f>
        <v/>
      </c>
      <c r="P2" s="64" t="s">
        <v>1581</v>
      </c>
      <c r="Q2" s="64" t="s">
        <v>1583</v>
      </c>
    </row>
    <row r="3" customFormat="false" ht="15" hidden="false" customHeight="false" outlineLevel="0" collapsed="false">
      <c r="A3" s="45"/>
      <c r="B3" s="44"/>
      <c r="C3" s="44"/>
      <c r="D3" s="44"/>
      <c r="E3" s="44"/>
      <c r="F3" s="44"/>
      <c r="G3" s="44"/>
      <c r="H3" s="44"/>
      <c r="I3" s="44"/>
      <c r="J3" s="44"/>
      <c r="K3" s="44"/>
      <c r="L3" s="44"/>
      <c r="M3" s="44"/>
      <c r="N3" s="20" t="str">
        <f aca="false">IFERROR(INDEX('Lift Inputs'!$H:$H,MATCH(D3,'Lift Inputs'!$B:$B,0)),"")</f>
        <v/>
      </c>
      <c r="O3" s="36" t="str">
        <f aca="false">IF(AND(ISNUMBER(N3),OR(ISNUMBER(G3),ISNUMBER(K3))),IF(MIN(IF(ISNUMBER(G3),G3,10^9),IF(ISNUMBER(K3),K3,10^9))&lt;N3,"YES","no"),"")</f>
        <v/>
      </c>
      <c r="P3" s="44"/>
      <c r="Q3" s="44"/>
    </row>
    <row r="4" customFormat="false" ht="15" hidden="false" customHeight="false" outlineLevel="0" collapsed="false">
      <c r="A4" s="45"/>
      <c r="B4" s="44"/>
      <c r="C4" s="44"/>
      <c r="D4" s="44"/>
      <c r="E4" s="44"/>
      <c r="F4" s="44"/>
      <c r="G4" s="44"/>
      <c r="H4" s="44"/>
      <c r="I4" s="44"/>
      <c r="J4" s="44"/>
      <c r="K4" s="44"/>
      <c r="L4" s="44"/>
      <c r="M4" s="44"/>
      <c r="N4" s="20" t="str">
        <f aca="false">IFERROR(INDEX('Lift Inputs'!$H:$H,MATCH(D4,'Lift Inputs'!$B:$B,0)),"")</f>
        <v/>
      </c>
      <c r="O4" s="36" t="str">
        <f aca="false">IF(AND(ISNUMBER(N4),OR(ISNUMBER(G4),ISNUMBER(K4))),IF(MIN(IF(ISNUMBER(G4),G4,10^9),IF(ISNUMBER(K4),K4,10^9))&lt;N4,"YES","no"),"")</f>
        <v/>
      </c>
      <c r="P4" s="44"/>
      <c r="Q4" s="44"/>
    </row>
    <row r="5" customFormat="false" ht="15" hidden="false" customHeight="false" outlineLevel="0" collapsed="false">
      <c r="A5" s="45"/>
      <c r="B5" s="44"/>
      <c r="C5" s="44"/>
      <c r="D5" s="44"/>
      <c r="E5" s="44"/>
      <c r="F5" s="44"/>
      <c r="G5" s="44"/>
      <c r="H5" s="44"/>
      <c r="I5" s="44"/>
      <c r="J5" s="44"/>
      <c r="K5" s="44"/>
      <c r="L5" s="44"/>
      <c r="M5" s="44"/>
      <c r="N5" s="20" t="str">
        <f aca="false">IFERROR(INDEX('Lift Inputs'!$H:$H,MATCH(D5,'Lift Inputs'!$B:$B,0)),"")</f>
        <v/>
      </c>
      <c r="O5" s="36" t="str">
        <f aca="false">IF(AND(ISNUMBER(N5),OR(ISNUMBER(G5),ISNUMBER(K5))),IF(MIN(IF(ISNUMBER(G5),G5,10^9),IF(ISNUMBER(K5),K5,10^9))&lt;N5,"YES","no"),"")</f>
        <v/>
      </c>
      <c r="P5" s="44"/>
      <c r="Q5" s="44"/>
    </row>
    <row r="6" customFormat="false" ht="15" hidden="false" customHeight="false" outlineLevel="0" collapsed="false">
      <c r="A6" s="45"/>
      <c r="B6" s="44"/>
      <c r="C6" s="44"/>
      <c r="D6" s="44"/>
      <c r="E6" s="44"/>
      <c r="F6" s="44"/>
      <c r="G6" s="44"/>
      <c r="H6" s="44"/>
      <c r="I6" s="44"/>
      <c r="J6" s="44"/>
      <c r="K6" s="44"/>
      <c r="L6" s="44"/>
      <c r="M6" s="44"/>
      <c r="N6" s="20" t="str">
        <f aca="false">IFERROR(INDEX('Lift Inputs'!$H:$H,MATCH(D6,'Lift Inputs'!$B:$B,0)),"")</f>
        <v/>
      </c>
      <c r="O6" s="36" t="str">
        <f aca="false">IF(AND(ISNUMBER(N6),OR(ISNUMBER(G6),ISNUMBER(K6))),IF(MIN(IF(ISNUMBER(G6),G6,10^9),IF(ISNUMBER(K6),K6,10^9))&lt;N6,"YES","no"),"")</f>
        <v/>
      </c>
      <c r="P6" s="44"/>
      <c r="Q6" s="44"/>
    </row>
    <row r="7" customFormat="false" ht="15" hidden="false" customHeight="false" outlineLevel="0" collapsed="false">
      <c r="A7" s="45"/>
      <c r="B7" s="44"/>
      <c r="C7" s="44"/>
      <c r="D7" s="44"/>
      <c r="E7" s="44"/>
      <c r="F7" s="44"/>
      <c r="G7" s="44"/>
      <c r="H7" s="44"/>
      <c r="I7" s="44"/>
      <c r="J7" s="44"/>
      <c r="K7" s="44"/>
      <c r="L7" s="44"/>
      <c r="M7" s="44"/>
      <c r="N7" s="20" t="str">
        <f aca="false">IFERROR(INDEX('Lift Inputs'!$H:$H,MATCH(D7,'Lift Inputs'!$B:$B,0)),"")</f>
        <v/>
      </c>
      <c r="O7" s="36" t="str">
        <f aca="false">IF(AND(ISNUMBER(N7),OR(ISNUMBER(G7),ISNUMBER(K7))),IF(MIN(IF(ISNUMBER(G7),G7,10^9),IF(ISNUMBER(K7),K7,10^9))&lt;N7,"YES","no"),"")</f>
        <v/>
      </c>
      <c r="P7" s="44"/>
      <c r="Q7" s="44"/>
    </row>
    <row r="8" customFormat="false" ht="15" hidden="false" customHeight="false" outlineLevel="0" collapsed="false">
      <c r="A8" s="45"/>
      <c r="B8" s="44"/>
      <c r="C8" s="44"/>
      <c r="D8" s="44"/>
      <c r="E8" s="44"/>
      <c r="F8" s="44"/>
      <c r="G8" s="44"/>
      <c r="H8" s="44"/>
      <c r="I8" s="44"/>
      <c r="J8" s="44"/>
      <c r="K8" s="44"/>
      <c r="L8" s="44"/>
      <c r="M8" s="44"/>
      <c r="N8" s="20" t="str">
        <f aca="false">IFERROR(INDEX('Lift Inputs'!$H:$H,MATCH(D8,'Lift Inputs'!$B:$B,0)),"")</f>
        <v/>
      </c>
      <c r="O8" s="36" t="str">
        <f aca="false">IF(AND(ISNUMBER(N8),OR(ISNUMBER(G8),ISNUMBER(K8))),IF(MIN(IF(ISNUMBER(G8),G8,10^9),IF(ISNUMBER(K8),K8,10^9))&lt;N8,"YES","no"),"")</f>
        <v/>
      </c>
      <c r="P8" s="44"/>
      <c r="Q8" s="44"/>
    </row>
    <row r="9" customFormat="false" ht="15" hidden="false" customHeight="false" outlineLevel="0" collapsed="false">
      <c r="A9" s="45"/>
      <c r="B9" s="44"/>
      <c r="C9" s="44"/>
      <c r="D9" s="44"/>
      <c r="E9" s="44"/>
      <c r="F9" s="44"/>
      <c r="G9" s="44"/>
      <c r="H9" s="44"/>
      <c r="I9" s="44"/>
      <c r="J9" s="44"/>
      <c r="K9" s="44"/>
      <c r="L9" s="44"/>
      <c r="M9" s="44"/>
      <c r="N9" s="20" t="str">
        <f aca="false">IFERROR(INDEX('Lift Inputs'!$H:$H,MATCH(D9,'Lift Inputs'!$B:$B,0)),"")</f>
        <v/>
      </c>
      <c r="O9" s="36" t="str">
        <f aca="false">IF(AND(ISNUMBER(N9),OR(ISNUMBER(G9),ISNUMBER(K9))),IF(MIN(IF(ISNUMBER(G9),G9,10^9),IF(ISNUMBER(K9),K9,10^9))&lt;N9,"YES","no"),"")</f>
        <v/>
      </c>
      <c r="P9" s="44"/>
      <c r="Q9" s="44"/>
    </row>
    <row r="10" customFormat="false" ht="15" hidden="false" customHeight="false" outlineLevel="0" collapsed="false">
      <c r="A10" s="45"/>
      <c r="B10" s="44"/>
      <c r="C10" s="44"/>
      <c r="D10" s="44"/>
      <c r="E10" s="44"/>
      <c r="F10" s="44"/>
      <c r="G10" s="44"/>
      <c r="H10" s="44"/>
      <c r="I10" s="44"/>
      <c r="J10" s="44"/>
      <c r="K10" s="44"/>
      <c r="L10" s="44"/>
      <c r="M10" s="44"/>
      <c r="N10" s="20" t="str">
        <f aca="false">IFERROR(INDEX('Lift Inputs'!$H:$H,MATCH(D10,'Lift Inputs'!$B:$B,0)),"")</f>
        <v/>
      </c>
      <c r="O10" s="36" t="str">
        <f aca="false">IF(AND(ISNUMBER(N10),OR(ISNUMBER(G10),ISNUMBER(K10))),IF(MIN(IF(ISNUMBER(G10),G10,10^9),IF(ISNUMBER(K10),K10,10^9))&lt;N10,"YES","no"),"")</f>
        <v/>
      </c>
      <c r="P10" s="44"/>
      <c r="Q10" s="44"/>
    </row>
    <row r="11" customFormat="false" ht="15" hidden="false" customHeight="false" outlineLevel="0" collapsed="false">
      <c r="A11" s="45"/>
      <c r="B11" s="44"/>
      <c r="C11" s="44"/>
      <c r="D11" s="44"/>
      <c r="E11" s="44"/>
      <c r="F11" s="44"/>
      <c r="G11" s="44"/>
      <c r="H11" s="44"/>
      <c r="I11" s="44"/>
      <c r="J11" s="44"/>
      <c r="K11" s="44"/>
      <c r="L11" s="44"/>
      <c r="M11" s="44"/>
      <c r="N11" s="20" t="str">
        <f aca="false">IFERROR(INDEX('Lift Inputs'!$H:$H,MATCH(D11,'Lift Inputs'!$B:$B,0)),"")</f>
        <v/>
      </c>
      <c r="O11" s="36" t="str">
        <f aca="false">IF(AND(ISNUMBER(N11),OR(ISNUMBER(G11),ISNUMBER(K11))),IF(MIN(IF(ISNUMBER(G11),G11,10^9),IF(ISNUMBER(K11),K11,10^9))&lt;N11,"YES","no"),"")</f>
        <v/>
      </c>
      <c r="P11" s="44"/>
      <c r="Q11" s="44"/>
    </row>
    <row r="12" customFormat="false" ht="15" hidden="false" customHeight="false" outlineLevel="0" collapsed="false">
      <c r="A12" s="45"/>
      <c r="B12" s="44"/>
      <c r="C12" s="44"/>
      <c r="D12" s="44"/>
      <c r="E12" s="44"/>
      <c r="F12" s="44"/>
      <c r="G12" s="44"/>
      <c r="H12" s="44"/>
      <c r="I12" s="44"/>
      <c r="J12" s="44"/>
      <c r="K12" s="44"/>
      <c r="L12" s="44"/>
      <c r="M12" s="44"/>
      <c r="N12" s="20" t="str">
        <f aca="false">IFERROR(INDEX('Lift Inputs'!$H:$H,MATCH(D12,'Lift Inputs'!$B:$B,0)),"")</f>
        <v/>
      </c>
      <c r="O12" s="36" t="str">
        <f aca="false">IF(AND(ISNUMBER(N12),OR(ISNUMBER(G12),ISNUMBER(K12))),IF(MIN(IF(ISNUMBER(G12),G12,10^9),IF(ISNUMBER(K12),K12,10^9))&lt;N12,"YES","no"),"")</f>
        <v/>
      </c>
      <c r="P12" s="44"/>
      <c r="Q12" s="44"/>
    </row>
    <row r="13" customFormat="false" ht="15" hidden="false" customHeight="false" outlineLevel="0" collapsed="false">
      <c r="A13" s="45"/>
      <c r="B13" s="44"/>
      <c r="C13" s="44"/>
      <c r="D13" s="44"/>
      <c r="E13" s="44"/>
      <c r="F13" s="44"/>
      <c r="G13" s="44"/>
      <c r="H13" s="44"/>
      <c r="I13" s="44"/>
      <c r="J13" s="44"/>
      <c r="K13" s="44"/>
      <c r="L13" s="44"/>
      <c r="M13" s="44"/>
      <c r="N13" s="20" t="str">
        <f aca="false">IFERROR(INDEX('Lift Inputs'!$H:$H,MATCH(D13,'Lift Inputs'!$B:$B,0)),"")</f>
        <v/>
      </c>
      <c r="O13" s="36" t="str">
        <f aca="false">IF(AND(ISNUMBER(N13),OR(ISNUMBER(G13),ISNUMBER(K13))),IF(MIN(IF(ISNUMBER(G13),G13,10^9),IF(ISNUMBER(K13),K13,10^9))&lt;N13,"YES","no"),"")</f>
        <v/>
      </c>
      <c r="P13" s="44"/>
      <c r="Q13" s="44"/>
    </row>
    <row r="14" customFormat="false" ht="15" hidden="false" customHeight="false" outlineLevel="0" collapsed="false">
      <c r="A14" s="45"/>
      <c r="B14" s="44"/>
      <c r="C14" s="44"/>
      <c r="D14" s="44"/>
      <c r="E14" s="44"/>
      <c r="F14" s="44"/>
      <c r="G14" s="44"/>
      <c r="H14" s="44"/>
      <c r="I14" s="44"/>
      <c r="J14" s="44"/>
      <c r="K14" s="44"/>
      <c r="L14" s="44"/>
      <c r="M14" s="44"/>
      <c r="N14" s="20" t="str">
        <f aca="false">IFERROR(INDEX('Lift Inputs'!$H:$H,MATCH(D14,'Lift Inputs'!$B:$B,0)),"")</f>
        <v/>
      </c>
      <c r="O14" s="36" t="str">
        <f aca="false">IF(AND(ISNUMBER(N14),OR(ISNUMBER(G14),ISNUMBER(K14))),IF(MIN(IF(ISNUMBER(G14),G14,10^9),IF(ISNUMBER(K14),K14,10^9))&lt;N14,"YES","no"),"")</f>
        <v/>
      </c>
      <c r="P14" s="44"/>
      <c r="Q14" s="44"/>
    </row>
    <row r="15" customFormat="false" ht="15" hidden="false" customHeight="false" outlineLevel="0" collapsed="false">
      <c r="A15" s="45"/>
      <c r="B15" s="44"/>
      <c r="C15" s="44"/>
      <c r="D15" s="44"/>
      <c r="E15" s="44"/>
      <c r="F15" s="44"/>
      <c r="G15" s="44"/>
      <c r="H15" s="44"/>
      <c r="I15" s="44"/>
      <c r="J15" s="44"/>
      <c r="K15" s="44"/>
      <c r="L15" s="44"/>
      <c r="M15" s="44"/>
      <c r="N15" s="20" t="str">
        <f aca="false">IFERROR(INDEX('Lift Inputs'!$H:$H,MATCH(D15,'Lift Inputs'!$B:$B,0)),"")</f>
        <v/>
      </c>
      <c r="O15" s="36" t="str">
        <f aca="false">IF(AND(ISNUMBER(N15),OR(ISNUMBER(G15),ISNUMBER(K15))),IF(MIN(IF(ISNUMBER(G15),G15,10^9),IF(ISNUMBER(K15),K15,10^9))&lt;N15,"YES","no"),"")</f>
        <v/>
      </c>
      <c r="P15" s="44"/>
      <c r="Q15" s="44"/>
    </row>
    <row r="16" customFormat="false" ht="15" hidden="false" customHeight="false" outlineLevel="0" collapsed="false">
      <c r="A16" s="45"/>
      <c r="B16" s="44"/>
      <c r="C16" s="44"/>
      <c r="D16" s="44"/>
      <c r="E16" s="44"/>
      <c r="F16" s="44"/>
      <c r="G16" s="44"/>
      <c r="H16" s="44"/>
      <c r="I16" s="44"/>
      <c r="J16" s="44"/>
      <c r="K16" s="44"/>
      <c r="L16" s="44"/>
      <c r="M16" s="44"/>
      <c r="N16" s="20" t="str">
        <f aca="false">IFERROR(INDEX('Lift Inputs'!$H:$H,MATCH(D16,'Lift Inputs'!$B:$B,0)),"")</f>
        <v/>
      </c>
      <c r="O16" s="36" t="str">
        <f aca="false">IF(AND(ISNUMBER(N16),OR(ISNUMBER(G16),ISNUMBER(K16))),IF(MIN(IF(ISNUMBER(G16),G16,10^9),IF(ISNUMBER(K16),K16,10^9))&lt;N16,"YES","no"),"")</f>
        <v/>
      </c>
      <c r="P16" s="44"/>
      <c r="Q16" s="44"/>
    </row>
    <row r="17" customFormat="false" ht="15" hidden="false" customHeight="false" outlineLevel="0" collapsed="false">
      <c r="A17" s="45"/>
      <c r="B17" s="44"/>
      <c r="C17" s="44"/>
      <c r="D17" s="44"/>
      <c r="E17" s="44"/>
      <c r="F17" s="44"/>
      <c r="G17" s="44"/>
      <c r="H17" s="44"/>
      <c r="I17" s="44"/>
      <c r="J17" s="44"/>
      <c r="K17" s="44"/>
      <c r="L17" s="44"/>
      <c r="M17" s="44"/>
      <c r="N17" s="20" t="str">
        <f aca="false">IFERROR(INDEX('Lift Inputs'!$H:$H,MATCH(D17,'Lift Inputs'!$B:$B,0)),"")</f>
        <v/>
      </c>
      <c r="O17" s="36" t="str">
        <f aca="false">IF(AND(ISNUMBER(N17),OR(ISNUMBER(G17),ISNUMBER(K17))),IF(MIN(IF(ISNUMBER(G17),G17,10^9),IF(ISNUMBER(K17),K17,10^9))&lt;N17,"YES","no"),"")</f>
        <v/>
      </c>
      <c r="P17" s="44"/>
      <c r="Q17" s="44"/>
    </row>
    <row r="18" customFormat="false" ht="15" hidden="false" customHeight="false" outlineLevel="0" collapsed="false">
      <c r="A18" s="45"/>
      <c r="B18" s="44"/>
      <c r="C18" s="44"/>
      <c r="D18" s="44"/>
      <c r="E18" s="44"/>
      <c r="F18" s="44"/>
      <c r="G18" s="44"/>
      <c r="H18" s="44"/>
      <c r="I18" s="44"/>
      <c r="J18" s="44"/>
      <c r="K18" s="44"/>
      <c r="L18" s="44"/>
      <c r="M18" s="44"/>
      <c r="N18" s="20" t="str">
        <f aca="false">IFERROR(INDEX('Lift Inputs'!$H:$H,MATCH(D18,'Lift Inputs'!$B:$B,0)),"")</f>
        <v/>
      </c>
      <c r="O18" s="36" t="str">
        <f aca="false">IF(AND(ISNUMBER(N18),OR(ISNUMBER(G18),ISNUMBER(K18))),IF(MIN(IF(ISNUMBER(G18),G18,10^9),IF(ISNUMBER(K18),K18,10^9))&lt;N18,"YES","no"),"")</f>
        <v/>
      </c>
      <c r="P18" s="44"/>
      <c r="Q18" s="44"/>
    </row>
    <row r="19" customFormat="false" ht="15" hidden="false" customHeight="false" outlineLevel="0" collapsed="false">
      <c r="A19" s="45"/>
      <c r="B19" s="44"/>
      <c r="C19" s="44"/>
      <c r="D19" s="44"/>
      <c r="E19" s="44"/>
      <c r="F19" s="44"/>
      <c r="G19" s="44"/>
      <c r="H19" s="44"/>
      <c r="I19" s="44"/>
      <c r="J19" s="44"/>
      <c r="K19" s="44"/>
      <c r="L19" s="44"/>
      <c r="M19" s="44"/>
      <c r="N19" s="20" t="str">
        <f aca="false">IFERROR(INDEX('Lift Inputs'!$H:$H,MATCH(D19,'Lift Inputs'!$B:$B,0)),"")</f>
        <v/>
      </c>
      <c r="O19" s="36" t="str">
        <f aca="false">IF(AND(ISNUMBER(N19),OR(ISNUMBER(G19),ISNUMBER(K19))),IF(MIN(IF(ISNUMBER(G19),G19,10^9),IF(ISNUMBER(K19),K19,10^9))&lt;N19,"YES","no"),"")</f>
        <v/>
      </c>
      <c r="P19" s="44"/>
      <c r="Q19" s="44"/>
    </row>
    <row r="20" customFormat="false" ht="15" hidden="false" customHeight="false" outlineLevel="0" collapsed="false">
      <c r="A20" s="45"/>
      <c r="B20" s="44"/>
      <c r="C20" s="44"/>
      <c r="D20" s="44"/>
      <c r="E20" s="44"/>
      <c r="F20" s="44"/>
      <c r="G20" s="44"/>
      <c r="H20" s="44"/>
      <c r="I20" s="44"/>
      <c r="J20" s="44"/>
      <c r="K20" s="44"/>
      <c r="L20" s="44"/>
      <c r="M20" s="44"/>
      <c r="N20" s="20" t="str">
        <f aca="false">IFERROR(INDEX('Lift Inputs'!$H:$H,MATCH(D20,'Lift Inputs'!$B:$B,0)),"")</f>
        <v/>
      </c>
      <c r="O20" s="36" t="str">
        <f aca="false">IF(AND(ISNUMBER(N20),OR(ISNUMBER(G20),ISNUMBER(K20))),IF(MIN(IF(ISNUMBER(G20),G20,10^9),IF(ISNUMBER(K20),K20,10^9))&lt;N20,"YES","no"),"")</f>
        <v/>
      </c>
      <c r="P20" s="44"/>
      <c r="Q20" s="44"/>
    </row>
    <row r="21" customFormat="false" ht="15" hidden="false" customHeight="false" outlineLevel="0" collapsed="false">
      <c r="A21" s="45"/>
      <c r="B21" s="44"/>
      <c r="C21" s="44"/>
      <c r="D21" s="44"/>
      <c r="E21" s="44"/>
      <c r="F21" s="44"/>
      <c r="G21" s="44"/>
      <c r="H21" s="44"/>
      <c r="I21" s="44"/>
      <c r="J21" s="44"/>
      <c r="K21" s="44"/>
      <c r="L21" s="44"/>
      <c r="M21" s="44"/>
      <c r="N21" s="20" t="str">
        <f aca="false">IFERROR(INDEX('Lift Inputs'!$H:$H,MATCH(D21,'Lift Inputs'!$B:$B,0)),"")</f>
        <v/>
      </c>
      <c r="O21" s="36" t="str">
        <f aca="false">IF(AND(ISNUMBER(N21),OR(ISNUMBER(G21),ISNUMBER(K21))),IF(MIN(IF(ISNUMBER(G21),G21,10^9),IF(ISNUMBER(K21),K21,10^9))&lt;N21,"YES","no"),"")</f>
        <v/>
      </c>
      <c r="P21" s="44"/>
      <c r="Q21" s="44"/>
    </row>
    <row r="22" customFormat="false" ht="15" hidden="false" customHeight="false" outlineLevel="0" collapsed="false">
      <c r="A22" s="45"/>
      <c r="B22" s="44"/>
      <c r="C22" s="44"/>
      <c r="D22" s="44"/>
      <c r="E22" s="44"/>
      <c r="F22" s="44"/>
      <c r="G22" s="44"/>
      <c r="H22" s="44"/>
      <c r="I22" s="44"/>
      <c r="J22" s="44"/>
      <c r="K22" s="44"/>
      <c r="L22" s="44"/>
      <c r="M22" s="44"/>
      <c r="N22" s="20" t="str">
        <f aca="false">IFERROR(INDEX('Lift Inputs'!$H:$H,MATCH(D22,'Lift Inputs'!$B:$B,0)),"")</f>
        <v/>
      </c>
      <c r="O22" s="36" t="str">
        <f aca="false">IF(AND(ISNUMBER(N22),OR(ISNUMBER(G22),ISNUMBER(K22))),IF(MIN(IF(ISNUMBER(G22),G22,10^9),IF(ISNUMBER(K22),K22,10^9))&lt;N22,"YES","no"),"")</f>
        <v/>
      </c>
      <c r="P22" s="44"/>
      <c r="Q22" s="44"/>
    </row>
    <row r="23" customFormat="false" ht="15" hidden="false" customHeight="false" outlineLevel="0" collapsed="false">
      <c r="A23" s="45"/>
      <c r="B23" s="44"/>
      <c r="C23" s="44"/>
      <c r="D23" s="44"/>
      <c r="E23" s="44"/>
      <c r="F23" s="44"/>
      <c r="G23" s="44"/>
      <c r="H23" s="44"/>
      <c r="I23" s="44"/>
      <c r="J23" s="44"/>
      <c r="K23" s="44"/>
      <c r="L23" s="44"/>
      <c r="M23" s="44"/>
      <c r="N23" s="20" t="str">
        <f aca="false">IFERROR(INDEX('Lift Inputs'!$H:$H,MATCH(D23,'Lift Inputs'!$B:$B,0)),"")</f>
        <v/>
      </c>
      <c r="O23" s="36" t="str">
        <f aca="false">IF(AND(ISNUMBER(N23),OR(ISNUMBER(G23),ISNUMBER(K23))),IF(MIN(IF(ISNUMBER(G23),G23,10^9),IF(ISNUMBER(K23),K23,10^9))&lt;N23,"YES","no"),"")</f>
        <v/>
      </c>
      <c r="P23" s="44"/>
      <c r="Q23" s="44"/>
    </row>
    <row r="24" customFormat="false" ht="15" hidden="false" customHeight="false" outlineLevel="0" collapsed="false">
      <c r="A24" s="45"/>
      <c r="B24" s="44"/>
      <c r="C24" s="44"/>
      <c r="D24" s="44"/>
      <c r="E24" s="44"/>
      <c r="F24" s="44"/>
      <c r="G24" s="44"/>
      <c r="H24" s="44"/>
      <c r="I24" s="44"/>
      <c r="J24" s="44"/>
      <c r="K24" s="44"/>
      <c r="L24" s="44"/>
      <c r="M24" s="44"/>
      <c r="N24" s="20" t="str">
        <f aca="false">IFERROR(INDEX('Lift Inputs'!$H:$H,MATCH(D24,'Lift Inputs'!$B:$B,0)),"")</f>
        <v/>
      </c>
      <c r="O24" s="36" t="str">
        <f aca="false">IF(AND(ISNUMBER(N24),OR(ISNUMBER(G24),ISNUMBER(K24))),IF(MIN(IF(ISNUMBER(G24),G24,10^9),IF(ISNUMBER(K24),K24,10^9))&lt;N24,"YES","no"),"")</f>
        <v/>
      </c>
      <c r="P24" s="44"/>
      <c r="Q24" s="44"/>
    </row>
    <row r="25" customFormat="false" ht="15" hidden="false" customHeight="false" outlineLevel="0" collapsed="false">
      <c r="A25" s="45"/>
      <c r="B25" s="44"/>
      <c r="C25" s="44"/>
      <c r="D25" s="44"/>
      <c r="E25" s="44"/>
      <c r="F25" s="44"/>
      <c r="G25" s="44"/>
      <c r="H25" s="44"/>
      <c r="I25" s="44"/>
      <c r="J25" s="44"/>
      <c r="K25" s="44"/>
      <c r="L25" s="44"/>
      <c r="M25" s="44"/>
      <c r="N25" s="20" t="str">
        <f aca="false">IFERROR(INDEX('Lift Inputs'!$H:$H,MATCH(D25,'Lift Inputs'!$B:$B,0)),"")</f>
        <v/>
      </c>
      <c r="O25" s="36" t="str">
        <f aca="false">IF(AND(ISNUMBER(N25),OR(ISNUMBER(G25),ISNUMBER(K25))),IF(MIN(IF(ISNUMBER(G25),G25,10^9),IF(ISNUMBER(K25),K25,10^9))&lt;N25,"YES","no"),"")</f>
        <v/>
      </c>
      <c r="P25" s="44"/>
      <c r="Q25" s="44"/>
    </row>
    <row r="26" customFormat="false" ht="15" hidden="false" customHeight="false" outlineLevel="0" collapsed="false">
      <c r="A26" s="45"/>
      <c r="B26" s="44"/>
      <c r="C26" s="44"/>
      <c r="D26" s="44"/>
      <c r="E26" s="44"/>
      <c r="F26" s="44"/>
      <c r="G26" s="44"/>
      <c r="H26" s="44"/>
      <c r="I26" s="44"/>
      <c r="J26" s="44"/>
      <c r="K26" s="44"/>
      <c r="L26" s="44"/>
      <c r="M26" s="44"/>
      <c r="N26" s="20" t="str">
        <f aca="false">IFERROR(INDEX('Lift Inputs'!$H:$H,MATCH(D26,'Lift Inputs'!$B:$B,0)),"")</f>
        <v/>
      </c>
      <c r="O26" s="36" t="str">
        <f aca="false">IF(AND(ISNUMBER(N26),OR(ISNUMBER(G26),ISNUMBER(K26))),IF(MIN(IF(ISNUMBER(G26),G26,10^9),IF(ISNUMBER(K26),K26,10^9))&lt;N26,"YES","no"),"")</f>
        <v/>
      </c>
      <c r="P26" s="44"/>
      <c r="Q26" s="44"/>
    </row>
    <row r="27" customFormat="false" ht="15" hidden="false" customHeight="false" outlineLevel="0" collapsed="false">
      <c r="A27" s="45"/>
      <c r="B27" s="44"/>
      <c r="C27" s="44"/>
      <c r="D27" s="44"/>
      <c r="E27" s="44"/>
      <c r="F27" s="44"/>
      <c r="G27" s="44"/>
      <c r="H27" s="44"/>
      <c r="I27" s="44"/>
      <c r="J27" s="44"/>
      <c r="K27" s="44"/>
      <c r="L27" s="44"/>
      <c r="M27" s="44"/>
      <c r="N27" s="20" t="str">
        <f aca="false">IFERROR(INDEX('Lift Inputs'!$H:$H,MATCH(D27,'Lift Inputs'!$B:$B,0)),"")</f>
        <v/>
      </c>
      <c r="O27" s="36" t="str">
        <f aca="false">IF(AND(ISNUMBER(N27),OR(ISNUMBER(G27),ISNUMBER(K27))),IF(MIN(IF(ISNUMBER(G27),G27,10^9),IF(ISNUMBER(K27),K27,10^9))&lt;N27,"YES","no"),"")</f>
        <v/>
      </c>
      <c r="P27" s="44"/>
      <c r="Q27" s="44"/>
    </row>
    <row r="28" customFormat="false" ht="15" hidden="false" customHeight="false" outlineLevel="0" collapsed="false">
      <c r="A28" s="45"/>
      <c r="B28" s="44"/>
      <c r="C28" s="44"/>
      <c r="D28" s="44"/>
      <c r="E28" s="44"/>
      <c r="F28" s="44"/>
      <c r="G28" s="44"/>
      <c r="H28" s="44"/>
      <c r="I28" s="44"/>
      <c r="J28" s="44"/>
      <c r="K28" s="44"/>
      <c r="L28" s="44"/>
      <c r="M28" s="44"/>
      <c r="N28" s="20" t="str">
        <f aca="false">IFERROR(INDEX('Lift Inputs'!$H:$H,MATCH(D28,'Lift Inputs'!$B:$B,0)),"")</f>
        <v/>
      </c>
      <c r="O28" s="36" t="str">
        <f aca="false">IF(AND(ISNUMBER(N28),OR(ISNUMBER(G28),ISNUMBER(K28))),IF(MIN(IF(ISNUMBER(G28),G28,10^9),IF(ISNUMBER(K28),K28,10^9))&lt;N28,"YES","no"),"")</f>
        <v/>
      </c>
      <c r="P28" s="44"/>
      <c r="Q28" s="44"/>
    </row>
    <row r="29" customFormat="false" ht="15" hidden="false" customHeight="false" outlineLevel="0" collapsed="false">
      <c r="A29" s="45"/>
      <c r="B29" s="44"/>
      <c r="C29" s="44"/>
      <c r="D29" s="44"/>
      <c r="E29" s="44"/>
      <c r="F29" s="44"/>
      <c r="G29" s="44"/>
      <c r="H29" s="44"/>
      <c r="I29" s="44"/>
      <c r="J29" s="44"/>
      <c r="K29" s="44"/>
      <c r="L29" s="44"/>
      <c r="M29" s="44"/>
      <c r="N29" s="20" t="str">
        <f aca="false">IFERROR(INDEX('Lift Inputs'!$H:$H,MATCH(D29,'Lift Inputs'!$B:$B,0)),"")</f>
        <v/>
      </c>
      <c r="O29" s="36" t="str">
        <f aca="false">IF(AND(ISNUMBER(N29),OR(ISNUMBER(G29),ISNUMBER(K29))),IF(MIN(IF(ISNUMBER(G29),G29,10^9),IF(ISNUMBER(K29),K29,10^9))&lt;N29,"YES","no"),"")</f>
        <v/>
      </c>
      <c r="P29" s="44"/>
      <c r="Q29" s="44"/>
    </row>
    <row r="30" customFormat="false" ht="15" hidden="false" customHeight="false" outlineLevel="0" collapsed="false">
      <c r="A30" s="45"/>
      <c r="B30" s="44"/>
      <c r="C30" s="44"/>
      <c r="D30" s="44"/>
      <c r="E30" s="44"/>
      <c r="F30" s="44"/>
      <c r="G30" s="44"/>
      <c r="H30" s="44"/>
      <c r="I30" s="44"/>
      <c r="J30" s="44"/>
      <c r="K30" s="44"/>
      <c r="L30" s="44"/>
      <c r="M30" s="44"/>
      <c r="N30" s="20" t="str">
        <f aca="false">IFERROR(INDEX('Lift Inputs'!$H:$H,MATCH(D30,'Lift Inputs'!$B:$B,0)),"")</f>
        <v/>
      </c>
      <c r="O30" s="36" t="str">
        <f aca="false">IF(AND(ISNUMBER(N30),OR(ISNUMBER(G30),ISNUMBER(K30))),IF(MIN(IF(ISNUMBER(G30),G30,10^9),IF(ISNUMBER(K30),K30,10^9))&lt;N30,"YES","no"),"")</f>
        <v/>
      </c>
      <c r="P30" s="44"/>
      <c r="Q30" s="44"/>
    </row>
    <row r="31" customFormat="false" ht="15" hidden="false" customHeight="false" outlineLevel="0" collapsed="false">
      <c r="A31" s="45"/>
      <c r="B31" s="44"/>
      <c r="C31" s="44"/>
      <c r="D31" s="44"/>
      <c r="E31" s="44"/>
      <c r="F31" s="44"/>
      <c r="G31" s="44"/>
      <c r="H31" s="44"/>
      <c r="I31" s="44"/>
      <c r="J31" s="44"/>
      <c r="K31" s="44"/>
      <c r="L31" s="44"/>
      <c r="M31" s="44"/>
      <c r="N31" s="20" t="str">
        <f aca="false">IFERROR(INDEX('Lift Inputs'!$H:$H,MATCH(D31,'Lift Inputs'!$B:$B,0)),"")</f>
        <v/>
      </c>
      <c r="O31" s="36" t="str">
        <f aca="false">IF(AND(ISNUMBER(N31),OR(ISNUMBER(G31),ISNUMBER(K31))),IF(MIN(IF(ISNUMBER(G31),G31,10^9),IF(ISNUMBER(K31),K31,10^9))&lt;N31,"YES","no"),"")</f>
        <v/>
      </c>
      <c r="P31" s="44"/>
      <c r="Q31" s="44"/>
    </row>
    <row r="32" customFormat="false" ht="15" hidden="false" customHeight="false" outlineLevel="0" collapsed="false">
      <c r="A32" s="45"/>
      <c r="B32" s="44"/>
      <c r="C32" s="44"/>
      <c r="D32" s="44"/>
      <c r="E32" s="44"/>
      <c r="F32" s="44"/>
      <c r="G32" s="44"/>
      <c r="H32" s="44"/>
      <c r="I32" s="44"/>
      <c r="J32" s="44"/>
      <c r="K32" s="44"/>
      <c r="L32" s="44"/>
      <c r="M32" s="44"/>
      <c r="N32" s="20" t="str">
        <f aca="false">IFERROR(INDEX('Lift Inputs'!$H:$H,MATCH(D32,'Lift Inputs'!$B:$B,0)),"")</f>
        <v/>
      </c>
      <c r="O32" s="36" t="str">
        <f aca="false">IF(AND(ISNUMBER(N32),OR(ISNUMBER(G32),ISNUMBER(K32))),IF(MIN(IF(ISNUMBER(G32),G32,10^9),IF(ISNUMBER(K32),K32,10^9))&lt;N32,"YES","no"),"")</f>
        <v/>
      </c>
      <c r="P32" s="44"/>
      <c r="Q32" s="44"/>
    </row>
    <row r="33" customFormat="false" ht="15" hidden="false" customHeight="false" outlineLevel="0" collapsed="false">
      <c r="A33" s="45"/>
      <c r="B33" s="44"/>
      <c r="C33" s="44"/>
      <c r="D33" s="44"/>
      <c r="E33" s="44"/>
      <c r="F33" s="44"/>
      <c r="G33" s="44"/>
      <c r="H33" s="44"/>
      <c r="I33" s="44"/>
      <c r="J33" s="44"/>
      <c r="K33" s="44"/>
      <c r="L33" s="44"/>
      <c r="M33" s="44"/>
      <c r="N33" s="20" t="str">
        <f aca="false">IFERROR(INDEX('Lift Inputs'!$H:$H,MATCH(D33,'Lift Inputs'!$B:$B,0)),"")</f>
        <v/>
      </c>
      <c r="O33" s="36" t="str">
        <f aca="false">IF(AND(ISNUMBER(N33),OR(ISNUMBER(G33),ISNUMBER(K33))),IF(MIN(IF(ISNUMBER(G33),G33,10^9),IF(ISNUMBER(K33),K33,10^9))&lt;N33,"YES","no"),"")</f>
        <v/>
      </c>
      <c r="P33" s="44"/>
      <c r="Q33" s="44"/>
    </row>
    <row r="34" customFormat="false" ht="15" hidden="false" customHeight="false" outlineLevel="0" collapsed="false">
      <c r="A34" s="45"/>
      <c r="B34" s="44"/>
      <c r="C34" s="44"/>
      <c r="D34" s="44"/>
      <c r="E34" s="44"/>
      <c r="F34" s="44"/>
      <c r="G34" s="44"/>
      <c r="H34" s="44"/>
      <c r="I34" s="44"/>
      <c r="J34" s="44"/>
      <c r="K34" s="44"/>
      <c r="L34" s="44"/>
      <c r="M34" s="44"/>
      <c r="N34" s="20" t="str">
        <f aca="false">IFERROR(INDEX('Lift Inputs'!$H:$H,MATCH(D34,'Lift Inputs'!$B:$B,0)),"")</f>
        <v/>
      </c>
      <c r="O34" s="36" t="str">
        <f aca="false">IF(AND(ISNUMBER(N34),OR(ISNUMBER(G34),ISNUMBER(K34))),IF(MIN(IF(ISNUMBER(G34),G34,10^9),IF(ISNUMBER(K34),K34,10^9))&lt;N34,"YES","no"),"")</f>
        <v/>
      </c>
      <c r="P34" s="44"/>
      <c r="Q34" s="44"/>
    </row>
    <row r="35" customFormat="false" ht="15" hidden="false" customHeight="false" outlineLevel="0" collapsed="false">
      <c r="A35" s="45"/>
      <c r="B35" s="44"/>
      <c r="C35" s="44"/>
      <c r="D35" s="44"/>
      <c r="E35" s="44"/>
      <c r="F35" s="44"/>
      <c r="G35" s="44"/>
      <c r="H35" s="44"/>
      <c r="I35" s="44"/>
      <c r="J35" s="44"/>
      <c r="K35" s="44"/>
      <c r="L35" s="44"/>
      <c r="M35" s="44"/>
      <c r="N35" s="20" t="str">
        <f aca="false">IFERROR(INDEX('Lift Inputs'!$H:$H,MATCH(D35,'Lift Inputs'!$B:$B,0)),"")</f>
        <v/>
      </c>
      <c r="O35" s="36" t="str">
        <f aca="false">IF(AND(ISNUMBER(N35),OR(ISNUMBER(G35),ISNUMBER(K35))),IF(MIN(IF(ISNUMBER(G35),G35,10^9),IF(ISNUMBER(K35),K35,10^9))&lt;N35,"YES","no"),"")</f>
        <v/>
      </c>
      <c r="P35" s="44"/>
      <c r="Q35" s="44"/>
    </row>
    <row r="36" customFormat="false" ht="15" hidden="false" customHeight="false" outlineLevel="0" collapsed="false">
      <c r="A36" s="45"/>
      <c r="B36" s="44"/>
      <c r="C36" s="44"/>
      <c r="D36" s="44"/>
      <c r="E36" s="44"/>
      <c r="F36" s="44"/>
      <c r="G36" s="44"/>
      <c r="H36" s="44"/>
      <c r="I36" s="44"/>
      <c r="J36" s="44"/>
      <c r="K36" s="44"/>
      <c r="L36" s="44"/>
      <c r="M36" s="44"/>
      <c r="N36" s="20" t="str">
        <f aca="false">IFERROR(INDEX('Lift Inputs'!$H:$H,MATCH(D36,'Lift Inputs'!$B:$B,0)),"")</f>
        <v/>
      </c>
      <c r="O36" s="36" t="str">
        <f aca="false">IF(AND(ISNUMBER(N36),OR(ISNUMBER(G36),ISNUMBER(K36))),IF(MIN(IF(ISNUMBER(G36),G36,10^9),IF(ISNUMBER(K36),K36,10^9))&lt;N36,"YES","no"),"")</f>
        <v/>
      </c>
      <c r="P36" s="44"/>
      <c r="Q36" s="44"/>
    </row>
    <row r="37" customFormat="false" ht="15" hidden="false" customHeight="false" outlineLevel="0" collapsed="false">
      <c r="A37" s="45"/>
      <c r="B37" s="44"/>
      <c r="C37" s="44"/>
      <c r="D37" s="44"/>
      <c r="E37" s="44"/>
      <c r="F37" s="44"/>
      <c r="G37" s="44"/>
      <c r="H37" s="44"/>
      <c r="I37" s="44"/>
      <c r="J37" s="44"/>
      <c r="K37" s="44"/>
      <c r="L37" s="44"/>
      <c r="M37" s="44"/>
      <c r="N37" s="20" t="str">
        <f aca="false">IFERROR(INDEX('Lift Inputs'!$H:$H,MATCH(D37,'Lift Inputs'!$B:$B,0)),"")</f>
        <v/>
      </c>
      <c r="O37" s="36" t="str">
        <f aca="false">IF(AND(ISNUMBER(N37),OR(ISNUMBER(G37),ISNUMBER(K37))),IF(MIN(IF(ISNUMBER(G37),G37,10^9),IF(ISNUMBER(K37),K37,10^9))&lt;N37,"YES","no"),"")</f>
        <v/>
      </c>
      <c r="P37" s="44"/>
      <c r="Q37" s="44"/>
    </row>
    <row r="38" customFormat="false" ht="15" hidden="false" customHeight="false" outlineLevel="0" collapsed="false">
      <c r="A38" s="45"/>
      <c r="B38" s="44"/>
      <c r="C38" s="44"/>
      <c r="D38" s="44"/>
      <c r="E38" s="44"/>
      <c r="F38" s="44"/>
      <c r="G38" s="44"/>
      <c r="H38" s="44"/>
      <c r="I38" s="44"/>
      <c r="J38" s="44"/>
      <c r="K38" s="44"/>
      <c r="L38" s="44"/>
      <c r="M38" s="44"/>
      <c r="N38" s="20" t="str">
        <f aca="false">IFERROR(INDEX('Lift Inputs'!$H:$H,MATCH(D38,'Lift Inputs'!$B:$B,0)),"")</f>
        <v/>
      </c>
      <c r="O38" s="36" t="str">
        <f aca="false">IF(AND(ISNUMBER(N38),OR(ISNUMBER(G38),ISNUMBER(K38))),IF(MIN(IF(ISNUMBER(G38),G38,10^9),IF(ISNUMBER(K38),K38,10^9))&lt;N38,"YES","no"),"")</f>
        <v/>
      </c>
      <c r="P38" s="44"/>
      <c r="Q38" s="44"/>
    </row>
    <row r="39" customFormat="false" ht="15" hidden="false" customHeight="false" outlineLevel="0" collapsed="false">
      <c r="A39" s="45"/>
      <c r="B39" s="44"/>
      <c r="C39" s="44"/>
      <c r="D39" s="44"/>
      <c r="E39" s="44"/>
      <c r="F39" s="44"/>
      <c r="G39" s="44"/>
      <c r="H39" s="44"/>
      <c r="I39" s="44"/>
      <c r="J39" s="44"/>
      <c r="K39" s="44"/>
      <c r="L39" s="44"/>
      <c r="M39" s="44"/>
      <c r="N39" s="20" t="str">
        <f aca="false">IFERROR(INDEX('Lift Inputs'!$H:$H,MATCH(D39,'Lift Inputs'!$B:$B,0)),"")</f>
        <v/>
      </c>
      <c r="O39" s="36" t="str">
        <f aca="false">IF(AND(ISNUMBER(N39),OR(ISNUMBER(G39),ISNUMBER(K39))),IF(MIN(IF(ISNUMBER(G39),G39,10^9),IF(ISNUMBER(K39),K39,10^9))&lt;N39,"YES","no"),"")</f>
        <v/>
      </c>
      <c r="P39" s="44"/>
      <c r="Q39" s="44"/>
    </row>
    <row r="40" customFormat="false" ht="15" hidden="false" customHeight="false" outlineLevel="0" collapsed="false">
      <c r="A40" s="45"/>
      <c r="B40" s="44"/>
      <c r="C40" s="44"/>
      <c r="D40" s="44"/>
      <c r="E40" s="44"/>
      <c r="F40" s="44"/>
      <c r="G40" s="44"/>
      <c r="H40" s="44"/>
      <c r="I40" s="44"/>
      <c r="J40" s="44"/>
      <c r="K40" s="44"/>
      <c r="L40" s="44"/>
      <c r="M40" s="44"/>
      <c r="N40" s="20" t="str">
        <f aca="false">IFERROR(INDEX('Lift Inputs'!$H:$H,MATCH(D40,'Lift Inputs'!$B:$B,0)),"")</f>
        <v/>
      </c>
      <c r="O40" s="36" t="str">
        <f aca="false">IF(AND(ISNUMBER(N40),OR(ISNUMBER(G40),ISNUMBER(K40))),IF(MIN(IF(ISNUMBER(G40),G40,10^9),IF(ISNUMBER(K40),K40,10^9))&lt;N40,"YES","no"),"")</f>
        <v/>
      </c>
      <c r="P40" s="44"/>
      <c r="Q40" s="44"/>
    </row>
    <row r="41" customFormat="false" ht="15" hidden="false" customHeight="false" outlineLevel="0" collapsed="false">
      <c r="A41" s="45"/>
      <c r="B41" s="44"/>
      <c r="C41" s="44"/>
      <c r="D41" s="44"/>
      <c r="E41" s="44"/>
      <c r="F41" s="44"/>
      <c r="G41" s="44"/>
      <c r="H41" s="44"/>
      <c r="I41" s="44"/>
      <c r="J41" s="44"/>
      <c r="K41" s="44"/>
      <c r="L41" s="44"/>
      <c r="M41" s="44"/>
      <c r="N41" s="20" t="str">
        <f aca="false">IFERROR(INDEX('Lift Inputs'!$H:$H,MATCH(D41,'Lift Inputs'!$B:$B,0)),"")</f>
        <v/>
      </c>
      <c r="O41" s="36" t="str">
        <f aca="false">IF(AND(ISNUMBER(N41),OR(ISNUMBER(G41),ISNUMBER(K41))),IF(MIN(IF(ISNUMBER(G41),G41,10^9),IF(ISNUMBER(K41),K41,10^9))&lt;N41,"YES","no"),"")</f>
        <v/>
      </c>
      <c r="P41" s="44"/>
      <c r="Q41" s="44"/>
    </row>
    <row r="42" customFormat="false" ht="15" hidden="false" customHeight="false" outlineLevel="0" collapsed="false">
      <c r="A42" s="45"/>
      <c r="B42" s="44"/>
      <c r="C42" s="44"/>
      <c r="D42" s="44"/>
      <c r="E42" s="44"/>
      <c r="F42" s="44"/>
      <c r="G42" s="44"/>
      <c r="H42" s="44"/>
      <c r="I42" s="44"/>
      <c r="J42" s="44"/>
      <c r="K42" s="44"/>
      <c r="L42" s="44"/>
      <c r="M42" s="44"/>
      <c r="N42" s="20" t="str">
        <f aca="false">IFERROR(INDEX('Lift Inputs'!$H:$H,MATCH(D42,'Lift Inputs'!$B:$B,0)),"")</f>
        <v/>
      </c>
      <c r="O42" s="36" t="str">
        <f aca="false">IF(AND(ISNUMBER(N42),OR(ISNUMBER(G42),ISNUMBER(K42))),IF(MIN(IF(ISNUMBER(G42),G42,10^9),IF(ISNUMBER(K42),K42,10^9))&lt;N42,"YES","no"),"")</f>
        <v/>
      </c>
      <c r="P42" s="44"/>
      <c r="Q42" s="44"/>
    </row>
    <row r="43" customFormat="false" ht="15" hidden="false" customHeight="false" outlineLevel="0" collapsed="false">
      <c r="A43" s="45"/>
      <c r="B43" s="44"/>
      <c r="C43" s="44"/>
      <c r="D43" s="44"/>
      <c r="E43" s="44"/>
      <c r="F43" s="44"/>
      <c r="G43" s="44"/>
      <c r="H43" s="44"/>
      <c r="I43" s="44"/>
      <c r="J43" s="44"/>
      <c r="K43" s="44"/>
      <c r="L43" s="44"/>
      <c r="M43" s="44"/>
      <c r="N43" s="20" t="str">
        <f aca="false">IFERROR(INDEX('Lift Inputs'!$H:$H,MATCH(D43,'Lift Inputs'!$B:$B,0)),"")</f>
        <v/>
      </c>
      <c r="O43" s="36" t="str">
        <f aca="false">IF(AND(ISNUMBER(N43),OR(ISNUMBER(G43),ISNUMBER(K43))),IF(MIN(IF(ISNUMBER(G43),G43,10^9),IF(ISNUMBER(K43),K43,10^9))&lt;N43,"YES","no"),"")</f>
        <v/>
      </c>
      <c r="P43" s="44"/>
      <c r="Q43" s="44"/>
    </row>
    <row r="44" customFormat="false" ht="15" hidden="false" customHeight="false" outlineLevel="0" collapsed="false">
      <c r="A44" s="45"/>
      <c r="B44" s="44"/>
      <c r="C44" s="44"/>
      <c r="D44" s="44"/>
      <c r="E44" s="44"/>
      <c r="F44" s="44"/>
      <c r="G44" s="44"/>
      <c r="H44" s="44"/>
      <c r="I44" s="44"/>
      <c r="J44" s="44"/>
      <c r="K44" s="44"/>
      <c r="L44" s="44"/>
      <c r="M44" s="44"/>
      <c r="N44" s="20" t="str">
        <f aca="false">IFERROR(INDEX('Lift Inputs'!$H:$H,MATCH(D44,'Lift Inputs'!$B:$B,0)),"")</f>
        <v/>
      </c>
      <c r="O44" s="36" t="str">
        <f aca="false">IF(AND(ISNUMBER(N44),OR(ISNUMBER(G44),ISNUMBER(K44))),IF(MIN(IF(ISNUMBER(G44),G44,10^9),IF(ISNUMBER(K44),K44,10^9))&lt;N44,"YES","no"),"")</f>
        <v/>
      </c>
      <c r="P44" s="44"/>
      <c r="Q44" s="44"/>
    </row>
    <row r="45" customFormat="false" ht="15" hidden="false" customHeight="false" outlineLevel="0" collapsed="false">
      <c r="A45" s="45"/>
      <c r="B45" s="44"/>
      <c r="C45" s="44"/>
      <c r="D45" s="44"/>
      <c r="E45" s="44"/>
      <c r="F45" s="44"/>
      <c r="G45" s="44"/>
      <c r="H45" s="44"/>
      <c r="I45" s="44"/>
      <c r="J45" s="44"/>
      <c r="K45" s="44"/>
      <c r="L45" s="44"/>
      <c r="M45" s="44"/>
      <c r="N45" s="20" t="str">
        <f aca="false">IFERROR(INDEX('Lift Inputs'!$H:$H,MATCH(D45,'Lift Inputs'!$B:$B,0)),"")</f>
        <v/>
      </c>
      <c r="O45" s="36" t="str">
        <f aca="false">IF(AND(ISNUMBER(N45),OR(ISNUMBER(G45),ISNUMBER(K45))),IF(MIN(IF(ISNUMBER(G45),G45,10^9),IF(ISNUMBER(K45),K45,10^9))&lt;N45,"YES","no"),"")</f>
        <v/>
      </c>
      <c r="P45" s="44"/>
      <c r="Q45" s="44"/>
    </row>
    <row r="46" customFormat="false" ht="15" hidden="false" customHeight="false" outlineLevel="0" collapsed="false">
      <c r="A46" s="45"/>
      <c r="B46" s="44"/>
      <c r="C46" s="44"/>
      <c r="D46" s="44"/>
      <c r="E46" s="44"/>
      <c r="F46" s="44"/>
      <c r="G46" s="44"/>
      <c r="H46" s="44"/>
      <c r="I46" s="44"/>
      <c r="J46" s="44"/>
      <c r="K46" s="44"/>
      <c r="L46" s="44"/>
      <c r="M46" s="44"/>
      <c r="N46" s="20" t="str">
        <f aca="false">IFERROR(INDEX('Lift Inputs'!$H:$H,MATCH(D46,'Lift Inputs'!$B:$B,0)),"")</f>
        <v/>
      </c>
      <c r="O46" s="36" t="str">
        <f aca="false">IF(AND(ISNUMBER(N46),OR(ISNUMBER(G46),ISNUMBER(K46))),IF(MIN(IF(ISNUMBER(G46),G46,10^9),IF(ISNUMBER(K46),K46,10^9))&lt;N46,"YES","no"),"")</f>
        <v/>
      </c>
      <c r="P46" s="44"/>
      <c r="Q46" s="44"/>
    </row>
    <row r="47" customFormat="false" ht="15" hidden="false" customHeight="false" outlineLevel="0" collapsed="false">
      <c r="A47" s="45"/>
      <c r="B47" s="44"/>
      <c r="C47" s="44"/>
      <c r="D47" s="44"/>
      <c r="E47" s="44"/>
      <c r="F47" s="44"/>
      <c r="G47" s="44"/>
      <c r="H47" s="44"/>
      <c r="I47" s="44"/>
      <c r="J47" s="44"/>
      <c r="K47" s="44"/>
      <c r="L47" s="44"/>
      <c r="M47" s="44"/>
      <c r="N47" s="20" t="str">
        <f aca="false">IFERROR(INDEX('Lift Inputs'!$H:$H,MATCH(D47,'Lift Inputs'!$B:$B,0)),"")</f>
        <v/>
      </c>
      <c r="O47" s="36" t="str">
        <f aca="false">IF(AND(ISNUMBER(N47),OR(ISNUMBER(G47),ISNUMBER(K47))),IF(MIN(IF(ISNUMBER(G47),G47,10^9),IF(ISNUMBER(K47),K47,10^9))&lt;N47,"YES","no"),"")</f>
        <v/>
      </c>
      <c r="P47" s="44"/>
      <c r="Q47" s="44"/>
    </row>
    <row r="48" customFormat="false" ht="15" hidden="false" customHeight="false" outlineLevel="0" collapsed="false">
      <c r="A48" s="45"/>
      <c r="B48" s="44"/>
      <c r="C48" s="44"/>
      <c r="D48" s="44"/>
      <c r="E48" s="44"/>
      <c r="F48" s="44"/>
      <c r="G48" s="44"/>
      <c r="H48" s="44"/>
      <c r="I48" s="44"/>
      <c r="J48" s="44"/>
      <c r="K48" s="44"/>
      <c r="L48" s="44"/>
      <c r="M48" s="44"/>
      <c r="N48" s="20" t="str">
        <f aca="false">IFERROR(INDEX('Lift Inputs'!$H:$H,MATCH(D48,'Lift Inputs'!$B:$B,0)),"")</f>
        <v/>
      </c>
      <c r="O48" s="36" t="str">
        <f aca="false">IF(AND(ISNUMBER(N48),OR(ISNUMBER(G48),ISNUMBER(K48))),IF(MIN(IF(ISNUMBER(G48),G48,10^9),IF(ISNUMBER(K48),K48,10^9))&lt;N48,"YES","no"),"")</f>
        <v/>
      </c>
      <c r="P48" s="44"/>
      <c r="Q48" s="44"/>
    </row>
    <row r="49" customFormat="false" ht="15" hidden="false" customHeight="false" outlineLevel="0" collapsed="false">
      <c r="A49" s="45"/>
      <c r="B49" s="44"/>
      <c r="C49" s="44"/>
      <c r="D49" s="44"/>
      <c r="E49" s="44"/>
      <c r="F49" s="44"/>
      <c r="G49" s="44"/>
      <c r="H49" s="44"/>
      <c r="I49" s="44"/>
      <c r="J49" s="44"/>
      <c r="K49" s="44"/>
      <c r="L49" s="44"/>
      <c r="M49" s="44"/>
      <c r="N49" s="20" t="str">
        <f aca="false">IFERROR(INDEX('Lift Inputs'!$H:$H,MATCH(D49,'Lift Inputs'!$B:$B,0)),"")</f>
        <v/>
      </c>
      <c r="O49" s="36" t="str">
        <f aca="false">IF(AND(ISNUMBER(N49),OR(ISNUMBER(G49),ISNUMBER(K49))),IF(MIN(IF(ISNUMBER(G49),G49,10^9),IF(ISNUMBER(K49),K49,10^9))&lt;N49,"YES","no"),"")</f>
        <v/>
      </c>
      <c r="P49" s="44"/>
      <c r="Q49" s="44"/>
    </row>
    <row r="50" customFormat="false" ht="15" hidden="false" customHeight="false" outlineLevel="0" collapsed="false">
      <c r="A50" s="45"/>
      <c r="B50" s="44"/>
      <c r="C50" s="44"/>
      <c r="D50" s="44"/>
      <c r="E50" s="44"/>
      <c r="F50" s="44"/>
      <c r="G50" s="44"/>
      <c r="H50" s="44"/>
      <c r="I50" s="44"/>
      <c r="J50" s="44"/>
      <c r="K50" s="44"/>
      <c r="L50" s="44"/>
      <c r="M50" s="44"/>
      <c r="N50" s="20" t="str">
        <f aca="false">IFERROR(INDEX('Lift Inputs'!$H:$H,MATCH(D50,'Lift Inputs'!$B:$B,0)),"")</f>
        <v/>
      </c>
      <c r="O50" s="36" t="str">
        <f aca="false">IF(AND(ISNUMBER(N50),OR(ISNUMBER(G50),ISNUMBER(K50))),IF(MIN(IF(ISNUMBER(G50),G50,10^9),IF(ISNUMBER(K50),K50,10^9))&lt;N50,"YES","no"),"")</f>
        <v/>
      </c>
      <c r="P50" s="44"/>
      <c r="Q50" s="44"/>
    </row>
    <row r="51" customFormat="false" ht="15" hidden="false" customHeight="false" outlineLevel="0" collapsed="false">
      <c r="A51" s="45"/>
      <c r="B51" s="44"/>
      <c r="C51" s="44"/>
      <c r="D51" s="44"/>
      <c r="E51" s="44"/>
      <c r="F51" s="44"/>
      <c r="G51" s="44"/>
      <c r="H51" s="44"/>
      <c r="I51" s="44"/>
      <c r="J51" s="44"/>
      <c r="K51" s="44"/>
      <c r="L51" s="44"/>
      <c r="M51" s="44"/>
      <c r="N51" s="20" t="str">
        <f aca="false">IFERROR(INDEX('Lift Inputs'!$H:$H,MATCH(D51,'Lift Inputs'!$B:$B,0)),"")</f>
        <v/>
      </c>
      <c r="O51" s="36" t="str">
        <f aca="false">IF(AND(ISNUMBER(N51),OR(ISNUMBER(G51),ISNUMBER(K51))),IF(MIN(IF(ISNUMBER(G51),G51,10^9),IF(ISNUMBER(K51),K51,10^9))&lt;N51,"YES","no"),"")</f>
        <v/>
      </c>
      <c r="P51" s="44"/>
      <c r="Q51" s="44"/>
    </row>
    <row r="52" customFormat="false" ht="15" hidden="false" customHeight="false" outlineLevel="0" collapsed="false">
      <c r="A52" s="45"/>
      <c r="B52" s="44"/>
      <c r="C52" s="44"/>
      <c r="D52" s="44"/>
      <c r="E52" s="44"/>
      <c r="F52" s="44"/>
      <c r="G52" s="44"/>
      <c r="H52" s="44"/>
      <c r="I52" s="44"/>
      <c r="J52" s="44"/>
      <c r="K52" s="44"/>
      <c r="L52" s="44"/>
      <c r="M52" s="44"/>
      <c r="N52" s="20" t="str">
        <f aca="false">IFERROR(INDEX('Lift Inputs'!$H:$H,MATCH(D52,'Lift Inputs'!$B:$B,0)),"")</f>
        <v/>
      </c>
      <c r="O52" s="36" t="str">
        <f aca="false">IF(AND(ISNUMBER(N52),OR(ISNUMBER(G52),ISNUMBER(K52))),IF(MIN(IF(ISNUMBER(G52),G52,10^9),IF(ISNUMBER(K52),K52,10^9))&lt;N52,"YES","no"),"")</f>
        <v/>
      </c>
      <c r="P52" s="44"/>
      <c r="Q52" s="44"/>
    </row>
    <row r="53" customFormat="false" ht="15" hidden="false" customHeight="false" outlineLevel="0" collapsed="false">
      <c r="A53" s="45"/>
      <c r="B53" s="44"/>
      <c r="C53" s="44"/>
      <c r="D53" s="44"/>
      <c r="E53" s="44"/>
      <c r="F53" s="44"/>
      <c r="G53" s="44"/>
      <c r="H53" s="44"/>
      <c r="I53" s="44"/>
      <c r="J53" s="44"/>
      <c r="K53" s="44"/>
      <c r="L53" s="44"/>
      <c r="M53" s="44"/>
      <c r="N53" s="20" t="str">
        <f aca="false">IFERROR(INDEX('Lift Inputs'!$H:$H,MATCH(D53,'Lift Inputs'!$B:$B,0)),"")</f>
        <v/>
      </c>
      <c r="O53" s="36" t="str">
        <f aca="false">IF(AND(ISNUMBER(N53),OR(ISNUMBER(G53),ISNUMBER(K53))),IF(MIN(IF(ISNUMBER(G53),G53,10^9),IF(ISNUMBER(K53),K53,10^9))&lt;N53,"YES","no"),"")</f>
        <v/>
      </c>
      <c r="P53" s="44"/>
      <c r="Q53" s="44"/>
    </row>
    <row r="54" customFormat="false" ht="15" hidden="false" customHeight="false" outlineLevel="0" collapsed="false">
      <c r="A54" s="45"/>
      <c r="B54" s="44"/>
      <c r="C54" s="44"/>
      <c r="D54" s="44"/>
      <c r="E54" s="44"/>
      <c r="F54" s="44"/>
      <c r="G54" s="44"/>
      <c r="H54" s="44"/>
      <c r="I54" s="44"/>
      <c r="J54" s="44"/>
      <c r="K54" s="44"/>
      <c r="L54" s="44"/>
      <c r="M54" s="44"/>
      <c r="N54" s="20" t="str">
        <f aca="false">IFERROR(INDEX('Lift Inputs'!$H:$H,MATCH(D54,'Lift Inputs'!$B:$B,0)),"")</f>
        <v/>
      </c>
      <c r="O54" s="36" t="str">
        <f aca="false">IF(AND(ISNUMBER(N54),OR(ISNUMBER(G54),ISNUMBER(K54))),IF(MIN(IF(ISNUMBER(G54),G54,10^9),IF(ISNUMBER(K54),K54,10^9))&lt;N54,"YES","no"),"")</f>
        <v/>
      </c>
      <c r="P54" s="44"/>
      <c r="Q54" s="44"/>
    </row>
    <row r="55" customFormat="false" ht="15" hidden="false" customHeight="false" outlineLevel="0" collapsed="false">
      <c r="A55" s="45"/>
      <c r="B55" s="44"/>
      <c r="C55" s="44"/>
      <c r="D55" s="44"/>
      <c r="E55" s="44"/>
      <c r="F55" s="44"/>
      <c r="G55" s="44"/>
      <c r="H55" s="44"/>
      <c r="I55" s="44"/>
      <c r="J55" s="44"/>
      <c r="K55" s="44"/>
      <c r="L55" s="44"/>
      <c r="M55" s="44"/>
      <c r="N55" s="20" t="str">
        <f aca="false">IFERROR(INDEX('Lift Inputs'!$H:$H,MATCH(D55,'Lift Inputs'!$B:$B,0)),"")</f>
        <v/>
      </c>
      <c r="O55" s="36" t="str">
        <f aca="false">IF(AND(ISNUMBER(N55),OR(ISNUMBER(G55),ISNUMBER(K55))),IF(MIN(IF(ISNUMBER(G55),G55,10^9),IF(ISNUMBER(K55),K55,10^9))&lt;N55,"YES","no"),"")</f>
        <v/>
      </c>
      <c r="P55" s="44"/>
      <c r="Q55" s="44"/>
    </row>
    <row r="56" customFormat="false" ht="15" hidden="false" customHeight="false" outlineLevel="0" collapsed="false">
      <c r="A56" s="45"/>
      <c r="B56" s="44"/>
      <c r="C56" s="44"/>
      <c r="D56" s="44"/>
      <c r="E56" s="44"/>
      <c r="F56" s="44"/>
      <c r="G56" s="44"/>
      <c r="H56" s="44"/>
      <c r="I56" s="44"/>
      <c r="J56" s="44"/>
      <c r="K56" s="44"/>
      <c r="L56" s="44"/>
      <c r="M56" s="44"/>
      <c r="N56" s="20" t="str">
        <f aca="false">IFERROR(INDEX('Lift Inputs'!$H:$H,MATCH(D56,'Lift Inputs'!$B:$B,0)),"")</f>
        <v/>
      </c>
      <c r="O56" s="36" t="str">
        <f aca="false">IF(AND(ISNUMBER(N56),OR(ISNUMBER(G56),ISNUMBER(K56))),IF(MIN(IF(ISNUMBER(G56),G56,10^9),IF(ISNUMBER(K56),K56,10^9))&lt;N56,"YES","no"),"")</f>
        <v/>
      </c>
      <c r="P56" s="44"/>
      <c r="Q56" s="44"/>
    </row>
    <row r="57" customFormat="false" ht="15" hidden="false" customHeight="false" outlineLevel="0" collapsed="false">
      <c r="A57" s="45"/>
      <c r="B57" s="44"/>
      <c r="C57" s="44"/>
      <c r="D57" s="44"/>
      <c r="E57" s="44"/>
      <c r="F57" s="44"/>
      <c r="G57" s="44"/>
      <c r="H57" s="44"/>
      <c r="I57" s="44"/>
      <c r="J57" s="44"/>
      <c r="K57" s="44"/>
      <c r="L57" s="44"/>
      <c r="M57" s="44"/>
      <c r="N57" s="20" t="str">
        <f aca="false">IFERROR(INDEX('Lift Inputs'!$H:$H,MATCH(D57,'Lift Inputs'!$B:$B,0)),"")</f>
        <v/>
      </c>
      <c r="O57" s="36" t="str">
        <f aca="false">IF(AND(ISNUMBER(N57),OR(ISNUMBER(G57),ISNUMBER(K57))),IF(MIN(IF(ISNUMBER(G57),G57,10^9),IF(ISNUMBER(K57),K57,10^9))&lt;N57,"YES","no"),"")</f>
        <v/>
      </c>
      <c r="P57" s="44"/>
      <c r="Q57" s="44"/>
    </row>
    <row r="58" customFormat="false" ht="15" hidden="false" customHeight="false" outlineLevel="0" collapsed="false">
      <c r="A58" s="45"/>
      <c r="B58" s="44"/>
      <c r="C58" s="44"/>
      <c r="D58" s="44"/>
      <c r="E58" s="44"/>
      <c r="F58" s="44"/>
      <c r="G58" s="44"/>
      <c r="H58" s="44"/>
      <c r="I58" s="44"/>
      <c r="J58" s="44"/>
      <c r="K58" s="44"/>
      <c r="L58" s="44"/>
      <c r="M58" s="44"/>
      <c r="N58" s="20" t="str">
        <f aca="false">IFERROR(INDEX('Lift Inputs'!$H:$H,MATCH(D58,'Lift Inputs'!$B:$B,0)),"")</f>
        <v/>
      </c>
      <c r="O58" s="36" t="str">
        <f aca="false">IF(AND(ISNUMBER(N58),OR(ISNUMBER(G58),ISNUMBER(K58))),IF(MIN(IF(ISNUMBER(G58),G58,10^9),IF(ISNUMBER(K58),K58,10^9))&lt;N58,"YES","no"),"")</f>
        <v/>
      </c>
      <c r="P58" s="44"/>
      <c r="Q58" s="44"/>
    </row>
    <row r="59" customFormat="false" ht="15" hidden="false" customHeight="false" outlineLevel="0" collapsed="false">
      <c r="A59" s="45"/>
      <c r="B59" s="44"/>
      <c r="C59" s="44"/>
      <c r="D59" s="44"/>
      <c r="E59" s="44"/>
      <c r="F59" s="44"/>
      <c r="G59" s="44"/>
      <c r="H59" s="44"/>
      <c r="I59" s="44"/>
      <c r="J59" s="44"/>
      <c r="K59" s="44"/>
      <c r="L59" s="44"/>
      <c r="M59" s="44"/>
      <c r="N59" s="20" t="str">
        <f aca="false">IFERROR(INDEX('Lift Inputs'!$H:$H,MATCH(D59,'Lift Inputs'!$B:$B,0)),"")</f>
        <v/>
      </c>
      <c r="O59" s="36" t="str">
        <f aca="false">IF(AND(ISNUMBER(N59),OR(ISNUMBER(G59),ISNUMBER(K59))),IF(MIN(IF(ISNUMBER(G59),G59,10^9),IF(ISNUMBER(K59),K59,10^9))&lt;N59,"YES","no"),"")</f>
        <v/>
      </c>
      <c r="P59" s="44"/>
      <c r="Q59" s="44"/>
    </row>
    <row r="60" customFormat="false" ht="15" hidden="false" customHeight="false" outlineLevel="0" collapsed="false">
      <c r="A60" s="45"/>
      <c r="B60" s="44"/>
      <c r="C60" s="44"/>
      <c r="D60" s="44"/>
      <c r="E60" s="44"/>
      <c r="F60" s="44"/>
      <c r="G60" s="44"/>
      <c r="H60" s="44"/>
      <c r="I60" s="44"/>
      <c r="J60" s="44"/>
      <c r="K60" s="44"/>
      <c r="L60" s="44"/>
      <c r="M60" s="44"/>
      <c r="N60" s="20" t="str">
        <f aca="false">IFERROR(INDEX('Lift Inputs'!$H:$H,MATCH(D60,'Lift Inputs'!$B:$B,0)),"")</f>
        <v/>
      </c>
      <c r="O60" s="36" t="str">
        <f aca="false">IF(AND(ISNUMBER(N60),OR(ISNUMBER(G60),ISNUMBER(K60))),IF(MIN(IF(ISNUMBER(G60),G60,10^9),IF(ISNUMBER(K60),K60,10^9))&lt;N60,"YES","no"),"")</f>
        <v/>
      </c>
      <c r="P60" s="44"/>
      <c r="Q60" s="44"/>
    </row>
    <row r="61" customFormat="false" ht="15" hidden="false" customHeight="false" outlineLevel="0" collapsed="false">
      <c r="A61" s="45"/>
      <c r="B61" s="44"/>
      <c r="C61" s="44"/>
      <c r="D61" s="44"/>
      <c r="E61" s="44"/>
      <c r="F61" s="44"/>
      <c r="G61" s="44"/>
      <c r="H61" s="44"/>
      <c r="I61" s="44"/>
      <c r="J61" s="44"/>
      <c r="K61" s="44"/>
      <c r="L61" s="44"/>
      <c r="M61" s="44"/>
      <c r="N61" s="20" t="str">
        <f aca="false">IFERROR(INDEX('Lift Inputs'!$H:$H,MATCH(D61,'Lift Inputs'!$B:$B,0)),"")</f>
        <v/>
      </c>
      <c r="O61" s="36" t="str">
        <f aca="false">IF(AND(ISNUMBER(N61),OR(ISNUMBER(G61),ISNUMBER(K61))),IF(MIN(IF(ISNUMBER(G61),G61,10^9),IF(ISNUMBER(K61),K61,10^9))&lt;N61,"YES","no"),"")</f>
        <v/>
      </c>
      <c r="P61" s="44"/>
      <c r="Q61" s="44"/>
    </row>
    <row r="62" customFormat="false" ht="15" hidden="false" customHeight="false" outlineLevel="0" collapsed="false">
      <c r="A62" s="45"/>
      <c r="B62" s="44"/>
      <c r="C62" s="44"/>
      <c r="D62" s="44"/>
      <c r="E62" s="44"/>
      <c r="F62" s="44"/>
      <c r="G62" s="44"/>
      <c r="H62" s="44"/>
      <c r="I62" s="44"/>
      <c r="J62" s="44"/>
      <c r="K62" s="44"/>
      <c r="L62" s="44"/>
      <c r="M62" s="44"/>
      <c r="N62" s="20" t="str">
        <f aca="false">IFERROR(INDEX('Lift Inputs'!$H:$H,MATCH(D62,'Lift Inputs'!$B:$B,0)),"")</f>
        <v/>
      </c>
      <c r="O62" s="36" t="str">
        <f aca="false">IF(AND(ISNUMBER(N62),OR(ISNUMBER(G62),ISNUMBER(K62))),IF(MIN(IF(ISNUMBER(G62),G62,10^9),IF(ISNUMBER(K62),K62,10^9))&lt;N62,"YES","no"),"")</f>
        <v/>
      </c>
      <c r="P62" s="44"/>
      <c r="Q62" s="44"/>
    </row>
    <row r="63" customFormat="false" ht="15" hidden="false" customHeight="false" outlineLevel="0" collapsed="false">
      <c r="A63" s="45"/>
      <c r="B63" s="44"/>
      <c r="C63" s="44"/>
      <c r="D63" s="44"/>
      <c r="E63" s="44"/>
      <c r="F63" s="44"/>
      <c r="G63" s="44"/>
      <c r="H63" s="44"/>
      <c r="I63" s="44"/>
      <c r="J63" s="44"/>
      <c r="K63" s="44"/>
      <c r="L63" s="44"/>
      <c r="M63" s="44"/>
      <c r="N63" s="20" t="str">
        <f aca="false">IFERROR(INDEX('Lift Inputs'!$H:$H,MATCH(D63,'Lift Inputs'!$B:$B,0)),"")</f>
        <v/>
      </c>
      <c r="O63" s="36" t="str">
        <f aca="false">IF(AND(ISNUMBER(N63),OR(ISNUMBER(G63),ISNUMBER(K63))),IF(MIN(IF(ISNUMBER(G63),G63,10^9),IF(ISNUMBER(K63),K63,10^9))&lt;N63,"YES","no"),"")</f>
        <v/>
      </c>
      <c r="P63" s="44"/>
      <c r="Q63" s="44"/>
    </row>
    <row r="64" customFormat="false" ht="15" hidden="false" customHeight="false" outlineLevel="0" collapsed="false">
      <c r="A64" s="45"/>
      <c r="B64" s="44"/>
      <c r="C64" s="44"/>
      <c r="D64" s="44"/>
      <c r="E64" s="44"/>
      <c r="F64" s="44"/>
      <c r="G64" s="44"/>
      <c r="H64" s="44"/>
      <c r="I64" s="44"/>
      <c r="J64" s="44"/>
      <c r="K64" s="44"/>
      <c r="L64" s="44"/>
      <c r="M64" s="44"/>
      <c r="N64" s="20" t="str">
        <f aca="false">IFERROR(INDEX('Lift Inputs'!$H:$H,MATCH(D64,'Lift Inputs'!$B:$B,0)),"")</f>
        <v/>
      </c>
      <c r="O64" s="36" t="str">
        <f aca="false">IF(AND(ISNUMBER(N64),OR(ISNUMBER(G64),ISNUMBER(K64))),IF(MIN(IF(ISNUMBER(G64),G64,10^9),IF(ISNUMBER(K64),K64,10^9))&lt;N64,"YES","no"),"")</f>
        <v/>
      </c>
      <c r="P64" s="44"/>
      <c r="Q64" s="44"/>
    </row>
    <row r="65" customFormat="false" ht="15" hidden="false" customHeight="false" outlineLevel="0" collapsed="false">
      <c r="A65" s="45"/>
      <c r="B65" s="44"/>
      <c r="C65" s="44"/>
      <c r="D65" s="44"/>
      <c r="E65" s="44"/>
      <c r="F65" s="44"/>
      <c r="G65" s="44"/>
      <c r="H65" s="44"/>
      <c r="I65" s="44"/>
      <c r="J65" s="44"/>
      <c r="K65" s="44"/>
      <c r="L65" s="44"/>
      <c r="M65" s="44"/>
      <c r="N65" s="20" t="str">
        <f aca="false">IFERROR(INDEX('Lift Inputs'!$H:$H,MATCH(D65,'Lift Inputs'!$B:$B,0)),"")</f>
        <v/>
      </c>
      <c r="O65" s="36" t="str">
        <f aca="false">IF(AND(ISNUMBER(N65),OR(ISNUMBER(G65),ISNUMBER(K65))),IF(MIN(IF(ISNUMBER(G65),G65,10^9),IF(ISNUMBER(K65),K65,10^9))&lt;N65,"YES","no"),"")</f>
        <v/>
      </c>
      <c r="P65" s="44"/>
      <c r="Q65" s="44"/>
    </row>
    <row r="66" customFormat="false" ht="15" hidden="false" customHeight="false" outlineLevel="0" collapsed="false">
      <c r="A66" s="45"/>
      <c r="B66" s="44"/>
      <c r="C66" s="44"/>
      <c r="D66" s="44"/>
      <c r="E66" s="44"/>
      <c r="F66" s="44"/>
      <c r="G66" s="44"/>
      <c r="H66" s="44"/>
      <c r="I66" s="44"/>
      <c r="J66" s="44"/>
      <c r="K66" s="44"/>
      <c r="L66" s="44"/>
      <c r="M66" s="44"/>
      <c r="N66" s="20" t="str">
        <f aca="false">IFERROR(INDEX('Lift Inputs'!$H:$H,MATCH(D66,'Lift Inputs'!$B:$B,0)),"")</f>
        <v/>
      </c>
      <c r="O66" s="36" t="str">
        <f aca="false">IF(AND(ISNUMBER(N66),OR(ISNUMBER(G66),ISNUMBER(K66))),IF(MIN(IF(ISNUMBER(G66),G66,10^9),IF(ISNUMBER(K66),K66,10^9))&lt;N66,"YES","no"),"")</f>
        <v/>
      </c>
      <c r="P66" s="44"/>
      <c r="Q66" s="44"/>
    </row>
    <row r="67" customFormat="false" ht="15" hidden="false" customHeight="false" outlineLevel="0" collapsed="false">
      <c r="A67" s="45"/>
      <c r="B67" s="44"/>
      <c r="C67" s="44"/>
      <c r="D67" s="44"/>
      <c r="E67" s="44"/>
      <c r="F67" s="44"/>
      <c r="G67" s="44"/>
      <c r="H67" s="44"/>
      <c r="I67" s="44"/>
      <c r="J67" s="44"/>
      <c r="K67" s="44"/>
      <c r="L67" s="44"/>
      <c r="M67" s="44"/>
      <c r="N67" s="20" t="str">
        <f aca="false">IFERROR(INDEX('Lift Inputs'!$H:$H,MATCH(D67,'Lift Inputs'!$B:$B,0)),"")</f>
        <v/>
      </c>
      <c r="O67" s="36" t="str">
        <f aca="false">IF(AND(ISNUMBER(N67),OR(ISNUMBER(G67),ISNUMBER(K67))),IF(MIN(IF(ISNUMBER(G67),G67,10^9),IF(ISNUMBER(K67),K67,10^9))&lt;N67,"YES","no"),"")</f>
        <v/>
      </c>
      <c r="P67" s="44"/>
      <c r="Q67" s="44"/>
    </row>
    <row r="68" customFormat="false" ht="15" hidden="false" customHeight="false" outlineLevel="0" collapsed="false">
      <c r="A68" s="45"/>
      <c r="B68" s="44"/>
      <c r="C68" s="44"/>
      <c r="D68" s="44"/>
      <c r="E68" s="44"/>
      <c r="F68" s="44"/>
      <c r="G68" s="44"/>
      <c r="H68" s="44"/>
      <c r="I68" s="44"/>
      <c r="J68" s="44"/>
      <c r="K68" s="44"/>
      <c r="L68" s="44"/>
      <c r="M68" s="44"/>
      <c r="N68" s="20" t="str">
        <f aca="false">IFERROR(INDEX('Lift Inputs'!$H:$H,MATCH(D68,'Lift Inputs'!$B:$B,0)),"")</f>
        <v/>
      </c>
      <c r="O68" s="36" t="str">
        <f aca="false">IF(AND(ISNUMBER(N68),OR(ISNUMBER(G68),ISNUMBER(K68))),IF(MIN(IF(ISNUMBER(G68),G68,10^9),IF(ISNUMBER(K68),K68,10^9))&lt;N68,"YES","no"),"")</f>
        <v/>
      </c>
      <c r="P68" s="44"/>
      <c r="Q68" s="44"/>
    </row>
    <row r="69" customFormat="false" ht="15" hidden="false" customHeight="false" outlineLevel="0" collapsed="false">
      <c r="A69" s="45"/>
      <c r="B69" s="44"/>
      <c r="C69" s="44"/>
      <c r="D69" s="44"/>
      <c r="E69" s="44"/>
      <c r="F69" s="44"/>
      <c r="G69" s="44"/>
      <c r="H69" s="44"/>
      <c r="I69" s="44"/>
      <c r="J69" s="44"/>
      <c r="K69" s="44"/>
      <c r="L69" s="44"/>
      <c r="M69" s="44"/>
      <c r="N69" s="20" t="str">
        <f aca="false">IFERROR(INDEX('Lift Inputs'!$H:$H,MATCH(D69,'Lift Inputs'!$B:$B,0)),"")</f>
        <v/>
      </c>
      <c r="O69" s="36" t="str">
        <f aca="false">IF(AND(ISNUMBER(N69),OR(ISNUMBER(G69),ISNUMBER(K69))),IF(MIN(IF(ISNUMBER(G69),G69,10^9),IF(ISNUMBER(K69),K69,10^9))&lt;N69,"YES","no"),"")</f>
        <v/>
      </c>
      <c r="P69" s="44"/>
      <c r="Q69" s="44"/>
    </row>
    <row r="70" customFormat="false" ht="15" hidden="false" customHeight="false" outlineLevel="0" collapsed="false">
      <c r="A70" s="45"/>
      <c r="B70" s="44"/>
      <c r="C70" s="44"/>
      <c r="D70" s="44"/>
      <c r="E70" s="44"/>
      <c r="F70" s="44"/>
      <c r="G70" s="44"/>
      <c r="H70" s="44"/>
      <c r="I70" s="44"/>
      <c r="J70" s="44"/>
      <c r="K70" s="44"/>
      <c r="L70" s="44"/>
      <c r="M70" s="44"/>
      <c r="N70" s="20" t="str">
        <f aca="false">IFERROR(INDEX('Lift Inputs'!$H:$H,MATCH(D70,'Lift Inputs'!$B:$B,0)),"")</f>
        <v/>
      </c>
      <c r="O70" s="36" t="str">
        <f aca="false">IF(AND(ISNUMBER(N70),OR(ISNUMBER(G70),ISNUMBER(K70))),IF(MIN(IF(ISNUMBER(G70),G70,10^9),IF(ISNUMBER(K70),K70,10^9))&lt;N70,"YES","no"),"")</f>
        <v/>
      </c>
      <c r="P70" s="44"/>
      <c r="Q70" s="44"/>
    </row>
    <row r="71" customFormat="false" ht="15" hidden="false" customHeight="false" outlineLevel="0" collapsed="false">
      <c r="A71" s="45"/>
      <c r="B71" s="44"/>
      <c r="C71" s="44"/>
      <c r="D71" s="44"/>
      <c r="E71" s="44"/>
      <c r="F71" s="44"/>
      <c r="G71" s="44"/>
      <c r="H71" s="44"/>
      <c r="I71" s="44"/>
      <c r="J71" s="44"/>
      <c r="K71" s="44"/>
      <c r="L71" s="44"/>
      <c r="M71" s="44"/>
      <c r="N71" s="20" t="str">
        <f aca="false">IFERROR(INDEX('Lift Inputs'!$H:$H,MATCH(D71,'Lift Inputs'!$B:$B,0)),"")</f>
        <v/>
      </c>
      <c r="O71" s="36" t="str">
        <f aca="false">IF(AND(ISNUMBER(N71),OR(ISNUMBER(G71),ISNUMBER(K71))),IF(MIN(IF(ISNUMBER(G71),G71,10^9),IF(ISNUMBER(K71),K71,10^9))&lt;N71,"YES","no"),"")</f>
        <v/>
      </c>
      <c r="P71" s="44"/>
      <c r="Q71" s="44"/>
    </row>
    <row r="72" customFormat="false" ht="15" hidden="false" customHeight="false" outlineLevel="0" collapsed="false">
      <c r="A72" s="45"/>
      <c r="B72" s="44"/>
      <c r="C72" s="44"/>
      <c r="D72" s="44"/>
      <c r="E72" s="44"/>
      <c r="F72" s="44"/>
      <c r="G72" s="44"/>
      <c r="H72" s="44"/>
      <c r="I72" s="44"/>
      <c r="J72" s="44"/>
      <c r="K72" s="44"/>
      <c r="L72" s="44"/>
      <c r="M72" s="44"/>
      <c r="N72" s="20" t="str">
        <f aca="false">IFERROR(INDEX('Lift Inputs'!$H:$H,MATCH(D72,'Lift Inputs'!$B:$B,0)),"")</f>
        <v/>
      </c>
      <c r="O72" s="36" t="str">
        <f aca="false">IF(AND(ISNUMBER(N72),OR(ISNUMBER(G72),ISNUMBER(K72))),IF(MIN(IF(ISNUMBER(G72),G72,10^9),IF(ISNUMBER(K72),K72,10^9))&lt;N72,"YES","no"),"")</f>
        <v/>
      </c>
      <c r="P72" s="44"/>
      <c r="Q72" s="44"/>
    </row>
    <row r="73" customFormat="false" ht="15" hidden="false" customHeight="false" outlineLevel="0" collapsed="false">
      <c r="A73" s="45"/>
      <c r="B73" s="44"/>
      <c r="C73" s="44"/>
      <c r="D73" s="44"/>
      <c r="E73" s="44"/>
      <c r="F73" s="44"/>
      <c r="G73" s="44"/>
      <c r="H73" s="44"/>
      <c r="I73" s="44"/>
      <c r="J73" s="44"/>
      <c r="K73" s="44"/>
      <c r="L73" s="44"/>
      <c r="M73" s="44"/>
      <c r="N73" s="20" t="str">
        <f aca="false">IFERROR(INDEX('Lift Inputs'!$H:$H,MATCH(D73,'Lift Inputs'!$B:$B,0)),"")</f>
        <v/>
      </c>
      <c r="O73" s="36" t="str">
        <f aca="false">IF(AND(ISNUMBER(N73),OR(ISNUMBER(G73),ISNUMBER(K73))),IF(MIN(IF(ISNUMBER(G73),G73,10^9),IF(ISNUMBER(K73),K73,10^9))&lt;N73,"YES","no"),"")</f>
        <v/>
      </c>
      <c r="P73" s="44"/>
      <c r="Q73" s="44"/>
    </row>
    <row r="74" customFormat="false" ht="15" hidden="false" customHeight="false" outlineLevel="0" collapsed="false">
      <c r="A74" s="45"/>
      <c r="B74" s="44"/>
      <c r="C74" s="44"/>
      <c r="D74" s="44"/>
      <c r="E74" s="44"/>
      <c r="F74" s="44"/>
      <c r="G74" s="44"/>
      <c r="H74" s="44"/>
      <c r="I74" s="44"/>
      <c r="J74" s="44"/>
      <c r="K74" s="44"/>
      <c r="L74" s="44"/>
      <c r="M74" s="44"/>
      <c r="N74" s="20" t="str">
        <f aca="false">IFERROR(INDEX('Lift Inputs'!$H:$H,MATCH(D74,'Lift Inputs'!$B:$B,0)),"")</f>
        <v/>
      </c>
      <c r="O74" s="36" t="str">
        <f aca="false">IF(AND(ISNUMBER(N74),OR(ISNUMBER(G74),ISNUMBER(K74))),IF(MIN(IF(ISNUMBER(G74),G74,10^9),IF(ISNUMBER(K74),K74,10^9))&lt;N74,"YES","no"),"")</f>
        <v/>
      </c>
      <c r="P74" s="44"/>
      <c r="Q74" s="44"/>
    </row>
    <row r="75" customFormat="false" ht="15" hidden="false" customHeight="false" outlineLevel="0" collapsed="false">
      <c r="A75" s="45"/>
      <c r="B75" s="44"/>
      <c r="C75" s="44"/>
      <c r="D75" s="44"/>
      <c r="E75" s="44"/>
      <c r="F75" s="44"/>
      <c r="G75" s="44"/>
      <c r="H75" s="44"/>
      <c r="I75" s="44"/>
      <c r="J75" s="44"/>
      <c r="K75" s="44"/>
      <c r="L75" s="44"/>
      <c r="M75" s="44"/>
      <c r="N75" s="20" t="str">
        <f aca="false">IFERROR(INDEX('Lift Inputs'!$H:$H,MATCH(D75,'Lift Inputs'!$B:$B,0)),"")</f>
        <v/>
      </c>
      <c r="O75" s="36" t="str">
        <f aca="false">IF(AND(ISNUMBER(N75),OR(ISNUMBER(G75),ISNUMBER(K75))),IF(MIN(IF(ISNUMBER(G75),G75,10^9),IF(ISNUMBER(K75),K75,10^9))&lt;N75,"YES","no"),"")</f>
        <v/>
      </c>
      <c r="P75" s="44"/>
      <c r="Q75" s="44"/>
    </row>
    <row r="76" customFormat="false" ht="15" hidden="false" customHeight="false" outlineLevel="0" collapsed="false">
      <c r="A76" s="45"/>
      <c r="B76" s="44"/>
      <c r="C76" s="44"/>
      <c r="D76" s="44"/>
      <c r="E76" s="44"/>
      <c r="F76" s="44"/>
      <c r="G76" s="44"/>
      <c r="H76" s="44"/>
      <c r="I76" s="44"/>
      <c r="J76" s="44"/>
      <c r="K76" s="44"/>
      <c r="L76" s="44"/>
      <c r="M76" s="44"/>
      <c r="N76" s="20" t="str">
        <f aca="false">IFERROR(INDEX('Lift Inputs'!$H:$H,MATCH(D76,'Lift Inputs'!$B:$B,0)),"")</f>
        <v/>
      </c>
      <c r="O76" s="36" t="str">
        <f aca="false">IF(AND(ISNUMBER(N76),OR(ISNUMBER(G76),ISNUMBER(K76))),IF(MIN(IF(ISNUMBER(G76),G76,10^9),IF(ISNUMBER(K76),K76,10^9))&lt;N76,"YES","no"),"")</f>
        <v/>
      </c>
      <c r="P76" s="44"/>
      <c r="Q76" s="44"/>
    </row>
    <row r="77" customFormat="false" ht="15" hidden="false" customHeight="false" outlineLevel="0" collapsed="false">
      <c r="A77" s="45"/>
      <c r="B77" s="44"/>
      <c r="C77" s="44"/>
      <c r="D77" s="44"/>
      <c r="E77" s="44"/>
      <c r="F77" s="44"/>
      <c r="G77" s="44"/>
      <c r="H77" s="44"/>
      <c r="I77" s="44"/>
      <c r="J77" s="44"/>
      <c r="K77" s="44"/>
      <c r="L77" s="44"/>
      <c r="M77" s="44"/>
      <c r="N77" s="20" t="str">
        <f aca="false">IFERROR(INDEX('Lift Inputs'!$H:$H,MATCH(D77,'Lift Inputs'!$B:$B,0)),"")</f>
        <v/>
      </c>
      <c r="O77" s="36" t="str">
        <f aca="false">IF(AND(ISNUMBER(N77),OR(ISNUMBER(G77),ISNUMBER(K77))),IF(MIN(IF(ISNUMBER(G77),G77,10^9),IF(ISNUMBER(K77),K77,10^9))&lt;N77,"YES","no"),"")</f>
        <v/>
      </c>
      <c r="P77" s="44"/>
      <c r="Q77" s="44"/>
    </row>
    <row r="78" customFormat="false" ht="15" hidden="false" customHeight="false" outlineLevel="0" collapsed="false">
      <c r="A78" s="45"/>
      <c r="B78" s="44"/>
      <c r="C78" s="44"/>
      <c r="D78" s="44"/>
      <c r="E78" s="44"/>
      <c r="F78" s="44"/>
      <c r="G78" s="44"/>
      <c r="H78" s="44"/>
      <c r="I78" s="44"/>
      <c r="J78" s="44"/>
      <c r="K78" s="44"/>
      <c r="L78" s="44"/>
      <c r="M78" s="44"/>
      <c r="N78" s="20" t="str">
        <f aca="false">IFERROR(INDEX('Lift Inputs'!$H:$H,MATCH(D78,'Lift Inputs'!$B:$B,0)),"")</f>
        <v/>
      </c>
      <c r="O78" s="36" t="str">
        <f aca="false">IF(AND(ISNUMBER(N78),OR(ISNUMBER(G78),ISNUMBER(K78))),IF(MIN(IF(ISNUMBER(G78),G78,10^9),IF(ISNUMBER(K78),K78,10^9))&lt;N78,"YES","no"),"")</f>
        <v/>
      </c>
      <c r="P78" s="44"/>
      <c r="Q78" s="44"/>
    </row>
    <row r="79" customFormat="false" ht="15" hidden="false" customHeight="false" outlineLevel="0" collapsed="false">
      <c r="A79" s="45"/>
      <c r="B79" s="44"/>
      <c r="C79" s="44"/>
      <c r="D79" s="44"/>
      <c r="E79" s="44"/>
      <c r="F79" s="44"/>
      <c r="G79" s="44"/>
      <c r="H79" s="44"/>
      <c r="I79" s="44"/>
      <c r="J79" s="44"/>
      <c r="K79" s="44"/>
      <c r="L79" s="44"/>
      <c r="M79" s="44"/>
      <c r="N79" s="20" t="str">
        <f aca="false">IFERROR(INDEX('Lift Inputs'!$H:$H,MATCH(D79,'Lift Inputs'!$B:$B,0)),"")</f>
        <v/>
      </c>
      <c r="O79" s="36" t="str">
        <f aca="false">IF(AND(ISNUMBER(N79),OR(ISNUMBER(G79),ISNUMBER(K79))),IF(MIN(IF(ISNUMBER(G79),G79,10^9),IF(ISNUMBER(K79),K79,10^9))&lt;N79,"YES","no"),"")</f>
        <v/>
      </c>
      <c r="P79" s="44"/>
      <c r="Q79" s="44"/>
    </row>
    <row r="80" customFormat="false" ht="15" hidden="false" customHeight="false" outlineLevel="0" collapsed="false">
      <c r="A80" s="45"/>
      <c r="B80" s="44"/>
      <c r="C80" s="44"/>
      <c r="D80" s="44"/>
      <c r="E80" s="44"/>
      <c r="F80" s="44"/>
      <c r="G80" s="44"/>
      <c r="H80" s="44"/>
      <c r="I80" s="44"/>
      <c r="J80" s="44"/>
      <c r="K80" s="44"/>
      <c r="L80" s="44"/>
      <c r="M80" s="44"/>
      <c r="N80" s="20" t="str">
        <f aca="false">IFERROR(INDEX('Lift Inputs'!$H:$H,MATCH(D80,'Lift Inputs'!$B:$B,0)),"")</f>
        <v/>
      </c>
      <c r="O80" s="36" t="str">
        <f aca="false">IF(AND(ISNUMBER(N80),OR(ISNUMBER(G80),ISNUMBER(K80))),IF(MIN(IF(ISNUMBER(G80),G80,10^9),IF(ISNUMBER(K80),K80,10^9))&lt;N80,"YES","no"),"")</f>
        <v/>
      </c>
      <c r="P80" s="44"/>
      <c r="Q80" s="44"/>
    </row>
    <row r="81" customFormat="false" ht="15" hidden="false" customHeight="false" outlineLevel="0" collapsed="false">
      <c r="A81" s="45"/>
      <c r="B81" s="44"/>
      <c r="C81" s="44"/>
      <c r="D81" s="44"/>
      <c r="E81" s="44"/>
      <c r="F81" s="44"/>
      <c r="G81" s="44"/>
      <c r="H81" s="44"/>
      <c r="I81" s="44"/>
      <c r="J81" s="44"/>
      <c r="K81" s="44"/>
      <c r="L81" s="44"/>
      <c r="M81" s="44"/>
      <c r="N81" s="20" t="str">
        <f aca="false">IFERROR(INDEX('Lift Inputs'!$H:$H,MATCH(D81,'Lift Inputs'!$B:$B,0)),"")</f>
        <v/>
      </c>
      <c r="O81" s="36" t="str">
        <f aca="false">IF(AND(ISNUMBER(N81),OR(ISNUMBER(G81),ISNUMBER(K81))),IF(MIN(IF(ISNUMBER(G81),G81,10^9),IF(ISNUMBER(K81),K81,10^9))&lt;N81,"YES","no"),"")</f>
        <v/>
      </c>
      <c r="P81" s="44"/>
      <c r="Q81" s="44"/>
    </row>
    <row r="82" customFormat="false" ht="15" hidden="false" customHeight="false" outlineLevel="0" collapsed="false">
      <c r="A82" s="45"/>
      <c r="B82" s="44"/>
      <c r="C82" s="44"/>
      <c r="D82" s="44"/>
      <c r="E82" s="44"/>
      <c r="F82" s="44"/>
      <c r="G82" s="44"/>
      <c r="H82" s="44"/>
      <c r="I82" s="44"/>
      <c r="J82" s="44"/>
      <c r="K82" s="44"/>
      <c r="L82" s="44"/>
      <c r="M82" s="44"/>
      <c r="N82" s="20" t="str">
        <f aca="false">IFERROR(INDEX('Lift Inputs'!$H:$H,MATCH(D82,'Lift Inputs'!$B:$B,0)),"")</f>
        <v/>
      </c>
      <c r="O82" s="36" t="str">
        <f aca="false">IF(AND(ISNUMBER(N82),OR(ISNUMBER(G82),ISNUMBER(K82))),IF(MIN(IF(ISNUMBER(G82),G82,10^9),IF(ISNUMBER(K82),K82,10^9))&lt;N82,"YES","no"),"")</f>
        <v/>
      </c>
      <c r="P82" s="44"/>
      <c r="Q82" s="44"/>
    </row>
    <row r="83" customFormat="false" ht="15" hidden="false" customHeight="false" outlineLevel="0" collapsed="false">
      <c r="A83" s="45"/>
      <c r="B83" s="44"/>
      <c r="C83" s="44"/>
      <c r="D83" s="44"/>
      <c r="E83" s="44"/>
      <c r="F83" s="44"/>
      <c r="G83" s="44"/>
      <c r="H83" s="44"/>
      <c r="I83" s="44"/>
      <c r="J83" s="44"/>
      <c r="K83" s="44"/>
      <c r="L83" s="44"/>
      <c r="M83" s="44"/>
      <c r="N83" s="20" t="str">
        <f aca="false">IFERROR(INDEX('Lift Inputs'!$H:$H,MATCH(D83,'Lift Inputs'!$B:$B,0)),"")</f>
        <v/>
      </c>
      <c r="O83" s="36" t="str">
        <f aca="false">IF(AND(ISNUMBER(N83),OR(ISNUMBER(G83),ISNUMBER(K83))),IF(MIN(IF(ISNUMBER(G83),G83,10^9),IF(ISNUMBER(K83),K83,10^9))&lt;N83,"YES","no"),"")</f>
        <v/>
      </c>
      <c r="P83" s="44"/>
      <c r="Q83" s="44"/>
    </row>
    <row r="84" customFormat="false" ht="15" hidden="false" customHeight="false" outlineLevel="0" collapsed="false">
      <c r="A84" s="45"/>
      <c r="B84" s="44"/>
      <c r="C84" s="44"/>
      <c r="D84" s="44"/>
      <c r="E84" s="44"/>
      <c r="F84" s="44"/>
      <c r="G84" s="44"/>
      <c r="H84" s="44"/>
      <c r="I84" s="44"/>
      <c r="J84" s="44"/>
      <c r="K84" s="44"/>
      <c r="L84" s="44"/>
      <c r="M84" s="44"/>
      <c r="N84" s="20" t="str">
        <f aca="false">IFERROR(INDEX('Lift Inputs'!$H:$H,MATCH(D84,'Lift Inputs'!$B:$B,0)),"")</f>
        <v/>
      </c>
      <c r="O84" s="36" t="str">
        <f aca="false">IF(AND(ISNUMBER(N84),OR(ISNUMBER(G84),ISNUMBER(K84))),IF(MIN(IF(ISNUMBER(G84),G84,10^9),IF(ISNUMBER(K84),K84,10^9))&lt;N84,"YES","no"),"")</f>
        <v/>
      </c>
      <c r="P84" s="44"/>
      <c r="Q84" s="44"/>
    </row>
    <row r="85" customFormat="false" ht="15" hidden="false" customHeight="false" outlineLevel="0" collapsed="false">
      <c r="A85" s="45"/>
      <c r="B85" s="44"/>
      <c r="C85" s="44"/>
      <c r="D85" s="44"/>
      <c r="E85" s="44"/>
      <c r="F85" s="44"/>
      <c r="G85" s="44"/>
      <c r="H85" s="44"/>
      <c r="I85" s="44"/>
      <c r="J85" s="44"/>
      <c r="K85" s="44"/>
      <c r="L85" s="44"/>
      <c r="M85" s="44"/>
      <c r="N85" s="20" t="str">
        <f aca="false">IFERROR(INDEX('Lift Inputs'!$H:$H,MATCH(D85,'Lift Inputs'!$B:$B,0)),"")</f>
        <v/>
      </c>
      <c r="O85" s="36" t="str">
        <f aca="false">IF(AND(ISNUMBER(N85),OR(ISNUMBER(G85),ISNUMBER(K85))),IF(MIN(IF(ISNUMBER(G85),G85,10^9),IF(ISNUMBER(K85),K85,10^9))&lt;N85,"YES","no"),"")</f>
        <v/>
      </c>
      <c r="P85" s="44"/>
      <c r="Q85" s="44"/>
    </row>
    <row r="86" customFormat="false" ht="15" hidden="false" customHeight="false" outlineLevel="0" collapsed="false">
      <c r="A86" s="45"/>
      <c r="B86" s="44"/>
      <c r="C86" s="44"/>
      <c r="D86" s="44"/>
      <c r="E86" s="44"/>
      <c r="F86" s="44"/>
      <c r="G86" s="44"/>
      <c r="H86" s="44"/>
      <c r="I86" s="44"/>
      <c r="J86" s="44"/>
      <c r="K86" s="44"/>
      <c r="L86" s="44"/>
      <c r="M86" s="44"/>
      <c r="N86" s="20" t="str">
        <f aca="false">IFERROR(INDEX('Lift Inputs'!$H:$H,MATCH(D86,'Lift Inputs'!$B:$B,0)),"")</f>
        <v/>
      </c>
      <c r="O86" s="36" t="str">
        <f aca="false">IF(AND(ISNUMBER(N86),OR(ISNUMBER(G86),ISNUMBER(K86))),IF(MIN(IF(ISNUMBER(G86),G86,10^9),IF(ISNUMBER(K86),K86,10^9))&lt;N86,"YES","no"),"")</f>
        <v/>
      </c>
      <c r="P86" s="44"/>
      <c r="Q86" s="44"/>
    </row>
    <row r="87" customFormat="false" ht="15" hidden="false" customHeight="false" outlineLevel="0" collapsed="false">
      <c r="A87" s="45"/>
      <c r="B87" s="44"/>
      <c r="C87" s="44"/>
      <c r="D87" s="44"/>
      <c r="E87" s="44"/>
      <c r="F87" s="44"/>
      <c r="G87" s="44"/>
      <c r="H87" s="44"/>
      <c r="I87" s="44"/>
      <c r="J87" s="44"/>
      <c r="K87" s="44"/>
      <c r="L87" s="44"/>
      <c r="M87" s="44"/>
      <c r="N87" s="20" t="str">
        <f aca="false">IFERROR(INDEX('Lift Inputs'!$H:$H,MATCH(D87,'Lift Inputs'!$B:$B,0)),"")</f>
        <v/>
      </c>
      <c r="O87" s="36" t="str">
        <f aca="false">IF(AND(ISNUMBER(N87),OR(ISNUMBER(G87),ISNUMBER(K87))),IF(MIN(IF(ISNUMBER(G87),G87,10^9),IF(ISNUMBER(K87),K87,10^9))&lt;N87,"YES","no"),"")</f>
        <v/>
      </c>
      <c r="P87" s="44"/>
      <c r="Q87" s="44"/>
    </row>
    <row r="88" customFormat="false" ht="15" hidden="false" customHeight="false" outlineLevel="0" collapsed="false">
      <c r="A88" s="45"/>
      <c r="B88" s="44"/>
      <c r="C88" s="44"/>
      <c r="D88" s="44"/>
      <c r="E88" s="44"/>
      <c r="F88" s="44"/>
      <c r="G88" s="44"/>
      <c r="H88" s="44"/>
      <c r="I88" s="44"/>
      <c r="J88" s="44"/>
      <c r="K88" s="44"/>
      <c r="L88" s="44"/>
      <c r="M88" s="44"/>
      <c r="N88" s="20" t="str">
        <f aca="false">IFERROR(INDEX('Lift Inputs'!$H:$H,MATCH(D88,'Lift Inputs'!$B:$B,0)),"")</f>
        <v/>
      </c>
      <c r="O88" s="36" t="str">
        <f aca="false">IF(AND(ISNUMBER(N88),OR(ISNUMBER(G88),ISNUMBER(K88))),IF(MIN(IF(ISNUMBER(G88),G88,10^9),IF(ISNUMBER(K88),K88,10^9))&lt;N88,"YES","no"),"")</f>
        <v/>
      </c>
      <c r="P88" s="44"/>
      <c r="Q88" s="44"/>
    </row>
    <row r="89" customFormat="false" ht="15" hidden="false" customHeight="false" outlineLevel="0" collapsed="false">
      <c r="A89" s="45"/>
      <c r="B89" s="44"/>
      <c r="C89" s="44"/>
      <c r="D89" s="44"/>
      <c r="E89" s="44"/>
      <c r="F89" s="44"/>
      <c r="G89" s="44"/>
      <c r="H89" s="44"/>
      <c r="I89" s="44"/>
      <c r="J89" s="44"/>
      <c r="K89" s="44"/>
      <c r="L89" s="44"/>
      <c r="M89" s="44"/>
      <c r="N89" s="20" t="str">
        <f aca="false">IFERROR(INDEX('Lift Inputs'!$H:$H,MATCH(D89,'Lift Inputs'!$B:$B,0)),"")</f>
        <v/>
      </c>
      <c r="O89" s="36" t="str">
        <f aca="false">IF(AND(ISNUMBER(N89),OR(ISNUMBER(G89),ISNUMBER(K89))),IF(MIN(IF(ISNUMBER(G89),G89,10^9),IF(ISNUMBER(K89),K89,10^9))&lt;N89,"YES","no"),"")</f>
        <v/>
      </c>
      <c r="P89" s="44"/>
      <c r="Q89" s="44"/>
    </row>
    <row r="90" customFormat="false" ht="15" hidden="false" customHeight="false" outlineLevel="0" collapsed="false">
      <c r="A90" s="45"/>
      <c r="B90" s="44"/>
      <c r="C90" s="44"/>
      <c r="D90" s="44"/>
      <c r="E90" s="44"/>
      <c r="F90" s="44"/>
      <c r="G90" s="44"/>
      <c r="H90" s="44"/>
      <c r="I90" s="44"/>
      <c r="J90" s="44"/>
      <c r="K90" s="44"/>
      <c r="L90" s="44"/>
      <c r="M90" s="44"/>
      <c r="N90" s="20" t="str">
        <f aca="false">IFERROR(INDEX('Lift Inputs'!$H:$H,MATCH(D90,'Lift Inputs'!$B:$B,0)),"")</f>
        <v/>
      </c>
      <c r="O90" s="36" t="str">
        <f aca="false">IF(AND(ISNUMBER(N90),OR(ISNUMBER(G90),ISNUMBER(K90))),IF(MIN(IF(ISNUMBER(G90),G90,10^9),IF(ISNUMBER(K90),K90,10^9))&lt;N90,"YES","no"),"")</f>
        <v/>
      </c>
      <c r="P90" s="44"/>
      <c r="Q90" s="44"/>
    </row>
    <row r="91" customFormat="false" ht="15" hidden="false" customHeight="false" outlineLevel="0" collapsed="false">
      <c r="A91" s="45"/>
      <c r="B91" s="44"/>
      <c r="C91" s="44"/>
      <c r="D91" s="44"/>
      <c r="E91" s="44"/>
      <c r="F91" s="44"/>
      <c r="G91" s="44"/>
      <c r="H91" s="44"/>
      <c r="I91" s="44"/>
      <c r="J91" s="44"/>
      <c r="K91" s="44"/>
      <c r="L91" s="44"/>
      <c r="M91" s="44"/>
      <c r="N91" s="20" t="str">
        <f aca="false">IFERROR(INDEX('Lift Inputs'!$H:$H,MATCH(D91,'Lift Inputs'!$B:$B,0)),"")</f>
        <v/>
      </c>
      <c r="O91" s="36" t="str">
        <f aca="false">IF(AND(ISNUMBER(N91),OR(ISNUMBER(G91),ISNUMBER(K91))),IF(MIN(IF(ISNUMBER(G91),G91,10^9),IF(ISNUMBER(K91),K91,10^9))&lt;N91,"YES","no"),"")</f>
        <v/>
      </c>
      <c r="P91" s="44"/>
      <c r="Q91" s="44"/>
    </row>
    <row r="92" customFormat="false" ht="15" hidden="false" customHeight="false" outlineLevel="0" collapsed="false">
      <c r="A92" s="45"/>
      <c r="B92" s="44"/>
      <c r="C92" s="44"/>
      <c r="D92" s="44"/>
      <c r="E92" s="44"/>
      <c r="F92" s="44"/>
      <c r="G92" s="44"/>
      <c r="H92" s="44"/>
      <c r="I92" s="44"/>
      <c r="J92" s="44"/>
      <c r="K92" s="44"/>
      <c r="L92" s="44"/>
      <c r="M92" s="44"/>
      <c r="N92" s="20" t="str">
        <f aca="false">IFERROR(INDEX('Lift Inputs'!$H:$H,MATCH(D92,'Lift Inputs'!$B:$B,0)),"")</f>
        <v/>
      </c>
      <c r="O92" s="36" t="str">
        <f aca="false">IF(AND(ISNUMBER(N92),OR(ISNUMBER(G92),ISNUMBER(K92))),IF(MIN(IF(ISNUMBER(G92),G92,10^9),IF(ISNUMBER(K92),K92,10^9))&lt;N92,"YES","no"),"")</f>
        <v/>
      </c>
      <c r="P92" s="44"/>
      <c r="Q92" s="44"/>
    </row>
    <row r="93" customFormat="false" ht="15" hidden="false" customHeight="false" outlineLevel="0" collapsed="false">
      <c r="A93" s="45"/>
      <c r="B93" s="44"/>
      <c r="C93" s="44"/>
      <c r="D93" s="44"/>
      <c r="E93" s="44"/>
      <c r="F93" s="44"/>
      <c r="G93" s="44"/>
      <c r="H93" s="44"/>
      <c r="I93" s="44"/>
      <c r="J93" s="44"/>
      <c r="K93" s="44"/>
      <c r="L93" s="44"/>
      <c r="M93" s="44"/>
      <c r="N93" s="20" t="str">
        <f aca="false">IFERROR(INDEX('Lift Inputs'!$H:$H,MATCH(D93,'Lift Inputs'!$B:$B,0)),"")</f>
        <v/>
      </c>
      <c r="O93" s="36" t="str">
        <f aca="false">IF(AND(ISNUMBER(N93),OR(ISNUMBER(G93),ISNUMBER(K93))),IF(MIN(IF(ISNUMBER(G93),G93,10^9),IF(ISNUMBER(K93),K93,10^9))&lt;N93,"YES","no"),"")</f>
        <v/>
      </c>
      <c r="P93" s="44"/>
      <c r="Q93" s="44"/>
    </row>
    <row r="94" customFormat="false" ht="15" hidden="false" customHeight="false" outlineLevel="0" collapsed="false">
      <c r="A94" s="45"/>
      <c r="B94" s="44"/>
      <c r="C94" s="44"/>
      <c r="D94" s="44"/>
      <c r="E94" s="44"/>
      <c r="F94" s="44"/>
      <c r="G94" s="44"/>
      <c r="H94" s="44"/>
      <c r="I94" s="44"/>
      <c r="J94" s="44"/>
      <c r="K94" s="44"/>
      <c r="L94" s="44"/>
      <c r="M94" s="44"/>
      <c r="N94" s="20" t="str">
        <f aca="false">IFERROR(INDEX('Lift Inputs'!$H:$H,MATCH(D94,'Lift Inputs'!$B:$B,0)),"")</f>
        <v/>
      </c>
      <c r="O94" s="36" t="str">
        <f aca="false">IF(AND(ISNUMBER(N94),OR(ISNUMBER(G94),ISNUMBER(K94))),IF(MIN(IF(ISNUMBER(G94),G94,10^9),IF(ISNUMBER(K94),K94,10^9))&lt;N94,"YES","no"),"")</f>
        <v/>
      </c>
      <c r="P94" s="44"/>
      <c r="Q94" s="44"/>
    </row>
    <row r="95" customFormat="false" ht="15" hidden="false" customHeight="false" outlineLevel="0" collapsed="false">
      <c r="A95" s="45"/>
      <c r="B95" s="44"/>
      <c r="C95" s="44"/>
      <c r="D95" s="44"/>
      <c r="E95" s="44"/>
      <c r="F95" s="44"/>
      <c r="G95" s="44"/>
      <c r="H95" s="44"/>
      <c r="I95" s="44"/>
      <c r="J95" s="44"/>
      <c r="K95" s="44"/>
      <c r="L95" s="44"/>
      <c r="M95" s="44"/>
      <c r="N95" s="20" t="str">
        <f aca="false">IFERROR(INDEX('Lift Inputs'!$H:$H,MATCH(D95,'Lift Inputs'!$B:$B,0)),"")</f>
        <v/>
      </c>
      <c r="O95" s="36" t="str">
        <f aca="false">IF(AND(ISNUMBER(N95),OR(ISNUMBER(G95),ISNUMBER(K95))),IF(MIN(IF(ISNUMBER(G95),G95,10^9),IF(ISNUMBER(K95),K95,10^9))&lt;N95,"YES","no"),"")</f>
        <v/>
      </c>
      <c r="P95" s="44"/>
      <c r="Q95" s="44"/>
    </row>
    <row r="96" customFormat="false" ht="15" hidden="false" customHeight="false" outlineLevel="0" collapsed="false">
      <c r="A96" s="45"/>
      <c r="B96" s="44"/>
      <c r="C96" s="44"/>
      <c r="D96" s="44"/>
      <c r="E96" s="44"/>
      <c r="F96" s="44"/>
      <c r="G96" s="44"/>
      <c r="H96" s="44"/>
      <c r="I96" s="44"/>
      <c r="J96" s="44"/>
      <c r="K96" s="44"/>
      <c r="L96" s="44"/>
      <c r="M96" s="44"/>
      <c r="N96" s="20" t="str">
        <f aca="false">IFERROR(INDEX('Lift Inputs'!$H:$H,MATCH(D96,'Lift Inputs'!$B:$B,0)),"")</f>
        <v/>
      </c>
      <c r="O96" s="36" t="str">
        <f aca="false">IF(AND(ISNUMBER(N96),OR(ISNUMBER(G96),ISNUMBER(K96))),IF(MIN(IF(ISNUMBER(G96),G96,10^9),IF(ISNUMBER(K96),K96,10^9))&lt;N96,"YES","no"),"")</f>
        <v/>
      </c>
      <c r="P96" s="44"/>
      <c r="Q96" s="44"/>
    </row>
    <row r="97" customFormat="false" ht="15" hidden="false" customHeight="false" outlineLevel="0" collapsed="false">
      <c r="A97" s="45"/>
      <c r="B97" s="44"/>
      <c r="C97" s="44"/>
      <c r="D97" s="44"/>
      <c r="E97" s="44"/>
      <c r="F97" s="44"/>
      <c r="G97" s="44"/>
      <c r="H97" s="44"/>
      <c r="I97" s="44"/>
      <c r="J97" s="44"/>
      <c r="K97" s="44"/>
      <c r="L97" s="44"/>
      <c r="M97" s="44"/>
      <c r="N97" s="20" t="str">
        <f aca="false">IFERROR(INDEX('Lift Inputs'!$H:$H,MATCH(D97,'Lift Inputs'!$B:$B,0)),"")</f>
        <v/>
      </c>
      <c r="O97" s="36" t="str">
        <f aca="false">IF(AND(ISNUMBER(N97),OR(ISNUMBER(G97),ISNUMBER(K97))),IF(MIN(IF(ISNUMBER(G97),G97,10^9),IF(ISNUMBER(K97),K97,10^9))&lt;N97,"YES","no"),"")</f>
        <v/>
      </c>
      <c r="P97" s="44"/>
      <c r="Q97" s="44"/>
    </row>
    <row r="98" customFormat="false" ht="15" hidden="false" customHeight="false" outlineLevel="0" collapsed="false">
      <c r="A98" s="45"/>
      <c r="B98" s="44"/>
      <c r="C98" s="44"/>
      <c r="D98" s="44"/>
      <c r="E98" s="44"/>
      <c r="F98" s="44"/>
      <c r="G98" s="44"/>
      <c r="H98" s="44"/>
      <c r="I98" s="44"/>
      <c r="J98" s="44"/>
      <c r="K98" s="44"/>
      <c r="L98" s="44"/>
      <c r="M98" s="44"/>
      <c r="N98" s="20" t="str">
        <f aca="false">IFERROR(INDEX('Lift Inputs'!$H:$H,MATCH(D98,'Lift Inputs'!$B:$B,0)),"")</f>
        <v/>
      </c>
      <c r="O98" s="36" t="str">
        <f aca="false">IF(AND(ISNUMBER(N98),OR(ISNUMBER(G98),ISNUMBER(K98))),IF(MIN(IF(ISNUMBER(G98),G98,10^9),IF(ISNUMBER(K98),K98,10^9))&lt;N98,"YES","no"),"")</f>
        <v/>
      </c>
      <c r="P98" s="44"/>
      <c r="Q98" s="44"/>
    </row>
    <row r="99" customFormat="false" ht="15" hidden="false" customHeight="false" outlineLevel="0" collapsed="false">
      <c r="A99" s="45"/>
      <c r="B99" s="44"/>
      <c r="C99" s="44"/>
      <c r="D99" s="44"/>
      <c r="E99" s="44"/>
      <c r="F99" s="44"/>
      <c r="G99" s="44"/>
      <c r="H99" s="44"/>
      <c r="I99" s="44"/>
      <c r="J99" s="44"/>
      <c r="K99" s="44"/>
      <c r="L99" s="44"/>
      <c r="M99" s="44"/>
      <c r="N99" s="20" t="str">
        <f aca="false">IFERROR(INDEX('Lift Inputs'!$H:$H,MATCH(D99,'Lift Inputs'!$B:$B,0)),"")</f>
        <v/>
      </c>
      <c r="O99" s="36" t="str">
        <f aca="false">IF(AND(ISNUMBER(N99),OR(ISNUMBER(G99),ISNUMBER(K99))),IF(MIN(IF(ISNUMBER(G99),G99,10^9),IF(ISNUMBER(K99),K99,10^9))&lt;N99,"YES","no"),"")</f>
        <v/>
      </c>
      <c r="P99" s="44"/>
      <c r="Q99" s="44"/>
    </row>
    <row r="100" customFormat="false" ht="15" hidden="false" customHeight="false" outlineLevel="0" collapsed="false">
      <c r="A100" s="45"/>
      <c r="B100" s="44"/>
      <c r="C100" s="44"/>
      <c r="D100" s="44"/>
      <c r="E100" s="44"/>
      <c r="F100" s="44"/>
      <c r="G100" s="44"/>
      <c r="H100" s="44"/>
      <c r="I100" s="44"/>
      <c r="J100" s="44"/>
      <c r="K100" s="44"/>
      <c r="L100" s="44"/>
      <c r="M100" s="44"/>
      <c r="N100" s="20" t="str">
        <f aca="false">IFERROR(INDEX('Lift Inputs'!$H:$H,MATCH(D100,'Lift Inputs'!$B:$B,0)),"")</f>
        <v/>
      </c>
      <c r="O100" s="36" t="str">
        <f aca="false">IF(AND(ISNUMBER(N100),OR(ISNUMBER(G100),ISNUMBER(K100))),IF(MIN(IF(ISNUMBER(G100),G100,10^9),IF(ISNUMBER(K100),K100,10^9))&lt;N100,"YES","no"),"")</f>
        <v/>
      </c>
      <c r="P100" s="44"/>
      <c r="Q100" s="44"/>
    </row>
    <row r="101" customFormat="false" ht="15" hidden="false" customHeight="false" outlineLevel="0" collapsed="false">
      <c r="A101" s="45"/>
      <c r="B101" s="44"/>
      <c r="C101" s="44"/>
      <c r="D101" s="44"/>
      <c r="E101" s="44"/>
      <c r="F101" s="44"/>
      <c r="G101" s="44"/>
      <c r="H101" s="44"/>
      <c r="I101" s="44"/>
      <c r="J101" s="44"/>
      <c r="K101" s="44"/>
      <c r="L101" s="44"/>
      <c r="M101" s="44"/>
      <c r="N101" s="20" t="str">
        <f aca="false">IFERROR(INDEX('Lift Inputs'!$H:$H,MATCH(D101,'Lift Inputs'!$B:$B,0)),"")</f>
        <v/>
      </c>
      <c r="O101" s="36" t="str">
        <f aca="false">IF(AND(ISNUMBER(N101),OR(ISNUMBER(G101),ISNUMBER(K101))),IF(MIN(IF(ISNUMBER(G101),G101,10^9),IF(ISNUMBER(K101),K101,10^9))&lt;N101,"YES","no"),"")</f>
        <v/>
      </c>
      <c r="P101" s="44"/>
      <c r="Q101" s="44"/>
    </row>
    <row r="102" customFormat="false" ht="15" hidden="false" customHeight="false" outlineLevel="0" collapsed="false">
      <c r="A102" s="45"/>
      <c r="B102" s="44"/>
      <c r="C102" s="44"/>
      <c r="D102" s="44"/>
      <c r="E102" s="44"/>
      <c r="F102" s="44"/>
      <c r="G102" s="44"/>
      <c r="H102" s="44"/>
      <c r="I102" s="44"/>
      <c r="J102" s="44"/>
      <c r="K102" s="44"/>
      <c r="L102" s="44"/>
      <c r="M102" s="44"/>
      <c r="N102" s="20" t="str">
        <f aca="false">IFERROR(INDEX('Lift Inputs'!$H:$H,MATCH(D102,'Lift Inputs'!$B:$B,0)),"")</f>
        <v/>
      </c>
      <c r="O102" s="36" t="str">
        <f aca="false">IF(AND(ISNUMBER(N102),OR(ISNUMBER(G102),ISNUMBER(K102))),IF(MIN(IF(ISNUMBER(G102),G102,10^9),IF(ISNUMBER(K102),K102,10^9))&lt;N102,"YES","no"),"")</f>
        <v/>
      </c>
      <c r="P102" s="44"/>
      <c r="Q102" s="44"/>
    </row>
    <row r="103" customFormat="false" ht="15" hidden="false" customHeight="false" outlineLevel="0" collapsed="false">
      <c r="A103" s="45"/>
      <c r="B103" s="44"/>
      <c r="C103" s="44"/>
      <c r="D103" s="44"/>
      <c r="E103" s="44"/>
      <c r="F103" s="44"/>
      <c r="G103" s="44"/>
      <c r="H103" s="44"/>
      <c r="I103" s="44"/>
      <c r="J103" s="44"/>
      <c r="K103" s="44"/>
      <c r="L103" s="44"/>
      <c r="M103" s="44"/>
      <c r="N103" s="20" t="str">
        <f aca="false">IFERROR(INDEX('Lift Inputs'!$H:$H,MATCH(D103,'Lift Inputs'!$B:$B,0)),"")</f>
        <v/>
      </c>
      <c r="O103" s="36" t="str">
        <f aca="false">IF(AND(ISNUMBER(N103),OR(ISNUMBER(G103),ISNUMBER(K103))),IF(MIN(IF(ISNUMBER(G103),G103,10^9),IF(ISNUMBER(K103),K103,10^9))&lt;N103,"YES","no"),"")</f>
        <v/>
      </c>
      <c r="P103" s="44"/>
      <c r="Q103" s="44"/>
    </row>
    <row r="104" customFormat="false" ht="15" hidden="false" customHeight="false" outlineLevel="0" collapsed="false">
      <c r="A104" s="45"/>
      <c r="B104" s="44"/>
      <c r="C104" s="44"/>
      <c r="D104" s="44"/>
      <c r="E104" s="44"/>
      <c r="F104" s="44"/>
      <c r="G104" s="44"/>
      <c r="H104" s="44"/>
      <c r="I104" s="44"/>
      <c r="J104" s="44"/>
      <c r="K104" s="44"/>
      <c r="L104" s="44"/>
      <c r="M104" s="44"/>
      <c r="N104" s="20" t="str">
        <f aca="false">IFERROR(INDEX('Lift Inputs'!$H:$H,MATCH(D104,'Lift Inputs'!$B:$B,0)),"")</f>
        <v/>
      </c>
      <c r="O104" s="36" t="str">
        <f aca="false">IF(AND(ISNUMBER(N104),OR(ISNUMBER(G104),ISNUMBER(K104))),IF(MIN(IF(ISNUMBER(G104),G104,10^9),IF(ISNUMBER(K104),K104,10^9))&lt;N104,"YES","no"),"")</f>
        <v/>
      </c>
      <c r="P104" s="44"/>
      <c r="Q104" s="44"/>
    </row>
    <row r="105" customFormat="false" ht="15" hidden="false" customHeight="false" outlineLevel="0" collapsed="false">
      <c r="A105" s="45"/>
      <c r="B105" s="44"/>
      <c r="C105" s="44"/>
      <c r="D105" s="44"/>
      <c r="E105" s="44"/>
      <c r="F105" s="44"/>
      <c r="G105" s="44"/>
      <c r="H105" s="44"/>
      <c r="I105" s="44"/>
      <c r="J105" s="44"/>
      <c r="K105" s="44"/>
      <c r="L105" s="44"/>
      <c r="M105" s="44"/>
      <c r="N105" s="20" t="str">
        <f aca="false">IFERROR(INDEX('Lift Inputs'!$H:$H,MATCH(D105,'Lift Inputs'!$B:$B,0)),"")</f>
        <v/>
      </c>
      <c r="O105" s="36" t="str">
        <f aca="false">IF(AND(ISNUMBER(N105),OR(ISNUMBER(G105),ISNUMBER(K105))),IF(MIN(IF(ISNUMBER(G105),G105,10^9),IF(ISNUMBER(K105),K105,10^9))&lt;N105,"YES","no"),"")</f>
        <v/>
      </c>
      <c r="P105" s="44"/>
      <c r="Q105" s="44"/>
    </row>
    <row r="106" customFormat="false" ht="15" hidden="false" customHeight="false" outlineLevel="0" collapsed="false">
      <c r="A106" s="45"/>
      <c r="B106" s="44"/>
      <c r="C106" s="44"/>
      <c r="D106" s="44"/>
      <c r="E106" s="44"/>
      <c r="F106" s="44"/>
      <c r="G106" s="44"/>
      <c r="H106" s="44"/>
      <c r="I106" s="44"/>
      <c r="J106" s="44"/>
      <c r="K106" s="44"/>
      <c r="L106" s="44"/>
      <c r="M106" s="44"/>
      <c r="N106" s="20" t="str">
        <f aca="false">IFERROR(INDEX('Lift Inputs'!$H:$H,MATCH(D106,'Lift Inputs'!$B:$B,0)),"")</f>
        <v/>
      </c>
      <c r="O106" s="36" t="str">
        <f aca="false">IF(AND(ISNUMBER(N106),OR(ISNUMBER(G106),ISNUMBER(K106))),IF(MIN(IF(ISNUMBER(G106),G106,10^9),IF(ISNUMBER(K106),K106,10^9))&lt;N106,"YES","no"),"")</f>
        <v/>
      </c>
      <c r="P106" s="44"/>
      <c r="Q106" s="44"/>
    </row>
    <row r="107" customFormat="false" ht="15" hidden="false" customHeight="false" outlineLevel="0" collapsed="false">
      <c r="A107" s="45"/>
      <c r="B107" s="44"/>
      <c r="C107" s="44"/>
      <c r="D107" s="44"/>
      <c r="E107" s="44"/>
      <c r="F107" s="44"/>
      <c r="G107" s="44"/>
      <c r="H107" s="44"/>
      <c r="I107" s="44"/>
      <c r="J107" s="44"/>
      <c r="K107" s="44"/>
      <c r="L107" s="44"/>
      <c r="M107" s="44"/>
      <c r="N107" s="20" t="str">
        <f aca="false">IFERROR(INDEX('Lift Inputs'!$H:$H,MATCH(D107,'Lift Inputs'!$B:$B,0)),"")</f>
        <v/>
      </c>
      <c r="O107" s="36" t="str">
        <f aca="false">IF(AND(ISNUMBER(N107),OR(ISNUMBER(G107),ISNUMBER(K107))),IF(MIN(IF(ISNUMBER(G107),G107,10^9),IF(ISNUMBER(K107),K107,10^9))&lt;N107,"YES","no"),"")</f>
        <v/>
      </c>
      <c r="P107" s="44"/>
      <c r="Q107" s="44"/>
    </row>
    <row r="108" customFormat="false" ht="15" hidden="false" customHeight="false" outlineLevel="0" collapsed="false">
      <c r="A108" s="45"/>
      <c r="B108" s="44"/>
      <c r="C108" s="44"/>
      <c r="D108" s="44"/>
      <c r="E108" s="44"/>
      <c r="F108" s="44"/>
      <c r="G108" s="44"/>
      <c r="H108" s="44"/>
      <c r="I108" s="44"/>
      <c r="J108" s="44"/>
      <c r="K108" s="44"/>
      <c r="L108" s="44"/>
      <c r="M108" s="44"/>
      <c r="N108" s="20" t="str">
        <f aca="false">IFERROR(INDEX('Lift Inputs'!$H:$H,MATCH(D108,'Lift Inputs'!$B:$B,0)),"")</f>
        <v/>
      </c>
      <c r="O108" s="36" t="str">
        <f aca="false">IF(AND(ISNUMBER(N108),OR(ISNUMBER(G108),ISNUMBER(K108))),IF(MIN(IF(ISNUMBER(G108),G108,10^9),IF(ISNUMBER(K108),K108,10^9))&lt;N108,"YES","no"),"")</f>
        <v/>
      </c>
      <c r="P108" s="44"/>
      <c r="Q108" s="44"/>
    </row>
    <row r="109" customFormat="false" ht="15" hidden="false" customHeight="false" outlineLevel="0" collapsed="false">
      <c r="A109" s="45"/>
      <c r="B109" s="44"/>
      <c r="C109" s="44"/>
      <c r="D109" s="44"/>
      <c r="E109" s="44"/>
      <c r="F109" s="44"/>
      <c r="G109" s="44"/>
      <c r="H109" s="44"/>
      <c r="I109" s="44"/>
      <c r="J109" s="44"/>
      <c r="K109" s="44"/>
      <c r="L109" s="44"/>
      <c r="M109" s="44"/>
      <c r="N109" s="20" t="str">
        <f aca="false">IFERROR(INDEX('Lift Inputs'!$H:$H,MATCH(D109,'Lift Inputs'!$B:$B,0)),"")</f>
        <v/>
      </c>
      <c r="O109" s="36" t="str">
        <f aca="false">IF(AND(ISNUMBER(N109),OR(ISNUMBER(G109),ISNUMBER(K109))),IF(MIN(IF(ISNUMBER(G109),G109,10^9),IF(ISNUMBER(K109),K109,10^9))&lt;N109,"YES","no"),"")</f>
        <v/>
      </c>
      <c r="P109" s="44"/>
      <c r="Q109" s="44"/>
    </row>
    <row r="110" customFormat="false" ht="15" hidden="false" customHeight="false" outlineLevel="0" collapsed="false">
      <c r="A110" s="45"/>
      <c r="B110" s="44"/>
      <c r="C110" s="44"/>
      <c r="D110" s="44"/>
      <c r="E110" s="44"/>
      <c r="F110" s="44"/>
      <c r="G110" s="44"/>
      <c r="H110" s="44"/>
      <c r="I110" s="44"/>
      <c r="J110" s="44"/>
      <c r="K110" s="44"/>
      <c r="L110" s="44"/>
      <c r="M110" s="44"/>
      <c r="N110" s="20" t="str">
        <f aca="false">IFERROR(INDEX('Lift Inputs'!$H:$H,MATCH(D110,'Lift Inputs'!$B:$B,0)),"")</f>
        <v/>
      </c>
      <c r="O110" s="36" t="str">
        <f aca="false">IF(AND(ISNUMBER(N110),OR(ISNUMBER(G110),ISNUMBER(K110))),IF(MIN(IF(ISNUMBER(G110),G110,10^9),IF(ISNUMBER(K110),K110,10^9))&lt;N110,"YES","no"),"")</f>
        <v/>
      </c>
      <c r="P110" s="44"/>
      <c r="Q110" s="44"/>
    </row>
    <row r="111" customFormat="false" ht="15" hidden="false" customHeight="false" outlineLevel="0" collapsed="false">
      <c r="A111" s="45"/>
      <c r="B111" s="44"/>
      <c r="C111" s="44"/>
      <c r="D111" s="44"/>
      <c r="E111" s="44"/>
      <c r="F111" s="44"/>
      <c r="G111" s="44"/>
      <c r="H111" s="44"/>
      <c r="I111" s="44"/>
      <c r="J111" s="44"/>
      <c r="K111" s="44"/>
      <c r="L111" s="44"/>
      <c r="M111" s="44"/>
      <c r="N111" s="20" t="str">
        <f aca="false">IFERROR(INDEX('Lift Inputs'!$H:$H,MATCH(D111,'Lift Inputs'!$B:$B,0)),"")</f>
        <v/>
      </c>
      <c r="O111" s="36" t="str">
        <f aca="false">IF(AND(ISNUMBER(N111),OR(ISNUMBER(G111),ISNUMBER(K111))),IF(MIN(IF(ISNUMBER(G111),G111,10^9),IF(ISNUMBER(K111),K111,10^9))&lt;N111,"YES","no"),"")</f>
        <v/>
      </c>
      <c r="P111" s="44"/>
      <c r="Q111" s="44"/>
    </row>
    <row r="112" customFormat="false" ht="15" hidden="false" customHeight="false" outlineLevel="0" collapsed="false">
      <c r="A112" s="45"/>
      <c r="B112" s="44"/>
      <c r="C112" s="44"/>
      <c r="D112" s="44"/>
      <c r="E112" s="44"/>
      <c r="F112" s="44"/>
      <c r="G112" s="44"/>
      <c r="H112" s="44"/>
      <c r="I112" s="44"/>
      <c r="J112" s="44"/>
      <c r="K112" s="44"/>
      <c r="L112" s="44"/>
      <c r="M112" s="44"/>
      <c r="N112" s="20" t="str">
        <f aca="false">IFERROR(INDEX('Lift Inputs'!$H:$H,MATCH(D112,'Lift Inputs'!$B:$B,0)),"")</f>
        <v/>
      </c>
      <c r="O112" s="36" t="str">
        <f aca="false">IF(AND(ISNUMBER(N112),OR(ISNUMBER(G112),ISNUMBER(K112))),IF(MIN(IF(ISNUMBER(G112),G112,10^9),IF(ISNUMBER(K112),K112,10^9))&lt;N112,"YES","no"),"")</f>
        <v/>
      </c>
      <c r="P112" s="44"/>
      <c r="Q112" s="44"/>
    </row>
    <row r="113" customFormat="false" ht="15" hidden="false" customHeight="false" outlineLevel="0" collapsed="false">
      <c r="A113" s="45"/>
      <c r="B113" s="44"/>
      <c r="C113" s="44"/>
      <c r="D113" s="44"/>
      <c r="E113" s="44"/>
      <c r="F113" s="44"/>
      <c r="G113" s="44"/>
      <c r="H113" s="44"/>
      <c r="I113" s="44"/>
      <c r="J113" s="44"/>
      <c r="K113" s="44"/>
      <c r="L113" s="44"/>
      <c r="M113" s="44"/>
      <c r="N113" s="20" t="str">
        <f aca="false">IFERROR(INDEX('Lift Inputs'!$H:$H,MATCH(D113,'Lift Inputs'!$B:$B,0)),"")</f>
        <v/>
      </c>
      <c r="O113" s="36" t="str">
        <f aca="false">IF(AND(ISNUMBER(N113),OR(ISNUMBER(G113),ISNUMBER(K113))),IF(MIN(IF(ISNUMBER(G113),G113,10^9),IF(ISNUMBER(K113),K113,10^9))&lt;N113,"YES","no"),"")</f>
        <v/>
      </c>
      <c r="P113" s="44"/>
      <c r="Q113" s="44"/>
    </row>
    <row r="114" customFormat="false" ht="15" hidden="false" customHeight="false" outlineLevel="0" collapsed="false">
      <c r="A114" s="45"/>
      <c r="B114" s="44"/>
      <c r="C114" s="44"/>
      <c r="D114" s="44"/>
      <c r="E114" s="44"/>
      <c r="F114" s="44"/>
      <c r="G114" s="44"/>
      <c r="H114" s="44"/>
      <c r="I114" s="44"/>
      <c r="J114" s="44"/>
      <c r="K114" s="44"/>
      <c r="L114" s="44"/>
      <c r="M114" s="44"/>
      <c r="N114" s="20" t="str">
        <f aca="false">IFERROR(INDEX('Lift Inputs'!$H:$H,MATCH(D114,'Lift Inputs'!$B:$B,0)),"")</f>
        <v/>
      </c>
      <c r="O114" s="36" t="str">
        <f aca="false">IF(AND(ISNUMBER(N114),OR(ISNUMBER(G114),ISNUMBER(K114))),IF(MIN(IF(ISNUMBER(G114),G114,10^9),IF(ISNUMBER(K114),K114,10^9))&lt;N114,"YES","no"),"")</f>
        <v/>
      </c>
      <c r="P114" s="44"/>
      <c r="Q114" s="44"/>
    </row>
    <row r="115" customFormat="false" ht="15" hidden="false" customHeight="false" outlineLevel="0" collapsed="false">
      <c r="A115" s="45"/>
      <c r="B115" s="44"/>
      <c r="C115" s="44"/>
      <c r="D115" s="44"/>
      <c r="E115" s="44"/>
      <c r="F115" s="44"/>
      <c r="G115" s="44"/>
      <c r="H115" s="44"/>
      <c r="I115" s="44"/>
      <c r="J115" s="44"/>
      <c r="K115" s="44"/>
      <c r="L115" s="44"/>
      <c r="M115" s="44"/>
      <c r="N115" s="20" t="str">
        <f aca="false">IFERROR(INDEX('Lift Inputs'!$H:$H,MATCH(D115,'Lift Inputs'!$B:$B,0)),"")</f>
        <v/>
      </c>
      <c r="O115" s="36" t="str">
        <f aca="false">IF(AND(ISNUMBER(N115),OR(ISNUMBER(G115),ISNUMBER(K115))),IF(MIN(IF(ISNUMBER(G115),G115,10^9),IF(ISNUMBER(K115),K115,10^9))&lt;N115,"YES","no"),"")</f>
        <v/>
      </c>
      <c r="P115" s="44"/>
      <c r="Q115" s="44"/>
    </row>
    <row r="116" customFormat="false" ht="15" hidden="false" customHeight="false" outlineLevel="0" collapsed="false">
      <c r="A116" s="45"/>
      <c r="B116" s="44"/>
      <c r="C116" s="44"/>
      <c r="D116" s="44"/>
      <c r="E116" s="44"/>
      <c r="F116" s="44"/>
      <c r="G116" s="44"/>
      <c r="H116" s="44"/>
      <c r="I116" s="44"/>
      <c r="J116" s="44"/>
      <c r="K116" s="44"/>
      <c r="L116" s="44"/>
      <c r="M116" s="44"/>
      <c r="N116" s="20" t="str">
        <f aca="false">IFERROR(INDEX('Lift Inputs'!$H:$H,MATCH(D116,'Lift Inputs'!$B:$B,0)),"")</f>
        <v/>
      </c>
      <c r="O116" s="36" t="str">
        <f aca="false">IF(AND(ISNUMBER(N116),OR(ISNUMBER(G116),ISNUMBER(K116))),IF(MIN(IF(ISNUMBER(G116),G116,10^9),IF(ISNUMBER(K116),K116,10^9))&lt;N116,"YES","no"),"")</f>
        <v/>
      </c>
      <c r="P116" s="44"/>
      <c r="Q116" s="44"/>
    </row>
    <row r="117" customFormat="false" ht="15" hidden="false" customHeight="false" outlineLevel="0" collapsed="false">
      <c r="A117" s="45"/>
      <c r="B117" s="44"/>
      <c r="C117" s="44"/>
      <c r="D117" s="44"/>
      <c r="E117" s="44"/>
      <c r="F117" s="44"/>
      <c r="G117" s="44"/>
      <c r="H117" s="44"/>
      <c r="I117" s="44"/>
      <c r="J117" s="44"/>
      <c r="K117" s="44"/>
      <c r="L117" s="44"/>
      <c r="M117" s="44"/>
      <c r="N117" s="20" t="str">
        <f aca="false">IFERROR(INDEX('Lift Inputs'!$H:$H,MATCH(D117,'Lift Inputs'!$B:$B,0)),"")</f>
        <v/>
      </c>
      <c r="O117" s="36" t="str">
        <f aca="false">IF(AND(ISNUMBER(N117),OR(ISNUMBER(G117),ISNUMBER(K117))),IF(MIN(IF(ISNUMBER(G117),G117,10^9),IF(ISNUMBER(K117),K117,10^9))&lt;N117,"YES","no"),"")</f>
        <v/>
      </c>
      <c r="P117" s="44"/>
      <c r="Q117" s="44"/>
    </row>
    <row r="118" customFormat="false" ht="15" hidden="false" customHeight="false" outlineLevel="0" collapsed="false">
      <c r="A118" s="45"/>
      <c r="B118" s="44"/>
      <c r="C118" s="44"/>
      <c r="D118" s="44"/>
      <c r="E118" s="44"/>
      <c r="F118" s="44"/>
      <c r="G118" s="44"/>
      <c r="H118" s="44"/>
      <c r="I118" s="44"/>
      <c r="J118" s="44"/>
      <c r="K118" s="44"/>
      <c r="L118" s="44"/>
      <c r="M118" s="44"/>
      <c r="N118" s="20" t="str">
        <f aca="false">IFERROR(INDEX('Lift Inputs'!$H:$H,MATCH(D118,'Lift Inputs'!$B:$B,0)),"")</f>
        <v/>
      </c>
      <c r="O118" s="36" t="str">
        <f aca="false">IF(AND(ISNUMBER(N118),OR(ISNUMBER(G118),ISNUMBER(K118))),IF(MIN(IF(ISNUMBER(G118),G118,10^9),IF(ISNUMBER(K118),K118,10^9))&lt;N118,"YES","no"),"")</f>
        <v/>
      </c>
      <c r="P118" s="44"/>
      <c r="Q118" s="44"/>
    </row>
    <row r="119" customFormat="false" ht="15" hidden="false" customHeight="false" outlineLevel="0" collapsed="false">
      <c r="A119" s="45"/>
      <c r="B119" s="44"/>
      <c r="C119" s="44"/>
      <c r="D119" s="44"/>
      <c r="E119" s="44"/>
      <c r="F119" s="44"/>
      <c r="G119" s="44"/>
      <c r="H119" s="44"/>
      <c r="I119" s="44"/>
      <c r="J119" s="44"/>
      <c r="K119" s="44"/>
      <c r="L119" s="44"/>
      <c r="M119" s="44"/>
      <c r="N119" s="20" t="str">
        <f aca="false">IFERROR(INDEX('Lift Inputs'!$H:$H,MATCH(D119,'Lift Inputs'!$B:$B,0)),"")</f>
        <v/>
      </c>
      <c r="O119" s="36" t="str">
        <f aca="false">IF(AND(ISNUMBER(N119),OR(ISNUMBER(G119),ISNUMBER(K119))),IF(MIN(IF(ISNUMBER(G119),G119,10^9),IF(ISNUMBER(K119),K119,10^9))&lt;N119,"YES","no"),"")</f>
        <v/>
      </c>
      <c r="P119" s="44"/>
      <c r="Q119" s="44"/>
    </row>
    <row r="120" customFormat="false" ht="15" hidden="false" customHeight="false" outlineLevel="0" collapsed="false">
      <c r="A120" s="45"/>
      <c r="B120" s="44"/>
      <c r="C120" s="44"/>
      <c r="D120" s="44"/>
      <c r="E120" s="44"/>
      <c r="F120" s="44"/>
      <c r="G120" s="44"/>
      <c r="H120" s="44"/>
      <c r="I120" s="44"/>
      <c r="J120" s="44"/>
      <c r="K120" s="44"/>
      <c r="L120" s="44"/>
      <c r="M120" s="44"/>
      <c r="N120" s="20" t="str">
        <f aca="false">IFERROR(INDEX('Lift Inputs'!$H:$H,MATCH(D120,'Lift Inputs'!$B:$B,0)),"")</f>
        <v/>
      </c>
      <c r="O120" s="36" t="str">
        <f aca="false">IF(AND(ISNUMBER(N120),OR(ISNUMBER(G120),ISNUMBER(K120))),IF(MIN(IF(ISNUMBER(G120),G120,10^9),IF(ISNUMBER(K120),K120,10^9))&lt;N120,"YES","no"),"")</f>
        <v/>
      </c>
      <c r="P120" s="44"/>
      <c r="Q120" s="44"/>
    </row>
    <row r="121" customFormat="false" ht="15" hidden="false" customHeight="false" outlineLevel="0" collapsed="false">
      <c r="A121" s="45"/>
      <c r="B121" s="44"/>
      <c r="C121" s="44"/>
      <c r="D121" s="44"/>
      <c r="E121" s="44"/>
      <c r="F121" s="44"/>
      <c r="G121" s="44"/>
      <c r="H121" s="44"/>
      <c r="I121" s="44"/>
      <c r="J121" s="44"/>
      <c r="K121" s="44"/>
      <c r="L121" s="44"/>
      <c r="M121" s="44"/>
      <c r="N121" s="20" t="str">
        <f aca="false">IFERROR(INDEX('Lift Inputs'!$H:$H,MATCH(D121,'Lift Inputs'!$B:$B,0)),"")</f>
        <v/>
      </c>
      <c r="O121" s="36" t="str">
        <f aca="false">IF(AND(ISNUMBER(N121),OR(ISNUMBER(G121),ISNUMBER(K121))),IF(MIN(IF(ISNUMBER(G121),G121,10^9),IF(ISNUMBER(K121),K121,10^9))&lt;N121,"YES","no"),"")</f>
        <v/>
      </c>
      <c r="P121" s="44"/>
      <c r="Q121" s="44"/>
    </row>
    <row r="122" customFormat="false" ht="15" hidden="false" customHeight="false" outlineLevel="0" collapsed="false">
      <c r="A122" s="45"/>
      <c r="B122" s="44"/>
      <c r="C122" s="44"/>
      <c r="D122" s="44"/>
      <c r="E122" s="44"/>
      <c r="F122" s="44"/>
      <c r="G122" s="44"/>
      <c r="H122" s="44"/>
      <c r="I122" s="44"/>
      <c r="J122" s="44"/>
      <c r="K122" s="44"/>
      <c r="L122" s="44"/>
      <c r="M122" s="44"/>
      <c r="N122" s="20" t="str">
        <f aca="false">IFERROR(INDEX('Lift Inputs'!$H:$H,MATCH(D122,'Lift Inputs'!$B:$B,0)),"")</f>
        <v/>
      </c>
      <c r="O122" s="36" t="str">
        <f aca="false">IF(AND(ISNUMBER(N122),OR(ISNUMBER(G122),ISNUMBER(K122))),IF(MIN(IF(ISNUMBER(G122),G122,10^9),IF(ISNUMBER(K122),K122,10^9))&lt;N122,"YES","no"),"")</f>
        <v/>
      </c>
      <c r="P122" s="44"/>
      <c r="Q122" s="44"/>
    </row>
    <row r="123" customFormat="false" ht="15" hidden="false" customHeight="false" outlineLevel="0" collapsed="false">
      <c r="A123" s="45"/>
      <c r="B123" s="44"/>
      <c r="C123" s="44"/>
      <c r="D123" s="44"/>
      <c r="E123" s="44"/>
      <c r="F123" s="44"/>
      <c r="G123" s="44"/>
      <c r="H123" s="44"/>
      <c r="I123" s="44"/>
      <c r="J123" s="44"/>
      <c r="K123" s="44"/>
      <c r="L123" s="44"/>
      <c r="M123" s="44"/>
      <c r="N123" s="20" t="str">
        <f aca="false">IFERROR(INDEX('Lift Inputs'!$H:$H,MATCH(D123,'Lift Inputs'!$B:$B,0)),"")</f>
        <v/>
      </c>
      <c r="O123" s="36" t="str">
        <f aca="false">IF(AND(ISNUMBER(N123),OR(ISNUMBER(G123),ISNUMBER(K123))),IF(MIN(IF(ISNUMBER(G123),G123,10^9),IF(ISNUMBER(K123),K123,10^9))&lt;N123,"YES","no"),"")</f>
        <v/>
      </c>
      <c r="P123" s="44"/>
      <c r="Q123" s="44"/>
    </row>
    <row r="124" customFormat="false" ht="15" hidden="false" customHeight="false" outlineLevel="0" collapsed="false">
      <c r="A124" s="45"/>
      <c r="B124" s="44"/>
      <c r="C124" s="44"/>
      <c r="D124" s="44"/>
      <c r="E124" s="44"/>
      <c r="F124" s="44"/>
      <c r="G124" s="44"/>
      <c r="H124" s="44"/>
      <c r="I124" s="44"/>
      <c r="J124" s="44"/>
      <c r="K124" s="44"/>
      <c r="L124" s="44"/>
      <c r="M124" s="44"/>
      <c r="N124" s="20" t="str">
        <f aca="false">IFERROR(INDEX('Lift Inputs'!$H:$H,MATCH(D124,'Lift Inputs'!$B:$B,0)),"")</f>
        <v/>
      </c>
      <c r="O124" s="36" t="str">
        <f aca="false">IF(AND(ISNUMBER(N124),OR(ISNUMBER(G124),ISNUMBER(K124))),IF(MIN(IF(ISNUMBER(G124),G124,10^9),IF(ISNUMBER(K124),K124,10^9))&lt;N124,"YES","no"),"")</f>
        <v/>
      </c>
      <c r="P124" s="44"/>
      <c r="Q124" s="44"/>
    </row>
    <row r="125" customFormat="false" ht="15" hidden="false" customHeight="false" outlineLevel="0" collapsed="false">
      <c r="A125" s="45"/>
      <c r="B125" s="44"/>
      <c r="C125" s="44"/>
      <c r="D125" s="44"/>
      <c r="E125" s="44"/>
      <c r="F125" s="44"/>
      <c r="G125" s="44"/>
      <c r="H125" s="44"/>
      <c r="I125" s="44"/>
      <c r="J125" s="44"/>
      <c r="K125" s="44"/>
      <c r="L125" s="44"/>
      <c r="M125" s="44"/>
      <c r="N125" s="20" t="str">
        <f aca="false">IFERROR(INDEX('Lift Inputs'!$H:$H,MATCH(D125,'Lift Inputs'!$B:$B,0)),"")</f>
        <v/>
      </c>
      <c r="O125" s="36" t="str">
        <f aca="false">IF(AND(ISNUMBER(N125),OR(ISNUMBER(G125),ISNUMBER(K125))),IF(MIN(IF(ISNUMBER(G125),G125,10^9),IF(ISNUMBER(K125),K125,10^9))&lt;N125,"YES","no"),"")</f>
        <v/>
      </c>
      <c r="P125" s="44"/>
      <c r="Q125" s="44"/>
    </row>
    <row r="126" customFormat="false" ht="15" hidden="false" customHeight="false" outlineLevel="0" collapsed="false">
      <c r="A126" s="45"/>
      <c r="B126" s="44"/>
      <c r="C126" s="44"/>
      <c r="D126" s="44"/>
      <c r="E126" s="44"/>
      <c r="F126" s="44"/>
      <c r="G126" s="44"/>
      <c r="H126" s="44"/>
      <c r="I126" s="44"/>
      <c r="J126" s="44"/>
      <c r="K126" s="44"/>
      <c r="L126" s="44"/>
      <c r="M126" s="44"/>
      <c r="N126" s="20" t="str">
        <f aca="false">IFERROR(INDEX('Lift Inputs'!$H:$H,MATCH(D126,'Lift Inputs'!$B:$B,0)),"")</f>
        <v/>
      </c>
      <c r="O126" s="36" t="str">
        <f aca="false">IF(AND(ISNUMBER(N126),OR(ISNUMBER(G126),ISNUMBER(K126))),IF(MIN(IF(ISNUMBER(G126),G126,10^9),IF(ISNUMBER(K126),K126,10^9))&lt;N126,"YES","no"),"")</f>
        <v/>
      </c>
      <c r="P126" s="44"/>
      <c r="Q126" s="44"/>
    </row>
    <row r="127" customFormat="false" ht="15" hidden="false" customHeight="false" outlineLevel="0" collapsed="false">
      <c r="A127" s="45"/>
      <c r="B127" s="44"/>
      <c r="C127" s="44"/>
      <c r="D127" s="44"/>
      <c r="E127" s="44"/>
      <c r="F127" s="44"/>
      <c r="G127" s="44"/>
      <c r="H127" s="44"/>
      <c r="I127" s="44"/>
      <c r="J127" s="44"/>
      <c r="K127" s="44"/>
      <c r="L127" s="44"/>
      <c r="M127" s="44"/>
      <c r="N127" s="20" t="str">
        <f aca="false">IFERROR(INDEX('Lift Inputs'!$H:$H,MATCH(D127,'Lift Inputs'!$B:$B,0)),"")</f>
        <v/>
      </c>
      <c r="O127" s="36" t="str">
        <f aca="false">IF(AND(ISNUMBER(N127),OR(ISNUMBER(G127),ISNUMBER(K127))),IF(MIN(IF(ISNUMBER(G127),G127,10^9),IF(ISNUMBER(K127),K127,10^9))&lt;N127,"YES","no"),"")</f>
        <v/>
      </c>
      <c r="P127" s="44"/>
      <c r="Q127" s="44"/>
    </row>
    <row r="128" customFormat="false" ht="15" hidden="false" customHeight="false" outlineLevel="0" collapsed="false">
      <c r="A128" s="45"/>
      <c r="B128" s="44"/>
      <c r="C128" s="44"/>
      <c r="D128" s="44"/>
      <c r="E128" s="44"/>
      <c r="F128" s="44"/>
      <c r="G128" s="44"/>
      <c r="H128" s="44"/>
      <c r="I128" s="44"/>
      <c r="J128" s="44"/>
      <c r="K128" s="44"/>
      <c r="L128" s="44"/>
      <c r="M128" s="44"/>
      <c r="N128" s="20" t="str">
        <f aca="false">IFERROR(INDEX('Lift Inputs'!$H:$H,MATCH(D128,'Lift Inputs'!$B:$B,0)),"")</f>
        <v/>
      </c>
      <c r="O128" s="36" t="str">
        <f aca="false">IF(AND(ISNUMBER(N128),OR(ISNUMBER(G128),ISNUMBER(K128))),IF(MIN(IF(ISNUMBER(G128),G128,10^9),IF(ISNUMBER(K128),K128,10^9))&lt;N128,"YES","no"),"")</f>
        <v/>
      </c>
      <c r="P128" s="44"/>
      <c r="Q128" s="44"/>
    </row>
    <row r="129" customFormat="false" ht="15" hidden="false" customHeight="false" outlineLevel="0" collapsed="false">
      <c r="A129" s="45"/>
      <c r="B129" s="44"/>
      <c r="C129" s="44"/>
      <c r="D129" s="44"/>
      <c r="E129" s="44"/>
      <c r="F129" s="44"/>
      <c r="G129" s="44"/>
      <c r="H129" s="44"/>
      <c r="I129" s="44"/>
      <c r="J129" s="44"/>
      <c r="K129" s="44"/>
      <c r="L129" s="44"/>
      <c r="M129" s="44"/>
      <c r="N129" s="20" t="str">
        <f aca="false">IFERROR(INDEX('Lift Inputs'!$H:$H,MATCH(D129,'Lift Inputs'!$B:$B,0)),"")</f>
        <v/>
      </c>
      <c r="O129" s="36" t="str">
        <f aca="false">IF(AND(ISNUMBER(N129),OR(ISNUMBER(G129),ISNUMBER(K129))),IF(MIN(IF(ISNUMBER(G129),G129,10^9),IF(ISNUMBER(K129),K129,10^9))&lt;N129,"YES","no"),"")</f>
        <v/>
      </c>
      <c r="P129" s="44"/>
      <c r="Q129" s="44"/>
    </row>
    <row r="130" customFormat="false" ht="15" hidden="false" customHeight="false" outlineLevel="0" collapsed="false">
      <c r="A130" s="45"/>
      <c r="B130" s="44"/>
      <c r="C130" s="44"/>
      <c r="D130" s="44"/>
      <c r="E130" s="44"/>
      <c r="F130" s="44"/>
      <c r="G130" s="44"/>
      <c r="H130" s="44"/>
      <c r="I130" s="44"/>
      <c r="J130" s="44"/>
      <c r="K130" s="44"/>
      <c r="L130" s="44"/>
      <c r="M130" s="44"/>
      <c r="N130" s="20" t="str">
        <f aca="false">IFERROR(INDEX('Lift Inputs'!$H:$H,MATCH(D130,'Lift Inputs'!$B:$B,0)),"")</f>
        <v/>
      </c>
      <c r="O130" s="36" t="str">
        <f aca="false">IF(AND(ISNUMBER(N130),OR(ISNUMBER(G130),ISNUMBER(K130))),IF(MIN(IF(ISNUMBER(G130),G130,10^9),IF(ISNUMBER(K130),K130,10^9))&lt;N130,"YES","no"),"")</f>
        <v/>
      </c>
      <c r="P130" s="44"/>
      <c r="Q130" s="44"/>
    </row>
    <row r="131" customFormat="false" ht="15" hidden="false" customHeight="false" outlineLevel="0" collapsed="false">
      <c r="A131" s="45"/>
      <c r="B131" s="44"/>
      <c r="C131" s="44"/>
      <c r="D131" s="44"/>
      <c r="E131" s="44"/>
      <c r="F131" s="44"/>
      <c r="G131" s="44"/>
      <c r="H131" s="44"/>
      <c r="I131" s="44"/>
      <c r="J131" s="44"/>
      <c r="K131" s="44"/>
      <c r="L131" s="44"/>
      <c r="M131" s="44"/>
      <c r="N131" s="20" t="str">
        <f aca="false">IFERROR(INDEX('Lift Inputs'!$H:$H,MATCH(D131,'Lift Inputs'!$B:$B,0)),"")</f>
        <v/>
      </c>
      <c r="O131" s="36" t="str">
        <f aca="false">IF(AND(ISNUMBER(N131),OR(ISNUMBER(G131),ISNUMBER(K131))),IF(MIN(IF(ISNUMBER(G131),G131,10^9),IF(ISNUMBER(K131),K131,10^9))&lt;N131,"YES","no"),"")</f>
        <v/>
      </c>
      <c r="P131" s="44"/>
      <c r="Q131" s="44"/>
    </row>
    <row r="132" customFormat="false" ht="15" hidden="false" customHeight="false" outlineLevel="0" collapsed="false">
      <c r="A132" s="45"/>
      <c r="B132" s="44"/>
      <c r="C132" s="44"/>
      <c r="D132" s="44"/>
      <c r="E132" s="44"/>
      <c r="F132" s="44"/>
      <c r="G132" s="44"/>
      <c r="H132" s="44"/>
      <c r="I132" s="44"/>
      <c r="J132" s="44"/>
      <c r="K132" s="44"/>
      <c r="L132" s="44"/>
      <c r="M132" s="44"/>
      <c r="N132" s="20" t="str">
        <f aca="false">IFERROR(INDEX('Lift Inputs'!$H:$H,MATCH(D132,'Lift Inputs'!$B:$B,0)),"")</f>
        <v/>
      </c>
      <c r="O132" s="36" t="str">
        <f aca="false">IF(AND(ISNUMBER(N132),OR(ISNUMBER(G132),ISNUMBER(K132))),IF(MIN(IF(ISNUMBER(G132),G132,10^9),IF(ISNUMBER(K132),K132,10^9))&lt;N132,"YES","no"),"")</f>
        <v/>
      </c>
      <c r="P132" s="44"/>
      <c r="Q132" s="44"/>
    </row>
    <row r="133" customFormat="false" ht="15" hidden="false" customHeight="false" outlineLevel="0" collapsed="false">
      <c r="A133" s="45"/>
      <c r="B133" s="44"/>
      <c r="C133" s="44"/>
      <c r="D133" s="44"/>
      <c r="E133" s="44"/>
      <c r="F133" s="44"/>
      <c r="G133" s="44"/>
      <c r="H133" s="44"/>
      <c r="I133" s="44"/>
      <c r="J133" s="44"/>
      <c r="K133" s="44"/>
      <c r="L133" s="44"/>
      <c r="M133" s="44"/>
      <c r="N133" s="20" t="str">
        <f aca="false">IFERROR(INDEX('Lift Inputs'!$H:$H,MATCH(D133,'Lift Inputs'!$B:$B,0)),"")</f>
        <v/>
      </c>
      <c r="O133" s="36" t="str">
        <f aca="false">IF(AND(ISNUMBER(N133),OR(ISNUMBER(G133),ISNUMBER(K133))),IF(MIN(IF(ISNUMBER(G133),G133,10^9),IF(ISNUMBER(K133),K133,10^9))&lt;N133,"YES","no"),"")</f>
        <v/>
      </c>
      <c r="P133" s="44"/>
      <c r="Q133" s="44"/>
    </row>
    <row r="134" customFormat="false" ht="15" hidden="false" customHeight="false" outlineLevel="0" collapsed="false">
      <c r="A134" s="45"/>
      <c r="B134" s="44"/>
      <c r="C134" s="44"/>
      <c r="D134" s="44"/>
      <c r="E134" s="44"/>
      <c r="F134" s="44"/>
      <c r="G134" s="44"/>
      <c r="H134" s="44"/>
      <c r="I134" s="44"/>
      <c r="J134" s="44"/>
      <c r="K134" s="44"/>
      <c r="L134" s="44"/>
      <c r="M134" s="44"/>
      <c r="N134" s="20" t="str">
        <f aca="false">IFERROR(INDEX('Lift Inputs'!$H:$H,MATCH(D134,'Lift Inputs'!$B:$B,0)),"")</f>
        <v/>
      </c>
      <c r="O134" s="36" t="str">
        <f aca="false">IF(AND(ISNUMBER(N134),OR(ISNUMBER(G134),ISNUMBER(K134))),IF(MIN(IF(ISNUMBER(G134),G134,10^9),IF(ISNUMBER(K134),K134,10^9))&lt;N134,"YES","no"),"")</f>
        <v/>
      </c>
      <c r="P134" s="44"/>
      <c r="Q134" s="44"/>
    </row>
    <row r="135" customFormat="false" ht="15" hidden="false" customHeight="false" outlineLevel="0" collapsed="false">
      <c r="A135" s="45"/>
      <c r="B135" s="44"/>
      <c r="C135" s="44"/>
      <c r="D135" s="44"/>
      <c r="E135" s="44"/>
      <c r="F135" s="44"/>
      <c r="G135" s="44"/>
      <c r="H135" s="44"/>
      <c r="I135" s="44"/>
      <c r="J135" s="44"/>
      <c r="K135" s="44"/>
      <c r="L135" s="44"/>
      <c r="M135" s="44"/>
      <c r="N135" s="20" t="str">
        <f aca="false">IFERROR(INDEX('Lift Inputs'!$H:$H,MATCH(D135,'Lift Inputs'!$B:$B,0)),"")</f>
        <v/>
      </c>
      <c r="O135" s="36" t="str">
        <f aca="false">IF(AND(ISNUMBER(N135),OR(ISNUMBER(G135),ISNUMBER(K135))),IF(MIN(IF(ISNUMBER(G135),G135,10^9),IF(ISNUMBER(K135),K135,10^9))&lt;N135,"YES","no"),"")</f>
        <v/>
      </c>
      <c r="P135" s="44"/>
      <c r="Q135" s="44"/>
    </row>
    <row r="136" customFormat="false" ht="15" hidden="false" customHeight="false" outlineLevel="0" collapsed="false">
      <c r="A136" s="45"/>
      <c r="B136" s="44"/>
      <c r="C136" s="44"/>
      <c r="D136" s="44"/>
      <c r="E136" s="44"/>
      <c r="F136" s="44"/>
      <c r="G136" s="44"/>
      <c r="H136" s="44"/>
      <c r="I136" s="44"/>
      <c r="J136" s="44"/>
      <c r="K136" s="44"/>
      <c r="L136" s="44"/>
      <c r="M136" s="44"/>
      <c r="N136" s="20" t="str">
        <f aca="false">IFERROR(INDEX('Lift Inputs'!$H:$H,MATCH(D136,'Lift Inputs'!$B:$B,0)),"")</f>
        <v/>
      </c>
      <c r="O136" s="36" t="str">
        <f aca="false">IF(AND(ISNUMBER(N136),OR(ISNUMBER(G136),ISNUMBER(K136))),IF(MIN(IF(ISNUMBER(G136),G136,10^9),IF(ISNUMBER(K136),K136,10^9))&lt;N136,"YES","no"),"")</f>
        <v/>
      </c>
      <c r="P136" s="44"/>
      <c r="Q136" s="44"/>
    </row>
    <row r="137" customFormat="false" ht="15" hidden="false" customHeight="false" outlineLevel="0" collapsed="false">
      <c r="A137" s="45"/>
      <c r="B137" s="44"/>
      <c r="C137" s="44"/>
      <c r="D137" s="44"/>
      <c r="E137" s="44"/>
      <c r="F137" s="44"/>
      <c r="G137" s="44"/>
      <c r="H137" s="44"/>
      <c r="I137" s="44"/>
      <c r="J137" s="44"/>
      <c r="K137" s="44"/>
      <c r="L137" s="44"/>
      <c r="M137" s="44"/>
      <c r="N137" s="20" t="str">
        <f aca="false">IFERROR(INDEX('Lift Inputs'!$H:$H,MATCH(D137,'Lift Inputs'!$B:$B,0)),"")</f>
        <v/>
      </c>
      <c r="O137" s="36" t="str">
        <f aca="false">IF(AND(ISNUMBER(N137),OR(ISNUMBER(G137),ISNUMBER(K137))),IF(MIN(IF(ISNUMBER(G137),G137,10^9),IF(ISNUMBER(K137),K137,10^9))&lt;N137,"YES","no"),"")</f>
        <v/>
      </c>
      <c r="P137" s="44"/>
      <c r="Q137" s="44"/>
    </row>
    <row r="138" customFormat="false" ht="15" hidden="false" customHeight="false" outlineLevel="0" collapsed="false">
      <c r="A138" s="45"/>
      <c r="B138" s="44"/>
      <c r="C138" s="44"/>
      <c r="D138" s="44"/>
      <c r="E138" s="44"/>
      <c r="F138" s="44"/>
      <c r="G138" s="44"/>
      <c r="H138" s="44"/>
      <c r="I138" s="44"/>
      <c r="J138" s="44"/>
      <c r="K138" s="44"/>
      <c r="L138" s="44"/>
      <c r="M138" s="44"/>
      <c r="N138" s="20" t="str">
        <f aca="false">IFERROR(INDEX('Lift Inputs'!$H:$H,MATCH(D138,'Lift Inputs'!$B:$B,0)),"")</f>
        <v/>
      </c>
      <c r="O138" s="36" t="str">
        <f aca="false">IF(AND(ISNUMBER(N138),OR(ISNUMBER(G138),ISNUMBER(K138))),IF(MIN(IF(ISNUMBER(G138),G138,10^9),IF(ISNUMBER(K138),K138,10^9))&lt;N138,"YES","no"),"")</f>
        <v/>
      </c>
      <c r="P138" s="44"/>
      <c r="Q138" s="44"/>
    </row>
    <row r="139" customFormat="false" ht="15" hidden="false" customHeight="false" outlineLevel="0" collapsed="false">
      <c r="A139" s="45"/>
      <c r="B139" s="44"/>
      <c r="C139" s="44"/>
      <c r="D139" s="44"/>
      <c r="E139" s="44"/>
      <c r="F139" s="44"/>
      <c r="G139" s="44"/>
      <c r="H139" s="44"/>
      <c r="I139" s="44"/>
      <c r="J139" s="44"/>
      <c r="K139" s="44"/>
      <c r="L139" s="44"/>
      <c r="M139" s="44"/>
      <c r="N139" s="20" t="str">
        <f aca="false">IFERROR(INDEX('Lift Inputs'!$H:$H,MATCH(D139,'Lift Inputs'!$B:$B,0)),"")</f>
        <v/>
      </c>
      <c r="O139" s="36" t="str">
        <f aca="false">IF(AND(ISNUMBER(N139),OR(ISNUMBER(G139),ISNUMBER(K139))),IF(MIN(IF(ISNUMBER(G139),G139,10^9),IF(ISNUMBER(K139),K139,10^9))&lt;N139,"YES","no"),"")</f>
        <v/>
      </c>
      <c r="P139" s="44"/>
      <c r="Q139" s="44"/>
    </row>
    <row r="140" customFormat="false" ht="15" hidden="false" customHeight="false" outlineLevel="0" collapsed="false">
      <c r="A140" s="45"/>
      <c r="B140" s="44"/>
      <c r="C140" s="44"/>
      <c r="D140" s="44"/>
      <c r="E140" s="44"/>
      <c r="F140" s="44"/>
      <c r="G140" s="44"/>
      <c r="H140" s="44"/>
      <c r="I140" s="44"/>
      <c r="J140" s="44"/>
      <c r="K140" s="44"/>
      <c r="L140" s="44"/>
      <c r="M140" s="44"/>
      <c r="N140" s="20" t="str">
        <f aca="false">IFERROR(INDEX('Lift Inputs'!$H:$H,MATCH(D140,'Lift Inputs'!$B:$B,0)),"")</f>
        <v/>
      </c>
      <c r="O140" s="36" t="str">
        <f aca="false">IF(AND(ISNUMBER(N140),OR(ISNUMBER(G140),ISNUMBER(K140))),IF(MIN(IF(ISNUMBER(G140),G140,10^9),IF(ISNUMBER(K140),K140,10^9))&lt;N140,"YES","no"),"")</f>
        <v/>
      </c>
      <c r="P140" s="44"/>
      <c r="Q140" s="44"/>
    </row>
    <row r="141" customFormat="false" ht="15" hidden="false" customHeight="false" outlineLevel="0" collapsed="false">
      <c r="A141" s="45"/>
      <c r="B141" s="44"/>
      <c r="C141" s="44"/>
      <c r="D141" s="44"/>
      <c r="E141" s="44"/>
      <c r="F141" s="44"/>
      <c r="G141" s="44"/>
      <c r="H141" s="44"/>
      <c r="I141" s="44"/>
      <c r="J141" s="44"/>
      <c r="K141" s="44"/>
      <c r="L141" s="44"/>
      <c r="M141" s="44"/>
      <c r="N141" s="20" t="str">
        <f aca="false">IFERROR(INDEX('Lift Inputs'!$H:$H,MATCH(D141,'Lift Inputs'!$B:$B,0)),"")</f>
        <v/>
      </c>
      <c r="O141" s="36" t="str">
        <f aca="false">IF(AND(ISNUMBER(N141),OR(ISNUMBER(G141),ISNUMBER(K141))),IF(MIN(IF(ISNUMBER(G141),G141,10^9),IF(ISNUMBER(K141),K141,10^9))&lt;N141,"YES","no"),"")</f>
        <v/>
      </c>
      <c r="P141" s="44"/>
      <c r="Q141" s="44"/>
    </row>
    <row r="142" customFormat="false" ht="15" hidden="false" customHeight="false" outlineLevel="0" collapsed="false">
      <c r="A142" s="45"/>
      <c r="B142" s="44"/>
      <c r="C142" s="44"/>
      <c r="D142" s="44"/>
      <c r="E142" s="44"/>
      <c r="F142" s="44"/>
      <c r="G142" s="44"/>
      <c r="H142" s="44"/>
      <c r="I142" s="44"/>
      <c r="J142" s="44"/>
      <c r="K142" s="44"/>
      <c r="L142" s="44"/>
      <c r="M142" s="44"/>
      <c r="N142" s="20" t="str">
        <f aca="false">IFERROR(INDEX('Lift Inputs'!$H:$H,MATCH(D142,'Lift Inputs'!$B:$B,0)),"")</f>
        <v/>
      </c>
      <c r="O142" s="36" t="str">
        <f aca="false">IF(AND(ISNUMBER(N142),OR(ISNUMBER(G142),ISNUMBER(K142))),IF(MIN(IF(ISNUMBER(G142),G142,10^9),IF(ISNUMBER(K142),K142,10^9))&lt;N142,"YES","no"),"")</f>
        <v/>
      </c>
      <c r="P142" s="44"/>
      <c r="Q142" s="44"/>
    </row>
    <row r="143" customFormat="false" ht="15" hidden="false" customHeight="false" outlineLevel="0" collapsed="false">
      <c r="A143" s="45"/>
      <c r="B143" s="44"/>
      <c r="C143" s="44"/>
      <c r="D143" s="44"/>
      <c r="E143" s="44"/>
      <c r="F143" s="44"/>
      <c r="G143" s="44"/>
      <c r="H143" s="44"/>
      <c r="I143" s="44"/>
      <c r="J143" s="44"/>
      <c r="K143" s="44"/>
      <c r="L143" s="44"/>
      <c r="M143" s="44"/>
      <c r="N143" s="20" t="str">
        <f aca="false">IFERROR(INDEX('Lift Inputs'!$H:$H,MATCH(D143,'Lift Inputs'!$B:$B,0)),"")</f>
        <v/>
      </c>
      <c r="O143" s="36" t="str">
        <f aca="false">IF(AND(ISNUMBER(N143),OR(ISNUMBER(G143),ISNUMBER(K143))),IF(MIN(IF(ISNUMBER(G143),G143,10^9),IF(ISNUMBER(K143),K143,10^9))&lt;N143,"YES","no"),"")</f>
        <v/>
      </c>
      <c r="P143" s="44"/>
      <c r="Q143" s="44"/>
    </row>
    <row r="144" customFormat="false" ht="15" hidden="false" customHeight="false" outlineLevel="0" collapsed="false">
      <c r="A144" s="45"/>
      <c r="B144" s="44"/>
      <c r="C144" s="44"/>
      <c r="D144" s="44"/>
      <c r="E144" s="44"/>
      <c r="F144" s="44"/>
      <c r="G144" s="44"/>
      <c r="H144" s="44"/>
      <c r="I144" s="44"/>
      <c r="J144" s="44"/>
      <c r="K144" s="44"/>
      <c r="L144" s="44"/>
      <c r="M144" s="44"/>
      <c r="N144" s="20" t="str">
        <f aca="false">IFERROR(INDEX('Lift Inputs'!$H:$H,MATCH(D144,'Lift Inputs'!$B:$B,0)),"")</f>
        <v/>
      </c>
      <c r="O144" s="36" t="str">
        <f aca="false">IF(AND(ISNUMBER(N144),OR(ISNUMBER(G144),ISNUMBER(K144))),IF(MIN(IF(ISNUMBER(G144),G144,10^9),IF(ISNUMBER(K144),K144,10^9))&lt;N144,"YES","no"),"")</f>
        <v/>
      </c>
      <c r="P144" s="44"/>
      <c r="Q144" s="44"/>
    </row>
    <row r="145" customFormat="false" ht="15" hidden="false" customHeight="false" outlineLevel="0" collapsed="false">
      <c r="A145" s="45"/>
      <c r="B145" s="44"/>
      <c r="C145" s="44"/>
      <c r="D145" s="44"/>
      <c r="E145" s="44"/>
      <c r="F145" s="44"/>
      <c r="G145" s="44"/>
      <c r="H145" s="44"/>
      <c r="I145" s="44"/>
      <c r="J145" s="44"/>
      <c r="K145" s="44"/>
      <c r="L145" s="44"/>
      <c r="M145" s="44"/>
      <c r="N145" s="20" t="str">
        <f aca="false">IFERROR(INDEX('Lift Inputs'!$H:$H,MATCH(D145,'Lift Inputs'!$B:$B,0)),"")</f>
        <v/>
      </c>
      <c r="O145" s="36" t="str">
        <f aca="false">IF(AND(ISNUMBER(N145),OR(ISNUMBER(G145),ISNUMBER(K145))),IF(MIN(IF(ISNUMBER(G145),G145,10^9),IF(ISNUMBER(K145),K145,10^9))&lt;N145,"YES","no"),"")</f>
        <v/>
      </c>
      <c r="P145" s="44"/>
      <c r="Q145" s="44"/>
    </row>
    <row r="146" customFormat="false" ht="15" hidden="false" customHeight="false" outlineLevel="0" collapsed="false">
      <c r="A146" s="45"/>
      <c r="B146" s="44"/>
      <c r="C146" s="44"/>
      <c r="D146" s="44"/>
      <c r="E146" s="44"/>
      <c r="F146" s="44"/>
      <c r="G146" s="44"/>
      <c r="H146" s="44"/>
      <c r="I146" s="44"/>
      <c r="J146" s="44"/>
      <c r="K146" s="44"/>
      <c r="L146" s="44"/>
      <c r="M146" s="44"/>
      <c r="N146" s="20" t="str">
        <f aca="false">IFERROR(INDEX('Lift Inputs'!$H:$H,MATCH(D146,'Lift Inputs'!$B:$B,0)),"")</f>
        <v/>
      </c>
      <c r="O146" s="36" t="str">
        <f aca="false">IF(AND(ISNUMBER(N146),OR(ISNUMBER(G146),ISNUMBER(K146))),IF(MIN(IF(ISNUMBER(G146),G146,10^9),IF(ISNUMBER(K146),K146,10^9))&lt;N146,"YES","no"),"")</f>
        <v/>
      </c>
      <c r="P146" s="44"/>
      <c r="Q146" s="44"/>
    </row>
    <row r="147" customFormat="false" ht="15" hidden="false" customHeight="false" outlineLevel="0" collapsed="false">
      <c r="A147" s="45"/>
      <c r="B147" s="44"/>
      <c r="C147" s="44"/>
      <c r="D147" s="44"/>
      <c r="E147" s="44"/>
      <c r="F147" s="44"/>
      <c r="G147" s="44"/>
      <c r="H147" s="44"/>
      <c r="I147" s="44"/>
      <c r="J147" s="44"/>
      <c r="K147" s="44"/>
      <c r="L147" s="44"/>
      <c r="M147" s="44"/>
      <c r="N147" s="20" t="str">
        <f aca="false">IFERROR(INDEX('Lift Inputs'!$H:$H,MATCH(D147,'Lift Inputs'!$B:$B,0)),"")</f>
        <v/>
      </c>
      <c r="O147" s="36" t="str">
        <f aca="false">IF(AND(ISNUMBER(N147),OR(ISNUMBER(G147),ISNUMBER(K147))),IF(MIN(IF(ISNUMBER(G147),G147,10^9),IF(ISNUMBER(K147),K147,10^9))&lt;N147,"YES","no"),"")</f>
        <v/>
      </c>
      <c r="P147" s="44"/>
      <c r="Q147" s="44"/>
    </row>
    <row r="148" customFormat="false" ht="15" hidden="false" customHeight="false" outlineLevel="0" collapsed="false">
      <c r="A148" s="45"/>
      <c r="B148" s="44"/>
      <c r="C148" s="44"/>
      <c r="D148" s="44"/>
      <c r="E148" s="44"/>
      <c r="F148" s="44"/>
      <c r="G148" s="44"/>
      <c r="H148" s="44"/>
      <c r="I148" s="44"/>
      <c r="J148" s="44"/>
      <c r="K148" s="44"/>
      <c r="L148" s="44"/>
      <c r="M148" s="44"/>
      <c r="N148" s="20" t="str">
        <f aca="false">IFERROR(INDEX('Lift Inputs'!$H:$H,MATCH(D148,'Lift Inputs'!$B:$B,0)),"")</f>
        <v/>
      </c>
      <c r="O148" s="36" t="str">
        <f aca="false">IF(AND(ISNUMBER(N148),OR(ISNUMBER(G148),ISNUMBER(K148))),IF(MIN(IF(ISNUMBER(G148),G148,10^9),IF(ISNUMBER(K148),K148,10^9))&lt;N148,"YES","no"),"")</f>
        <v/>
      </c>
      <c r="P148" s="44"/>
      <c r="Q148" s="44"/>
    </row>
    <row r="149" customFormat="false" ht="15" hidden="false" customHeight="false" outlineLevel="0" collapsed="false">
      <c r="A149" s="45"/>
      <c r="B149" s="44"/>
      <c r="C149" s="44"/>
      <c r="D149" s="44"/>
      <c r="E149" s="44"/>
      <c r="F149" s="44"/>
      <c r="G149" s="44"/>
      <c r="H149" s="44"/>
      <c r="I149" s="44"/>
      <c r="J149" s="44"/>
      <c r="K149" s="44"/>
      <c r="L149" s="44"/>
      <c r="M149" s="44"/>
      <c r="N149" s="20" t="str">
        <f aca="false">IFERROR(INDEX('Lift Inputs'!$H:$H,MATCH(D149,'Lift Inputs'!$B:$B,0)),"")</f>
        <v/>
      </c>
      <c r="O149" s="36" t="str">
        <f aca="false">IF(AND(ISNUMBER(N149),OR(ISNUMBER(G149),ISNUMBER(K149))),IF(MIN(IF(ISNUMBER(G149),G149,10^9),IF(ISNUMBER(K149),K149,10^9))&lt;N149,"YES","no"),"")</f>
        <v/>
      </c>
      <c r="P149" s="44"/>
      <c r="Q149" s="44"/>
    </row>
    <row r="150" customFormat="false" ht="15" hidden="false" customHeight="false" outlineLevel="0" collapsed="false">
      <c r="A150" s="45"/>
      <c r="B150" s="44"/>
      <c r="C150" s="44"/>
      <c r="D150" s="44"/>
      <c r="E150" s="44"/>
      <c r="F150" s="44"/>
      <c r="G150" s="44"/>
      <c r="H150" s="44"/>
      <c r="I150" s="44"/>
      <c r="J150" s="44"/>
      <c r="K150" s="44"/>
      <c r="L150" s="44"/>
      <c r="M150" s="44"/>
      <c r="N150" s="20" t="str">
        <f aca="false">IFERROR(INDEX('Lift Inputs'!$H:$H,MATCH(D150,'Lift Inputs'!$B:$B,0)),"")</f>
        <v/>
      </c>
      <c r="O150" s="36" t="str">
        <f aca="false">IF(AND(ISNUMBER(N150),OR(ISNUMBER(G150),ISNUMBER(K150))),IF(MIN(IF(ISNUMBER(G150),G150,10^9),IF(ISNUMBER(K150),K150,10^9))&lt;N150,"YES","no"),"")</f>
        <v/>
      </c>
      <c r="P150" s="44"/>
      <c r="Q150" s="44"/>
    </row>
    <row r="151" customFormat="false" ht="15" hidden="false" customHeight="false" outlineLevel="0" collapsed="false">
      <c r="A151" s="45"/>
      <c r="B151" s="44"/>
      <c r="C151" s="44"/>
      <c r="D151" s="44"/>
      <c r="E151" s="44"/>
      <c r="F151" s="44"/>
      <c r="G151" s="44"/>
      <c r="H151" s="44"/>
      <c r="I151" s="44"/>
      <c r="J151" s="44"/>
      <c r="K151" s="44"/>
      <c r="L151" s="44"/>
      <c r="M151" s="44"/>
      <c r="N151" s="20" t="str">
        <f aca="false">IFERROR(INDEX('Lift Inputs'!$H:$H,MATCH(D151,'Lift Inputs'!$B:$B,0)),"")</f>
        <v/>
      </c>
      <c r="O151" s="36" t="str">
        <f aca="false">IF(AND(ISNUMBER(N151),OR(ISNUMBER(G151),ISNUMBER(K151))),IF(MIN(IF(ISNUMBER(G151),G151,10^9),IF(ISNUMBER(K151),K151,10^9))&lt;N151,"YES","no"),"")</f>
        <v/>
      </c>
      <c r="P151" s="44"/>
      <c r="Q151" s="44"/>
    </row>
    <row r="152" customFormat="false" ht="15" hidden="false" customHeight="false" outlineLevel="0" collapsed="false">
      <c r="A152" s="45"/>
      <c r="B152" s="44"/>
      <c r="C152" s="44"/>
      <c r="D152" s="44"/>
      <c r="E152" s="44"/>
      <c r="F152" s="44"/>
      <c r="G152" s="44"/>
      <c r="H152" s="44"/>
      <c r="I152" s="44"/>
      <c r="J152" s="44"/>
      <c r="K152" s="44"/>
      <c r="L152" s="44"/>
      <c r="M152" s="44"/>
      <c r="N152" s="20" t="str">
        <f aca="false">IFERROR(INDEX('Lift Inputs'!$H:$H,MATCH(D152,'Lift Inputs'!$B:$B,0)),"")</f>
        <v/>
      </c>
      <c r="O152" s="36" t="str">
        <f aca="false">IF(AND(ISNUMBER(N152),OR(ISNUMBER(G152),ISNUMBER(K152))),IF(MIN(IF(ISNUMBER(G152),G152,10^9),IF(ISNUMBER(K152),K152,10^9))&lt;N152,"YES","no"),"")</f>
        <v/>
      </c>
      <c r="P152" s="44"/>
      <c r="Q152" s="44"/>
    </row>
    <row r="153" customFormat="false" ht="15" hidden="false" customHeight="false" outlineLevel="0" collapsed="false">
      <c r="A153" s="45"/>
      <c r="B153" s="44"/>
      <c r="C153" s="44"/>
      <c r="D153" s="44"/>
      <c r="E153" s="44"/>
      <c r="F153" s="44"/>
      <c r="G153" s="44"/>
      <c r="H153" s="44"/>
      <c r="I153" s="44"/>
      <c r="J153" s="44"/>
      <c r="K153" s="44"/>
      <c r="L153" s="44"/>
      <c r="M153" s="44"/>
      <c r="N153" s="20" t="str">
        <f aca="false">IFERROR(INDEX('Lift Inputs'!$H:$H,MATCH(D153,'Lift Inputs'!$B:$B,0)),"")</f>
        <v/>
      </c>
      <c r="O153" s="36" t="str">
        <f aca="false">IF(AND(ISNUMBER(N153),OR(ISNUMBER(G153),ISNUMBER(K153))),IF(MIN(IF(ISNUMBER(G153),G153,10^9),IF(ISNUMBER(K153),K153,10^9))&lt;N153,"YES","no"),"")</f>
        <v/>
      </c>
      <c r="P153" s="44"/>
      <c r="Q153" s="44"/>
    </row>
    <row r="154" customFormat="false" ht="15" hidden="false" customHeight="false" outlineLevel="0" collapsed="false">
      <c r="A154" s="45"/>
      <c r="B154" s="44"/>
      <c r="C154" s="44"/>
      <c r="D154" s="44"/>
      <c r="E154" s="44"/>
      <c r="F154" s="44"/>
      <c r="G154" s="44"/>
      <c r="H154" s="44"/>
      <c r="I154" s="44"/>
      <c r="J154" s="44"/>
      <c r="K154" s="44"/>
      <c r="L154" s="44"/>
      <c r="M154" s="44"/>
      <c r="N154" s="20" t="str">
        <f aca="false">IFERROR(INDEX('Lift Inputs'!$H:$H,MATCH(D154,'Lift Inputs'!$B:$B,0)),"")</f>
        <v/>
      </c>
      <c r="O154" s="36" t="str">
        <f aca="false">IF(AND(ISNUMBER(N154),OR(ISNUMBER(G154),ISNUMBER(K154))),IF(MIN(IF(ISNUMBER(G154),G154,10^9),IF(ISNUMBER(K154),K154,10^9))&lt;N154,"YES","no"),"")</f>
        <v/>
      </c>
      <c r="P154" s="44"/>
      <c r="Q154" s="44"/>
    </row>
    <row r="155" customFormat="false" ht="15" hidden="false" customHeight="false" outlineLevel="0" collapsed="false">
      <c r="A155" s="45"/>
      <c r="B155" s="44"/>
      <c r="C155" s="44"/>
      <c r="D155" s="44"/>
      <c r="E155" s="44"/>
      <c r="F155" s="44"/>
      <c r="G155" s="44"/>
      <c r="H155" s="44"/>
      <c r="I155" s="44"/>
      <c r="J155" s="44"/>
      <c r="K155" s="44"/>
      <c r="L155" s="44"/>
      <c r="M155" s="44"/>
      <c r="N155" s="20" t="str">
        <f aca="false">IFERROR(INDEX('Lift Inputs'!$H:$H,MATCH(D155,'Lift Inputs'!$B:$B,0)),"")</f>
        <v/>
      </c>
      <c r="O155" s="36" t="str">
        <f aca="false">IF(AND(ISNUMBER(N155),OR(ISNUMBER(G155),ISNUMBER(K155))),IF(MIN(IF(ISNUMBER(G155),G155,10^9),IF(ISNUMBER(K155),K155,10^9))&lt;N155,"YES","no"),"")</f>
        <v/>
      </c>
      <c r="P155" s="44"/>
      <c r="Q155" s="44"/>
    </row>
    <row r="156" customFormat="false" ht="15" hidden="false" customHeight="false" outlineLevel="0" collapsed="false">
      <c r="A156" s="45"/>
      <c r="B156" s="44"/>
      <c r="C156" s="44"/>
      <c r="D156" s="44"/>
      <c r="E156" s="44"/>
      <c r="F156" s="44"/>
      <c r="G156" s="44"/>
      <c r="H156" s="44"/>
      <c r="I156" s="44"/>
      <c r="J156" s="44"/>
      <c r="K156" s="44"/>
      <c r="L156" s="44"/>
      <c r="M156" s="44"/>
      <c r="N156" s="20" t="str">
        <f aca="false">IFERROR(INDEX('Lift Inputs'!$H:$H,MATCH(D156,'Lift Inputs'!$B:$B,0)),"")</f>
        <v/>
      </c>
      <c r="O156" s="36" t="str">
        <f aca="false">IF(AND(ISNUMBER(N156),OR(ISNUMBER(G156),ISNUMBER(K156))),IF(MIN(IF(ISNUMBER(G156),G156,10^9),IF(ISNUMBER(K156),K156,10^9))&lt;N156,"YES","no"),"")</f>
        <v/>
      </c>
      <c r="P156" s="44"/>
      <c r="Q156" s="44"/>
    </row>
    <row r="157" customFormat="false" ht="15" hidden="false" customHeight="false" outlineLevel="0" collapsed="false">
      <c r="A157" s="45"/>
      <c r="B157" s="44"/>
      <c r="C157" s="44"/>
      <c r="D157" s="44"/>
      <c r="E157" s="44"/>
      <c r="F157" s="44"/>
      <c r="G157" s="44"/>
      <c r="H157" s="44"/>
      <c r="I157" s="44"/>
      <c r="J157" s="44"/>
      <c r="K157" s="44"/>
      <c r="L157" s="44"/>
      <c r="M157" s="44"/>
      <c r="N157" s="20" t="str">
        <f aca="false">IFERROR(INDEX('Lift Inputs'!$H:$H,MATCH(D157,'Lift Inputs'!$B:$B,0)),"")</f>
        <v/>
      </c>
      <c r="O157" s="36" t="str">
        <f aca="false">IF(AND(ISNUMBER(N157),OR(ISNUMBER(G157),ISNUMBER(K157))),IF(MIN(IF(ISNUMBER(G157),G157,10^9),IF(ISNUMBER(K157),K157,10^9))&lt;N157,"YES","no"),"")</f>
        <v/>
      </c>
      <c r="P157" s="44"/>
      <c r="Q157" s="44"/>
    </row>
    <row r="158" customFormat="false" ht="15" hidden="false" customHeight="false" outlineLevel="0" collapsed="false">
      <c r="A158" s="45"/>
      <c r="B158" s="44"/>
      <c r="C158" s="44"/>
      <c r="D158" s="44"/>
      <c r="E158" s="44"/>
      <c r="F158" s="44"/>
      <c r="G158" s="44"/>
      <c r="H158" s="44"/>
      <c r="I158" s="44"/>
      <c r="J158" s="44"/>
      <c r="K158" s="44"/>
      <c r="L158" s="44"/>
      <c r="M158" s="44"/>
      <c r="N158" s="20" t="str">
        <f aca="false">IFERROR(INDEX('Lift Inputs'!$H:$H,MATCH(D158,'Lift Inputs'!$B:$B,0)),"")</f>
        <v/>
      </c>
      <c r="O158" s="36" t="str">
        <f aca="false">IF(AND(ISNUMBER(N158),OR(ISNUMBER(G158),ISNUMBER(K158))),IF(MIN(IF(ISNUMBER(G158),G158,10^9),IF(ISNUMBER(K158),K158,10^9))&lt;N158,"YES","no"),"")</f>
        <v/>
      </c>
      <c r="P158" s="44"/>
      <c r="Q158" s="44"/>
    </row>
    <row r="159" customFormat="false" ht="15" hidden="false" customHeight="false" outlineLevel="0" collapsed="false">
      <c r="A159" s="45"/>
      <c r="B159" s="44"/>
      <c r="C159" s="44"/>
      <c r="D159" s="44"/>
      <c r="E159" s="44"/>
      <c r="F159" s="44"/>
      <c r="G159" s="44"/>
      <c r="H159" s="44"/>
      <c r="I159" s="44"/>
      <c r="J159" s="44"/>
      <c r="K159" s="44"/>
      <c r="L159" s="44"/>
      <c r="M159" s="44"/>
      <c r="N159" s="20" t="str">
        <f aca="false">IFERROR(INDEX('Lift Inputs'!$H:$H,MATCH(D159,'Lift Inputs'!$B:$B,0)),"")</f>
        <v/>
      </c>
      <c r="O159" s="36" t="str">
        <f aca="false">IF(AND(ISNUMBER(N159),OR(ISNUMBER(G159),ISNUMBER(K159))),IF(MIN(IF(ISNUMBER(G159),G159,10^9),IF(ISNUMBER(K159),K159,10^9))&lt;N159,"YES","no"),"")</f>
        <v/>
      </c>
      <c r="P159" s="44"/>
      <c r="Q159" s="44"/>
    </row>
    <row r="160" customFormat="false" ht="15" hidden="false" customHeight="false" outlineLevel="0" collapsed="false">
      <c r="A160" s="45"/>
      <c r="B160" s="44"/>
      <c r="C160" s="44"/>
      <c r="D160" s="44"/>
      <c r="E160" s="44"/>
      <c r="F160" s="44"/>
      <c r="G160" s="44"/>
      <c r="H160" s="44"/>
      <c r="I160" s="44"/>
      <c r="J160" s="44"/>
      <c r="K160" s="44"/>
      <c r="L160" s="44"/>
      <c r="M160" s="44"/>
      <c r="N160" s="20" t="str">
        <f aca="false">IFERROR(INDEX('Lift Inputs'!$H:$H,MATCH(D160,'Lift Inputs'!$B:$B,0)),"")</f>
        <v/>
      </c>
      <c r="O160" s="36" t="str">
        <f aca="false">IF(AND(ISNUMBER(N160),OR(ISNUMBER(G160),ISNUMBER(K160))),IF(MIN(IF(ISNUMBER(G160),G160,10^9),IF(ISNUMBER(K160),K160,10^9))&lt;N160,"YES","no"),"")</f>
        <v/>
      </c>
      <c r="P160" s="44"/>
      <c r="Q160" s="44"/>
    </row>
    <row r="161" customFormat="false" ht="15" hidden="false" customHeight="false" outlineLevel="0" collapsed="false">
      <c r="A161" s="45"/>
      <c r="B161" s="44"/>
      <c r="C161" s="44"/>
      <c r="D161" s="44"/>
      <c r="E161" s="44"/>
      <c r="F161" s="44"/>
      <c r="G161" s="44"/>
      <c r="H161" s="44"/>
      <c r="I161" s="44"/>
      <c r="J161" s="44"/>
      <c r="K161" s="44"/>
      <c r="L161" s="44"/>
      <c r="M161" s="44"/>
      <c r="N161" s="20" t="str">
        <f aca="false">IFERROR(INDEX('Lift Inputs'!$H:$H,MATCH(D161,'Lift Inputs'!$B:$B,0)),"")</f>
        <v/>
      </c>
      <c r="O161" s="36" t="str">
        <f aca="false">IF(AND(ISNUMBER(N161),OR(ISNUMBER(G161),ISNUMBER(K161))),IF(MIN(IF(ISNUMBER(G161),G161,10^9),IF(ISNUMBER(K161),K161,10^9))&lt;N161,"YES","no"),"")</f>
        <v/>
      </c>
      <c r="P161" s="44"/>
      <c r="Q161" s="44"/>
    </row>
    <row r="162" customFormat="false" ht="15" hidden="false" customHeight="false" outlineLevel="0" collapsed="false">
      <c r="A162" s="45"/>
      <c r="B162" s="44"/>
      <c r="C162" s="44"/>
      <c r="D162" s="44"/>
      <c r="E162" s="44"/>
      <c r="F162" s="44"/>
      <c r="G162" s="44"/>
      <c r="H162" s="44"/>
      <c r="I162" s="44"/>
      <c r="J162" s="44"/>
      <c r="K162" s="44"/>
      <c r="L162" s="44"/>
      <c r="M162" s="44"/>
      <c r="N162" s="20" t="str">
        <f aca="false">IFERROR(INDEX('Lift Inputs'!$H:$H,MATCH(D162,'Lift Inputs'!$B:$B,0)),"")</f>
        <v/>
      </c>
      <c r="O162" s="36" t="str">
        <f aca="false">IF(AND(ISNUMBER(N162),OR(ISNUMBER(G162),ISNUMBER(K162))),IF(MIN(IF(ISNUMBER(G162),G162,10^9),IF(ISNUMBER(K162),K162,10^9))&lt;N162,"YES","no"),"")</f>
        <v/>
      </c>
      <c r="P162" s="44"/>
      <c r="Q162" s="44"/>
    </row>
    <row r="163" customFormat="false" ht="15" hidden="false" customHeight="false" outlineLevel="0" collapsed="false">
      <c r="A163" s="45"/>
      <c r="B163" s="44"/>
      <c r="C163" s="44"/>
      <c r="D163" s="44"/>
      <c r="E163" s="44"/>
      <c r="F163" s="44"/>
      <c r="G163" s="44"/>
      <c r="H163" s="44"/>
      <c r="I163" s="44"/>
      <c r="J163" s="44"/>
      <c r="K163" s="44"/>
      <c r="L163" s="44"/>
      <c r="M163" s="44"/>
      <c r="N163" s="20" t="str">
        <f aca="false">IFERROR(INDEX('Lift Inputs'!$H:$H,MATCH(D163,'Lift Inputs'!$B:$B,0)),"")</f>
        <v/>
      </c>
      <c r="O163" s="36" t="str">
        <f aca="false">IF(AND(ISNUMBER(N163),OR(ISNUMBER(G163),ISNUMBER(K163))),IF(MIN(IF(ISNUMBER(G163),G163,10^9),IF(ISNUMBER(K163),K163,10^9))&lt;N163,"YES","no"),"")</f>
        <v/>
      </c>
      <c r="P163" s="44"/>
      <c r="Q163" s="44"/>
    </row>
    <row r="164" customFormat="false" ht="15" hidden="false" customHeight="false" outlineLevel="0" collapsed="false">
      <c r="A164" s="45"/>
      <c r="B164" s="44"/>
      <c r="C164" s="44"/>
      <c r="D164" s="44"/>
      <c r="E164" s="44"/>
      <c r="F164" s="44"/>
      <c r="G164" s="44"/>
      <c r="H164" s="44"/>
      <c r="I164" s="44"/>
      <c r="J164" s="44"/>
      <c r="K164" s="44"/>
      <c r="L164" s="44"/>
      <c r="M164" s="44"/>
      <c r="N164" s="20" t="str">
        <f aca="false">IFERROR(INDEX('Lift Inputs'!$H:$H,MATCH(D164,'Lift Inputs'!$B:$B,0)),"")</f>
        <v/>
      </c>
      <c r="O164" s="36" t="str">
        <f aca="false">IF(AND(ISNUMBER(N164),OR(ISNUMBER(G164),ISNUMBER(K164))),IF(MIN(IF(ISNUMBER(G164),G164,10^9),IF(ISNUMBER(K164),K164,10^9))&lt;N164,"YES","no"),"")</f>
        <v/>
      </c>
      <c r="P164" s="44"/>
      <c r="Q164" s="44"/>
    </row>
    <row r="165" customFormat="false" ht="15" hidden="false" customHeight="false" outlineLevel="0" collapsed="false">
      <c r="A165" s="45"/>
      <c r="B165" s="44"/>
      <c r="C165" s="44"/>
      <c r="D165" s="44"/>
      <c r="E165" s="44"/>
      <c r="F165" s="44"/>
      <c r="G165" s="44"/>
      <c r="H165" s="44"/>
      <c r="I165" s="44"/>
      <c r="J165" s="44"/>
      <c r="K165" s="44"/>
      <c r="L165" s="44"/>
      <c r="M165" s="44"/>
      <c r="N165" s="20" t="str">
        <f aca="false">IFERROR(INDEX('Lift Inputs'!$H:$H,MATCH(D165,'Lift Inputs'!$B:$B,0)),"")</f>
        <v/>
      </c>
      <c r="O165" s="36" t="str">
        <f aca="false">IF(AND(ISNUMBER(N165),OR(ISNUMBER(G165),ISNUMBER(K165))),IF(MIN(IF(ISNUMBER(G165),G165,10^9),IF(ISNUMBER(K165),K165,10^9))&lt;N165,"YES","no"),"")</f>
        <v/>
      </c>
      <c r="P165" s="44"/>
      <c r="Q165" s="44"/>
    </row>
    <row r="166" customFormat="false" ht="15" hidden="false" customHeight="false" outlineLevel="0" collapsed="false">
      <c r="A166" s="45"/>
      <c r="B166" s="44"/>
      <c r="C166" s="44"/>
      <c r="D166" s="44"/>
      <c r="E166" s="44"/>
      <c r="F166" s="44"/>
      <c r="G166" s="44"/>
      <c r="H166" s="44"/>
      <c r="I166" s="44"/>
      <c r="J166" s="44"/>
      <c r="K166" s="44"/>
      <c r="L166" s="44"/>
      <c r="M166" s="44"/>
      <c r="N166" s="20" t="str">
        <f aca="false">IFERROR(INDEX('Lift Inputs'!$H:$H,MATCH(D166,'Lift Inputs'!$B:$B,0)),"")</f>
        <v/>
      </c>
      <c r="O166" s="36" t="str">
        <f aca="false">IF(AND(ISNUMBER(N166),OR(ISNUMBER(G166),ISNUMBER(K166))),IF(MIN(IF(ISNUMBER(G166),G166,10^9),IF(ISNUMBER(K166),K166,10^9))&lt;N166,"YES","no"),"")</f>
        <v/>
      </c>
      <c r="P166" s="44"/>
      <c r="Q166" s="44"/>
    </row>
    <row r="167" customFormat="false" ht="15" hidden="false" customHeight="false" outlineLevel="0" collapsed="false">
      <c r="A167" s="45"/>
      <c r="B167" s="44"/>
      <c r="C167" s="44"/>
      <c r="D167" s="44"/>
      <c r="E167" s="44"/>
      <c r="F167" s="44"/>
      <c r="G167" s="44"/>
      <c r="H167" s="44"/>
      <c r="I167" s="44"/>
      <c r="J167" s="44"/>
      <c r="K167" s="44"/>
      <c r="L167" s="44"/>
      <c r="M167" s="44"/>
      <c r="N167" s="20" t="str">
        <f aca="false">IFERROR(INDEX('Lift Inputs'!$H:$H,MATCH(D167,'Lift Inputs'!$B:$B,0)),"")</f>
        <v/>
      </c>
      <c r="O167" s="36" t="str">
        <f aca="false">IF(AND(ISNUMBER(N167),OR(ISNUMBER(G167),ISNUMBER(K167))),IF(MIN(IF(ISNUMBER(G167),G167,10^9),IF(ISNUMBER(K167),K167,10^9))&lt;N167,"YES","no"),"")</f>
        <v/>
      </c>
      <c r="P167" s="44"/>
      <c r="Q167" s="44"/>
    </row>
    <row r="168" customFormat="false" ht="15" hidden="false" customHeight="false" outlineLevel="0" collapsed="false">
      <c r="A168" s="45"/>
      <c r="B168" s="44"/>
      <c r="C168" s="44"/>
      <c r="D168" s="44"/>
      <c r="E168" s="44"/>
      <c r="F168" s="44"/>
      <c r="G168" s="44"/>
      <c r="H168" s="44"/>
      <c r="I168" s="44"/>
      <c r="J168" s="44"/>
      <c r="K168" s="44"/>
      <c r="L168" s="44"/>
      <c r="M168" s="44"/>
      <c r="N168" s="20" t="str">
        <f aca="false">IFERROR(INDEX('Lift Inputs'!$H:$H,MATCH(D168,'Lift Inputs'!$B:$B,0)),"")</f>
        <v/>
      </c>
      <c r="O168" s="36" t="str">
        <f aca="false">IF(AND(ISNUMBER(N168),OR(ISNUMBER(G168),ISNUMBER(K168))),IF(MIN(IF(ISNUMBER(G168),G168,10^9),IF(ISNUMBER(K168),K168,10^9))&lt;N168,"YES","no"),"")</f>
        <v/>
      </c>
      <c r="P168" s="44"/>
      <c r="Q168" s="44"/>
    </row>
    <row r="169" customFormat="false" ht="15" hidden="false" customHeight="false" outlineLevel="0" collapsed="false">
      <c r="A169" s="45"/>
      <c r="B169" s="44"/>
      <c r="C169" s="44"/>
      <c r="D169" s="44"/>
      <c r="E169" s="44"/>
      <c r="F169" s="44"/>
      <c r="G169" s="44"/>
      <c r="H169" s="44"/>
      <c r="I169" s="44"/>
      <c r="J169" s="44"/>
      <c r="K169" s="44"/>
      <c r="L169" s="44"/>
      <c r="M169" s="44"/>
      <c r="N169" s="20" t="str">
        <f aca="false">IFERROR(INDEX('Lift Inputs'!$H:$H,MATCH(D169,'Lift Inputs'!$B:$B,0)),"")</f>
        <v/>
      </c>
      <c r="O169" s="36" t="str">
        <f aca="false">IF(AND(ISNUMBER(N169),OR(ISNUMBER(G169),ISNUMBER(K169))),IF(MIN(IF(ISNUMBER(G169),G169,10^9),IF(ISNUMBER(K169),K169,10^9))&lt;N169,"YES","no"),"")</f>
        <v/>
      </c>
      <c r="P169" s="44"/>
      <c r="Q169" s="44"/>
    </row>
    <row r="170" customFormat="false" ht="15" hidden="false" customHeight="false" outlineLevel="0" collapsed="false">
      <c r="A170" s="45"/>
      <c r="B170" s="44"/>
      <c r="C170" s="44"/>
      <c r="D170" s="44"/>
      <c r="E170" s="44"/>
      <c r="F170" s="44"/>
      <c r="G170" s="44"/>
      <c r="H170" s="44"/>
      <c r="I170" s="44"/>
      <c r="J170" s="44"/>
      <c r="K170" s="44"/>
      <c r="L170" s="44"/>
      <c r="M170" s="44"/>
      <c r="N170" s="20" t="str">
        <f aca="false">IFERROR(INDEX('Lift Inputs'!$H:$H,MATCH(D170,'Lift Inputs'!$B:$B,0)),"")</f>
        <v/>
      </c>
      <c r="O170" s="36" t="str">
        <f aca="false">IF(AND(ISNUMBER(N170),OR(ISNUMBER(G170),ISNUMBER(K170))),IF(MIN(IF(ISNUMBER(G170),G170,10^9),IF(ISNUMBER(K170),K170,10^9))&lt;N170,"YES","no"),"")</f>
        <v/>
      </c>
      <c r="P170" s="44"/>
      <c r="Q170" s="44"/>
    </row>
    <row r="171" customFormat="false" ht="15" hidden="false" customHeight="false" outlineLevel="0" collapsed="false">
      <c r="A171" s="45"/>
      <c r="B171" s="44"/>
      <c r="C171" s="44"/>
      <c r="D171" s="44"/>
      <c r="E171" s="44"/>
      <c r="F171" s="44"/>
      <c r="G171" s="44"/>
      <c r="H171" s="44"/>
      <c r="I171" s="44"/>
      <c r="J171" s="44"/>
      <c r="K171" s="44"/>
      <c r="L171" s="44"/>
      <c r="M171" s="44"/>
      <c r="N171" s="20" t="str">
        <f aca="false">IFERROR(INDEX('Lift Inputs'!$H:$H,MATCH(D171,'Lift Inputs'!$B:$B,0)),"")</f>
        <v/>
      </c>
      <c r="O171" s="36" t="str">
        <f aca="false">IF(AND(ISNUMBER(N171),OR(ISNUMBER(G171),ISNUMBER(K171))),IF(MIN(IF(ISNUMBER(G171),G171,10^9),IF(ISNUMBER(K171),K171,10^9))&lt;N171,"YES","no"),"")</f>
        <v/>
      </c>
      <c r="P171" s="44"/>
      <c r="Q171" s="44"/>
    </row>
    <row r="172" customFormat="false" ht="15" hidden="false" customHeight="false" outlineLevel="0" collapsed="false">
      <c r="A172" s="45"/>
      <c r="B172" s="44"/>
      <c r="C172" s="44"/>
      <c r="D172" s="44"/>
      <c r="E172" s="44"/>
      <c r="F172" s="44"/>
      <c r="G172" s="44"/>
      <c r="H172" s="44"/>
      <c r="I172" s="44"/>
      <c r="J172" s="44"/>
      <c r="K172" s="44"/>
      <c r="L172" s="44"/>
      <c r="M172" s="44"/>
      <c r="N172" s="20" t="str">
        <f aca="false">IFERROR(INDEX('Lift Inputs'!$H:$H,MATCH(D172,'Lift Inputs'!$B:$B,0)),"")</f>
        <v/>
      </c>
      <c r="O172" s="36" t="str">
        <f aca="false">IF(AND(ISNUMBER(N172),OR(ISNUMBER(G172),ISNUMBER(K172))),IF(MIN(IF(ISNUMBER(G172),G172,10^9),IF(ISNUMBER(K172),K172,10^9))&lt;N172,"YES","no"),"")</f>
        <v/>
      </c>
      <c r="P172" s="44"/>
      <c r="Q172" s="44"/>
    </row>
    <row r="173" customFormat="false" ht="15" hidden="false" customHeight="false" outlineLevel="0" collapsed="false">
      <c r="A173" s="45"/>
      <c r="B173" s="44"/>
      <c r="C173" s="44"/>
      <c r="D173" s="44"/>
      <c r="E173" s="44"/>
      <c r="F173" s="44"/>
      <c r="G173" s="44"/>
      <c r="H173" s="44"/>
      <c r="I173" s="44"/>
      <c r="J173" s="44"/>
      <c r="K173" s="44"/>
      <c r="L173" s="44"/>
      <c r="M173" s="44"/>
      <c r="N173" s="20" t="str">
        <f aca="false">IFERROR(INDEX('Lift Inputs'!$H:$H,MATCH(D173,'Lift Inputs'!$B:$B,0)),"")</f>
        <v/>
      </c>
      <c r="O173" s="36" t="str">
        <f aca="false">IF(AND(ISNUMBER(N173),OR(ISNUMBER(G173),ISNUMBER(K173))),IF(MIN(IF(ISNUMBER(G173),G173,10^9),IF(ISNUMBER(K173),K173,10^9))&lt;N173,"YES","no"),"")</f>
        <v/>
      </c>
      <c r="P173" s="44"/>
      <c r="Q173" s="44"/>
    </row>
    <row r="174" customFormat="false" ht="15" hidden="false" customHeight="false" outlineLevel="0" collapsed="false">
      <c r="A174" s="45"/>
      <c r="B174" s="44"/>
      <c r="C174" s="44"/>
      <c r="D174" s="44"/>
      <c r="E174" s="44"/>
      <c r="F174" s="44"/>
      <c r="G174" s="44"/>
      <c r="H174" s="44"/>
      <c r="I174" s="44"/>
      <c r="J174" s="44"/>
      <c r="K174" s="44"/>
      <c r="L174" s="44"/>
      <c r="M174" s="44"/>
      <c r="N174" s="20" t="str">
        <f aca="false">IFERROR(INDEX('Lift Inputs'!$H:$H,MATCH(D174,'Lift Inputs'!$B:$B,0)),"")</f>
        <v/>
      </c>
      <c r="O174" s="36" t="str">
        <f aca="false">IF(AND(ISNUMBER(N174),OR(ISNUMBER(G174),ISNUMBER(K174))),IF(MIN(IF(ISNUMBER(G174),G174,10^9),IF(ISNUMBER(K174),K174,10^9))&lt;N174,"YES","no"),"")</f>
        <v/>
      </c>
      <c r="P174" s="44"/>
      <c r="Q174" s="44"/>
    </row>
    <row r="175" customFormat="false" ht="15" hidden="false" customHeight="false" outlineLevel="0" collapsed="false">
      <c r="A175" s="45"/>
      <c r="B175" s="44"/>
      <c r="C175" s="44"/>
      <c r="D175" s="44"/>
      <c r="E175" s="44"/>
      <c r="F175" s="44"/>
      <c r="G175" s="44"/>
      <c r="H175" s="44"/>
      <c r="I175" s="44"/>
      <c r="J175" s="44"/>
      <c r="K175" s="44"/>
      <c r="L175" s="44"/>
      <c r="M175" s="44"/>
      <c r="N175" s="20" t="str">
        <f aca="false">IFERROR(INDEX('Lift Inputs'!$H:$H,MATCH(D175,'Lift Inputs'!$B:$B,0)),"")</f>
        <v/>
      </c>
      <c r="O175" s="36" t="str">
        <f aca="false">IF(AND(ISNUMBER(N175),OR(ISNUMBER(G175),ISNUMBER(K175))),IF(MIN(IF(ISNUMBER(G175),G175,10^9),IF(ISNUMBER(K175),K175,10^9))&lt;N175,"YES","no"),"")</f>
        <v/>
      </c>
      <c r="P175" s="44"/>
      <c r="Q175" s="44"/>
    </row>
    <row r="176" customFormat="false" ht="15" hidden="false" customHeight="false" outlineLevel="0" collapsed="false">
      <c r="A176" s="45"/>
      <c r="B176" s="44"/>
      <c r="C176" s="44"/>
      <c r="D176" s="44"/>
      <c r="E176" s="44"/>
      <c r="F176" s="44"/>
      <c r="G176" s="44"/>
      <c r="H176" s="44"/>
      <c r="I176" s="44"/>
      <c r="J176" s="44"/>
      <c r="K176" s="44"/>
      <c r="L176" s="44"/>
      <c r="M176" s="44"/>
      <c r="N176" s="20" t="str">
        <f aca="false">IFERROR(INDEX('Lift Inputs'!$H:$H,MATCH(D176,'Lift Inputs'!$B:$B,0)),"")</f>
        <v/>
      </c>
      <c r="O176" s="36" t="str">
        <f aca="false">IF(AND(ISNUMBER(N176),OR(ISNUMBER(G176),ISNUMBER(K176))),IF(MIN(IF(ISNUMBER(G176),G176,10^9),IF(ISNUMBER(K176),K176,10^9))&lt;N176,"YES","no"),"")</f>
        <v/>
      </c>
      <c r="P176" s="44"/>
      <c r="Q176" s="44"/>
    </row>
    <row r="177" customFormat="false" ht="15" hidden="false" customHeight="false" outlineLevel="0" collapsed="false">
      <c r="A177" s="45"/>
      <c r="B177" s="44"/>
      <c r="C177" s="44"/>
      <c r="D177" s="44"/>
      <c r="E177" s="44"/>
      <c r="F177" s="44"/>
      <c r="G177" s="44"/>
      <c r="H177" s="44"/>
      <c r="I177" s="44"/>
      <c r="J177" s="44"/>
      <c r="K177" s="44"/>
      <c r="L177" s="44"/>
      <c r="M177" s="44"/>
      <c r="N177" s="20" t="str">
        <f aca="false">IFERROR(INDEX('Lift Inputs'!$H:$H,MATCH(D177,'Lift Inputs'!$B:$B,0)),"")</f>
        <v/>
      </c>
      <c r="O177" s="36" t="str">
        <f aca="false">IF(AND(ISNUMBER(N177),OR(ISNUMBER(G177),ISNUMBER(K177))),IF(MIN(IF(ISNUMBER(G177),G177,10^9),IF(ISNUMBER(K177),K177,10^9))&lt;N177,"YES","no"),"")</f>
        <v/>
      </c>
      <c r="P177" s="44"/>
      <c r="Q177" s="44"/>
    </row>
    <row r="178" customFormat="false" ht="15" hidden="false" customHeight="false" outlineLevel="0" collapsed="false">
      <c r="A178" s="45"/>
      <c r="B178" s="44"/>
      <c r="C178" s="44"/>
      <c r="D178" s="44"/>
      <c r="E178" s="44"/>
      <c r="F178" s="44"/>
      <c r="G178" s="44"/>
      <c r="H178" s="44"/>
      <c r="I178" s="44"/>
      <c r="J178" s="44"/>
      <c r="K178" s="44"/>
      <c r="L178" s="44"/>
      <c r="M178" s="44"/>
      <c r="N178" s="20" t="str">
        <f aca="false">IFERROR(INDEX('Lift Inputs'!$H:$H,MATCH(D178,'Lift Inputs'!$B:$B,0)),"")</f>
        <v/>
      </c>
      <c r="O178" s="36" t="str">
        <f aca="false">IF(AND(ISNUMBER(N178),OR(ISNUMBER(G178),ISNUMBER(K178))),IF(MIN(IF(ISNUMBER(G178),G178,10^9),IF(ISNUMBER(K178),K178,10^9))&lt;N178,"YES","no"),"")</f>
        <v/>
      </c>
      <c r="P178" s="44"/>
      <c r="Q178" s="44"/>
    </row>
    <row r="179" customFormat="false" ht="15" hidden="false" customHeight="false" outlineLevel="0" collapsed="false">
      <c r="A179" s="45"/>
      <c r="B179" s="44"/>
      <c r="C179" s="44"/>
      <c r="D179" s="44"/>
      <c r="E179" s="44"/>
      <c r="F179" s="44"/>
      <c r="G179" s="44"/>
      <c r="H179" s="44"/>
      <c r="I179" s="44"/>
      <c r="J179" s="44"/>
      <c r="K179" s="44"/>
      <c r="L179" s="44"/>
      <c r="M179" s="44"/>
      <c r="N179" s="20" t="str">
        <f aca="false">IFERROR(INDEX('Lift Inputs'!$H:$H,MATCH(D179,'Lift Inputs'!$B:$B,0)),"")</f>
        <v/>
      </c>
      <c r="O179" s="36" t="str">
        <f aca="false">IF(AND(ISNUMBER(N179),OR(ISNUMBER(G179),ISNUMBER(K179))),IF(MIN(IF(ISNUMBER(G179),G179,10^9),IF(ISNUMBER(K179),K179,10^9))&lt;N179,"YES","no"),"")</f>
        <v/>
      </c>
      <c r="P179" s="44"/>
      <c r="Q179" s="44"/>
    </row>
    <row r="180" customFormat="false" ht="15" hidden="false" customHeight="false" outlineLevel="0" collapsed="false">
      <c r="A180" s="45"/>
      <c r="B180" s="44"/>
      <c r="C180" s="44"/>
      <c r="D180" s="44"/>
      <c r="E180" s="44"/>
      <c r="F180" s="44"/>
      <c r="G180" s="44"/>
      <c r="H180" s="44"/>
      <c r="I180" s="44"/>
      <c r="J180" s="44"/>
      <c r="K180" s="44"/>
      <c r="L180" s="44"/>
      <c r="M180" s="44"/>
      <c r="N180" s="20" t="str">
        <f aca="false">IFERROR(INDEX('Lift Inputs'!$H:$H,MATCH(D180,'Lift Inputs'!$B:$B,0)),"")</f>
        <v/>
      </c>
      <c r="O180" s="36" t="str">
        <f aca="false">IF(AND(ISNUMBER(N180),OR(ISNUMBER(G180),ISNUMBER(K180))),IF(MIN(IF(ISNUMBER(G180),G180,10^9),IF(ISNUMBER(K180),K180,10^9))&lt;N180,"YES","no"),"")</f>
        <v/>
      </c>
      <c r="P180" s="44"/>
      <c r="Q180" s="44"/>
    </row>
    <row r="181" customFormat="false" ht="15" hidden="false" customHeight="false" outlineLevel="0" collapsed="false">
      <c r="A181" s="45"/>
      <c r="B181" s="44"/>
      <c r="C181" s="44"/>
      <c r="D181" s="44"/>
      <c r="E181" s="44"/>
      <c r="F181" s="44"/>
      <c r="G181" s="44"/>
      <c r="H181" s="44"/>
      <c r="I181" s="44"/>
      <c r="J181" s="44"/>
      <c r="K181" s="44"/>
      <c r="L181" s="44"/>
      <c r="M181" s="44"/>
      <c r="N181" s="20" t="str">
        <f aca="false">IFERROR(INDEX('Lift Inputs'!$H:$H,MATCH(D181,'Lift Inputs'!$B:$B,0)),"")</f>
        <v/>
      </c>
      <c r="O181" s="36" t="str">
        <f aca="false">IF(AND(ISNUMBER(N181),OR(ISNUMBER(G181),ISNUMBER(K181))),IF(MIN(IF(ISNUMBER(G181),G181,10^9),IF(ISNUMBER(K181),K181,10^9))&lt;N181,"YES","no"),"")</f>
        <v/>
      </c>
      <c r="P181" s="44"/>
      <c r="Q181" s="44"/>
    </row>
    <row r="182" customFormat="false" ht="15" hidden="false" customHeight="false" outlineLevel="0" collapsed="false">
      <c r="A182" s="45"/>
      <c r="B182" s="44"/>
      <c r="C182" s="44"/>
      <c r="D182" s="44"/>
      <c r="E182" s="44"/>
      <c r="F182" s="44"/>
      <c r="G182" s="44"/>
      <c r="H182" s="44"/>
      <c r="I182" s="44"/>
      <c r="J182" s="44"/>
      <c r="K182" s="44"/>
      <c r="L182" s="44"/>
      <c r="M182" s="44"/>
      <c r="N182" s="20" t="str">
        <f aca="false">IFERROR(INDEX('Lift Inputs'!$H:$H,MATCH(D182,'Lift Inputs'!$B:$B,0)),"")</f>
        <v/>
      </c>
      <c r="O182" s="36" t="str">
        <f aca="false">IF(AND(ISNUMBER(N182),OR(ISNUMBER(G182),ISNUMBER(K182))),IF(MIN(IF(ISNUMBER(G182),G182,10^9),IF(ISNUMBER(K182),K182,10^9))&lt;N182,"YES","no"),"")</f>
        <v/>
      </c>
      <c r="P182" s="44"/>
      <c r="Q182" s="44"/>
    </row>
    <row r="183" customFormat="false" ht="15" hidden="false" customHeight="false" outlineLevel="0" collapsed="false">
      <c r="A183" s="45"/>
      <c r="B183" s="44"/>
      <c r="C183" s="44"/>
      <c r="D183" s="44"/>
      <c r="E183" s="44"/>
      <c r="F183" s="44"/>
      <c r="G183" s="44"/>
      <c r="H183" s="44"/>
      <c r="I183" s="44"/>
      <c r="J183" s="44"/>
      <c r="K183" s="44"/>
      <c r="L183" s="44"/>
      <c r="M183" s="44"/>
      <c r="N183" s="20" t="str">
        <f aca="false">IFERROR(INDEX('Lift Inputs'!$H:$H,MATCH(D183,'Lift Inputs'!$B:$B,0)),"")</f>
        <v/>
      </c>
      <c r="O183" s="36" t="str">
        <f aca="false">IF(AND(ISNUMBER(N183),OR(ISNUMBER(G183),ISNUMBER(K183))),IF(MIN(IF(ISNUMBER(G183),G183,10^9),IF(ISNUMBER(K183),K183,10^9))&lt;N183,"YES","no"),"")</f>
        <v/>
      </c>
      <c r="P183" s="44"/>
      <c r="Q183" s="44"/>
    </row>
    <row r="184" customFormat="false" ht="15" hidden="false" customHeight="false" outlineLevel="0" collapsed="false">
      <c r="A184" s="45"/>
      <c r="B184" s="44"/>
      <c r="C184" s="44"/>
      <c r="D184" s="44"/>
      <c r="E184" s="44"/>
      <c r="F184" s="44"/>
      <c r="G184" s="44"/>
      <c r="H184" s="44"/>
      <c r="I184" s="44"/>
      <c r="J184" s="44"/>
      <c r="K184" s="44"/>
      <c r="L184" s="44"/>
      <c r="M184" s="44"/>
      <c r="N184" s="20" t="str">
        <f aca="false">IFERROR(INDEX('Lift Inputs'!$H:$H,MATCH(D184,'Lift Inputs'!$B:$B,0)),"")</f>
        <v/>
      </c>
      <c r="O184" s="36" t="str">
        <f aca="false">IF(AND(ISNUMBER(N184),OR(ISNUMBER(G184),ISNUMBER(K184))),IF(MIN(IF(ISNUMBER(G184),G184,10^9),IF(ISNUMBER(K184),K184,10^9))&lt;N184,"YES","no"),"")</f>
        <v/>
      </c>
      <c r="P184" s="44"/>
      <c r="Q184" s="44"/>
    </row>
    <row r="185" customFormat="false" ht="15" hidden="false" customHeight="false" outlineLevel="0" collapsed="false">
      <c r="A185" s="45"/>
      <c r="B185" s="44"/>
      <c r="C185" s="44"/>
      <c r="D185" s="44"/>
      <c r="E185" s="44"/>
      <c r="F185" s="44"/>
      <c r="G185" s="44"/>
      <c r="H185" s="44"/>
      <c r="I185" s="44"/>
      <c r="J185" s="44"/>
      <c r="K185" s="44"/>
      <c r="L185" s="44"/>
      <c r="M185" s="44"/>
      <c r="N185" s="20" t="str">
        <f aca="false">IFERROR(INDEX('Lift Inputs'!$H:$H,MATCH(D185,'Lift Inputs'!$B:$B,0)),"")</f>
        <v/>
      </c>
      <c r="O185" s="36" t="str">
        <f aca="false">IF(AND(ISNUMBER(N185),OR(ISNUMBER(G185),ISNUMBER(K185))),IF(MIN(IF(ISNUMBER(G185),G185,10^9),IF(ISNUMBER(K185),K185,10^9))&lt;N185,"YES","no"),"")</f>
        <v/>
      </c>
      <c r="P185" s="44"/>
      <c r="Q185" s="44"/>
    </row>
    <row r="186" customFormat="false" ht="15" hidden="false" customHeight="false" outlineLevel="0" collapsed="false">
      <c r="A186" s="45"/>
      <c r="B186" s="44"/>
      <c r="C186" s="44"/>
      <c r="D186" s="44"/>
      <c r="E186" s="44"/>
      <c r="F186" s="44"/>
      <c r="G186" s="44"/>
      <c r="H186" s="44"/>
      <c r="I186" s="44"/>
      <c r="J186" s="44"/>
      <c r="K186" s="44"/>
      <c r="L186" s="44"/>
      <c r="M186" s="44"/>
      <c r="N186" s="20" t="str">
        <f aca="false">IFERROR(INDEX('Lift Inputs'!$H:$H,MATCH(D186,'Lift Inputs'!$B:$B,0)),"")</f>
        <v/>
      </c>
      <c r="O186" s="36" t="str">
        <f aca="false">IF(AND(ISNUMBER(N186),OR(ISNUMBER(G186),ISNUMBER(K186))),IF(MIN(IF(ISNUMBER(G186),G186,10^9),IF(ISNUMBER(K186),K186,10^9))&lt;N186,"YES","no"),"")</f>
        <v/>
      </c>
      <c r="P186" s="44"/>
      <c r="Q186" s="44"/>
    </row>
    <row r="187" customFormat="false" ht="15" hidden="false" customHeight="false" outlineLevel="0" collapsed="false">
      <c r="A187" s="45"/>
      <c r="B187" s="44"/>
      <c r="C187" s="44"/>
      <c r="D187" s="44"/>
      <c r="E187" s="44"/>
      <c r="F187" s="44"/>
      <c r="G187" s="44"/>
      <c r="H187" s="44"/>
      <c r="I187" s="44"/>
      <c r="J187" s="44"/>
      <c r="K187" s="44"/>
      <c r="L187" s="44"/>
      <c r="M187" s="44"/>
      <c r="N187" s="20" t="str">
        <f aca="false">IFERROR(INDEX('Lift Inputs'!$H:$H,MATCH(D187,'Lift Inputs'!$B:$B,0)),"")</f>
        <v/>
      </c>
      <c r="O187" s="36" t="str">
        <f aca="false">IF(AND(ISNUMBER(N187),OR(ISNUMBER(G187),ISNUMBER(K187))),IF(MIN(IF(ISNUMBER(G187),G187,10^9),IF(ISNUMBER(K187),K187,10^9))&lt;N187,"YES","no"),"")</f>
        <v/>
      </c>
      <c r="P187" s="44"/>
      <c r="Q187" s="44"/>
    </row>
    <row r="188" customFormat="false" ht="15" hidden="false" customHeight="false" outlineLevel="0" collapsed="false">
      <c r="A188" s="45"/>
      <c r="B188" s="44"/>
      <c r="C188" s="44"/>
      <c r="D188" s="44"/>
      <c r="E188" s="44"/>
      <c r="F188" s="44"/>
      <c r="G188" s="44"/>
      <c r="H188" s="44"/>
      <c r="I188" s="44"/>
      <c r="J188" s="44"/>
      <c r="K188" s="44"/>
      <c r="L188" s="44"/>
      <c r="M188" s="44"/>
      <c r="N188" s="20" t="str">
        <f aca="false">IFERROR(INDEX('Lift Inputs'!$H:$H,MATCH(D188,'Lift Inputs'!$B:$B,0)),"")</f>
        <v/>
      </c>
      <c r="O188" s="36" t="str">
        <f aca="false">IF(AND(ISNUMBER(N188),OR(ISNUMBER(G188),ISNUMBER(K188))),IF(MIN(IF(ISNUMBER(G188),G188,10^9),IF(ISNUMBER(K188),K188,10^9))&lt;N188,"YES","no"),"")</f>
        <v/>
      </c>
      <c r="P188" s="44"/>
      <c r="Q188" s="44"/>
    </row>
    <row r="189" customFormat="false" ht="15" hidden="false" customHeight="false" outlineLevel="0" collapsed="false">
      <c r="A189" s="45"/>
      <c r="B189" s="44"/>
      <c r="C189" s="44"/>
      <c r="D189" s="44"/>
      <c r="E189" s="44"/>
      <c r="F189" s="44"/>
      <c r="G189" s="44"/>
      <c r="H189" s="44"/>
      <c r="I189" s="44"/>
      <c r="J189" s="44"/>
      <c r="K189" s="44"/>
      <c r="L189" s="44"/>
      <c r="M189" s="44"/>
      <c r="N189" s="20" t="str">
        <f aca="false">IFERROR(INDEX('Lift Inputs'!$H:$H,MATCH(D189,'Lift Inputs'!$B:$B,0)),"")</f>
        <v/>
      </c>
      <c r="O189" s="36" t="str">
        <f aca="false">IF(AND(ISNUMBER(N189),OR(ISNUMBER(G189),ISNUMBER(K189))),IF(MIN(IF(ISNUMBER(G189),G189,10^9),IF(ISNUMBER(K189),K189,10^9))&lt;N189,"YES","no"),"")</f>
        <v/>
      </c>
      <c r="P189" s="44"/>
      <c r="Q189" s="44"/>
    </row>
    <row r="190" customFormat="false" ht="15" hidden="false" customHeight="false" outlineLevel="0" collapsed="false">
      <c r="A190" s="45"/>
      <c r="B190" s="44"/>
      <c r="C190" s="44"/>
      <c r="D190" s="44"/>
      <c r="E190" s="44"/>
      <c r="F190" s="44"/>
      <c r="G190" s="44"/>
      <c r="H190" s="44"/>
      <c r="I190" s="44"/>
      <c r="J190" s="44"/>
      <c r="K190" s="44"/>
      <c r="L190" s="44"/>
      <c r="M190" s="44"/>
      <c r="N190" s="20" t="str">
        <f aca="false">IFERROR(INDEX('Lift Inputs'!$H:$H,MATCH(D190,'Lift Inputs'!$B:$B,0)),"")</f>
        <v/>
      </c>
      <c r="O190" s="36" t="str">
        <f aca="false">IF(AND(ISNUMBER(N190),OR(ISNUMBER(G190),ISNUMBER(K190))),IF(MIN(IF(ISNUMBER(G190),G190,10^9),IF(ISNUMBER(K190),K190,10^9))&lt;N190,"YES","no"),"")</f>
        <v/>
      </c>
      <c r="P190" s="44"/>
      <c r="Q190" s="44"/>
    </row>
    <row r="191" customFormat="false" ht="15" hidden="false" customHeight="false" outlineLevel="0" collapsed="false">
      <c r="A191" s="45"/>
      <c r="B191" s="44"/>
      <c r="C191" s="44"/>
      <c r="D191" s="44"/>
      <c r="E191" s="44"/>
      <c r="F191" s="44"/>
      <c r="G191" s="44"/>
      <c r="H191" s="44"/>
      <c r="I191" s="44"/>
      <c r="J191" s="44"/>
      <c r="K191" s="44"/>
      <c r="L191" s="44"/>
      <c r="M191" s="44"/>
      <c r="N191" s="20" t="str">
        <f aca="false">IFERROR(INDEX('Lift Inputs'!$H:$H,MATCH(D191,'Lift Inputs'!$B:$B,0)),"")</f>
        <v/>
      </c>
      <c r="O191" s="36" t="str">
        <f aca="false">IF(AND(ISNUMBER(N191),OR(ISNUMBER(G191),ISNUMBER(K191))),IF(MIN(IF(ISNUMBER(G191),G191,10^9),IF(ISNUMBER(K191),K191,10^9))&lt;N191,"YES","no"),"")</f>
        <v/>
      </c>
      <c r="P191" s="44"/>
      <c r="Q191" s="44"/>
    </row>
    <row r="192" customFormat="false" ht="15" hidden="false" customHeight="false" outlineLevel="0" collapsed="false">
      <c r="A192" s="45"/>
      <c r="B192" s="44"/>
      <c r="C192" s="44"/>
      <c r="D192" s="44"/>
      <c r="E192" s="44"/>
      <c r="F192" s="44"/>
      <c r="G192" s="44"/>
      <c r="H192" s="44"/>
      <c r="I192" s="44"/>
      <c r="J192" s="44"/>
      <c r="K192" s="44"/>
      <c r="L192" s="44"/>
      <c r="M192" s="44"/>
      <c r="N192" s="20" t="str">
        <f aca="false">IFERROR(INDEX('Lift Inputs'!$H:$H,MATCH(D192,'Lift Inputs'!$B:$B,0)),"")</f>
        <v/>
      </c>
      <c r="O192" s="36" t="str">
        <f aca="false">IF(AND(ISNUMBER(N192),OR(ISNUMBER(G192),ISNUMBER(K192))),IF(MIN(IF(ISNUMBER(G192),G192,10^9),IF(ISNUMBER(K192),K192,10^9))&lt;N192,"YES","no"),"")</f>
        <v/>
      </c>
      <c r="P192" s="44"/>
      <c r="Q192" s="44"/>
    </row>
    <row r="193" customFormat="false" ht="15" hidden="false" customHeight="false" outlineLevel="0" collapsed="false">
      <c r="A193" s="45"/>
      <c r="B193" s="44"/>
      <c r="C193" s="44"/>
      <c r="D193" s="44"/>
      <c r="E193" s="44"/>
      <c r="F193" s="44"/>
      <c r="G193" s="44"/>
      <c r="H193" s="44"/>
      <c r="I193" s="44"/>
      <c r="J193" s="44"/>
      <c r="K193" s="44"/>
      <c r="L193" s="44"/>
      <c r="M193" s="44"/>
      <c r="N193" s="20" t="str">
        <f aca="false">IFERROR(INDEX('Lift Inputs'!$H:$H,MATCH(D193,'Lift Inputs'!$B:$B,0)),"")</f>
        <v/>
      </c>
      <c r="O193" s="36" t="str">
        <f aca="false">IF(AND(ISNUMBER(N193),OR(ISNUMBER(G193),ISNUMBER(K193))),IF(MIN(IF(ISNUMBER(G193),G193,10^9),IF(ISNUMBER(K193),K193,10^9))&lt;N193,"YES","no"),"")</f>
        <v/>
      </c>
      <c r="P193" s="44"/>
      <c r="Q193" s="44"/>
    </row>
    <row r="194" customFormat="false" ht="15" hidden="false" customHeight="false" outlineLevel="0" collapsed="false">
      <c r="A194" s="45"/>
      <c r="B194" s="44"/>
      <c r="C194" s="44"/>
      <c r="D194" s="44"/>
      <c r="E194" s="44"/>
      <c r="F194" s="44"/>
      <c r="G194" s="44"/>
      <c r="H194" s="44"/>
      <c r="I194" s="44"/>
      <c r="J194" s="44"/>
      <c r="K194" s="44"/>
      <c r="L194" s="44"/>
      <c r="M194" s="44"/>
      <c r="N194" s="20" t="str">
        <f aca="false">IFERROR(INDEX('Lift Inputs'!$H:$H,MATCH(D194,'Lift Inputs'!$B:$B,0)),"")</f>
        <v/>
      </c>
      <c r="O194" s="36" t="str">
        <f aca="false">IF(AND(ISNUMBER(N194),OR(ISNUMBER(G194),ISNUMBER(K194))),IF(MIN(IF(ISNUMBER(G194),G194,10^9),IF(ISNUMBER(K194),K194,10^9))&lt;N194,"YES","no"),"")</f>
        <v/>
      </c>
      <c r="P194" s="44"/>
      <c r="Q194" s="44"/>
    </row>
    <row r="195" customFormat="false" ht="15" hidden="false" customHeight="false" outlineLevel="0" collapsed="false">
      <c r="A195" s="45"/>
      <c r="B195" s="44"/>
      <c r="C195" s="44"/>
      <c r="D195" s="44"/>
      <c r="E195" s="44"/>
      <c r="F195" s="44"/>
      <c r="G195" s="44"/>
      <c r="H195" s="44"/>
      <c r="I195" s="44"/>
      <c r="J195" s="44"/>
      <c r="K195" s="44"/>
      <c r="L195" s="44"/>
      <c r="M195" s="44"/>
      <c r="N195" s="20" t="str">
        <f aca="false">IFERROR(INDEX('Lift Inputs'!$H:$H,MATCH(D195,'Lift Inputs'!$B:$B,0)),"")</f>
        <v/>
      </c>
      <c r="O195" s="36" t="str">
        <f aca="false">IF(AND(ISNUMBER(N195),OR(ISNUMBER(G195),ISNUMBER(K195))),IF(MIN(IF(ISNUMBER(G195),G195,10^9),IF(ISNUMBER(K195),K195,10^9))&lt;N195,"YES","no"),"")</f>
        <v/>
      </c>
      <c r="P195" s="44"/>
      <c r="Q195" s="44"/>
    </row>
    <row r="196" customFormat="false" ht="15" hidden="false" customHeight="false" outlineLevel="0" collapsed="false">
      <c r="A196" s="45"/>
      <c r="B196" s="44"/>
      <c r="C196" s="44"/>
      <c r="D196" s="44"/>
      <c r="E196" s="44"/>
      <c r="F196" s="44"/>
      <c r="G196" s="44"/>
      <c r="H196" s="44"/>
      <c r="I196" s="44"/>
      <c r="J196" s="44"/>
      <c r="K196" s="44"/>
      <c r="L196" s="44"/>
      <c r="M196" s="44"/>
      <c r="N196" s="20" t="str">
        <f aca="false">IFERROR(INDEX('Lift Inputs'!$H:$H,MATCH(D196,'Lift Inputs'!$B:$B,0)),"")</f>
        <v/>
      </c>
      <c r="O196" s="36" t="str">
        <f aca="false">IF(AND(ISNUMBER(N196),OR(ISNUMBER(G196),ISNUMBER(K196))),IF(MIN(IF(ISNUMBER(G196),G196,10^9),IF(ISNUMBER(K196),K196,10^9))&lt;N196,"YES","no"),"")</f>
        <v/>
      </c>
      <c r="P196" s="44"/>
      <c r="Q196" s="44"/>
    </row>
    <row r="197" customFormat="false" ht="15" hidden="false" customHeight="false" outlineLevel="0" collapsed="false">
      <c r="A197" s="45"/>
      <c r="B197" s="44"/>
      <c r="C197" s="44"/>
      <c r="D197" s="44"/>
      <c r="E197" s="44"/>
      <c r="F197" s="44"/>
      <c r="G197" s="44"/>
      <c r="H197" s="44"/>
      <c r="I197" s="44"/>
      <c r="J197" s="44"/>
      <c r="K197" s="44"/>
      <c r="L197" s="44"/>
      <c r="M197" s="44"/>
      <c r="N197" s="20" t="str">
        <f aca="false">IFERROR(INDEX('Lift Inputs'!$H:$H,MATCH(D197,'Lift Inputs'!$B:$B,0)),"")</f>
        <v/>
      </c>
      <c r="O197" s="36" t="str">
        <f aca="false">IF(AND(ISNUMBER(N197),OR(ISNUMBER(G197),ISNUMBER(K197))),IF(MIN(IF(ISNUMBER(G197),G197,10^9),IF(ISNUMBER(K197),K197,10^9))&lt;N197,"YES","no"),"")</f>
        <v/>
      </c>
      <c r="P197" s="44"/>
      <c r="Q197" s="44"/>
    </row>
    <row r="198" customFormat="false" ht="15" hidden="false" customHeight="false" outlineLevel="0" collapsed="false">
      <c r="A198" s="45"/>
      <c r="B198" s="44"/>
      <c r="C198" s="44"/>
      <c r="D198" s="44"/>
      <c r="E198" s="44"/>
      <c r="F198" s="44"/>
      <c r="G198" s="44"/>
      <c r="H198" s="44"/>
      <c r="I198" s="44"/>
      <c r="J198" s="44"/>
      <c r="K198" s="44"/>
      <c r="L198" s="44"/>
      <c r="M198" s="44"/>
      <c r="N198" s="20" t="str">
        <f aca="false">IFERROR(INDEX('Lift Inputs'!$H:$H,MATCH(D198,'Lift Inputs'!$B:$B,0)),"")</f>
        <v/>
      </c>
      <c r="O198" s="36" t="str">
        <f aca="false">IF(AND(ISNUMBER(N198),OR(ISNUMBER(G198),ISNUMBER(K198))),IF(MIN(IF(ISNUMBER(G198),G198,10^9),IF(ISNUMBER(K198),K198,10^9))&lt;N198,"YES","no"),"")</f>
        <v/>
      </c>
      <c r="P198" s="44"/>
      <c r="Q198" s="44"/>
    </row>
    <row r="199" customFormat="false" ht="15" hidden="false" customHeight="false" outlineLevel="0" collapsed="false">
      <c r="A199" s="45"/>
      <c r="B199" s="44"/>
      <c r="C199" s="44"/>
      <c r="D199" s="44"/>
      <c r="E199" s="44"/>
      <c r="F199" s="44"/>
      <c r="G199" s="44"/>
      <c r="H199" s="44"/>
      <c r="I199" s="44"/>
      <c r="J199" s="44"/>
      <c r="K199" s="44"/>
      <c r="L199" s="44"/>
      <c r="M199" s="44"/>
      <c r="N199" s="20" t="str">
        <f aca="false">IFERROR(INDEX('Lift Inputs'!$H:$H,MATCH(D199,'Lift Inputs'!$B:$B,0)),"")</f>
        <v/>
      </c>
      <c r="O199" s="36" t="str">
        <f aca="false">IF(AND(ISNUMBER(N199),OR(ISNUMBER(G199),ISNUMBER(K199))),IF(MIN(IF(ISNUMBER(G199),G199,10^9),IF(ISNUMBER(K199),K199,10^9))&lt;N199,"YES","no"),"")</f>
        <v/>
      </c>
      <c r="P199" s="44"/>
      <c r="Q199" s="44"/>
    </row>
    <row r="200" customFormat="false" ht="15" hidden="false" customHeight="false" outlineLevel="0" collapsed="false">
      <c r="A200" s="45"/>
      <c r="B200" s="44"/>
      <c r="C200" s="44"/>
      <c r="D200" s="44"/>
      <c r="E200" s="44"/>
      <c r="F200" s="44"/>
      <c r="G200" s="44"/>
      <c r="H200" s="44"/>
      <c r="I200" s="44"/>
      <c r="J200" s="44"/>
      <c r="K200" s="44"/>
      <c r="L200" s="44"/>
      <c r="M200" s="44"/>
      <c r="N200" s="20" t="str">
        <f aca="false">IFERROR(INDEX('Lift Inputs'!$H:$H,MATCH(D200,'Lift Inputs'!$B:$B,0)),"")</f>
        <v/>
      </c>
      <c r="O200" s="36" t="str">
        <f aca="false">IF(AND(ISNUMBER(N200),OR(ISNUMBER(G200),ISNUMBER(K200))),IF(MIN(IF(ISNUMBER(G200),G200,10^9),IF(ISNUMBER(K200),K200,10^9))&lt;N200,"YES","no"),"")</f>
        <v/>
      </c>
      <c r="P200" s="44"/>
      <c r="Q200" s="44"/>
    </row>
    <row r="201" customFormat="false" ht="15" hidden="false" customHeight="false" outlineLevel="0" collapsed="false">
      <c r="A201" s="45"/>
      <c r="B201" s="44"/>
      <c r="C201" s="44"/>
      <c r="D201" s="44"/>
      <c r="E201" s="44"/>
      <c r="F201" s="44"/>
      <c r="G201" s="44"/>
      <c r="H201" s="44"/>
      <c r="I201" s="44"/>
      <c r="J201" s="44"/>
      <c r="K201" s="44"/>
      <c r="L201" s="44"/>
      <c r="M201" s="44"/>
      <c r="N201" s="20" t="str">
        <f aca="false">IFERROR(INDEX('Lift Inputs'!$H:$H,MATCH(D201,'Lift Inputs'!$B:$B,0)),"")</f>
        <v/>
      </c>
      <c r="O201" s="36" t="str">
        <f aca="false">IF(AND(ISNUMBER(N201),OR(ISNUMBER(G201),ISNUMBER(K201))),IF(MIN(IF(ISNUMBER(G201),G201,10^9),IF(ISNUMBER(K201),K201,10^9))&lt;N201,"YES","no"),"")</f>
        <v/>
      </c>
      <c r="P201" s="44"/>
      <c r="Q201" s="44"/>
    </row>
    <row r="202" customFormat="false" ht="15" hidden="false" customHeight="false" outlineLevel="0" collapsed="false">
      <c r="A202" s="45"/>
      <c r="B202" s="44"/>
      <c r="C202" s="44"/>
      <c r="D202" s="44"/>
      <c r="E202" s="44"/>
      <c r="F202" s="44"/>
      <c r="G202" s="44"/>
      <c r="H202" s="44"/>
      <c r="I202" s="44"/>
      <c r="J202" s="44"/>
      <c r="K202" s="44"/>
      <c r="L202" s="44"/>
      <c r="M202" s="44"/>
      <c r="N202" s="20" t="str">
        <f aca="false">IFERROR(INDEX('Lift Inputs'!$H:$H,MATCH(D202,'Lift Inputs'!$B:$B,0)),"")</f>
        <v/>
      </c>
      <c r="O202" s="36" t="str">
        <f aca="false">IF(AND(ISNUMBER(N202),OR(ISNUMBER(G202),ISNUMBER(K202))),IF(MIN(IF(ISNUMBER(G202),G202,10^9),IF(ISNUMBER(K202),K202,10^9))&lt;N202,"YES","no"),"")</f>
        <v/>
      </c>
      <c r="P202" s="44"/>
      <c r="Q202" s="44"/>
    </row>
    <row r="203" customFormat="false" ht="15" hidden="false" customHeight="false" outlineLevel="0" collapsed="false">
      <c r="A203" s="45"/>
      <c r="B203" s="44"/>
      <c r="C203" s="44"/>
      <c r="D203" s="44"/>
      <c r="E203" s="44"/>
      <c r="F203" s="44"/>
      <c r="G203" s="44"/>
      <c r="H203" s="44"/>
      <c r="I203" s="44"/>
      <c r="J203" s="44"/>
      <c r="K203" s="44"/>
      <c r="L203" s="44"/>
      <c r="M203" s="44"/>
      <c r="N203" s="20" t="str">
        <f aca="false">IFERROR(INDEX('Lift Inputs'!$H:$H,MATCH(D203,'Lift Inputs'!$B:$B,0)),"")</f>
        <v/>
      </c>
      <c r="O203" s="36" t="str">
        <f aca="false">IF(AND(ISNUMBER(N203),OR(ISNUMBER(G203),ISNUMBER(K203))),IF(MIN(IF(ISNUMBER(G203),G203,10^9),IF(ISNUMBER(K203),K203,10^9))&lt;N203,"YES","no"),"")</f>
        <v/>
      </c>
      <c r="P203" s="44"/>
      <c r="Q203" s="44"/>
    </row>
    <row r="204" customFormat="false" ht="15" hidden="false" customHeight="false" outlineLevel="0" collapsed="false">
      <c r="A204" s="45"/>
      <c r="B204" s="44"/>
      <c r="C204" s="44"/>
      <c r="D204" s="44"/>
      <c r="E204" s="44"/>
      <c r="F204" s="44"/>
      <c r="G204" s="44"/>
      <c r="H204" s="44"/>
      <c r="I204" s="44"/>
      <c r="J204" s="44"/>
      <c r="K204" s="44"/>
      <c r="L204" s="44"/>
      <c r="M204" s="44"/>
      <c r="N204" s="20" t="str">
        <f aca="false">IFERROR(INDEX('Lift Inputs'!$H:$H,MATCH(D204,'Lift Inputs'!$B:$B,0)),"")</f>
        <v/>
      </c>
      <c r="O204" s="36" t="str">
        <f aca="false">IF(AND(ISNUMBER(N204),OR(ISNUMBER(G204),ISNUMBER(K204))),IF(MIN(IF(ISNUMBER(G204),G204,10^9),IF(ISNUMBER(K204),K204,10^9))&lt;N204,"YES","no"),"")</f>
        <v/>
      </c>
      <c r="P204" s="44"/>
      <c r="Q204" s="44"/>
    </row>
    <row r="205" customFormat="false" ht="15" hidden="false" customHeight="false" outlineLevel="0" collapsed="false">
      <c r="A205" s="45"/>
      <c r="B205" s="44"/>
      <c r="C205" s="44"/>
      <c r="D205" s="44"/>
      <c r="E205" s="44"/>
      <c r="F205" s="44"/>
      <c r="G205" s="44"/>
      <c r="H205" s="44"/>
      <c r="I205" s="44"/>
      <c r="J205" s="44"/>
      <c r="K205" s="44"/>
      <c r="L205" s="44"/>
      <c r="M205" s="44"/>
      <c r="N205" s="20" t="str">
        <f aca="false">IFERROR(INDEX('Lift Inputs'!$H:$H,MATCH(D205,'Lift Inputs'!$B:$B,0)),"")</f>
        <v/>
      </c>
      <c r="O205" s="36" t="str">
        <f aca="false">IF(AND(ISNUMBER(N205),OR(ISNUMBER(G205),ISNUMBER(K205))),IF(MIN(IF(ISNUMBER(G205),G205,10^9),IF(ISNUMBER(K205),K205,10^9))&lt;N205,"YES","no"),"")</f>
        <v/>
      </c>
      <c r="P205" s="44"/>
      <c r="Q205" s="44"/>
    </row>
    <row r="206" customFormat="false" ht="15" hidden="false" customHeight="false" outlineLevel="0" collapsed="false">
      <c r="A206" s="45"/>
      <c r="B206" s="44"/>
      <c r="C206" s="44"/>
      <c r="D206" s="44"/>
      <c r="E206" s="44"/>
      <c r="F206" s="44"/>
      <c r="G206" s="44"/>
      <c r="H206" s="44"/>
      <c r="I206" s="44"/>
      <c r="J206" s="44"/>
      <c r="K206" s="44"/>
      <c r="L206" s="44"/>
      <c r="M206" s="44"/>
      <c r="N206" s="20" t="str">
        <f aca="false">IFERROR(INDEX('Lift Inputs'!$H:$H,MATCH(D206,'Lift Inputs'!$B:$B,0)),"")</f>
        <v/>
      </c>
      <c r="O206" s="36" t="str">
        <f aca="false">IF(AND(ISNUMBER(N206),OR(ISNUMBER(G206),ISNUMBER(K206))),IF(MIN(IF(ISNUMBER(G206),G206,10^9),IF(ISNUMBER(K206),K206,10^9))&lt;N206,"YES","no"),"")</f>
        <v/>
      </c>
      <c r="P206" s="44"/>
      <c r="Q206" s="44"/>
    </row>
    <row r="207" customFormat="false" ht="15" hidden="false" customHeight="false" outlineLevel="0" collapsed="false">
      <c r="A207" s="45"/>
      <c r="B207" s="44"/>
      <c r="C207" s="44"/>
      <c r="D207" s="44"/>
      <c r="E207" s="44"/>
      <c r="F207" s="44"/>
      <c r="G207" s="44"/>
      <c r="H207" s="44"/>
      <c r="I207" s="44"/>
      <c r="J207" s="44"/>
      <c r="K207" s="44"/>
      <c r="L207" s="44"/>
      <c r="M207" s="44"/>
      <c r="N207" s="20" t="str">
        <f aca="false">IFERROR(INDEX('Lift Inputs'!$H:$H,MATCH(D207,'Lift Inputs'!$B:$B,0)),"")</f>
        <v/>
      </c>
      <c r="O207" s="36" t="str">
        <f aca="false">IF(AND(ISNUMBER(N207),OR(ISNUMBER(G207),ISNUMBER(K207))),IF(MIN(IF(ISNUMBER(G207),G207,10^9),IF(ISNUMBER(K207),K207,10^9))&lt;N207,"YES","no"),"")</f>
        <v/>
      </c>
      <c r="P207" s="44"/>
      <c r="Q207" s="44"/>
    </row>
    <row r="208" customFormat="false" ht="15" hidden="false" customHeight="false" outlineLevel="0" collapsed="false">
      <c r="A208" s="45"/>
      <c r="B208" s="44"/>
      <c r="C208" s="44"/>
      <c r="D208" s="44"/>
      <c r="E208" s="44"/>
      <c r="F208" s="44"/>
      <c r="G208" s="44"/>
      <c r="H208" s="44"/>
      <c r="I208" s="44"/>
      <c r="J208" s="44"/>
      <c r="K208" s="44"/>
      <c r="L208" s="44"/>
      <c r="M208" s="44"/>
      <c r="N208" s="20" t="str">
        <f aca="false">IFERROR(INDEX('Lift Inputs'!$H:$H,MATCH(D208,'Lift Inputs'!$B:$B,0)),"")</f>
        <v/>
      </c>
      <c r="O208" s="36" t="str">
        <f aca="false">IF(AND(ISNUMBER(N208),OR(ISNUMBER(G208),ISNUMBER(K208))),IF(MIN(IF(ISNUMBER(G208),G208,10^9),IF(ISNUMBER(K208),K208,10^9))&lt;N208,"YES","no"),"")</f>
        <v/>
      </c>
      <c r="P208" s="44"/>
      <c r="Q208" s="44"/>
    </row>
    <row r="209" customFormat="false" ht="15" hidden="false" customHeight="false" outlineLevel="0" collapsed="false">
      <c r="A209" s="45"/>
      <c r="B209" s="44"/>
      <c r="C209" s="44"/>
      <c r="D209" s="44"/>
      <c r="E209" s="44"/>
      <c r="F209" s="44"/>
      <c r="G209" s="44"/>
      <c r="H209" s="44"/>
      <c r="I209" s="44"/>
      <c r="J209" s="44"/>
      <c r="K209" s="44"/>
      <c r="L209" s="44"/>
      <c r="M209" s="44"/>
      <c r="N209" s="20" t="str">
        <f aca="false">IFERROR(INDEX('Lift Inputs'!$H:$H,MATCH(D209,'Lift Inputs'!$B:$B,0)),"")</f>
        <v/>
      </c>
      <c r="O209" s="36" t="str">
        <f aca="false">IF(AND(ISNUMBER(N209),OR(ISNUMBER(G209),ISNUMBER(K209))),IF(MIN(IF(ISNUMBER(G209),G209,10^9),IF(ISNUMBER(K209),K209,10^9))&lt;N209,"YES","no"),"")</f>
        <v/>
      </c>
      <c r="P209" s="44"/>
      <c r="Q209" s="44"/>
    </row>
    <row r="210" customFormat="false" ht="15" hidden="false" customHeight="false" outlineLevel="0" collapsed="false">
      <c r="A210" s="45"/>
      <c r="B210" s="44"/>
      <c r="C210" s="44"/>
      <c r="D210" s="44"/>
      <c r="E210" s="44"/>
      <c r="F210" s="44"/>
      <c r="G210" s="44"/>
      <c r="H210" s="44"/>
      <c r="I210" s="44"/>
      <c r="J210" s="44"/>
      <c r="K210" s="44"/>
      <c r="L210" s="44"/>
      <c r="M210" s="44"/>
      <c r="N210" s="20" t="str">
        <f aca="false">IFERROR(INDEX('Lift Inputs'!$H:$H,MATCH(D210,'Lift Inputs'!$B:$B,0)),"")</f>
        <v/>
      </c>
      <c r="O210" s="36" t="str">
        <f aca="false">IF(AND(ISNUMBER(N210),OR(ISNUMBER(G210),ISNUMBER(K210))),IF(MIN(IF(ISNUMBER(G210),G210,10^9),IF(ISNUMBER(K210),K210,10^9))&lt;N210,"YES","no"),"")</f>
        <v/>
      </c>
      <c r="P210" s="44"/>
      <c r="Q210" s="44"/>
    </row>
    <row r="211" customFormat="false" ht="15" hidden="false" customHeight="false" outlineLevel="0" collapsed="false">
      <c r="A211" s="45"/>
      <c r="B211" s="44"/>
      <c r="C211" s="44"/>
      <c r="D211" s="44"/>
      <c r="E211" s="44"/>
      <c r="F211" s="44"/>
      <c r="G211" s="44"/>
      <c r="H211" s="44"/>
      <c r="I211" s="44"/>
      <c r="J211" s="44"/>
      <c r="K211" s="44"/>
      <c r="L211" s="44"/>
      <c r="M211" s="44"/>
      <c r="N211" s="20" t="str">
        <f aca="false">IFERROR(INDEX('Lift Inputs'!$H:$H,MATCH(D211,'Lift Inputs'!$B:$B,0)),"")</f>
        <v/>
      </c>
      <c r="O211" s="36" t="str">
        <f aca="false">IF(AND(ISNUMBER(N211),OR(ISNUMBER(G211),ISNUMBER(K211))),IF(MIN(IF(ISNUMBER(G211),G211,10^9),IF(ISNUMBER(K211),K211,10^9))&lt;N211,"YES","no"),"")</f>
        <v/>
      </c>
      <c r="P211" s="44"/>
      <c r="Q211" s="44"/>
    </row>
    <row r="212" customFormat="false" ht="15" hidden="false" customHeight="false" outlineLevel="0" collapsed="false">
      <c r="A212" s="45"/>
      <c r="B212" s="44"/>
      <c r="C212" s="44"/>
      <c r="D212" s="44"/>
      <c r="E212" s="44"/>
      <c r="F212" s="44"/>
      <c r="G212" s="44"/>
      <c r="H212" s="44"/>
      <c r="I212" s="44"/>
      <c r="J212" s="44"/>
      <c r="K212" s="44"/>
      <c r="L212" s="44"/>
      <c r="M212" s="44"/>
      <c r="N212" s="20" t="str">
        <f aca="false">IFERROR(INDEX('Lift Inputs'!$H:$H,MATCH(D212,'Lift Inputs'!$B:$B,0)),"")</f>
        <v/>
      </c>
      <c r="O212" s="36" t="str">
        <f aca="false">IF(AND(ISNUMBER(N212),OR(ISNUMBER(G212),ISNUMBER(K212))),IF(MIN(IF(ISNUMBER(G212),G212,10^9),IF(ISNUMBER(K212),K212,10^9))&lt;N212,"YES","no"),"")</f>
        <v/>
      </c>
      <c r="P212" s="44"/>
      <c r="Q212" s="44"/>
    </row>
    <row r="213" customFormat="false" ht="15" hidden="false" customHeight="false" outlineLevel="0" collapsed="false">
      <c r="A213" s="45"/>
      <c r="B213" s="44"/>
      <c r="C213" s="44"/>
      <c r="D213" s="44"/>
      <c r="E213" s="44"/>
      <c r="F213" s="44"/>
      <c r="G213" s="44"/>
      <c r="H213" s="44"/>
      <c r="I213" s="44"/>
      <c r="J213" s="44"/>
      <c r="K213" s="44"/>
      <c r="L213" s="44"/>
      <c r="M213" s="44"/>
      <c r="N213" s="20" t="str">
        <f aca="false">IFERROR(INDEX('Lift Inputs'!$H:$H,MATCH(D213,'Lift Inputs'!$B:$B,0)),"")</f>
        <v/>
      </c>
      <c r="O213" s="36" t="str">
        <f aca="false">IF(AND(ISNUMBER(N213),OR(ISNUMBER(G213),ISNUMBER(K213))),IF(MIN(IF(ISNUMBER(G213),G213,10^9),IF(ISNUMBER(K213),K213,10^9))&lt;N213,"YES","no"),"")</f>
        <v/>
      </c>
      <c r="P213" s="44"/>
      <c r="Q213" s="44"/>
    </row>
    <row r="214" customFormat="false" ht="15" hidden="false" customHeight="false" outlineLevel="0" collapsed="false">
      <c r="A214" s="45"/>
      <c r="B214" s="44"/>
      <c r="C214" s="44"/>
      <c r="D214" s="44"/>
      <c r="E214" s="44"/>
      <c r="F214" s="44"/>
      <c r="G214" s="44"/>
      <c r="H214" s="44"/>
      <c r="I214" s="44"/>
      <c r="J214" s="44"/>
      <c r="K214" s="44"/>
      <c r="L214" s="44"/>
      <c r="M214" s="44"/>
      <c r="N214" s="20" t="str">
        <f aca="false">IFERROR(INDEX('Lift Inputs'!$H:$H,MATCH(D214,'Lift Inputs'!$B:$B,0)),"")</f>
        <v/>
      </c>
      <c r="O214" s="36" t="str">
        <f aca="false">IF(AND(ISNUMBER(N214),OR(ISNUMBER(G214),ISNUMBER(K214))),IF(MIN(IF(ISNUMBER(G214),G214,10^9),IF(ISNUMBER(K214),K214,10^9))&lt;N214,"YES","no"),"")</f>
        <v/>
      </c>
      <c r="P214" s="44"/>
      <c r="Q214" s="44"/>
    </row>
    <row r="215" customFormat="false" ht="15" hidden="false" customHeight="false" outlineLevel="0" collapsed="false">
      <c r="A215" s="45"/>
      <c r="B215" s="44"/>
      <c r="C215" s="44"/>
      <c r="D215" s="44"/>
      <c r="E215" s="44"/>
      <c r="F215" s="44"/>
      <c r="G215" s="44"/>
      <c r="H215" s="44"/>
      <c r="I215" s="44"/>
      <c r="J215" s="44"/>
      <c r="K215" s="44"/>
      <c r="L215" s="44"/>
      <c r="M215" s="44"/>
      <c r="N215" s="20" t="str">
        <f aca="false">IFERROR(INDEX('Lift Inputs'!$H:$H,MATCH(D215,'Lift Inputs'!$B:$B,0)),"")</f>
        <v/>
      </c>
      <c r="O215" s="36" t="str">
        <f aca="false">IF(AND(ISNUMBER(N215),OR(ISNUMBER(G215),ISNUMBER(K215))),IF(MIN(IF(ISNUMBER(G215),G215,10^9),IF(ISNUMBER(K215),K215,10^9))&lt;N215,"YES","no"),"")</f>
        <v/>
      </c>
      <c r="P215" s="44"/>
      <c r="Q215" s="44"/>
    </row>
    <row r="216" customFormat="false" ht="15" hidden="false" customHeight="false" outlineLevel="0" collapsed="false">
      <c r="A216" s="45"/>
      <c r="B216" s="44"/>
      <c r="C216" s="44"/>
      <c r="D216" s="44"/>
      <c r="E216" s="44"/>
      <c r="F216" s="44"/>
      <c r="G216" s="44"/>
      <c r="H216" s="44"/>
      <c r="I216" s="44"/>
      <c r="J216" s="44"/>
      <c r="K216" s="44"/>
      <c r="L216" s="44"/>
      <c r="M216" s="44"/>
      <c r="N216" s="20" t="str">
        <f aca="false">IFERROR(INDEX('Lift Inputs'!$H:$H,MATCH(D216,'Lift Inputs'!$B:$B,0)),"")</f>
        <v/>
      </c>
      <c r="O216" s="36" t="str">
        <f aca="false">IF(AND(ISNUMBER(N216),OR(ISNUMBER(G216),ISNUMBER(K216))),IF(MIN(IF(ISNUMBER(G216),G216,10^9),IF(ISNUMBER(K216),K216,10^9))&lt;N216,"YES","no"),"")</f>
        <v/>
      </c>
      <c r="P216" s="44"/>
      <c r="Q216" s="44"/>
    </row>
    <row r="217" customFormat="false" ht="15" hidden="false" customHeight="false" outlineLevel="0" collapsed="false">
      <c r="A217" s="45"/>
      <c r="B217" s="44"/>
      <c r="C217" s="44"/>
      <c r="D217" s="44"/>
      <c r="E217" s="44"/>
      <c r="F217" s="44"/>
      <c r="G217" s="44"/>
      <c r="H217" s="44"/>
      <c r="I217" s="44"/>
      <c r="J217" s="44"/>
      <c r="K217" s="44"/>
      <c r="L217" s="44"/>
      <c r="M217" s="44"/>
      <c r="N217" s="20" t="str">
        <f aca="false">IFERROR(INDEX('Lift Inputs'!$H:$H,MATCH(D217,'Lift Inputs'!$B:$B,0)),"")</f>
        <v/>
      </c>
      <c r="O217" s="36" t="str">
        <f aca="false">IF(AND(ISNUMBER(N217),OR(ISNUMBER(G217),ISNUMBER(K217))),IF(MIN(IF(ISNUMBER(G217),G217,10^9),IF(ISNUMBER(K217),K217,10^9))&lt;N217,"YES","no"),"")</f>
        <v/>
      </c>
      <c r="P217" s="44"/>
      <c r="Q217" s="44"/>
    </row>
    <row r="218" customFormat="false" ht="15" hidden="false" customHeight="false" outlineLevel="0" collapsed="false">
      <c r="A218" s="45"/>
      <c r="B218" s="44"/>
      <c r="C218" s="44"/>
      <c r="D218" s="44"/>
      <c r="E218" s="44"/>
      <c r="F218" s="44"/>
      <c r="G218" s="44"/>
      <c r="H218" s="44"/>
      <c r="I218" s="44"/>
      <c r="J218" s="44"/>
      <c r="K218" s="44"/>
      <c r="L218" s="44"/>
      <c r="M218" s="44"/>
      <c r="N218" s="20" t="str">
        <f aca="false">IFERROR(INDEX('Lift Inputs'!$H:$H,MATCH(D218,'Lift Inputs'!$B:$B,0)),"")</f>
        <v/>
      </c>
      <c r="O218" s="36" t="str">
        <f aca="false">IF(AND(ISNUMBER(N218),OR(ISNUMBER(G218),ISNUMBER(K218))),IF(MIN(IF(ISNUMBER(G218),G218,10^9),IF(ISNUMBER(K218),K218,10^9))&lt;N218,"YES","no"),"")</f>
        <v/>
      </c>
      <c r="P218" s="44"/>
      <c r="Q218" s="44"/>
    </row>
    <row r="219" customFormat="false" ht="15" hidden="false" customHeight="false" outlineLevel="0" collapsed="false">
      <c r="A219" s="45"/>
      <c r="B219" s="44"/>
      <c r="C219" s="44"/>
      <c r="D219" s="44"/>
      <c r="E219" s="44"/>
      <c r="F219" s="44"/>
      <c r="G219" s="44"/>
      <c r="H219" s="44"/>
      <c r="I219" s="44"/>
      <c r="J219" s="44"/>
      <c r="K219" s="44"/>
      <c r="L219" s="44"/>
      <c r="M219" s="44"/>
      <c r="N219" s="20" t="str">
        <f aca="false">IFERROR(INDEX('Lift Inputs'!$H:$H,MATCH(D219,'Lift Inputs'!$B:$B,0)),"")</f>
        <v/>
      </c>
      <c r="O219" s="36" t="str">
        <f aca="false">IF(AND(ISNUMBER(N219),OR(ISNUMBER(G219),ISNUMBER(K219))),IF(MIN(IF(ISNUMBER(G219),G219,10^9),IF(ISNUMBER(K219),K219,10^9))&lt;N219,"YES","no"),"")</f>
        <v/>
      </c>
      <c r="P219" s="44"/>
      <c r="Q219" s="44"/>
    </row>
    <row r="220" customFormat="false" ht="15" hidden="false" customHeight="false" outlineLevel="0" collapsed="false">
      <c r="A220" s="45"/>
      <c r="B220" s="44"/>
      <c r="C220" s="44"/>
      <c r="D220" s="44"/>
      <c r="E220" s="44"/>
      <c r="F220" s="44"/>
      <c r="G220" s="44"/>
      <c r="H220" s="44"/>
      <c r="I220" s="44"/>
      <c r="J220" s="44"/>
      <c r="K220" s="44"/>
      <c r="L220" s="44"/>
      <c r="M220" s="44"/>
      <c r="N220" s="20" t="str">
        <f aca="false">IFERROR(INDEX('Lift Inputs'!$H:$H,MATCH(D220,'Lift Inputs'!$B:$B,0)),"")</f>
        <v/>
      </c>
      <c r="O220" s="36" t="str">
        <f aca="false">IF(AND(ISNUMBER(N220),OR(ISNUMBER(G220),ISNUMBER(K220))),IF(MIN(IF(ISNUMBER(G220),G220,10^9),IF(ISNUMBER(K220),K220,10^9))&lt;N220,"YES","no"),"")</f>
        <v/>
      </c>
      <c r="P220" s="44"/>
      <c r="Q220" s="44"/>
    </row>
    <row r="221" customFormat="false" ht="15" hidden="false" customHeight="false" outlineLevel="0" collapsed="false">
      <c r="A221" s="45"/>
      <c r="B221" s="44"/>
      <c r="C221" s="44"/>
      <c r="D221" s="44"/>
      <c r="E221" s="44"/>
      <c r="F221" s="44"/>
      <c r="G221" s="44"/>
      <c r="H221" s="44"/>
      <c r="I221" s="44"/>
      <c r="J221" s="44"/>
      <c r="K221" s="44"/>
      <c r="L221" s="44"/>
      <c r="M221" s="44"/>
      <c r="N221" s="20" t="str">
        <f aca="false">IFERROR(INDEX('Lift Inputs'!$H:$H,MATCH(D221,'Lift Inputs'!$B:$B,0)),"")</f>
        <v/>
      </c>
      <c r="O221" s="36" t="str">
        <f aca="false">IF(AND(ISNUMBER(N221),OR(ISNUMBER(G221),ISNUMBER(K221))),IF(MIN(IF(ISNUMBER(G221),G221,10^9),IF(ISNUMBER(K221),K221,10^9))&lt;N221,"YES","no"),"")</f>
        <v/>
      </c>
      <c r="P221" s="44"/>
      <c r="Q221" s="44"/>
    </row>
    <row r="222" customFormat="false" ht="15" hidden="false" customHeight="false" outlineLevel="0" collapsed="false">
      <c r="A222" s="45"/>
      <c r="B222" s="44"/>
      <c r="C222" s="44"/>
      <c r="D222" s="44"/>
      <c r="E222" s="44"/>
      <c r="F222" s="44"/>
      <c r="G222" s="44"/>
      <c r="H222" s="44"/>
      <c r="I222" s="44"/>
      <c r="J222" s="44"/>
      <c r="K222" s="44"/>
      <c r="L222" s="44"/>
      <c r="M222" s="44"/>
      <c r="N222" s="20" t="str">
        <f aca="false">IFERROR(INDEX('Lift Inputs'!$H:$H,MATCH(D222,'Lift Inputs'!$B:$B,0)),"")</f>
        <v/>
      </c>
      <c r="O222" s="36" t="str">
        <f aca="false">IF(AND(ISNUMBER(N222),OR(ISNUMBER(G222),ISNUMBER(K222))),IF(MIN(IF(ISNUMBER(G222),G222,10^9),IF(ISNUMBER(K222),K222,10^9))&lt;N222,"YES","no"),"")</f>
        <v/>
      </c>
      <c r="P222" s="44"/>
      <c r="Q222" s="44"/>
    </row>
    <row r="223" customFormat="false" ht="15" hidden="false" customHeight="false" outlineLevel="0" collapsed="false">
      <c r="A223" s="45"/>
      <c r="B223" s="44"/>
      <c r="C223" s="44"/>
      <c r="D223" s="44"/>
      <c r="E223" s="44"/>
      <c r="F223" s="44"/>
      <c r="G223" s="44"/>
      <c r="H223" s="44"/>
      <c r="I223" s="44"/>
      <c r="J223" s="44"/>
      <c r="K223" s="44"/>
      <c r="L223" s="44"/>
      <c r="M223" s="44"/>
      <c r="N223" s="20" t="str">
        <f aca="false">IFERROR(INDEX('Lift Inputs'!$H:$H,MATCH(D223,'Lift Inputs'!$B:$B,0)),"")</f>
        <v/>
      </c>
      <c r="O223" s="36" t="str">
        <f aca="false">IF(AND(ISNUMBER(N223),OR(ISNUMBER(G223),ISNUMBER(K223))),IF(MIN(IF(ISNUMBER(G223),G223,10^9),IF(ISNUMBER(K223),K223,10^9))&lt;N223,"YES","no"),"")</f>
        <v/>
      </c>
      <c r="P223" s="44"/>
      <c r="Q223" s="44"/>
    </row>
    <row r="224" customFormat="false" ht="15" hidden="false" customHeight="false" outlineLevel="0" collapsed="false">
      <c r="A224" s="45"/>
      <c r="B224" s="44"/>
      <c r="C224" s="44"/>
      <c r="D224" s="44"/>
      <c r="E224" s="44"/>
      <c r="F224" s="44"/>
      <c r="G224" s="44"/>
      <c r="H224" s="44"/>
      <c r="I224" s="44"/>
      <c r="J224" s="44"/>
      <c r="K224" s="44"/>
      <c r="L224" s="44"/>
      <c r="M224" s="44"/>
      <c r="N224" s="20" t="str">
        <f aca="false">IFERROR(INDEX('Lift Inputs'!$H:$H,MATCH(D224,'Lift Inputs'!$B:$B,0)),"")</f>
        <v/>
      </c>
      <c r="O224" s="36" t="str">
        <f aca="false">IF(AND(ISNUMBER(N224),OR(ISNUMBER(G224),ISNUMBER(K224))),IF(MIN(IF(ISNUMBER(G224),G224,10^9),IF(ISNUMBER(K224),K224,10^9))&lt;N224,"YES","no"),"")</f>
        <v/>
      </c>
      <c r="P224" s="44"/>
      <c r="Q224" s="44"/>
    </row>
    <row r="225" customFormat="false" ht="15" hidden="false" customHeight="false" outlineLevel="0" collapsed="false">
      <c r="A225" s="45"/>
      <c r="B225" s="44"/>
      <c r="C225" s="44"/>
      <c r="D225" s="44"/>
      <c r="E225" s="44"/>
      <c r="F225" s="44"/>
      <c r="G225" s="44"/>
      <c r="H225" s="44"/>
      <c r="I225" s="44"/>
      <c r="J225" s="44"/>
      <c r="K225" s="44"/>
      <c r="L225" s="44"/>
      <c r="M225" s="44"/>
      <c r="N225" s="20" t="str">
        <f aca="false">IFERROR(INDEX('Lift Inputs'!$H:$H,MATCH(D225,'Lift Inputs'!$B:$B,0)),"")</f>
        <v/>
      </c>
      <c r="O225" s="36" t="str">
        <f aca="false">IF(AND(ISNUMBER(N225),OR(ISNUMBER(G225),ISNUMBER(K225))),IF(MIN(IF(ISNUMBER(G225),G225,10^9),IF(ISNUMBER(K225),K225,10^9))&lt;N225,"YES","no"),"")</f>
        <v/>
      </c>
      <c r="P225" s="44"/>
      <c r="Q225" s="44"/>
    </row>
    <row r="226" customFormat="false" ht="15" hidden="false" customHeight="false" outlineLevel="0" collapsed="false">
      <c r="A226" s="45"/>
      <c r="B226" s="44"/>
      <c r="C226" s="44"/>
      <c r="D226" s="44"/>
      <c r="E226" s="44"/>
      <c r="F226" s="44"/>
      <c r="G226" s="44"/>
      <c r="H226" s="44"/>
      <c r="I226" s="44"/>
      <c r="J226" s="44"/>
      <c r="K226" s="44"/>
      <c r="L226" s="44"/>
      <c r="M226" s="44"/>
      <c r="N226" s="20" t="str">
        <f aca="false">IFERROR(INDEX('Lift Inputs'!$H:$H,MATCH(D226,'Lift Inputs'!$B:$B,0)),"")</f>
        <v/>
      </c>
      <c r="O226" s="36" t="str">
        <f aca="false">IF(AND(ISNUMBER(N226),OR(ISNUMBER(G226),ISNUMBER(K226))),IF(MIN(IF(ISNUMBER(G226),G226,10^9),IF(ISNUMBER(K226),K226,10^9))&lt;N226,"YES","no"),"")</f>
        <v/>
      </c>
      <c r="P226" s="44"/>
      <c r="Q226" s="44"/>
    </row>
    <row r="227" customFormat="false" ht="15" hidden="false" customHeight="false" outlineLevel="0" collapsed="false">
      <c r="A227" s="45"/>
      <c r="B227" s="44"/>
      <c r="C227" s="44"/>
      <c r="D227" s="44"/>
      <c r="E227" s="44"/>
      <c r="F227" s="44"/>
      <c r="G227" s="44"/>
      <c r="H227" s="44"/>
      <c r="I227" s="44"/>
      <c r="J227" s="44"/>
      <c r="K227" s="44"/>
      <c r="L227" s="44"/>
      <c r="M227" s="44"/>
      <c r="N227" s="20" t="str">
        <f aca="false">IFERROR(INDEX('Lift Inputs'!$H:$H,MATCH(D227,'Lift Inputs'!$B:$B,0)),"")</f>
        <v/>
      </c>
      <c r="O227" s="36" t="str">
        <f aca="false">IF(AND(ISNUMBER(N227),OR(ISNUMBER(G227),ISNUMBER(K227))),IF(MIN(IF(ISNUMBER(G227),G227,10^9),IF(ISNUMBER(K227),K227,10^9))&lt;N227,"YES","no"),"")</f>
        <v/>
      </c>
      <c r="P227" s="44"/>
      <c r="Q227" s="44"/>
    </row>
    <row r="228" customFormat="false" ht="15" hidden="false" customHeight="false" outlineLevel="0" collapsed="false">
      <c r="A228" s="45"/>
      <c r="B228" s="44"/>
      <c r="C228" s="44"/>
      <c r="D228" s="44"/>
      <c r="E228" s="44"/>
      <c r="F228" s="44"/>
      <c r="G228" s="44"/>
      <c r="H228" s="44"/>
      <c r="I228" s="44"/>
      <c r="J228" s="44"/>
      <c r="K228" s="44"/>
      <c r="L228" s="44"/>
      <c r="M228" s="44"/>
      <c r="N228" s="20" t="str">
        <f aca="false">IFERROR(INDEX('Lift Inputs'!$H:$H,MATCH(D228,'Lift Inputs'!$B:$B,0)),"")</f>
        <v/>
      </c>
      <c r="O228" s="36" t="str">
        <f aca="false">IF(AND(ISNUMBER(N228),OR(ISNUMBER(G228),ISNUMBER(K228))),IF(MIN(IF(ISNUMBER(G228),G228,10^9),IF(ISNUMBER(K228),K228,10^9))&lt;N228,"YES","no"),"")</f>
        <v/>
      </c>
      <c r="P228" s="44"/>
      <c r="Q228" s="44"/>
    </row>
    <row r="229" customFormat="false" ht="15" hidden="false" customHeight="false" outlineLevel="0" collapsed="false">
      <c r="A229" s="45"/>
      <c r="B229" s="44"/>
      <c r="C229" s="44"/>
      <c r="D229" s="44"/>
      <c r="E229" s="44"/>
      <c r="F229" s="44"/>
      <c r="G229" s="44"/>
      <c r="H229" s="44"/>
      <c r="I229" s="44"/>
      <c r="J229" s="44"/>
      <c r="K229" s="44"/>
      <c r="L229" s="44"/>
      <c r="M229" s="44"/>
      <c r="N229" s="20" t="str">
        <f aca="false">IFERROR(INDEX('Lift Inputs'!$H:$H,MATCH(D229,'Lift Inputs'!$B:$B,0)),"")</f>
        <v/>
      </c>
      <c r="O229" s="36" t="str">
        <f aca="false">IF(AND(ISNUMBER(N229),OR(ISNUMBER(G229),ISNUMBER(K229))),IF(MIN(IF(ISNUMBER(G229),G229,10^9),IF(ISNUMBER(K229),K229,10^9))&lt;N229,"YES","no"),"")</f>
        <v/>
      </c>
      <c r="P229" s="44"/>
      <c r="Q229" s="44"/>
    </row>
    <row r="230" customFormat="false" ht="15" hidden="false" customHeight="false" outlineLevel="0" collapsed="false">
      <c r="A230" s="45"/>
      <c r="B230" s="44"/>
      <c r="C230" s="44"/>
      <c r="D230" s="44"/>
      <c r="E230" s="44"/>
      <c r="F230" s="44"/>
      <c r="G230" s="44"/>
      <c r="H230" s="44"/>
      <c r="I230" s="44"/>
      <c r="J230" s="44"/>
      <c r="K230" s="44"/>
      <c r="L230" s="44"/>
      <c r="M230" s="44"/>
      <c r="N230" s="20" t="str">
        <f aca="false">IFERROR(INDEX('Lift Inputs'!$H:$H,MATCH(D230,'Lift Inputs'!$B:$B,0)),"")</f>
        <v/>
      </c>
      <c r="O230" s="36" t="str">
        <f aca="false">IF(AND(ISNUMBER(N230),OR(ISNUMBER(G230),ISNUMBER(K230))),IF(MIN(IF(ISNUMBER(G230),G230,10^9),IF(ISNUMBER(K230),K230,10^9))&lt;N230,"YES","no"),"")</f>
        <v/>
      </c>
      <c r="P230" s="44"/>
      <c r="Q230" s="44"/>
    </row>
    <row r="231" customFormat="false" ht="15" hidden="false" customHeight="false" outlineLevel="0" collapsed="false">
      <c r="A231" s="45"/>
      <c r="B231" s="44"/>
      <c r="C231" s="44"/>
      <c r="D231" s="44"/>
      <c r="E231" s="44"/>
      <c r="F231" s="44"/>
      <c r="G231" s="44"/>
      <c r="H231" s="44"/>
      <c r="I231" s="44"/>
      <c r="J231" s="44"/>
      <c r="K231" s="44"/>
      <c r="L231" s="44"/>
      <c r="M231" s="44"/>
      <c r="N231" s="20" t="str">
        <f aca="false">IFERROR(INDEX('Lift Inputs'!$H:$H,MATCH(D231,'Lift Inputs'!$B:$B,0)),"")</f>
        <v/>
      </c>
      <c r="O231" s="36" t="str">
        <f aca="false">IF(AND(ISNUMBER(N231),OR(ISNUMBER(G231),ISNUMBER(K231))),IF(MIN(IF(ISNUMBER(G231),G231,10^9),IF(ISNUMBER(K231),K231,10^9))&lt;N231,"YES","no"),"")</f>
        <v/>
      </c>
      <c r="P231" s="44"/>
      <c r="Q231" s="44"/>
    </row>
    <row r="232" customFormat="false" ht="15" hidden="false" customHeight="false" outlineLevel="0" collapsed="false">
      <c r="A232" s="45"/>
      <c r="B232" s="44"/>
      <c r="C232" s="44"/>
      <c r="D232" s="44"/>
      <c r="E232" s="44"/>
      <c r="F232" s="44"/>
      <c r="G232" s="44"/>
      <c r="H232" s="44"/>
      <c r="I232" s="44"/>
      <c r="J232" s="44"/>
      <c r="K232" s="44"/>
      <c r="L232" s="44"/>
      <c r="M232" s="44"/>
      <c r="N232" s="20" t="str">
        <f aca="false">IFERROR(INDEX('Lift Inputs'!$H:$H,MATCH(D232,'Lift Inputs'!$B:$B,0)),"")</f>
        <v/>
      </c>
      <c r="O232" s="36" t="str">
        <f aca="false">IF(AND(ISNUMBER(N232),OR(ISNUMBER(G232),ISNUMBER(K232))),IF(MIN(IF(ISNUMBER(G232),G232,10^9),IF(ISNUMBER(K232),K232,10^9))&lt;N232,"YES","no"),"")</f>
        <v/>
      </c>
      <c r="P232" s="44"/>
      <c r="Q232" s="44"/>
    </row>
    <row r="233" customFormat="false" ht="15" hidden="false" customHeight="false" outlineLevel="0" collapsed="false">
      <c r="A233" s="45"/>
      <c r="B233" s="44"/>
      <c r="C233" s="44"/>
      <c r="D233" s="44"/>
      <c r="E233" s="44"/>
      <c r="F233" s="44"/>
      <c r="G233" s="44"/>
      <c r="H233" s="44"/>
      <c r="I233" s="44"/>
      <c r="J233" s="44"/>
      <c r="K233" s="44"/>
      <c r="L233" s="44"/>
      <c r="M233" s="44"/>
      <c r="N233" s="20" t="str">
        <f aca="false">IFERROR(INDEX('Lift Inputs'!$H:$H,MATCH(D233,'Lift Inputs'!$B:$B,0)),"")</f>
        <v/>
      </c>
      <c r="O233" s="36" t="str">
        <f aca="false">IF(AND(ISNUMBER(N233),OR(ISNUMBER(G233),ISNUMBER(K233))),IF(MIN(IF(ISNUMBER(G233),G233,10^9),IF(ISNUMBER(K233),K233,10^9))&lt;N233,"YES","no"),"")</f>
        <v/>
      </c>
      <c r="P233" s="44"/>
      <c r="Q233" s="44"/>
    </row>
    <row r="234" customFormat="false" ht="15" hidden="false" customHeight="false" outlineLevel="0" collapsed="false">
      <c r="A234" s="45"/>
      <c r="B234" s="44"/>
      <c r="C234" s="44"/>
      <c r="D234" s="44"/>
      <c r="E234" s="44"/>
      <c r="F234" s="44"/>
      <c r="G234" s="44"/>
      <c r="H234" s="44"/>
      <c r="I234" s="44"/>
      <c r="J234" s="44"/>
      <c r="K234" s="44"/>
      <c r="L234" s="44"/>
      <c r="M234" s="44"/>
      <c r="N234" s="20" t="str">
        <f aca="false">IFERROR(INDEX('Lift Inputs'!$H:$H,MATCH(D234,'Lift Inputs'!$B:$B,0)),"")</f>
        <v/>
      </c>
      <c r="O234" s="36" t="str">
        <f aca="false">IF(AND(ISNUMBER(N234),OR(ISNUMBER(G234),ISNUMBER(K234))),IF(MIN(IF(ISNUMBER(G234),G234,10^9),IF(ISNUMBER(K234),K234,10^9))&lt;N234,"YES","no"),"")</f>
        <v/>
      </c>
      <c r="P234" s="44"/>
      <c r="Q234" s="44"/>
    </row>
    <row r="235" customFormat="false" ht="15" hidden="false" customHeight="false" outlineLevel="0" collapsed="false">
      <c r="A235" s="45"/>
      <c r="B235" s="44"/>
      <c r="C235" s="44"/>
      <c r="D235" s="44"/>
      <c r="E235" s="44"/>
      <c r="F235" s="44"/>
      <c r="G235" s="44"/>
      <c r="H235" s="44"/>
      <c r="I235" s="44"/>
      <c r="J235" s="44"/>
      <c r="K235" s="44"/>
      <c r="L235" s="44"/>
      <c r="M235" s="44"/>
      <c r="N235" s="20" t="str">
        <f aca="false">IFERROR(INDEX('Lift Inputs'!$H:$H,MATCH(D235,'Lift Inputs'!$B:$B,0)),"")</f>
        <v/>
      </c>
      <c r="O235" s="36" t="str">
        <f aca="false">IF(AND(ISNUMBER(N235),OR(ISNUMBER(G235),ISNUMBER(K235))),IF(MIN(IF(ISNUMBER(G235),G235,10^9),IF(ISNUMBER(K235),K235,10^9))&lt;N235,"YES","no"),"")</f>
        <v/>
      </c>
      <c r="P235" s="44"/>
      <c r="Q235" s="44"/>
    </row>
    <row r="236" customFormat="false" ht="15" hidden="false" customHeight="false" outlineLevel="0" collapsed="false">
      <c r="A236" s="45"/>
      <c r="B236" s="44"/>
      <c r="C236" s="44"/>
      <c r="D236" s="44"/>
      <c r="E236" s="44"/>
      <c r="F236" s="44"/>
      <c r="G236" s="44"/>
      <c r="H236" s="44"/>
      <c r="I236" s="44"/>
      <c r="J236" s="44"/>
      <c r="K236" s="44"/>
      <c r="L236" s="44"/>
      <c r="M236" s="44"/>
      <c r="N236" s="20" t="str">
        <f aca="false">IFERROR(INDEX('Lift Inputs'!$H:$H,MATCH(D236,'Lift Inputs'!$B:$B,0)),"")</f>
        <v/>
      </c>
      <c r="O236" s="36" t="str">
        <f aca="false">IF(AND(ISNUMBER(N236),OR(ISNUMBER(G236),ISNUMBER(K236))),IF(MIN(IF(ISNUMBER(G236),G236,10^9),IF(ISNUMBER(K236),K236,10^9))&lt;N236,"YES","no"),"")</f>
        <v/>
      </c>
      <c r="P236" s="44"/>
      <c r="Q236" s="44"/>
    </row>
    <row r="237" customFormat="false" ht="15" hidden="false" customHeight="false" outlineLevel="0" collapsed="false">
      <c r="A237" s="45"/>
      <c r="B237" s="44"/>
      <c r="C237" s="44"/>
      <c r="D237" s="44"/>
      <c r="E237" s="44"/>
      <c r="F237" s="44"/>
      <c r="G237" s="44"/>
      <c r="H237" s="44"/>
      <c r="I237" s="44"/>
      <c r="J237" s="44"/>
      <c r="K237" s="44"/>
      <c r="L237" s="44"/>
      <c r="M237" s="44"/>
      <c r="N237" s="20" t="str">
        <f aca="false">IFERROR(INDEX('Lift Inputs'!$H:$H,MATCH(D237,'Lift Inputs'!$B:$B,0)),"")</f>
        <v/>
      </c>
      <c r="O237" s="36" t="str">
        <f aca="false">IF(AND(ISNUMBER(N237),OR(ISNUMBER(G237),ISNUMBER(K237))),IF(MIN(IF(ISNUMBER(G237),G237,10^9),IF(ISNUMBER(K237),K237,10^9))&lt;N237,"YES","no"),"")</f>
        <v/>
      </c>
      <c r="P237" s="44"/>
      <c r="Q237" s="44"/>
    </row>
    <row r="238" customFormat="false" ht="15" hidden="false" customHeight="false" outlineLevel="0" collapsed="false">
      <c r="A238" s="45"/>
      <c r="B238" s="44"/>
      <c r="C238" s="44"/>
      <c r="D238" s="44"/>
      <c r="E238" s="44"/>
      <c r="F238" s="44"/>
      <c r="G238" s="44"/>
      <c r="H238" s="44"/>
      <c r="I238" s="44"/>
      <c r="J238" s="44"/>
      <c r="K238" s="44"/>
      <c r="L238" s="44"/>
      <c r="M238" s="44"/>
      <c r="N238" s="20" t="str">
        <f aca="false">IFERROR(INDEX('Lift Inputs'!$H:$H,MATCH(D238,'Lift Inputs'!$B:$B,0)),"")</f>
        <v/>
      </c>
      <c r="O238" s="36" t="str">
        <f aca="false">IF(AND(ISNUMBER(N238),OR(ISNUMBER(G238),ISNUMBER(K238))),IF(MIN(IF(ISNUMBER(G238),G238,10^9),IF(ISNUMBER(K238),K238,10^9))&lt;N238,"YES","no"),"")</f>
        <v/>
      </c>
      <c r="P238" s="44"/>
      <c r="Q238" s="44"/>
    </row>
    <row r="239" customFormat="false" ht="15" hidden="false" customHeight="false" outlineLevel="0" collapsed="false">
      <c r="A239" s="45"/>
      <c r="B239" s="44"/>
      <c r="C239" s="44"/>
      <c r="D239" s="44"/>
      <c r="E239" s="44"/>
      <c r="F239" s="44"/>
      <c r="G239" s="44"/>
      <c r="H239" s="44"/>
      <c r="I239" s="44"/>
      <c r="J239" s="44"/>
      <c r="K239" s="44"/>
      <c r="L239" s="44"/>
      <c r="M239" s="44"/>
      <c r="N239" s="20" t="str">
        <f aca="false">IFERROR(INDEX('Lift Inputs'!$H:$H,MATCH(D239,'Lift Inputs'!$B:$B,0)),"")</f>
        <v/>
      </c>
      <c r="O239" s="36" t="str">
        <f aca="false">IF(AND(ISNUMBER(N239),OR(ISNUMBER(G239),ISNUMBER(K239))),IF(MIN(IF(ISNUMBER(G239),G239,10^9),IF(ISNUMBER(K239),K239,10^9))&lt;N239,"YES","no"),"")</f>
        <v/>
      </c>
      <c r="P239" s="44"/>
      <c r="Q239" s="44"/>
    </row>
    <row r="240" customFormat="false" ht="15" hidden="false" customHeight="false" outlineLevel="0" collapsed="false">
      <c r="A240" s="45"/>
      <c r="B240" s="44"/>
      <c r="C240" s="44"/>
      <c r="D240" s="44"/>
      <c r="E240" s="44"/>
      <c r="F240" s="44"/>
      <c r="G240" s="44"/>
      <c r="H240" s="44"/>
      <c r="I240" s="44"/>
      <c r="J240" s="44"/>
      <c r="K240" s="44"/>
      <c r="L240" s="44"/>
      <c r="M240" s="44"/>
      <c r="N240" s="20" t="str">
        <f aca="false">IFERROR(INDEX('Lift Inputs'!$H:$H,MATCH(D240,'Lift Inputs'!$B:$B,0)),"")</f>
        <v/>
      </c>
      <c r="O240" s="36" t="str">
        <f aca="false">IF(AND(ISNUMBER(N240),OR(ISNUMBER(G240),ISNUMBER(K240))),IF(MIN(IF(ISNUMBER(G240),G240,10^9),IF(ISNUMBER(K240),K240,10^9))&lt;N240,"YES","no"),"")</f>
        <v/>
      </c>
      <c r="P240" s="44"/>
      <c r="Q240" s="44"/>
    </row>
    <row r="241" customFormat="false" ht="15" hidden="false" customHeight="false" outlineLevel="0" collapsed="false">
      <c r="A241" s="45"/>
      <c r="B241" s="44"/>
      <c r="C241" s="44"/>
      <c r="D241" s="44"/>
      <c r="E241" s="44"/>
      <c r="F241" s="44"/>
      <c r="G241" s="44"/>
      <c r="H241" s="44"/>
      <c r="I241" s="44"/>
      <c r="J241" s="44"/>
      <c r="K241" s="44"/>
      <c r="L241" s="44"/>
      <c r="M241" s="44"/>
      <c r="N241" s="20" t="str">
        <f aca="false">IFERROR(INDEX('Lift Inputs'!$H:$H,MATCH(D241,'Lift Inputs'!$B:$B,0)),"")</f>
        <v/>
      </c>
      <c r="O241" s="36" t="str">
        <f aca="false">IF(AND(ISNUMBER(N241),OR(ISNUMBER(G241),ISNUMBER(K241))),IF(MIN(IF(ISNUMBER(G241),G241,10^9),IF(ISNUMBER(K241),K241,10^9))&lt;N241,"YES","no"),"")</f>
        <v/>
      </c>
      <c r="P241" s="44"/>
      <c r="Q241" s="44"/>
    </row>
    <row r="242" customFormat="false" ht="15" hidden="false" customHeight="false" outlineLevel="0" collapsed="false">
      <c r="A242" s="45"/>
      <c r="B242" s="44"/>
      <c r="C242" s="44"/>
      <c r="D242" s="44"/>
      <c r="E242" s="44"/>
      <c r="F242" s="44"/>
      <c r="G242" s="44"/>
      <c r="H242" s="44"/>
      <c r="I242" s="44"/>
      <c r="J242" s="44"/>
      <c r="K242" s="44"/>
      <c r="L242" s="44"/>
      <c r="M242" s="44"/>
      <c r="N242" s="20" t="str">
        <f aca="false">IFERROR(INDEX('Lift Inputs'!$H:$H,MATCH(D242,'Lift Inputs'!$B:$B,0)),"")</f>
        <v/>
      </c>
      <c r="O242" s="36" t="str">
        <f aca="false">IF(AND(ISNUMBER(N242),OR(ISNUMBER(G242),ISNUMBER(K242))),IF(MIN(IF(ISNUMBER(G242),G242,10^9),IF(ISNUMBER(K242),K242,10^9))&lt;N242,"YES","no"),"")</f>
        <v/>
      </c>
      <c r="P242" s="44"/>
      <c r="Q242" s="44"/>
    </row>
    <row r="243" customFormat="false" ht="15" hidden="false" customHeight="false" outlineLevel="0" collapsed="false">
      <c r="A243" s="45"/>
      <c r="B243" s="44"/>
      <c r="C243" s="44"/>
      <c r="D243" s="44"/>
      <c r="E243" s="44"/>
      <c r="F243" s="44"/>
      <c r="G243" s="44"/>
      <c r="H243" s="44"/>
      <c r="I243" s="44"/>
      <c r="J243" s="44"/>
      <c r="K243" s="44"/>
      <c r="L243" s="44"/>
      <c r="M243" s="44"/>
      <c r="N243" s="20" t="str">
        <f aca="false">IFERROR(INDEX('Lift Inputs'!$H:$H,MATCH(D243,'Lift Inputs'!$B:$B,0)),"")</f>
        <v/>
      </c>
      <c r="O243" s="36" t="str">
        <f aca="false">IF(AND(ISNUMBER(N243),OR(ISNUMBER(G243),ISNUMBER(K243))),IF(MIN(IF(ISNUMBER(G243),G243,10^9),IF(ISNUMBER(K243),K243,10^9))&lt;N243,"YES","no"),"")</f>
        <v/>
      </c>
      <c r="P243" s="44"/>
      <c r="Q243" s="44"/>
    </row>
    <row r="244" customFormat="false" ht="15" hidden="false" customHeight="false" outlineLevel="0" collapsed="false">
      <c r="A244" s="45"/>
      <c r="B244" s="44"/>
      <c r="C244" s="44"/>
      <c r="D244" s="44"/>
      <c r="E244" s="44"/>
      <c r="F244" s="44"/>
      <c r="G244" s="44"/>
      <c r="H244" s="44"/>
      <c r="I244" s="44"/>
      <c r="J244" s="44"/>
      <c r="K244" s="44"/>
      <c r="L244" s="44"/>
      <c r="M244" s="44"/>
      <c r="N244" s="20" t="str">
        <f aca="false">IFERROR(INDEX('Lift Inputs'!$H:$H,MATCH(D244,'Lift Inputs'!$B:$B,0)),"")</f>
        <v/>
      </c>
      <c r="O244" s="36" t="str">
        <f aca="false">IF(AND(ISNUMBER(N244),OR(ISNUMBER(G244),ISNUMBER(K244))),IF(MIN(IF(ISNUMBER(G244),G244,10^9),IF(ISNUMBER(K244),K244,10^9))&lt;N244,"YES","no"),"")</f>
        <v/>
      </c>
      <c r="P244" s="44"/>
      <c r="Q244" s="44"/>
    </row>
    <row r="245" customFormat="false" ht="15" hidden="false" customHeight="false" outlineLevel="0" collapsed="false">
      <c r="A245" s="45"/>
      <c r="B245" s="44"/>
      <c r="C245" s="44"/>
      <c r="D245" s="44"/>
      <c r="E245" s="44"/>
      <c r="F245" s="44"/>
      <c r="G245" s="44"/>
      <c r="H245" s="44"/>
      <c r="I245" s="44"/>
      <c r="J245" s="44"/>
      <c r="K245" s="44"/>
      <c r="L245" s="44"/>
      <c r="M245" s="44"/>
      <c r="N245" s="20" t="str">
        <f aca="false">IFERROR(INDEX('Lift Inputs'!$H:$H,MATCH(D245,'Lift Inputs'!$B:$B,0)),"")</f>
        <v/>
      </c>
      <c r="O245" s="36" t="str">
        <f aca="false">IF(AND(ISNUMBER(N245),OR(ISNUMBER(G245),ISNUMBER(K245))),IF(MIN(IF(ISNUMBER(G245),G245,10^9),IF(ISNUMBER(K245),K245,10^9))&lt;N245,"YES","no"),"")</f>
        <v/>
      </c>
      <c r="P245" s="44"/>
      <c r="Q245" s="44"/>
    </row>
    <row r="246" customFormat="false" ht="15" hidden="false" customHeight="false" outlineLevel="0" collapsed="false">
      <c r="A246" s="45"/>
      <c r="B246" s="44"/>
      <c r="C246" s="44"/>
      <c r="D246" s="44"/>
      <c r="E246" s="44"/>
      <c r="F246" s="44"/>
      <c r="G246" s="44"/>
      <c r="H246" s="44"/>
      <c r="I246" s="44"/>
      <c r="J246" s="44"/>
      <c r="K246" s="44"/>
      <c r="L246" s="44"/>
      <c r="M246" s="44"/>
      <c r="N246" s="20" t="str">
        <f aca="false">IFERROR(INDEX('Lift Inputs'!$H:$H,MATCH(D246,'Lift Inputs'!$B:$B,0)),"")</f>
        <v/>
      </c>
      <c r="O246" s="36" t="str">
        <f aca="false">IF(AND(ISNUMBER(N246),OR(ISNUMBER(G246),ISNUMBER(K246))),IF(MIN(IF(ISNUMBER(G246),G246,10^9),IF(ISNUMBER(K246),K246,10^9))&lt;N246,"YES","no"),"")</f>
        <v/>
      </c>
      <c r="P246" s="44"/>
      <c r="Q246" s="44"/>
    </row>
    <row r="247" customFormat="false" ht="15" hidden="false" customHeight="false" outlineLevel="0" collapsed="false">
      <c r="A247" s="45"/>
      <c r="B247" s="44"/>
      <c r="C247" s="44"/>
      <c r="D247" s="44"/>
      <c r="E247" s="44"/>
      <c r="F247" s="44"/>
      <c r="G247" s="44"/>
      <c r="H247" s="44"/>
      <c r="I247" s="44"/>
      <c r="J247" s="44"/>
      <c r="K247" s="44"/>
      <c r="L247" s="44"/>
      <c r="M247" s="44"/>
      <c r="N247" s="20" t="str">
        <f aca="false">IFERROR(INDEX('Lift Inputs'!$H:$H,MATCH(D247,'Lift Inputs'!$B:$B,0)),"")</f>
        <v/>
      </c>
      <c r="O247" s="36" t="str">
        <f aca="false">IF(AND(ISNUMBER(N247),OR(ISNUMBER(G247),ISNUMBER(K247))),IF(MIN(IF(ISNUMBER(G247),G247,10^9),IF(ISNUMBER(K247),K247,10^9))&lt;N247,"YES","no"),"")</f>
        <v/>
      </c>
      <c r="P247" s="44"/>
      <c r="Q247" s="44"/>
    </row>
    <row r="248" customFormat="false" ht="15" hidden="false" customHeight="false" outlineLevel="0" collapsed="false">
      <c r="A248" s="45"/>
      <c r="B248" s="44"/>
      <c r="C248" s="44"/>
      <c r="D248" s="44"/>
      <c r="E248" s="44"/>
      <c r="F248" s="44"/>
      <c r="G248" s="44"/>
      <c r="H248" s="44"/>
      <c r="I248" s="44"/>
      <c r="J248" s="44"/>
      <c r="K248" s="44"/>
      <c r="L248" s="44"/>
      <c r="M248" s="44"/>
      <c r="N248" s="20" t="str">
        <f aca="false">IFERROR(INDEX('Lift Inputs'!$H:$H,MATCH(D248,'Lift Inputs'!$B:$B,0)),"")</f>
        <v/>
      </c>
      <c r="O248" s="36" t="str">
        <f aca="false">IF(AND(ISNUMBER(N248),OR(ISNUMBER(G248),ISNUMBER(K248))),IF(MIN(IF(ISNUMBER(G248),G248,10^9),IF(ISNUMBER(K248),K248,10^9))&lt;N248,"YES","no"),"")</f>
        <v/>
      </c>
      <c r="P248" s="44"/>
      <c r="Q248" s="44"/>
    </row>
    <row r="249" customFormat="false" ht="15" hidden="false" customHeight="false" outlineLevel="0" collapsed="false">
      <c r="A249" s="45"/>
      <c r="B249" s="44"/>
      <c r="C249" s="44"/>
      <c r="D249" s="44"/>
      <c r="E249" s="44"/>
      <c r="F249" s="44"/>
      <c r="G249" s="44"/>
      <c r="H249" s="44"/>
      <c r="I249" s="44"/>
      <c r="J249" s="44"/>
      <c r="K249" s="44"/>
      <c r="L249" s="44"/>
      <c r="M249" s="44"/>
      <c r="N249" s="20" t="str">
        <f aca="false">IFERROR(INDEX('Lift Inputs'!$H:$H,MATCH(D249,'Lift Inputs'!$B:$B,0)),"")</f>
        <v/>
      </c>
      <c r="O249" s="36" t="str">
        <f aca="false">IF(AND(ISNUMBER(N249),OR(ISNUMBER(G249),ISNUMBER(K249))),IF(MIN(IF(ISNUMBER(G249),G249,10^9),IF(ISNUMBER(K249),K249,10^9))&lt;N249,"YES","no"),"")</f>
        <v/>
      </c>
      <c r="P249" s="44"/>
      <c r="Q249" s="44"/>
    </row>
    <row r="250" customFormat="false" ht="15" hidden="false" customHeight="false" outlineLevel="0" collapsed="false">
      <c r="A250" s="45"/>
      <c r="B250" s="44"/>
      <c r="C250" s="44"/>
      <c r="D250" s="44"/>
      <c r="E250" s="44"/>
      <c r="F250" s="44"/>
      <c r="G250" s="44"/>
      <c r="H250" s="44"/>
      <c r="I250" s="44"/>
      <c r="J250" s="44"/>
      <c r="K250" s="44"/>
      <c r="L250" s="44"/>
      <c r="M250" s="44"/>
      <c r="N250" s="20" t="str">
        <f aca="false">IFERROR(INDEX('Lift Inputs'!$H:$H,MATCH(D250,'Lift Inputs'!$B:$B,0)),"")</f>
        <v/>
      </c>
      <c r="O250" s="36" t="str">
        <f aca="false">IF(AND(ISNUMBER(N250),OR(ISNUMBER(G250),ISNUMBER(K250))),IF(MIN(IF(ISNUMBER(G250),G250,10^9),IF(ISNUMBER(K250),K250,10^9))&lt;N250,"YES","no"),"")</f>
        <v/>
      </c>
      <c r="P250" s="44"/>
      <c r="Q250" s="44"/>
    </row>
    <row r="251" customFormat="false" ht="15" hidden="false" customHeight="false" outlineLevel="0" collapsed="false">
      <c r="A251" s="45"/>
      <c r="B251" s="44"/>
      <c r="C251" s="44"/>
      <c r="D251" s="44"/>
      <c r="E251" s="44"/>
      <c r="F251" s="44"/>
      <c r="G251" s="44"/>
      <c r="H251" s="44"/>
      <c r="I251" s="44"/>
      <c r="J251" s="44"/>
      <c r="K251" s="44"/>
      <c r="L251" s="44"/>
      <c r="M251" s="44"/>
      <c r="N251" s="20" t="str">
        <f aca="false">IFERROR(INDEX('Lift Inputs'!$H:$H,MATCH(D251,'Lift Inputs'!$B:$B,0)),"")</f>
        <v/>
      </c>
      <c r="O251" s="36" t="str">
        <f aca="false">IF(AND(ISNUMBER(N251),OR(ISNUMBER(G251),ISNUMBER(K251))),IF(MIN(IF(ISNUMBER(G251),G251,10^9),IF(ISNUMBER(K251),K251,10^9))&lt;N251,"YES","no"),"")</f>
        <v/>
      </c>
      <c r="P251" s="44"/>
      <c r="Q251" s="44"/>
    </row>
    <row r="252" customFormat="false" ht="15" hidden="false" customHeight="false" outlineLevel="0" collapsed="false">
      <c r="A252" s="45"/>
      <c r="B252" s="44"/>
      <c r="C252" s="44"/>
      <c r="D252" s="44"/>
      <c r="E252" s="44"/>
      <c r="F252" s="44"/>
      <c r="G252" s="44"/>
      <c r="H252" s="44"/>
      <c r="I252" s="44"/>
      <c r="J252" s="44"/>
      <c r="K252" s="44"/>
      <c r="L252" s="44"/>
      <c r="M252" s="44"/>
      <c r="N252" s="20" t="str">
        <f aca="false">IFERROR(INDEX('Lift Inputs'!$H:$H,MATCH(D252,'Lift Inputs'!$B:$B,0)),"")</f>
        <v/>
      </c>
      <c r="O252" s="36" t="str">
        <f aca="false">IF(AND(ISNUMBER(N252),OR(ISNUMBER(G252),ISNUMBER(K252))),IF(MIN(IF(ISNUMBER(G252),G252,10^9),IF(ISNUMBER(K252),K252,10^9))&lt;N252,"YES","no"),"")</f>
        <v/>
      </c>
      <c r="P252" s="44"/>
      <c r="Q252" s="44"/>
    </row>
    <row r="253" customFormat="false" ht="15" hidden="false" customHeight="false" outlineLevel="0" collapsed="false">
      <c r="A253" s="45"/>
      <c r="B253" s="44"/>
      <c r="C253" s="44"/>
      <c r="D253" s="44"/>
      <c r="E253" s="44"/>
      <c r="F253" s="44"/>
      <c r="G253" s="44"/>
      <c r="H253" s="44"/>
      <c r="I253" s="44"/>
      <c r="J253" s="44"/>
      <c r="K253" s="44"/>
      <c r="L253" s="44"/>
      <c r="M253" s="44"/>
      <c r="N253" s="20" t="str">
        <f aca="false">IFERROR(INDEX('Lift Inputs'!$H:$H,MATCH(D253,'Lift Inputs'!$B:$B,0)),"")</f>
        <v/>
      </c>
      <c r="O253" s="36" t="str">
        <f aca="false">IF(AND(ISNUMBER(N253),OR(ISNUMBER(G253),ISNUMBER(K253))),IF(MIN(IF(ISNUMBER(G253),G253,10^9),IF(ISNUMBER(K253),K253,10^9))&lt;N253,"YES","no"),"")</f>
        <v/>
      </c>
      <c r="P253" s="44"/>
      <c r="Q253" s="44"/>
    </row>
    <row r="254" customFormat="false" ht="15" hidden="false" customHeight="false" outlineLevel="0" collapsed="false">
      <c r="A254" s="45"/>
      <c r="B254" s="44"/>
      <c r="C254" s="44"/>
      <c r="D254" s="44"/>
      <c r="E254" s="44"/>
      <c r="F254" s="44"/>
      <c r="G254" s="44"/>
      <c r="H254" s="44"/>
      <c r="I254" s="44"/>
      <c r="J254" s="44"/>
      <c r="K254" s="44"/>
      <c r="L254" s="44"/>
      <c r="M254" s="44"/>
      <c r="N254" s="20" t="str">
        <f aca="false">IFERROR(INDEX('Lift Inputs'!$H:$H,MATCH(D254,'Lift Inputs'!$B:$B,0)),"")</f>
        <v/>
      </c>
      <c r="O254" s="36" t="str">
        <f aca="false">IF(AND(ISNUMBER(N254),OR(ISNUMBER(G254),ISNUMBER(K254))),IF(MIN(IF(ISNUMBER(G254),G254,10^9),IF(ISNUMBER(K254),K254,10^9))&lt;N254,"YES","no"),"")</f>
        <v/>
      </c>
      <c r="P254" s="44"/>
      <c r="Q254" s="44"/>
    </row>
    <row r="255" customFormat="false" ht="15" hidden="false" customHeight="false" outlineLevel="0" collapsed="false">
      <c r="A255" s="45"/>
      <c r="B255" s="44"/>
      <c r="C255" s="44"/>
      <c r="D255" s="44"/>
      <c r="E255" s="44"/>
      <c r="F255" s="44"/>
      <c r="G255" s="44"/>
      <c r="H255" s="44"/>
      <c r="I255" s="44"/>
      <c r="J255" s="44"/>
      <c r="K255" s="44"/>
      <c r="L255" s="44"/>
      <c r="M255" s="44"/>
      <c r="N255" s="20" t="str">
        <f aca="false">IFERROR(INDEX('Lift Inputs'!$H:$H,MATCH(D255,'Lift Inputs'!$B:$B,0)),"")</f>
        <v/>
      </c>
      <c r="O255" s="36" t="str">
        <f aca="false">IF(AND(ISNUMBER(N255),OR(ISNUMBER(G255),ISNUMBER(K255))),IF(MIN(IF(ISNUMBER(G255),G255,10^9),IF(ISNUMBER(K255),K255,10^9))&lt;N255,"YES","no"),"")</f>
        <v/>
      </c>
      <c r="P255" s="44"/>
      <c r="Q255" s="44"/>
    </row>
    <row r="256" customFormat="false" ht="15" hidden="false" customHeight="false" outlineLevel="0" collapsed="false">
      <c r="A256" s="45"/>
      <c r="B256" s="44"/>
      <c r="C256" s="44"/>
      <c r="D256" s="44"/>
      <c r="E256" s="44"/>
      <c r="F256" s="44"/>
      <c r="G256" s="44"/>
      <c r="H256" s="44"/>
      <c r="I256" s="44"/>
      <c r="J256" s="44"/>
      <c r="K256" s="44"/>
      <c r="L256" s="44"/>
      <c r="M256" s="44"/>
      <c r="N256" s="20" t="str">
        <f aca="false">IFERROR(INDEX('Lift Inputs'!$H:$H,MATCH(D256,'Lift Inputs'!$B:$B,0)),"")</f>
        <v/>
      </c>
      <c r="O256" s="36" t="str">
        <f aca="false">IF(AND(ISNUMBER(N256),OR(ISNUMBER(G256),ISNUMBER(K256))),IF(MIN(IF(ISNUMBER(G256),G256,10^9),IF(ISNUMBER(K256),K256,10^9))&lt;N256,"YES","no"),"")</f>
        <v/>
      </c>
      <c r="P256" s="44"/>
      <c r="Q256" s="44"/>
    </row>
    <row r="257" customFormat="false" ht="15" hidden="false" customHeight="false" outlineLevel="0" collapsed="false">
      <c r="A257" s="45"/>
      <c r="B257" s="44"/>
      <c r="C257" s="44"/>
      <c r="D257" s="44"/>
      <c r="E257" s="44"/>
      <c r="F257" s="44"/>
      <c r="G257" s="44"/>
      <c r="H257" s="44"/>
      <c r="I257" s="44"/>
      <c r="J257" s="44"/>
      <c r="K257" s="44"/>
      <c r="L257" s="44"/>
      <c r="M257" s="44"/>
      <c r="N257" s="20" t="str">
        <f aca="false">IFERROR(INDEX('Lift Inputs'!$H:$H,MATCH(D257,'Lift Inputs'!$B:$B,0)),"")</f>
        <v/>
      </c>
      <c r="O257" s="36" t="str">
        <f aca="false">IF(AND(ISNUMBER(N257),OR(ISNUMBER(G257),ISNUMBER(K257))),IF(MIN(IF(ISNUMBER(G257),G257,10^9),IF(ISNUMBER(K257),K257,10^9))&lt;N257,"YES","no"),"")</f>
        <v/>
      </c>
      <c r="P257" s="44"/>
      <c r="Q257" s="44"/>
    </row>
    <row r="258" customFormat="false" ht="15" hidden="false" customHeight="false" outlineLevel="0" collapsed="false">
      <c r="A258" s="45"/>
      <c r="B258" s="44"/>
      <c r="C258" s="44"/>
      <c r="D258" s="44"/>
      <c r="E258" s="44"/>
      <c r="F258" s="44"/>
      <c r="G258" s="44"/>
      <c r="H258" s="44"/>
      <c r="I258" s="44"/>
      <c r="J258" s="44"/>
      <c r="K258" s="44"/>
      <c r="L258" s="44"/>
      <c r="M258" s="44"/>
      <c r="N258" s="20" t="str">
        <f aca="false">IFERROR(INDEX('Lift Inputs'!$H:$H,MATCH(D258,'Lift Inputs'!$B:$B,0)),"")</f>
        <v/>
      </c>
      <c r="O258" s="36" t="str">
        <f aca="false">IF(AND(ISNUMBER(N258),OR(ISNUMBER(G258),ISNUMBER(K258))),IF(MIN(IF(ISNUMBER(G258),G258,10^9),IF(ISNUMBER(K258),K258,10^9))&lt;N258,"YES","no"),"")</f>
        <v/>
      </c>
      <c r="P258" s="44"/>
      <c r="Q258" s="44"/>
    </row>
    <row r="259" customFormat="false" ht="15" hidden="false" customHeight="false" outlineLevel="0" collapsed="false">
      <c r="A259" s="45"/>
      <c r="B259" s="44"/>
      <c r="C259" s="44"/>
      <c r="D259" s="44"/>
      <c r="E259" s="44"/>
      <c r="F259" s="44"/>
      <c r="G259" s="44"/>
      <c r="H259" s="44"/>
      <c r="I259" s="44"/>
      <c r="J259" s="44"/>
      <c r="K259" s="44"/>
      <c r="L259" s="44"/>
      <c r="M259" s="44"/>
      <c r="N259" s="20" t="str">
        <f aca="false">IFERROR(INDEX('Lift Inputs'!$H:$H,MATCH(D259,'Lift Inputs'!$B:$B,0)),"")</f>
        <v/>
      </c>
      <c r="O259" s="36" t="str">
        <f aca="false">IF(AND(ISNUMBER(N259),OR(ISNUMBER(G259),ISNUMBER(K259))),IF(MIN(IF(ISNUMBER(G259),G259,10^9),IF(ISNUMBER(K259),K259,10^9))&lt;N259,"YES","no"),"")</f>
        <v/>
      </c>
      <c r="P259" s="44"/>
      <c r="Q259" s="44"/>
    </row>
    <row r="260" customFormat="false" ht="15" hidden="false" customHeight="false" outlineLevel="0" collapsed="false">
      <c r="A260" s="45"/>
      <c r="B260" s="44"/>
      <c r="C260" s="44"/>
      <c r="D260" s="44"/>
      <c r="E260" s="44"/>
      <c r="F260" s="44"/>
      <c r="G260" s="44"/>
      <c r="H260" s="44"/>
      <c r="I260" s="44"/>
      <c r="J260" s="44"/>
      <c r="K260" s="44"/>
      <c r="L260" s="44"/>
      <c r="M260" s="44"/>
      <c r="N260" s="20" t="str">
        <f aca="false">IFERROR(INDEX('Lift Inputs'!$H:$H,MATCH(D260,'Lift Inputs'!$B:$B,0)),"")</f>
        <v/>
      </c>
      <c r="O260" s="36" t="str">
        <f aca="false">IF(AND(ISNUMBER(N260),OR(ISNUMBER(G260),ISNUMBER(K260))),IF(MIN(IF(ISNUMBER(G260),G260,10^9),IF(ISNUMBER(K260),K260,10^9))&lt;N260,"YES","no"),"")</f>
        <v/>
      </c>
      <c r="P260" s="44"/>
      <c r="Q260" s="44"/>
    </row>
    <row r="261" customFormat="false" ht="15" hidden="false" customHeight="false" outlineLevel="0" collapsed="false">
      <c r="A261" s="45"/>
      <c r="B261" s="44"/>
      <c r="C261" s="44"/>
      <c r="D261" s="44"/>
      <c r="E261" s="44"/>
      <c r="F261" s="44"/>
      <c r="G261" s="44"/>
      <c r="H261" s="44"/>
      <c r="I261" s="44"/>
      <c r="J261" s="44"/>
      <c r="K261" s="44"/>
      <c r="L261" s="44"/>
      <c r="M261" s="44"/>
      <c r="N261" s="20" t="str">
        <f aca="false">IFERROR(INDEX('Lift Inputs'!$H:$H,MATCH(D261,'Lift Inputs'!$B:$B,0)),"")</f>
        <v/>
      </c>
      <c r="O261" s="36" t="str">
        <f aca="false">IF(AND(ISNUMBER(N261),OR(ISNUMBER(G261),ISNUMBER(K261))),IF(MIN(IF(ISNUMBER(G261),G261,10^9),IF(ISNUMBER(K261),K261,10^9))&lt;N261,"YES","no"),"")</f>
        <v/>
      </c>
      <c r="P261" s="44"/>
      <c r="Q261" s="44"/>
    </row>
    <row r="262" customFormat="false" ht="15" hidden="false" customHeight="false" outlineLevel="0" collapsed="false">
      <c r="A262" s="45"/>
      <c r="B262" s="44"/>
      <c r="C262" s="44"/>
      <c r="D262" s="44"/>
      <c r="E262" s="44"/>
      <c r="F262" s="44"/>
      <c r="G262" s="44"/>
      <c r="H262" s="44"/>
      <c r="I262" s="44"/>
      <c r="J262" s="44"/>
      <c r="K262" s="44"/>
      <c r="L262" s="44"/>
      <c r="M262" s="44"/>
      <c r="N262" s="20" t="str">
        <f aca="false">IFERROR(INDEX('Lift Inputs'!$H:$H,MATCH(D262,'Lift Inputs'!$B:$B,0)),"")</f>
        <v/>
      </c>
      <c r="O262" s="36" t="str">
        <f aca="false">IF(AND(ISNUMBER(N262),OR(ISNUMBER(G262),ISNUMBER(K262))),IF(MIN(IF(ISNUMBER(G262),G262,10^9),IF(ISNUMBER(K262),K262,10^9))&lt;N262,"YES","no"),"")</f>
        <v/>
      </c>
      <c r="P262" s="44"/>
      <c r="Q262" s="44"/>
    </row>
    <row r="263" customFormat="false" ht="15" hidden="false" customHeight="false" outlineLevel="0" collapsed="false">
      <c r="A263" s="45"/>
      <c r="B263" s="44"/>
      <c r="C263" s="44"/>
      <c r="D263" s="44"/>
      <c r="E263" s="44"/>
      <c r="F263" s="44"/>
      <c r="G263" s="44"/>
      <c r="H263" s="44"/>
      <c r="I263" s="44"/>
      <c r="J263" s="44"/>
      <c r="K263" s="44"/>
      <c r="L263" s="44"/>
      <c r="M263" s="44"/>
      <c r="N263" s="20" t="str">
        <f aca="false">IFERROR(INDEX('Lift Inputs'!$H:$H,MATCH(D263,'Lift Inputs'!$B:$B,0)),"")</f>
        <v/>
      </c>
      <c r="O263" s="36" t="str">
        <f aca="false">IF(AND(ISNUMBER(N263),OR(ISNUMBER(G263),ISNUMBER(K263))),IF(MIN(IF(ISNUMBER(G263),G263,10^9),IF(ISNUMBER(K263),K263,10^9))&lt;N263,"YES","no"),"")</f>
        <v/>
      </c>
      <c r="P263" s="44"/>
      <c r="Q263" s="44"/>
    </row>
    <row r="264" customFormat="false" ht="15" hidden="false" customHeight="false" outlineLevel="0" collapsed="false">
      <c r="A264" s="45"/>
      <c r="B264" s="44"/>
      <c r="C264" s="44"/>
      <c r="D264" s="44"/>
      <c r="E264" s="44"/>
      <c r="F264" s="44"/>
      <c r="G264" s="44"/>
      <c r="H264" s="44"/>
      <c r="I264" s="44"/>
      <c r="J264" s="44"/>
      <c r="K264" s="44"/>
      <c r="L264" s="44"/>
      <c r="M264" s="44"/>
      <c r="N264" s="20" t="str">
        <f aca="false">IFERROR(INDEX('Lift Inputs'!$H:$H,MATCH(D264,'Lift Inputs'!$B:$B,0)),"")</f>
        <v/>
      </c>
      <c r="O264" s="36" t="str">
        <f aca="false">IF(AND(ISNUMBER(N264),OR(ISNUMBER(G264),ISNUMBER(K264))),IF(MIN(IF(ISNUMBER(G264),G264,10^9),IF(ISNUMBER(K264),K264,10^9))&lt;N264,"YES","no"),"")</f>
        <v/>
      </c>
      <c r="P264" s="44"/>
      <c r="Q264" s="44"/>
    </row>
    <row r="265" customFormat="false" ht="15" hidden="false" customHeight="false" outlineLevel="0" collapsed="false">
      <c r="A265" s="45"/>
      <c r="B265" s="44"/>
      <c r="C265" s="44"/>
      <c r="D265" s="44"/>
      <c r="E265" s="44"/>
      <c r="F265" s="44"/>
      <c r="G265" s="44"/>
      <c r="H265" s="44"/>
      <c r="I265" s="44"/>
      <c r="J265" s="44"/>
      <c r="K265" s="44"/>
      <c r="L265" s="44"/>
      <c r="M265" s="44"/>
      <c r="N265" s="20" t="str">
        <f aca="false">IFERROR(INDEX('Lift Inputs'!$H:$H,MATCH(D265,'Lift Inputs'!$B:$B,0)),"")</f>
        <v/>
      </c>
      <c r="O265" s="36" t="str">
        <f aca="false">IF(AND(ISNUMBER(N265),OR(ISNUMBER(G265),ISNUMBER(K265))),IF(MIN(IF(ISNUMBER(G265),G265,10^9),IF(ISNUMBER(K265),K265,10^9))&lt;N265,"YES","no"),"")</f>
        <v/>
      </c>
      <c r="P265" s="44"/>
      <c r="Q265" s="44"/>
    </row>
    <row r="266" customFormat="false" ht="15" hidden="false" customHeight="false" outlineLevel="0" collapsed="false">
      <c r="A266" s="45"/>
      <c r="B266" s="44"/>
      <c r="C266" s="44"/>
      <c r="D266" s="44"/>
      <c r="E266" s="44"/>
      <c r="F266" s="44"/>
      <c r="G266" s="44"/>
      <c r="H266" s="44"/>
      <c r="I266" s="44"/>
      <c r="J266" s="44"/>
      <c r="K266" s="44"/>
      <c r="L266" s="44"/>
      <c r="M266" s="44"/>
      <c r="N266" s="20" t="str">
        <f aca="false">IFERROR(INDEX('Lift Inputs'!$H:$H,MATCH(D266,'Lift Inputs'!$B:$B,0)),"")</f>
        <v/>
      </c>
      <c r="O266" s="36" t="str">
        <f aca="false">IF(AND(ISNUMBER(N266),OR(ISNUMBER(G266),ISNUMBER(K266))),IF(MIN(IF(ISNUMBER(G266),G266,10^9),IF(ISNUMBER(K266),K266,10^9))&lt;N266,"YES","no"),"")</f>
        <v/>
      </c>
      <c r="P266" s="44"/>
      <c r="Q266" s="44"/>
    </row>
    <row r="267" customFormat="false" ht="15" hidden="false" customHeight="false" outlineLevel="0" collapsed="false">
      <c r="A267" s="45"/>
      <c r="B267" s="44"/>
      <c r="C267" s="44"/>
      <c r="D267" s="44"/>
      <c r="E267" s="44"/>
      <c r="F267" s="44"/>
      <c r="G267" s="44"/>
      <c r="H267" s="44"/>
      <c r="I267" s="44"/>
      <c r="J267" s="44"/>
      <c r="K267" s="44"/>
      <c r="L267" s="44"/>
      <c r="M267" s="44"/>
      <c r="N267" s="20" t="str">
        <f aca="false">IFERROR(INDEX('Lift Inputs'!$H:$H,MATCH(D267,'Lift Inputs'!$B:$B,0)),"")</f>
        <v/>
      </c>
      <c r="O267" s="36" t="str">
        <f aca="false">IF(AND(ISNUMBER(N267),OR(ISNUMBER(G267),ISNUMBER(K267))),IF(MIN(IF(ISNUMBER(G267),G267,10^9),IF(ISNUMBER(K267),K267,10^9))&lt;N267,"YES","no"),"")</f>
        <v/>
      </c>
      <c r="P267" s="44"/>
      <c r="Q267" s="44"/>
    </row>
    <row r="268" customFormat="false" ht="15" hidden="false" customHeight="false" outlineLevel="0" collapsed="false">
      <c r="A268" s="45"/>
      <c r="B268" s="44"/>
      <c r="C268" s="44"/>
      <c r="D268" s="44"/>
      <c r="E268" s="44"/>
      <c r="F268" s="44"/>
      <c r="G268" s="44"/>
      <c r="H268" s="44"/>
      <c r="I268" s="44"/>
      <c r="J268" s="44"/>
      <c r="K268" s="44"/>
      <c r="L268" s="44"/>
      <c r="M268" s="44"/>
      <c r="N268" s="20" t="str">
        <f aca="false">IFERROR(INDEX('Lift Inputs'!$H:$H,MATCH(D268,'Lift Inputs'!$B:$B,0)),"")</f>
        <v/>
      </c>
      <c r="O268" s="36" t="str">
        <f aca="false">IF(AND(ISNUMBER(N268),OR(ISNUMBER(G268),ISNUMBER(K268))),IF(MIN(IF(ISNUMBER(G268),G268,10^9),IF(ISNUMBER(K268),K268,10^9))&lt;N268,"YES","no"),"")</f>
        <v/>
      </c>
      <c r="P268" s="44"/>
      <c r="Q268" s="44"/>
    </row>
    <row r="269" customFormat="false" ht="15" hidden="false" customHeight="false" outlineLevel="0" collapsed="false">
      <c r="A269" s="45"/>
      <c r="B269" s="44"/>
      <c r="C269" s="44"/>
      <c r="D269" s="44"/>
      <c r="E269" s="44"/>
      <c r="F269" s="44"/>
      <c r="G269" s="44"/>
      <c r="H269" s="44"/>
      <c r="I269" s="44"/>
      <c r="J269" s="44"/>
      <c r="K269" s="44"/>
      <c r="L269" s="44"/>
      <c r="M269" s="44"/>
      <c r="N269" s="20" t="str">
        <f aca="false">IFERROR(INDEX('Lift Inputs'!$H:$H,MATCH(D269,'Lift Inputs'!$B:$B,0)),"")</f>
        <v/>
      </c>
      <c r="O269" s="36" t="str">
        <f aca="false">IF(AND(ISNUMBER(N269),OR(ISNUMBER(G269),ISNUMBER(K269))),IF(MIN(IF(ISNUMBER(G269),G269,10^9),IF(ISNUMBER(K269),K269,10^9))&lt;N269,"YES","no"),"")</f>
        <v/>
      </c>
      <c r="P269" s="44"/>
      <c r="Q269" s="44"/>
    </row>
    <row r="270" customFormat="false" ht="15" hidden="false" customHeight="false" outlineLevel="0" collapsed="false">
      <c r="A270" s="45"/>
      <c r="B270" s="44"/>
      <c r="C270" s="44"/>
      <c r="D270" s="44"/>
      <c r="E270" s="44"/>
      <c r="F270" s="44"/>
      <c r="G270" s="44"/>
      <c r="H270" s="44"/>
      <c r="I270" s="44"/>
      <c r="J270" s="44"/>
      <c r="K270" s="44"/>
      <c r="L270" s="44"/>
      <c r="M270" s="44"/>
      <c r="N270" s="20" t="str">
        <f aca="false">IFERROR(INDEX('Lift Inputs'!$H:$H,MATCH(D270,'Lift Inputs'!$B:$B,0)),"")</f>
        <v/>
      </c>
      <c r="O270" s="36" t="str">
        <f aca="false">IF(AND(ISNUMBER(N270),OR(ISNUMBER(G270),ISNUMBER(K270))),IF(MIN(IF(ISNUMBER(G270),G270,10^9),IF(ISNUMBER(K270),K270,10^9))&lt;N270,"YES","no"),"")</f>
        <v/>
      </c>
      <c r="P270" s="44"/>
      <c r="Q270" s="44"/>
    </row>
    <row r="271" customFormat="false" ht="15" hidden="false" customHeight="false" outlineLevel="0" collapsed="false">
      <c r="A271" s="45"/>
      <c r="B271" s="44"/>
      <c r="C271" s="44"/>
      <c r="D271" s="44"/>
      <c r="E271" s="44"/>
      <c r="F271" s="44"/>
      <c r="G271" s="44"/>
      <c r="H271" s="44"/>
      <c r="I271" s="44"/>
      <c r="J271" s="44"/>
      <c r="K271" s="44"/>
      <c r="L271" s="44"/>
      <c r="M271" s="44"/>
      <c r="N271" s="20" t="str">
        <f aca="false">IFERROR(INDEX('Lift Inputs'!$H:$H,MATCH(D271,'Lift Inputs'!$B:$B,0)),"")</f>
        <v/>
      </c>
      <c r="O271" s="36" t="str">
        <f aca="false">IF(AND(ISNUMBER(N271),OR(ISNUMBER(G271),ISNUMBER(K271))),IF(MIN(IF(ISNUMBER(G271),G271,10^9),IF(ISNUMBER(K271),K271,10^9))&lt;N271,"YES","no"),"")</f>
        <v/>
      </c>
      <c r="P271" s="44"/>
      <c r="Q271" s="44"/>
    </row>
    <row r="272" customFormat="false" ht="15" hidden="false" customHeight="false" outlineLevel="0" collapsed="false">
      <c r="A272" s="45"/>
      <c r="B272" s="44"/>
      <c r="C272" s="44"/>
      <c r="D272" s="44"/>
      <c r="E272" s="44"/>
      <c r="F272" s="44"/>
      <c r="G272" s="44"/>
      <c r="H272" s="44"/>
      <c r="I272" s="44"/>
      <c r="J272" s="44"/>
      <c r="K272" s="44"/>
      <c r="L272" s="44"/>
      <c r="M272" s="44"/>
      <c r="N272" s="20" t="str">
        <f aca="false">IFERROR(INDEX('Lift Inputs'!$H:$H,MATCH(D272,'Lift Inputs'!$B:$B,0)),"")</f>
        <v/>
      </c>
      <c r="O272" s="36" t="str">
        <f aca="false">IF(AND(ISNUMBER(N272),OR(ISNUMBER(G272),ISNUMBER(K272))),IF(MIN(IF(ISNUMBER(G272),G272,10^9),IF(ISNUMBER(K272),K272,10^9))&lt;N272,"YES","no"),"")</f>
        <v/>
      </c>
      <c r="P272" s="44"/>
      <c r="Q272" s="44"/>
    </row>
    <row r="273" customFormat="false" ht="15" hidden="false" customHeight="false" outlineLevel="0" collapsed="false">
      <c r="A273" s="45"/>
      <c r="B273" s="44"/>
      <c r="C273" s="44"/>
      <c r="D273" s="44"/>
      <c r="E273" s="44"/>
      <c r="F273" s="44"/>
      <c r="G273" s="44"/>
      <c r="H273" s="44"/>
      <c r="I273" s="44"/>
      <c r="J273" s="44"/>
      <c r="K273" s="44"/>
      <c r="L273" s="44"/>
      <c r="M273" s="44"/>
      <c r="N273" s="20" t="str">
        <f aca="false">IFERROR(INDEX('Lift Inputs'!$H:$H,MATCH(D273,'Lift Inputs'!$B:$B,0)),"")</f>
        <v/>
      </c>
      <c r="O273" s="36" t="str">
        <f aca="false">IF(AND(ISNUMBER(N273),OR(ISNUMBER(G273),ISNUMBER(K273))),IF(MIN(IF(ISNUMBER(G273),G273,10^9),IF(ISNUMBER(K273),K273,10^9))&lt;N273,"YES","no"),"")</f>
        <v/>
      </c>
      <c r="P273" s="44"/>
      <c r="Q273" s="44"/>
    </row>
    <row r="274" customFormat="false" ht="15" hidden="false" customHeight="false" outlineLevel="0" collapsed="false">
      <c r="A274" s="45"/>
      <c r="B274" s="44"/>
      <c r="C274" s="44"/>
      <c r="D274" s="44"/>
      <c r="E274" s="44"/>
      <c r="F274" s="44"/>
      <c r="G274" s="44"/>
      <c r="H274" s="44"/>
      <c r="I274" s="44"/>
      <c r="J274" s="44"/>
      <c r="K274" s="44"/>
      <c r="L274" s="44"/>
      <c r="M274" s="44"/>
      <c r="N274" s="20" t="str">
        <f aca="false">IFERROR(INDEX('Lift Inputs'!$H:$H,MATCH(D274,'Lift Inputs'!$B:$B,0)),"")</f>
        <v/>
      </c>
      <c r="O274" s="36" t="str">
        <f aca="false">IF(AND(ISNUMBER(N274),OR(ISNUMBER(G274),ISNUMBER(K274))),IF(MIN(IF(ISNUMBER(G274),G274,10^9),IF(ISNUMBER(K274),K274,10^9))&lt;N274,"YES","no"),"")</f>
        <v/>
      </c>
      <c r="P274" s="44"/>
      <c r="Q274" s="44"/>
    </row>
    <row r="275" customFormat="false" ht="15" hidden="false" customHeight="false" outlineLevel="0" collapsed="false">
      <c r="A275" s="45"/>
      <c r="B275" s="44"/>
      <c r="C275" s="44"/>
      <c r="D275" s="44"/>
      <c r="E275" s="44"/>
      <c r="F275" s="44"/>
      <c r="G275" s="44"/>
      <c r="H275" s="44"/>
      <c r="I275" s="44"/>
      <c r="J275" s="44"/>
      <c r="K275" s="44"/>
      <c r="L275" s="44"/>
      <c r="M275" s="44"/>
      <c r="N275" s="20" t="str">
        <f aca="false">IFERROR(INDEX('Lift Inputs'!$H:$H,MATCH(D275,'Lift Inputs'!$B:$B,0)),"")</f>
        <v/>
      </c>
      <c r="O275" s="36" t="str">
        <f aca="false">IF(AND(ISNUMBER(N275),OR(ISNUMBER(G275),ISNUMBER(K275))),IF(MIN(IF(ISNUMBER(G275),G275,10^9),IF(ISNUMBER(K275),K275,10^9))&lt;N275,"YES","no"),"")</f>
        <v/>
      </c>
      <c r="P275" s="44"/>
      <c r="Q275" s="44"/>
    </row>
    <row r="276" customFormat="false" ht="15" hidden="false" customHeight="false" outlineLevel="0" collapsed="false">
      <c r="A276" s="45"/>
      <c r="B276" s="44"/>
      <c r="C276" s="44"/>
      <c r="D276" s="44"/>
      <c r="E276" s="44"/>
      <c r="F276" s="44"/>
      <c r="G276" s="44"/>
      <c r="H276" s="44"/>
      <c r="I276" s="44"/>
      <c r="J276" s="44"/>
      <c r="K276" s="44"/>
      <c r="L276" s="44"/>
      <c r="M276" s="44"/>
      <c r="N276" s="20" t="str">
        <f aca="false">IFERROR(INDEX('Lift Inputs'!$H:$H,MATCH(D276,'Lift Inputs'!$B:$B,0)),"")</f>
        <v/>
      </c>
      <c r="O276" s="36" t="str">
        <f aca="false">IF(AND(ISNUMBER(N276),OR(ISNUMBER(G276),ISNUMBER(K276))),IF(MIN(IF(ISNUMBER(G276),G276,10^9),IF(ISNUMBER(K276),K276,10^9))&lt;N276,"YES","no"),"")</f>
        <v/>
      </c>
      <c r="P276" s="44"/>
      <c r="Q276" s="44"/>
    </row>
    <row r="277" customFormat="false" ht="15" hidden="false" customHeight="false" outlineLevel="0" collapsed="false">
      <c r="A277" s="45"/>
      <c r="B277" s="44"/>
      <c r="C277" s="44"/>
      <c r="D277" s="44"/>
      <c r="E277" s="44"/>
      <c r="F277" s="44"/>
      <c r="G277" s="44"/>
      <c r="H277" s="44"/>
      <c r="I277" s="44"/>
      <c r="J277" s="44"/>
      <c r="K277" s="44"/>
      <c r="L277" s="44"/>
      <c r="M277" s="44"/>
      <c r="N277" s="20" t="str">
        <f aca="false">IFERROR(INDEX('Lift Inputs'!$H:$H,MATCH(D277,'Lift Inputs'!$B:$B,0)),"")</f>
        <v/>
      </c>
      <c r="O277" s="36" t="str">
        <f aca="false">IF(AND(ISNUMBER(N277),OR(ISNUMBER(G277),ISNUMBER(K277))),IF(MIN(IF(ISNUMBER(G277),G277,10^9),IF(ISNUMBER(K277),K277,10^9))&lt;N277,"YES","no"),"")</f>
        <v/>
      </c>
      <c r="P277" s="44"/>
      <c r="Q277" s="44"/>
    </row>
    <row r="278" customFormat="false" ht="15" hidden="false" customHeight="false" outlineLevel="0" collapsed="false">
      <c r="A278" s="45"/>
      <c r="B278" s="44"/>
      <c r="C278" s="44"/>
      <c r="D278" s="44"/>
      <c r="E278" s="44"/>
      <c r="F278" s="44"/>
      <c r="G278" s="44"/>
      <c r="H278" s="44"/>
      <c r="I278" s="44"/>
      <c r="J278" s="44"/>
      <c r="K278" s="44"/>
      <c r="L278" s="44"/>
      <c r="M278" s="44"/>
      <c r="N278" s="20" t="str">
        <f aca="false">IFERROR(INDEX('Lift Inputs'!$H:$H,MATCH(D278,'Lift Inputs'!$B:$B,0)),"")</f>
        <v/>
      </c>
      <c r="O278" s="36" t="str">
        <f aca="false">IF(AND(ISNUMBER(N278),OR(ISNUMBER(G278),ISNUMBER(K278))),IF(MIN(IF(ISNUMBER(G278),G278,10^9),IF(ISNUMBER(K278),K278,10^9))&lt;N278,"YES","no"),"")</f>
        <v/>
      </c>
      <c r="P278" s="44"/>
      <c r="Q278" s="44"/>
    </row>
    <row r="279" customFormat="false" ht="15" hidden="false" customHeight="false" outlineLevel="0" collapsed="false">
      <c r="A279" s="45"/>
      <c r="B279" s="44"/>
      <c r="C279" s="44"/>
      <c r="D279" s="44"/>
      <c r="E279" s="44"/>
      <c r="F279" s="44"/>
      <c r="G279" s="44"/>
      <c r="H279" s="44"/>
      <c r="I279" s="44"/>
      <c r="J279" s="44"/>
      <c r="K279" s="44"/>
      <c r="L279" s="44"/>
      <c r="M279" s="44"/>
      <c r="N279" s="20" t="str">
        <f aca="false">IFERROR(INDEX('Lift Inputs'!$H:$H,MATCH(D279,'Lift Inputs'!$B:$B,0)),"")</f>
        <v/>
      </c>
      <c r="O279" s="36" t="str">
        <f aca="false">IF(AND(ISNUMBER(N279),OR(ISNUMBER(G279),ISNUMBER(K279))),IF(MIN(IF(ISNUMBER(G279),G279,10^9),IF(ISNUMBER(K279),K279,10^9))&lt;N279,"YES","no"),"")</f>
        <v/>
      </c>
      <c r="P279" s="44"/>
      <c r="Q279" s="44"/>
    </row>
    <row r="280" customFormat="false" ht="15" hidden="false" customHeight="false" outlineLevel="0" collapsed="false">
      <c r="A280" s="45"/>
      <c r="B280" s="44"/>
      <c r="C280" s="44"/>
      <c r="D280" s="44"/>
      <c r="E280" s="44"/>
      <c r="F280" s="44"/>
      <c r="G280" s="44"/>
      <c r="H280" s="44"/>
      <c r="I280" s="44"/>
      <c r="J280" s="44"/>
      <c r="K280" s="44"/>
      <c r="L280" s="44"/>
      <c r="M280" s="44"/>
      <c r="N280" s="20" t="str">
        <f aca="false">IFERROR(INDEX('Lift Inputs'!$H:$H,MATCH(D280,'Lift Inputs'!$B:$B,0)),"")</f>
        <v/>
      </c>
      <c r="O280" s="36" t="str">
        <f aca="false">IF(AND(ISNUMBER(N280),OR(ISNUMBER(G280),ISNUMBER(K280))),IF(MIN(IF(ISNUMBER(G280),G280,10^9),IF(ISNUMBER(K280),K280,10^9))&lt;N280,"YES","no"),"")</f>
        <v/>
      </c>
      <c r="P280" s="44"/>
      <c r="Q280" s="44"/>
    </row>
    <row r="281" customFormat="false" ht="15" hidden="false" customHeight="false" outlineLevel="0" collapsed="false">
      <c r="A281" s="45"/>
      <c r="B281" s="44"/>
      <c r="C281" s="44"/>
      <c r="D281" s="44"/>
      <c r="E281" s="44"/>
      <c r="F281" s="44"/>
      <c r="G281" s="44"/>
      <c r="H281" s="44"/>
      <c r="I281" s="44"/>
      <c r="J281" s="44"/>
      <c r="K281" s="44"/>
      <c r="L281" s="44"/>
      <c r="M281" s="44"/>
      <c r="N281" s="20" t="str">
        <f aca="false">IFERROR(INDEX('Lift Inputs'!$H:$H,MATCH(D281,'Lift Inputs'!$B:$B,0)),"")</f>
        <v/>
      </c>
      <c r="O281" s="36" t="str">
        <f aca="false">IF(AND(ISNUMBER(N281),OR(ISNUMBER(G281),ISNUMBER(K281))),IF(MIN(IF(ISNUMBER(G281),G281,10^9),IF(ISNUMBER(K281),K281,10^9))&lt;N281,"YES","no"),"")</f>
        <v/>
      </c>
      <c r="P281" s="44"/>
      <c r="Q281" s="44"/>
    </row>
    <row r="282" customFormat="false" ht="15" hidden="false" customHeight="false" outlineLevel="0" collapsed="false">
      <c r="A282" s="45"/>
      <c r="B282" s="44"/>
      <c r="C282" s="44"/>
      <c r="D282" s="44"/>
      <c r="E282" s="44"/>
      <c r="F282" s="44"/>
      <c r="G282" s="44"/>
      <c r="H282" s="44"/>
      <c r="I282" s="44"/>
      <c r="J282" s="44"/>
      <c r="K282" s="44"/>
      <c r="L282" s="44"/>
      <c r="M282" s="44"/>
      <c r="N282" s="20" t="str">
        <f aca="false">IFERROR(INDEX('Lift Inputs'!$H:$H,MATCH(D282,'Lift Inputs'!$B:$B,0)),"")</f>
        <v/>
      </c>
      <c r="O282" s="36" t="str">
        <f aca="false">IF(AND(ISNUMBER(N282),OR(ISNUMBER(G282),ISNUMBER(K282))),IF(MIN(IF(ISNUMBER(G282),G282,10^9),IF(ISNUMBER(K282),K282,10^9))&lt;N282,"YES","no"),"")</f>
        <v/>
      </c>
      <c r="P282" s="44"/>
      <c r="Q282" s="44"/>
    </row>
    <row r="283" customFormat="false" ht="15" hidden="false" customHeight="false" outlineLevel="0" collapsed="false">
      <c r="A283" s="45"/>
      <c r="B283" s="44"/>
      <c r="C283" s="44"/>
      <c r="D283" s="44"/>
      <c r="E283" s="44"/>
      <c r="F283" s="44"/>
      <c r="G283" s="44"/>
      <c r="H283" s="44"/>
      <c r="I283" s="44"/>
      <c r="J283" s="44"/>
      <c r="K283" s="44"/>
      <c r="L283" s="44"/>
      <c r="M283" s="44"/>
      <c r="N283" s="20" t="str">
        <f aca="false">IFERROR(INDEX('Lift Inputs'!$H:$H,MATCH(D283,'Lift Inputs'!$B:$B,0)),"")</f>
        <v/>
      </c>
      <c r="O283" s="36" t="str">
        <f aca="false">IF(AND(ISNUMBER(N283),OR(ISNUMBER(G283),ISNUMBER(K283))),IF(MIN(IF(ISNUMBER(G283),G283,10^9),IF(ISNUMBER(K283),K283,10^9))&lt;N283,"YES","no"),"")</f>
        <v/>
      </c>
      <c r="P283" s="44"/>
      <c r="Q283" s="44"/>
    </row>
    <row r="284" customFormat="false" ht="15" hidden="false" customHeight="false" outlineLevel="0" collapsed="false">
      <c r="A284" s="45"/>
      <c r="B284" s="44"/>
      <c r="C284" s="44"/>
      <c r="D284" s="44"/>
      <c r="E284" s="44"/>
      <c r="F284" s="44"/>
      <c r="G284" s="44"/>
      <c r="H284" s="44"/>
      <c r="I284" s="44"/>
      <c r="J284" s="44"/>
      <c r="K284" s="44"/>
      <c r="L284" s="44"/>
      <c r="M284" s="44"/>
      <c r="N284" s="20" t="str">
        <f aca="false">IFERROR(INDEX('Lift Inputs'!$H:$H,MATCH(D284,'Lift Inputs'!$B:$B,0)),"")</f>
        <v/>
      </c>
      <c r="O284" s="36" t="str">
        <f aca="false">IF(AND(ISNUMBER(N284),OR(ISNUMBER(G284),ISNUMBER(K284))),IF(MIN(IF(ISNUMBER(G284),G284,10^9),IF(ISNUMBER(K284),K284,10^9))&lt;N284,"YES","no"),"")</f>
        <v/>
      </c>
      <c r="P284" s="44"/>
      <c r="Q284" s="44"/>
    </row>
    <row r="285" customFormat="false" ht="15" hidden="false" customHeight="false" outlineLevel="0" collapsed="false">
      <c r="A285" s="45"/>
      <c r="B285" s="44"/>
      <c r="C285" s="44"/>
      <c r="D285" s="44"/>
      <c r="E285" s="44"/>
      <c r="F285" s="44"/>
      <c r="G285" s="44"/>
      <c r="H285" s="44"/>
      <c r="I285" s="44"/>
      <c r="J285" s="44"/>
      <c r="K285" s="44"/>
      <c r="L285" s="44"/>
      <c r="M285" s="44"/>
      <c r="N285" s="20" t="str">
        <f aca="false">IFERROR(INDEX('Lift Inputs'!$H:$H,MATCH(D285,'Lift Inputs'!$B:$B,0)),"")</f>
        <v/>
      </c>
      <c r="O285" s="36" t="str">
        <f aca="false">IF(AND(ISNUMBER(N285),OR(ISNUMBER(G285),ISNUMBER(K285))),IF(MIN(IF(ISNUMBER(G285),G285,10^9),IF(ISNUMBER(K285),K285,10^9))&lt;N285,"YES","no"),"")</f>
        <v/>
      </c>
      <c r="P285" s="44"/>
      <c r="Q285" s="44"/>
    </row>
    <row r="286" customFormat="false" ht="15" hidden="false" customHeight="false" outlineLevel="0" collapsed="false">
      <c r="A286" s="45"/>
      <c r="B286" s="44"/>
      <c r="C286" s="44"/>
      <c r="D286" s="44"/>
      <c r="E286" s="44"/>
      <c r="F286" s="44"/>
      <c r="G286" s="44"/>
      <c r="H286" s="44"/>
      <c r="I286" s="44"/>
      <c r="J286" s="44"/>
      <c r="K286" s="44"/>
      <c r="L286" s="44"/>
      <c r="M286" s="44"/>
      <c r="N286" s="20" t="str">
        <f aca="false">IFERROR(INDEX('Lift Inputs'!$H:$H,MATCH(D286,'Lift Inputs'!$B:$B,0)),"")</f>
        <v/>
      </c>
      <c r="O286" s="36" t="str">
        <f aca="false">IF(AND(ISNUMBER(N286),OR(ISNUMBER(G286),ISNUMBER(K286))),IF(MIN(IF(ISNUMBER(G286),G286,10^9),IF(ISNUMBER(K286),K286,10^9))&lt;N286,"YES","no"),"")</f>
        <v/>
      </c>
      <c r="P286" s="44"/>
      <c r="Q286" s="44"/>
    </row>
    <row r="287" customFormat="false" ht="15" hidden="false" customHeight="false" outlineLevel="0" collapsed="false">
      <c r="A287" s="45"/>
      <c r="B287" s="44"/>
      <c r="C287" s="44"/>
      <c r="D287" s="44"/>
      <c r="E287" s="44"/>
      <c r="F287" s="44"/>
      <c r="G287" s="44"/>
      <c r="H287" s="44"/>
      <c r="I287" s="44"/>
      <c r="J287" s="44"/>
      <c r="K287" s="44"/>
      <c r="L287" s="44"/>
      <c r="M287" s="44"/>
      <c r="N287" s="20" t="str">
        <f aca="false">IFERROR(INDEX('Lift Inputs'!$H:$H,MATCH(D287,'Lift Inputs'!$B:$B,0)),"")</f>
        <v/>
      </c>
      <c r="O287" s="36" t="str">
        <f aca="false">IF(AND(ISNUMBER(N287),OR(ISNUMBER(G287),ISNUMBER(K287))),IF(MIN(IF(ISNUMBER(G287),G287,10^9),IF(ISNUMBER(K287),K287,10^9))&lt;N287,"YES","no"),"")</f>
        <v/>
      </c>
      <c r="P287" s="44"/>
      <c r="Q287" s="44"/>
    </row>
    <row r="288" customFormat="false" ht="15" hidden="false" customHeight="false" outlineLevel="0" collapsed="false">
      <c r="A288" s="45"/>
      <c r="B288" s="44"/>
      <c r="C288" s="44"/>
      <c r="D288" s="44"/>
      <c r="E288" s="44"/>
      <c r="F288" s="44"/>
      <c r="G288" s="44"/>
      <c r="H288" s="44"/>
      <c r="I288" s="44"/>
      <c r="J288" s="44"/>
      <c r="K288" s="44"/>
      <c r="L288" s="44"/>
      <c r="M288" s="44"/>
      <c r="N288" s="20" t="str">
        <f aca="false">IFERROR(INDEX('Lift Inputs'!$H:$H,MATCH(D288,'Lift Inputs'!$B:$B,0)),"")</f>
        <v/>
      </c>
      <c r="O288" s="36" t="str">
        <f aca="false">IF(AND(ISNUMBER(N288),OR(ISNUMBER(G288),ISNUMBER(K288))),IF(MIN(IF(ISNUMBER(G288),G288,10^9),IF(ISNUMBER(K288),K288,10^9))&lt;N288,"YES","no"),"")</f>
        <v/>
      </c>
      <c r="P288" s="44"/>
      <c r="Q288" s="44"/>
    </row>
    <row r="289" customFormat="false" ht="15" hidden="false" customHeight="false" outlineLevel="0" collapsed="false">
      <c r="A289" s="45"/>
      <c r="B289" s="44"/>
      <c r="C289" s="44"/>
      <c r="D289" s="44"/>
      <c r="E289" s="44"/>
      <c r="F289" s="44"/>
      <c r="G289" s="44"/>
      <c r="H289" s="44"/>
      <c r="I289" s="44"/>
      <c r="J289" s="44"/>
      <c r="K289" s="44"/>
      <c r="L289" s="44"/>
      <c r="M289" s="44"/>
      <c r="N289" s="20" t="str">
        <f aca="false">IFERROR(INDEX('Lift Inputs'!$H:$H,MATCH(D289,'Lift Inputs'!$B:$B,0)),"")</f>
        <v/>
      </c>
      <c r="O289" s="36" t="str">
        <f aca="false">IF(AND(ISNUMBER(N289),OR(ISNUMBER(G289),ISNUMBER(K289))),IF(MIN(IF(ISNUMBER(G289),G289,10^9),IF(ISNUMBER(K289),K289,10^9))&lt;N289,"YES","no"),"")</f>
        <v/>
      </c>
      <c r="P289" s="44"/>
      <c r="Q289" s="44"/>
    </row>
    <row r="290" customFormat="false" ht="15" hidden="false" customHeight="false" outlineLevel="0" collapsed="false">
      <c r="A290" s="45"/>
      <c r="B290" s="44"/>
      <c r="C290" s="44"/>
      <c r="D290" s="44"/>
      <c r="E290" s="44"/>
      <c r="F290" s="44"/>
      <c r="G290" s="44"/>
      <c r="H290" s="44"/>
      <c r="I290" s="44"/>
      <c r="J290" s="44"/>
      <c r="K290" s="44"/>
      <c r="L290" s="44"/>
      <c r="M290" s="44"/>
      <c r="N290" s="20" t="str">
        <f aca="false">IFERROR(INDEX('Lift Inputs'!$H:$H,MATCH(D290,'Lift Inputs'!$B:$B,0)),"")</f>
        <v/>
      </c>
      <c r="O290" s="36" t="str">
        <f aca="false">IF(AND(ISNUMBER(N290),OR(ISNUMBER(G290),ISNUMBER(K290))),IF(MIN(IF(ISNUMBER(G290),G290,10^9),IF(ISNUMBER(K290),K290,10^9))&lt;N290,"YES","no"),"")</f>
        <v/>
      </c>
      <c r="P290" s="44"/>
      <c r="Q290" s="44"/>
    </row>
    <row r="291" customFormat="false" ht="15" hidden="false" customHeight="false" outlineLevel="0" collapsed="false">
      <c r="A291" s="45"/>
      <c r="B291" s="44"/>
      <c r="C291" s="44"/>
      <c r="D291" s="44"/>
      <c r="E291" s="44"/>
      <c r="F291" s="44"/>
      <c r="G291" s="44"/>
      <c r="H291" s="44"/>
      <c r="I291" s="44"/>
      <c r="J291" s="44"/>
      <c r="K291" s="44"/>
      <c r="L291" s="44"/>
      <c r="M291" s="44"/>
      <c r="N291" s="20" t="str">
        <f aca="false">IFERROR(INDEX('Lift Inputs'!$H:$H,MATCH(D291,'Lift Inputs'!$B:$B,0)),"")</f>
        <v/>
      </c>
      <c r="O291" s="36" t="str">
        <f aca="false">IF(AND(ISNUMBER(N291),OR(ISNUMBER(G291),ISNUMBER(K291))),IF(MIN(IF(ISNUMBER(G291),G291,10^9),IF(ISNUMBER(K291),K291,10^9))&lt;N291,"YES","no"),"")</f>
        <v/>
      </c>
      <c r="P291" s="44"/>
      <c r="Q291" s="44"/>
    </row>
    <row r="292" customFormat="false" ht="15" hidden="false" customHeight="false" outlineLevel="0" collapsed="false">
      <c r="A292" s="45"/>
      <c r="B292" s="44"/>
      <c r="C292" s="44"/>
      <c r="D292" s="44"/>
      <c r="E292" s="44"/>
      <c r="F292" s="44"/>
      <c r="G292" s="44"/>
      <c r="H292" s="44"/>
      <c r="I292" s="44"/>
      <c r="J292" s="44"/>
      <c r="K292" s="44"/>
      <c r="L292" s="44"/>
      <c r="M292" s="44"/>
      <c r="N292" s="20" t="str">
        <f aca="false">IFERROR(INDEX('Lift Inputs'!$H:$H,MATCH(D292,'Lift Inputs'!$B:$B,0)),"")</f>
        <v/>
      </c>
      <c r="O292" s="36" t="str">
        <f aca="false">IF(AND(ISNUMBER(N292),OR(ISNUMBER(G292),ISNUMBER(K292))),IF(MIN(IF(ISNUMBER(G292),G292,10^9),IF(ISNUMBER(K292),K292,10^9))&lt;N292,"YES","no"),"")</f>
        <v/>
      </c>
      <c r="P292" s="44"/>
      <c r="Q292" s="44"/>
    </row>
    <row r="293" customFormat="false" ht="15" hidden="false" customHeight="false" outlineLevel="0" collapsed="false">
      <c r="A293" s="45"/>
      <c r="B293" s="44"/>
      <c r="C293" s="44"/>
      <c r="D293" s="44"/>
      <c r="E293" s="44"/>
      <c r="F293" s="44"/>
      <c r="G293" s="44"/>
      <c r="H293" s="44"/>
      <c r="I293" s="44"/>
      <c r="J293" s="44"/>
      <c r="K293" s="44"/>
      <c r="L293" s="44"/>
      <c r="M293" s="44"/>
      <c r="N293" s="20" t="str">
        <f aca="false">IFERROR(INDEX('Lift Inputs'!$H:$H,MATCH(D293,'Lift Inputs'!$B:$B,0)),"")</f>
        <v/>
      </c>
      <c r="O293" s="36" t="str">
        <f aca="false">IF(AND(ISNUMBER(N293),OR(ISNUMBER(G293),ISNUMBER(K293))),IF(MIN(IF(ISNUMBER(G293),G293,10^9),IF(ISNUMBER(K293),K293,10^9))&lt;N293,"YES","no"),"")</f>
        <v/>
      </c>
      <c r="P293" s="44"/>
      <c r="Q293" s="44"/>
    </row>
    <row r="294" customFormat="false" ht="15" hidden="false" customHeight="false" outlineLevel="0" collapsed="false">
      <c r="A294" s="45"/>
      <c r="B294" s="44"/>
      <c r="C294" s="44"/>
      <c r="D294" s="44"/>
      <c r="E294" s="44"/>
      <c r="F294" s="44"/>
      <c r="G294" s="44"/>
      <c r="H294" s="44"/>
      <c r="I294" s="44"/>
      <c r="J294" s="44"/>
      <c r="K294" s="44"/>
      <c r="L294" s="44"/>
      <c r="M294" s="44"/>
      <c r="N294" s="20" t="str">
        <f aca="false">IFERROR(INDEX('Lift Inputs'!$H:$H,MATCH(D294,'Lift Inputs'!$B:$B,0)),"")</f>
        <v/>
      </c>
      <c r="O294" s="36" t="str">
        <f aca="false">IF(AND(ISNUMBER(N294),OR(ISNUMBER(G294),ISNUMBER(K294))),IF(MIN(IF(ISNUMBER(G294),G294,10^9),IF(ISNUMBER(K294),K294,10^9))&lt;N294,"YES","no"),"")</f>
        <v/>
      </c>
      <c r="P294" s="44"/>
      <c r="Q294" s="44"/>
    </row>
    <row r="295" customFormat="false" ht="15" hidden="false" customHeight="false" outlineLevel="0" collapsed="false">
      <c r="A295" s="45"/>
      <c r="B295" s="44"/>
      <c r="C295" s="44"/>
      <c r="D295" s="44"/>
      <c r="E295" s="44"/>
      <c r="F295" s="44"/>
      <c r="G295" s="44"/>
      <c r="H295" s="44"/>
      <c r="I295" s="44"/>
      <c r="J295" s="44"/>
      <c r="K295" s="44"/>
      <c r="L295" s="44"/>
      <c r="M295" s="44"/>
      <c r="N295" s="20" t="str">
        <f aca="false">IFERROR(INDEX('Lift Inputs'!$H:$H,MATCH(D295,'Lift Inputs'!$B:$B,0)),"")</f>
        <v/>
      </c>
      <c r="O295" s="36" t="str">
        <f aca="false">IF(AND(ISNUMBER(N295),OR(ISNUMBER(G295),ISNUMBER(K295))),IF(MIN(IF(ISNUMBER(G295),G295,10^9),IF(ISNUMBER(K295),K295,10^9))&lt;N295,"YES","no"),"")</f>
        <v/>
      </c>
      <c r="P295" s="44"/>
      <c r="Q295" s="44"/>
    </row>
    <row r="296" customFormat="false" ht="15" hidden="false" customHeight="false" outlineLevel="0" collapsed="false">
      <c r="A296" s="45"/>
      <c r="B296" s="44"/>
      <c r="C296" s="44"/>
      <c r="D296" s="44"/>
      <c r="E296" s="44"/>
      <c r="F296" s="44"/>
      <c r="G296" s="44"/>
      <c r="H296" s="44"/>
      <c r="I296" s="44"/>
      <c r="J296" s="44"/>
      <c r="K296" s="44"/>
      <c r="L296" s="44"/>
      <c r="M296" s="44"/>
      <c r="N296" s="20" t="str">
        <f aca="false">IFERROR(INDEX('Lift Inputs'!$H:$H,MATCH(D296,'Lift Inputs'!$B:$B,0)),"")</f>
        <v/>
      </c>
      <c r="O296" s="36" t="str">
        <f aca="false">IF(AND(ISNUMBER(N296),OR(ISNUMBER(G296),ISNUMBER(K296))),IF(MIN(IF(ISNUMBER(G296),G296,10^9),IF(ISNUMBER(K296),K296,10^9))&lt;N296,"YES","no"),"")</f>
        <v/>
      </c>
      <c r="P296" s="44"/>
      <c r="Q296" s="44"/>
    </row>
    <row r="297" customFormat="false" ht="15" hidden="false" customHeight="false" outlineLevel="0" collapsed="false">
      <c r="A297" s="45"/>
      <c r="B297" s="44"/>
      <c r="C297" s="44"/>
      <c r="D297" s="44"/>
      <c r="E297" s="44"/>
      <c r="F297" s="44"/>
      <c r="G297" s="44"/>
      <c r="H297" s="44"/>
      <c r="I297" s="44"/>
      <c r="J297" s="44"/>
      <c r="K297" s="44"/>
      <c r="L297" s="44"/>
      <c r="M297" s="44"/>
      <c r="N297" s="20" t="str">
        <f aca="false">IFERROR(INDEX('Lift Inputs'!$H:$H,MATCH(D297,'Lift Inputs'!$B:$B,0)),"")</f>
        <v/>
      </c>
      <c r="O297" s="36" t="str">
        <f aca="false">IF(AND(ISNUMBER(N297),OR(ISNUMBER(G297),ISNUMBER(K297))),IF(MIN(IF(ISNUMBER(G297),G297,10^9),IF(ISNUMBER(K297),K297,10^9))&lt;N297,"YES","no"),"")</f>
        <v/>
      </c>
      <c r="P297" s="44"/>
      <c r="Q297" s="44"/>
    </row>
    <row r="298" customFormat="false" ht="15" hidden="false" customHeight="false" outlineLevel="0" collapsed="false">
      <c r="A298" s="45"/>
      <c r="B298" s="44"/>
      <c r="C298" s="44"/>
      <c r="D298" s="44"/>
      <c r="E298" s="44"/>
      <c r="F298" s="44"/>
      <c r="G298" s="44"/>
      <c r="H298" s="44"/>
      <c r="I298" s="44"/>
      <c r="J298" s="44"/>
      <c r="K298" s="44"/>
      <c r="L298" s="44"/>
      <c r="M298" s="44"/>
      <c r="N298" s="20" t="str">
        <f aca="false">IFERROR(INDEX('Lift Inputs'!$H:$H,MATCH(D298,'Lift Inputs'!$B:$B,0)),"")</f>
        <v/>
      </c>
      <c r="O298" s="36" t="str">
        <f aca="false">IF(AND(ISNUMBER(N298),OR(ISNUMBER(G298),ISNUMBER(K298))),IF(MIN(IF(ISNUMBER(G298),G298,10^9),IF(ISNUMBER(K298),K298,10^9))&lt;N298,"YES","no"),"")</f>
        <v/>
      </c>
      <c r="P298" s="44"/>
      <c r="Q298" s="44"/>
    </row>
    <row r="299" customFormat="false" ht="15" hidden="false" customHeight="false" outlineLevel="0" collapsed="false">
      <c r="A299" s="45"/>
      <c r="B299" s="44"/>
      <c r="C299" s="44"/>
      <c r="D299" s="44"/>
      <c r="E299" s="44"/>
      <c r="F299" s="44"/>
      <c r="G299" s="44"/>
      <c r="H299" s="44"/>
      <c r="I299" s="44"/>
      <c r="J299" s="44"/>
      <c r="K299" s="44"/>
      <c r="L299" s="44"/>
      <c r="M299" s="44"/>
      <c r="N299" s="20" t="str">
        <f aca="false">IFERROR(INDEX('Lift Inputs'!$H:$H,MATCH(D299,'Lift Inputs'!$B:$B,0)),"")</f>
        <v/>
      </c>
      <c r="O299" s="36" t="str">
        <f aca="false">IF(AND(ISNUMBER(N299),OR(ISNUMBER(G299),ISNUMBER(K299))),IF(MIN(IF(ISNUMBER(G299),G299,10^9),IF(ISNUMBER(K299),K299,10^9))&lt;N299,"YES","no"),"")</f>
        <v/>
      </c>
      <c r="P299" s="44"/>
      <c r="Q299" s="44"/>
    </row>
    <row r="300" customFormat="false" ht="15" hidden="false" customHeight="false" outlineLevel="0" collapsed="false">
      <c r="A300" s="45"/>
      <c r="B300" s="44"/>
      <c r="C300" s="44"/>
      <c r="D300" s="44"/>
      <c r="E300" s="44"/>
      <c r="F300" s="44"/>
      <c r="G300" s="44"/>
      <c r="H300" s="44"/>
      <c r="I300" s="44"/>
      <c r="J300" s="44"/>
      <c r="K300" s="44"/>
      <c r="L300" s="44"/>
      <c r="M300" s="44"/>
      <c r="N300" s="20" t="str">
        <f aca="false">IFERROR(INDEX('Lift Inputs'!$H:$H,MATCH(D300,'Lift Inputs'!$B:$B,0)),"")</f>
        <v/>
      </c>
      <c r="O300" s="36" t="str">
        <f aca="false">IF(AND(ISNUMBER(N300),OR(ISNUMBER(G300),ISNUMBER(K300))),IF(MIN(IF(ISNUMBER(G300),G300,10^9),IF(ISNUMBER(K300),K300,10^9))&lt;N300,"YES","no"),"")</f>
        <v/>
      </c>
      <c r="P300" s="44"/>
      <c r="Q300" s="44"/>
    </row>
    <row r="301" customFormat="false" ht="15" hidden="false" customHeight="false" outlineLevel="0" collapsed="false">
      <c r="A301" s="45"/>
      <c r="B301" s="44"/>
      <c r="C301" s="44"/>
      <c r="D301" s="44"/>
      <c r="E301" s="44"/>
      <c r="F301" s="44"/>
      <c r="G301" s="44"/>
      <c r="H301" s="44"/>
      <c r="I301" s="44"/>
      <c r="J301" s="44"/>
      <c r="K301" s="44"/>
      <c r="L301" s="44"/>
      <c r="M301" s="44"/>
      <c r="N301" s="20" t="str">
        <f aca="false">IFERROR(INDEX('Lift Inputs'!$H:$H,MATCH(D301,'Lift Inputs'!$B:$B,0)),"")</f>
        <v/>
      </c>
      <c r="O301" s="36" t="str">
        <f aca="false">IF(AND(ISNUMBER(N301),OR(ISNUMBER(G301),ISNUMBER(K301))),IF(MIN(IF(ISNUMBER(G301),G301,10^9),IF(ISNUMBER(K301),K301,10^9))&lt;N301,"YES","no"),"")</f>
        <v/>
      </c>
      <c r="P301" s="44"/>
      <c r="Q301" s="44"/>
    </row>
    <row r="302" customFormat="false" ht="15" hidden="false" customHeight="false" outlineLevel="0" collapsed="false">
      <c r="A302" s="45"/>
      <c r="B302" s="44"/>
      <c r="C302" s="44"/>
      <c r="D302" s="44"/>
      <c r="E302" s="44"/>
      <c r="F302" s="44"/>
      <c r="G302" s="44"/>
      <c r="H302" s="44"/>
      <c r="I302" s="44"/>
      <c r="J302" s="44"/>
      <c r="K302" s="44"/>
      <c r="L302" s="44"/>
      <c r="M302" s="44"/>
      <c r="N302" s="20" t="str">
        <f aca="false">IFERROR(INDEX('Lift Inputs'!$H:$H,MATCH(D302,'Lift Inputs'!$B:$B,0)),"")</f>
        <v/>
      </c>
      <c r="O302" s="36" t="str">
        <f aca="false">IF(AND(ISNUMBER(N302),OR(ISNUMBER(G302),ISNUMBER(K302))),IF(MIN(IF(ISNUMBER(G302),G302,10^9),IF(ISNUMBER(K302),K302,10^9))&lt;N302,"YES","no"),"")</f>
        <v/>
      </c>
      <c r="P302" s="44"/>
      <c r="Q302" s="44"/>
    </row>
    <row r="303" customFormat="false" ht="15" hidden="false" customHeight="false" outlineLevel="0" collapsed="false">
      <c r="A303" s="45"/>
      <c r="B303" s="44"/>
      <c r="C303" s="44"/>
      <c r="D303" s="44"/>
      <c r="E303" s="44"/>
      <c r="F303" s="44"/>
      <c r="G303" s="44"/>
      <c r="H303" s="44"/>
      <c r="I303" s="44"/>
      <c r="J303" s="44"/>
      <c r="K303" s="44"/>
      <c r="L303" s="44"/>
      <c r="M303" s="44"/>
      <c r="N303" s="20" t="str">
        <f aca="false">IFERROR(INDEX('Lift Inputs'!$H:$H,MATCH(D303,'Lift Inputs'!$B:$B,0)),"")</f>
        <v/>
      </c>
      <c r="O303" s="36" t="str">
        <f aca="false">IF(AND(ISNUMBER(N303),OR(ISNUMBER(G303),ISNUMBER(K303))),IF(MIN(IF(ISNUMBER(G303),G303,10^9),IF(ISNUMBER(K303),K303,10^9))&lt;N303,"YES","no"),"")</f>
        <v/>
      </c>
      <c r="P303" s="44"/>
      <c r="Q303" s="44"/>
    </row>
    <row r="304" customFormat="false" ht="15" hidden="false" customHeight="false" outlineLevel="0" collapsed="false">
      <c r="A304" s="45"/>
      <c r="B304" s="44"/>
      <c r="C304" s="44"/>
      <c r="D304" s="44"/>
      <c r="E304" s="44"/>
      <c r="F304" s="44"/>
      <c r="G304" s="44"/>
      <c r="H304" s="44"/>
      <c r="I304" s="44"/>
      <c r="J304" s="44"/>
      <c r="K304" s="44"/>
      <c r="L304" s="44"/>
      <c r="M304" s="44"/>
      <c r="N304" s="20" t="str">
        <f aca="false">IFERROR(INDEX('Lift Inputs'!$H:$H,MATCH(D304,'Lift Inputs'!$B:$B,0)),"")</f>
        <v/>
      </c>
      <c r="O304" s="36" t="str">
        <f aca="false">IF(AND(ISNUMBER(N304),OR(ISNUMBER(G304),ISNUMBER(K304))),IF(MIN(IF(ISNUMBER(G304),G304,10^9),IF(ISNUMBER(K304),K304,10^9))&lt;N304,"YES","no"),"")</f>
        <v/>
      </c>
      <c r="P304" s="44"/>
      <c r="Q304" s="44"/>
    </row>
    <row r="305" customFormat="false" ht="15" hidden="false" customHeight="false" outlineLevel="0" collapsed="false">
      <c r="A305" s="45"/>
      <c r="B305" s="44"/>
      <c r="C305" s="44"/>
      <c r="D305" s="44"/>
      <c r="E305" s="44"/>
      <c r="F305" s="44"/>
      <c r="G305" s="44"/>
      <c r="H305" s="44"/>
      <c r="I305" s="44"/>
      <c r="J305" s="44"/>
      <c r="K305" s="44"/>
      <c r="L305" s="44"/>
      <c r="M305" s="44"/>
      <c r="N305" s="20" t="str">
        <f aca="false">IFERROR(INDEX('Lift Inputs'!$H:$H,MATCH(D305,'Lift Inputs'!$B:$B,0)),"")</f>
        <v/>
      </c>
      <c r="O305" s="36" t="str">
        <f aca="false">IF(AND(ISNUMBER(N305),OR(ISNUMBER(G305),ISNUMBER(K305))),IF(MIN(IF(ISNUMBER(G305),G305,10^9),IF(ISNUMBER(K305),K305,10^9))&lt;N305,"YES","no"),"")</f>
        <v/>
      </c>
      <c r="P305" s="44"/>
      <c r="Q305" s="44"/>
    </row>
    <row r="306" customFormat="false" ht="15" hidden="false" customHeight="false" outlineLevel="0" collapsed="false">
      <c r="A306" s="45"/>
      <c r="B306" s="44"/>
      <c r="C306" s="44"/>
      <c r="D306" s="44"/>
      <c r="E306" s="44"/>
      <c r="F306" s="44"/>
      <c r="G306" s="44"/>
      <c r="H306" s="44"/>
      <c r="I306" s="44"/>
      <c r="J306" s="44"/>
      <c r="K306" s="44"/>
      <c r="L306" s="44"/>
      <c r="M306" s="44"/>
      <c r="N306" s="20" t="str">
        <f aca="false">IFERROR(INDEX('Lift Inputs'!$H:$H,MATCH(D306,'Lift Inputs'!$B:$B,0)),"")</f>
        <v/>
      </c>
      <c r="O306" s="36" t="str">
        <f aca="false">IF(AND(ISNUMBER(N306),OR(ISNUMBER(G306),ISNUMBER(K306))),IF(MIN(IF(ISNUMBER(G306),G306,10^9),IF(ISNUMBER(K306),K306,10^9))&lt;N306,"YES","no"),"")</f>
        <v/>
      </c>
      <c r="P306" s="44"/>
      <c r="Q306" s="44"/>
    </row>
    <row r="307" customFormat="false" ht="15" hidden="false" customHeight="false" outlineLevel="0" collapsed="false">
      <c r="A307" s="45"/>
      <c r="B307" s="44"/>
      <c r="C307" s="44"/>
      <c r="D307" s="44"/>
      <c r="E307" s="44"/>
      <c r="F307" s="44"/>
      <c r="G307" s="44"/>
      <c r="H307" s="44"/>
      <c r="I307" s="44"/>
      <c r="J307" s="44"/>
      <c r="K307" s="44"/>
      <c r="L307" s="44"/>
      <c r="M307" s="44"/>
      <c r="N307" s="20" t="str">
        <f aca="false">IFERROR(INDEX('Lift Inputs'!$H:$H,MATCH(D307,'Lift Inputs'!$B:$B,0)),"")</f>
        <v/>
      </c>
      <c r="O307" s="36" t="str">
        <f aca="false">IF(AND(ISNUMBER(N307),OR(ISNUMBER(G307),ISNUMBER(K307))),IF(MIN(IF(ISNUMBER(G307),G307,10^9),IF(ISNUMBER(K307),K307,10^9))&lt;N307,"YES","no"),"")</f>
        <v/>
      </c>
      <c r="P307" s="44"/>
      <c r="Q307" s="44"/>
    </row>
    <row r="308" customFormat="false" ht="15" hidden="false" customHeight="false" outlineLevel="0" collapsed="false">
      <c r="A308" s="45"/>
      <c r="B308" s="44"/>
      <c r="C308" s="44"/>
      <c r="D308" s="44"/>
      <c r="E308" s="44"/>
      <c r="F308" s="44"/>
      <c r="G308" s="44"/>
      <c r="H308" s="44"/>
      <c r="I308" s="44"/>
      <c r="J308" s="44"/>
      <c r="K308" s="44"/>
      <c r="L308" s="44"/>
      <c r="M308" s="44"/>
      <c r="N308" s="20" t="str">
        <f aca="false">IFERROR(INDEX('Lift Inputs'!$H:$H,MATCH(D308,'Lift Inputs'!$B:$B,0)),"")</f>
        <v/>
      </c>
      <c r="O308" s="36" t="str">
        <f aca="false">IF(AND(ISNUMBER(N308),OR(ISNUMBER(G308),ISNUMBER(K308))),IF(MIN(IF(ISNUMBER(G308),G308,10^9),IF(ISNUMBER(K308),K308,10^9))&lt;N308,"YES","no"),"")</f>
        <v/>
      </c>
      <c r="P308" s="44"/>
      <c r="Q308" s="44"/>
    </row>
    <row r="309" customFormat="false" ht="15" hidden="false" customHeight="false" outlineLevel="0" collapsed="false">
      <c r="A309" s="45"/>
      <c r="B309" s="44"/>
      <c r="C309" s="44"/>
      <c r="D309" s="44"/>
      <c r="E309" s="44"/>
      <c r="F309" s="44"/>
      <c r="G309" s="44"/>
      <c r="H309" s="44"/>
      <c r="I309" s="44"/>
      <c r="J309" s="44"/>
      <c r="K309" s="44"/>
      <c r="L309" s="44"/>
      <c r="M309" s="44"/>
      <c r="N309" s="20" t="str">
        <f aca="false">IFERROR(INDEX('Lift Inputs'!$H:$H,MATCH(D309,'Lift Inputs'!$B:$B,0)),"")</f>
        <v/>
      </c>
      <c r="O309" s="36" t="str">
        <f aca="false">IF(AND(ISNUMBER(N309),OR(ISNUMBER(G309),ISNUMBER(K309))),IF(MIN(IF(ISNUMBER(G309),G309,10^9),IF(ISNUMBER(K309),K309,10^9))&lt;N309,"YES","no"),"")</f>
        <v/>
      </c>
      <c r="P309" s="44"/>
      <c r="Q309" s="44"/>
    </row>
    <row r="310" customFormat="false" ht="15" hidden="false" customHeight="false" outlineLevel="0" collapsed="false">
      <c r="A310" s="45"/>
      <c r="B310" s="44"/>
      <c r="C310" s="44"/>
      <c r="D310" s="44"/>
      <c r="E310" s="44"/>
      <c r="F310" s="44"/>
      <c r="G310" s="44"/>
      <c r="H310" s="44"/>
      <c r="I310" s="44"/>
      <c r="J310" s="44"/>
      <c r="K310" s="44"/>
      <c r="L310" s="44"/>
      <c r="M310" s="44"/>
      <c r="N310" s="20" t="str">
        <f aca="false">IFERROR(INDEX('Lift Inputs'!$H:$H,MATCH(D310,'Lift Inputs'!$B:$B,0)),"")</f>
        <v/>
      </c>
      <c r="O310" s="36" t="str">
        <f aca="false">IF(AND(ISNUMBER(N310),OR(ISNUMBER(G310),ISNUMBER(K310))),IF(MIN(IF(ISNUMBER(G310),G310,10^9),IF(ISNUMBER(K310),K310,10^9))&lt;N310,"YES","no"),"")</f>
        <v/>
      </c>
      <c r="P310" s="44"/>
      <c r="Q310" s="44"/>
    </row>
    <row r="311" customFormat="false" ht="15" hidden="false" customHeight="false" outlineLevel="0" collapsed="false">
      <c r="A311" s="45"/>
      <c r="B311" s="44"/>
      <c r="C311" s="44"/>
      <c r="D311" s="44"/>
      <c r="E311" s="44"/>
      <c r="F311" s="44"/>
      <c r="G311" s="44"/>
      <c r="H311" s="44"/>
      <c r="I311" s="44"/>
      <c r="J311" s="44"/>
      <c r="K311" s="44"/>
      <c r="L311" s="44"/>
      <c r="M311" s="44"/>
      <c r="N311" s="20" t="str">
        <f aca="false">IFERROR(INDEX('Lift Inputs'!$H:$H,MATCH(D311,'Lift Inputs'!$B:$B,0)),"")</f>
        <v/>
      </c>
      <c r="O311" s="36" t="str">
        <f aca="false">IF(AND(ISNUMBER(N311),OR(ISNUMBER(G311),ISNUMBER(K311))),IF(MIN(IF(ISNUMBER(G311),G311,10^9),IF(ISNUMBER(K311),K311,10^9))&lt;N311,"YES","no"),"")</f>
        <v/>
      </c>
      <c r="P311" s="44"/>
      <c r="Q311" s="44"/>
    </row>
    <row r="312" customFormat="false" ht="15" hidden="false" customHeight="false" outlineLevel="0" collapsed="false">
      <c r="A312" s="45"/>
      <c r="B312" s="44"/>
      <c r="C312" s="44"/>
      <c r="D312" s="44"/>
      <c r="E312" s="44"/>
      <c r="F312" s="44"/>
      <c r="G312" s="44"/>
      <c r="H312" s="44"/>
      <c r="I312" s="44"/>
      <c r="J312" s="44"/>
      <c r="K312" s="44"/>
      <c r="L312" s="44"/>
      <c r="M312" s="44"/>
      <c r="N312" s="20" t="str">
        <f aca="false">IFERROR(INDEX('Lift Inputs'!$H:$H,MATCH(D312,'Lift Inputs'!$B:$B,0)),"")</f>
        <v/>
      </c>
      <c r="O312" s="36" t="str">
        <f aca="false">IF(AND(ISNUMBER(N312),OR(ISNUMBER(G312),ISNUMBER(K312))),IF(MIN(IF(ISNUMBER(G312),G312,10^9),IF(ISNUMBER(K312),K312,10^9))&lt;N312,"YES","no"),"")</f>
        <v/>
      </c>
      <c r="P312" s="44"/>
      <c r="Q312" s="44"/>
    </row>
    <row r="313" customFormat="false" ht="15" hidden="false" customHeight="false" outlineLevel="0" collapsed="false">
      <c r="A313" s="45"/>
      <c r="B313" s="44"/>
      <c r="C313" s="44"/>
      <c r="D313" s="44"/>
      <c r="E313" s="44"/>
      <c r="F313" s="44"/>
      <c r="G313" s="44"/>
      <c r="H313" s="44"/>
      <c r="I313" s="44"/>
      <c r="J313" s="44"/>
      <c r="K313" s="44"/>
      <c r="L313" s="44"/>
      <c r="M313" s="44"/>
      <c r="N313" s="20" t="str">
        <f aca="false">IFERROR(INDEX('Lift Inputs'!$H:$H,MATCH(D313,'Lift Inputs'!$B:$B,0)),"")</f>
        <v/>
      </c>
      <c r="O313" s="36" t="str">
        <f aca="false">IF(AND(ISNUMBER(N313),OR(ISNUMBER(G313),ISNUMBER(K313))),IF(MIN(IF(ISNUMBER(G313),G313,10^9),IF(ISNUMBER(K313),K313,10^9))&lt;N313,"YES","no"),"")</f>
        <v/>
      </c>
      <c r="P313" s="44"/>
      <c r="Q313" s="44"/>
    </row>
    <row r="314" customFormat="false" ht="15" hidden="false" customHeight="false" outlineLevel="0" collapsed="false">
      <c r="A314" s="45"/>
      <c r="B314" s="44"/>
      <c r="C314" s="44"/>
      <c r="D314" s="44"/>
      <c r="E314" s="44"/>
      <c r="F314" s="44"/>
      <c r="G314" s="44"/>
      <c r="H314" s="44"/>
      <c r="I314" s="44"/>
      <c r="J314" s="44"/>
      <c r="K314" s="44"/>
      <c r="L314" s="44"/>
      <c r="M314" s="44"/>
      <c r="N314" s="20" t="str">
        <f aca="false">IFERROR(INDEX('Lift Inputs'!$H:$H,MATCH(D314,'Lift Inputs'!$B:$B,0)),"")</f>
        <v/>
      </c>
      <c r="O314" s="36" t="str">
        <f aca="false">IF(AND(ISNUMBER(N314),OR(ISNUMBER(G314),ISNUMBER(K314))),IF(MIN(IF(ISNUMBER(G314),G314,10^9),IF(ISNUMBER(K314),K314,10^9))&lt;N314,"YES","no"),"")</f>
        <v/>
      </c>
      <c r="P314" s="44"/>
      <c r="Q314" s="44"/>
    </row>
    <row r="315" customFormat="false" ht="15" hidden="false" customHeight="false" outlineLevel="0" collapsed="false">
      <c r="A315" s="45"/>
      <c r="B315" s="44"/>
      <c r="C315" s="44"/>
      <c r="D315" s="44"/>
      <c r="E315" s="44"/>
      <c r="F315" s="44"/>
      <c r="G315" s="44"/>
      <c r="H315" s="44"/>
      <c r="I315" s="44"/>
      <c r="J315" s="44"/>
      <c r="K315" s="44"/>
      <c r="L315" s="44"/>
      <c r="M315" s="44"/>
      <c r="N315" s="20" t="str">
        <f aca="false">IFERROR(INDEX('Lift Inputs'!$H:$H,MATCH(D315,'Lift Inputs'!$B:$B,0)),"")</f>
        <v/>
      </c>
      <c r="O315" s="36" t="str">
        <f aca="false">IF(AND(ISNUMBER(N315),OR(ISNUMBER(G315),ISNUMBER(K315))),IF(MIN(IF(ISNUMBER(G315),G315,10^9),IF(ISNUMBER(K315),K315,10^9))&lt;N315,"YES","no"),"")</f>
        <v/>
      </c>
      <c r="P315" s="44"/>
      <c r="Q315" s="44"/>
    </row>
    <row r="316" customFormat="false" ht="15" hidden="false" customHeight="false" outlineLevel="0" collapsed="false">
      <c r="A316" s="45"/>
      <c r="B316" s="44"/>
      <c r="C316" s="44"/>
      <c r="D316" s="44"/>
      <c r="E316" s="44"/>
      <c r="F316" s="44"/>
      <c r="G316" s="44"/>
      <c r="H316" s="44"/>
      <c r="I316" s="44"/>
      <c r="J316" s="44"/>
      <c r="K316" s="44"/>
      <c r="L316" s="44"/>
      <c r="M316" s="44"/>
      <c r="N316" s="20" t="str">
        <f aca="false">IFERROR(INDEX('Lift Inputs'!$H:$H,MATCH(D316,'Lift Inputs'!$B:$B,0)),"")</f>
        <v/>
      </c>
      <c r="O316" s="36" t="str">
        <f aca="false">IF(AND(ISNUMBER(N316),OR(ISNUMBER(G316),ISNUMBER(K316))),IF(MIN(IF(ISNUMBER(G316),G316,10^9),IF(ISNUMBER(K316),K316,10^9))&lt;N316,"YES","no"),"")</f>
        <v/>
      </c>
      <c r="P316" s="44"/>
      <c r="Q316" s="44"/>
    </row>
    <row r="317" customFormat="false" ht="15" hidden="false" customHeight="false" outlineLevel="0" collapsed="false">
      <c r="A317" s="45"/>
      <c r="B317" s="44"/>
      <c r="C317" s="44"/>
      <c r="D317" s="44"/>
      <c r="E317" s="44"/>
      <c r="F317" s="44"/>
      <c r="G317" s="44"/>
      <c r="H317" s="44"/>
      <c r="I317" s="44"/>
      <c r="J317" s="44"/>
      <c r="K317" s="44"/>
      <c r="L317" s="44"/>
      <c r="M317" s="44"/>
      <c r="N317" s="20" t="str">
        <f aca="false">IFERROR(INDEX('Lift Inputs'!$H:$H,MATCH(D317,'Lift Inputs'!$B:$B,0)),"")</f>
        <v/>
      </c>
      <c r="O317" s="36" t="str">
        <f aca="false">IF(AND(ISNUMBER(N317),OR(ISNUMBER(G317),ISNUMBER(K317))),IF(MIN(IF(ISNUMBER(G317),G317,10^9),IF(ISNUMBER(K317),K317,10^9))&lt;N317,"YES","no"),"")</f>
        <v/>
      </c>
      <c r="P317" s="44"/>
      <c r="Q317" s="44"/>
    </row>
    <row r="318" customFormat="false" ht="15" hidden="false" customHeight="false" outlineLevel="0" collapsed="false">
      <c r="A318" s="45"/>
      <c r="B318" s="44"/>
      <c r="C318" s="44"/>
      <c r="D318" s="44"/>
      <c r="E318" s="44"/>
      <c r="F318" s="44"/>
      <c r="G318" s="44"/>
      <c r="H318" s="44"/>
      <c r="I318" s="44"/>
      <c r="J318" s="44"/>
      <c r="K318" s="44"/>
      <c r="L318" s="44"/>
      <c r="M318" s="44"/>
      <c r="N318" s="20" t="str">
        <f aca="false">IFERROR(INDEX('Lift Inputs'!$H:$H,MATCH(D318,'Lift Inputs'!$B:$B,0)),"")</f>
        <v/>
      </c>
      <c r="O318" s="36" t="str">
        <f aca="false">IF(AND(ISNUMBER(N318),OR(ISNUMBER(G318),ISNUMBER(K318))),IF(MIN(IF(ISNUMBER(G318),G318,10^9),IF(ISNUMBER(K318),K318,10^9))&lt;N318,"YES","no"),"")</f>
        <v/>
      </c>
      <c r="P318" s="44"/>
      <c r="Q318" s="44"/>
    </row>
    <row r="319" customFormat="false" ht="15" hidden="false" customHeight="false" outlineLevel="0" collapsed="false">
      <c r="A319" s="45"/>
      <c r="B319" s="44"/>
      <c r="C319" s="44"/>
      <c r="D319" s="44"/>
      <c r="E319" s="44"/>
      <c r="F319" s="44"/>
      <c r="G319" s="44"/>
      <c r="H319" s="44"/>
      <c r="I319" s="44"/>
      <c r="J319" s="44"/>
      <c r="K319" s="44"/>
      <c r="L319" s="44"/>
      <c r="M319" s="44"/>
      <c r="N319" s="20" t="str">
        <f aca="false">IFERROR(INDEX('Lift Inputs'!$H:$H,MATCH(D319,'Lift Inputs'!$B:$B,0)),"")</f>
        <v/>
      </c>
      <c r="O319" s="36" t="str">
        <f aca="false">IF(AND(ISNUMBER(N319),OR(ISNUMBER(G319),ISNUMBER(K319))),IF(MIN(IF(ISNUMBER(G319),G319,10^9),IF(ISNUMBER(K319),K319,10^9))&lt;N319,"YES","no"),"")</f>
        <v/>
      </c>
      <c r="P319" s="44"/>
      <c r="Q319" s="44"/>
    </row>
    <row r="320" customFormat="false" ht="15" hidden="false" customHeight="false" outlineLevel="0" collapsed="false">
      <c r="A320" s="45"/>
      <c r="B320" s="44"/>
      <c r="C320" s="44"/>
      <c r="D320" s="44"/>
      <c r="E320" s="44"/>
      <c r="F320" s="44"/>
      <c r="G320" s="44"/>
      <c r="H320" s="44"/>
      <c r="I320" s="44"/>
      <c r="J320" s="44"/>
      <c r="K320" s="44"/>
      <c r="L320" s="44"/>
      <c r="M320" s="44"/>
      <c r="N320" s="20" t="str">
        <f aca="false">IFERROR(INDEX('Lift Inputs'!$H:$H,MATCH(D320,'Lift Inputs'!$B:$B,0)),"")</f>
        <v/>
      </c>
      <c r="O320" s="36" t="str">
        <f aca="false">IF(AND(ISNUMBER(N320),OR(ISNUMBER(G320),ISNUMBER(K320))),IF(MIN(IF(ISNUMBER(G320),G320,10^9),IF(ISNUMBER(K320),K320,10^9))&lt;N320,"YES","no"),"")</f>
        <v/>
      </c>
      <c r="P320" s="44"/>
      <c r="Q320" s="44"/>
    </row>
    <row r="321" customFormat="false" ht="15" hidden="false" customHeight="false" outlineLevel="0" collapsed="false">
      <c r="A321" s="45"/>
      <c r="B321" s="44"/>
      <c r="C321" s="44"/>
      <c r="D321" s="44"/>
      <c r="E321" s="44"/>
      <c r="F321" s="44"/>
      <c r="G321" s="44"/>
      <c r="H321" s="44"/>
      <c r="I321" s="44"/>
      <c r="J321" s="44"/>
      <c r="K321" s="44"/>
      <c r="L321" s="44"/>
      <c r="M321" s="44"/>
      <c r="N321" s="20" t="str">
        <f aca="false">IFERROR(INDEX('Lift Inputs'!$H:$H,MATCH(D321,'Lift Inputs'!$B:$B,0)),"")</f>
        <v/>
      </c>
      <c r="O321" s="36" t="str">
        <f aca="false">IF(AND(ISNUMBER(N321),OR(ISNUMBER(G321),ISNUMBER(K321))),IF(MIN(IF(ISNUMBER(G321),G321,10^9),IF(ISNUMBER(K321),K321,10^9))&lt;N321,"YES","no"),"")</f>
        <v/>
      </c>
      <c r="P321" s="44"/>
      <c r="Q321" s="44"/>
    </row>
    <row r="322" customFormat="false" ht="15" hidden="false" customHeight="false" outlineLevel="0" collapsed="false">
      <c r="A322" s="45"/>
      <c r="B322" s="44"/>
      <c r="C322" s="44"/>
      <c r="D322" s="44"/>
      <c r="E322" s="44"/>
      <c r="F322" s="44"/>
      <c r="G322" s="44"/>
      <c r="H322" s="44"/>
      <c r="I322" s="44"/>
      <c r="J322" s="44"/>
      <c r="K322" s="44"/>
      <c r="L322" s="44"/>
      <c r="M322" s="44"/>
      <c r="N322" s="20" t="str">
        <f aca="false">IFERROR(INDEX('Lift Inputs'!$H:$H,MATCH(D322,'Lift Inputs'!$B:$B,0)),"")</f>
        <v/>
      </c>
      <c r="O322" s="36" t="str">
        <f aca="false">IF(AND(ISNUMBER(N322),OR(ISNUMBER(G322),ISNUMBER(K322))),IF(MIN(IF(ISNUMBER(G322),G322,10^9),IF(ISNUMBER(K322),K322,10^9))&lt;N322,"YES","no"),"")</f>
        <v/>
      </c>
      <c r="P322" s="44"/>
      <c r="Q322" s="44"/>
    </row>
    <row r="323" customFormat="false" ht="15" hidden="false" customHeight="false" outlineLevel="0" collapsed="false">
      <c r="A323" s="45"/>
      <c r="B323" s="44"/>
      <c r="C323" s="44"/>
      <c r="D323" s="44"/>
      <c r="E323" s="44"/>
      <c r="F323" s="44"/>
      <c r="G323" s="44"/>
      <c r="H323" s="44"/>
      <c r="I323" s="44"/>
      <c r="J323" s="44"/>
      <c r="K323" s="44"/>
      <c r="L323" s="44"/>
      <c r="M323" s="44"/>
      <c r="N323" s="20" t="str">
        <f aca="false">IFERROR(INDEX('Lift Inputs'!$H:$H,MATCH(D323,'Lift Inputs'!$B:$B,0)),"")</f>
        <v/>
      </c>
      <c r="O323" s="36" t="str">
        <f aca="false">IF(AND(ISNUMBER(N323),OR(ISNUMBER(G323),ISNUMBER(K323))),IF(MIN(IF(ISNUMBER(G323),G323,10^9),IF(ISNUMBER(K323),K323,10^9))&lt;N323,"YES","no"),"")</f>
        <v/>
      </c>
      <c r="P323" s="44"/>
      <c r="Q323" s="44"/>
    </row>
    <row r="324" customFormat="false" ht="15" hidden="false" customHeight="false" outlineLevel="0" collapsed="false">
      <c r="A324" s="45"/>
      <c r="B324" s="44"/>
      <c r="C324" s="44"/>
      <c r="D324" s="44"/>
      <c r="E324" s="44"/>
      <c r="F324" s="44"/>
      <c r="G324" s="44"/>
      <c r="H324" s="44"/>
      <c r="I324" s="44"/>
      <c r="J324" s="44"/>
      <c r="K324" s="44"/>
      <c r="L324" s="44"/>
      <c r="M324" s="44"/>
      <c r="N324" s="20" t="str">
        <f aca="false">IFERROR(INDEX('Lift Inputs'!$H:$H,MATCH(D324,'Lift Inputs'!$B:$B,0)),"")</f>
        <v/>
      </c>
      <c r="O324" s="36" t="str">
        <f aca="false">IF(AND(ISNUMBER(N324),OR(ISNUMBER(G324),ISNUMBER(K324))),IF(MIN(IF(ISNUMBER(G324),G324,10^9),IF(ISNUMBER(K324),K324,10^9))&lt;N324,"YES","no"),"")</f>
        <v/>
      </c>
      <c r="P324" s="44"/>
      <c r="Q324" s="44"/>
    </row>
    <row r="325" customFormat="false" ht="15" hidden="false" customHeight="false" outlineLevel="0" collapsed="false">
      <c r="A325" s="45"/>
      <c r="B325" s="44"/>
      <c r="C325" s="44"/>
      <c r="D325" s="44"/>
      <c r="E325" s="44"/>
      <c r="F325" s="44"/>
      <c r="G325" s="44"/>
      <c r="H325" s="44"/>
      <c r="I325" s="44"/>
      <c r="J325" s="44"/>
      <c r="K325" s="44"/>
      <c r="L325" s="44"/>
      <c r="M325" s="44"/>
      <c r="N325" s="20" t="str">
        <f aca="false">IFERROR(INDEX('Lift Inputs'!$H:$H,MATCH(D325,'Lift Inputs'!$B:$B,0)),"")</f>
        <v/>
      </c>
      <c r="O325" s="36" t="str">
        <f aca="false">IF(AND(ISNUMBER(N325),OR(ISNUMBER(G325),ISNUMBER(K325))),IF(MIN(IF(ISNUMBER(G325),G325,10^9),IF(ISNUMBER(K325),K325,10^9))&lt;N325,"YES","no"),"")</f>
        <v/>
      </c>
      <c r="P325" s="44"/>
      <c r="Q325" s="44"/>
    </row>
    <row r="326" customFormat="false" ht="15" hidden="false" customHeight="false" outlineLevel="0" collapsed="false">
      <c r="A326" s="45"/>
      <c r="B326" s="44"/>
      <c r="C326" s="44"/>
      <c r="D326" s="44"/>
      <c r="E326" s="44"/>
      <c r="F326" s="44"/>
      <c r="G326" s="44"/>
      <c r="H326" s="44"/>
      <c r="I326" s="44"/>
      <c r="J326" s="44"/>
      <c r="K326" s="44"/>
      <c r="L326" s="44"/>
      <c r="M326" s="44"/>
      <c r="N326" s="20" t="str">
        <f aca="false">IFERROR(INDEX('Lift Inputs'!$H:$H,MATCH(D326,'Lift Inputs'!$B:$B,0)),"")</f>
        <v/>
      </c>
      <c r="O326" s="36" t="str">
        <f aca="false">IF(AND(ISNUMBER(N326),OR(ISNUMBER(G326),ISNUMBER(K326))),IF(MIN(IF(ISNUMBER(G326),G326,10^9),IF(ISNUMBER(K326),K326,10^9))&lt;N326,"YES","no"),"")</f>
        <v/>
      </c>
      <c r="P326" s="44"/>
      <c r="Q326" s="44"/>
    </row>
    <row r="327" customFormat="false" ht="15" hidden="false" customHeight="false" outlineLevel="0" collapsed="false">
      <c r="A327" s="45"/>
      <c r="B327" s="44"/>
      <c r="C327" s="44"/>
      <c r="D327" s="44"/>
      <c r="E327" s="44"/>
      <c r="F327" s="44"/>
      <c r="G327" s="44"/>
      <c r="H327" s="44"/>
      <c r="I327" s="44"/>
      <c r="J327" s="44"/>
      <c r="K327" s="44"/>
      <c r="L327" s="44"/>
      <c r="M327" s="44"/>
      <c r="N327" s="20" t="str">
        <f aca="false">IFERROR(INDEX('Lift Inputs'!$H:$H,MATCH(D327,'Lift Inputs'!$B:$B,0)),"")</f>
        <v/>
      </c>
      <c r="O327" s="36" t="str">
        <f aca="false">IF(AND(ISNUMBER(N327),OR(ISNUMBER(G327),ISNUMBER(K327))),IF(MIN(IF(ISNUMBER(G327),G327,10^9),IF(ISNUMBER(K327),K327,10^9))&lt;N327,"YES","no"),"")</f>
        <v/>
      </c>
      <c r="P327" s="44"/>
      <c r="Q327" s="44"/>
    </row>
    <row r="328" customFormat="false" ht="15" hidden="false" customHeight="false" outlineLevel="0" collapsed="false">
      <c r="A328" s="45"/>
      <c r="B328" s="44"/>
      <c r="C328" s="44"/>
      <c r="D328" s="44"/>
      <c r="E328" s="44"/>
      <c r="F328" s="44"/>
      <c r="G328" s="44"/>
      <c r="H328" s="44"/>
      <c r="I328" s="44"/>
      <c r="J328" s="44"/>
      <c r="K328" s="44"/>
      <c r="L328" s="44"/>
      <c r="M328" s="44"/>
      <c r="N328" s="20" t="str">
        <f aca="false">IFERROR(INDEX('Lift Inputs'!$H:$H,MATCH(D328,'Lift Inputs'!$B:$B,0)),"")</f>
        <v/>
      </c>
      <c r="O328" s="36" t="str">
        <f aca="false">IF(AND(ISNUMBER(N328),OR(ISNUMBER(G328),ISNUMBER(K328))),IF(MIN(IF(ISNUMBER(G328),G328,10^9),IF(ISNUMBER(K328),K328,10^9))&lt;N328,"YES","no"),"")</f>
        <v/>
      </c>
      <c r="P328" s="44"/>
      <c r="Q328" s="44"/>
    </row>
    <row r="329" customFormat="false" ht="15" hidden="false" customHeight="false" outlineLevel="0" collapsed="false">
      <c r="A329" s="45"/>
      <c r="B329" s="44"/>
      <c r="C329" s="44"/>
      <c r="D329" s="44"/>
      <c r="E329" s="44"/>
      <c r="F329" s="44"/>
      <c r="G329" s="44"/>
      <c r="H329" s="44"/>
      <c r="I329" s="44"/>
      <c r="J329" s="44"/>
      <c r="K329" s="44"/>
      <c r="L329" s="44"/>
      <c r="M329" s="44"/>
      <c r="N329" s="20" t="str">
        <f aca="false">IFERROR(INDEX('Lift Inputs'!$H:$H,MATCH(D329,'Lift Inputs'!$B:$B,0)),"")</f>
        <v/>
      </c>
      <c r="O329" s="36" t="str">
        <f aca="false">IF(AND(ISNUMBER(N329),OR(ISNUMBER(G329),ISNUMBER(K329))),IF(MIN(IF(ISNUMBER(G329),G329,10^9),IF(ISNUMBER(K329),K329,10^9))&lt;N329,"YES","no"),"")</f>
        <v/>
      </c>
      <c r="P329" s="44"/>
      <c r="Q329" s="44"/>
    </row>
    <row r="330" customFormat="false" ht="15" hidden="false" customHeight="false" outlineLevel="0" collapsed="false">
      <c r="A330" s="45"/>
      <c r="B330" s="44"/>
      <c r="C330" s="44"/>
      <c r="D330" s="44"/>
      <c r="E330" s="44"/>
      <c r="F330" s="44"/>
      <c r="G330" s="44"/>
      <c r="H330" s="44"/>
      <c r="I330" s="44"/>
      <c r="J330" s="44"/>
      <c r="K330" s="44"/>
      <c r="L330" s="44"/>
      <c r="M330" s="44"/>
      <c r="N330" s="20" t="str">
        <f aca="false">IFERROR(INDEX('Lift Inputs'!$H:$H,MATCH(D330,'Lift Inputs'!$B:$B,0)),"")</f>
        <v/>
      </c>
      <c r="O330" s="36" t="str">
        <f aca="false">IF(AND(ISNUMBER(N330),OR(ISNUMBER(G330),ISNUMBER(K330))),IF(MIN(IF(ISNUMBER(G330),G330,10^9),IF(ISNUMBER(K330),K330,10^9))&lt;N330,"YES","no"),"")</f>
        <v/>
      </c>
      <c r="P330" s="44"/>
      <c r="Q330" s="44"/>
    </row>
    <row r="331" customFormat="false" ht="15" hidden="false" customHeight="false" outlineLevel="0" collapsed="false">
      <c r="A331" s="45"/>
      <c r="B331" s="44"/>
      <c r="C331" s="44"/>
      <c r="D331" s="44"/>
      <c r="E331" s="44"/>
      <c r="F331" s="44"/>
      <c r="G331" s="44"/>
      <c r="H331" s="44"/>
      <c r="I331" s="44"/>
      <c r="J331" s="44"/>
      <c r="K331" s="44"/>
      <c r="L331" s="44"/>
      <c r="M331" s="44"/>
      <c r="N331" s="20" t="str">
        <f aca="false">IFERROR(INDEX('Lift Inputs'!$H:$H,MATCH(D331,'Lift Inputs'!$B:$B,0)),"")</f>
        <v/>
      </c>
      <c r="O331" s="36" t="str">
        <f aca="false">IF(AND(ISNUMBER(N331),OR(ISNUMBER(G331),ISNUMBER(K331))),IF(MIN(IF(ISNUMBER(G331),G331,10^9),IF(ISNUMBER(K331),K331,10^9))&lt;N331,"YES","no"),"")</f>
        <v/>
      </c>
      <c r="P331" s="44"/>
      <c r="Q331" s="44"/>
    </row>
    <row r="332" customFormat="false" ht="15" hidden="false" customHeight="false" outlineLevel="0" collapsed="false">
      <c r="A332" s="45"/>
      <c r="B332" s="44"/>
      <c r="C332" s="44"/>
      <c r="D332" s="44"/>
      <c r="E332" s="44"/>
      <c r="F332" s="44"/>
      <c r="G332" s="44"/>
      <c r="H332" s="44"/>
      <c r="I332" s="44"/>
      <c r="J332" s="44"/>
      <c r="K332" s="44"/>
      <c r="L332" s="44"/>
      <c r="M332" s="44"/>
      <c r="N332" s="20" t="str">
        <f aca="false">IFERROR(INDEX('Lift Inputs'!$H:$H,MATCH(D332,'Lift Inputs'!$B:$B,0)),"")</f>
        <v/>
      </c>
      <c r="O332" s="36" t="str">
        <f aca="false">IF(AND(ISNUMBER(N332),OR(ISNUMBER(G332),ISNUMBER(K332))),IF(MIN(IF(ISNUMBER(G332),G332,10^9),IF(ISNUMBER(K332),K332,10^9))&lt;N332,"YES","no"),"")</f>
        <v/>
      </c>
      <c r="P332" s="44"/>
      <c r="Q332" s="44"/>
    </row>
    <row r="333" customFormat="false" ht="15" hidden="false" customHeight="false" outlineLevel="0" collapsed="false">
      <c r="A333" s="45"/>
      <c r="B333" s="44"/>
      <c r="C333" s="44"/>
      <c r="D333" s="44"/>
      <c r="E333" s="44"/>
      <c r="F333" s="44"/>
      <c r="G333" s="44"/>
      <c r="H333" s="44"/>
      <c r="I333" s="44"/>
      <c r="J333" s="44"/>
      <c r="K333" s="44"/>
      <c r="L333" s="44"/>
      <c r="M333" s="44"/>
      <c r="N333" s="20" t="str">
        <f aca="false">IFERROR(INDEX('Lift Inputs'!$H:$H,MATCH(D333,'Lift Inputs'!$B:$B,0)),"")</f>
        <v/>
      </c>
      <c r="O333" s="36" t="str">
        <f aca="false">IF(AND(ISNUMBER(N333),OR(ISNUMBER(G333),ISNUMBER(K333))),IF(MIN(IF(ISNUMBER(G333),G333,10^9),IF(ISNUMBER(K333),K333,10^9))&lt;N333,"YES","no"),"")</f>
        <v/>
      </c>
      <c r="P333" s="44"/>
      <c r="Q333" s="44"/>
    </row>
    <row r="334" customFormat="false" ht="15" hidden="false" customHeight="false" outlineLevel="0" collapsed="false">
      <c r="A334" s="45"/>
      <c r="B334" s="44"/>
      <c r="C334" s="44"/>
      <c r="D334" s="44"/>
      <c r="E334" s="44"/>
      <c r="F334" s="44"/>
      <c r="G334" s="44"/>
      <c r="H334" s="44"/>
      <c r="I334" s="44"/>
      <c r="J334" s="44"/>
      <c r="K334" s="44"/>
      <c r="L334" s="44"/>
      <c r="M334" s="44"/>
      <c r="N334" s="20" t="str">
        <f aca="false">IFERROR(INDEX('Lift Inputs'!$H:$H,MATCH(D334,'Lift Inputs'!$B:$B,0)),"")</f>
        <v/>
      </c>
      <c r="O334" s="36" t="str">
        <f aca="false">IF(AND(ISNUMBER(N334),OR(ISNUMBER(G334),ISNUMBER(K334))),IF(MIN(IF(ISNUMBER(G334),G334,10^9),IF(ISNUMBER(K334),K334,10^9))&lt;N334,"YES","no"),"")</f>
        <v/>
      </c>
      <c r="P334" s="44"/>
      <c r="Q334" s="44"/>
    </row>
    <row r="335" customFormat="false" ht="15" hidden="false" customHeight="false" outlineLevel="0" collapsed="false">
      <c r="A335" s="45"/>
      <c r="B335" s="44"/>
      <c r="C335" s="44"/>
      <c r="D335" s="44"/>
      <c r="E335" s="44"/>
      <c r="F335" s="44"/>
      <c r="G335" s="44"/>
      <c r="H335" s="44"/>
      <c r="I335" s="44"/>
      <c r="J335" s="44"/>
      <c r="K335" s="44"/>
      <c r="L335" s="44"/>
      <c r="M335" s="44"/>
      <c r="N335" s="20" t="str">
        <f aca="false">IFERROR(INDEX('Lift Inputs'!$H:$H,MATCH(D335,'Lift Inputs'!$B:$B,0)),"")</f>
        <v/>
      </c>
      <c r="O335" s="36" t="str">
        <f aca="false">IF(AND(ISNUMBER(N335),OR(ISNUMBER(G335),ISNUMBER(K335))),IF(MIN(IF(ISNUMBER(G335),G335,10^9),IF(ISNUMBER(K335),K335,10^9))&lt;N335,"YES","no"),"")</f>
        <v/>
      </c>
      <c r="P335" s="44"/>
      <c r="Q335" s="44"/>
    </row>
    <row r="336" customFormat="false" ht="15" hidden="false" customHeight="false" outlineLevel="0" collapsed="false">
      <c r="A336" s="45"/>
      <c r="B336" s="44"/>
      <c r="C336" s="44"/>
      <c r="D336" s="44"/>
      <c r="E336" s="44"/>
      <c r="F336" s="44"/>
      <c r="G336" s="44"/>
      <c r="H336" s="44"/>
      <c r="I336" s="44"/>
      <c r="J336" s="44"/>
      <c r="K336" s="44"/>
      <c r="L336" s="44"/>
      <c r="M336" s="44"/>
      <c r="N336" s="20" t="str">
        <f aca="false">IFERROR(INDEX('Lift Inputs'!$H:$H,MATCH(D336,'Lift Inputs'!$B:$B,0)),"")</f>
        <v/>
      </c>
      <c r="O336" s="36" t="str">
        <f aca="false">IF(AND(ISNUMBER(N336),OR(ISNUMBER(G336),ISNUMBER(K336))),IF(MIN(IF(ISNUMBER(G336),G336,10^9),IF(ISNUMBER(K336),K336,10^9))&lt;N336,"YES","no"),"")</f>
        <v/>
      </c>
      <c r="P336" s="44"/>
      <c r="Q336" s="44"/>
    </row>
    <row r="337" customFormat="false" ht="15" hidden="false" customHeight="false" outlineLevel="0" collapsed="false">
      <c r="A337" s="45"/>
      <c r="B337" s="44"/>
      <c r="C337" s="44"/>
      <c r="D337" s="44"/>
      <c r="E337" s="44"/>
      <c r="F337" s="44"/>
      <c r="G337" s="44"/>
      <c r="H337" s="44"/>
      <c r="I337" s="44"/>
      <c r="J337" s="44"/>
      <c r="K337" s="44"/>
      <c r="L337" s="44"/>
      <c r="M337" s="44"/>
      <c r="N337" s="20" t="str">
        <f aca="false">IFERROR(INDEX('Lift Inputs'!$H:$H,MATCH(D337,'Lift Inputs'!$B:$B,0)),"")</f>
        <v/>
      </c>
      <c r="O337" s="36" t="str">
        <f aca="false">IF(AND(ISNUMBER(N337),OR(ISNUMBER(G337),ISNUMBER(K337))),IF(MIN(IF(ISNUMBER(G337),G337,10^9),IF(ISNUMBER(K337),K337,10^9))&lt;N337,"YES","no"),"")</f>
        <v/>
      </c>
      <c r="P337" s="44"/>
      <c r="Q337" s="44"/>
    </row>
    <row r="338" customFormat="false" ht="15" hidden="false" customHeight="false" outlineLevel="0" collapsed="false">
      <c r="A338" s="45"/>
      <c r="B338" s="44"/>
      <c r="C338" s="44"/>
      <c r="D338" s="44"/>
      <c r="E338" s="44"/>
      <c r="F338" s="44"/>
      <c r="G338" s="44"/>
      <c r="H338" s="44"/>
      <c r="I338" s="44"/>
      <c r="J338" s="44"/>
      <c r="K338" s="44"/>
      <c r="L338" s="44"/>
      <c r="M338" s="44"/>
      <c r="N338" s="20" t="str">
        <f aca="false">IFERROR(INDEX('Lift Inputs'!$H:$H,MATCH(D338,'Lift Inputs'!$B:$B,0)),"")</f>
        <v/>
      </c>
      <c r="O338" s="36" t="str">
        <f aca="false">IF(AND(ISNUMBER(N338),OR(ISNUMBER(G338),ISNUMBER(K338))),IF(MIN(IF(ISNUMBER(G338),G338,10^9),IF(ISNUMBER(K338),K338,10^9))&lt;N338,"YES","no"),"")</f>
        <v/>
      </c>
      <c r="P338" s="44"/>
      <c r="Q338" s="44"/>
    </row>
    <row r="339" customFormat="false" ht="15" hidden="false" customHeight="false" outlineLevel="0" collapsed="false">
      <c r="A339" s="45"/>
      <c r="B339" s="44"/>
      <c r="C339" s="44"/>
      <c r="D339" s="44"/>
      <c r="E339" s="44"/>
      <c r="F339" s="44"/>
      <c r="G339" s="44"/>
      <c r="H339" s="44"/>
      <c r="I339" s="44"/>
      <c r="J339" s="44"/>
      <c r="K339" s="44"/>
      <c r="L339" s="44"/>
      <c r="M339" s="44"/>
      <c r="N339" s="20" t="str">
        <f aca="false">IFERROR(INDEX('Lift Inputs'!$H:$H,MATCH(D339,'Lift Inputs'!$B:$B,0)),"")</f>
        <v/>
      </c>
      <c r="O339" s="36" t="str">
        <f aca="false">IF(AND(ISNUMBER(N339),OR(ISNUMBER(G339),ISNUMBER(K339))),IF(MIN(IF(ISNUMBER(G339),G339,10^9),IF(ISNUMBER(K339),K339,10^9))&lt;N339,"YES","no"),"")</f>
        <v/>
      </c>
      <c r="P339" s="44"/>
      <c r="Q339" s="44"/>
    </row>
    <row r="340" customFormat="false" ht="15" hidden="false" customHeight="false" outlineLevel="0" collapsed="false">
      <c r="A340" s="45"/>
      <c r="B340" s="44"/>
      <c r="C340" s="44"/>
      <c r="D340" s="44"/>
      <c r="E340" s="44"/>
      <c r="F340" s="44"/>
      <c r="G340" s="44"/>
      <c r="H340" s="44"/>
      <c r="I340" s="44"/>
      <c r="J340" s="44"/>
      <c r="K340" s="44"/>
      <c r="L340" s="44"/>
      <c r="M340" s="44"/>
      <c r="N340" s="20" t="str">
        <f aca="false">IFERROR(INDEX('Lift Inputs'!$H:$H,MATCH(D340,'Lift Inputs'!$B:$B,0)),"")</f>
        <v/>
      </c>
      <c r="O340" s="36" t="str">
        <f aca="false">IF(AND(ISNUMBER(N340),OR(ISNUMBER(G340),ISNUMBER(K340))),IF(MIN(IF(ISNUMBER(G340),G340,10^9),IF(ISNUMBER(K340),K340,10^9))&lt;N340,"YES","no"),"")</f>
        <v/>
      </c>
      <c r="P340" s="44"/>
      <c r="Q340" s="44"/>
    </row>
    <row r="341" customFormat="false" ht="15" hidden="false" customHeight="false" outlineLevel="0" collapsed="false">
      <c r="A341" s="45"/>
      <c r="B341" s="44"/>
      <c r="C341" s="44"/>
      <c r="D341" s="44"/>
      <c r="E341" s="44"/>
      <c r="F341" s="44"/>
      <c r="G341" s="44"/>
      <c r="H341" s="44"/>
      <c r="I341" s="44"/>
      <c r="J341" s="44"/>
      <c r="K341" s="44"/>
      <c r="L341" s="44"/>
      <c r="M341" s="44"/>
      <c r="N341" s="20" t="str">
        <f aca="false">IFERROR(INDEX('Lift Inputs'!$H:$H,MATCH(D341,'Lift Inputs'!$B:$B,0)),"")</f>
        <v/>
      </c>
      <c r="O341" s="36" t="str">
        <f aca="false">IF(AND(ISNUMBER(N341),OR(ISNUMBER(G341),ISNUMBER(K341))),IF(MIN(IF(ISNUMBER(G341),G341,10^9),IF(ISNUMBER(K341),K341,10^9))&lt;N341,"YES","no"),"")</f>
        <v/>
      </c>
      <c r="P341" s="44"/>
      <c r="Q341" s="44"/>
    </row>
    <row r="342" customFormat="false" ht="15" hidden="false" customHeight="false" outlineLevel="0" collapsed="false">
      <c r="A342" s="45"/>
      <c r="B342" s="44"/>
      <c r="C342" s="44"/>
      <c r="D342" s="44"/>
      <c r="E342" s="44"/>
      <c r="F342" s="44"/>
      <c r="G342" s="44"/>
      <c r="H342" s="44"/>
      <c r="I342" s="44"/>
      <c r="J342" s="44"/>
      <c r="K342" s="44"/>
      <c r="L342" s="44"/>
      <c r="M342" s="44"/>
      <c r="N342" s="20" t="str">
        <f aca="false">IFERROR(INDEX('Lift Inputs'!$H:$H,MATCH(D342,'Lift Inputs'!$B:$B,0)),"")</f>
        <v/>
      </c>
      <c r="O342" s="36" t="str">
        <f aca="false">IF(AND(ISNUMBER(N342),OR(ISNUMBER(G342),ISNUMBER(K342))),IF(MIN(IF(ISNUMBER(G342),G342,10^9),IF(ISNUMBER(K342),K342,10^9))&lt;N342,"YES","no"),"")</f>
        <v/>
      </c>
      <c r="P342" s="44"/>
      <c r="Q342" s="44"/>
    </row>
    <row r="343" customFormat="false" ht="15" hidden="false" customHeight="false" outlineLevel="0" collapsed="false">
      <c r="A343" s="45"/>
      <c r="B343" s="44"/>
      <c r="C343" s="44"/>
      <c r="D343" s="44"/>
      <c r="E343" s="44"/>
      <c r="F343" s="44"/>
      <c r="G343" s="44"/>
      <c r="H343" s="44"/>
      <c r="I343" s="44"/>
      <c r="J343" s="44"/>
      <c r="K343" s="44"/>
      <c r="L343" s="44"/>
      <c r="M343" s="44"/>
      <c r="N343" s="20" t="str">
        <f aca="false">IFERROR(INDEX('Lift Inputs'!$H:$H,MATCH(D343,'Lift Inputs'!$B:$B,0)),"")</f>
        <v/>
      </c>
      <c r="O343" s="36" t="str">
        <f aca="false">IF(AND(ISNUMBER(N343),OR(ISNUMBER(G343),ISNUMBER(K343))),IF(MIN(IF(ISNUMBER(G343),G343,10^9),IF(ISNUMBER(K343),K343,10^9))&lt;N343,"YES","no"),"")</f>
        <v/>
      </c>
      <c r="P343" s="44"/>
      <c r="Q343" s="44"/>
    </row>
    <row r="344" customFormat="false" ht="15" hidden="false" customHeight="false" outlineLevel="0" collapsed="false">
      <c r="A344" s="45"/>
      <c r="B344" s="44"/>
      <c r="C344" s="44"/>
      <c r="D344" s="44"/>
      <c r="E344" s="44"/>
      <c r="F344" s="44"/>
      <c r="G344" s="44"/>
      <c r="H344" s="44"/>
      <c r="I344" s="44"/>
      <c r="J344" s="44"/>
      <c r="K344" s="44"/>
      <c r="L344" s="44"/>
      <c r="M344" s="44"/>
      <c r="N344" s="20" t="str">
        <f aca="false">IFERROR(INDEX('Lift Inputs'!$H:$H,MATCH(D344,'Lift Inputs'!$B:$B,0)),"")</f>
        <v/>
      </c>
      <c r="O344" s="36" t="str">
        <f aca="false">IF(AND(ISNUMBER(N344),OR(ISNUMBER(G344),ISNUMBER(K344))),IF(MIN(IF(ISNUMBER(G344),G344,10^9),IF(ISNUMBER(K344),K344,10^9))&lt;N344,"YES","no"),"")</f>
        <v/>
      </c>
      <c r="P344" s="44"/>
      <c r="Q344" s="44"/>
    </row>
    <row r="345" customFormat="false" ht="15" hidden="false" customHeight="false" outlineLevel="0" collapsed="false">
      <c r="A345" s="45"/>
      <c r="B345" s="44"/>
      <c r="C345" s="44"/>
      <c r="D345" s="44"/>
      <c r="E345" s="44"/>
      <c r="F345" s="44"/>
      <c r="G345" s="44"/>
      <c r="H345" s="44"/>
      <c r="I345" s="44"/>
      <c r="J345" s="44"/>
      <c r="K345" s="44"/>
      <c r="L345" s="44"/>
      <c r="M345" s="44"/>
      <c r="N345" s="20" t="str">
        <f aca="false">IFERROR(INDEX('Lift Inputs'!$H:$H,MATCH(D345,'Lift Inputs'!$B:$B,0)),"")</f>
        <v/>
      </c>
      <c r="O345" s="36" t="str">
        <f aca="false">IF(AND(ISNUMBER(N345),OR(ISNUMBER(G345),ISNUMBER(K345))),IF(MIN(IF(ISNUMBER(G345),G345,10^9),IF(ISNUMBER(K345),K345,10^9))&lt;N345,"YES","no"),"")</f>
        <v/>
      </c>
      <c r="P345" s="44"/>
      <c r="Q345" s="44"/>
    </row>
    <row r="346" customFormat="false" ht="15" hidden="false" customHeight="false" outlineLevel="0" collapsed="false">
      <c r="A346" s="45"/>
      <c r="B346" s="44"/>
      <c r="C346" s="44"/>
      <c r="D346" s="44"/>
      <c r="E346" s="44"/>
      <c r="F346" s="44"/>
      <c r="G346" s="44"/>
      <c r="H346" s="44"/>
      <c r="I346" s="44"/>
      <c r="J346" s="44"/>
      <c r="K346" s="44"/>
      <c r="L346" s="44"/>
      <c r="M346" s="44"/>
      <c r="N346" s="20" t="str">
        <f aca="false">IFERROR(INDEX('Lift Inputs'!$H:$H,MATCH(D346,'Lift Inputs'!$B:$B,0)),"")</f>
        <v/>
      </c>
      <c r="O346" s="36" t="str">
        <f aca="false">IF(AND(ISNUMBER(N346),OR(ISNUMBER(G346),ISNUMBER(K346))),IF(MIN(IF(ISNUMBER(G346),G346,10^9),IF(ISNUMBER(K346),K346,10^9))&lt;N346,"YES","no"),"")</f>
        <v/>
      </c>
      <c r="P346" s="44"/>
      <c r="Q346" s="44"/>
    </row>
    <row r="347" customFormat="false" ht="15" hidden="false" customHeight="false" outlineLevel="0" collapsed="false">
      <c r="A347" s="45"/>
      <c r="B347" s="44"/>
      <c r="C347" s="44"/>
      <c r="D347" s="44"/>
      <c r="E347" s="44"/>
      <c r="F347" s="44"/>
      <c r="G347" s="44"/>
      <c r="H347" s="44"/>
      <c r="I347" s="44"/>
      <c r="J347" s="44"/>
      <c r="K347" s="44"/>
      <c r="L347" s="44"/>
      <c r="M347" s="44"/>
      <c r="N347" s="20" t="str">
        <f aca="false">IFERROR(INDEX('Lift Inputs'!$H:$H,MATCH(D347,'Lift Inputs'!$B:$B,0)),"")</f>
        <v/>
      </c>
      <c r="O347" s="36" t="str">
        <f aca="false">IF(AND(ISNUMBER(N347),OR(ISNUMBER(G347),ISNUMBER(K347))),IF(MIN(IF(ISNUMBER(G347),G347,10^9),IF(ISNUMBER(K347),K347,10^9))&lt;N347,"YES","no"),"")</f>
        <v/>
      </c>
      <c r="P347" s="44"/>
      <c r="Q347" s="44"/>
    </row>
    <row r="348" customFormat="false" ht="15" hidden="false" customHeight="false" outlineLevel="0" collapsed="false">
      <c r="A348" s="45"/>
      <c r="B348" s="44"/>
      <c r="C348" s="44"/>
      <c r="D348" s="44"/>
      <c r="E348" s="44"/>
      <c r="F348" s="44"/>
      <c r="G348" s="44"/>
      <c r="H348" s="44"/>
      <c r="I348" s="44"/>
      <c r="J348" s="44"/>
      <c r="K348" s="44"/>
      <c r="L348" s="44"/>
      <c r="M348" s="44"/>
      <c r="N348" s="20" t="str">
        <f aca="false">IFERROR(INDEX('Lift Inputs'!$H:$H,MATCH(D348,'Lift Inputs'!$B:$B,0)),"")</f>
        <v/>
      </c>
      <c r="O348" s="36" t="str">
        <f aca="false">IF(AND(ISNUMBER(N348),OR(ISNUMBER(G348),ISNUMBER(K348))),IF(MIN(IF(ISNUMBER(G348),G348,10^9),IF(ISNUMBER(K348),K348,10^9))&lt;N348,"YES","no"),"")</f>
        <v/>
      </c>
      <c r="P348" s="44"/>
      <c r="Q348" s="44"/>
    </row>
    <row r="349" customFormat="false" ht="15" hidden="false" customHeight="false" outlineLevel="0" collapsed="false">
      <c r="A349" s="45"/>
      <c r="B349" s="44"/>
      <c r="C349" s="44"/>
      <c r="D349" s="44"/>
      <c r="E349" s="44"/>
      <c r="F349" s="44"/>
      <c r="G349" s="44"/>
      <c r="H349" s="44"/>
      <c r="I349" s="44"/>
      <c r="J349" s="44"/>
      <c r="K349" s="44"/>
      <c r="L349" s="44"/>
      <c r="M349" s="44"/>
      <c r="N349" s="20" t="str">
        <f aca="false">IFERROR(INDEX('Lift Inputs'!$H:$H,MATCH(D349,'Lift Inputs'!$B:$B,0)),"")</f>
        <v/>
      </c>
      <c r="O349" s="36" t="str">
        <f aca="false">IF(AND(ISNUMBER(N349),OR(ISNUMBER(G349),ISNUMBER(K349))),IF(MIN(IF(ISNUMBER(G349),G349,10^9),IF(ISNUMBER(K349),K349,10^9))&lt;N349,"YES","no"),"")</f>
        <v/>
      </c>
      <c r="P349" s="44"/>
      <c r="Q349" s="44"/>
    </row>
    <row r="350" customFormat="false" ht="15" hidden="false" customHeight="false" outlineLevel="0" collapsed="false">
      <c r="A350" s="45"/>
      <c r="B350" s="44"/>
      <c r="C350" s="44"/>
      <c r="D350" s="44"/>
      <c r="E350" s="44"/>
      <c r="F350" s="44"/>
      <c r="G350" s="44"/>
      <c r="H350" s="44"/>
      <c r="I350" s="44"/>
      <c r="J350" s="44"/>
      <c r="K350" s="44"/>
      <c r="L350" s="44"/>
      <c r="M350" s="44"/>
      <c r="N350" s="20" t="str">
        <f aca="false">IFERROR(INDEX('Lift Inputs'!$H:$H,MATCH(D350,'Lift Inputs'!$B:$B,0)),"")</f>
        <v/>
      </c>
      <c r="O350" s="36" t="str">
        <f aca="false">IF(AND(ISNUMBER(N350),OR(ISNUMBER(G350),ISNUMBER(K350))),IF(MIN(IF(ISNUMBER(G350),G350,10^9),IF(ISNUMBER(K350),K350,10^9))&lt;N350,"YES","no"),"")</f>
        <v/>
      </c>
      <c r="P350" s="44"/>
      <c r="Q350" s="44"/>
    </row>
    <row r="351" customFormat="false" ht="15" hidden="false" customHeight="false" outlineLevel="0" collapsed="false">
      <c r="A351" s="45"/>
      <c r="B351" s="44"/>
      <c r="C351" s="44"/>
      <c r="D351" s="44"/>
      <c r="E351" s="44"/>
      <c r="F351" s="44"/>
      <c r="G351" s="44"/>
      <c r="H351" s="44"/>
      <c r="I351" s="44"/>
      <c r="J351" s="44"/>
      <c r="K351" s="44"/>
      <c r="L351" s="44"/>
      <c r="M351" s="44"/>
      <c r="N351" s="20" t="str">
        <f aca="false">IFERROR(INDEX('Lift Inputs'!$H:$H,MATCH(D351,'Lift Inputs'!$B:$B,0)),"")</f>
        <v/>
      </c>
      <c r="O351" s="36" t="str">
        <f aca="false">IF(AND(ISNUMBER(N351),OR(ISNUMBER(G351),ISNUMBER(K351))),IF(MIN(IF(ISNUMBER(G351),G351,10^9),IF(ISNUMBER(K351),K351,10^9))&lt;N351,"YES","no"),"")</f>
        <v/>
      </c>
      <c r="P351" s="44"/>
      <c r="Q351" s="44"/>
    </row>
    <row r="352" customFormat="false" ht="15" hidden="false" customHeight="false" outlineLevel="0" collapsed="false">
      <c r="A352" s="45"/>
      <c r="B352" s="44"/>
      <c r="C352" s="44"/>
      <c r="D352" s="44"/>
      <c r="E352" s="44"/>
      <c r="F352" s="44"/>
      <c r="G352" s="44"/>
      <c r="H352" s="44"/>
      <c r="I352" s="44"/>
      <c r="J352" s="44"/>
      <c r="K352" s="44"/>
      <c r="L352" s="44"/>
      <c r="M352" s="44"/>
      <c r="N352" s="20" t="str">
        <f aca="false">IFERROR(INDEX('Lift Inputs'!$H:$H,MATCH(D352,'Lift Inputs'!$B:$B,0)),"")</f>
        <v/>
      </c>
      <c r="O352" s="36" t="str">
        <f aca="false">IF(AND(ISNUMBER(N352),OR(ISNUMBER(G352),ISNUMBER(K352))),IF(MIN(IF(ISNUMBER(G352),G352,10^9),IF(ISNUMBER(K352),K352,10^9))&lt;N352,"YES","no"),"")</f>
        <v/>
      </c>
      <c r="P352" s="44"/>
      <c r="Q352" s="44"/>
    </row>
    <row r="353" customFormat="false" ht="15" hidden="false" customHeight="false" outlineLevel="0" collapsed="false">
      <c r="A353" s="45"/>
      <c r="B353" s="44"/>
      <c r="C353" s="44"/>
      <c r="D353" s="44"/>
      <c r="E353" s="44"/>
      <c r="F353" s="44"/>
      <c r="G353" s="44"/>
      <c r="H353" s="44"/>
      <c r="I353" s="44"/>
      <c r="J353" s="44"/>
      <c r="K353" s="44"/>
      <c r="L353" s="44"/>
      <c r="M353" s="44"/>
      <c r="N353" s="20" t="str">
        <f aca="false">IFERROR(INDEX('Lift Inputs'!$H:$H,MATCH(D353,'Lift Inputs'!$B:$B,0)),"")</f>
        <v/>
      </c>
      <c r="O353" s="36" t="str">
        <f aca="false">IF(AND(ISNUMBER(N353),OR(ISNUMBER(G353),ISNUMBER(K353))),IF(MIN(IF(ISNUMBER(G353),G353,10^9),IF(ISNUMBER(K353),K353,10^9))&lt;N353,"YES","no"),"")</f>
        <v/>
      </c>
      <c r="P353" s="44"/>
      <c r="Q353" s="44"/>
    </row>
    <row r="354" customFormat="false" ht="15" hidden="false" customHeight="false" outlineLevel="0" collapsed="false">
      <c r="A354" s="45"/>
      <c r="B354" s="44"/>
      <c r="C354" s="44"/>
      <c r="D354" s="44"/>
      <c r="E354" s="44"/>
      <c r="F354" s="44"/>
      <c r="G354" s="44"/>
      <c r="H354" s="44"/>
      <c r="I354" s="44"/>
      <c r="J354" s="44"/>
      <c r="K354" s="44"/>
      <c r="L354" s="44"/>
      <c r="M354" s="44"/>
      <c r="N354" s="20" t="str">
        <f aca="false">IFERROR(INDEX('Lift Inputs'!$H:$H,MATCH(D354,'Lift Inputs'!$B:$B,0)),"")</f>
        <v/>
      </c>
      <c r="O354" s="36" t="str">
        <f aca="false">IF(AND(ISNUMBER(N354),OR(ISNUMBER(G354),ISNUMBER(K354))),IF(MIN(IF(ISNUMBER(G354),G354,10^9),IF(ISNUMBER(K354),K354,10^9))&lt;N354,"YES","no"),"")</f>
        <v/>
      </c>
      <c r="P354" s="44"/>
      <c r="Q354" s="44"/>
    </row>
    <row r="355" customFormat="false" ht="15" hidden="false" customHeight="false" outlineLevel="0" collapsed="false">
      <c r="A355" s="45"/>
      <c r="B355" s="44"/>
      <c r="C355" s="44"/>
      <c r="D355" s="44"/>
      <c r="E355" s="44"/>
      <c r="F355" s="44"/>
      <c r="G355" s="44"/>
      <c r="H355" s="44"/>
      <c r="I355" s="44"/>
      <c r="J355" s="44"/>
      <c r="K355" s="44"/>
      <c r="L355" s="44"/>
      <c r="M355" s="44"/>
      <c r="N355" s="20" t="str">
        <f aca="false">IFERROR(INDEX('Lift Inputs'!$H:$H,MATCH(D355,'Lift Inputs'!$B:$B,0)),"")</f>
        <v/>
      </c>
      <c r="O355" s="36" t="str">
        <f aca="false">IF(AND(ISNUMBER(N355),OR(ISNUMBER(G355),ISNUMBER(K355))),IF(MIN(IF(ISNUMBER(G355),G355,10^9),IF(ISNUMBER(K355),K355,10^9))&lt;N355,"YES","no"),"")</f>
        <v/>
      </c>
      <c r="P355" s="44"/>
      <c r="Q355" s="44"/>
    </row>
    <row r="356" customFormat="false" ht="15" hidden="false" customHeight="false" outlineLevel="0" collapsed="false">
      <c r="A356" s="45"/>
      <c r="B356" s="44"/>
      <c r="C356" s="44"/>
      <c r="D356" s="44"/>
      <c r="E356" s="44"/>
      <c r="F356" s="44"/>
      <c r="G356" s="44"/>
      <c r="H356" s="44"/>
      <c r="I356" s="44"/>
      <c r="J356" s="44"/>
      <c r="K356" s="44"/>
      <c r="L356" s="44"/>
      <c r="M356" s="44"/>
      <c r="N356" s="20" t="str">
        <f aca="false">IFERROR(INDEX('Lift Inputs'!$H:$H,MATCH(D356,'Lift Inputs'!$B:$B,0)),"")</f>
        <v/>
      </c>
      <c r="O356" s="36" t="str">
        <f aca="false">IF(AND(ISNUMBER(N356),OR(ISNUMBER(G356),ISNUMBER(K356))),IF(MIN(IF(ISNUMBER(G356),G356,10^9),IF(ISNUMBER(K356),K356,10^9))&lt;N356,"YES","no"),"")</f>
        <v/>
      </c>
      <c r="P356" s="44"/>
      <c r="Q356" s="44"/>
    </row>
    <row r="357" customFormat="false" ht="15" hidden="false" customHeight="false" outlineLevel="0" collapsed="false">
      <c r="A357" s="45"/>
      <c r="B357" s="44"/>
      <c r="C357" s="44"/>
      <c r="D357" s="44"/>
      <c r="E357" s="44"/>
      <c r="F357" s="44"/>
      <c r="G357" s="44"/>
      <c r="H357" s="44"/>
      <c r="I357" s="44"/>
      <c r="J357" s="44"/>
      <c r="K357" s="44"/>
      <c r="L357" s="44"/>
      <c r="M357" s="44"/>
      <c r="N357" s="20" t="str">
        <f aca="false">IFERROR(INDEX('Lift Inputs'!$H:$H,MATCH(D357,'Lift Inputs'!$B:$B,0)),"")</f>
        <v/>
      </c>
      <c r="O357" s="36" t="str">
        <f aca="false">IF(AND(ISNUMBER(N357),OR(ISNUMBER(G357),ISNUMBER(K357))),IF(MIN(IF(ISNUMBER(G357),G357,10^9),IF(ISNUMBER(K357),K357,10^9))&lt;N357,"YES","no"),"")</f>
        <v/>
      </c>
      <c r="P357" s="44"/>
      <c r="Q357" s="44"/>
    </row>
    <row r="358" customFormat="false" ht="15" hidden="false" customHeight="false" outlineLevel="0" collapsed="false">
      <c r="A358" s="45"/>
      <c r="B358" s="44"/>
      <c r="C358" s="44"/>
      <c r="D358" s="44"/>
      <c r="E358" s="44"/>
      <c r="F358" s="44"/>
      <c r="G358" s="44"/>
      <c r="H358" s="44"/>
      <c r="I358" s="44"/>
      <c r="J358" s="44"/>
      <c r="K358" s="44"/>
      <c r="L358" s="44"/>
      <c r="M358" s="44"/>
      <c r="N358" s="20" t="str">
        <f aca="false">IFERROR(INDEX('Lift Inputs'!$H:$H,MATCH(D358,'Lift Inputs'!$B:$B,0)),"")</f>
        <v/>
      </c>
      <c r="O358" s="36" t="str">
        <f aca="false">IF(AND(ISNUMBER(N358),OR(ISNUMBER(G358),ISNUMBER(K358))),IF(MIN(IF(ISNUMBER(G358),G358,10^9),IF(ISNUMBER(K358),K358,10^9))&lt;N358,"YES","no"),"")</f>
        <v/>
      </c>
      <c r="P358" s="44"/>
      <c r="Q358" s="44"/>
    </row>
    <row r="359" customFormat="false" ht="15" hidden="false" customHeight="false" outlineLevel="0" collapsed="false">
      <c r="A359" s="45"/>
      <c r="B359" s="44"/>
      <c r="C359" s="44"/>
      <c r="D359" s="44"/>
      <c r="E359" s="44"/>
      <c r="F359" s="44"/>
      <c r="G359" s="44"/>
      <c r="H359" s="44"/>
      <c r="I359" s="44"/>
      <c r="J359" s="44"/>
      <c r="K359" s="44"/>
      <c r="L359" s="44"/>
      <c r="M359" s="44"/>
      <c r="N359" s="20" t="str">
        <f aca="false">IFERROR(INDEX('Lift Inputs'!$H:$H,MATCH(D359,'Lift Inputs'!$B:$B,0)),"")</f>
        <v/>
      </c>
      <c r="O359" s="36" t="str">
        <f aca="false">IF(AND(ISNUMBER(N359),OR(ISNUMBER(G359),ISNUMBER(K359))),IF(MIN(IF(ISNUMBER(G359),G359,10^9),IF(ISNUMBER(K359),K359,10^9))&lt;N359,"YES","no"),"")</f>
        <v/>
      </c>
      <c r="P359" s="44"/>
      <c r="Q359" s="44"/>
    </row>
    <row r="360" customFormat="false" ht="15" hidden="false" customHeight="false" outlineLevel="0" collapsed="false">
      <c r="A360" s="45"/>
      <c r="B360" s="44"/>
      <c r="C360" s="44"/>
      <c r="D360" s="44"/>
      <c r="E360" s="44"/>
      <c r="F360" s="44"/>
      <c r="G360" s="44"/>
      <c r="H360" s="44"/>
      <c r="I360" s="44"/>
      <c r="J360" s="44"/>
      <c r="K360" s="44"/>
      <c r="L360" s="44"/>
      <c r="M360" s="44"/>
      <c r="N360" s="20" t="str">
        <f aca="false">IFERROR(INDEX('Lift Inputs'!$H:$H,MATCH(D360,'Lift Inputs'!$B:$B,0)),"")</f>
        <v/>
      </c>
      <c r="O360" s="36" t="str">
        <f aca="false">IF(AND(ISNUMBER(N360),OR(ISNUMBER(G360),ISNUMBER(K360))),IF(MIN(IF(ISNUMBER(G360),G360,10^9),IF(ISNUMBER(K360),K360,10^9))&lt;N360,"YES","no"),"")</f>
        <v/>
      </c>
      <c r="P360" s="44"/>
      <c r="Q360" s="44"/>
    </row>
    <row r="361" customFormat="false" ht="15" hidden="false" customHeight="false" outlineLevel="0" collapsed="false">
      <c r="A361" s="45"/>
      <c r="B361" s="44"/>
      <c r="C361" s="44"/>
      <c r="D361" s="44"/>
      <c r="E361" s="44"/>
      <c r="F361" s="44"/>
      <c r="G361" s="44"/>
      <c r="H361" s="44"/>
      <c r="I361" s="44"/>
      <c r="J361" s="44"/>
      <c r="K361" s="44"/>
      <c r="L361" s="44"/>
      <c r="M361" s="44"/>
      <c r="N361" s="20" t="str">
        <f aca="false">IFERROR(INDEX('Lift Inputs'!$H:$H,MATCH(D361,'Lift Inputs'!$B:$B,0)),"")</f>
        <v/>
      </c>
      <c r="O361" s="36" t="str">
        <f aca="false">IF(AND(ISNUMBER(N361),OR(ISNUMBER(G361),ISNUMBER(K361))),IF(MIN(IF(ISNUMBER(G361),G361,10^9),IF(ISNUMBER(K361),K361,10^9))&lt;N361,"YES","no"),"")</f>
        <v/>
      </c>
      <c r="P361" s="44"/>
      <c r="Q361" s="44"/>
    </row>
    <row r="362" customFormat="false" ht="15" hidden="false" customHeight="false" outlineLevel="0" collapsed="false">
      <c r="A362" s="45"/>
      <c r="B362" s="44"/>
      <c r="C362" s="44"/>
      <c r="D362" s="44"/>
      <c r="E362" s="44"/>
      <c r="F362" s="44"/>
      <c r="G362" s="44"/>
      <c r="H362" s="44"/>
      <c r="I362" s="44"/>
      <c r="J362" s="44"/>
      <c r="K362" s="44"/>
      <c r="L362" s="44"/>
      <c r="M362" s="44"/>
      <c r="N362" s="20" t="str">
        <f aca="false">IFERROR(INDEX('Lift Inputs'!$H:$H,MATCH(D362,'Lift Inputs'!$B:$B,0)),"")</f>
        <v/>
      </c>
      <c r="O362" s="36" t="str">
        <f aca="false">IF(AND(ISNUMBER(N362),OR(ISNUMBER(G362),ISNUMBER(K362))),IF(MIN(IF(ISNUMBER(G362),G362,10^9),IF(ISNUMBER(K362),K362,10^9))&lt;N362,"YES","no"),"")</f>
        <v/>
      </c>
      <c r="P362" s="44"/>
      <c r="Q362" s="44"/>
    </row>
    <row r="363" customFormat="false" ht="15" hidden="false" customHeight="false" outlineLevel="0" collapsed="false">
      <c r="A363" s="45"/>
      <c r="B363" s="44"/>
      <c r="C363" s="44"/>
      <c r="D363" s="44"/>
      <c r="E363" s="44"/>
      <c r="F363" s="44"/>
      <c r="G363" s="44"/>
      <c r="H363" s="44"/>
      <c r="I363" s="44"/>
      <c r="J363" s="44"/>
      <c r="K363" s="44"/>
      <c r="L363" s="44"/>
      <c r="M363" s="44"/>
      <c r="N363" s="20" t="str">
        <f aca="false">IFERROR(INDEX('Lift Inputs'!$H:$H,MATCH(D363,'Lift Inputs'!$B:$B,0)),"")</f>
        <v/>
      </c>
      <c r="O363" s="36" t="str">
        <f aca="false">IF(AND(ISNUMBER(N363),OR(ISNUMBER(G363),ISNUMBER(K363))),IF(MIN(IF(ISNUMBER(G363),G363,10^9),IF(ISNUMBER(K363),K363,10^9))&lt;N363,"YES","no"),"")</f>
        <v/>
      </c>
      <c r="P363" s="44"/>
      <c r="Q363" s="44"/>
    </row>
    <row r="364" customFormat="false" ht="15" hidden="false" customHeight="false" outlineLevel="0" collapsed="false">
      <c r="A364" s="45"/>
      <c r="B364" s="44"/>
      <c r="C364" s="44"/>
      <c r="D364" s="44"/>
      <c r="E364" s="44"/>
      <c r="F364" s="44"/>
      <c r="G364" s="44"/>
      <c r="H364" s="44"/>
      <c r="I364" s="44"/>
      <c r="J364" s="44"/>
      <c r="K364" s="44"/>
      <c r="L364" s="44"/>
      <c r="M364" s="44"/>
      <c r="N364" s="20" t="str">
        <f aca="false">IFERROR(INDEX('Lift Inputs'!$H:$H,MATCH(D364,'Lift Inputs'!$B:$B,0)),"")</f>
        <v/>
      </c>
      <c r="O364" s="36" t="str">
        <f aca="false">IF(AND(ISNUMBER(N364),OR(ISNUMBER(G364),ISNUMBER(K364))),IF(MIN(IF(ISNUMBER(G364),G364,10^9),IF(ISNUMBER(K364),K364,10^9))&lt;N364,"YES","no"),"")</f>
        <v/>
      </c>
      <c r="P364" s="44"/>
      <c r="Q364" s="44"/>
    </row>
    <row r="365" customFormat="false" ht="15" hidden="false" customHeight="false" outlineLevel="0" collapsed="false">
      <c r="A365" s="45"/>
      <c r="B365" s="44"/>
      <c r="C365" s="44"/>
      <c r="D365" s="44"/>
      <c r="E365" s="44"/>
      <c r="F365" s="44"/>
      <c r="G365" s="44"/>
      <c r="H365" s="44"/>
      <c r="I365" s="44"/>
      <c r="J365" s="44"/>
      <c r="K365" s="44"/>
      <c r="L365" s="44"/>
      <c r="M365" s="44"/>
      <c r="N365" s="20" t="str">
        <f aca="false">IFERROR(INDEX('Lift Inputs'!$H:$H,MATCH(D365,'Lift Inputs'!$B:$B,0)),"")</f>
        <v/>
      </c>
      <c r="O365" s="36" t="str">
        <f aca="false">IF(AND(ISNUMBER(N365),OR(ISNUMBER(G365),ISNUMBER(K365))),IF(MIN(IF(ISNUMBER(G365),G365,10^9),IF(ISNUMBER(K365),K365,10^9))&lt;N365,"YES","no"),"")</f>
        <v/>
      </c>
      <c r="P365" s="44"/>
      <c r="Q365" s="44"/>
    </row>
    <row r="366" customFormat="false" ht="15" hidden="false" customHeight="false" outlineLevel="0" collapsed="false">
      <c r="A366" s="45"/>
      <c r="B366" s="44"/>
      <c r="C366" s="44"/>
      <c r="D366" s="44"/>
      <c r="E366" s="44"/>
      <c r="F366" s="44"/>
      <c r="G366" s="44"/>
      <c r="H366" s="44"/>
      <c r="I366" s="44"/>
      <c r="J366" s="44"/>
      <c r="K366" s="44"/>
      <c r="L366" s="44"/>
      <c r="M366" s="44"/>
      <c r="N366" s="20" t="str">
        <f aca="false">IFERROR(INDEX('Lift Inputs'!$H:$H,MATCH(D366,'Lift Inputs'!$B:$B,0)),"")</f>
        <v/>
      </c>
      <c r="O366" s="36" t="str">
        <f aca="false">IF(AND(ISNUMBER(N366),OR(ISNUMBER(G366),ISNUMBER(K366))),IF(MIN(IF(ISNUMBER(G366),G366,10^9),IF(ISNUMBER(K366),K366,10^9))&lt;N366,"YES","no"),"")</f>
        <v/>
      </c>
      <c r="P366" s="44"/>
      <c r="Q366" s="44"/>
    </row>
    <row r="367" customFormat="false" ht="15" hidden="false" customHeight="false" outlineLevel="0" collapsed="false">
      <c r="A367" s="45"/>
      <c r="B367" s="44"/>
      <c r="C367" s="44"/>
      <c r="D367" s="44"/>
      <c r="E367" s="44"/>
      <c r="F367" s="44"/>
      <c r="G367" s="44"/>
      <c r="H367" s="44"/>
      <c r="I367" s="44"/>
      <c r="J367" s="44"/>
      <c r="K367" s="44"/>
      <c r="L367" s="44"/>
      <c r="M367" s="44"/>
      <c r="N367" s="20" t="str">
        <f aca="false">IFERROR(INDEX('Lift Inputs'!$H:$H,MATCH(D367,'Lift Inputs'!$B:$B,0)),"")</f>
        <v/>
      </c>
      <c r="O367" s="36" t="str">
        <f aca="false">IF(AND(ISNUMBER(N367),OR(ISNUMBER(G367),ISNUMBER(K367))),IF(MIN(IF(ISNUMBER(G367),G367,10^9),IF(ISNUMBER(K367),K367,10^9))&lt;N367,"YES","no"),"")</f>
        <v/>
      </c>
      <c r="P367" s="44"/>
      <c r="Q367" s="44"/>
    </row>
    <row r="368" customFormat="false" ht="15" hidden="false" customHeight="false" outlineLevel="0" collapsed="false">
      <c r="A368" s="45"/>
      <c r="B368" s="44"/>
      <c r="C368" s="44"/>
      <c r="D368" s="44"/>
      <c r="E368" s="44"/>
      <c r="F368" s="44"/>
      <c r="G368" s="44"/>
      <c r="H368" s="44"/>
      <c r="I368" s="44"/>
      <c r="J368" s="44"/>
      <c r="K368" s="44"/>
      <c r="L368" s="44"/>
      <c r="M368" s="44"/>
      <c r="N368" s="20" t="str">
        <f aca="false">IFERROR(INDEX('Lift Inputs'!$H:$H,MATCH(D368,'Lift Inputs'!$B:$B,0)),"")</f>
        <v/>
      </c>
      <c r="O368" s="36" t="str">
        <f aca="false">IF(AND(ISNUMBER(N368),OR(ISNUMBER(G368),ISNUMBER(K368))),IF(MIN(IF(ISNUMBER(G368),G368,10^9),IF(ISNUMBER(K368),K368,10^9))&lt;N368,"YES","no"),"")</f>
        <v/>
      </c>
      <c r="P368" s="44"/>
      <c r="Q368" s="44"/>
    </row>
    <row r="369" customFormat="false" ht="15" hidden="false" customHeight="false" outlineLevel="0" collapsed="false">
      <c r="A369" s="45"/>
      <c r="B369" s="44"/>
      <c r="C369" s="44"/>
      <c r="D369" s="44"/>
      <c r="E369" s="44"/>
      <c r="F369" s="44"/>
      <c r="G369" s="44"/>
      <c r="H369" s="44"/>
      <c r="I369" s="44"/>
      <c r="J369" s="44"/>
      <c r="K369" s="44"/>
      <c r="L369" s="44"/>
      <c r="M369" s="44"/>
      <c r="N369" s="20" t="str">
        <f aca="false">IFERROR(INDEX('Lift Inputs'!$H:$H,MATCH(D369,'Lift Inputs'!$B:$B,0)),"")</f>
        <v/>
      </c>
      <c r="O369" s="36" t="str">
        <f aca="false">IF(AND(ISNUMBER(N369),OR(ISNUMBER(G369),ISNUMBER(K369))),IF(MIN(IF(ISNUMBER(G369),G369,10^9),IF(ISNUMBER(K369),K369,10^9))&lt;N369,"YES","no"),"")</f>
        <v/>
      </c>
      <c r="P369" s="44"/>
      <c r="Q369" s="44"/>
    </row>
    <row r="370" customFormat="false" ht="15" hidden="false" customHeight="false" outlineLevel="0" collapsed="false">
      <c r="A370" s="45"/>
      <c r="B370" s="44"/>
      <c r="C370" s="44"/>
      <c r="D370" s="44"/>
      <c r="E370" s="44"/>
      <c r="F370" s="44"/>
      <c r="G370" s="44"/>
      <c r="H370" s="44"/>
      <c r="I370" s="44"/>
      <c r="J370" s="44"/>
      <c r="K370" s="44"/>
      <c r="L370" s="44"/>
      <c r="M370" s="44"/>
      <c r="N370" s="20" t="str">
        <f aca="false">IFERROR(INDEX('Lift Inputs'!$H:$H,MATCH(D370,'Lift Inputs'!$B:$B,0)),"")</f>
        <v/>
      </c>
      <c r="O370" s="36" t="str">
        <f aca="false">IF(AND(ISNUMBER(N370),OR(ISNUMBER(G370),ISNUMBER(K370))),IF(MIN(IF(ISNUMBER(G370),G370,10^9),IF(ISNUMBER(K370),K370,10^9))&lt;N370,"YES","no"),"")</f>
        <v/>
      </c>
      <c r="P370" s="44"/>
      <c r="Q370" s="44"/>
    </row>
    <row r="371" customFormat="false" ht="15" hidden="false" customHeight="false" outlineLevel="0" collapsed="false">
      <c r="A371" s="45"/>
      <c r="B371" s="44"/>
      <c r="C371" s="44"/>
      <c r="D371" s="44"/>
      <c r="E371" s="44"/>
      <c r="F371" s="44"/>
      <c r="G371" s="44"/>
      <c r="H371" s="44"/>
      <c r="I371" s="44"/>
      <c r="J371" s="44"/>
      <c r="K371" s="44"/>
      <c r="L371" s="44"/>
      <c r="M371" s="44"/>
      <c r="N371" s="20" t="str">
        <f aca="false">IFERROR(INDEX('Lift Inputs'!$H:$H,MATCH(D371,'Lift Inputs'!$B:$B,0)),"")</f>
        <v/>
      </c>
      <c r="O371" s="36" t="str">
        <f aca="false">IF(AND(ISNUMBER(N371),OR(ISNUMBER(G371),ISNUMBER(K371))),IF(MIN(IF(ISNUMBER(G371),G371,10^9),IF(ISNUMBER(K371),K371,10^9))&lt;N371,"YES","no"),"")</f>
        <v/>
      </c>
      <c r="P371" s="44"/>
      <c r="Q371" s="44"/>
    </row>
    <row r="372" customFormat="false" ht="15" hidden="false" customHeight="false" outlineLevel="0" collapsed="false">
      <c r="A372" s="45"/>
      <c r="B372" s="44"/>
      <c r="C372" s="44"/>
      <c r="D372" s="44"/>
      <c r="E372" s="44"/>
      <c r="F372" s="44"/>
      <c r="G372" s="44"/>
      <c r="H372" s="44"/>
      <c r="I372" s="44"/>
      <c r="J372" s="44"/>
      <c r="K372" s="44"/>
      <c r="L372" s="44"/>
      <c r="M372" s="44"/>
      <c r="N372" s="20" t="str">
        <f aca="false">IFERROR(INDEX('Lift Inputs'!$H:$H,MATCH(D372,'Lift Inputs'!$B:$B,0)),"")</f>
        <v/>
      </c>
      <c r="O372" s="36" t="str">
        <f aca="false">IF(AND(ISNUMBER(N372),OR(ISNUMBER(G372),ISNUMBER(K372))),IF(MIN(IF(ISNUMBER(G372),G372,10^9),IF(ISNUMBER(K372),K372,10^9))&lt;N372,"YES","no"),"")</f>
        <v/>
      </c>
      <c r="P372" s="44"/>
      <c r="Q372" s="44"/>
    </row>
    <row r="373" customFormat="false" ht="15" hidden="false" customHeight="false" outlineLevel="0" collapsed="false">
      <c r="A373" s="45"/>
      <c r="B373" s="44"/>
      <c r="C373" s="44"/>
      <c r="D373" s="44"/>
      <c r="E373" s="44"/>
      <c r="F373" s="44"/>
      <c r="G373" s="44"/>
      <c r="H373" s="44"/>
      <c r="I373" s="44"/>
      <c r="J373" s="44"/>
      <c r="K373" s="44"/>
      <c r="L373" s="44"/>
      <c r="M373" s="44"/>
      <c r="N373" s="20" t="str">
        <f aca="false">IFERROR(INDEX('Lift Inputs'!$H:$H,MATCH(D373,'Lift Inputs'!$B:$B,0)),"")</f>
        <v/>
      </c>
      <c r="O373" s="36" t="str">
        <f aca="false">IF(AND(ISNUMBER(N373),OR(ISNUMBER(G373),ISNUMBER(K373))),IF(MIN(IF(ISNUMBER(G373),G373,10^9),IF(ISNUMBER(K373),K373,10^9))&lt;N373,"YES","no"),"")</f>
        <v/>
      </c>
      <c r="P373" s="44"/>
      <c r="Q373" s="44"/>
    </row>
    <row r="374" customFormat="false" ht="15" hidden="false" customHeight="false" outlineLevel="0" collapsed="false">
      <c r="A374" s="45"/>
      <c r="B374" s="44"/>
      <c r="C374" s="44"/>
      <c r="D374" s="44"/>
      <c r="E374" s="44"/>
      <c r="F374" s="44"/>
      <c r="G374" s="44"/>
      <c r="H374" s="44"/>
      <c r="I374" s="44"/>
      <c r="J374" s="44"/>
      <c r="K374" s="44"/>
      <c r="L374" s="44"/>
      <c r="M374" s="44"/>
      <c r="N374" s="20" t="str">
        <f aca="false">IFERROR(INDEX('Lift Inputs'!$H:$H,MATCH(D374,'Lift Inputs'!$B:$B,0)),"")</f>
        <v/>
      </c>
      <c r="O374" s="36" t="str">
        <f aca="false">IF(AND(ISNUMBER(N374),OR(ISNUMBER(G374),ISNUMBER(K374))),IF(MIN(IF(ISNUMBER(G374),G374,10^9),IF(ISNUMBER(K374),K374,10^9))&lt;N374,"YES","no"),"")</f>
        <v/>
      </c>
      <c r="P374" s="44"/>
      <c r="Q374" s="44"/>
    </row>
    <row r="375" customFormat="false" ht="15" hidden="false" customHeight="false" outlineLevel="0" collapsed="false">
      <c r="A375" s="45"/>
      <c r="B375" s="44"/>
      <c r="C375" s="44"/>
      <c r="D375" s="44"/>
      <c r="E375" s="44"/>
      <c r="F375" s="44"/>
      <c r="G375" s="44"/>
      <c r="H375" s="44"/>
      <c r="I375" s="44"/>
      <c r="J375" s="44"/>
      <c r="K375" s="44"/>
      <c r="L375" s="44"/>
      <c r="M375" s="44"/>
      <c r="N375" s="20" t="str">
        <f aca="false">IFERROR(INDEX('Lift Inputs'!$H:$H,MATCH(D375,'Lift Inputs'!$B:$B,0)),"")</f>
        <v/>
      </c>
      <c r="O375" s="36" t="str">
        <f aca="false">IF(AND(ISNUMBER(N375),OR(ISNUMBER(G375),ISNUMBER(K375))),IF(MIN(IF(ISNUMBER(G375),G375,10^9),IF(ISNUMBER(K375),K375,10^9))&lt;N375,"YES","no"),"")</f>
        <v/>
      </c>
      <c r="P375" s="44"/>
      <c r="Q375" s="44"/>
    </row>
    <row r="376" customFormat="false" ht="15" hidden="false" customHeight="false" outlineLevel="0" collapsed="false">
      <c r="A376" s="45"/>
      <c r="B376" s="44"/>
      <c r="C376" s="44"/>
      <c r="D376" s="44"/>
      <c r="E376" s="44"/>
      <c r="F376" s="44"/>
      <c r="G376" s="44"/>
      <c r="H376" s="44"/>
      <c r="I376" s="44"/>
      <c r="J376" s="44"/>
      <c r="K376" s="44"/>
      <c r="L376" s="44"/>
      <c r="M376" s="44"/>
      <c r="N376" s="20" t="str">
        <f aca="false">IFERROR(INDEX('Lift Inputs'!$H:$H,MATCH(D376,'Lift Inputs'!$B:$B,0)),"")</f>
        <v/>
      </c>
      <c r="O376" s="36" t="str">
        <f aca="false">IF(AND(ISNUMBER(N376),OR(ISNUMBER(G376),ISNUMBER(K376))),IF(MIN(IF(ISNUMBER(G376),G376,10^9),IF(ISNUMBER(K376),K376,10^9))&lt;N376,"YES","no"),"")</f>
        <v/>
      </c>
      <c r="P376" s="44"/>
      <c r="Q376" s="44"/>
    </row>
    <row r="377" customFormat="false" ht="15" hidden="false" customHeight="false" outlineLevel="0" collapsed="false">
      <c r="A377" s="45"/>
      <c r="B377" s="44"/>
      <c r="C377" s="44"/>
      <c r="D377" s="44"/>
      <c r="E377" s="44"/>
      <c r="F377" s="44"/>
      <c r="G377" s="44"/>
      <c r="H377" s="44"/>
      <c r="I377" s="44"/>
      <c r="J377" s="44"/>
      <c r="K377" s="44"/>
      <c r="L377" s="44"/>
      <c r="M377" s="44"/>
      <c r="N377" s="20" t="str">
        <f aca="false">IFERROR(INDEX('Lift Inputs'!$H:$H,MATCH(D377,'Lift Inputs'!$B:$B,0)),"")</f>
        <v/>
      </c>
      <c r="O377" s="36" t="str">
        <f aca="false">IF(AND(ISNUMBER(N377),OR(ISNUMBER(G377),ISNUMBER(K377))),IF(MIN(IF(ISNUMBER(G377),G377,10^9),IF(ISNUMBER(K377),K377,10^9))&lt;N377,"YES","no"),"")</f>
        <v/>
      </c>
      <c r="P377" s="44"/>
      <c r="Q377" s="44"/>
    </row>
    <row r="378" customFormat="false" ht="15" hidden="false" customHeight="false" outlineLevel="0" collapsed="false">
      <c r="A378" s="45"/>
      <c r="B378" s="44"/>
      <c r="C378" s="44"/>
      <c r="D378" s="44"/>
      <c r="E378" s="44"/>
      <c r="F378" s="44"/>
      <c r="G378" s="44"/>
      <c r="H378" s="44"/>
      <c r="I378" s="44"/>
      <c r="J378" s="44"/>
      <c r="K378" s="44"/>
      <c r="L378" s="44"/>
      <c r="M378" s="44"/>
      <c r="N378" s="20" t="str">
        <f aca="false">IFERROR(INDEX('Lift Inputs'!$H:$H,MATCH(D378,'Lift Inputs'!$B:$B,0)),"")</f>
        <v/>
      </c>
      <c r="O378" s="36" t="str">
        <f aca="false">IF(AND(ISNUMBER(N378),OR(ISNUMBER(G378),ISNUMBER(K378))),IF(MIN(IF(ISNUMBER(G378),G378,10^9),IF(ISNUMBER(K378),K378,10^9))&lt;N378,"YES","no"),"")</f>
        <v/>
      </c>
      <c r="P378" s="44"/>
      <c r="Q378" s="44"/>
    </row>
    <row r="379" customFormat="false" ht="15" hidden="false" customHeight="false" outlineLevel="0" collapsed="false">
      <c r="A379" s="45"/>
      <c r="B379" s="44"/>
      <c r="C379" s="44"/>
      <c r="D379" s="44"/>
      <c r="E379" s="44"/>
      <c r="F379" s="44"/>
      <c r="G379" s="44"/>
      <c r="H379" s="44"/>
      <c r="I379" s="44"/>
      <c r="J379" s="44"/>
      <c r="K379" s="44"/>
      <c r="L379" s="44"/>
      <c r="M379" s="44"/>
      <c r="N379" s="20" t="str">
        <f aca="false">IFERROR(INDEX('Lift Inputs'!$H:$H,MATCH(D379,'Lift Inputs'!$B:$B,0)),"")</f>
        <v/>
      </c>
      <c r="O379" s="36" t="str">
        <f aca="false">IF(AND(ISNUMBER(N379),OR(ISNUMBER(G379),ISNUMBER(K379))),IF(MIN(IF(ISNUMBER(G379),G379,10^9),IF(ISNUMBER(K379),K379,10^9))&lt;N379,"YES","no"),"")</f>
        <v/>
      </c>
      <c r="P379" s="44"/>
      <c r="Q379" s="44"/>
    </row>
    <row r="380" customFormat="false" ht="15" hidden="false" customHeight="false" outlineLevel="0" collapsed="false">
      <c r="A380" s="45"/>
      <c r="B380" s="44"/>
      <c r="C380" s="44"/>
      <c r="D380" s="44"/>
      <c r="E380" s="44"/>
      <c r="F380" s="44"/>
      <c r="G380" s="44"/>
      <c r="H380" s="44"/>
      <c r="I380" s="44"/>
      <c r="J380" s="44"/>
      <c r="K380" s="44"/>
      <c r="L380" s="44"/>
      <c r="M380" s="44"/>
      <c r="N380" s="20" t="str">
        <f aca="false">IFERROR(INDEX('Lift Inputs'!$H:$H,MATCH(D380,'Lift Inputs'!$B:$B,0)),"")</f>
        <v/>
      </c>
      <c r="O380" s="36" t="str">
        <f aca="false">IF(AND(ISNUMBER(N380),OR(ISNUMBER(G380),ISNUMBER(K380))),IF(MIN(IF(ISNUMBER(G380),G380,10^9),IF(ISNUMBER(K380),K380,10^9))&lt;N380,"YES","no"),"")</f>
        <v/>
      </c>
      <c r="P380" s="44"/>
      <c r="Q380" s="44"/>
    </row>
    <row r="381" customFormat="false" ht="15" hidden="false" customHeight="false" outlineLevel="0" collapsed="false">
      <c r="A381" s="45"/>
      <c r="B381" s="44"/>
      <c r="C381" s="44"/>
      <c r="D381" s="44"/>
      <c r="E381" s="44"/>
      <c r="F381" s="44"/>
      <c r="G381" s="44"/>
      <c r="H381" s="44"/>
      <c r="I381" s="44"/>
      <c r="J381" s="44"/>
      <c r="K381" s="44"/>
      <c r="L381" s="44"/>
      <c r="M381" s="44"/>
      <c r="N381" s="20" t="str">
        <f aca="false">IFERROR(INDEX('Lift Inputs'!$H:$H,MATCH(D381,'Lift Inputs'!$B:$B,0)),"")</f>
        <v/>
      </c>
      <c r="O381" s="36" t="str">
        <f aca="false">IF(AND(ISNUMBER(N381),OR(ISNUMBER(G381),ISNUMBER(K381))),IF(MIN(IF(ISNUMBER(G381),G381,10^9),IF(ISNUMBER(K381),K381,10^9))&lt;N381,"YES","no"),"")</f>
        <v/>
      </c>
      <c r="P381" s="44"/>
      <c r="Q381" s="44"/>
    </row>
    <row r="382" customFormat="false" ht="15" hidden="false" customHeight="false" outlineLevel="0" collapsed="false">
      <c r="A382" s="45"/>
      <c r="B382" s="44"/>
      <c r="C382" s="44"/>
      <c r="D382" s="44"/>
      <c r="E382" s="44"/>
      <c r="F382" s="44"/>
      <c r="G382" s="44"/>
      <c r="H382" s="44"/>
      <c r="I382" s="44"/>
      <c r="J382" s="44"/>
      <c r="K382" s="44"/>
      <c r="L382" s="44"/>
      <c r="M382" s="44"/>
      <c r="N382" s="20" t="str">
        <f aca="false">IFERROR(INDEX('Lift Inputs'!$H:$H,MATCH(D382,'Lift Inputs'!$B:$B,0)),"")</f>
        <v/>
      </c>
      <c r="O382" s="36" t="str">
        <f aca="false">IF(AND(ISNUMBER(N382),OR(ISNUMBER(G382),ISNUMBER(K382))),IF(MIN(IF(ISNUMBER(G382),G382,10^9),IF(ISNUMBER(K382),K382,10^9))&lt;N382,"YES","no"),"")</f>
        <v/>
      </c>
      <c r="P382" s="44"/>
      <c r="Q382" s="44"/>
    </row>
    <row r="383" customFormat="false" ht="15" hidden="false" customHeight="false" outlineLevel="0" collapsed="false">
      <c r="A383" s="45"/>
      <c r="B383" s="44"/>
      <c r="C383" s="44"/>
      <c r="D383" s="44"/>
      <c r="E383" s="44"/>
      <c r="F383" s="44"/>
      <c r="G383" s="44"/>
      <c r="H383" s="44"/>
      <c r="I383" s="44"/>
      <c r="J383" s="44"/>
      <c r="K383" s="44"/>
      <c r="L383" s="44"/>
      <c r="M383" s="44"/>
      <c r="N383" s="20" t="str">
        <f aca="false">IFERROR(INDEX('Lift Inputs'!$H:$H,MATCH(D383,'Lift Inputs'!$B:$B,0)),"")</f>
        <v/>
      </c>
      <c r="O383" s="36" t="str">
        <f aca="false">IF(AND(ISNUMBER(N383),OR(ISNUMBER(G383),ISNUMBER(K383))),IF(MIN(IF(ISNUMBER(G383),G383,10^9),IF(ISNUMBER(K383),K383,10^9))&lt;N383,"YES","no"),"")</f>
        <v/>
      </c>
      <c r="P383" s="44"/>
      <c r="Q383" s="44"/>
    </row>
    <row r="384" customFormat="false" ht="15" hidden="false" customHeight="false" outlineLevel="0" collapsed="false">
      <c r="A384" s="45"/>
      <c r="B384" s="44"/>
      <c r="C384" s="44"/>
      <c r="D384" s="44"/>
      <c r="E384" s="44"/>
      <c r="F384" s="44"/>
      <c r="G384" s="44"/>
      <c r="H384" s="44"/>
      <c r="I384" s="44"/>
      <c r="J384" s="44"/>
      <c r="K384" s="44"/>
      <c r="L384" s="44"/>
      <c r="M384" s="44"/>
      <c r="N384" s="20" t="str">
        <f aca="false">IFERROR(INDEX('Lift Inputs'!$H:$H,MATCH(D384,'Lift Inputs'!$B:$B,0)),"")</f>
        <v/>
      </c>
      <c r="O384" s="36" t="str">
        <f aca="false">IF(AND(ISNUMBER(N384),OR(ISNUMBER(G384),ISNUMBER(K384))),IF(MIN(IF(ISNUMBER(G384),G384,10^9),IF(ISNUMBER(K384),K384,10^9))&lt;N384,"YES","no"),"")</f>
        <v/>
      </c>
      <c r="P384" s="44"/>
      <c r="Q384" s="44"/>
    </row>
    <row r="385" customFormat="false" ht="15" hidden="false" customHeight="false" outlineLevel="0" collapsed="false">
      <c r="A385" s="45"/>
      <c r="B385" s="44"/>
      <c r="C385" s="44"/>
      <c r="D385" s="44"/>
      <c r="E385" s="44"/>
      <c r="F385" s="44"/>
      <c r="G385" s="44"/>
      <c r="H385" s="44"/>
      <c r="I385" s="44"/>
      <c r="J385" s="44"/>
      <c r="K385" s="44"/>
      <c r="L385" s="44"/>
      <c r="M385" s="44"/>
      <c r="N385" s="20" t="str">
        <f aca="false">IFERROR(INDEX('Lift Inputs'!$H:$H,MATCH(D385,'Lift Inputs'!$B:$B,0)),"")</f>
        <v/>
      </c>
      <c r="O385" s="36" t="str">
        <f aca="false">IF(AND(ISNUMBER(N385),OR(ISNUMBER(G385),ISNUMBER(K385))),IF(MIN(IF(ISNUMBER(G385),G385,10^9),IF(ISNUMBER(K385),K385,10^9))&lt;N385,"YES","no"),"")</f>
        <v/>
      </c>
      <c r="P385" s="44"/>
      <c r="Q385" s="44"/>
    </row>
    <row r="386" customFormat="false" ht="15" hidden="false" customHeight="false" outlineLevel="0" collapsed="false">
      <c r="A386" s="45"/>
      <c r="B386" s="44"/>
      <c r="C386" s="44"/>
      <c r="D386" s="44"/>
      <c r="E386" s="44"/>
      <c r="F386" s="44"/>
      <c r="G386" s="44"/>
      <c r="H386" s="44"/>
      <c r="I386" s="44"/>
      <c r="J386" s="44"/>
      <c r="K386" s="44"/>
      <c r="L386" s="44"/>
      <c r="M386" s="44"/>
      <c r="N386" s="20" t="str">
        <f aca="false">IFERROR(INDEX('Lift Inputs'!$H:$H,MATCH(D386,'Lift Inputs'!$B:$B,0)),"")</f>
        <v/>
      </c>
      <c r="O386" s="36" t="str">
        <f aca="false">IF(AND(ISNUMBER(N386),OR(ISNUMBER(G386),ISNUMBER(K386))),IF(MIN(IF(ISNUMBER(G386),G386,10^9),IF(ISNUMBER(K386),K386,10^9))&lt;N386,"YES","no"),"")</f>
        <v/>
      </c>
      <c r="P386" s="44"/>
      <c r="Q386" s="44"/>
    </row>
    <row r="387" customFormat="false" ht="15" hidden="false" customHeight="false" outlineLevel="0" collapsed="false">
      <c r="A387" s="45"/>
      <c r="B387" s="44"/>
      <c r="C387" s="44"/>
      <c r="D387" s="44"/>
      <c r="E387" s="44"/>
      <c r="F387" s="44"/>
      <c r="G387" s="44"/>
      <c r="H387" s="44"/>
      <c r="I387" s="44"/>
      <c r="J387" s="44"/>
      <c r="K387" s="44"/>
      <c r="L387" s="44"/>
      <c r="M387" s="44"/>
      <c r="N387" s="20" t="str">
        <f aca="false">IFERROR(INDEX('Lift Inputs'!$H:$H,MATCH(D387,'Lift Inputs'!$B:$B,0)),"")</f>
        <v/>
      </c>
      <c r="O387" s="36" t="str">
        <f aca="false">IF(AND(ISNUMBER(N387),OR(ISNUMBER(G387),ISNUMBER(K387))),IF(MIN(IF(ISNUMBER(G387),G387,10^9),IF(ISNUMBER(K387),K387,10^9))&lt;N387,"YES","no"),"")</f>
        <v/>
      </c>
      <c r="P387" s="44"/>
      <c r="Q387" s="44"/>
    </row>
    <row r="388" customFormat="false" ht="15" hidden="false" customHeight="false" outlineLevel="0" collapsed="false">
      <c r="A388" s="45"/>
      <c r="B388" s="44"/>
      <c r="C388" s="44"/>
      <c r="D388" s="44"/>
      <c r="E388" s="44"/>
      <c r="F388" s="44"/>
      <c r="G388" s="44"/>
      <c r="H388" s="44"/>
      <c r="I388" s="44"/>
      <c r="J388" s="44"/>
      <c r="K388" s="44"/>
      <c r="L388" s="44"/>
      <c r="M388" s="44"/>
      <c r="N388" s="20" t="str">
        <f aca="false">IFERROR(INDEX('Lift Inputs'!$H:$H,MATCH(D388,'Lift Inputs'!$B:$B,0)),"")</f>
        <v/>
      </c>
      <c r="O388" s="36" t="str">
        <f aca="false">IF(AND(ISNUMBER(N388),OR(ISNUMBER(G388),ISNUMBER(K388))),IF(MIN(IF(ISNUMBER(G388),G388,10^9),IF(ISNUMBER(K388),K388,10^9))&lt;N388,"YES","no"),"")</f>
        <v/>
      </c>
      <c r="P388" s="44"/>
      <c r="Q388" s="44"/>
    </row>
    <row r="389" customFormat="false" ht="15" hidden="false" customHeight="false" outlineLevel="0" collapsed="false">
      <c r="A389" s="45"/>
      <c r="B389" s="44"/>
      <c r="C389" s="44"/>
      <c r="D389" s="44"/>
      <c r="E389" s="44"/>
      <c r="F389" s="44"/>
      <c r="G389" s="44"/>
      <c r="H389" s="44"/>
      <c r="I389" s="44"/>
      <c r="J389" s="44"/>
      <c r="K389" s="44"/>
      <c r="L389" s="44"/>
      <c r="M389" s="44"/>
      <c r="N389" s="20" t="str">
        <f aca="false">IFERROR(INDEX('Lift Inputs'!$H:$H,MATCH(D389,'Lift Inputs'!$B:$B,0)),"")</f>
        <v/>
      </c>
      <c r="O389" s="36" t="str">
        <f aca="false">IF(AND(ISNUMBER(N389),OR(ISNUMBER(G389),ISNUMBER(K389))),IF(MIN(IF(ISNUMBER(G389),G389,10^9),IF(ISNUMBER(K389),K389,10^9))&lt;N389,"YES","no"),"")</f>
        <v/>
      </c>
      <c r="P389" s="44"/>
      <c r="Q389" s="44"/>
    </row>
    <row r="390" customFormat="false" ht="15" hidden="false" customHeight="false" outlineLevel="0" collapsed="false">
      <c r="A390" s="45"/>
      <c r="B390" s="44"/>
      <c r="C390" s="44"/>
      <c r="D390" s="44"/>
      <c r="E390" s="44"/>
      <c r="F390" s="44"/>
      <c r="G390" s="44"/>
      <c r="H390" s="44"/>
      <c r="I390" s="44"/>
      <c r="J390" s="44"/>
      <c r="K390" s="44"/>
      <c r="L390" s="44"/>
      <c r="M390" s="44"/>
      <c r="N390" s="20" t="str">
        <f aca="false">IFERROR(INDEX('Lift Inputs'!$H:$H,MATCH(D390,'Lift Inputs'!$B:$B,0)),"")</f>
        <v/>
      </c>
      <c r="O390" s="36" t="str">
        <f aca="false">IF(AND(ISNUMBER(N390),OR(ISNUMBER(G390),ISNUMBER(K390))),IF(MIN(IF(ISNUMBER(G390),G390,10^9),IF(ISNUMBER(K390),K390,10^9))&lt;N390,"YES","no"),"")</f>
        <v/>
      </c>
      <c r="P390" s="44"/>
      <c r="Q390" s="44"/>
    </row>
    <row r="391" customFormat="false" ht="15" hidden="false" customHeight="false" outlineLevel="0" collapsed="false">
      <c r="A391" s="45"/>
      <c r="B391" s="44"/>
      <c r="C391" s="44"/>
      <c r="D391" s="44"/>
      <c r="E391" s="44"/>
      <c r="F391" s="44"/>
      <c r="G391" s="44"/>
      <c r="H391" s="44"/>
      <c r="I391" s="44"/>
      <c r="J391" s="44"/>
      <c r="K391" s="44"/>
      <c r="L391" s="44"/>
      <c r="M391" s="44"/>
      <c r="N391" s="20" t="str">
        <f aca="false">IFERROR(INDEX('Lift Inputs'!$H:$H,MATCH(D391,'Lift Inputs'!$B:$B,0)),"")</f>
        <v/>
      </c>
      <c r="O391" s="36" t="str">
        <f aca="false">IF(AND(ISNUMBER(N391),OR(ISNUMBER(G391),ISNUMBER(K391))),IF(MIN(IF(ISNUMBER(G391),G391,10^9),IF(ISNUMBER(K391),K391,10^9))&lt;N391,"YES","no"),"")</f>
        <v/>
      </c>
      <c r="P391" s="44"/>
      <c r="Q391" s="44"/>
    </row>
    <row r="392" customFormat="false" ht="15" hidden="false" customHeight="false" outlineLevel="0" collapsed="false">
      <c r="A392" s="45"/>
      <c r="B392" s="44"/>
      <c r="C392" s="44"/>
      <c r="D392" s="44"/>
      <c r="E392" s="44"/>
      <c r="F392" s="44"/>
      <c r="G392" s="44"/>
      <c r="H392" s="44"/>
      <c r="I392" s="44"/>
      <c r="J392" s="44"/>
      <c r="K392" s="44"/>
      <c r="L392" s="44"/>
      <c r="M392" s="44"/>
      <c r="N392" s="20" t="str">
        <f aca="false">IFERROR(INDEX('Lift Inputs'!$H:$H,MATCH(D392,'Lift Inputs'!$B:$B,0)),"")</f>
        <v/>
      </c>
      <c r="O392" s="36" t="str">
        <f aca="false">IF(AND(ISNUMBER(N392),OR(ISNUMBER(G392),ISNUMBER(K392))),IF(MIN(IF(ISNUMBER(G392),G392,10^9),IF(ISNUMBER(K392),K392,10^9))&lt;N392,"YES","no"),"")</f>
        <v/>
      </c>
      <c r="P392" s="44"/>
      <c r="Q392" s="44"/>
    </row>
    <row r="393" customFormat="false" ht="15" hidden="false" customHeight="false" outlineLevel="0" collapsed="false">
      <c r="A393" s="45"/>
      <c r="B393" s="44"/>
      <c r="C393" s="44"/>
      <c r="D393" s="44"/>
      <c r="E393" s="44"/>
      <c r="F393" s="44"/>
      <c r="G393" s="44"/>
      <c r="H393" s="44"/>
      <c r="I393" s="44"/>
      <c r="J393" s="44"/>
      <c r="K393" s="44"/>
      <c r="L393" s="44"/>
      <c r="M393" s="44"/>
      <c r="N393" s="20" t="str">
        <f aca="false">IFERROR(INDEX('Lift Inputs'!$H:$H,MATCH(D393,'Lift Inputs'!$B:$B,0)),"")</f>
        <v/>
      </c>
      <c r="O393" s="36" t="str">
        <f aca="false">IF(AND(ISNUMBER(N393),OR(ISNUMBER(G393),ISNUMBER(K393))),IF(MIN(IF(ISNUMBER(G393),G393,10^9),IF(ISNUMBER(K393),K393,10^9))&lt;N393,"YES","no"),"")</f>
        <v/>
      </c>
      <c r="P393" s="44"/>
      <c r="Q393" s="44"/>
    </row>
    <row r="394" customFormat="false" ht="15" hidden="false" customHeight="false" outlineLevel="0" collapsed="false">
      <c r="A394" s="45"/>
      <c r="B394" s="44"/>
      <c r="C394" s="44"/>
      <c r="D394" s="44"/>
      <c r="E394" s="44"/>
      <c r="F394" s="44"/>
      <c r="G394" s="44"/>
      <c r="H394" s="44"/>
      <c r="I394" s="44"/>
      <c r="J394" s="44"/>
      <c r="K394" s="44"/>
      <c r="L394" s="44"/>
      <c r="M394" s="44"/>
      <c r="N394" s="20" t="str">
        <f aca="false">IFERROR(INDEX('Lift Inputs'!$H:$H,MATCH(D394,'Lift Inputs'!$B:$B,0)),"")</f>
        <v/>
      </c>
      <c r="O394" s="36" t="str">
        <f aca="false">IF(AND(ISNUMBER(N394),OR(ISNUMBER(G394),ISNUMBER(K394))),IF(MIN(IF(ISNUMBER(G394),G394,10^9),IF(ISNUMBER(K394),K394,10^9))&lt;N394,"YES","no"),"")</f>
        <v/>
      </c>
      <c r="P394" s="44"/>
      <c r="Q394" s="44"/>
    </row>
    <row r="395" customFormat="false" ht="15" hidden="false" customHeight="false" outlineLevel="0" collapsed="false">
      <c r="A395" s="45"/>
      <c r="B395" s="44"/>
      <c r="C395" s="44"/>
      <c r="D395" s="44"/>
      <c r="E395" s="44"/>
      <c r="F395" s="44"/>
      <c r="G395" s="44"/>
      <c r="H395" s="44"/>
      <c r="I395" s="44"/>
      <c r="J395" s="44"/>
      <c r="K395" s="44"/>
      <c r="L395" s="44"/>
      <c r="M395" s="44"/>
      <c r="N395" s="20" t="str">
        <f aca="false">IFERROR(INDEX('Lift Inputs'!$H:$H,MATCH(D395,'Lift Inputs'!$B:$B,0)),"")</f>
        <v/>
      </c>
      <c r="O395" s="36" t="str">
        <f aca="false">IF(AND(ISNUMBER(N395),OR(ISNUMBER(G395),ISNUMBER(K395))),IF(MIN(IF(ISNUMBER(G395),G395,10^9),IF(ISNUMBER(K395),K395,10^9))&lt;N395,"YES","no"),"")</f>
        <v/>
      </c>
      <c r="P395" s="44"/>
      <c r="Q395" s="44"/>
    </row>
    <row r="396" customFormat="false" ht="15" hidden="false" customHeight="false" outlineLevel="0" collapsed="false">
      <c r="A396" s="45"/>
      <c r="B396" s="44"/>
      <c r="C396" s="44"/>
      <c r="D396" s="44"/>
      <c r="E396" s="44"/>
      <c r="F396" s="44"/>
      <c r="G396" s="44"/>
      <c r="H396" s="44"/>
      <c r="I396" s="44"/>
      <c r="J396" s="44"/>
      <c r="K396" s="44"/>
      <c r="L396" s="44"/>
      <c r="M396" s="44"/>
      <c r="N396" s="20" t="str">
        <f aca="false">IFERROR(INDEX('Lift Inputs'!$H:$H,MATCH(D396,'Lift Inputs'!$B:$B,0)),"")</f>
        <v/>
      </c>
      <c r="O396" s="36" t="str">
        <f aca="false">IF(AND(ISNUMBER(N396),OR(ISNUMBER(G396),ISNUMBER(K396))),IF(MIN(IF(ISNUMBER(G396),G396,10^9),IF(ISNUMBER(K396),K396,10^9))&lt;N396,"YES","no"),"")</f>
        <v/>
      </c>
      <c r="P396" s="44"/>
      <c r="Q396" s="44"/>
    </row>
    <row r="397" customFormat="false" ht="15" hidden="false" customHeight="false" outlineLevel="0" collapsed="false">
      <c r="A397" s="45"/>
      <c r="B397" s="44"/>
      <c r="C397" s="44"/>
      <c r="D397" s="44"/>
      <c r="E397" s="44"/>
      <c r="F397" s="44"/>
      <c r="G397" s="44"/>
      <c r="H397" s="44"/>
      <c r="I397" s="44"/>
      <c r="J397" s="44"/>
      <c r="K397" s="44"/>
      <c r="L397" s="44"/>
      <c r="M397" s="44"/>
      <c r="N397" s="20" t="str">
        <f aca="false">IFERROR(INDEX('Lift Inputs'!$H:$H,MATCH(D397,'Lift Inputs'!$B:$B,0)),"")</f>
        <v/>
      </c>
      <c r="O397" s="36" t="str">
        <f aca="false">IF(AND(ISNUMBER(N397),OR(ISNUMBER(G397),ISNUMBER(K397))),IF(MIN(IF(ISNUMBER(G397),G397,10^9),IF(ISNUMBER(K397),K397,10^9))&lt;N397,"YES","no"),"")</f>
        <v/>
      </c>
      <c r="P397" s="44"/>
      <c r="Q397" s="44"/>
    </row>
    <row r="398" customFormat="false" ht="15" hidden="false" customHeight="false" outlineLevel="0" collapsed="false">
      <c r="A398" s="45"/>
      <c r="B398" s="44"/>
      <c r="C398" s="44"/>
      <c r="D398" s="44"/>
      <c r="E398" s="44"/>
      <c r="F398" s="44"/>
      <c r="G398" s="44"/>
      <c r="H398" s="44"/>
      <c r="I398" s="44"/>
      <c r="J398" s="44"/>
      <c r="K398" s="44"/>
      <c r="L398" s="44"/>
      <c r="M398" s="44"/>
      <c r="N398" s="20" t="str">
        <f aca="false">IFERROR(INDEX('Lift Inputs'!$H:$H,MATCH(D398,'Lift Inputs'!$B:$B,0)),"")</f>
        <v/>
      </c>
      <c r="O398" s="36" t="str">
        <f aca="false">IF(AND(ISNUMBER(N398),OR(ISNUMBER(G398),ISNUMBER(K398))),IF(MIN(IF(ISNUMBER(G398),G398,10^9),IF(ISNUMBER(K398),K398,10^9))&lt;N398,"YES","no"),"")</f>
        <v/>
      </c>
      <c r="P398" s="44"/>
      <c r="Q398" s="44"/>
    </row>
    <row r="399" customFormat="false" ht="15" hidden="false" customHeight="false" outlineLevel="0" collapsed="false">
      <c r="A399" s="45"/>
      <c r="B399" s="44"/>
      <c r="C399" s="44"/>
      <c r="D399" s="44"/>
      <c r="E399" s="44"/>
      <c r="F399" s="44"/>
      <c r="G399" s="44"/>
      <c r="H399" s="44"/>
      <c r="I399" s="44"/>
      <c r="J399" s="44"/>
      <c r="K399" s="44"/>
      <c r="L399" s="44"/>
      <c r="M399" s="44"/>
      <c r="N399" s="20" t="str">
        <f aca="false">IFERROR(INDEX('Lift Inputs'!$H:$H,MATCH(D399,'Lift Inputs'!$B:$B,0)),"")</f>
        <v/>
      </c>
      <c r="O399" s="36" t="str">
        <f aca="false">IF(AND(ISNUMBER(N399),OR(ISNUMBER(G399),ISNUMBER(K399))),IF(MIN(IF(ISNUMBER(G399),G399,10^9),IF(ISNUMBER(K399),K399,10^9))&lt;N399,"YES","no"),"")</f>
        <v/>
      </c>
      <c r="P399" s="44"/>
      <c r="Q399" s="44"/>
    </row>
    <row r="400" customFormat="false" ht="15" hidden="false" customHeight="false" outlineLevel="0" collapsed="false">
      <c r="A400" s="45"/>
      <c r="B400" s="44"/>
      <c r="C400" s="44"/>
      <c r="D400" s="44"/>
      <c r="E400" s="44"/>
      <c r="F400" s="44"/>
      <c r="G400" s="44"/>
      <c r="H400" s="44"/>
      <c r="I400" s="44"/>
      <c r="J400" s="44"/>
      <c r="K400" s="44"/>
      <c r="L400" s="44"/>
      <c r="M400" s="44"/>
      <c r="N400" s="20" t="str">
        <f aca="false">IFERROR(INDEX('Lift Inputs'!$H:$H,MATCH(D400,'Lift Inputs'!$B:$B,0)),"")</f>
        <v/>
      </c>
      <c r="O400" s="36" t="str">
        <f aca="false">IF(AND(ISNUMBER(N400),OR(ISNUMBER(G400),ISNUMBER(K400))),IF(MIN(IF(ISNUMBER(G400),G400,10^9),IF(ISNUMBER(K400),K400,10^9))&lt;N400,"YES","no"),"")</f>
        <v/>
      </c>
      <c r="P400" s="44"/>
      <c r="Q400" s="44"/>
    </row>
    <row r="401" customFormat="false" ht="15" hidden="false" customHeight="false" outlineLevel="0" collapsed="false">
      <c r="A401" s="45"/>
      <c r="B401" s="44"/>
      <c r="C401" s="44"/>
      <c r="D401" s="44"/>
      <c r="E401" s="44"/>
      <c r="F401" s="44"/>
      <c r="G401" s="44"/>
      <c r="H401" s="44"/>
      <c r="I401" s="44"/>
      <c r="J401" s="44"/>
      <c r="K401" s="44"/>
      <c r="L401" s="44"/>
      <c r="M401" s="44"/>
      <c r="N401" s="20" t="str">
        <f aca="false">IFERROR(INDEX('Lift Inputs'!$H:$H,MATCH(D401,'Lift Inputs'!$B:$B,0)),"")</f>
        <v/>
      </c>
      <c r="O401" s="36" t="str">
        <f aca="false">IF(AND(ISNUMBER(N401),OR(ISNUMBER(G401),ISNUMBER(K401))),IF(MIN(IF(ISNUMBER(G401),G401,10^9),IF(ISNUMBER(K401),K401,10^9))&lt;N401,"YES","no"),"")</f>
        <v/>
      </c>
      <c r="P401" s="44"/>
      <c r="Q401" s="44"/>
    </row>
  </sheetData>
  <conditionalFormatting sqref="O2:O401">
    <cfRule type="expression" priority="2" aboveAverage="0" equalAverage="0" bottom="0" percent="0" rank="0" text="" dxfId="9">
      <formula>O2="YES"</formula>
    </cfRule>
  </conditionalFormatting>
  <dataValidations count="2">
    <dataValidation allowBlank="true" errorStyle="stop" operator="between" showDropDown="false" showErrorMessage="false" showInputMessage="false" sqref="I2:I401 P2:P401" type="list">
      <formula1>"Y,N"</formula1>
      <formula2>0</formula2>
    </dataValidation>
    <dataValidation allowBlank="true" errorStyle="stop" operator="between" showDropDown="false" showErrorMessage="false" showInputMessage="false" sqref="J2:J401" type="list">
      <formula1>"None,Coupon,Lightning Deal,Best Deal,Prime Exclusive Discount,Price cut"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2026-10-13T15:28:26Z</dcterms:created>
  <dc:creator>openpyxl</dc:creator>
  <dc:description/>
  <dc:language>en-US</dc:language>
  <cp:lastModifiedBy/>
  <dcterms:modified xsi:type="dcterms:W3CDTF">2026-10-13T15:28:30Z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