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 2025 vs 2026" sheetId="1" state="visible" r:id="rId1"/>
  </sheets>
  <definedNames>
    <definedName name="_xlnm._FilterDatabase" localSheetId="0" hidden="1">'Price 2025 vs 2026'!$A$33:$U$1350</definedName>
  </definedNames>
  <calcPr calcId="124519" fullCalcOnLoad="1"/>
</workbook>
</file>

<file path=xl/styles.xml><?xml version="1.0" encoding="utf-8"?>
<styleSheet xmlns="http://schemas.openxmlformats.org/spreadsheetml/2006/main">
  <numFmts count="16">
    <numFmt numFmtId="164" formatCode="&quot;$&quot;#,##0.00"/>
    <numFmt numFmtId="165" formatCode="0.0%"/>
    <numFmt numFmtId="166" formatCode="0.00&quot;x&quot;"/>
    <numFmt numFmtId="167" formatCode="+0%;-0%;0%"/>
    <numFmt numFmtId="168" formatCode="0.0"/>
    <numFmt numFmtId="169" formatCode="&quot;C$&quot;#,##0.00"/>
    <numFmt numFmtId="170" formatCode="$#,##0.00"/>
    <numFmt numFmtId="171" formatCode="#,##0.0"/>
    <numFmt numFmtId="172" formatCode="0.00x"/>
    <numFmt numFmtId="173" formatCode="mmm d"/>
    <numFmt numFmtId="174" formatCode="0.0000"/>
    <numFmt numFmtId="175" formatCode="$#,##0"/>
    <numFmt numFmtId="176" formatCode="0.0&quot;%&quot;"/>
    <numFmt numFmtId="177" formatCode="0.00&quot;%&quot;"/>
    <numFmt numFmtId="178" formatCode="yyyy-mm-dd"/>
    <numFmt numFmtId="179" formatCode="0.0&quot;x&quot;"/>
  </numFmts>
  <fonts count="55">
    <font>
      <name val="Calibri"/>
      <family val="2"/>
      <color theme="1"/>
      <sz val="11"/>
      <scheme val="minor"/>
    </font>
    <font>
      <name val="Comfortaa"/>
      <b val="1"/>
      <color rgb="00FFFFFF"/>
      <sz val="14"/>
    </font>
    <font>
      <name val="Comfortaa"/>
      <color rgb="000563C1"/>
      <sz val="9"/>
      <u val="single"/>
    </font>
    <font>
      <name val="Comfortaa"/>
      <b val="1"/>
      <color rgb="001F3864"/>
      <sz val="11"/>
    </font>
    <font>
      <name val="Comfortaa"/>
      <b val="1"/>
      <color rgb="005B6B82"/>
      <sz val="8"/>
    </font>
    <font>
      <name val="Comfortaa"/>
      <b val="1"/>
      <sz val="9"/>
    </font>
    <font>
      <name val="Comfortaa"/>
      <sz val="9"/>
    </font>
    <font>
      <name val="Comfortaa"/>
      <b val="1"/>
      <color rgb="005B6B82"/>
      <sz val="7"/>
    </font>
    <font>
      <name val="Comfortaa"/>
      <b val="1"/>
      <color rgb="001B2A41"/>
      <sz val="16"/>
    </font>
    <font>
      <name val="Comfortaa"/>
      <color rgb="005B6B82"/>
      <sz val="7"/>
    </font>
    <font>
      <name val="Comfortaa"/>
      <i val="1"/>
      <color rgb="005B6B82"/>
      <sz val="8"/>
    </font>
    <font>
      <name val="Comfortaa"/>
      <b val="1"/>
      <color rgb="00FFFFFF"/>
      <sz val="8"/>
    </font>
    <font>
      <name val="Comfortaa"/>
      <b val="1"/>
      <color rgb="00000000"/>
      <sz val="9"/>
    </font>
    <font>
      <name val="Comfortaa"/>
      <b val="1"/>
      <color rgb="007030A0"/>
      <sz val="9"/>
    </font>
    <font>
      <name val="Comfortaa"/>
      <color rgb="00808080"/>
      <sz val="9"/>
    </font>
    <font>
      <name val="Comfortaa"/>
      <color rgb="00C00000"/>
      <sz val="9"/>
    </font>
    <font>
      <name val="Comfortaa"/>
      <b val="1"/>
      <color rgb="001B2A41"/>
      <sz val="8.5"/>
    </font>
    <font>
      <name val="Comfortaa"/>
      <b val="1"/>
      <color rgb="001F4E79"/>
      <sz val="8.5"/>
    </font>
    <font>
      <name val="Comfortaa"/>
      <color rgb="001F4E79"/>
      <sz val="8.5"/>
    </font>
    <font>
      <name val="Comfortaa"/>
      <b val="1"/>
      <color rgb="00C00000"/>
      <sz val="8.5"/>
    </font>
    <font>
      <name val="Comfortaa"/>
      <i val="1"/>
      <color rgb="007F6000"/>
      <sz val="8.5"/>
    </font>
    <font>
      <name val="Comfortaa"/>
      <b val="1"/>
      <color rgb="007F6000"/>
      <sz val="9"/>
    </font>
    <font>
      <name val="Comfortaa"/>
      <b val="1"/>
      <color rgb="007F6000"/>
      <sz val="10"/>
    </font>
    <font>
      <name val="Comfortaa"/>
      <b val="1"/>
      <color rgb="001F3864"/>
      <sz val="8"/>
    </font>
    <font>
      <name val="Comfortaa"/>
      <color rgb="000000FF"/>
      <sz val="9"/>
    </font>
    <font>
      <name val="Comfortaa"/>
      <color rgb="00808080"/>
      <sz val="6"/>
    </font>
    <font>
      <name val="Comfortaa"/>
      <b val="1"/>
      <color rgb="007030A0"/>
      <sz val="8.5"/>
    </font>
    <font>
      <name val="Comfortaa"/>
      <b val="1"/>
      <color rgb="00C00000"/>
      <sz val="9"/>
    </font>
    <font>
      <name val="Comfortaa"/>
      <i val="1"/>
      <color rgb="00C00000"/>
      <sz val="9"/>
    </font>
    <font>
      <name val="Comfortaa"/>
      <b val="1"/>
      <color rgb="00FFFFFF"/>
      <sz val="9"/>
    </font>
    <font>
      <name val="Comfortaa"/>
      <sz val="8"/>
    </font>
    <font>
      <name val="Comfortaa"/>
      <b val="1"/>
      <color rgb="00FFFFFF"/>
      <sz val="18"/>
    </font>
    <font>
      <name val="Comfortaa"/>
      <b val="1"/>
      <color rgb="001F3864"/>
      <sz val="9"/>
    </font>
    <font>
      <name val="Comfortaa"/>
      <i val="1"/>
      <color rgb="005B6B82"/>
      <sz val="9"/>
    </font>
    <font>
      <name val="Comfortaa"/>
      <b val="1"/>
      <color rgb="005B6B82"/>
      <sz val="9"/>
    </font>
    <font>
      <name val="Comfortaa"/>
      <b val="1"/>
      <color rgb="000000FF"/>
      <sz val="10"/>
    </font>
    <font>
      <name val="Comfortaa"/>
      <i val="1"/>
      <color rgb="00808080"/>
      <sz val="8"/>
    </font>
    <font>
      <name val="Comfortaa"/>
      <b val="1"/>
      <color rgb="001B2A41"/>
      <sz val="15"/>
    </font>
    <font>
      <name val="Comfortaa"/>
      <b val="1"/>
      <sz val="8"/>
    </font>
    <font>
      <name val="Comfortaa"/>
      <b val="1"/>
      <sz val="16"/>
    </font>
    <font>
      <name val="Comfortaa"/>
      <i val="1"/>
      <sz val="9"/>
    </font>
    <font>
      <name val="Comfortaa"/>
      <b val="1"/>
      <sz val="11"/>
    </font>
    <font>
      <name val="Comfortaa"/>
      <sz val="10"/>
    </font>
    <font>
      <name val="Comfortaa"/>
      <color rgb="00000000"/>
      <sz val="9"/>
    </font>
    <font>
      <name val="Comfortaa"/>
      <b val="1"/>
      <sz val="10"/>
    </font>
    <font>
      <name val="Comfortaa"/>
      <b val="1"/>
      <sz val="14"/>
    </font>
    <font>
      <name val="Comfortaa"/>
      <i val="1"/>
      <sz val="8"/>
    </font>
    <font>
      <name val="Comfortaa"/>
      <b val="1"/>
      <color rgb="001F3864"/>
      <sz val="13"/>
    </font>
    <font>
      <name val="Comfortaa"/>
      <i val="1"/>
      <sz val="8.5"/>
    </font>
    <font>
      <name val="Comfortaa"/>
      <sz val="8.5"/>
    </font>
    <font>
      <name val="Comfortaa"/>
      <b val="1"/>
      <color rgb="001F3864"/>
      <sz val="10"/>
    </font>
    <font>
      <name val="Comfortaa"/>
      <color rgb="00000000"/>
      <sz val="8.5"/>
    </font>
    <font>
      <name val="Comfortaa"/>
      <color rgb="000000FF"/>
      <sz val="8.5"/>
    </font>
    <font>
      <name val="Comfortaa"/>
      <b val="1"/>
      <color rgb="000000FF"/>
      <sz val="9"/>
    </font>
    <font>
      <name val="Comfortaa"/>
      <b val="1"/>
      <color rgb="00C00000"/>
      <sz val="9"/>
      <u val="single"/>
    </font>
  </fonts>
  <fills count="19">
    <fill>
      <patternFill/>
    </fill>
    <fill>
      <patternFill patternType="gray125"/>
    </fill>
    <fill>
      <patternFill patternType="solid">
        <fgColor rgb="001F3864"/>
      </patternFill>
    </fill>
    <fill>
      <patternFill patternType="solid">
        <fgColor rgb="00E8EDF5"/>
      </patternFill>
    </fill>
    <fill>
      <patternFill patternType="solid">
        <fgColor rgb="00F7F9FC"/>
      </patternFill>
    </fill>
    <fill>
      <patternFill patternType="solid">
        <fgColor rgb="00F8CBAD"/>
      </patternFill>
    </fill>
    <fill>
      <patternFill patternType="solid">
        <fgColor rgb="00FFF2CC"/>
      </patternFill>
    </fill>
    <fill>
      <patternFill patternType="solid">
        <fgColor rgb="00F2F2F2"/>
      </patternFill>
    </fill>
    <fill>
      <patternFill patternType="solid">
        <fgColor rgb="00DDEBF7"/>
      </patternFill>
    </fill>
    <fill>
      <patternFill patternType="solid">
        <fgColor rgb="00EDE7F6"/>
      </patternFill>
    </fill>
    <fill>
      <patternFill patternType="solid">
        <fgColor rgb="00E2EFDA"/>
      </patternFill>
    </fill>
    <fill>
      <patternFill patternType="solid">
        <fgColor rgb="00FCE4D6"/>
      </patternFill>
    </fill>
    <fill>
      <patternFill patternType="solid">
        <fgColor rgb="00FFFF99"/>
      </patternFill>
    </fill>
    <fill>
      <patternFill patternType="solid">
        <fgColor rgb="00C6EFCE"/>
      </patternFill>
    </fill>
    <fill>
      <patternFill patternType="solid">
        <fgColor rgb="00FFEB9C"/>
      </patternFill>
    </fill>
    <fill>
      <patternFill patternType="solid">
        <fgColor rgb="00EDEDED"/>
      </patternFill>
    </fill>
    <fill>
      <patternFill patternType="solid">
        <fgColor rgb="00FFFFFF"/>
      </patternFill>
    </fill>
    <fill>
      <patternFill patternType="solid">
        <fgColor rgb="00D9D9D9"/>
      </patternFill>
    </fill>
    <fill>
      <patternFill patternType="solid">
        <fgColor rgb="00FFFF00"/>
      </patternFill>
    </fill>
  </fills>
  <borders count="12">
    <border>
      <left/>
      <right/>
      <top/>
      <bottom/>
      <diagonal/>
    </border>
    <border>
      <left style="thin">
        <color rgb="00C9D1DE"/>
      </left>
      <right style="thin">
        <color rgb="00C9D1DE"/>
      </right>
      <top style="thin">
        <color rgb="00C9D1DE"/>
      </top>
      <bottom style="thin">
        <color rgb="00C9D1DE"/>
      </bottom>
    </border>
    <border>
      <left/>
      <right/>
      <top style="thin">
        <color rgb="00C9D1DE"/>
      </top>
      <bottom/>
      <diagonal/>
    </border>
    <border>
      <left/>
      <right style="thin">
        <color rgb="00C9D1DE"/>
      </right>
      <top style="thin">
        <color rgb="00C9D1DE"/>
      </top>
      <bottom/>
      <diagonal/>
    </border>
    <border>
      <left/>
      <right/>
      <top style="thin">
        <color rgb="00C9D1DE"/>
      </top>
      <bottom style="thin">
        <color rgb="00C9D1DE"/>
      </bottom>
      <diagonal/>
    </border>
    <border>
      <left/>
      <right style="thin">
        <color rgb="00C9D1DE"/>
      </right>
      <top style="thin">
        <color rgb="00C9D1DE"/>
      </top>
      <bottom style="thin">
        <color rgb="00C9D1DE"/>
      </bottom>
      <diagonal/>
    </border>
    <border>
      <left style="thin">
        <color rgb="00C9D1DE"/>
      </left>
      <right/>
      <top/>
      <bottom/>
      <diagonal/>
    </border>
    <border>
      <left style="thin">
        <color rgb="00C9D1DE"/>
      </left>
      <right style="thin">
        <color rgb="00C9D1DE"/>
      </right>
      <top/>
      <bottom/>
      <diagonal/>
    </border>
    <border>
      <left style="thin">
        <color rgb="00C9D1DE"/>
      </left>
      <right style="thin">
        <color rgb="00C9D1DE"/>
      </right>
      <top/>
      <bottom style="thin">
        <color rgb="00C9D1DE"/>
      </bottom>
      <diagonal/>
    </border>
    <border>
      <left/>
      <right style="thin">
        <color rgb="00C9D1DE"/>
      </right>
      <top/>
      <bottom/>
      <diagonal/>
    </border>
    <border>
      <left style="thin">
        <color rgb="00C9D1DE"/>
      </left>
      <right/>
      <top/>
      <bottom style="thin">
        <color rgb="00C9D1DE"/>
      </bottom>
      <diagonal/>
    </border>
    <border>
      <left/>
      <right style="thin">
        <color rgb="00C9D1DE"/>
      </right>
      <top/>
      <bottom style="thin">
        <color rgb="00C9D1DE"/>
      </bottom>
      <diagonal/>
    </border>
  </borders>
  <cellStyleXfs count="1">
    <xf numFmtId="0" fontId="0" fillId="0" borderId="0"/>
  </cellStyleXfs>
  <cellXfs count="173">
    <xf numFmtId="0" fontId="0" fillId="0" borderId="0" pivotButton="0" quotePrefix="0" xfId="0"/>
    <xf numFmtId="0" fontId="39" fillId="0" borderId="0" applyAlignment="1" pivotButton="0" quotePrefix="0" xfId="0">
      <alignment vertical="top" wrapText="1"/>
    </xf>
    <xf numFmtId="0" fontId="40" fillId="0" borderId="0" applyAlignment="1" pivotButton="0" quotePrefix="0" xfId="0">
      <alignment vertical="top" wrapText="1"/>
    </xf>
    <xf numFmtId="0" fontId="0" fillId="0" borderId="0" applyAlignment="1" pivotButton="0" quotePrefix="0" xfId="0">
      <alignment vertical="top" wrapText="1"/>
    </xf>
    <xf numFmtId="0" fontId="41" fillId="0" borderId="0" applyAlignment="1" pivotButton="0" quotePrefix="0" xfId="0">
      <alignment vertical="top" wrapText="1"/>
    </xf>
    <xf numFmtId="0" fontId="42" fillId="0" borderId="0" applyAlignment="1" pivotButton="0" quotePrefix="0" xfId="0">
      <alignment vertical="top" wrapText="1"/>
    </xf>
    <xf numFmtId="0" fontId="31" fillId="2" borderId="0" applyAlignment="1" pivotButton="0" quotePrefix="0" xfId="0">
      <alignment vertical="center" indent="1"/>
    </xf>
    <xf numFmtId="0" fontId="33" fillId="0" borderId="0" pivotButton="0" quotePrefix="0" xfId="0"/>
    <xf numFmtId="0" fontId="32" fillId="0" borderId="0" pivotButton="0" quotePrefix="0" xfId="0"/>
    <xf numFmtId="0" fontId="34" fillId="0" borderId="0" pivotButton="0" quotePrefix="0" xfId="0"/>
    <xf numFmtId="0" fontId="35" fillId="12" borderId="1" pivotButton="0" quotePrefix="0" xfId="0"/>
    <xf numFmtId="0" fontId="36" fillId="0" borderId="0" pivotButton="0" quotePrefix="0" xfId="0"/>
    <xf numFmtId="0" fontId="0" fillId="0" borderId="1" applyAlignment="1" pivotButton="0" quotePrefix="0" xfId="0">
      <alignment horizontal="center" vertical="center" wrapText="1"/>
    </xf>
    <xf numFmtId="0" fontId="4" fillId="0" borderId="0" pivotButton="0" quotePrefix="0" xfId="0"/>
    <xf numFmtId="0" fontId="5" fillId="0" borderId="0" applyAlignment="1" pivotButton="0" quotePrefix="0" xfId="0">
      <alignment vertical="center" wrapText="1"/>
    </xf>
    <xf numFmtId="0" fontId="7" fillId="4" borderId="0" applyAlignment="1" pivotButton="0" quotePrefix="0" xfId="0">
      <alignment horizontal="center" vertical="center" wrapText="1"/>
    </xf>
    <xf numFmtId="0" fontId="6" fillId="0" borderId="0" applyAlignment="1" pivotButton="0" quotePrefix="0" xfId="0">
      <alignment vertical="center" wrapText="1"/>
    </xf>
    <xf numFmtId="3" fontId="37" fillId="4" borderId="0" applyAlignment="1" pivotButton="0" quotePrefix="0" xfId="0">
      <alignment horizontal="center" vertical="center" wrapText="1"/>
    </xf>
    <xf numFmtId="0" fontId="37" fillId="4" borderId="0" applyAlignment="1" pivotButton="0" quotePrefix="0" xfId="0">
      <alignment horizontal="center" vertical="center" wrapText="1"/>
    </xf>
    <xf numFmtId="164" fontId="6" fillId="0" borderId="0" applyAlignment="1" pivotButton="0" quotePrefix="0" xfId="0">
      <alignment vertical="center" wrapText="1"/>
    </xf>
    <xf numFmtId="3" fontId="6" fillId="0" borderId="0" applyAlignment="1" pivotButton="0" quotePrefix="0" xfId="0">
      <alignment vertical="center" wrapText="1"/>
    </xf>
    <xf numFmtId="164" fontId="37" fillId="4" borderId="0" applyAlignment="1" pivotButton="0" quotePrefix="0" xfId="0">
      <alignment horizontal="center" vertical="center" wrapText="1"/>
    </xf>
    <xf numFmtId="165" fontId="37" fillId="4" borderId="0" applyAlignment="1" pivotButton="0" quotePrefix="0" xfId="0">
      <alignment horizontal="center" vertical="center" wrapText="1"/>
    </xf>
    <xf numFmtId="0" fontId="2" fillId="0" borderId="0" pivotButton="0" quotePrefix="0" xfId="0"/>
    <xf numFmtId="166" fontId="6" fillId="0" borderId="0" applyAlignment="1" pivotButton="0" quotePrefix="0" xfId="0">
      <alignment vertical="center" wrapText="1"/>
    </xf>
    <xf numFmtId="0" fontId="3" fillId="3" borderId="0" pivotButton="0" quotePrefix="0" xfId="0"/>
    <xf numFmtId="0" fontId="11" fillId="2" borderId="1" applyAlignment="1" pivotButton="0" quotePrefix="0" xfId="0">
      <alignment horizontal="center" vertical="center" wrapText="1"/>
    </xf>
    <xf numFmtId="0" fontId="30" fillId="0" borderId="1" applyAlignment="1" pivotButton="0" quotePrefix="0" xfId="0">
      <alignment vertical="top" wrapText="1"/>
    </xf>
    <xf numFmtId="0" fontId="30" fillId="0" borderId="1" applyAlignment="1" pivotButton="0" quotePrefix="0" xfId="0">
      <alignment horizontal="center" vertical="center" wrapText="1"/>
    </xf>
    <xf numFmtId="0" fontId="38" fillId="0" borderId="1" applyAlignment="1" pivotButton="0" quotePrefix="0" xfId="0">
      <alignment vertical="top" wrapText="1"/>
    </xf>
    <xf numFmtId="164" fontId="30" fillId="0" borderId="1" applyAlignment="1" pivotButton="0" quotePrefix="0" xfId="0">
      <alignment vertical="top" wrapText="1"/>
    </xf>
    <xf numFmtId="9" fontId="30" fillId="0" borderId="1" applyAlignment="1" pivotButton="0" quotePrefix="0" xfId="0">
      <alignment vertical="top" wrapText="1"/>
    </xf>
    <xf numFmtId="167" fontId="30" fillId="0" borderId="1" applyAlignment="1" pivotButton="0" quotePrefix="0" xfId="0">
      <alignment vertical="top" wrapText="1"/>
    </xf>
    <xf numFmtId="3" fontId="30" fillId="0" borderId="1" applyAlignment="1" pivotButton="0" quotePrefix="0" xfId="0">
      <alignment vertical="top" wrapText="1"/>
    </xf>
    <xf numFmtId="168" fontId="30" fillId="0" borderId="1" applyAlignment="1" pivotButton="0" quotePrefix="0" xfId="0">
      <alignment vertical="top" wrapText="1"/>
    </xf>
    <xf numFmtId="169" fontId="6" fillId="0" borderId="0" applyAlignment="1" pivotButton="0" quotePrefix="0" xfId="0">
      <alignment vertical="center" wrapText="1"/>
    </xf>
    <xf numFmtId="169" fontId="37" fillId="4" borderId="0" applyAlignment="1" pivotButton="0" quotePrefix="0" xfId="0">
      <alignment horizontal="center" vertical="center" wrapText="1"/>
    </xf>
    <xf numFmtId="169" fontId="30" fillId="0" borderId="1" applyAlignment="1" pivotButton="0" quotePrefix="0" xfId="0">
      <alignment vertical="top" wrapText="1"/>
    </xf>
    <xf numFmtId="0" fontId="2" fillId="0" borderId="1" applyAlignment="1" pivotButton="0" quotePrefix="0" xfId="0">
      <alignment vertical="top" wrapText="1"/>
    </xf>
    <xf numFmtId="0" fontId="6" fillId="0" borderId="1" applyAlignment="1" pivotButton="0" quotePrefix="0" xfId="0">
      <alignment vertical="top" wrapText="1"/>
    </xf>
    <xf numFmtId="170" fontId="6" fillId="0" borderId="1" applyAlignment="1" pivotButton="0" quotePrefix="0" xfId="0">
      <alignment vertical="top" wrapText="1"/>
    </xf>
    <xf numFmtId="166" fontId="6" fillId="0" borderId="1" applyAlignment="1" pivotButton="0" quotePrefix="0" xfId="0">
      <alignment vertical="top" wrapText="1"/>
    </xf>
    <xf numFmtId="165" fontId="6" fillId="0" borderId="1" applyAlignment="1" pivotButton="0" quotePrefix="0" xfId="0">
      <alignment vertical="top" wrapText="1"/>
    </xf>
    <xf numFmtId="0" fontId="6" fillId="13" borderId="1" applyAlignment="1" pivotButton="0" quotePrefix="0" xfId="0">
      <alignment vertical="top" wrapText="1"/>
    </xf>
    <xf numFmtId="0" fontId="6" fillId="17" borderId="1" applyAlignment="1" pivotButton="0" quotePrefix="0" xfId="0">
      <alignment vertical="top" wrapText="1"/>
    </xf>
    <xf numFmtId="0" fontId="25" fillId="0" borderId="1" applyAlignment="1" pivotButton="0" quotePrefix="0" xfId="0">
      <alignment horizontal="center" vertical="center" wrapText="1"/>
    </xf>
    <xf numFmtId="0" fontId="6" fillId="16" borderId="1" applyAlignment="1" pivotButton="0" quotePrefix="0" xfId="0">
      <alignment vertical="top" wrapText="1"/>
    </xf>
    <xf numFmtId="0" fontId="47" fillId="0" borderId="0" pivotButton="0" quotePrefix="0" xfId="0"/>
    <xf numFmtId="0" fontId="48" fillId="0" borderId="0" applyAlignment="1" pivotButton="0" quotePrefix="0" xfId="0">
      <alignment vertical="top" wrapText="1"/>
    </xf>
    <xf numFmtId="0" fontId="49" fillId="0" borderId="1" pivotButton="0" quotePrefix="0" xfId="0"/>
    <xf numFmtId="3" fontId="49" fillId="0" borderId="1" pivotButton="0" quotePrefix="0" xfId="0"/>
    <xf numFmtId="171" fontId="49" fillId="0" borderId="1" pivotButton="0" quotePrefix="0" xfId="0"/>
    <xf numFmtId="172" fontId="49" fillId="0" borderId="1" pivotButton="0" quotePrefix="0" xfId="0"/>
    <xf numFmtId="0" fontId="50" fillId="0" borderId="0" pivotButton="0" quotePrefix="0" xfId="0"/>
    <xf numFmtId="0" fontId="51" fillId="0" borderId="1" pivotButton="0" quotePrefix="0" xfId="0"/>
    <xf numFmtId="3" fontId="52" fillId="0" borderId="1" pivotButton="0" quotePrefix="0" xfId="0"/>
    <xf numFmtId="0" fontId="51" fillId="0" borderId="1" applyAlignment="1" pivotButton="0" quotePrefix="0" xfId="0">
      <alignment vertical="top" wrapText="1"/>
    </xf>
    <xf numFmtId="4" fontId="52" fillId="0" borderId="1" pivotButton="0" quotePrefix="0" xfId="0"/>
    <xf numFmtId="172" fontId="52" fillId="0" borderId="1" pivotButton="0" quotePrefix="0" xfId="0"/>
    <xf numFmtId="3" fontId="51" fillId="0" borderId="1" pivotButton="0" quotePrefix="0" xfId="0"/>
    <xf numFmtId="173" fontId="51" fillId="0" borderId="1" pivotButton="0" quotePrefix="0" xfId="0"/>
    <xf numFmtId="0" fontId="5" fillId="0" borderId="0" pivotButton="0" quotePrefix="0" xfId="0"/>
    <xf numFmtId="174" fontId="53" fillId="18" borderId="0" pivotButton="0" quotePrefix="0" xfId="0"/>
    <xf numFmtId="164" fontId="49" fillId="0" borderId="1" pivotButton="0" quotePrefix="0" xfId="0"/>
    <xf numFmtId="165" fontId="49" fillId="0" borderId="1" pivotButton="0" quotePrefix="0" xfId="0"/>
    <xf numFmtId="169" fontId="49" fillId="0" borderId="1" pivotButton="0" quotePrefix="0" xfId="0"/>
    <xf numFmtId="164" fontId="52" fillId="0" borderId="1" pivotButton="0" quotePrefix="0" xfId="0"/>
    <xf numFmtId="164" fontId="51" fillId="0" borderId="1" pivotButton="0" quotePrefix="0" xfId="0"/>
    <xf numFmtId="165" fontId="51" fillId="0" borderId="1" pivotButton="0" quotePrefix="0" xfId="0"/>
    <xf numFmtId="4" fontId="51" fillId="0" borderId="1" pivotButton="0" quotePrefix="0" xfId="0"/>
    <xf numFmtId="174" fontId="51" fillId="0" borderId="1" pivotButton="0" quotePrefix="0" xfId="0"/>
    <xf numFmtId="169" fontId="51" fillId="0" borderId="1" pivotButton="0" quotePrefix="0" xfId="0"/>
    <xf numFmtId="169" fontId="52" fillId="0" borderId="1" pivotButton="0" quotePrefix="0" xfId="0"/>
    <xf numFmtId="0" fontId="1" fillId="2" borderId="0" applyAlignment="1" pivotButton="0" quotePrefix="0" xfId="0">
      <alignment horizontal="center" vertical="center"/>
    </xf>
    <xf numFmtId="0" fontId="1" fillId="2" borderId="0" applyAlignment="1" pivotButton="0" quotePrefix="0" xfId="0">
      <alignment vertical="center"/>
    </xf>
    <xf numFmtId="0" fontId="0" fillId="2" borderId="0" pivotButton="0" quotePrefix="0" xfId="0"/>
    <xf numFmtId="0" fontId="54" fillId="0" borderId="0" pivotButton="0" quotePrefix="0" xfId="0"/>
    <xf numFmtId="0" fontId="3" fillId="3" borderId="0" applyAlignment="1" pivotButton="0" quotePrefix="0" xfId="0">
      <alignment horizontal="center" vertical="center"/>
    </xf>
    <xf numFmtId="0" fontId="3" fillId="3" borderId="0" applyAlignment="1" pivotButton="0" quotePrefix="0" xfId="0">
      <alignment vertical="center"/>
    </xf>
    <xf numFmtId="0" fontId="0" fillId="3" borderId="0" pivotButton="0" quotePrefix="0" xfId="0"/>
    <xf numFmtId="0" fontId="6" fillId="0" borderId="0" applyAlignment="1" pivotButton="0" quotePrefix="0" xfId="0">
      <alignment vertical="center"/>
    </xf>
    <xf numFmtId="0" fontId="7" fillId="4" borderId="0" pivotButton="0" quotePrefix="0" xfId="0"/>
    <xf numFmtId="0" fontId="8" fillId="4" borderId="0" pivotButton="0" quotePrefix="0" xfId="0"/>
    <xf numFmtId="0" fontId="9" fillId="4" borderId="0" pivotButton="0" quotePrefix="0" xfId="0"/>
    <xf numFmtId="0" fontId="10" fillId="0" borderId="0" applyAlignment="1" pivotButton="0" quotePrefix="0" xfId="0">
      <alignment vertical="center"/>
    </xf>
    <xf numFmtId="170" fontId="12" fillId="0" borderId="1" applyAlignment="1" pivotButton="0" quotePrefix="0" xfId="0">
      <alignment vertical="top" wrapText="1"/>
    </xf>
    <xf numFmtId="170" fontId="13" fillId="0" borderId="1" applyAlignment="1" pivotButton="0" quotePrefix="0" xfId="0">
      <alignment vertical="top" wrapText="1"/>
    </xf>
    <xf numFmtId="9" fontId="6" fillId="0" borderId="1" applyAlignment="1" pivotButton="0" quotePrefix="0" xfId="0">
      <alignment vertical="top" wrapText="1"/>
    </xf>
    <xf numFmtId="170" fontId="14" fillId="0" borderId="1" applyAlignment="1" pivotButton="0" quotePrefix="0" xfId="0">
      <alignment vertical="top" wrapText="1"/>
    </xf>
    <xf numFmtId="0" fontId="14" fillId="0" borderId="1" applyAlignment="1" pivotButton="0" quotePrefix="0" xfId="0">
      <alignment vertical="top" wrapText="1"/>
    </xf>
    <xf numFmtId="3" fontId="6" fillId="0" borderId="1" applyAlignment="1" pivotButton="0" quotePrefix="0" xfId="0">
      <alignment vertical="top" wrapText="1"/>
    </xf>
    <xf numFmtId="168" fontId="6" fillId="0" borderId="1" applyAlignment="1" pivotButton="0" quotePrefix="0" xfId="0">
      <alignment vertical="top" wrapText="1"/>
    </xf>
    <xf numFmtId="0" fontId="15" fillId="0" borderId="1" applyAlignment="1" pivotButton="0" quotePrefix="0" xfId="0">
      <alignment vertical="top" wrapText="1"/>
    </xf>
    <xf numFmtId="0" fontId="5" fillId="5" borderId="1" applyAlignment="1" pivotButton="0" quotePrefix="0" xfId="0">
      <alignment vertical="top" wrapText="1"/>
    </xf>
    <xf numFmtId="0" fontId="11" fillId="2" borderId="1" pivotButton="0" quotePrefix="0" xfId="0"/>
    <xf numFmtId="0" fontId="0" fillId="0" borderId="4" pivotButton="0" quotePrefix="0" xfId="0"/>
    <xf numFmtId="0" fontId="0" fillId="0" borderId="5" pivotButton="0" quotePrefix="0" xfId="0"/>
    <xf numFmtId="49" fontId="6" fillId="0" borderId="1" pivotButton="0" quotePrefix="0" xfId="0"/>
    <xf numFmtId="175" fontId="6" fillId="0" borderId="1" pivotButton="0" quotePrefix="0" xfId="0"/>
    <xf numFmtId="176" fontId="6" fillId="0" borderId="1" pivotButton="0" quotePrefix="0" xfId="0"/>
    <xf numFmtId="3" fontId="6" fillId="0" borderId="1" pivotButton="0" quotePrefix="0" xfId="0"/>
    <xf numFmtId="177" fontId="6" fillId="0" borderId="1" pivotButton="0" quotePrefix="0" xfId="0"/>
    <xf numFmtId="165" fontId="6" fillId="0" borderId="1" pivotButton="0" quotePrefix="0" xfId="0"/>
    <xf numFmtId="170" fontId="6" fillId="0" borderId="1" pivotButton="0" quotePrefix="0" xfId="0"/>
    <xf numFmtId="0" fontId="10" fillId="0" borderId="0" pivotButton="0" quotePrefix="0" xfId="0"/>
    <xf numFmtId="0" fontId="16" fillId="0" borderId="0" applyAlignment="1" pivotButton="0" quotePrefix="0" xfId="0">
      <alignment vertical="top" wrapText="1"/>
    </xf>
    <xf numFmtId="0" fontId="17" fillId="0" borderId="0" applyAlignment="1" pivotButton="0" quotePrefix="0" xfId="0">
      <alignment vertical="top" wrapText="1"/>
    </xf>
    <xf numFmtId="0" fontId="18" fillId="0" borderId="0" applyAlignment="1" pivotButton="0" quotePrefix="0" xfId="0">
      <alignment vertical="top" wrapText="1"/>
    </xf>
    <xf numFmtId="0" fontId="19" fillId="0" borderId="0" applyAlignment="1" pivotButton="0" quotePrefix="0" xfId="0">
      <alignment vertical="top" wrapText="1"/>
    </xf>
    <xf numFmtId="0" fontId="20" fillId="0" borderId="0" applyAlignment="1" pivotButton="0" quotePrefix="0" xfId="0">
      <alignment vertical="top" wrapText="1"/>
    </xf>
    <xf numFmtId="0" fontId="22" fillId="6" borderId="0" applyAlignment="1" pivotButton="0" quotePrefix="0" xfId="0">
      <alignment horizontal="center" vertical="center"/>
    </xf>
    <xf numFmtId="0" fontId="21" fillId="6" borderId="0" applyAlignment="1" pivotButton="0" quotePrefix="0" xfId="0">
      <alignment vertical="center"/>
    </xf>
    <xf numFmtId="0" fontId="0" fillId="6" borderId="0" pivotButton="0" quotePrefix="0" xfId="0"/>
    <xf numFmtId="0" fontId="23" fillId="7" borderId="0" applyAlignment="1" pivotButton="0" quotePrefix="0" xfId="0">
      <alignment horizontal="center" vertical="center" wrapText="1"/>
    </xf>
    <xf numFmtId="0" fontId="23" fillId="8" borderId="0" applyAlignment="1" pivotButton="0" quotePrefix="0" xfId="0">
      <alignment horizontal="center" vertical="center" wrapText="1"/>
    </xf>
    <xf numFmtId="0" fontId="23" fillId="9" borderId="0" applyAlignment="1" pivotButton="0" quotePrefix="0" xfId="0">
      <alignment horizontal="center" vertical="center" wrapText="1"/>
    </xf>
    <xf numFmtId="0" fontId="23" fillId="10" borderId="0" applyAlignment="1" pivotButton="0" quotePrefix="0" xfId="0">
      <alignment horizontal="center" vertical="center" wrapText="1"/>
    </xf>
    <xf numFmtId="0" fontId="23" fillId="6" borderId="0" applyAlignment="1" pivotButton="0" quotePrefix="0" xfId="0">
      <alignment horizontal="center" vertical="center" wrapText="1"/>
    </xf>
    <xf numFmtId="0" fontId="23" fillId="11" borderId="0" applyAlignment="1" pivotButton="0" quotePrefix="0" xfId="0">
      <alignment horizontal="center" vertical="center" wrapText="1"/>
    </xf>
    <xf numFmtId="0" fontId="6" fillId="0" borderId="1" applyAlignment="1" pivotButton="0" quotePrefix="0" xfId="0">
      <alignment vertical="top"/>
    </xf>
    <xf numFmtId="0" fontId="5" fillId="13" borderId="1" applyAlignment="1" pivotButton="0" quotePrefix="0" xfId="0">
      <alignment vertical="top"/>
    </xf>
    <xf numFmtId="0" fontId="2" fillId="0" borderId="1" applyAlignment="1" pivotButton="0" quotePrefix="0" xfId="0">
      <alignment vertical="top"/>
    </xf>
    <xf numFmtId="3" fontId="6" fillId="0" borderId="1" applyAlignment="1" pivotButton="0" quotePrefix="0" xfId="0">
      <alignment vertical="top"/>
    </xf>
    <xf numFmtId="170" fontId="6" fillId="0" borderId="1" applyAlignment="1" pivotButton="0" quotePrefix="0" xfId="0">
      <alignment vertical="top"/>
    </xf>
    <xf numFmtId="165" fontId="6" fillId="7" borderId="1" applyAlignment="1" pivotButton="0" quotePrefix="0" xfId="0">
      <alignment vertical="top"/>
    </xf>
    <xf numFmtId="0" fontId="6" fillId="7" borderId="1" applyAlignment="1" pivotButton="0" quotePrefix="0" xfId="0">
      <alignment vertical="top"/>
    </xf>
    <xf numFmtId="167" fontId="6" fillId="7" borderId="1" applyAlignment="1" pivotButton="0" quotePrefix="0" xfId="0">
      <alignment vertical="top"/>
    </xf>
    <xf numFmtId="175" fontId="6" fillId="7" borderId="1" applyAlignment="1" pivotButton="0" quotePrefix="0" xfId="0">
      <alignment vertical="top"/>
    </xf>
    <xf numFmtId="168" fontId="6" fillId="0" borderId="1" applyAlignment="1" pivotButton="0" quotePrefix="0" xfId="0">
      <alignment vertical="top"/>
    </xf>
    <xf numFmtId="178" fontId="6" fillId="0" borderId="1" applyAlignment="1" pivotButton="0" quotePrefix="0" xfId="0">
      <alignment vertical="top"/>
    </xf>
    <xf numFmtId="9" fontId="6" fillId="0" borderId="1" applyAlignment="1" pivotButton="0" quotePrefix="0" xfId="0">
      <alignment vertical="top"/>
    </xf>
    <xf numFmtId="166" fontId="6" fillId="7" borderId="1" applyAlignment="1" pivotButton="0" quotePrefix="0" xfId="0">
      <alignment vertical="top"/>
    </xf>
    <xf numFmtId="0" fontId="6" fillId="6" borderId="1" applyAlignment="1" pivotButton="0" quotePrefix="0" xfId="0">
      <alignment vertical="top"/>
    </xf>
    <xf numFmtId="170" fontId="6" fillId="6" borderId="1" applyAlignment="1" pivotButton="0" quotePrefix="0" xfId="0">
      <alignment vertical="top"/>
    </xf>
    <xf numFmtId="0" fontId="6" fillId="11" borderId="1" applyAlignment="1" pivotButton="0" quotePrefix="0" xfId="0">
      <alignment vertical="top"/>
    </xf>
    <xf numFmtId="170" fontId="6" fillId="11" borderId="1" applyAlignment="1" pivotButton="0" quotePrefix="0" xfId="0">
      <alignment vertical="top"/>
    </xf>
    <xf numFmtId="3" fontId="6" fillId="11" borderId="1" applyAlignment="1" pivotButton="0" quotePrefix="0" xfId="0">
      <alignment vertical="top"/>
    </xf>
    <xf numFmtId="179" fontId="6" fillId="7" borderId="1" applyAlignment="1" pivotButton="0" quotePrefix="0" xfId="0">
      <alignment vertical="top"/>
    </xf>
    <xf numFmtId="170" fontId="24" fillId="12" borderId="1" applyAlignment="1" pivotButton="0" quotePrefix="0" xfId="0">
      <alignment vertical="top"/>
    </xf>
    <xf numFmtId="0" fontId="24" fillId="12" borderId="1" applyAlignment="1" pivotButton="0" quotePrefix="0" xfId="0">
      <alignment vertical="top"/>
    </xf>
    <xf numFmtId="3" fontId="24" fillId="12" borderId="1" applyAlignment="1" pivotButton="0" quotePrefix="0" xfId="0">
      <alignment vertical="top"/>
    </xf>
    <xf numFmtId="0" fontId="6" fillId="14" borderId="1" applyAlignment="1" pivotButton="0" quotePrefix="0" xfId="0">
      <alignment vertical="top"/>
    </xf>
    <xf numFmtId="0" fontId="6" fillId="8" borderId="1" applyAlignment="1" pivotButton="0" quotePrefix="0" xfId="0">
      <alignment vertical="top"/>
    </xf>
    <xf numFmtId="0" fontId="6" fillId="0" borderId="0" applyAlignment="1" pivotButton="0" quotePrefix="0" xfId="0">
      <alignment vertical="top" wrapText="1"/>
    </xf>
    <xf numFmtId="0" fontId="26" fillId="0" borderId="0" applyAlignment="1" pivotButton="0" quotePrefix="0" xfId="0">
      <alignment vertical="top" wrapText="1"/>
    </xf>
    <xf numFmtId="0" fontId="27" fillId="5" borderId="0" pivotButton="0" quotePrefix="0" xfId="0"/>
    <xf numFmtId="0" fontId="28" fillId="0" borderId="0" pivotButton="0" quotePrefix="0" xfId="0"/>
    <xf numFmtId="0" fontId="6" fillId="15" borderId="1" applyAlignment="1" pivotButton="0" quotePrefix="0" xfId="0">
      <alignment vertical="top"/>
    </xf>
    <xf numFmtId="0" fontId="6" fillId="16" borderId="1" applyAlignment="1" pivotButton="0" quotePrefix="0" xfId="0">
      <alignment vertical="top"/>
    </xf>
    <xf numFmtId="0" fontId="45" fillId="0" borderId="0" pivotButton="0" quotePrefix="0" xfId="0"/>
    <xf numFmtId="0" fontId="40" fillId="0" borderId="0" pivotButton="0" quotePrefix="0" xfId="0"/>
    <xf numFmtId="0" fontId="29" fillId="2" borderId="1" applyAlignment="1" pivotButton="0" quotePrefix="0" xfId="0">
      <alignment vertical="top" wrapText="1"/>
    </xf>
    <xf numFmtId="0" fontId="43" fillId="0" borderId="1" applyAlignment="1" pivotButton="0" quotePrefix="0" xfId="0">
      <alignment vertical="top" wrapText="1"/>
    </xf>
    <xf numFmtId="0" fontId="43" fillId="13" borderId="1" applyAlignment="1" pivotButton="0" quotePrefix="0" xfId="0">
      <alignment vertical="top" wrapText="1"/>
    </xf>
    <xf numFmtId="0" fontId="43" fillId="14" borderId="1" applyAlignment="1" pivotButton="0" quotePrefix="0" xfId="0">
      <alignment vertical="top" wrapText="1"/>
    </xf>
    <xf numFmtId="0" fontId="43" fillId="5" borderId="1" applyAlignment="1" pivotButton="0" quotePrefix="0" xfId="0">
      <alignment vertical="top" wrapText="1"/>
    </xf>
    <xf numFmtId="0" fontId="41" fillId="0" borderId="0" pivotButton="0" quotePrefix="0" xfId="0"/>
    <xf numFmtId="170" fontId="43" fillId="0" borderId="1" applyAlignment="1" pivotButton="0" quotePrefix="0" xfId="0">
      <alignment vertical="top" wrapText="1"/>
    </xf>
    <xf numFmtId="0" fontId="46" fillId="0" borderId="0" pivotButton="0" quotePrefix="0" xfId="0"/>
    <xf numFmtId="0" fontId="44" fillId="0" borderId="0" pivotButton="0" quotePrefix="0" xfId="0"/>
    <xf numFmtId="0" fontId="6" fillId="0" borderId="0" pivotButton="0" quotePrefix="0" xfId="0"/>
    <xf numFmtId="0" fontId="29" fillId="2" borderId="0" pivotButton="0" quotePrefix="0" xfId="0"/>
    <xf numFmtId="0" fontId="30" fillId="0" borderId="0" pivotButton="0" quotePrefix="0" xfId="0"/>
    <xf numFmtId="174" fontId="53" fillId="18" borderId="0" pivotButton="0" quotePrefix="0" xfId="0"/>
    <xf numFmtId="164" fontId="49" fillId="0" borderId="1" pivotButton="0" quotePrefix="0" xfId="0"/>
    <xf numFmtId="165" fontId="49" fillId="0" borderId="1" pivotButton="0" quotePrefix="0" xfId="0"/>
    <xf numFmtId="169" fontId="49" fillId="0" borderId="1" pivotButton="0" quotePrefix="0" xfId="0"/>
    <xf numFmtId="164" fontId="52" fillId="0" borderId="1" pivotButton="0" quotePrefix="0" xfId="0"/>
    <xf numFmtId="164" fontId="51" fillId="0" borderId="1" pivotButton="0" quotePrefix="0" xfId="0"/>
    <xf numFmtId="165" fontId="51" fillId="0" borderId="1" pivotButton="0" quotePrefix="0" xfId="0"/>
    <xf numFmtId="174" fontId="51" fillId="0" borderId="1" pivotButton="0" quotePrefix="0" xfId="0"/>
    <xf numFmtId="169" fontId="51" fillId="0" borderId="1" pivotButton="0" quotePrefix="0" xfId="0"/>
    <xf numFmtId="169" fontId="52" fillId="0" borderId="1" pivotButton="0" quotePrefix="0" xfId="0"/>
  </cellXfs>
  <cellStyles count="1">
    <cellStyle name="Normal" xfId="0" builtinId="0" hidden="0"/>
  </cellStyles>
  <dxfs count="10">
    <dxf>
      <fill>
        <patternFill patternType="solid">
          <fgColor rgb="00F8CBAD"/>
        </patternFill>
      </fill>
    </dxf>
    <dxf>
      <fill>
        <patternFill patternType="solid">
          <fgColor rgb="00C6EFCE"/>
        </patternFill>
      </fill>
    </dxf>
    <dxf>
      <fill>
        <patternFill patternType="solid">
          <fgColor rgb="00DDEBF7"/>
        </patternFill>
      </fill>
    </dxf>
    <dxf>
      <fill>
        <patternFill patternType="solid">
          <fgColor rgb="00FFEB9C"/>
        </patternFill>
      </fill>
    </dxf>
    <dxf>
      <fill>
        <patternFill patternType="solid">
          <fgColor rgb="00EDEDED"/>
        </patternFill>
      </fill>
    </dxf>
    <dxf>
      <fill>
        <patternFill patternType="solid">
          <fgColor rgb="00FFC7CE"/>
        </patternFill>
      </fill>
    </dxf>
    <dxf>
      <font>
        <color rgb="00006100"/>
      </font>
      <fill>
        <patternFill patternType="solid">
          <fgColor rgb="00C6EFCE"/>
        </patternFill>
      </fill>
    </dxf>
    <dxf>
      <font>
        <color rgb="009C0006"/>
      </font>
      <fill>
        <patternFill patternType="solid">
          <fgColor rgb="00FFC7CE"/>
        </patternFill>
      </fill>
    </dxf>
    <dxf>
      <font>
        <color rgb="00006100"/>
      </font>
    </dxf>
    <dxf>
      <font>
        <color rgb="009C000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Tracker</author>
  </authors>
  <commentList>
    <comment ref="G3" authorId="0" shapeId="0">
      <text>
        <t>Median of CAD revenue / US$ sales on 308 Canadian BFCM 2025 deal rows where both exist for the same child and units (range 1.396 - 1.411, the daily rate over Nov 20 - Dec 1, 2025).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1350"/>
  <sheetViews>
    <sheetView showGridLines="0" workbookViewId="0">
      <pane xSplit="3" ySplit="33" topLeftCell="D34"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3" customWidth="1" min="2" max="2"/>
    <col width="13" customWidth="1" min="3" max="3"/>
    <col width="22"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s>
  <sheetData>
    <row r="1">
      <c r="A1" s="47" t="inlineStr">
        <is>
          <t>Price 2025 vs 2026: what customers paid in BFCM 2025 vs our BFCM 2026 deal price</t>
        </is>
      </c>
    </row>
    <row r="2" ht="52" customHeight="1">
      <c r="A2" s="48" t="inlineStr">
        <is>
          <t>BFCM 2025 = Nov 20 - Dec 1, 2025 (12 days), every variation's actual units and sales in each market; average price paid = (sales + promotions) / units, so coupons and promotions are taken off. 2026 = the team deal sheet (Oct 27, 2026): today's price and the BFCM 2026 deal price per variation (Amazon's maximum deal price moves daily until the Nov 13 deadline). Product rows compare the SAME variations, weighted by each variation's BFCM 2025 units, so a change in the size or colour mix does not move the result. Negative change = the 2026 deal is cheaper than what customers paid in BFCM 2025. Blue cells are inputs; the rest are formulas.</t>
        </is>
      </c>
    </row>
    <row r="3">
      <c r="A3" s="61" t="inlineStr">
        <is>
          <t>Canada: BFCM 2025 sales are recorded in US$; converted to C$ at this rate:</t>
        </is>
      </c>
      <c r="G3" s="163" t="n">
        <v>1.4036</v>
      </c>
    </row>
    <row r="4" ht="40" customHeight="1">
      <c r="A4" s="26" t="inlineStr">
        <is>
          <t>Product tab</t>
        </is>
      </c>
      <c r="B4" s="26" t="inlineStr">
        <is>
          <t>Mkt</t>
        </is>
      </c>
      <c r="C4" s="26" t="inlineStr">
        <is>
          <t>Variations sold in BFCM 2025</t>
        </is>
      </c>
      <c r="D4" s="26" t="inlineStr">
        <is>
          <t>Variations compared</t>
        </is>
      </c>
      <c r="E4" s="26" t="inlineStr">
        <is>
          <t>BFCM 2025 units (compared)</t>
        </is>
      </c>
      <c r="F4" s="26" t="inlineStr">
        <is>
          <t>BFCM 2025 avg price paid</t>
        </is>
      </c>
      <c r="G4" s="26" t="inlineStr">
        <is>
          <t>BFCM 2026 deal price (same variations, 2025 mix)</t>
        </is>
      </c>
      <c r="H4" s="26" t="inlineStr">
        <is>
          <t>Change ($)</t>
        </is>
      </c>
      <c r="I4" s="26" t="inlineStr">
        <is>
          <t>Change (%)</t>
        </is>
      </c>
      <c r="J4" s="26" t="inlineStr">
        <is>
          <t>Cheaper in 2026</t>
        </is>
      </c>
      <c r="K4" s="26" t="inlineStr">
        <is>
          <t>Dearer in 2026</t>
        </is>
      </c>
      <c r="L4" s="26" t="inlineStr">
        <is>
          <t>Hero variation</t>
        </is>
      </c>
      <c r="M4" s="26" t="inlineStr">
        <is>
          <t>Hero ASIN</t>
        </is>
      </c>
      <c r="N4" s="26" t="inlineStr">
        <is>
          <t>Hero: 2025 paid</t>
        </is>
      </c>
      <c r="O4" s="26" t="inlineStr">
        <is>
          <t>Hero: 2026 deal</t>
        </is>
      </c>
      <c r="P4" s="26" t="inlineStr">
        <is>
          <t>Hero: change (%)</t>
        </is>
      </c>
    </row>
    <row r="5">
      <c r="A5" s="49" t="inlineStr">
        <is>
          <t>US DC B4</t>
        </is>
      </c>
      <c r="B5" s="49" t="inlineStr">
        <is>
          <t>US</t>
        </is>
      </c>
      <c r="C5" s="49">
        <f>COUNTIFS($A$34:$A$1350,A5,$B$34:$B$1350,B5,$G$34:$G$1350,"&gt;0")</f>
        <v/>
      </c>
      <c r="D5" s="49">
        <f>SUMIFS($Q$34:$Q$1350,$A$34:$A$1350,A5,$B$34:$B$1350,B5)</f>
        <v/>
      </c>
      <c r="E5" s="50">
        <f>SUMIFS($T$34:$T$1350,$A$34:$A$1350,A5,$B$34:$B$1350,B5)</f>
        <v/>
      </c>
      <c r="F5" s="164">
        <f>IF(E5=0,"",SUMIFS($S$34:$S$1350,$A$34:$A$1350,A5,$B$34:$B$1350,B5)/E5)</f>
        <v/>
      </c>
      <c r="G5" s="164">
        <f>IF(E5=0,"",SUMIFS($R$34:$R$1350,$A$34:$A$1350,A5,$B$34:$B$1350,B5)/E5)</f>
        <v/>
      </c>
      <c r="H5" s="164">
        <f>IF(E5=0,"",G5-F5)</f>
        <v/>
      </c>
      <c r="I5" s="165">
        <f>IF(E5=0,"",G5/F5-1)</f>
        <v/>
      </c>
      <c r="J5" s="49">
        <f>COUNTIFS($A$34:$A$1350,A5,$B$34:$B$1350,B5,$Q$34:$Q$1350,1,$N$34:$N$1350,"&lt;0")</f>
        <v/>
      </c>
      <c r="K5" s="49">
        <f>COUNTIFS($A$34:$A$1350,A5,$B$34:$B$1350,B5,$Q$34:$Q$1350,1,$N$34:$N$1350,"&gt;0")</f>
        <v/>
      </c>
      <c r="L5" s="49" t="inlineStr">
        <is>
          <t>King White</t>
        </is>
      </c>
      <c r="M5" s="49" t="inlineStr">
        <is>
          <t>B08KQHRDDG</t>
        </is>
      </c>
      <c r="N5" s="164">
        <f>IF(M5="","",SUMIFS($J$34:$J$1350,$A$34:$A$1350,A5,$B$34:$B$1350,B5,$C$34:$C$1350,M5))</f>
        <v/>
      </c>
      <c r="O5" s="164">
        <f>IF(M5="","",SUMIFS($L$34:$L$1350,$A$34:$A$1350,A5,$B$34:$B$1350,B5,$C$34:$C$1350,M5))</f>
        <v/>
      </c>
      <c r="P5" s="165">
        <f>IF(OR(N5="",N5=0,O5=""),"",O5/N5-1)</f>
        <v/>
      </c>
    </row>
    <row r="6">
      <c r="A6" s="49" t="inlineStr">
        <is>
          <t>CA DC B4</t>
        </is>
      </c>
      <c r="B6" s="49" t="inlineStr">
        <is>
          <t>CA</t>
        </is>
      </c>
      <c r="C6" s="49">
        <f>COUNTIFS($A$34:$A$1350,A6,$B$34:$B$1350,B6,$G$34:$G$1350,"&gt;0")</f>
        <v/>
      </c>
      <c r="D6" s="49">
        <f>SUMIFS($Q$34:$Q$1350,$A$34:$A$1350,A6,$B$34:$B$1350,B6)</f>
        <v/>
      </c>
      <c r="E6" s="50">
        <f>SUMIFS($T$34:$T$1350,$A$34:$A$1350,A6,$B$34:$B$1350,B6)</f>
        <v/>
      </c>
      <c r="F6" s="166">
        <f>IF(E6=0,"",SUMIFS($S$34:$S$1350,$A$34:$A$1350,A6,$B$34:$B$1350,B6)/E6)</f>
        <v/>
      </c>
      <c r="G6" s="166">
        <f>IF(E6=0,"",SUMIFS($R$34:$R$1350,$A$34:$A$1350,A6,$B$34:$B$1350,B6)/E6)</f>
        <v/>
      </c>
      <c r="H6" s="166">
        <f>IF(E6=0,"",G6-F6)</f>
        <v/>
      </c>
      <c r="I6" s="165">
        <f>IF(E6=0,"",G6/F6-1)</f>
        <v/>
      </c>
      <c r="J6" s="49">
        <f>COUNTIFS($A$34:$A$1350,A6,$B$34:$B$1350,B6,$Q$34:$Q$1350,1,$N$34:$N$1350,"&lt;0")</f>
        <v/>
      </c>
      <c r="K6" s="49">
        <f>COUNTIFS($A$34:$A$1350,A6,$B$34:$B$1350,B6,$Q$34:$Q$1350,1,$N$34:$N$1350,"&gt;0")</f>
        <v/>
      </c>
      <c r="L6" s="49" t="inlineStr">
        <is>
          <t>Queen White</t>
        </is>
      </c>
      <c r="M6" s="49" t="inlineStr">
        <is>
          <t>B08KQJGM74</t>
        </is>
      </c>
      <c r="N6" s="166">
        <f>IF(M6="","",SUMIFS($J$34:$J$1350,$A$34:$A$1350,A6,$B$34:$B$1350,B6,$C$34:$C$1350,M6))</f>
        <v/>
      </c>
      <c r="O6" s="166">
        <f>IF(M6="","",SUMIFS($L$34:$L$1350,$A$34:$A$1350,A6,$B$34:$B$1350,B6,$C$34:$C$1350,M6))</f>
        <v/>
      </c>
      <c r="P6" s="165">
        <f>IF(OR(N6="",N6=0,O6=""),"",O6/N6-1)</f>
        <v/>
      </c>
    </row>
    <row r="7">
      <c r="A7" s="49" t="inlineStr">
        <is>
          <t>US DC B6</t>
        </is>
      </c>
      <c r="B7" s="49" t="inlineStr">
        <is>
          <t>US</t>
        </is>
      </c>
      <c r="C7" s="49">
        <f>COUNTIFS($A$34:$A$1350,A7,$B$34:$B$1350,B7,$G$34:$G$1350,"&gt;0")</f>
        <v/>
      </c>
      <c r="D7" s="49">
        <f>SUMIFS($Q$34:$Q$1350,$A$34:$A$1350,A7,$B$34:$B$1350,B7)</f>
        <v/>
      </c>
      <c r="E7" s="50">
        <f>SUMIFS($T$34:$T$1350,$A$34:$A$1350,A7,$B$34:$B$1350,B7)</f>
        <v/>
      </c>
      <c r="F7" s="164">
        <f>IF(E7=0,"",SUMIFS($S$34:$S$1350,$A$34:$A$1350,A7,$B$34:$B$1350,B7)/E7)</f>
        <v/>
      </c>
      <c r="G7" s="164">
        <f>IF(E7=0,"",SUMIFS($R$34:$R$1350,$A$34:$A$1350,A7,$B$34:$B$1350,B7)/E7)</f>
        <v/>
      </c>
      <c r="H7" s="164">
        <f>IF(E7=0,"",G7-F7)</f>
        <v/>
      </c>
      <c r="I7" s="165">
        <f>IF(E7=0,"",G7/F7-1)</f>
        <v/>
      </c>
      <c r="J7" s="49">
        <f>COUNTIFS($A$34:$A$1350,A7,$B$34:$B$1350,B7,$Q$34:$Q$1350,1,$N$34:$N$1350,"&lt;0")</f>
        <v/>
      </c>
      <c r="K7" s="49">
        <f>COUNTIFS($A$34:$A$1350,A7,$B$34:$B$1350,B7,$Q$34:$Q$1350,1,$N$34:$N$1350,"&gt;0")</f>
        <v/>
      </c>
      <c r="L7" s="49" t="inlineStr">
        <is>
          <t>King White</t>
        </is>
      </c>
      <c r="M7" s="49" t="inlineStr">
        <is>
          <t>B0CQ2XQF9N</t>
        </is>
      </c>
      <c r="N7" s="164">
        <f>IF(M7="","",SUMIFS($J$34:$J$1350,$A$34:$A$1350,A7,$B$34:$B$1350,B7,$C$34:$C$1350,M7))</f>
        <v/>
      </c>
      <c r="O7" s="164">
        <f>IF(M7="","",SUMIFS($L$34:$L$1350,$A$34:$A$1350,A7,$B$34:$B$1350,B7,$C$34:$C$1350,M7))</f>
        <v/>
      </c>
      <c r="P7" s="165">
        <f>IF(OR(N7="",N7=0,O7=""),"",O7/N7-1)</f>
        <v/>
      </c>
    </row>
    <row r="8">
      <c r="A8" s="49" t="inlineStr">
        <is>
          <t>CA DC B6</t>
        </is>
      </c>
      <c r="B8" s="49" t="inlineStr">
        <is>
          <t>CA</t>
        </is>
      </c>
      <c r="C8" s="49">
        <f>COUNTIFS($A$34:$A$1350,A8,$B$34:$B$1350,B8,$G$34:$G$1350,"&gt;0")</f>
        <v/>
      </c>
      <c r="D8" s="49">
        <f>SUMIFS($Q$34:$Q$1350,$A$34:$A$1350,A8,$B$34:$B$1350,B8)</f>
        <v/>
      </c>
      <c r="E8" s="50">
        <f>SUMIFS($T$34:$T$1350,$A$34:$A$1350,A8,$B$34:$B$1350,B8)</f>
        <v/>
      </c>
      <c r="F8" s="166">
        <f>IF(E8=0,"",SUMIFS($S$34:$S$1350,$A$34:$A$1350,A8,$B$34:$B$1350,B8)/E8)</f>
        <v/>
      </c>
      <c r="G8" s="166">
        <f>IF(E8=0,"",SUMIFS($R$34:$R$1350,$A$34:$A$1350,A8,$B$34:$B$1350,B8)/E8)</f>
        <v/>
      </c>
      <c r="H8" s="166">
        <f>IF(E8=0,"",G8-F8)</f>
        <v/>
      </c>
      <c r="I8" s="165">
        <f>IF(E8=0,"",G8/F8-1)</f>
        <v/>
      </c>
      <c r="J8" s="49">
        <f>COUNTIFS($A$34:$A$1350,A8,$B$34:$B$1350,B8,$Q$34:$Q$1350,1,$N$34:$N$1350,"&lt;0")</f>
        <v/>
      </c>
      <c r="K8" s="49">
        <f>COUNTIFS($A$34:$A$1350,A8,$B$34:$B$1350,B8,$Q$34:$Q$1350,1,$N$34:$N$1350,"&gt;0")</f>
        <v/>
      </c>
      <c r="L8" s="49" t="inlineStr">
        <is>
          <t>King Taupe</t>
        </is>
      </c>
      <c r="M8" s="49" t="inlineStr">
        <is>
          <t>B0CQ3178D7</t>
        </is>
      </c>
      <c r="N8" s="166">
        <f>IF(M8="","",SUMIFS($J$34:$J$1350,$A$34:$A$1350,A8,$B$34:$B$1350,B8,$C$34:$C$1350,M8))</f>
        <v/>
      </c>
      <c r="O8" s="166">
        <f>IF(M8="","",SUMIFS($L$34:$L$1350,$A$34:$A$1350,A8,$B$34:$B$1350,B8,$C$34:$C$1350,M8))</f>
        <v/>
      </c>
      <c r="P8" s="165">
        <f>IF(OR(N8="",N8=0,O8=""),"",O8/N8-1)</f>
        <v/>
      </c>
    </row>
    <row r="9">
      <c r="A9" s="49" t="inlineStr">
        <is>
          <t>US SL B6</t>
        </is>
      </c>
      <c r="B9" s="49" t="inlineStr">
        <is>
          <t>US</t>
        </is>
      </c>
      <c r="C9" s="49">
        <f>COUNTIFS($A$34:$A$1350,A9,$B$34:$B$1350,B9,$G$34:$G$1350,"&gt;0")</f>
        <v/>
      </c>
      <c r="D9" s="49">
        <f>SUMIFS($Q$34:$Q$1350,$A$34:$A$1350,A9,$B$34:$B$1350,B9)</f>
        <v/>
      </c>
      <c r="E9" s="50">
        <f>SUMIFS($T$34:$T$1350,$A$34:$A$1350,A9,$B$34:$B$1350,B9)</f>
        <v/>
      </c>
      <c r="F9" s="164">
        <f>IF(E9=0,"",SUMIFS($S$34:$S$1350,$A$34:$A$1350,A9,$B$34:$B$1350,B9)/E9)</f>
        <v/>
      </c>
      <c r="G9" s="164">
        <f>IF(E9=0,"",SUMIFS($R$34:$R$1350,$A$34:$A$1350,A9,$B$34:$B$1350,B9)/E9)</f>
        <v/>
      </c>
      <c r="H9" s="164">
        <f>IF(E9=0,"",G9-F9)</f>
        <v/>
      </c>
      <c r="I9" s="165">
        <f>IF(E9=0,"",G9/F9-1)</f>
        <v/>
      </c>
      <c r="J9" s="49">
        <f>COUNTIFS($A$34:$A$1350,A9,$B$34:$B$1350,B9,$Q$34:$Q$1350,1,$N$34:$N$1350,"&lt;0")</f>
        <v/>
      </c>
      <c r="K9" s="49">
        <f>COUNTIFS($A$34:$A$1350,A9,$B$34:$B$1350,B9,$Q$34:$Q$1350,1,$N$34:$N$1350,"&gt;0")</f>
        <v/>
      </c>
      <c r="L9" s="49" t="inlineStr">
        <is>
          <t>King Taupe</t>
        </is>
      </c>
      <c r="M9" s="49" t="inlineStr">
        <is>
          <t>B0DDTYDHVB</t>
        </is>
      </c>
      <c r="N9" s="164">
        <f>IF(M9="","",SUMIFS($J$34:$J$1350,$A$34:$A$1350,A9,$B$34:$B$1350,B9,$C$34:$C$1350,M9))</f>
        <v/>
      </c>
      <c r="O9" s="164">
        <f>IF(M9="","",SUMIFS($L$34:$L$1350,$A$34:$A$1350,A9,$B$34:$B$1350,B9,$C$34:$C$1350,M9))</f>
        <v/>
      </c>
      <c r="P9" s="165">
        <f>IF(OR(N9="",N9=0,O9=""),"",O9/N9-1)</f>
        <v/>
      </c>
    </row>
    <row r="10">
      <c r="A10" s="49" t="inlineStr">
        <is>
          <t>US SL B4</t>
        </is>
      </c>
      <c r="B10" s="49" t="inlineStr">
        <is>
          <t>US</t>
        </is>
      </c>
      <c r="C10" s="49">
        <f>COUNTIFS($A$34:$A$1350,A10,$B$34:$B$1350,B10,$G$34:$G$1350,"&gt;0")</f>
        <v/>
      </c>
      <c r="D10" s="49">
        <f>SUMIFS($Q$34:$Q$1350,$A$34:$A$1350,A10,$B$34:$B$1350,B10)</f>
        <v/>
      </c>
      <c r="E10" s="50">
        <f>SUMIFS($T$34:$T$1350,$A$34:$A$1350,A10,$B$34:$B$1350,B10)</f>
        <v/>
      </c>
      <c r="F10" s="164">
        <f>IF(E10=0,"",SUMIFS($S$34:$S$1350,$A$34:$A$1350,A10,$B$34:$B$1350,B10)/E10)</f>
        <v/>
      </c>
      <c r="G10" s="164">
        <f>IF(E10=0,"",SUMIFS($R$34:$R$1350,$A$34:$A$1350,A10,$B$34:$B$1350,B10)/E10)</f>
        <v/>
      </c>
      <c r="H10" s="164">
        <f>IF(E10=0,"",G10-F10)</f>
        <v/>
      </c>
      <c r="I10" s="165">
        <f>IF(E10=0,"",G10/F10-1)</f>
        <v/>
      </c>
      <c r="J10" s="49">
        <f>COUNTIFS($A$34:$A$1350,A10,$B$34:$B$1350,B10,$Q$34:$Q$1350,1,$N$34:$N$1350,"&lt;0")</f>
        <v/>
      </c>
      <c r="K10" s="49">
        <f>COUNTIFS($A$34:$A$1350,A10,$B$34:$B$1350,B10,$Q$34:$Q$1350,1,$N$34:$N$1350,"&gt;0")</f>
        <v/>
      </c>
      <c r="L10" s="49" t="n"/>
      <c r="M10" s="49" t="n"/>
      <c r="N10" s="164" t="n"/>
      <c r="O10" s="164" t="n"/>
      <c r="P10" s="165" t="n"/>
    </row>
    <row r="11">
      <c r="A11" s="49" t="inlineStr">
        <is>
          <t>US DC S4</t>
        </is>
      </c>
      <c r="B11" s="49" t="inlineStr">
        <is>
          <t>US</t>
        </is>
      </c>
      <c r="C11" s="49">
        <f>COUNTIFS($A$34:$A$1350,A11,$B$34:$B$1350,B11,$G$34:$G$1350,"&gt;0")</f>
        <v/>
      </c>
      <c r="D11" s="49">
        <f>SUMIFS($Q$34:$Q$1350,$A$34:$A$1350,A11,$B$34:$B$1350,B11)</f>
        <v/>
      </c>
      <c r="E11" s="50">
        <f>SUMIFS($T$34:$T$1350,$A$34:$A$1350,A11,$B$34:$B$1350,B11)</f>
        <v/>
      </c>
      <c r="F11" s="164">
        <f>IF(E11=0,"",SUMIFS($S$34:$S$1350,$A$34:$A$1350,A11,$B$34:$B$1350,B11)/E11)</f>
        <v/>
      </c>
      <c r="G11" s="164">
        <f>IF(E11=0,"",SUMIFS($R$34:$R$1350,$A$34:$A$1350,A11,$B$34:$B$1350,B11)/E11)</f>
        <v/>
      </c>
      <c r="H11" s="164">
        <f>IF(E11=0,"",G11-F11)</f>
        <v/>
      </c>
      <c r="I11" s="165">
        <f>IF(E11=0,"",G11/F11-1)</f>
        <v/>
      </c>
      <c r="J11" s="49">
        <f>COUNTIFS($A$34:$A$1350,A11,$B$34:$B$1350,B11,$Q$34:$Q$1350,1,$N$34:$N$1350,"&lt;0")</f>
        <v/>
      </c>
      <c r="K11" s="49">
        <f>COUNTIFS($A$34:$A$1350,A11,$B$34:$B$1350,B11,$Q$34:$Q$1350,1,$N$34:$N$1350,"&gt;0")</f>
        <v/>
      </c>
      <c r="L11" s="49" t="inlineStr">
        <is>
          <t>Queen Black</t>
        </is>
      </c>
      <c r="M11" s="49" t="inlineStr">
        <is>
          <t>B0839MKJMV</t>
        </is>
      </c>
      <c r="N11" s="164">
        <f>IF(M11="","",SUMIFS($J$34:$J$1350,$A$34:$A$1350,A11,$B$34:$B$1350,B11,$C$34:$C$1350,M11))</f>
        <v/>
      </c>
      <c r="O11" s="164">
        <f>IF(M11="","",SUMIFS($L$34:$L$1350,$A$34:$A$1350,A11,$B$34:$B$1350,B11,$C$34:$C$1350,M11))</f>
        <v/>
      </c>
      <c r="P11" s="165">
        <f>IF(OR(N11="",N11=0,O11=""),"",O11/N11-1)</f>
        <v/>
      </c>
    </row>
    <row r="12">
      <c r="A12" s="49" t="inlineStr">
        <is>
          <t>CA DC S4</t>
        </is>
      </c>
      <c r="B12" s="49" t="inlineStr">
        <is>
          <t>CA</t>
        </is>
      </c>
      <c r="C12" s="49">
        <f>COUNTIFS($A$34:$A$1350,A12,$B$34:$B$1350,B12,$G$34:$G$1350,"&gt;0")</f>
        <v/>
      </c>
      <c r="D12" s="49">
        <f>SUMIFS($Q$34:$Q$1350,$A$34:$A$1350,A12,$B$34:$B$1350,B12)</f>
        <v/>
      </c>
      <c r="E12" s="50">
        <f>SUMIFS($T$34:$T$1350,$A$34:$A$1350,A12,$B$34:$B$1350,B12)</f>
        <v/>
      </c>
      <c r="F12" s="166">
        <f>IF(E12=0,"",SUMIFS($S$34:$S$1350,$A$34:$A$1350,A12,$B$34:$B$1350,B12)/E12)</f>
        <v/>
      </c>
      <c r="G12" s="166">
        <f>IF(E12=0,"",SUMIFS($R$34:$R$1350,$A$34:$A$1350,A12,$B$34:$B$1350,B12)/E12)</f>
        <v/>
      </c>
      <c r="H12" s="166">
        <f>IF(E12=0,"",G12-F12)</f>
        <v/>
      </c>
      <c r="I12" s="165">
        <f>IF(E12=0,"",G12/F12-1)</f>
        <v/>
      </c>
      <c r="J12" s="49">
        <f>COUNTIFS($A$34:$A$1350,A12,$B$34:$B$1350,B12,$Q$34:$Q$1350,1,$N$34:$N$1350,"&lt;0")</f>
        <v/>
      </c>
      <c r="K12" s="49">
        <f>COUNTIFS($A$34:$A$1350,A12,$B$34:$B$1350,B12,$Q$34:$Q$1350,1,$N$34:$N$1350,"&gt;0")</f>
        <v/>
      </c>
      <c r="L12" s="49" t="inlineStr">
        <is>
          <t>Queen Black</t>
        </is>
      </c>
      <c r="M12" s="49" t="inlineStr">
        <is>
          <t>B0839MKJMV</t>
        </is>
      </c>
      <c r="N12" s="166">
        <f>IF(M12="","",SUMIFS($J$34:$J$1350,$A$34:$A$1350,A12,$B$34:$B$1350,B12,$C$34:$C$1350,M12))</f>
        <v/>
      </c>
      <c r="O12" s="166">
        <f>IF(M12="","",SUMIFS($L$34:$L$1350,$A$34:$A$1350,A12,$B$34:$B$1350,B12,$C$34:$C$1350,M12))</f>
        <v/>
      </c>
      <c r="P12" s="165">
        <f>IF(OR(N12="",N12=0,O12=""),"",O12/N12-1)</f>
        <v/>
      </c>
    </row>
    <row r="13">
      <c r="A13" s="49" t="inlineStr">
        <is>
          <t>US DC S6</t>
        </is>
      </c>
      <c r="B13" s="49" t="inlineStr">
        <is>
          <t>US</t>
        </is>
      </c>
      <c r="C13" s="49">
        <f>COUNTIFS($A$34:$A$1350,A13,$B$34:$B$1350,B13,$G$34:$G$1350,"&gt;0")</f>
        <v/>
      </c>
      <c r="D13" s="49">
        <f>SUMIFS($Q$34:$Q$1350,$A$34:$A$1350,A13,$B$34:$B$1350,B13)</f>
        <v/>
      </c>
      <c r="E13" s="50">
        <f>SUMIFS($T$34:$T$1350,$A$34:$A$1350,A13,$B$34:$B$1350,B13)</f>
        <v/>
      </c>
      <c r="F13" s="164">
        <f>IF(E13=0,"",SUMIFS($S$34:$S$1350,$A$34:$A$1350,A13,$B$34:$B$1350,B13)/E13)</f>
        <v/>
      </c>
      <c r="G13" s="164">
        <f>IF(E13=0,"",SUMIFS($R$34:$R$1350,$A$34:$A$1350,A13,$B$34:$B$1350,B13)/E13)</f>
        <v/>
      </c>
      <c r="H13" s="164">
        <f>IF(E13=0,"",G13-F13)</f>
        <v/>
      </c>
      <c r="I13" s="165">
        <f>IF(E13=0,"",G13/F13-1)</f>
        <v/>
      </c>
      <c r="J13" s="49">
        <f>COUNTIFS($A$34:$A$1350,A13,$B$34:$B$1350,B13,$Q$34:$Q$1350,1,$N$34:$N$1350,"&lt;0")</f>
        <v/>
      </c>
      <c r="K13" s="49">
        <f>COUNTIFS($A$34:$A$1350,A13,$B$34:$B$1350,B13,$Q$34:$Q$1350,1,$N$34:$N$1350,"&gt;0")</f>
        <v/>
      </c>
      <c r="L13" s="49" t="inlineStr">
        <is>
          <t>King Black</t>
        </is>
      </c>
      <c r="M13" s="49" t="inlineStr">
        <is>
          <t>B0C7FXXS6R</t>
        </is>
      </c>
      <c r="N13" s="164">
        <f>IF(M13="","",SUMIFS($J$34:$J$1350,$A$34:$A$1350,A13,$B$34:$B$1350,B13,$C$34:$C$1350,M13))</f>
        <v/>
      </c>
      <c r="O13" s="164">
        <f>IF(M13="","",SUMIFS($L$34:$L$1350,$A$34:$A$1350,A13,$B$34:$B$1350,B13,$C$34:$C$1350,M13))</f>
        <v/>
      </c>
      <c r="P13" s="165">
        <f>IF(OR(N13="",N13=0,O13=""),"",O13/N13-1)</f>
        <v/>
      </c>
    </row>
    <row r="14">
      <c r="A14" s="49" t="inlineStr">
        <is>
          <t>CA DC S6</t>
        </is>
      </c>
      <c r="B14" s="49" t="inlineStr">
        <is>
          <t>CA</t>
        </is>
      </c>
      <c r="C14" s="49">
        <f>COUNTIFS($A$34:$A$1350,A14,$B$34:$B$1350,B14,$G$34:$G$1350,"&gt;0")</f>
        <v/>
      </c>
      <c r="D14" s="49">
        <f>SUMIFS($Q$34:$Q$1350,$A$34:$A$1350,A14,$B$34:$B$1350,B14)</f>
        <v/>
      </c>
      <c r="E14" s="50">
        <f>SUMIFS($T$34:$T$1350,$A$34:$A$1350,A14,$B$34:$B$1350,B14)</f>
        <v/>
      </c>
      <c r="F14" s="166">
        <f>IF(E14=0,"",SUMIFS($S$34:$S$1350,$A$34:$A$1350,A14,$B$34:$B$1350,B14)/E14)</f>
        <v/>
      </c>
      <c r="G14" s="166">
        <f>IF(E14=0,"",SUMIFS($R$34:$R$1350,$A$34:$A$1350,A14,$B$34:$B$1350,B14)/E14)</f>
        <v/>
      </c>
      <c r="H14" s="166">
        <f>IF(E14=0,"",G14-F14)</f>
        <v/>
      </c>
      <c r="I14" s="165">
        <f>IF(E14=0,"",G14/F14-1)</f>
        <v/>
      </c>
      <c r="J14" s="49">
        <f>COUNTIFS($A$34:$A$1350,A14,$B$34:$B$1350,B14,$Q$34:$Q$1350,1,$N$34:$N$1350,"&lt;0")</f>
        <v/>
      </c>
      <c r="K14" s="49">
        <f>COUNTIFS($A$34:$A$1350,A14,$B$34:$B$1350,B14,$Q$34:$Q$1350,1,$N$34:$N$1350,"&gt;0")</f>
        <v/>
      </c>
      <c r="L14" s="49" t="inlineStr">
        <is>
          <t>Queen Black</t>
        </is>
      </c>
      <c r="M14" s="49" t="inlineStr">
        <is>
          <t>B0C7FX1GFS</t>
        </is>
      </c>
      <c r="N14" s="166">
        <f>IF(M14="","",SUMIFS($J$34:$J$1350,$A$34:$A$1350,A14,$B$34:$B$1350,B14,$C$34:$C$1350,M14))</f>
        <v/>
      </c>
      <c r="O14" s="166">
        <f>IF(M14="","",SUMIFS($L$34:$L$1350,$A$34:$A$1350,A14,$B$34:$B$1350,B14,$C$34:$C$1350,M14))</f>
        <v/>
      </c>
      <c r="P14" s="165">
        <f>IF(OR(N14="",N14=0,O14=""),"",O14/N14-1)</f>
        <v/>
      </c>
    </row>
    <row r="15">
      <c r="A15" s="49" t="inlineStr">
        <is>
          <t>US SSS4</t>
        </is>
      </c>
      <c r="B15" s="49" t="inlineStr">
        <is>
          <t>US</t>
        </is>
      </c>
      <c r="C15" s="49">
        <f>COUNTIFS($A$34:$A$1350,A15,$B$34:$B$1350,B15,$G$34:$G$1350,"&gt;0")</f>
        <v/>
      </c>
      <c r="D15" s="49">
        <f>SUMIFS($Q$34:$Q$1350,$A$34:$A$1350,A15,$B$34:$B$1350,B15)</f>
        <v/>
      </c>
      <c r="E15" s="50">
        <f>SUMIFS($T$34:$T$1350,$A$34:$A$1350,A15,$B$34:$B$1350,B15)</f>
        <v/>
      </c>
      <c r="F15" s="164">
        <f>IF(E15=0,"",SUMIFS($S$34:$S$1350,$A$34:$A$1350,A15,$B$34:$B$1350,B15)/E15)</f>
        <v/>
      </c>
      <c r="G15" s="164">
        <f>IF(E15=0,"",SUMIFS($R$34:$R$1350,$A$34:$A$1350,A15,$B$34:$B$1350,B15)/E15)</f>
        <v/>
      </c>
      <c r="H15" s="164">
        <f>IF(E15=0,"",G15-F15)</f>
        <v/>
      </c>
      <c r="I15" s="165">
        <f>IF(E15=0,"",G15/F15-1)</f>
        <v/>
      </c>
      <c r="J15" s="49">
        <f>COUNTIFS($A$34:$A$1350,A15,$B$34:$B$1350,B15,$Q$34:$Q$1350,1,$N$34:$N$1350,"&lt;0")</f>
        <v/>
      </c>
      <c r="K15" s="49">
        <f>COUNTIFS($A$34:$A$1350,A15,$B$34:$B$1350,B15,$Q$34:$Q$1350,1,$N$34:$N$1350,"&gt;0")</f>
        <v/>
      </c>
      <c r="L15" s="49" t="inlineStr">
        <is>
          <t>Queen Navy Blue</t>
        </is>
      </c>
      <c r="M15" s="49" t="inlineStr">
        <is>
          <t>B0DDRH9RD7</t>
        </is>
      </c>
      <c r="N15" s="164">
        <f>IF(M15="","",SUMIFS($J$34:$J$1350,$A$34:$A$1350,A15,$B$34:$B$1350,B15,$C$34:$C$1350,M15))</f>
        <v/>
      </c>
      <c r="O15" s="164">
        <f>IF(M15="","",SUMIFS($L$34:$L$1350,$A$34:$A$1350,A15,$B$34:$B$1350,B15,$C$34:$C$1350,M15))</f>
        <v/>
      </c>
      <c r="P15" s="165">
        <f>IF(OR(N15="",N15=0,O15=""),"",O15/N15-1)</f>
        <v/>
      </c>
    </row>
    <row r="16">
      <c r="A16" s="49" t="inlineStr">
        <is>
          <t>CA SSS4</t>
        </is>
      </c>
      <c r="B16" s="49" t="inlineStr">
        <is>
          <t>CA</t>
        </is>
      </c>
      <c r="C16" s="49">
        <f>COUNTIFS($A$34:$A$1350,A16,$B$34:$B$1350,B16,$G$34:$G$1350,"&gt;0")</f>
        <v/>
      </c>
      <c r="D16" s="49">
        <f>SUMIFS($Q$34:$Q$1350,$A$34:$A$1350,A16,$B$34:$B$1350,B16)</f>
        <v/>
      </c>
      <c r="E16" s="50">
        <f>SUMIFS($T$34:$T$1350,$A$34:$A$1350,A16,$B$34:$B$1350,B16)</f>
        <v/>
      </c>
      <c r="F16" s="166">
        <f>IF(E16=0,"",SUMIFS($S$34:$S$1350,$A$34:$A$1350,A16,$B$34:$B$1350,B16)/E16)</f>
        <v/>
      </c>
      <c r="G16" s="166">
        <f>IF(E16=0,"",SUMIFS($R$34:$R$1350,$A$34:$A$1350,A16,$B$34:$B$1350,B16)/E16)</f>
        <v/>
      </c>
      <c r="H16" s="166">
        <f>IF(E16=0,"",G16-F16)</f>
        <v/>
      </c>
      <c r="I16" s="165">
        <f>IF(E16=0,"",G16/F16-1)</f>
        <v/>
      </c>
      <c r="J16" s="49">
        <f>COUNTIFS($A$34:$A$1350,A16,$B$34:$B$1350,B16,$Q$34:$Q$1350,1,$N$34:$N$1350,"&lt;0")</f>
        <v/>
      </c>
      <c r="K16" s="49">
        <f>COUNTIFS($A$34:$A$1350,A16,$B$34:$B$1350,B16,$Q$34:$Q$1350,1,$N$34:$N$1350,"&gt;0")</f>
        <v/>
      </c>
      <c r="L16" s="49" t="inlineStr">
        <is>
          <t>Queen Navy Blue</t>
        </is>
      </c>
      <c r="M16" s="49" t="inlineStr">
        <is>
          <t>B0DDRH9RD7</t>
        </is>
      </c>
      <c r="N16" s="166">
        <f>IF(M16="","",SUMIFS($J$34:$J$1350,$A$34:$A$1350,A16,$B$34:$B$1350,B16,$C$34:$C$1350,M16))</f>
        <v/>
      </c>
      <c r="O16" s="166">
        <f>IF(M16="","",SUMIFS($L$34:$L$1350,$A$34:$A$1350,A16,$B$34:$B$1350,B16,$C$34:$C$1350,M16))</f>
        <v/>
      </c>
      <c r="P16" s="165">
        <f>IF(OR(N16="",N16=0,O16=""),"",O16/N16-1)</f>
        <v/>
      </c>
    </row>
    <row r="17">
      <c r="A17" s="49" t="inlineStr">
        <is>
          <t>US DC Satin Fitted</t>
        </is>
      </c>
      <c r="B17" s="49" t="inlineStr">
        <is>
          <t>US</t>
        </is>
      </c>
      <c r="C17" s="49">
        <f>COUNTIFS($A$34:$A$1350,A17,$B$34:$B$1350,B17,$G$34:$G$1350,"&gt;0")</f>
        <v/>
      </c>
      <c r="D17" s="49">
        <f>SUMIFS($Q$34:$Q$1350,$A$34:$A$1350,A17,$B$34:$B$1350,B17)</f>
        <v/>
      </c>
      <c r="E17" s="50">
        <f>SUMIFS($T$34:$T$1350,$A$34:$A$1350,A17,$B$34:$B$1350,B17)</f>
        <v/>
      </c>
      <c r="F17" s="164">
        <f>IF(E17=0,"",SUMIFS($S$34:$S$1350,$A$34:$A$1350,A17,$B$34:$B$1350,B17)/E17)</f>
        <v/>
      </c>
      <c r="G17" s="164">
        <f>IF(E17=0,"",SUMIFS($R$34:$R$1350,$A$34:$A$1350,A17,$B$34:$B$1350,B17)/E17)</f>
        <v/>
      </c>
      <c r="H17" s="164">
        <f>IF(E17=0,"",G17-F17)</f>
        <v/>
      </c>
      <c r="I17" s="165">
        <f>IF(E17=0,"",G17/F17-1)</f>
        <v/>
      </c>
      <c r="J17" s="49">
        <f>COUNTIFS($A$34:$A$1350,A17,$B$34:$B$1350,B17,$Q$34:$Q$1350,1,$N$34:$N$1350,"&lt;0")</f>
        <v/>
      </c>
      <c r="K17" s="49">
        <f>COUNTIFS($A$34:$A$1350,A17,$B$34:$B$1350,B17,$Q$34:$Q$1350,1,$N$34:$N$1350,"&gt;0")</f>
        <v/>
      </c>
      <c r="L17" s="49" t="inlineStr">
        <is>
          <t>Queen Black</t>
        </is>
      </c>
      <c r="M17" s="49" t="inlineStr">
        <is>
          <t>B0DBW1PNJ8</t>
        </is>
      </c>
      <c r="N17" s="164">
        <f>IF(M17="","",SUMIFS($J$34:$J$1350,$A$34:$A$1350,A17,$B$34:$B$1350,B17,$C$34:$C$1350,M17))</f>
        <v/>
      </c>
      <c r="O17" s="164">
        <f>IF(M17="","",SUMIFS($L$34:$L$1350,$A$34:$A$1350,A17,$B$34:$B$1350,B17,$C$34:$C$1350,M17))</f>
        <v/>
      </c>
      <c r="P17" s="165">
        <f>IF(OR(N17="",N17=0,O17=""),"",O17/N17-1)</f>
        <v/>
      </c>
    </row>
    <row r="18">
      <c r="A18" s="49" t="inlineStr">
        <is>
          <t>CA DC Satin Fitted</t>
        </is>
      </c>
      <c r="B18" s="49" t="inlineStr">
        <is>
          <t>CA</t>
        </is>
      </c>
      <c r="C18" s="49">
        <f>COUNTIFS($A$34:$A$1350,A18,$B$34:$B$1350,B18,$G$34:$G$1350,"&gt;0")</f>
        <v/>
      </c>
      <c r="D18" s="49">
        <f>SUMIFS($Q$34:$Q$1350,$A$34:$A$1350,A18,$B$34:$B$1350,B18)</f>
        <v/>
      </c>
      <c r="E18" s="50">
        <f>SUMIFS($T$34:$T$1350,$A$34:$A$1350,A18,$B$34:$B$1350,B18)</f>
        <v/>
      </c>
      <c r="F18" s="166">
        <f>IF(E18=0,"",SUMIFS($S$34:$S$1350,$A$34:$A$1350,A18,$B$34:$B$1350,B18)/E18)</f>
        <v/>
      </c>
      <c r="G18" s="166">
        <f>IF(E18=0,"",SUMIFS($R$34:$R$1350,$A$34:$A$1350,A18,$B$34:$B$1350,B18)/E18)</f>
        <v/>
      </c>
      <c r="H18" s="166">
        <f>IF(E18=0,"",G18-F18)</f>
        <v/>
      </c>
      <c r="I18" s="165">
        <f>IF(E18=0,"",G18/F18-1)</f>
        <v/>
      </c>
      <c r="J18" s="49">
        <f>COUNTIFS($A$34:$A$1350,A18,$B$34:$B$1350,B18,$Q$34:$Q$1350,1,$N$34:$N$1350,"&lt;0")</f>
        <v/>
      </c>
      <c r="K18" s="49">
        <f>COUNTIFS($A$34:$A$1350,A18,$B$34:$B$1350,B18,$Q$34:$Q$1350,1,$N$34:$N$1350,"&gt;0")</f>
        <v/>
      </c>
      <c r="L18" s="49" t="inlineStr">
        <is>
          <t>Queen Black</t>
        </is>
      </c>
      <c r="M18" s="49" t="inlineStr">
        <is>
          <t>B0DBW1PNJ8</t>
        </is>
      </c>
      <c r="N18" s="166">
        <f>IF(M18="","",SUMIFS($J$34:$J$1350,$A$34:$A$1350,A18,$B$34:$B$1350,B18,$C$34:$C$1350,M18))</f>
        <v/>
      </c>
      <c r="O18" s="166">
        <f>IF(M18="","",SUMIFS($L$34:$L$1350,$A$34:$A$1350,A18,$B$34:$B$1350,B18,$C$34:$C$1350,M18))</f>
        <v/>
      </c>
      <c r="P18" s="165">
        <f>IF(OR(N18="",N18=0,O18=""),"",O18/N18-1)</f>
        <v/>
      </c>
    </row>
    <row r="19">
      <c r="A19" s="49" t="inlineStr">
        <is>
          <t>US DC Silk Pillowcase</t>
        </is>
      </c>
      <c r="B19" s="49" t="inlineStr">
        <is>
          <t>US</t>
        </is>
      </c>
      <c r="C19" s="49">
        <f>COUNTIFS($A$34:$A$1350,A19,$B$34:$B$1350,B19,$G$34:$G$1350,"&gt;0")</f>
        <v/>
      </c>
      <c r="D19" s="49">
        <f>SUMIFS($Q$34:$Q$1350,$A$34:$A$1350,A19,$B$34:$B$1350,B19)</f>
        <v/>
      </c>
      <c r="E19" s="50">
        <f>SUMIFS($T$34:$T$1350,$A$34:$A$1350,A19,$B$34:$B$1350,B19)</f>
        <v/>
      </c>
      <c r="F19" s="164">
        <f>IF(E19=0,"",SUMIFS($S$34:$S$1350,$A$34:$A$1350,A19,$B$34:$B$1350,B19)/E19)</f>
        <v/>
      </c>
      <c r="G19" s="164">
        <f>IF(E19=0,"",SUMIFS($R$34:$R$1350,$A$34:$A$1350,A19,$B$34:$B$1350,B19)/E19)</f>
        <v/>
      </c>
      <c r="H19" s="164">
        <f>IF(E19=0,"",G19-F19)</f>
        <v/>
      </c>
      <c r="I19" s="165">
        <f>IF(E19=0,"",G19/F19-1)</f>
        <v/>
      </c>
      <c r="J19" s="49">
        <f>COUNTIFS($A$34:$A$1350,A19,$B$34:$B$1350,B19,$Q$34:$Q$1350,1,$N$34:$N$1350,"&lt;0")</f>
        <v/>
      </c>
      <c r="K19" s="49">
        <f>COUNTIFS($A$34:$A$1350,A19,$B$34:$B$1350,B19,$Q$34:$Q$1350,1,$N$34:$N$1350,"&gt;0")</f>
        <v/>
      </c>
      <c r="L19" s="49" t="inlineStr">
        <is>
          <t>Standard White</t>
        </is>
      </c>
      <c r="M19" s="49" t="inlineStr">
        <is>
          <t>B0DBR5SY67</t>
        </is>
      </c>
      <c r="N19" s="164">
        <f>IF(M19="","",SUMIFS($J$34:$J$1350,$A$34:$A$1350,A19,$B$34:$B$1350,B19,$C$34:$C$1350,M19))</f>
        <v/>
      </c>
      <c r="O19" s="164">
        <f>IF(M19="","",SUMIFS($L$34:$L$1350,$A$34:$A$1350,A19,$B$34:$B$1350,B19,$C$34:$C$1350,M19))</f>
        <v/>
      </c>
      <c r="P19" s="165">
        <f>IF(OR(N19="",N19=0,O19=""),"",O19/N19-1)</f>
        <v/>
      </c>
    </row>
    <row r="20">
      <c r="A20" s="49" t="inlineStr">
        <is>
          <t>US SL Mask Contoured</t>
        </is>
      </c>
      <c r="B20" s="49" t="inlineStr">
        <is>
          <t>US</t>
        </is>
      </c>
      <c r="C20" s="49">
        <f>COUNTIFS($A$34:$A$1350,A20,$B$34:$B$1350,B20,$G$34:$G$1350,"&gt;0")</f>
        <v/>
      </c>
      <c r="D20" s="49">
        <f>SUMIFS($Q$34:$Q$1350,$A$34:$A$1350,A20,$B$34:$B$1350,B20)</f>
        <v/>
      </c>
      <c r="E20" s="50">
        <f>SUMIFS($T$34:$T$1350,$A$34:$A$1350,A20,$B$34:$B$1350,B20)</f>
        <v/>
      </c>
      <c r="F20" s="164">
        <f>IF(E20=0,"",SUMIFS($S$34:$S$1350,$A$34:$A$1350,A20,$B$34:$B$1350,B20)/E20)</f>
        <v/>
      </c>
      <c r="G20" s="164">
        <f>IF(E20=0,"",SUMIFS($R$34:$R$1350,$A$34:$A$1350,A20,$B$34:$B$1350,B20)/E20)</f>
        <v/>
      </c>
      <c r="H20" s="164">
        <f>IF(E20=0,"",G20-F20)</f>
        <v/>
      </c>
      <c r="I20" s="165">
        <f>IF(E20=0,"",G20/F20-1)</f>
        <v/>
      </c>
      <c r="J20" s="49">
        <f>COUNTIFS($A$34:$A$1350,A20,$B$34:$B$1350,B20,$Q$34:$Q$1350,1,$N$34:$N$1350,"&lt;0")</f>
        <v/>
      </c>
      <c r="K20" s="49">
        <f>COUNTIFS($A$34:$A$1350,A20,$B$34:$B$1350,B20,$Q$34:$Q$1350,1,$N$34:$N$1350,"&gt;0")</f>
        <v/>
      </c>
      <c r="L20" s="49" t="n"/>
      <c r="M20" s="49" t="n"/>
      <c r="N20" s="164" t="n"/>
      <c r="O20" s="164" t="n"/>
      <c r="P20" s="165" t="n"/>
    </row>
    <row r="21">
      <c r="A21" s="49" t="inlineStr">
        <is>
          <t>US SL Mask Velcro</t>
        </is>
      </c>
      <c r="B21" s="49" t="inlineStr">
        <is>
          <t>US</t>
        </is>
      </c>
      <c r="C21" s="49">
        <f>COUNTIFS($A$34:$A$1350,A21,$B$34:$B$1350,B21,$G$34:$G$1350,"&gt;0")</f>
        <v/>
      </c>
      <c r="D21" s="49">
        <f>SUMIFS($Q$34:$Q$1350,$A$34:$A$1350,A21,$B$34:$B$1350,B21)</f>
        <v/>
      </c>
      <c r="E21" s="50">
        <f>SUMIFS($T$34:$T$1350,$A$34:$A$1350,A21,$B$34:$B$1350,B21)</f>
        <v/>
      </c>
      <c r="F21" s="164">
        <f>IF(E21=0,"",SUMIFS($S$34:$S$1350,$A$34:$A$1350,A21,$B$34:$B$1350,B21)/E21)</f>
        <v/>
      </c>
      <c r="G21" s="164">
        <f>IF(E21=0,"",SUMIFS($R$34:$R$1350,$A$34:$A$1350,A21,$B$34:$B$1350,B21)/E21)</f>
        <v/>
      </c>
      <c r="H21" s="164">
        <f>IF(E21=0,"",G21-F21)</f>
        <v/>
      </c>
      <c r="I21" s="165">
        <f>IF(E21=0,"",G21/F21-1)</f>
        <v/>
      </c>
      <c r="J21" s="49">
        <f>COUNTIFS($A$34:$A$1350,A21,$B$34:$B$1350,B21,$Q$34:$Q$1350,1,$N$34:$N$1350,"&lt;0")</f>
        <v/>
      </c>
      <c r="K21" s="49">
        <f>COUNTIFS($A$34:$A$1350,A21,$B$34:$B$1350,B21,$Q$34:$Q$1350,1,$N$34:$N$1350,"&gt;0")</f>
        <v/>
      </c>
      <c r="L21" s="49" t="n"/>
      <c r="M21" s="49" t="n"/>
      <c r="N21" s="164" t="n"/>
      <c r="O21" s="164" t="n"/>
      <c r="P21" s="165" t="n"/>
    </row>
    <row r="22">
      <c r="A22" s="49" t="inlineStr">
        <is>
          <t>US DC Cooling 4pc</t>
        </is>
      </c>
      <c r="B22" s="49" t="inlineStr">
        <is>
          <t>US</t>
        </is>
      </c>
      <c r="C22" s="49">
        <f>COUNTIFS($A$34:$A$1350,A22,$B$34:$B$1350,B22,$G$34:$G$1350,"&gt;0")</f>
        <v/>
      </c>
      <c r="D22" s="49">
        <f>SUMIFS($Q$34:$Q$1350,$A$34:$A$1350,A22,$B$34:$B$1350,B22)</f>
        <v/>
      </c>
      <c r="E22" s="50">
        <f>SUMIFS($T$34:$T$1350,$A$34:$A$1350,A22,$B$34:$B$1350,B22)</f>
        <v/>
      </c>
      <c r="F22" s="164">
        <f>IF(E22=0,"",SUMIFS($S$34:$S$1350,$A$34:$A$1350,A22,$B$34:$B$1350,B22)/E22)</f>
        <v/>
      </c>
      <c r="G22" s="164">
        <f>IF(E22=0,"",SUMIFS($R$34:$R$1350,$A$34:$A$1350,A22,$B$34:$B$1350,B22)/E22)</f>
        <v/>
      </c>
      <c r="H22" s="164">
        <f>IF(E22=0,"",G22-F22)</f>
        <v/>
      </c>
      <c r="I22" s="165">
        <f>IF(E22=0,"",G22/F22-1)</f>
        <v/>
      </c>
      <c r="J22" s="49">
        <f>COUNTIFS($A$34:$A$1350,A22,$B$34:$B$1350,B22,$Q$34:$Q$1350,1,$N$34:$N$1350,"&lt;0")</f>
        <v/>
      </c>
      <c r="K22" s="49">
        <f>COUNTIFS($A$34:$A$1350,A22,$B$34:$B$1350,B22,$Q$34:$Q$1350,1,$N$34:$N$1350,"&gt;0")</f>
        <v/>
      </c>
      <c r="L22" s="49" t="n"/>
      <c r="M22" s="49" t="n"/>
      <c r="N22" s="164" t="n"/>
      <c r="O22" s="164" t="n"/>
      <c r="P22" s="165" t="n"/>
    </row>
    <row r="23">
      <c r="A23" s="49" t="inlineStr">
        <is>
          <t>US SL Cooling 4pc</t>
        </is>
      </c>
      <c r="B23" s="49" t="inlineStr">
        <is>
          <t>US</t>
        </is>
      </c>
      <c r="C23" s="49">
        <f>COUNTIFS($A$34:$A$1350,A23,$B$34:$B$1350,B23,$G$34:$G$1350,"&gt;0")</f>
        <v/>
      </c>
      <c r="D23" s="49">
        <f>SUMIFS($Q$34:$Q$1350,$A$34:$A$1350,A23,$B$34:$B$1350,B23)</f>
        <v/>
      </c>
      <c r="E23" s="50">
        <f>SUMIFS($T$34:$T$1350,$A$34:$A$1350,A23,$B$34:$B$1350,B23)</f>
        <v/>
      </c>
      <c r="F23" s="164">
        <f>IF(E23=0,"",SUMIFS($S$34:$S$1350,$A$34:$A$1350,A23,$B$34:$B$1350,B23)/E23)</f>
        <v/>
      </c>
      <c r="G23" s="164">
        <f>IF(E23=0,"",SUMIFS($R$34:$R$1350,$A$34:$A$1350,A23,$B$34:$B$1350,B23)/E23)</f>
        <v/>
      </c>
      <c r="H23" s="164">
        <f>IF(E23=0,"",G23-F23)</f>
        <v/>
      </c>
      <c r="I23" s="165">
        <f>IF(E23=0,"",G23/F23-1)</f>
        <v/>
      </c>
      <c r="J23" s="49">
        <f>COUNTIFS($A$34:$A$1350,A23,$B$34:$B$1350,B23,$Q$34:$Q$1350,1,$N$34:$N$1350,"&lt;0")</f>
        <v/>
      </c>
      <c r="K23" s="49">
        <f>COUNTIFS($A$34:$A$1350,A23,$B$34:$B$1350,B23,$Q$34:$Q$1350,1,$N$34:$N$1350,"&gt;0")</f>
        <v/>
      </c>
      <c r="L23" s="49" t="inlineStr">
        <is>
          <t>King Light Grey</t>
        </is>
      </c>
      <c r="M23" s="49" t="inlineStr">
        <is>
          <t>B0F7LZQNHM</t>
        </is>
      </c>
      <c r="N23" s="164">
        <f>IF(M23="","",SUMIFS($J$34:$J$1350,$A$34:$A$1350,A23,$B$34:$B$1350,B23,$C$34:$C$1350,M23))</f>
        <v/>
      </c>
      <c r="O23" s="164">
        <f>IF(M23="","",SUMIFS($L$34:$L$1350,$A$34:$A$1350,A23,$B$34:$B$1350,B23,$C$34:$C$1350,M23))</f>
        <v/>
      </c>
      <c r="P23" s="165">
        <f>IF(OR(N23="",N23=0,O23=""),"",O23/N23-1)</f>
        <v/>
      </c>
    </row>
    <row r="24">
      <c r="A24" s="49" t="inlineStr">
        <is>
          <t>US CL Pillowcases</t>
        </is>
      </c>
      <c r="B24" s="49" t="inlineStr">
        <is>
          <t>US</t>
        </is>
      </c>
      <c r="C24" s="49">
        <f>COUNTIFS($A$34:$A$1350,A24,$B$34:$B$1350,B24,$G$34:$G$1350,"&gt;0")</f>
        <v/>
      </c>
      <c r="D24" s="49">
        <f>SUMIFS($Q$34:$Q$1350,$A$34:$A$1350,A24,$B$34:$B$1350,B24)</f>
        <v/>
      </c>
      <c r="E24" s="50">
        <f>SUMIFS($T$34:$T$1350,$A$34:$A$1350,A24,$B$34:$B$1350,B24)</f>
        <v/>
      </c>
      <c r="F24" s="164">
        <f>IF(E24=0,"",SUMIFS($S$34:$S$1350,$A$34:$A$1350,A24,$B$34:$B$1350,B24)/E24)</f>
        <v/>
      </c>
      <c r="G24" s="164">
        <f>IF(E24=0,"",SUMIFS($R$34:$R$1350,$A$34:$A$1350,A24,$B$34:$B$1350,B24)/E24)</f>
        <v/>
      </c>
      <c r="H24" s="164">
        <f>IF(E24=0,"",G24-F24)</f>
        <v/>
      </c>
      <c r="I24" s="165">
        <f>IF(E24=0,"",G24/F24-1)</f>
        <v/>
      </c>
      <c r="J24" s="49">
        <f>COUNTIFS($A$34:$A$1350,A24,$B$34:$B$1350,B24,$Q$34:$Q$1350,1,$N$34:$N$1350,"&lt;0")</f>
        <v/>
      </c>
      <c r="K24" s="49">
        <f>COUNTIFS($A$34:$A$1350,A24,$B$34:$B$1350,B24,$Q$34:$Q$1350,1,$N$34:$N$1350,"&gt;0")</f>
        <v/>
      </c>
      <c r="L24" s="49" t="n"/>
      <c r="M24" s="49" t="n"/>
      <c r="N24" s="164" t="n"/>
      <c r="O24" s="164" t="n"/>
      <c r="P24" s="165" t="n"/>
    </row>
    <row r="25">
      <c r="A25" s="49" t="inlineStr">
        <is>
          <t>US SL Cooling Pillowcase</t>
        </is>
      </c>
      <c r="B25" s="49" t="inlineStr">
        <is>
          <t>US</t>
        </is>
      </c>
      <c r="C25" s="49">
        <f>COUNTIFS($A$34:$A$1350,A25,$B$34:$B$1350,B25,$G$34:$G$1350,"&gt;0")</f>
        <v/>
      </c>
      <c r="D25" s="49">
        <f>SUMIFS($Q$34:$Q$1350,$A$34:$A$1350,A25,$B$34:$B$1350,B25)</f>
        <v/>
      </c>
      <c r="E25" s="50">
        <f>SUMIFS($T$34:$T$1350,$A$34:$A$1350,A25,$B$34:$B$1350,B25)</f>
        <v/>
      </c>
      <c r="F25" s="164">
        <f>IF(E25=0,"",SUMIFS($S$34:$S$1350,$A$34:$A$1350,A25,$B$34:$B$1350,B25)/E25)</f>
        <v/>
      </c>
      <c r="G25" s="164">
        <f>IF(E25=0,"",SUMIFS($R$34:$R$1350,$A$34:$A$1350,A25,$B$34:$B$1350,B25)/E25)</f>
        <v/>
      </c>
      <c r="H25" s="164">
        <f>IF(E25=0,"",G25-F25)</f>
        <v/>
      </c>
      <c r="I25" s="165">
        <f>IF(E25=0,"",G25/F25-1)</f>
        <v/>
      </c>
      <c r="J25" s="49">
        <f>COUNTIFS($A$34:$A$1350,A25,$B$34:$B$1350,B25,$Q$34:$Q$1350,1,$N$34:$N$1350,"&lt;0")</f>
        <v/>
      </c>
      <c r="K25" s="49">
        <f>COUNTIFS($A$34:$A$1350,A25,$B$34:$B$1350,B25,$Q$34:$Q$1350,1,$N$34:$N$1350,"&gt;0")</f>
        <v/>
      </c>
      <c r="L25" s="49" t="inlineStr">
        <is>
          <t>Queen Blue</t>
        </is>
      </c>
      <c r="M25" s="49" t="inlineStr">
        <is>
          <t>B0F7LJS3N2</t>
        </is>
      </c>
      <c r="N25" s="164">
        <f>IF(M25="","",SUMIFS($J$34:$J$1350,$A$34:$A$1350,A25,$B$34:$B$1350,B25,$C$34:$C$1350,M25))</f>
        <v/>
      </c>
      <c r="O25" s="164">
        <f>IF(M25="","",SUMIFS($L$34:$L$1350,$A$34:$A$1350,A25,$B$34:$B$1350,B25,$C$34:$C$1350,M25))</f>
        <v/>
      </c>
      <c r="P25" s="165">
        <f>IF(OR(N25="",N25=0,O25=""),"",O25/N25-1)</f>
        <v/>
      </c>
    </row>
    <row r="26">
      <c r="A26" s="49" t="inlineStr">
        <is>
          <t>US SL Cooling Comforter</t>
        </is>
      </c>
      <c r="B26" s="49" t="inlineStr">
        <is>
          <t>US</t>
        </is>
      </c>
      <c r="C26" s="49">
        <f>COUNTIFS($A$34:$A$1350,A26,$B$34:$B$1350,B26,$G$34:$G$1350,"&gt;0")</f>
        <v/>
      </c>
      <c r="D26" s="49">
        <f>SUMIFS($Q$34:$Q$1350,$A$34:$A$1350,A26,$B$34:$B$1350,B26)</f>
        <v/>
      </c>
      <c r="E26" s="50">
        <f>SUMIFS($T$34:$T$1350,$A$34:$A$1350,A26,$B$34:$B$1350,B26)</f>
        <v/>
      </c>
      <c r="F26" s="164">
        <f>IF(E26=0,"",SUMIFS($S$34:$S$1350,$A$34:$A$1350,A26,$B$34:$B$1350,B26)/E26)</f>
        <v/>
      </c>
      <c r="G26" s="164">
        <f>IF(E26=0,"",SUMIFS($R$34:$R$1350,$A$34:$A$1350,A26,$B$34:$B$1350,B26)/E26)</f>
        <v/>
      </c>
      <c r="H26" s="164">
        <f>IF(E26=0,"",G26-F26)</f>
        <v/>
      </c>
      <c r="I26" s="165">
        <f>IF(E26=0,"",G26/F26-1)</f>
        <v/>
      </c>
      <c r="J26" s="49">
        <f>COUNTIFS($A$34:$A$1350,A26,$B$34:$B$1350,B26,$Q$34:$Q$1350,1,$N$34:$N$1350,"&lt;0")</f>
        <v/>
      </c>
      <c r="K26" s="49">
        <f>COUNTIFS($A$34:$A$1350,A26,$B$34:$B$1350,B26,$Q$34:$Q$1350,1,$N$34:$N$1350,"&gt;0")</f>
        <v/>
      </c>
      <c r="L26" s="49" t="inlineStr">
        <is>
          <t>King Light Grey &amp; Dark Grey</t>
        </is>
      </c>
      <c r="M26" s="49" t="inlineStr">
        <is>
          <t>B0F7M4Q2HQ</t>
        </is>
      </c>
      <c r="N26" s="164">
        <f>IF(M26="","",SUMIFS($J$34:$J$1350,$A$34:$A$1350,A26,$B$34:$B$1350,B26,$C$34:$C$1350,M26))</f>
        <v/>
      </c>
      <c r="O26" s="164">
        <f>IF(M26="","",SUMIFS($L$34:$L$1350,$A$34:$A$1350,A26,$B$34:$B$1350,B26,$C$34:$C$1350,M26))</f>
        <v/>
      </c>
      <c r="P26" s="165">
        <f>IF(OR(N26="",N26=0,O26=""),"",O26/N26-1)</f>
        <v/>
      </c>
    </row>
    <row r="27">
      <c r="A27" s="49" t="inlineStr">
        <is>
          <t>US SL Cooling Fitted</t>
        </is>
      </c>
      <c r="B27" s="49" t="inlineStr">
        <is>
          <t>US</t>
        </is>
      </c>
      <c r="C27" s="49">
        <f>COUNTIFS($A$34:$A$1350,A27,$B$34:$B$1350,B27,$G$34:$G$1350,"&gt;0")</f>
        <v/>
      </c>
      <c r="D27" s="49">
        <f>SUMIFS($Q$34:$Q$1350,$A$34:$A$1350,A27,$B$34:$B$1350,B27)</f>
        <v/>
      </c>
      <c r="E27" s="50">
        <f>SUMIFS($T$34:$T$1350,$A$34:$A$1350,A27,$B$34:$B$1350,B27)</f>
        <v/>
      </c>
      <c r="F27" s="164">
        <f>IF(E27=0,"",SUMIFS($S$34:$S$1350,$A$34:$A$1350,A27,$B$34:$B$1350,B27)/E27)</f>
        <v/>
      </c>
      <c r="G27" s="164">
        <f>IF(E27=0,"",SUMIFS($R$34:$R$1350,$A$34:$A$1350,A27,$B$34:$B$1350,B27)/E27)</f>
        <v/>
      </c>
      <c r="H27" s="164">
        <f>IF(E27=0,"",G27-F27)</f>
        <v/>
      </c>
      <c r="I27" s="165">
        <f>IF(E27=0,"",G27/F27-1)</f>
        <v/>
      </c>
      <c r="J27" s="49">
        <f>COUNTIFS($A$34:$A$1350,A27,$B$34:$B$1350,B27,$Q$34:$Q$1350,1,$N$34:$N$1350,"&lt;0")</f>
        <v/>
      </c>
      <c r="K27" s="49">
        <f>COUNTIFS($A$34:$A$1350,A27,$B$34:$B$1350,B27,$Q$34:$Q$1350,1,$N$34:$N$1350,"&gt;0")</f>
        <v/>
      </c>
      <c r="L27" s="49" t="inlineStr">
        <is>
          <t>King White</t>
        </is>
      </c>
      <c r="M27" s="49" t="inlineStr">
        <is>
          <t>B0F7M3YQ5R</t>
        </is>
      </c>
      <c r="N27" s="164">
        <f>IF(M27="","",SUMIFS($J$34:$J$1350,$A$34:$A$1350,A27,$B$34:$B$1350,B27,$C$34:$C$1350,M27))</f>
        <v/>
      </c>
      <c r="O27" s="164">
        <f>IF(M27="","",SUMIFS($L$34:$L$1350,$A$34:$A$1350,A27,$B$34:$B$1350,B27,$C$34:$C$1350,M27))</f>
        <v/>
      </c>
      <c r="P27" s="165">
        <f>IF(OR(N27="",N27=0,O27=""),"",O27/N27-1)</f>
        <v/>
      </c>
    </row>
    <row r="28">
      <c r="A28" s="49" t="inlineStr">
        <is>
          <t>US SL Quilt Set</t>
        </is>
      </c>
      <c r="B28" s="49" t="inlineStr">
        <is>
          <t>US</t>
        </is>
      </c>
      <c r="C28" s="49">
        <f>COUNTIFS($A$34:$A$1350,A28,$B$34:$B$1350,B28,$G$34:$G$1350,"&gt;0")</f>
        <v/>
      </c>
      <c r="D28" s="49">
        <f>SUMIFS($Q$34:$Q$1350,$A$34:$A$1350,A28,$B$34:$B$1350,B28)</f>
        <v/>
      </c>
      <c r="E28" s="50">
        <f>SUMIFS($T$34:$T$1350,$A$34:$A$1350,A28,$B$34:$B$1350,B28)</f>
        <v/>
      </c>
      <c r="F28" s="164">
        <f>IF(E28=0,"",SUMIFS($S$34:$S$1350,$A$34:$A$1350,A28,$B$34:$B$1350,B28)/E28)</f>
        <v/>
      </c>
      <c r="G28" s="164">
        <f>IF(E28=0,"",SUMIFS($R$34:$R$1350,$A$34:$A$1350,A28,$B$34:$B$1350,B28)/E28)</f>
        <v/>
      </c>
      <c r="H28" s="164">
        <f>IF(E28=0,"",G28-F28)</f>
        <v/>
      </c>
      <c r="I28" s="165">
        <f>IF(E28=0,"",G28/F28-1)</f>
        <v/>
      </c>
      <c r="J28" s="49">
        <f>COUNTIFS($A$34:$A$1350,A28,$B$34:$B$1350,B28,$Q$34:$Q$1350,1,$N$34:$N$1350,"&lt;0")</f>
        <v/>
      </c>
      <c r="K28" s="49">
        <f>COUNTIFS($A$34:$A$1350,A28,$B$34:$B$1350,B28,$Q$34:$Q$1350,1,$N$34:$N$1350,"&gt;0")</f>
        <v/>
      </c>
      <c r="L28" s="49" t="n"/>
      <c r="M28" s="49" t="n"/>
      <c r="N28" s="164" t="n"/>
      <c r="O28" s="164" t="n"/>
      <c r="P28" s="165" t="n"/>
    </row>
    <row r="29">
      <c r="A29" s="49" t="inlineStr">
        <is>
          <t>US DC Linen Curtains</t>
        </is>
      </c>
      <c r="B29" s="49" t="inlineStr">
        <is>
          <t>US</t>
        </is>
      </c>
      <c r="C29" s="49">
        <f>COUNTIFS($A$34:$A$1350,A29,$B$34:$B$1350,B29,$G$34:$G$1350,"&gt;0")</f>
        <v/>
      </c>
      <c r="D29" s="49">
        <f>SUMIFS($Q$34:$Q$1350,$A$34:$A$1350,A29,$B$34:$B$1350,B29)</f>
        <v/>
      </c>
      <c r="E29" s="50">
        <f>SUMIFS($T$34:$T$1350,$A$34:$A$1350,A29,$B$34:$B$1350,B29)</f>
        <v/>
      </c>
      <c r="F29" s="164">
        <f>IF(E29=0,"",SUMIFS($S$34:$S$1350,$A$34:$A$1350,A29,$B$34:$B$1350,B29)/E29)</f>
        <v/>
      </c>
      <c r="G29" s="164">
        <f>IF(E29=0,"",SUMIFS($R$34:$R$1350,$A$34:$A$1350,A29,$B$34:$B$1350,B29)/E29)</f>
        <v/>
      </c>
      <c r="H29" s="164">
        <f>IF(E29=0,"",G29-F29)</f>
        <v/>
      </c>
      <c r="I29" s="165">
        <f>IF(E29=0,"",G29/F29-1)</f>
        <v/>
      </c>
      <c r="J29" s="49">
        <f>COUNTIFS($A$34:$A$1350,A29,$B$34:$B$1350,B29,$Q$34:$Q$1350,1,$N$34:$N$1350,"&lt;0")</f>
        <v/>
      </c>
      <c r="K29" s="49">
        <f>COUNTIFS($A$34:$A$1350,A29,$B$34:$B$1350,B29,$Q$34:$Q$1350,1,$N$34:$N$1350,"&gt;0")</f>
        <v/>
      </c>
      <c r="L29" s="49" t="n"/>
      <c r="M29" s="49" t="n"/>
      <c r="N29" s="164" t="n"/>
      <c r="O29" s="164" t="n"/>
      <c r="P29" s="165" t="n"/>
    </row>
    <row r="30">
      <c r="A30" s="49" t="inlineStr">
        <is>
          <t>US DC Chair Cover</t>
        </is>
      </c>
      <c r="B30" s="49" t="inlineStr">
        <is>
          <t>US</t>
        </is>
      </c>
      <c r="C30" s="49">
        <f>COUNTIFS($A$34:$A$1350,A30,$B$34:$B$1350,B30,$G$34:$G$1350,"&gt;0")</f>
        <v/>
      </c>
      <c r="D30" s="49">
        <f>SUMIFS($Q$34:$Q$1350,$A$34:$A$1350,A30,$B$34:$B$1350,B30)</f>
        <v/>
      </c>
      <c r="E30" s="50">
        <f>SUMIFS($T$34:$T$1350,$A$34:$A$1350,A30,$B$34:$B$1350,B30)</f>
        <v/>
      </c>
      <c r="F30" s="164">
        <f>IF(E30=0,"",SUMIFS($S$34:$S$1350,$A$34:$A$1350,A30,$B$34:$B$1350,B30)/E30)</f>
        <v/>
      </c>
      <c r="G30" s="164">
        <f>IF(E30=0,"",SUMIFS($R$34:$R$1350,$A$34:$A$1350,A30,$B$34:$B$1350,B30)/E30)</f>
        <v/>
      </c>
      <c r="H30" s="164">
        <f>IF(E30=0,"",G30-F30)</f>
        <v/>
      </c>
      <c r="I30" s="165">
        <f>IF(E30=0,"",G30/F30-1)</f>
        <v/>
      </c>
      <c r="J30" s="49">
        <f>COUNTIFS($A$34:$A$1350,A30,$B$34:$B$1350,B30,$Q$34:$Q$1350,1,$N$34:$N$1350,"&lt;0")</f>
        <v/>
      </c>
      <c r="K30" s="49">
        <f>COUNTIFS($A$34:$A$1350,A30,$B$34:$B$1350,B30,$Q$34:$Q$1350,1,$N$34:$N$1350,"&gt;0")</f>
        <v/>
      </c>
      <c r="L30" s="49" t="inlineStr">
        <is>
          <t>Pack of 4 Black</t>
        </is>
      </c>
      <c r="M30" s="49" t="inlineStr">
        <is>
          <t>B0CY6MJBWN</t>
        </is>
      </c>
      <c r="N30" s="164">
        <f>IF(M30="","",SUMIFS($J$34:$J$1350,$A$34:$A$1350,A30,$B$34:$B$1350,B30,$C$34:$C$1350,M30))</f>
        <v/>
      </c>
      <c r="O30" s="164">
        <f>IF(M30="","",SUMIFS($L$34:$L$1350,$A$34:$A$1350,A30,$B$34:$B$1350,B30,$C$34:$C$1350,M30))</f>
        <v/>
      </c>
      <c r="P30" s="165">
        <f>IF(OR(N30="",N30=0,O30=""),"",O30/N30-1)</f>
        <v/>
      </c>
    </row>
    <row r="31"/>
    <row r="32">
      <c r="A32" s="53" t="inlineStr">
        <is>
          <t>Every variation sold in BFCM 2025 or with a BFCM 2026 deal price (sorted by BFCM 2025 units within each product)</t>
        </is>
      </c>
    </row>
    <row r="33" ht="48" customHeight="1">
      <c r="A33" s="26" t="inlineStr">
        <is>
          <t>Product tab</t>
        </is>
      </c>
      <c r="B33" s="26" t="inlineStr">
        <is>
          <t>Mkt</t>
        </is>
      </c>
      <c r="C33" s="26" t="inlineStr">
        <is>
          <t>Child ASIN</t>
        </is>
      </c>
      <c r="D33" s="26" t="inlineStr">
        <is>
          <t>SKU</t>
        </is>
      </c>
      <c r="E33" s="26" t="inlineStr">
        <is>
          <t>Size</t>
        </is>
      </c>
      <c r="F33" s="26" t="inlineStr">
        <is>
          <t>Colour</t>
        </is>
      </c>
      <c r="G33" s="26" t="inlineStr">
        <is>
          <t>BFCM 2025 units</t>
        </is>
      </c>
      <c r="H33" s="26" t="inlineStr">
        <is>
          <t>BFCM 2025 sales (US$; CA converted in col U)</t>
        </is>
      </c>
      <c r="I33" s="26" t="inlineStr">
        <is>
          <t>BFCM 2025 promotions (US$)</t>
        </is>
      </c>
      <c r="J33" s="26" t="inlineStr">
        <is>
          <t>BFCM 2025 avg price paid</t>
        </is>
      </c>
      <c r="K33" s="26" t="inlineStr">
        <is>
          <t>2026 price (Oct 27)</t>
        </is>
      </c>
      <c r="L33" s="26" t="inlineStr">
        <is>
          <t>BFCM 2026 deal price</t>
        </is>
      </c>
      <c r="M33" s="26" t="inlineStr">
        <is>
          <t>BFCM 2026 deal status</t>
        </is>
      </c>
      <c r="N33" s="26" t="inlineStr">
        <is>
          <t>Deal vs 2025 paid ($)</t>
        </is>
      </c>
      <c r="O33" s="26" t="inlineStr">
        <is>
          <t>Deal vs 2025 paid (%)</t>
        </is>
      </c>
      <c r="P33" s="26" t="inlineStr">
        <is>
          <t>2026 price vs 2025 paid (%)</t>
        </is>
      </c>
      <c r="Q33" s="26" t="inlineStr">
        <is>
          <t>In comparison (sold in 2025 and has a 2026 deal price)</t>
        </is>
      </c>
      <c r="R33" s="26" t="inlineStr">
        <is>
          <t>Units x deal</t>
        </is>
      </c>
      <c r="S33" s="26" t="inlineStr">
        <is>
          <t>Paid, compared rows</t>
        </is>
      </c>
      <c r="T33" s="26" t="inlineStr">
        <is>
          <t>Units, compared rows</t>
        </is>
      </c>
      <c r="U33" s="26" t="inlineStr">
        <is>
          <t>x to market currency (US 1; CA US$ to C$)</t>
        </is>
      </c>
    </row>
    <row r="34">
      <c r="A34" s="54" t="inlineStr">
        <is>
          <t>US DC B4</t>
        </is>
      </c>
      <c r="B34" s="54" t="inlineStr">
        <is>
          <t>US</t>
        </is>
      </c>
      <c r="C34" s="54" t="inlineStr">
        <is>
          <t>B0BZQ18QJB</t>
        </is>
      </c>
      <c r="D34" s="54" t="inlineStr">
        <is>
          <t>BAMBOO-QUEEN-MIDGREY</t>
        </is>
      </c>
      <c r="E34" s="54" t="inlineStr">
        <is>
          <t>Queen</t>
        </is>
      </c>
      <c r="F34" s="54" t="inlineStr">
        <is>
          <t>Midgrey</t>
        </is>
      </c>
      <c r="G34" s="55" t="n">
        <v>480</v>
      </c>
      <c r="H34" s="167" t="n">
        <v>22080</v>
      </c>
      <c r="I34" s="167" t="n">
        <v>0</v>
      </c>
      <c r="J34" s="168">
        <f>IF(AND(N(G34)&gt;0,N(H34)+N(I34)&gt;0),(H34+I34)*U34/G34,"")</f>
        <v/>
      </c>
      <c r="K34" s="167" t="n">
        <v>89.98999999999999</v>
      </c>
      <c r="L34" s="167" t="n">
        <v>67.68000000000001</v>
      </c>
      <c r="M34" s="54" t="inlineStr">
        <is>
          <t>Eligible</t>
        </is>
      </c>
      <c r="N34" s="168">
        <f>IF(OR(J34="",L34=""),"",L34-J34)</f>
        <v/>
      </c>
      <c r="O34" s="169">
        <f>IF(OR(J34="",L34=""),"",L34/J34-1)</f>
        <v/>
      </c>
      <c r="P34" s="169">
        <f>IF(OR(J34="",K34=""),"",K34/J34-1)</f>
        <v/>
      </c>
      <c r="Q34" s="54">
        <f>IF(AND(ISNUMBER(J34),ISNUMBER(L34)),1,0)</f>
        <v/>
      </c>
      <c r="R34" s="69">
        <f>IF(Q34=1,G34*L34,0)</f>
        <v/>
      </c>
      <c r="S34" s="69">
        <f>IF(Q34=1,(H34+I34)*U34,0)</f>
        <v/>
      </c>
      <c r="T34" s="59">
        <f>IF(Q34=1,G34,0)</f>
        <v/>
      </c>
      <c r="U34" s="170" t="n">
        <v>1</v>
      </c>
    </row>
    <row r="35">
      <c r="A35" s="54" t="inlineStr">
        <is>
          <t>US DC B4</t>
        </is>
      </c>
      <c r="B35" s="54" t="inlineStr">
        <is>
          <t>US</t>
        </is>
      </c>
      <c r="C35" s="54" t="inlineStr">
        <is>
          <t>B08KQJGM74</t>
        </is>
      </c>
      <c r="D35" s="54" t="inlineStr">
        <is>
          <t>BAMBOO-QUEEN-WHITE</t>
        </is>
      </c>
      <c r="E35" s="54" t="inlineStr">
        <is>
          <t>Queen</t>
        </is>
      </c>
      <c r="F35" s="54" t="inlineStr">
        <is>
          <t>White</t>
        </is>
      </c>
      <c r="G35" s="55" t="n">
        <v>475</v>
      </c>
      <c r="H35" s="167" t="n">
        <v>31582.75</v>
      </c>
      <c r="I35" s="167" t="n">
        <v>0</v>
      </c>
      <c r="J35" s="168">
        <f>IF(AND(N(G35)&gt;0,N(H35)+N(I35)&gt;0),(H35+I35)*U35/G35,"")</f>
        <v/>
      </c>
      <c r="K35" s="167" t="n">
        <v>84.98999999999999</v>
      </c>
      <c r="L35" s="167" t="n">
        <v>67.68000000000001</v>
      </c>
      <c r="M35" s="54" t="inlineStr">
        <is>
          <t>Eligible</t>
        </is>
      </c>
      <c r="N35" s="168">
        <f>IF(OR(J35="",L35=""),"",L35-J35)</f>
        <v/>
      </c>
      <c r="O35" s="169">
        <f>IF(OR(J35="",L35=""),"",L35/J35-1)</f>
        <v/>
      </c>
      <c r="P35" s="169">
        <f>IF(OR(J35="",K35=""),"",K35/J35-1)</f>
        <v/>
      </c>
      <c r="Q35" s="54">
        <f>IF(AND(ISNUMBER(J35),ISNUMBER(L35)),1,0)</f>
        <v/>
      </c>
      <c r="R35" s="69">
        <f>IF(Q35=1,G35*L35,0)</f>
        <v/>
      </c>
      <c r="S35" s="69">
        <f>IF(Q35=1,(H35+I35)*U35,0)</f>
        <v/>
      </c>
      <c r="T35" s="59">
        <f>IF(Q35=1,G35,0)</f>
        <v/>
      </c>
      <c r="U35" s="170" t="n">
        <v>1</v>
      </c>
    </row>
    <row r="36">
      <c r="A36" s="54" t="inlineStr">
        <is>
          <t>US DC B4</t>
        </is>
      </c>
      <c r="B36" s="54" t="inlineStr">
        <is>
          <t>US</t>
        </is>
      </c>
      <c r="C36" s="54" t="inlineStr">
        <is>
          <t>B08KQHRDDG</t>
        </is>
      </c>
      <c r="D36" s="54" t="inlineStr">
        <is>
          <t>BAMBOO-KING-WHITE</t>
        </is>
      </c>
      <c r="E36" s="54" t="inlineStr">
        <is>
          <t>King</t>
        </is>
      </c>
      <c r="F36" s="54" t="inlineStr">
        <is>
          <t>White</t>
        </is>
      </c>
      <c r="G36" s="55" t="n">
        <v>462</v>
      </c>
      <c r="H36" s="167" t="n">
        <v>32841.64</v>
      </c>
      <c r="I36" s="167" t="n">
        <v>0</v>
      </c>
      <c r="J36" s="168">
        <f>IF(AND(N(G36)&gt;0,N(H36)+N(I36)&gt;0),(H36+I36)*U36/G36,"")</f>
        <v/>
      </c>
      <c r="K36" s="167" t="n">
        <v>89.98999999999999</v>
      </c>
      <c r="L36" s="167" t="n">
        <v>72.19</v>
      </c>
      <c r="M36" s="54" t="inlineStr">
        <is>
          <t>Eligible</t>
        </is>
      </c>
      <c r="N36" s="168">
        <f>IF(OR(J36="",L36=""),"",L36-J36)</f>
        <v/>
      </c>
      <c r="O36" s="169">
        <f>IF(OR(J36="",L36=""),"",L36/J36-1)</f>
        <v/>
      </c>
      <c r="P36" s="169">
        <f>IF(OR(J36="",K36=""),"",K36/J36-1)</f>
        <v/>
      </c>
      <c r="Q36" s="54">
        <f>IF(AND(ISNUMBER(J36),ISNUMBER(L36)),1,0)</f>
        <v/>
      </c>
      <c r="R36" s="69">
        <f>IF(Q36=1,G36*L36,0)</f>
        <v/>
      </c>
      <c r="S36" s="69">
        <f>IF(Q36=1,(H36+I36)*U36,0)</f>
        <v/>
      </c>
      <c r="T36" s="59">
        <f>IF(Q36=1,G36,0)</f>
        <v/>
      </c>
      <c r="U36" s="170" t="n">
        <v>1</v>
      </c>
    </row>
    <row r="37">
      <c r="A37" s="54" t="inlineStr">
        <is>
          <t>US DC B4</t>
        </is>
      </c>
      <c r="B37" s="54" t="inlineStr">
        <is>
          <t>US</t>
        </is>
      </c>
      <c r="C37" s="54" t="inlineStr">
        <is>
          <t>B08KQJMZ8Q</t>
        </is>
      </c>
      <c r="D37" s="54" t="inlineStr">
        <is>
          <t>BAMBOO-QUEEN-TAUPE</t>
        </is>
      </c>
      <c r="E37" s="54" t="inlineStr">
        <is>
          <t>Queen</t>
        </is>
      </c>
      <c r="F37" s="54" t="inlineStr">
        <is>
          <t>Taupe</t>
        </is>
      </c>
      <c r="G37" s="55" t="n">
        <v>253</v>
      </c>
      <c r="H37" s="167" t="n">
        <v>16793.98</v>
      </c>
      <c r="I37" s="167" t="n">
        <v>0</v>
      </c>
      <c r="J37" s="168">
        <f>IF(AND(N(G37)&gt;0,N(H37)+N(I37)&gt;0),(H37+I37)*U37/G37,"")</f>
        <v/>
      </c>
      <c r="K37" s="167" t="n">
        <v>89.98999999999999</v>
      </c>
      <c r="L37" s="167" t="n">
        <v>71.23</v>
      </c>
      <c r="M37" s="54" t="inlineStr">
        <is>
          <t>Eligible</t>
        </is>
      </c>
      <c r="N37" s="168">
        <f>IF(OR(J37="",L37=""),"",L37-J37)</f>
        <v/>
      </c>
      <c r="O37" s="169">
        <f>IF(OR(J37="",L37=""),"",L37/J37-1)</f>
        <v/>
      </c>
      <c r="P37" s="169">
        <f>IF(OR(J37="",K37=""),"",K37/J37-1)</f>
        <v/>
      </c>
      <c r="Q37" s="54">
        <f>IF(AND(ISNUMBER(J37),ISNUMBER(L37)),1,0)</f>
        <v/>
      </c>
      <c r="R37" s="69">
        <f>IF(Q37=1,G37*L37,0)</f>
        <v/>
      </c>
      <c r="S37" s="69">
        <f>IF(Q37=1,(H37+I37)*U37,0)</f>
        <v/>
      </c>
      <c r="T37" s="59">
        <f>IF(Q37=1,G37,0)</f>
        <v/>
      </c>
      <c r="U37" s="170" t="n">
        <v>1</v>
      </c>
    </row>
    <row r="38">
      <c r="A38" s="54" t="inlineStr">
        <is>
          <t>US DC B4</t>
        </is>
      </c>
      <c r="B38" s="54" t="inlineStr">
        <is>
          <t>US</t>
        </is>
      </c>
      <c r="C38" s="54" t="inlineStr">
        <is>
          <t>B08KQJ61T7</t>
        </is>
      </c>
      <c r="D38" s="54" t="inlineStr">
        <is>
          <t>BAMBOO-KING-TAUPE</t>
        </is>
      </c>
      <c r="E38" s="54" t="inlineStr">
        <is>
          <t>King</t>
        </is>
      </c>
      <c r="F38" s="54" t="inlineStr">
        <is>
          <t>Taupe</t>
        </is>
      </c>
      <c r="G38" s="55" t="n">
        <v>189</v>
      </c>
      <c r="H38" s="167" t="n">
        <v>13803.11</v>
      </c>
      <c r="I38" s="167" t="n">
        <v>0</v>
      </c>
      <c r="J38" s="168">
        <f>IF(AND(N(G38)&gt;0,N(H38)+N(I38)&gt;0),(H38+I38)*U38/G38,"")</f>
        <v/>
      </c>
      <c r="K38" s="167" t="n">
        <v>94.98999999999999</v>
      </c>
      <c r="L38" s="167" t="n">
        <v>79.98999999999999</v>
      </c>
      <c r="M38" s="54" t="inlineStr">
        <is>
          <t>Eligible</t>
        </is>
      </c>
      <c r="N38" s="168">
        <f>IF(OR(J38="",L38=""),"",L38-J38)</f>
        <v/>
      </c>
      <c r="O38" s="169">
        <f>IF(OR(J38="",L38=""),"",L38/J38-1)</f>
        <v/>
      </c>
      <c r="P38" s="169">
        <f>IF(OR(J38="",K38=""),"",K38/J38-1)</f>
        <v/>
      </c>
      <c r="Q38" s="54">
        <f>IF(AND(ISNUMBER(J38),ISNUMBER(L38)),1,0)</f>
        <v/>
      </c>
      <c r="R38" s="69">
        <f>IF(Q38=1,G38*L38,0)</f>
        <v/>
      </c>
      <c r="S38" s="69">
        <f>IF(Q38=1,(H38+I38)*U38,0)</f>
        <v/>
      </c>
      <c r="T38" s="59">
        <f>IF(Q38=1,G38,0)</f>
        <v/>
      </c>
      <c r="U38" s="170" t="n">
        <v>1</v>
      </c>
    </row>
    <row r="39">
      <c r="A39" s="54" t="inlineStr">
        <is>
          <t>US DC B4</t>
        </is>
      </c>
      <c r="B39" s="54" t="inlineStr">
        <is>
          <t>US</t>
        </is>
      </c>
      <c r="C39" s="54" t="inlineStr">
        <is>
          <t>B08KQJ3M9N</t>
        </is>
      </c>
      <c r="D39" s="54" t="inlineStr">
        <is>
          <t>BAMBOO-KING-LIGHTGREY</t>
        </is>
      </c>
      <c r="E39" s="54" t="inlineStr">
        <is>
          <t>King</t>
        </is>
      </c>
      <c r="F39" s="54" t="inlineStr">
        <is>
          <t>Light Grey</t>
        </is>
      </c>
      <c r="G39" s="55" t="n">
        <v>175</v>
      </c>
      <c r="H39" s="167" t="n">
        <v>12467</v>
      </c>
      <c r="I39" s="167" t="n">
        <v>0</v>
      </c>
      <c r="J39" s="168">
        <f>IF(AND(N(G39)&gt;0,N(H39)+N(I39)&gt;0),(H39+I39)*U39/G39,"")</f>
        <v/>
      </c>
      <c r="K39" s="167" t="n">
        <v>94.98999999999999</v>
      </c>
      <c r="L39" s="167" t="n">
        <v>67.68000000000001</v>
      </c>
      <c r="M39" s="54" t="inlineStr">
        <is>
          <t>Eligible</t>
        </is>
      </c>
      <c r="N39" s="168">
        <f>IF(OR(J39="",L39=""),"",L39-J39)</f>
        <v/>
      </c>
      <c r="O39" s="169">
        <f>IF(OR(J39="",L39=""),"",L39/J39-1)</f>
        <v/>
      </c>
      <c r="P39" s="169">
        <f>IF(OR(J39="",K39=""),"",K39/J39-1)</f>
        <v/>
      </c>
      <c r="Q39" s="54">
        <f>IF(AND(ISNUMBER(J39),ISNUMBER(L39)),1,0)</f>
        <v/>
      </c>
      <c r="R39" s="69">
        <f>IF(Q39=1,G39*L39,0)</f>
        <v/>
      </c>
      <c r="S39" s="69">
        <f>IF(Q39=1,(H39+I39)*U39,0)</f>
        <v/>
      </c>
      <c r="T39" s="59">
        <f>IF(Q39=1,G39,0)</f>
        <v/>
      </c>
      <c r="U39" s="170" t="n">
        <v>1</v>
      </c>
    </row>
    <row r="40">
      <c r="A40" s="54" t="inlineStr">
        <is>
          <t>US DC B4</t>
        </is>
      </c>
      <c r="B40" s="54" t="inlineStr">
        <is>
          <t>US</t>
        </is>
      </c>
      <c r="C40" s="54" t="inlineStr">
        <is>
          <t>B08KQK91X7</t>
        </is>
      </c>
      <c r="D40" s="54" t="inlineStr">
        <is>
          <t>BAMBOO-QUEEN-CREME</t>
        </is>
      </c>
      <c r="E40" s="54" t="inlineStr">
        <is>
          <t>Queen</t>
        </is>
      </c>
      <c r="F40" s="54" t="inlineStr">
        <is>
          <t>Creme</t>
        </is>
      </c>
      <c r="G40" s="55" t="n">
        <v>159</v>
      </c>
      <c r="H40" s="167" t="n">
        <v>10571.91</v>
      </c>
      <c r="I40" s="167" t="n">
        <v>0</v>
      </c>
      <c r="J40" s="168">
        <f>IF(AND(N(G40)&gt;0,N(H40)+N(I40)&gt;0),(H40+I40)*U40/G40,"")</f>
        <v/>
      </c>
      <c r="K40" s="167" t="n">
        <v>89.98999999999999</v>
      </c>
      <c r="L40" s="167" t="n">
        <v>66.48999999999999</v>
      </c>
      <c r="M40" s="54" t="inlineStr">
        <is>
          <t>Eligible</t>
        </is>
      </c>
      <c r="N40" s="168">
        <f>IF(OR(J40="",L40=""),"",L40-J40)</f>
        <v/>
      </c>
      <c r="O40" s="169">
        <f>IF(OR(J40="",L40=""),"",L40/J40-1)</f>
        <v/>
      </c>
      <c r="P40" s="169">
        <f>IF(OR(J40="",K40=""),"",K40/J40-1)</f>
        <v/>
      </c>
      <c r="Q40" s="54">
        <f>IF(AND(ISNUMBER(J40),ISNUMBER(L40)),1,0)</f>
        <v/>
      </c>
      <c r="R40" s="69">
        <f>IF(Q40=1,G40*L40,0)</f>
        <v/>
      </c>
      <c r="S40" s="69">
        <f>IF(Q40=1,(H40+I40)*U40,0)</f>
        <v/>
      </c>
      <c r="T40" s="59">
        <f>IF(Q40=1,G40,0)</f>
        <v/>
      </c>
      <c r="U40" s="170" t="n">
        <v>1</v>
      </c>
    </row>
    <row r="41">
      <c r="A41" s="54" t="inlineStr">
        <is>
          <t>US DC B4</t>
        </is>
      </c>
      <c r="B41" s="54" t="inlineStr">
        <is>
          <t>US</t>
        </is>
      </c>
      <c r="C41" s="54" t="inlineStr">
        <is>
          <t>B08KQK9WCY</t>
        </is>
      </c>
      <c r="D41" s="54" t="inlineStr">
        <is>
          <t>BAMBOO-KING-NAVYBLUE</t>
        </is>
      </c>
      <c r="E41" s="54" t="inlineStr">
        <is>
          <t>King</t>
        </is>
      </c>
      <c r="F41" s="54" t="inlineStr">
        <is>
          <t>Navy Blue</t>
        </is>
      </c>
      <c r="G41" s="55" t="n">
        <v>145</v>
      </c>
      <c r="H41" s="167" t="n">
        <v>10329.8</v>
      </c>
      <c r="I41" s="167" t="n">
        <v>0</v>
      </c>
      <c r="J41" s="168">
        <f>IF(AND(N(G41)&gt;0,N(H41)+N(I41)&gt;0),(H41+I41)*U41/G41,"")</f>
        <v/>
      </c>
      <c r="K41" s="167" t="n">
        <v>94.98999999999999</v>
      </c>
      <c r="L41" s="167" t="n">
        <v>72.19</v>
      </c>
      <c r="M41" s="54" t="inlineStr">
        <is>
          <t>Eligible</t>
        </is>
      </c>
      <c r="N41" s="168">
        <f>IF(OR(J41="",L41=""),"",L41-J41)</f>
        <v/>
      </c>
      <c r="O41" s="169">
        <f>IF(OR(J41="",L41=""),"",L41/J41-1)</f>
        <v/>
      </c>
      <c r="P41" s="169">
        <f>IF(OR(J41="",K41=""),"",K41/J41-1)</f>
        <v/>
      </c>
      <c r="Q41" s="54">
        <f>IF(AND(ISNUMBER(J41),ISNUMBER(L41)),1,0)</f>
        <v/>
      </c>
      <c r="R41" s="69">
        <f>IF(Q41=1,G41*L41,0)</f>
        <v/>
      </c>
      <c r="S41" s="69">
        <f>IF(Q41=1,(H41+I41)*U41,0)</f>
        <v/>
      </c>
      <c r="T41" s="59">
        <f>IF(Q41=1,G41,0)</f>
        <v/>
      </c>
      <c r="U41" s="170" t="n">
        <v>1</v>
      </c>
    </row>
    <row r="42">
      <c r="A42" s="54" t="inlineStr">
        <is>
          <t>US DC B4</t>
        </is>
      </c>
      <c r="B42" s="54" t="inlineStr">
        <is>
          <t>US</t>
        </is>
      </c>
      <c r="C42" s="54" t="inlineStr">
        <is>
          <t>B0BZPVXR69</t>
        </is>
      </c>
      <c r="D42" s="54" t="inlineStr">
        <is>
          <t>BAMBOO-KING-MIDGREY</t>
        </is>
      </c>
      <c r="E42" s="54" t="inlineStr">
        <is>
          <t>King</t>
        </is>
      </c>
      <c r="F42" s="54" t="inlineStr">
        <is>
          <t>Midgrey</t>
        </is>
      </c>
      <c r="G42" s="55" t="n">
        <v>138</v>
      </c>
      <c r="H42" s="167" t="n">
        <v>9831.120000000001</v>
      </c>
      <c r="I42" s="167" t="n">
        <v>0</v>
      </c>
      <c r="J42" s="168">
        <f>IF(AND(N(G42)&gt;0,N(H42)+N(I42)&gt;0),(H42+I42)*U42/G42,"")</f>
        <v/>
      </c>
      <c r="K42" s="167" t="n">
        <v>94.98999999999999</v>
      </c>
      <c r="L42" s="167" t="n">
        <v>79.98999999999999</v>
      </c>
      <c r="M42" s="54" t="inlineStr">
        <is>
          <t>Eligible</t>
        </is>
      </c>
      <c r="N42" s="168">
        <f>IF(OR(J42="",L42=""),"",L42-J42)</f>
        <v/>
      </c>
      <c r="O42" s="169">
        <f>IF(OR(J42="",L42=""),"",L42/J42-1)</f>
        <v/>
      </c>
      <c r="P42" s="169">
        <f>IF(OR(J42="",K42=""),"",K42/J42-1)</f>
        <v/>
      </c>
      <c r="Q42" s="54">
        <f>IF(AND(ISNUMBER(J42),ISNUMBER(L42)),1,0)</f>
        <v/>
      </c>
      <c r="R42" s="69">
        <f>IF(Q42=1,G42*L42,0)</f>
        <v/>
      </c>
      <c r="S42" s="69">
        <f>IF(Q42=1,(H42+I42)*U42,0)</f>
        <v/>
      </c>
      <c r="T42" s="59">
        <f>IF(Q42=1,G42,0)</f>
        <v/>
      </c>
      <c r="U42" s="170" t="n">
        <v>1</v>
      </c>
    </row>
    <row r="43">
      <c r="A43" s="54" t="inlineStr">
        <is>
          <t>US DC B4</t>
        </is>
      </c>
      <c r="B43" s="54" t="inlineStr">
        <is>
          <t>US</t>
        </is>
      </c>
      <c r="C43" s="54" t="inlineStr">
        <is>
          <t>B08KQKXQLS</t>
        </is>
      </c>
      <c r="D43" s="54" t="inlineStr">
        <is>
          <t>BAMBOO-QUEEN-LIGHTBLUE</t>
        </is>
      </c>
      <c r="E43" s="54" t="inlineStr">
        <is>
          <t>Queen</t>
        </is>
      </c>
      <c r="F43" s="54" t="inlineStr">
        <is>
          <t>Light Blue</t>
        </is>
      </c>
      <c r="G43" s="55" t="n">
        <v>135</v>
      </c>
      <c r="H43" s="167" t="n">
        <v>8976.15</v>
      </c>
      <c r="I43" s="167" t="n">
        <v>0</v>
      </c>
      <c r="J43" s="168">
        <f>IF(AND(N(G43)&gt;0,N(H43)+N(I43)&gt;0),(H43+I43)*U43/G43,"")</f>
        <v/>
      </c>
      <c r="K43" s="167" t="n">
        <v>89.98999999999999</v>
      </c>
      <c r="L43" s="167" t="n">
        <v>63.17</v>
      </c>
      <c r="M43" s="54" t="inlineStr">
        <is>
          <t>Eligible</t>
        </is>
      </c>
      <c r="N43" s="168">
        <f>IF(OR(J43="",L43=""),"",L43-J43)</f>
        <v/>
      </c>
      <c r="O43" s="169">
        <f>IF(OR(J43="",L43=""),"",L43/J43-1)</f>
        <v/>
      </c>
      <c r="P43" s="169">
        <f>IF(OR(J43="",K43=""),"",K43/J43-1)</f>
        <v/>
      </c>
      <c r="Q43" s="54">
        <f>IF(AND(ISNUMBER(J43),ISNUMBER(L43)),1,0)</f>
        <v/>
      </c>
      <c r="R43" s="69">
        <f>IF(Q43=1,G43*L43,0)</f>
        <v/>
      </c>
      <c r="S43" s="69">
        <f>IF(Q43=1,(H43+I43)*U43,0)</f>
        <v/>
      </c>
      <c r="T43" s="59">
        <f>IF(Q43=1,G43,0)</f>
        <v/>
      </c>
      <c r="U43" s="170" t="n">
        <v>1</v>
      </c>
    </row>
    <row r="44">
      <c r="A44" s="54" t="inlineStr">
        <is>
          <t>US DC B4</t>
        </is>
      </c>
      <c r="B44" s="54" t="inlineStr">
        <is>
          <t>US</t>
        </is>
      </c>
      <c r="C44" s="54" t="inlineStr">
        <is>
          <t>B08KQJDSVC</t>
        </is>
      </c>
      <c r="D44" s="54" t="inlineStr">
        <is>
          <t>BAMBOO-QUEEN-LIGHTGREY</t>
        </is>
      </c>
      <c r="E44" s="54" t="inlineStr">
        <is>
          <t>Queen</t>
        </is>
      </c>
      <c r="F44" s="54" t="inlineStr">
        <is>
          <t>Light Grey</t>
        </is>
      </c>
      <c r="G44" s="55" t="n">
        <v>130</v>
      </c>
      <c r="H44" s="167" t="n">
        <v>8643.700000000001</v>
      </c>
      <c r="I44" s="167" t="n">
        <v>0</v>
      </c>
      <c r="J44" s="168">
        <f>IF(AND(N(G44)&gt;0,N(H44)+N(I44)&gt;0),(H44+I44)*U44/G44,"")</f>
        <v/>
      </c>
      <c r="K44" s="167" t="n">
        <v>89.98999999999999</v>
      </c>
      <c r="L44" s="167" t="n">
        <v>71.23999999999999</v>
      </c>
      <c r="M44" s="54" t="inlineStr">
        <is>
          <t>Eligible</t>
        </is>
      </c>
      <c r="N44" s="168">
        <f>IF(OR(J44="",L44=""),"",L44-J44)</f>
        <v/>
      </c>
      <c r="O44" s="169">
        <f>IF(OR(J44="",L44=""),"",L44/J44-1)</f>
        <v/>
      </c>
      <c r="P44" s="169">
        <f>IF(OR(J44="",K44=""),"",K44/J44-1)</f>
        <v/>
      </c>
      <c r="Q44" s="54">
        <f>IF(AND(ISNUMBER(J44),ISNUMBER(L44)),1,0)</f>
        <v/>
      </c>
      <c r="R44" s="69">
        <f>IF(Q44=1,G44*L44,0)</f>
        <v/>
      </c>
      <c r="S44" s="69">
        <f>IF(Q44=1,(H44+I44)*U44,0)</f>
        <v/>
      </c>
      <c r="T44" s="59">
        <f>IF(Q44=1,G44,0)</f>
        <v/>
      </c>
      <c r="U44" s="170" t="n">
        <v>1</v>
      </c>
    </row>
    <row r="45">
      <c r="A45" s="54" t="inlineStr">
        <is>
          <t>US DC B4</t>
        </is>
      </c>
      <c r="B45" s="54" t="inlineStr">
        <is>
          <t>US</t>
        </is>
      </c>
      <c r="C45" s="54" t="inlineStr">
        <is>
          <t>B0CRHZ1CK3</t>
        </is>
      </c>
      <c r="D45" s="54" t="inlineStr">
        <is>
          <t>BAMBOO-QUEEN-BURGUNDY-NEW</t>
        </is>
      </c>
      <c r="E45" s="54" t="inlineStr">
        <is>
          <t>Queen</t>
        </is>
      </c>
      <c r="F45" s="54" t="inlineStr">
        <is>
          <t>Burgundy</t>
        </is>
      </c>
      <c r="G45" s="55" t="n">
        <v>126</v>
      </c>
      <c r="H45" s="167" t="n">
        <v>8377.74</v>
      </c>
      <c r="I45" s="167" t="n">
        <v>0</v>
      </c>
      <c r="J45" s="168">
        <f>IF(AND(N(G45)&gt;0,N(H45)+N(I45)&gt;0),(H45+I45)*U45/G45,"")</f>
        <v/>
      </c>
      <c r="K45" s="167" t="n">
        <v>89.98999999999999</v>
      </c>
      <c r="L45" s="167" t="n">
        <v>68.39</v>
      </c>
      <c r="M45" s="54" t="inlineStr">
        <is>
          <t>Eligible</t>
        </is>
      </c>
      <c r="N45" s="168">
        <f>IF(OR(J45="",L45=""),"",L45-J45)</f>
        <v/>
      </c>
      <c r="O45" s="169">
        <f>IF(OR(J45="",L45=""),"",L45/J45-1)</f>
        <v/>
      </c>
      <c r="P45" s="169">
        <f>IF(OR(J45="",K45=""),"",K45/J45-1)</f>
        <v/>
      </c>
      <c r="Q45" s="54">
        <f>IF(AND(ISNUMBER(J45),ISNUMBER(L45)),1,0)</f>
        <v/>
      </c>
      <c r="R45" s="69">
        <f>IF(Q45=1,G45*L45,0)</f>
        <v/>
      </c>
      <c r="S45" s="69">
        <f>IF(Q45=1,(H45+I45)*U45,0)</f>
        <v/>
      </c>
      <c r="T45" s="59">
        <f>IF(Q45=1,G45,0)</f>
        <v/>
      </c>
      <c r="U45" s="170" t="n">
        <v>1</v>
      </c>
    </row>
    <row r="46">
      <c r="A46" s="54" t="inlineStr">
        <is>
          <t>US DC B4</t>
        </is>
      </c>
      <c r="B46" s="54" t="inlineStr">
        <is>
          <t>US</t>
        </is>
      </c>
      <c r="C46" s="54" t="inlineStr">
        <is>
          <t>B08KQKKRNC</t>
        </is>
      </c>
      <c r="D46" s="54" t="inlineStr">
        <is>
          <t>BAMBOO-QUEEN-NAVYBLUE</t>
        </is>
      </c>
      <c r="E46" s="54" t="inlineStr">
        <is>
          <t>Queen</t>
        </is>
      </c>
      <c r="F46" s="54" t="inlineStr">
        <is>
          <t>Navy Blue</t>
        </is>
      </c>
      <c r="G46" s="55" t="n">
        <v>126</v>
      </c>
      <c r="H46" s="167" t="n">
        <v>8377.74</v>
      </c>
      <c r="I46" s="167" t="n">
        <v>0</v>
      </c>
      <c r="J46" s="168">
        <f>IF(AND(N(G46)&gt;0,N(H46)+N(I46)&gt;0),(H46+I46)*U46/G46,"")</f>
        <v/>
      </c>
      <c r="K46" s="167" t="n">
        <v>89.98999999999999</v>
      </c>
      <c r="L46" s="167" t="n">
        <v>71.23999999999999</v>
      </c>
      <c r="M46" s="54" t="inlineStr">
        <is>
          <t>Eligible</t>
        </is>
      </c>
      <c r="N46" s="168">
        <f>IF(OR(J46="",L46=""),"",L46-J46)</f>
        <v/>
      </c>
      <c r="O46" s="169">
        <f>IF(OR(J46="",L46=""),"",L46/J46-1)</f>
        <v/>
      </c>
      <c r="P46" s="169">
        <f>IF(OR(J46="",K46=""),"",K46/J46-1)</f>
        <v/>
      </c>
      <c r="Q46" s="54">
        <f>IF(AND(ISNUMBER(J46),ISNUMBER(L46)),1,0)</f>
        <v/>
      </c>
      <c r="R46" s="69">
        <f>IF(Q46=1,G46*L46,0)</f>
        <v/>
      </c>
      <c r="S46" s="69">
        <f>IF(Q46=1,(H46+I46)*U46,0)</f>
        <v/>
      </c>
      <c r="T46" s="59">
        <f>IF(Q46=1,G46,0)</f>
        <v/>
      </c>
      <c r="U46" s="170" t="n">
        <v>1</v>
      </c>
    </row>
    <row r="47">
      <c r="A47" s="54" t="inlineStr">
        <is>
          <t>US DC B4</t>
        </is>
      </c>
      <c r="B47" s="54" t="inlineStr">
        <is>
          <t>US</t>
        </is>
      </c>
      <c r="C47" s="54" t="inlineStr">
        <is>
          <t>B0CLKJL9KD</t>
        </is>
      </c>
      <c r="D47" s="54" t="inlineStr">
        <is>
          <t>BAMBOO-QUEEN-SAGE GREEN</t>
        </is>
      </c>
      <c r="E47" s="54" t="inlineStr">
        <is>
          <t>Queen</t>
        </is>
      </c>
      <c r="F47" s="54" t="inlineStr">
        <is>
          <t>Sage Green</t>
        </is>
      </c>
      <c r="G47" s="55" t="n">
        <v>125</v>
      </c>
      <c r="H47" s="167" t="n">
        <v>7436.25</v>
      </c>
      <c r="I47" s="167" t="n">
        <v>0</v>
      </c>
      <c r="J47" s="168">
        <f>IF(AND(N(G47)&gt;0,N(H47)+N(I47)&gt;0),(H47+I47)*U47/G47,"")</f>
        <v/>
      </c>
      <c r="K47" s="167" t="n">
        <v>89.98999999999999</v>
      </c>
      <c r="L47" s="167" t="n">
        <v>67.68000000000001</v>
      </c>
      <c r="M47" s="54" t="inlineStr">
        <is>
          <t>Eligible</t>
        </is>
      </c>
      <c r="N47" s="168">
        <f>IF(OR(J47="",L47=""),"",L47-J47)</f>
        <v/>
      </c>
      <c r="O47" s="169">
        <f>IF(OR(J47="",L47=""),"",L47/J47-1)</f>
        <v/>
      </c>
      <c r="P47" s="169">
        <f>IF(OR(J47="",K47=""),"",K47/J47-1)</f>
        <v/>
      </c>
      <c r="Q47" s="54">
        <f>IF(AND(ISNUMBER(J47),ISNUMBER(L47)),1,0)</f>
        <v/>
      </c>
      <c r="R47" s="69">
        <f>IF(Q47=1,G47*L47,0)</f>
        <v/>
      </c>
      <c r="S47" s="69">
        <f>IF(Q47=1,(H47+I47)*U47,0)</f>
        <v/>
      </c>
      <c r="T47" s="59">
        <f>IF(Q47=1,G47,0)</f>
        <v/>
      </c>
      <c r="U47" s="170" t="n">
        <v>1</v>
      </c>
    </row>
    <row r="48">
      <c r="A48" s="54" t="inlineStr">
        <is>
          <t>US DC B4</t>
        </is>
      </c>
      <c r="B48" s="54" t="inlineStr">
        <is>
          <t>US</t>
        </is>
      </c>
      <c r="C48" s="54" t="inlineStr">
        <is>
          <t>B08KQJ62YC</t>
        </is>
      </c>
      <c r="D48" s="54" t="inlineStr">
        <is>
          <t>BAMBOO-KING-CREME</t>
        </is>
      </c>
      <c r="E48" s="54" t="inlineStr">
        <is>
          <t>King</t>
        </is>
      </c>
      <c r="F48" s="54" t="inlineStr">
        <is>
          <t>Creme</t>
        </is>
      </c>
      <c r="G48" s="55" t="n">
        <v>114</v>
      </c>
      <c r="H48" s="167" t="n">
        <v>8478.860000000001</v>
      </c>
      <c r="I48" s="167" t="n">
        <v>0</v>
      </c>
      <c r="J48" s="168">
        <f>IF(AND(N(G48)&gt;0,N(H48)+N(I48)&gt;0),(H48+I48)*U48/G48,"")</f>
        <v/>
      </c>
      <c r="K48" s="167" t="n">
        <v>94.98999999999999</v>
      </c>
      <c r="L48" s="167" t="n">
        <v>72.19</v>
      </c>
      <c r="M48" s="54" t="inlineStr">
        <is>
          <t>Eligible</t>
        </is>
      </c>
      <c r="N48" s="168">
        <f>IF(OR(J48="",L48=""),"",L48-J48)</f>
        <v/>
      </c>
      <c r="O48" s="169">
        <f>IF(OR(J48="",L48=""),"",L48/J48-1)</f>
        <v/>
      </c>
      <c r="P48" s="169">
        <f>IF(OR(J48="",K48=""),"",K48/J48-1)</f>
        <v/>
      </c>
      <c r="Q48" s="54">
        <f>IF(AND(ISNUMBER(J48),ISNUMBER(L48)),1,0)</f>
        <v/>
      </c>
      <c r="R48" s="69">
        <f>IF(Q48=1,G48*L48,0)</f>
        <v/>
      </c>
      <c r="S48" s="69">
        <f>IF(Q48=1,(H48+I48)*U48,0)</f>
        <v/>
      </c>
      <c r="T48" s="59">
        <f>IF(Q48=1,G48,0)</f>
        <v/>
      </c>
      <c r="U48" s="170" t="n">
        <v>1</v>
      </c>
    </row>
    <row r="49">
      <c r="A49" s="54" t="inlineStr">
        <is>
          <t>US DC B4</t>
        </is>
      </c>
      <c r="B49" s="54" t="inlineStr">
        <is>
          <t>US</t>
        </is>
      </c>
      <c r="C49" s="54" t="inlineStr">
        <is>
          <t>B08KQJQ3C2</t>
        </is>
      </c>
      <c r="D49" s="54" t="inlineStr">
        <is>
          <t>BAMBOO-KING-GREY</t>
        </is>
      </c>
      <c r="E49" s="54" t="inlineStr">
        <is>
          <t>King</t>
        </is>
      </c>
      <c r="F49" s="54" t="inlineStr">
        <is>
          <t>Grey</t>
        </is>
      </c>
      <c r="G49" s="55" t="n">
        <v>108</v>
      </c>
      <c r="H49" s="167" t="n">
        <v>7693.92</v>
      </c>
      <c r="I49" s="167" t="n">
        <v>0</v>
      </c>
      <c r="J49" s="168">
        <f>IF(AND(N(G49)&gt;0,N(H49)+N(I49)&gt;0),(H49+I49)*U49/G49,"")</f>
        <v/>
      </c>
      <c r="K49" s="167" t="n">
        <v>94.98999999999999</v>
      </c>
      <c r="L49" s="167" t="n">
        <v>75.98999999999999</v>
      </c>
      <c r="M49" s="54" t="inlineStr">
        <is>
          <t>Eligible</t>
        </is>
      </c>
      <c r="N49" s="168">
        <f>IF(OR(J49="",L49=""),"",L49-J49)</f>
        <v/>
      </c>
      <c r="O49" s="169">
        <f>IF(OR(J49="",L49=""),"",L49/J49-1)</f>
        <v/>
      </c>
      <c r="P49" s="169">
        <f>IF(OR(J49="",K49=""),"",K49/J49-1)</f>
        <v/>
      </c>
      <c r="Q49" s="54">
        <f>IF(AND(ISNUMBER(J49),ISNUMBER(L49)),1,0)</f>
        <v/>
      </c>
      <c r="R49" s="69">
        <f>IF(Q49=1,G49*L49,0)</f>
        <v/>
      </c>
      <c r="S49" s="69">
        <f>IF(Q49=1,(H49+I49)*U49,0)</f>
        <v/>
      </c>
      <c r="T49" s="59">
        <f>IF(Q49=1,G49,0)</f>
        <v/>
      </c>
      <c r="U49" s="170" t="n">
        <v>1</v>
      </c>
    </row>
    <row r="50">
      <c r="A50" s="54" t="inlineStr">
        <is>
          <t>US DC B4</t>
        </is>
      </c>
      <c r="B50" s="54" t="inlineStr">
        <is>
          <t>US</t>
        </is>
      </c>
      <c r="C50" s="54" t="inlineStr">
        <is>
          <t>B0CRHYYVZQ</t>
        </is>
      </c>
      <c r="D50" s="54" t="inlineStr">
        <is>
          <t>BAMBOO-KING-BURGUNDY-NEW</t>
        </is>
      </c>
      <c r="E50" s="54" t="inlineStr">
        <is>
          <t>King</t>
        </is>
      </c>
      <c r="F50" s="54" t="inlineStr">
        <is>
          <t>Burgundy</t>
        </is>
      </c>
      <c r="G50" s="55" t="n">
        <v>106</v>
      </c>
      <c r="H50" s="167" t="n">
        <v>7551.44</v>
      </c>
      <c r="I50" s="167" t="n">
        <v>0</v>
      </c>
      <c r="J50" s="168">
        <f>IF(AND(N(G50)&gt;0,N(H50)+N(I50)&gt;0),(H50+I50)*U50/G50,"")</f>
        <v/>
      </c>
      <c r="K50" s="167" t="n">
        <v>94.98999999999999</v>
      </c>
      <c r="L50" s="167" t="n">
        <v>67.68000000000001</v>
      </c>
      <c r="M50" s="54" t="inlineStr">
        <is>
          <t>Eligible</t>
        </is>
      </c>
      <c r="N50" s="168">
        <f>IF(OR(J50="",L50=""),"",L50-J50)</f>
        <v/>
      </c>
      <c r="O50" s="169">
        <f>IF(OR(J50="",L50=""),"",L50/J50-1)</f>
        <v/>
      </c>
      <c r="P50" s="169">
        <f>IF(OR(J50="",K50=""),"",K50/J50-1)</f>
        <v/>
      </c>
      <c r="Q50" s="54">
        <f>IF(AND(ISNUMBER(J50),ISNUMBER(L50)),1,0)</f>
        <v/>
      </c>
      <c r="R50" s="69">
        <f>IF(Q50=1,G50*L50,0)</f>
        <v/>
      </c>
      <c r="S50" s="69">
        <f>IF(Q50=1,(H50+I50)*U50,0)</f>
        <v/>
      </c>
      <c r="T50" s="59">
        <f>IF(Q50=1,G50,0)</f>
        <v/>
      </c>
      <c r="U50" s="170" t="n">
        <v>1</v>
      </c>
    </row>
    <row r="51">
      <c r="A51" s="54" t="inlineStr">
        <is>
          <t>US DC B4</t>
        </is>
      </c>
      <c r="B51" s="54" t="inlineStr">
        <is>
          <t>US</t>
        </is>
      </c>
      <c r="C51" s="54" t="inlineStr">
        <is>
          <t>B08KQ5VVRV</t>
        </is>
      </c>
      <c r="D51" s="54" t="inlineStr">
        <is>
          <t>BAMBOO-QUEEN-GREY</t>
        </is>
      </c>
      <c r="E51" s="54" t="inlineStr">
        <is>
          <t>Queen</t>
        </is>
      </c>
      <c r="F51" s="54" t="inlineStr">
        <is>
          <t>Grey</t>
        </is>
      </c>
      <c r="G51" s="55" t="n">
        <v>90</v>
      </c>
      <c r="H51" s="167" t="n">
        <v>5984.1</v>
      </c>
      <c r="I51" s="167" t="n">
        <v>0</v>
      </c>
      <c r="J51" s="168">
        <f>IF(AND(N(G51)&gt;0,N(H51)+N(I51)&gt;0),(H51+I51)*U51/G51,"")</f>
        <v/>
      </c>
      <c r="K51" s="167" t="n">
        <v>89.98999999999999</v>
      </c>
      <c r="L51" s="167" t="n">
        <v>71.23999999999999</v>
      </c>
      <c r="M51" s="54" t="inlineStr">
        <is>
          <t>Eligible</t>
        </is>
      </c>
      <c r="N51" s="168">
        <f>IF(OR(J51="",L51=""),"",L51-J51)</f>
        <v/>
      </c>
      <c r="O51" s="169">
        <f>IF(OR(J51="",L51=""),"",L51/J51-1)</f>
        <v/>
      </c>
      <c r="P51" s="169">
        <f>IF(OR(J51="",K51=""),"",K51/J51-1)</f>
        <v/>
      </c>
      <c r="Q51" s="54">
        <f>IF(AND(ISNUMBER(J51),ISNUMBER(L51)),1,0)</f>
        <v/>
      </c>
      <c r="R51" s="69">
        <f>IF(Q51=1,G51*L51,0)</f>
        <v/>
      </c>
      <c r="S51" s="69">
        <f>IF(Q51=1,(H51+I51)*U51,0)</f>
        <v/>
      </c>
      <c r="T51" s="59">
        <f>IF(Q51=1,G51,0)</f>
        <v/>
      </c>
      <c r="U51" s="170" t="n">
        <v>1</v>
      </c>
    </row>
    <row r="52">
      <c r="A52" s="54" t="inlineStr">
        <is>
          <t>US DC B4</t>
        </is>
      </c>
      <c r="B52" s="54" t="inlineStr">
        <is>
          <t>US</t>
        </is>
      </c>
      <c r="C52" s="54" t="inlineStr">
        <is>
          <t>B08KQJV49M</t>
        </is>
      </c>
      <c r="D52" s="54" t="inlineStr">
        <is>
          <t>BAMBOO-FULL-WHITE</t>
        </is>
      </c>
      <c r="E52" s="54" t="inlineStr">
        <is>
          <t>Full</t>
        </is>
      </c>
      <c r="F52" s="54" t="inlineStr">
        <is>
          <t>White</t>
        </is>
      </c>
      <c r="G52" s="55" t="n">
        <v>81</v>
      </c>
      <c r="H52" s="167" t="n">
        <v>5000.94</v>
      </c>
      <c r="I52" s="167" t="n">
        <v>0</v>
      </c>
      <c r="J52" s="168">
        <f>IF(AND(N(G52)&gt;0,N(H52)+N(I52)&gt;0),(H52+I52)*U52/G52,"")</f>
        <v/>
      </c>
      <c r="K52" s="167" t="n">
        <v>69.98999999999999</v>
      </c>
      <c r="L52" s="167" t="n">
        <v>64.98999999999999</v>
      </c>
      <c r="M52" s="54" t="inlineStr">
        <is>
          <t>Eligible</t>
        </is>
      </c>
      <c r="N52" s="168">
        <f>IF(OR(J52="",L52=""),"",L52-J52)</f>
        <v/>
      </c>
      <c r="O52" s="169">
        <f>IF(OR(J52="",L52=""),"",L52/J52-1)</f>
        <v/>
      </c>
      <c r="P52" s="169">
        <f>IF(OR(J52="",K52=""),"",K52/J52-1)</f>
        <v/>
      </c>
      <c r="Q52" s="54">
        <f>IF(AND(ISNUMBER(J52),ISNUMBER(L52)),1,0)</f>
        <v/>
      </c>
      <c r="R52" s="69">
        <f>IF(Q52=1,G52*L52,0)</f>
        <v/>
      </c>
      <c r="S52" s="69">
        <f>IF(Q52=1,(H52+I52)*U52,0)</f>
        <v/>
      </c>
      <c r="T52" s="59">
        <f>IF(Q52=1,G52,0)</f>
        <v/>
      </c>
      <c r="U52" s="170" t="n">
        <v>1</v>
      </c>
    </row>
    <row r="53">
      <c r="A53" s="54" t="inlineStr">
        <is>
          <t>US DC B4</t>
        </is>
      </c>
      <c r="B53" s="54" t="inlineStr">
        <is>
          <t>US</t>
        </is>
      </c>
      <c r="C53" s="54" t="inlineStr">
        <is>
          <t>B08KQJRSW6</t>
        </is>
      </c>
      <c r="D53" s="54" t="inlineStr">
        <is>
          <t>BAMBOO-QUEEN-OLIVE</t>
        </is>
      </c>
      <c r="E53" s="54" t="inlineStr">
        <is>
          <t>Queen</t>
        </is>
      </c>
      <c r="F53" s="54" t="inlineStr">
        <is>
          <t>Olive</t>
        </is>
      </c>
      <c r="G53" s="55" t="n">
        <v>80</v>
      </c>
      <c r="H53" s="167" t="n">
        <v>5319.2</v>
      </c>
      <c r="I53" s="167" t="n">
        <v>0</v>
      </c>
      <c r="J53" s="168">
        <f>IF(AND(N(G53)&gt;0,N(H53)+N(I53)&gt;0),(H53+I53)*U53/G53,"")</f>
        <v/>
      </c>
      <c r="K53" s="167" t="n">
        <v>89.98999999999999</v>
      </c>
      <c r="L53" s="167" t="n">
        <v>64.59</v>
      </c>
      <c r="M53" s="54" t="inlineStr">
        <is>
          <t>Eligible</t>
        </is>
      </c>
      <c r="N53" s="168">
        <f>IF(OR(J53="",L53=""),"",L53-J53)</f>
        <v/>
      </c>
      <c r="O53" s="169">
        <f>IF(OR(J53="",L53=""),"",L53/J53-1)</f>
        <v/>
      </c>
      <c r="P53" s="169">
        <f>IF(OR(J53="",K53=""),"",K53/J53-1)</f>
        <v/>
      </c>
      <c r="Q53" s="54">
        <f>IF(AND(ISNUMBER(J53),ISNUMBER(L53)),1,0)</f>
        <v/>
      </c>
      <c r="R53" s="69">
        <f>IF(Q53=1,G53*L53,0)</f>
        <v/>
      </c>
      <c r="S53" s="69">
        <f>IF(Q53=1,(H53+I53)*U53,0)</f>
        <v/>
      </c>
      <c r="T53" s="59">
        <f>IF(Q53=1,G53,0)</f>
        <v/>
      </c>
      <c r="U53" s="170" t="n">
        <v>1</v>
      </c>
    </row>
    <row r="54">
      <c r="A54" s="54" t="inlineStr">
        <is>
          <t>US DC B4</t>
        </is>
      </c>
      <c r="B54" s="54" t="inlineStr">
        <is>
          <t>US</t>
        </is>
      </c>
      <c r="C54" s="54" t="inlineStr">
        <is>
          <t>B0BZPZ2L1R</t>
        </is>
      </c>
      <c r="D54" s="54" t="inlineStr">
        <is>
          <t>BAMBOO-KING-BLACK</t>
        </is>
      </c>
      <c r="E54" s="54" t="inlineStr">
        <is>
          <t>King</t>
        </is>
      </c>
      <c r="F54" s="54" t="inlineStr">
        <is>
          <t>Black</t>
        </is>
      </c>
      <c r="G54" s="55" t="n">
        <v>78</v>
      </c>
      <c r="H54" s="167" t="n">
        <v>5556.72</v>
      </c>
      <c r="I54" s="167" t="n">
        <v>0</v>
      </c>
      <c r="J54" s="168">
        <f>IF(AND(N(G54)&gt;0,N(H54)+N(I54)&gt;0),(H54+I54)*U54/G54,"")</f>
        <v/>
      </c>
      <c r="K54" s="167" t="n">
        <v>94.98999999999999</v>
      </c>
      <c r="L54" s="167" t="n">
        <v>72.19</v>
      </c>
      <c r="M54" s="54" t="inlineStr">
        <is>
          <t>Eligible</t>
        </is>
      </c>
      <c r="N54" s="168">
        <f>IF(OR(J54="",L54=""),"",L54-J54)</f>
        <v/>
      </c>
      <c r="O54" s="169">
        <f>IF(OR(J54="",L54=""),"",L54/J54-1)</f>
        <v/>
      </c>
      <c r="P54" s="169">
        <f>IF(OR(J54="",K54=""),"",K54/J54-1)</f>
        <v/>
      </c>
      <c r="Q54" s="54">
        <f>IF(AND(ISNUMBER(J54),ISNUMBER(L54)),1,0)</f>
        <v/>
      </c>
      <c r="R54" s="69">
        <f>IF(Q54=1,G54*L54,0)</f>
        <v/>
      </c>
      <c r="S54" s="69">
        <f>IF(Q54=1,(H54+I54)*U54,0)</f>
        <v/>
      </c>
      <c r="T54" s="59">
        <f>IF(Q54=1,G54,0)</f>
        <v/>
      </c>
      <c r="U54" s="170" t="n">
        <v>1</v>
      </c>
    </row>
    <row r="55">
      <c r="A55" s="54" t="inlineStr">
        <is>
          <t>US DC B4</t>
        </is>
      </c>
      <c r="B55" s="54" t="inlineStr">
        <is>
          <t>US</t>
        </is>
      </c>
      <c r="C55" s="54" t="inlineStr">
        <is>
          <t>B08KQLK2HK</t>
        </is>
      </c>
      <c r="D55" s="54" t="inlineStr">
        <is>
          <t>BAMBOO-KING-OLIVE</t>
        </is>
      </c>
      <c r="E55" s="54" t="inlineStr">
        <is>
          <t>King</t>
        </is>
      </c>
      <c r="F55" s="54" t="inlineStr">
        <is>
          <t>Olive</t>
        </is>
      </c>
      <c r="G55" s="55" t="n">
        <v>78</v>
      </c>
      <c r="H55" s="167" t="n">
        <v>5556.72</v>
      </c>
      <c r="I55" s="167" t="n">
        <v>0</v>
      </c>
      <c r="J55" s="168">
        <f>IF(AND(N(G55)&gt;0,N(H55)+N(I55)&gt;0),(H55+I55)*U55/G55,"")</f>
        <v/>
      </c>
      <c r="K55" s="167" t="n">
        <v>94.98999999999999</v>
      </c>
      <c r="L55" s="167" t="n">
        <v>67.68000000000001</v>
      </c>
      <c r="M55" s="54" t="inlineStr">
        <is>
          <t>Eligible</t>
        </is>
      </c>
      <c r="N55" s="168">
        <f>IF(OR(J55="",L55=""),"",L55-J55)</f>
        <v/>
      </c>
      <c r="O55" s="169">
        <f>IF(OR(J55="",L55=""),"",L55/J55-1)</f>
        <v/>
      </c>
      <c r="P55" s="169">
        <f>IF(OR(J55="",K55=""),"",K55/J55-1)</f>
        <v/>
      </c>
      <c r="Q55" s="54">
        <f>IF(AND(ISNUMBER(J55),ISNUMBER(L55)),1,0)</f>
        <v/>
      </c>
      <c r="R55" s="69">
        <f>IF(Q55=1,G55*L55,0)</f>
        <v/>
      </c>
      <c r="S55" s="69">
        <f>IF(Q55=1,(H55+I55)*U55,0)</f>
        <v/>
      </c>
      <c r="T55" s="59">
        <f>IF(Q55=1,G55,0)</f>
        <v/>
      </c>
      <c r="U55" s="170" t="n">
        <v>1</v>
      </c>
    </row>
    <row r="56">
      <c r="A56" s="54" t="inlineStr">
        <is>
          <t>US DC B4</t>
        </is>
      </c>
      <c r="B56" s="54" t="inlineStr">
        <is>
          <t>US</t>
        </is>
      </c>
      <c r="C56" s="54" t="inlineStr">
        <is>
          <t>B0BZQ1JFM7</t>
        </is>
      </c>
      <c r="D56" s="54" t="inlineStr">
        <is>
          <t>BAMBOO-QUEEN-CHARCOAL</t>
        </is>
      </c>
      <c r="E56" s="54" t="inlineStr">
        <is>
          <t>Queen</t>
        </is>
      </c>
      <c r="F56" s="54" t="inlineStr">
        <is>
          <t>Charcoal</t>
        </is>
      </c>
      <c r="G56" s="55" t="n">
        <v>78</v>
      </c>
      <c r="H56" s="167" t="n">
        <v>5186.22</v>
      </c>
      <c r="I56" s="167" t="n">
        <v>0</v>
      </c>
      <c r="J56" s="168">
        <f>IF(AND(N(G56)&gt;0,N(H56)+N(I56)&gt;0),(H56+I56)*U56/G56,"")</f>
        <v/>
      </c>
      <c r="K56" s="167" t="n">
        <v>89.98999999999999</v>
      </c>
      <c r="L56" s="167" t="n">
        <v>71.23999999999999</v>
      </c>
      <c r="M56" s="54" t="inlineStr">
        <is>
          <t>Eligible</t>
        </is>
      </c>
      <c r="N56" s="168">
        <f>IF(OR(J56="",L56=""),"",L56-J56)</f>
        <v/>
      </c>
      <c r="O56" s="169">
        <f>IF(OR(J56="",L56=""),"",L56/J56-1)</f>
        <v/>
      </c>
      <c r="P56" s="169">
        <f>IF(OR(J56="",K56=""),"",K56/J56-1)</f>
        <v/>
      </c>
      <c r="Q56" s="54">
        <f>IF(AND(ISNUMBER(J56),ISNUMBER(L56)),1,0)</f>
        <v/>
      </c>
      <c r="R56" s="69">
        <f>IF(Q56=1,G56*L56,0)</f>
        <v/>
      </c>
      <c r="S56" s="69">
        <f>IF(Q56=1,(H56+I56)*U56,0)</f>
        <v/>
      </c>
      <c r="T56" s="59">
        <f>IF(Q56=1,G56,0)</f>
        <v/>
      </c>
      <c r="U56" s="170" t="n">
        <v>1</v>
      </c>
    </row>
    <row r="57">
      <c r="A57" s="54" t="inlineStr">
        <is>
          <t>US DC B4</t>
        </is>
      </c>
      <c r="B57" s="54" t="inlineStr">
        <is>
          <t>US</t>
        </is>
      </c>
      <c r="C57" s="54" t="inlineStr">
        <is>
          <t>B08KQL6HKG</t>
        </is>
      </c>
      <c r="D57" s="54" t="inlineStr">
        <is>
          <t>BAMBOO-KING-LIGHTBLUE</t>
        </is>
      </c>
      <c r="E57" s="54" t="inlineStr">
        <is>
          <t>King</t>
        </is>
      </c>
      <c r="F57" s="54" t="inlineStr">
        <is>
          <t>Light Blue</t>
        </is>
      </c>
      <c r="G57" s="55" t="n">
        <v>73</v>
      </c>
      <c r="H57" s="167" t="n">
        <v>5394.27</v>
      </c>
      <c r="I57" s="167" t="n">
        <v>0</v>
      </c>
      <c r="J57" s="168">
        <f>IF(AND(N(G57)&gt;0,N(H57)+N(I57)&gt;0),(H57+I57)*U57/G57,"")</f>
        <v/>
      </c>
      <c r="K57" s="167" t="n">
        <v>94.98999999999999</v>
      </c>
      <c r="L57" s="167" t="n">
        <v>72.19</v>
      </c>
      <c r="M57" s="54" t="inlineStr">
        <is>
          <t>Eligible</t>
        </is>
      </c>
      <c r="N57" s="168">
        <f>IF(OR(J57="",L57=""),"",L57-J57)</f>
        <v/>
      </c>
      <c r="O57" s="169">
        <f>IF(OR(J57="",L57=""),"",L57/J57-1)</f>
        <v/>
      </c>
      <c r="P57" s="169">
        <f>IF(OR(J57="",K57=""),"",K57/J57-1)</f>
        <v/>
      </c>
      <c r="Q57" s="54">
        <f>IF(AND(ISNUMBER(J57),ISNUMBER(L57)),1,0)</f>
        <v/>
      </c>
      <c r="R57" s="69">
        <f>IF(Q57=1,G57*L57,0)</f>
        <v/>
      </c>
      <c r="S57" s="69">
        <f>IF(Q57=1,(H57+I57)*U57,0)</f>
        <v/>
      </c>
      <c r="T57" s="59">
        <f>IF(Q57=1,G57,0)</f>
        <v/>
      </c>
      <c r="U57" s="170" t="n">
        <v>1</v>
      </c>
    </row>
    <row r="58">
      <c r="A58" s="54" t="inlineStr">
        <is>
          <t>US DC B4</t>
        </is>
      </c>
      <c r="B58" s="54" t="inlineStr">
        <is>
          <t>US</t>
        </is>
      </c>
      <c r="C58" s="54" t="inlineStr">
        <is>
          <t>B08KQKQ44M</t>
        </is>
      </c>
      <c r="D58" s="54" t="inlineStr">
        <is>
          <t>BAMBOO-CALIFKING-WHITE</t>
        </is>
      </c>
      <c r="E58" s="54" t="inlineStr">
        <is>
          <t>California King</t>
        </is>
      </c>
      <c r="F58" s="54" t="inlineStr">
        <is>
          <t>White</t>
        </is>
      </c>
      <c r="G58" s="55" t="n">
        <v>71</v>
      </c>
      <c r="H58" s="167" t="n">
        <v>5061.79</v>
      </c>
      <c r="I58" s="167" t="n">
        <v>0</v>
      </c>
      <c r="J58" s="168">
        <f>IF(AND(N(G58)&gt;0,N(H58)+N(I58)&gt;0),(H58+I58)*U58/G58,"")</f>
        <v/>
      </c>
      <c r="K58" s="167" t="n">
        <v>89.98999999999999</v>
      </c>
      <c r="L58" s="167" t="n">
        <v>75.98999999999999</v>
      </c>
      <c r="M58" s="54" t="inlineStr">
        <is>
          <t>Eligible</t>
        </is>
      </c>
      <c r="N58" s="168">
        <f>IF(OR(J58="",L58=""),"",L58-J58)</f>
        <v/>
      </c>
      <c r="O58" s="169">
        <f>IF(OR(J58="",L58=""),"",L58/J58-1)</f>
        <v/>
      </c>
      <c r="P58" s="169">
        <f>IF(OR(J58="",K58=""),"",K58/J58-1)</f>
        <v/>
      </c>
      <c r="Q58" s="54">
        <f>IF(AND(ISNUMBER(J58),ISNUMBER(L58)),1,0)</f>
        <v/>
      </c>
      <c r="R58" s="69">
        <f>IF(Q58=1,G58*L58,0)</f>
        <v/>
      </c>
      <c r="S58" s="69">
        <f>IF(Q58=1,(H58+I58)*U58,0)</f>
        <v/>
      </c>
      <c r="T58" s="59">
        <f>IF(Q58=1,G58,0)</f>
        <v/>
      </c>
      <c r="U58" s="170" t="n">
        <v>1</v>
      </c>
    </row>
    <row r="59">
      <c r="A59" s="54" t="inlineStr">
        <is>
          <t>US DC B4</t>
        </is>
      </c>
      <c r="B59" s="54" t="inlineStr">
        <is>
          <t>US</t>
        </is>
      </c>
      <c r="C59" s="54" t="inlineStr">
        <is>
          <t>B0CLK9QXX3</t>
        </is>
      </c>
      <c r="D59" s="54" t="inlineStr">
        <is>
          <t>BAMBOO-KING-LIGHT PINK</t>
        </is>
      </c>
      <c r="E59" s="54" t="inlineStr">
        <is>
          <t>King</t>
        </is>
      </c>
      <c r="F59" s="54" t="inlineStr">
        <is>
          <t>Light Pink</t>
        </is>
      </c>
      <c r="G59" s="55" t="n">
        <v>61</v>
      </c>
      <c r="H59" s="167" t="n">
        <v>3888.14</v>
      </c>
      <c r="I59" s="167" t="n">
        <v>0</v>
      </c>
      <c r="J59" s="168">
        <f>IF(AND(N(G59)&gt;0,N(H59)+N(I59)&gt;0),(H59+I59)*U59/G59,"")</f>
        <v/>
      </c>
      <c r="K59" s="167" t="n">
        <v>94.98999999999999</v>
      </c>
      <c r="L59" s="167" t="n">
        <v>75.98999999999999</v>
      </c>
      <c r="M59" s="54" t="inlineStr">
        <is>
          <t>Eligible</t>
        </is>
      </c>
      <c r="N59" s="168">
        <f>IF(OR(J59="",L59=""),"",L59-J59)</f>
        <v/>
      </c>
      <c r="O59" s="169">
        <f>IF(OR(J59="",L59=""),"",L59/J59-1)</f>
        <v/>
      </c>
      <c r="P59" s="169">
        <f>IF(OR(J59="",K59=""),"",K59/J59-1)</f>
        <v/>
      </c>
      <c r="Q59" s="54">
        <f>IF(AND(ISNUMBER(J59),ISNUMBER(L59)),1,0)</f>
        <v/>
      </c>
      <c r="R59" s="69">
        <f>IF(Q59=1,G59*L59,0)</f>
        <v/>
      </c>
      <c r="S59" s="69">
        <f>IF(Q59=1,(H59+I59)*U59,0)</f>
        <v/>
      </c>
      <c r="T59" s="59">
        <f>IF(Q59=1,G59,0)</f>
        <v/>
      </c>
      <c r="U59" s="170" t="n">
        <v>1</v>
      </c>
    </row>
    <row r="60">
      <c r="A60" s="54" t="inlineStr">
        <is>
          <t>US DC B4</t>
        </is>
      </c>
      <c r="B60" s="54" t="inlineStr">
        <is>
          <t>US</t>
        </is>
      </c>
      <c r="C60" s="54" t="inlineStr">
        <is>
          <t>B0CLKCDHHS</t>
        </is>
      </c>
      <c r="D60" s="54" t="inlineStr">
        <is>
          <t>BAMBOO-KING-SAGE GREEN</t>
        </is>
      </c>
      <c r="E60" s="54" t="inlineStr">
        <is>
          <t>King</t>
        </is>
      </c>
      <c r="F60" s="54" t="inlineStr">
        <is>
          <t>Sage Green</t>
        </is>
      </c>
      <c r="G60" s="55" t="n">
        <v>59</v>
      </c>
      <c r="H60" s="167" t="n">
        <v>4203.16</v>
      </c>
      <c r="I60" s="167" t="n">
        <v>0</v>
      </c>
      <c r="J60" s="168">
        <f>IF(AND(N(G60)&gt;0,N(H60)+N(I60)&gt;0),(H60+I60)*U60/G60,"")</f>
        <v/>
      </c>
      <c r="K60" s="167" t="n">
        <v>94.98999999999999</v>
      </c>
      <c r="L60" s="167" t="n">
        <v>75.98999999999999</v>
      </c>
      <c r="M60" s="54" t="inlineStr">
        <is>
          <t>Eligible</t>
        </is>
      </c>
      <c r="N60" s="168">
        <f>IF(OR(J60="",L60=""),"",L60-J60)</f>
        <v/>
      </c>
      <c r="O60" s="169">
        <f>IF(OR(J60="",L60=""),"",L60/J60-1)</f>
        <v/>
      </c>
      <c r="P60" s="169">
        <f>IF(OR(J60="",K60=""),"",K60/J60-1)</f>
        <v/>
      </c>
      <c r="Q60" s="54">
        <f>IF(AND(ISNUMBER(J60),ISNUMBER(L60)),1,0)</f>
        <v/>
      </c>
      <c r="R60" s="69">
        <f>IF(Q60=1,G60*L60,0)</f>
        <v/>
      </c>
      <c r="S60" s="69">
        <f>IF(Q60=1,(H60+I60)*U60,0)</f>
        <v/>
      </c>
      <c r="T60" s="59">
        <f>IF(Q60=1,G60,0)</f>
        <v/>
      </c>
      <c r="U60" s="170" t="n">
        <v>1</v>
      </c>
    </row>
    <row r="61">
      <c r="A61" s="54" t="inlineStr">
        <is>
          <t>US DC B4</t>
        </is>
      </c>
      <c r="B61" s="54" t="inlineStr">
        <is>
          <t>US</t>
        </is>
      </c>
      <c r="C61" s="54" t="inlineStr">
        <is>
          <t>B08KQJTLZP</t>
        </is>
      </c>
      <c r="D61" s="54" t="inlineStr">
        <is>
          <t>BAMBOO-CALIFKING-TAUPE</t>
        </is>
      </c>
      <c r="E61" s="54" t="inlineStr">
        <is>
          <t>California King</t>
        </is>
      </c>
      <c r="F61" s="54" t="inlineStr">
        <is>
          <t>Taupe</t>
        </is>
      </c>
      <c r="G61" s="55" t="n">
        <v>43</v>
      </c>
      <c r="H61" s="167" t="n">
        <v>3063.32</v>
      </c>
      <c r="I61" s="167" t="n">
        <v>0</v>
      </c>
      <c r="J61" s="168">
        <f>IF(AND(N(G61)&gt;0,N(H61)+N(I61)&gt;0),(H61+I61)*U61/G61,"")</f>
        <v/>
      </c>
      <c r="K61" s="167" t="n">
        <v>94.98999999999999</v>
      </c>
      <c r="L61" s="167" t="n"/>
      <c r="M61" s="54" t="inlineStr">
        <is>
          <t>Not on the deal page</t>
        </is>
      </c>
      <c r="N61" s="168">
        <f>IF(OR(J61="",L61=""),"",L61-J61)</f>
        <v/>
      </c>
      <c r="O61" s="169">
        <f>IF(OR(J61="",L61=""),"",L61/J61-1)</f>
        <v/>
      </c>
      <c r="P61" s="169">
        <f>IF(OR(J61="",K61=""),"",K61/J61-1)</f>
        <v/>
      </c>
      <c r="Q61" s="54">
        <f>IF(AND(ISNUMBER(J61),ISNUMBER(L61)),1,0)</f>
        <v/>
      </c>
      <c r="R61" s="69">
        <f>IF(Q61=1,G61*L61,0)</f>
        <v/>
      </c>
      <c r="S61" s="69">
        <f>IF(Q61=1,(H61+I61)*U61,0)</f>
        <v/>
      </c>
      <c r="T61" s="59">
        <f>IF(Q61=1,G61,0)</f>
        <v/>
      </c>
      <c r="U61" s="170" t="n">
        <v>1</v>
      </c>
    </row>
    <row r="62">
      <c r="A62" s="54" t="inlineStr">
        <is>
          <t>US DC B4</t>
        </is>
      </c>
      <c r="B62" s="54" t="inlineStr">
        <is>
          <t>US</t>
        </is>
      </c>
      <c r="C62" s="54" t="inlineStr">
        <is>
          <t>B0BZPZ588L</t>
        </is>
      </c>
      <c r="D62" s="54" t="inlineStr">
        <is>
          <t>BAMBOO-KING-CHARCOAL</t>
        </is>
      </c>
      <c r="E62" s="54" t="inlineStr">
        <is>
          <t>King</t>
        </is>
      </c>
      <c r="F62" s="54" t="inlineStr">
        <is>
          <t>Charcoal</t>
        </is>
      </c>
      <c r="G62" s="55" t="n">
        <v>43</v>
      </c>
      <c r="H62" s="167" t="n">
        <v>3147.57</v>
      </c>
      <c r="I62" s="167" t="n">
        <v>0</v>
      </c>
      <c r="J62" s="168">
        <f>IF(AND(N(G62)&gt;0,N(H62)+N(I62)&gt;0),(H62+I62)*U62/G62,"")</f>
        <v/>
      </c>
      <c r="K62" s="167" t="n">
        <v>94.98999999999999</v>
      </c>
      <c r="L62" s="167" t="n">
        <v>75.98999999999999</v>
      </c>
      <c r="M62" s="54" t="inlineStr">
        <is>
          <t>Eligible</t>
        </is>
      </c>
      <c r="N62" s="168">
        <f>IF(OR(J62="",L62=""),"",L62-J62)</f>
        <v/>
      </c>
      <c r="O62" s="169">
        <f>IF(OR(J62="",L62=""),"",L62/J62-1)</f>
        <v/>
      </c>
      <c r="P62" s="169">
        <f>IF(OR(J62="",K62=""),"",K62/J62-1)</f>
        <v/>
      </c>
      <c r="Q62" s="54">
        <f>IF(AND(ISNUMBER(J62),ISNUMBER(L62)),1,0)</f>
        <v/>
      </c>
      <c r="R62" s="69">
        <f>IF(Q62=1,G62*L62,0)</f>
        <v/>
      </c>
      <c r="S62" s="69">
        <f>IF(Q62=1,(H62+I62)*U62,0)</f>
        <v/>
      </c>
      <c r="T62" s="59">
        <f>IF(Q62=1,G62,0)</f>
        <v/>
      </c>
      <c r="U62" s="170" t="n">
        <v>1</v>
      </c>
    </row>
    <row r="63">
      <c r="A63" s="54" t="inlineStr">
        <is>
          <t>US DC B4</t>
        </is>
      </c>
      <c r="B63" s="54" t="inlineStr">
        <is>
          <t>US</t>
        </is>
      </c>
      <c r="C63" s="54" t="inlineStr">
        <is>
          <t>B0CLKCT674</t>
        </is>
      </c>
      <c r="D63" s="54" t="inlineStr">
        <is>
          <t>BAMBOO-QUEEN-LIGHT PINK</t>
        </is>
      </c>
      <c r="E63" s="54" t="inlineStr">
        <is>
          <t>Queen</t>
        </is>
      </c>
      <c r="F63" s="54" t="inlineStr">
        <is>
          <t>Light Pink</t>
        </is>
      </c>
      <c r="G63" s="55" t="n">
        <v>43</v>
      </c>
      <c r="H63" s="167" t="n">
        <v>2981.57</v>
      </c>
      <c r="I63" s="167" t="n">
        <v>0</v>
      </c>
      <c r="J63" s="168">
        <f>IF(AND(N(G63)&gt;0,N(H63)+N(I63)&gt;0),(H63+I63)*U63/G63,"")</f>
        <v/>
      </c>
      <c r="K63" s="167" t="n">
        <v>89.98999999999999</v>
      </c>
      <c r="L63" s="167" t="n">
        <v>74.98999999999999</v>
      </c>
      <c r="M63" s="54" t="inlineStr">
        <is>
          <t>Eligible</t>
        </is>
      </c>
      <c r="N63" s="168">
        <f>IF(OR(J63="",L63=""),"",L63-J63)</f>
        <v/>
      </c>
      <c r="O63" s="169">
        <f>IF(OR(J63="",L63=""),"",L63/J63-1)</f>
        <v/>
      </c>
      <c r="P63" s="169">
        <f>IF(OR(J63="",K63=""),"",K63/J63-1)</f>
        <v/>
      </c>
      <c r="Q63" s="54">
        <f>IF(AND(ISNUMBER(J63),ISNUMBER(L63)),1,0)</f>
        <v/>
      </c>
      <c r="R63" s="69">
        <f>IF(Q63=1,G63*L63,0)</f>
        <v/>
      </c>
      <c r="S63" s="69">
        <f>IF(Q63=1,(H63+I63)*U63,0)</f>
        <v/>
      </c>
      <c r="T63" s="59">
        <f>IF(Q63=1,G63,0)</f>
        <v/>
      </c>
      <c r="U63" s="170" t="n">
        <v>1</v>
      </c>
    </row>
    <row r="64">
      <c r="A64" s="54" t="inlineStr">
        <is>
          <t>US DC B4</t>
        </is>
      </c>
      <c r="B64" s="54" t="inlineStr">
        <is>
          <t>US</t>
        </is>
      </c>
      <c r="C64" s="54" t="inlineStr">
        <is>
          <t>B0BZPY841G</t>
        </is>
      </c>
      <c r="D64" s="54" t="inlineStr">
        <is>
          <t>BAMBOO-CALIFKING-MIDGREY</t>
        </is>
      </c>
      <c r="E64" s="54" t="inlineStr">
        <is>
          <t>California King</t>
        </is>
      </c>
      <c r="F64" s="54" t="inlineStr">
        <is>
          <t>Midgrey</t>
        </is>
      </c>
      <c r="G64" s="55" t="n">
        <v>42</v>
      </c>
      <c r="H64" s="167" t="n">
        <v>2677.08</v>
      </c>
      <c r="I64" s="167" t="n">
        <v>0</v>
      </c>
      <c r="J64" s="168">
        <f>IF(AND(N(G64)&gt;0,N(H64)+N(I64)&gt;0),(H64+I64)*U64/G64,"")</f>
        <v/>
      </c>
      <c r="K64" s="167" t="n">
        <v>94.98999999999999</v>
      </c>
      <c r="L64" s="167" t="n">
        <v>79.98999999999999</v>
      </c>
      <c r="M64" s="54" t="inlineStr">
        <is>
          <t>Eligible</t>
        </is>
      </c>
      <c r="N64" s="168">
        <f>IF(OR(J64="",L64=""),"",L64-J64)</f>
        <v/>
      </c>
      <c r="O64" s="169">
        <f>IF(OR(J64="",L64=""),"",L64/J64-1)</f>
        <v/>
      </c>
      <c r="P64" s="169">
        <f>IF(OR(J64="",K64=""),"",K64/J64-1)</f>
        <v/>
      </c>
      <c r="Q64" s="54">
        <f>IF(AND(ISNUMBER(J64),ISNUMBER(L64)),1,0)</f>
        <v/>
      </c>
      <c r="R64" s="69">
        <f>IF(Q64=1,G64*L64,0)</f>
        <v/>
      </c>
      <c r="S64" s="69">
        <f>IF(Q64=1,(H64+I64)*U64,0)</f>
        <v/>
      </c>
      <c r="T64" s="59">
        <f>IF(Q64=1,G64,0)</f>
        <v/>
      </c>
      <c r="U64" s="170" t="n">
        <v>1</v>
      </c>
    </row>
    <row r="65">
      <c r="A65" s="54" t="inlineStr">
        <is>
          <t>US DC B4</t>
        </is>
      </c>
      <c r="B65" s="54" t="inlineStr">
        <is>
          <t>US</t>
        </is>
      </c>
      <c r="C65" s="54" t="inlineStr">
        <is>
          <t>B0BZQ1FBJ9</t>
        </is>
      </c>
      <c r="D65" s="54" t="inlineStr">
        <is>
          <t>BAMBOO-QUEEN-BLACK</t>
        </is>
      </c>
      <c r="E65" s="54" t="inlineStr">
        <is>
          <t>Queen</t>
        </is>
      </c>
      <c r="F65" s="54" t="inlineStr">
        <is>
          <t>Black</t>
        </is>
      </c>
      <c r="G65" s="55" t="n">
        <v>41</v>
      </c>
      <c r="H65" s="167" t="n">
        <v>2838.09</v>
      </c>
      <c r="I65" s="167" t="n">
        <v>0</v>
      </c>
      <c r="J65" s="168">
        <f>IF(AND(N(G65)&gt;0,N(H65)+N(I65)&gt;0),(H65+I65)*U65/G65,"")</f>
        <v/>
      </c>
      <c r="K65" s="167" t="n">
        <v>89.98999999999999</v>
      </c>
      <c r="L65" s="167" t="n">
        <v>74.98999999999999</v>
      </c>
      <c r="M65" s="54" t="inlineStr">
        <is>
          <t>Eligible</t>
        </is>
      </c>
      <c r="N65" s="168">
        <f>IF(OR(J65="",L65=""),"",L65-J65)</f>
        <v/>
      </c>
      <c r="O65" s="169">
        <f>IF(OR(J65="",L65=""),"",L65/J65-1)</f>
        <v/>
      </c>
      <c r="P65" s="169">
        <f>IF(OR(J65="",K65=""),"",K65/J65-1)</f>
        <v/>
      </c>
      <c r="Q65" s="54">
        <f>IF(AND(ISNUMBER(J65),ISNUMBER(L65)),1,0)</f>
        <v/>
      </c>
      <c r="R65" s="69">
        <f>IF(Q65=1,G65*L65,0)</f>
        <v/>
      </c>
      <c r="S65" s="69">
        <f>IF(Q65=1,(H65+I65)*U65,0)</f>
        <v/>
      </c>
      <c r="T65" s="59">
        <f>IF(Q65=1,G65,0)</f>
        <v/>
      </c>
      <c r="U65" s="170" t="n">
        <v>1</v>
      </c>
    </row>
    <row r="66">
      <c r="A66" s="54" t="inlineStr">
        <is>
          <t>US DC B4</t>
        </is>
      </c>
      <c r="B66" s="54" t="inlineStr">
        <is>
          <t>US</t>
        </is>
      </c>
      <c r="C66" s="54" t="inlineStr">
        <is>
          <t>B08KQKBM4Q</t>
        </is>
      </c>
      <c r="D66" s="54" t="inlineStr">
        <is>
          <t>BAMBOO-TWIN-WHITE</t>
        </is>
      </c>
      <c r="E66" s="54" t="inlineStr">
        <is>
          <t>Twin</t>
        </is>
      </c>
      <c r="F66" s="54" t="inlineStr">
        <is>
          <t>White</t>
        </is>
      </c>
      <c r="G66" s="55" t="n">
        <v>40</v>
      </c>
      <c r="H66" s="167" t="n">
        <v>2089.6</v>
      </c>
      <c r="I66" s="167" t="n">
        <v>0</v>
      </c>
      <c r="J66" s="168">
        <f>IF(AND(N(G66)&gt;0,N(H66)+N(I66)&gt;0),(H66+I66)*U66/G66,"")</f>
        <v/>
      </c>
      <c r="K66" s="167" t="n">
        <v>59.99</v>
      </c>
      <c r="L66" s="167" t="n">
        <v>52.24</v>
      </c>
      <c r="M66" s="54" t="inlineStr">
        <is>
          <t>Eligible</t>
        </is>
      </c>
      <c r="N66" s="168">
        <f>IF(OR(J66="",L66=""),"",L66-J66)</f>
        <v/>
      </c>
      <c r="O66" s="169">
        <f>IF(OR(J66="",L66=""),"",L66/J66-1)</f>
        <v/>
      </c>
      <c r="P66" s="169">
        <f>IF(OR(J66="",K66=""),"",K66/J66-1)</f>
        <v/>
      </c>
      <c r="Q66" s="54">
        <f>IF(AND(ISNUMBER(J66),ISNUMBER(L66)),1,0)</f>
        <v/>
      </c>
      <c r="R66" s="69">
        <f>IF(Q66=1,G66*L66,0)</f>
        <v/>
      </c>
      <c r="S66" s="69">
        <f>IF(Q66=1,(H66+I66)*U66,0)</f>
        <v/>
      </c>
      <c r="T66" s="59">
        <f>IF(Q66=1,G66,0)</f>
        <v/>
      </c>
      <c r="U66" s="170" t="n">
        <v>1</v>
      </c>
    </row>
    <row r="67">
      <c r="A67" s="54" t="inlineStr">
        <is>
          <t>US DC B4</t>
        </is>
      </c>
      <c r="B67" s="54" t="inlineStr">
        <is>
          <t>US</t>
        </is>
      </c>
      <c r="C67" s="54" t="inlineStr">
        <is>
          <t>B08KQJHKFJ</t>
        </is>
      </c>
      <c r="D67" s="54" t="inlineStr">
        <is>
          <t>BAMBOO-FULL-LIGHTGREY</t>
        </is>
      </c>
      <c r="E67" s="54" t="inlineStr">
        <is>
          <t>Full</t>
        </is>
      </c>
      <c r="F67" s="54" t="inlineStr">
        <is>
          <t>Light Grey</t>
        </is>
      </c>
      <c r="G67" s="55" t="n">
        <v>34</v>
      </c>
      <c r="H67" s="167" t="n">
        <v>2022.66</v>
      </c>
      <c r="I67" s="167" t="n">
        <v>0</v>
      </c>
      <c r="J67" s="168">
        <f>IF(AND(N(G67)&gt;0,N(H67)+N(I67)&gt;0),(H67+I67)*U67/G67,"")</f>
        <v/>
      </c>
      <c r="K67" s="167" t="n">
        <v>74.98999999999999</v>
      </c>
      <c r="L67" s="167" t="n">
        <v>61.74</v>
      </c>
      <c r="M67" s="54" t="inlineStr">
        <is>
          <t>Eligible</t>
        </is>
      </c>
      <c r="N67" s="168">
        <f>IF(OR(J67="",L67=""),"",L67-J67)</f>
        <v/>
      </c>
      <c r="O67" s="169">
        <f>IF(OR(J67="",L67=""),"",L67/J67-1)</f>
        <v/>
      </c>
      <c r="P67" s="169">
        <f>IF(OR(J67="",K67=""),"",K67/J67-1)</f>
        <v/>
      </c>
      <c r="Q67" s="54">
        <f>IF(AND(ISNUMBER(J67),ISNUMBER(L67)),1,0)</f>
        <v/>
      </c>
      <c r="R67" s="69">
        <f>IF(Q67=1,G67*L67,0)</f>
        <v/>
      </c>
      <c r="S67" s="69">
        <f>IF(Q67=1,(H67+I67)*U67,0)</f>
        <v/>
      </c>
      <c r="T67" s="59">
        <f>IF(Q67=1,G67,0)</f>
        <v/>
      </c>
      <c r="U67" s="170" t="n">
        <v>1</v>
      </c>
    </row>
    <row r="68">
      <c r="A68" s="54" t="inlineStr">
        <is>
          <t>US DC B4</t>
        </is>
      </c>
      <c r="B68" s="54" t="inlineStr">
        <is>
          <t>US</t>
        </is>
      </c>
      <c r="C68" s="54" t="inlineStr">
        <is>
          <t>B0BZQ3ZGNG</t>
        </is>
      </c>
      <c r="D68" s="54" t="inlineStr">
        <is>
          <t>BAMBOO-QUEEN-PURPLE</t>
        </is>
      </c>
      <c r="E68" s="54" t="inlineStr">
        <is>
          <t>Queen</t>
        </is>
      </c>
      <c r="F68" s="54" t="inlineStr">
        <is>
          <t>Purple</t>
        </is>
      </c>
      <c r="G68" s="55" t="n">
        <v>34</v>
      </c>
      <c r="H68" s="167" t="n">
        <v>2348.16</v>
      </c>
      <c r="I68" s="167" t="n">
        <v>0</v>
      </c>
      <c r="J68" s="168">
        <f>IF(AND(N(G68)&gt;0,N(H68)+N(I68)&gt;0),(H68+I68)*U68/G68,"")</f>
        <v/>
      </c>
      <c r="K68" s="167" t="n">
        <v>89.98999999999999</v>
      </c>
      <c r="L68" s="167" t="n">
        <v>71.23999999999999</v>
      </c>
      <c r="M68" s="54" t="inlineStr">
        <is>
          <t>Eligible</t>
        </is>
      </c>
      <c r="N68" s="168">
        <f>IF(OR(J68="",L68=""),"",L68-J68)</f>
        <v/>
      </c>
      <c r="O68" s="169">
        <f>IF(OR(J68="",L68=""),"",L68/J68-1)</f>
        <v/>
      </c>
      <c r="P68" s="169">
        <f>IF(OR(J68="",K68=""),"",K68/J68-1)</f>
        <v/>
      </c>
      <c r="Q68" s="54">
        <f>IF(AND(ISNUMBER(J68),ISNUMBER(L68)),1,0)</f>
        <v/>
      </c>
      <c r="R68" s="69">
        <f>IF(Q68=1,G68*L68,0)</f>
        <v/>
      </c>
      <c r="S68" s="69">
        <f>IF(Q68=1,(H68+I68)*U68,0)</f>
        <v/>
      </c>
      <c r="T68" s="59">
        <f>IF(Q68=1,G68,0)</f>
        <v/>
      </c>
      <c r="U68" s="170" t="n">
        <v>1</v>
      </c>
    </row>
    <row r="69">
      <c r="A69" s="54" t="inlineStr">
        <is>
          <t>US DC B4</t>
        </is>
      </c>
      <c r="B69" s="54" t="inlineStr">
        <is>
          <t>US</t>
        </is>
      </c>
      <c r="C69" s="54" t="inlineStr">
        <is>
          <t>B0CRHYS5KT</t>
        </is>
      </c>
      <c r="D69" s="54" t="inlineStr">
        <is>
          <t>BAMBOO-FULL-BURGUNDY-NEW</t>
        </is>
      </c>
      <c r="E69" s="54" t="inlineStr">
        <is>
          <t>Full</t>
        </is>
      </c>
      <c r="F69" s="54" t="inlineStr">
        <is>
          <t>Burgundy</t>
        </is>
      </c>
      <c r="G69" s="55" t="n">
        <v>33</v>
      </c>
      <c r="H69" s="167" t="n">
        <v>2037.42</v>
      </c>
      <c r="I69" s="167" t="n">
        <v>0</v>
      </c>
      <c r="J69" s="168">
        <f>IF(AND(N(G69)&gt;0,N(H69)+N(I69)&gt;0),(H69+I69)*U69/G69,"")</f>
        <v/>
      </c>
      <c r="K69" s="167" t="n">
        <v>74.98999999999999</v>
      </c>
      <c r="L69" s="167" t="n">
        <v>64.98999999999999</v>
      </c>
      <c r="M69" s="54" t="inlineStr">
        <is>
          <t>Eligible</t>
        </is>
      </c>
      <c r="N69" s="168">
        <f>IF(OR(J69="",L69=""),"",L69-J69)</f>
        <v/>
      </c>
      <c r="O69" s="169">
        <f>IF(OR(J69="",L69=""),"",L69/J69-1)</f>
        <v/>
      </c>
      <c r="P69" s="169">
        <f>IF(OR(J69="",K69=""),"",K69/J69-1)</f>
        <v/>
      </c>
      <c r="Q69" s="54">
        <f>IF(AND(ISNUMBER(J69),ISNUMBER(L69)),1,0)</f>
        <v/>
      </c>
      <c r="R69" s="69">
        <f>IF(Q69=1,G69*L69,0)</f>
        <v/>
      </c>
      <c r="S69" s="69">
        <f>IF(Q69=1,(H69+I69)*U69,0)</f>
        <v/>
      </c>
      <c r="T69" s="59">
        <f>IF(Q69=1,G69,0)</f>
        <v/>
      </c>
      <c r="U69" s="170" t="n">
        <v>1</v>
      </c>
    </row>
    <row r="70">
      <c r="A70" s="54" t="inlineStr">
        <is>
          <t>US DC B4</t>
        </is>
      </c>
      <c r="B70" s="54" t="inlineStr">
        <is>
          <t>US</t>
        </is>
      </c>
      <c r="C70" s="54" t="inlineStr">
        <is>
          <t>B0CLKDSVCV</t>
        </is>
      </c>
      <c r="D70" s="54" t="inlineStr">
        <is>
          <t>BAMBOO-FULL-LIGHT PINK</t>
        </is>
      </c>
      <c r="E70" s="54" t="inlineStr">
        <is>
          <t>Full</t>
        </is>
      </c>
      <c r="F70" s="54" t="inlineStr">
        <is>
          <t>Light Pink</t>
        </is>
      </c>
      <c r="G70" s="55" t="n">
        <v>32</v>
      </c>
      <c r="H70" s="167" t="n">
        <v>1975.68</v>
      </c>
      <c r="I70" s="167" t="n">
        <v>0</v>
      </c>
      <c r="J70" s="168">
        <f>IF(AND(N(G70)&gt;0,N(H70)+N(I70)&gt;0),(H70+I70)*U70/G70,"")</f>
        <v/>
      </c>
      <c r="K70" s="167" t="n">
        <v>74.98999999999999</v>
      </c>
      <c r="L70" s="167" t="n">
        <v>64.98999999999999</v>
      </c>
      <c r="M70" s="54" t="inlineStr">
        <is>
          <t>Eligible</t>
        </is>
      </c>
      <c r="N70" s="168">
        <f>IF(OR(J70="",L70=""),"",L70-J70)</f>
        <v/>
      </c>
      <c r="O70" s="169">
        <f>IF(OR(J70="",L70=""),"",L70/J70-1)</f>
        <v/>
      </c>
      <c r="P70" s="169">
        <f>IF(OR(J70="",K70=""),"",K70/J70-1)</f>
        <v/>
      </c>
      <c r="Q70" s="54">
        <f>IF(AND(ISNUMBER(J70),ISNUMBER(L70)),1,0)</f>
        <v/>
      </c>
      <c r="R70" s="69">
        <f>IF(Q70=1,G70*L70,0)</f>
        <v/>
      </c>
      <c r="S70" s="69">
        <f>IF(Q70=1,(H70+I70)*U70,0)</f>
        <v/>
      </c>
      <c r="T70" s="59">
        <f>IF(Q70=1,G70,0)</f>
        <v/>
      </c>
      <c r="U70" s="170" t="n">
        <v>1</v>
      </c>
    </row>
    <row r="71">
      <c r="A71" s="54" t="inlineStr">
        <is>
          <t>US DC B4</t>
        </is>
      </c>
      <c r="B71" s="54" t="inlineStr">
        <is>
          <t>US</t>
        </is>
      </c>
      <c r="C71" s="54" t="inlineStr">
        <is>
          <t>B0BZQ3F8RQ</t>
        </is>
      </c>
      <c r="D71" s="54" t="inlineStr">
        <is>
          <t>BAMBOO-KING-PURPLE</t>
        </is>
      </c>
      <c r="E71" s="54" t="inlineStr">
        <is>
          <t>King</t>
        </is>
      </c>
      <c r="F71" s="54" t="inlineStr">
        <is>
          <t>Purple</t>
        </is>
      </c>
      <c r="G71" s="55" t="n">
        <v>32</v>
      </c>
      <c r="H71" s="167" t="n">
        <v>2279.68</v>
      </c>
      <c r="I71" s="167" t="n">
        <v>0</v>
      </c>
      <c r="J71" s="168">
        <f>IF(AND(N(G71)&gt;0,N(H71)+N(I71)&gt;0),(H71+I71)*U71/G71,"")</f>
        <v/>
      </c>
      <c r="K71" s="167" t="n">
        <v>94.98999999999999</v>
      </c>
      <c r="L71" s="167" t="n">
        <v>79.98999999999999</v>
      </c>
      <c r="M71" s="54" t="inlineStr">
        <is>
          <t>Eligible</t>
        </is>
      </c>
      <c r="N71" s="168">
        <f>IF(OR(J71="",L71=""),"",L71-J71)</f>
        <v/>
      </c>
      <c r="O71" s="169">
        <f>IF(OR(J71="",L71=""),"",L71/J71-1)</f>
        <v/>
      </c>
      <c r="P71" s="169">
        <f>IF(OR(J71="",K71=""),"",K71/J71-1)</f>
        <v/>
      </c>
      <c r="Q71" s="54">
        <f>IF(AND(ISNUMBER(J71),ISNUMBER(L71)),1,0)</f>
        <v/>
      </c>
      <c r="R71" s="69">
        <f>IF(Q71=1,G71*L71,0)</f>
        <v/>
      </c>
      <c r="S71" s="69">
        <f>IF(Q71=1,(H71+I71)*U71,0)</f>
        <v/>
      </c>
      <c r="T71" s="59">
        <f>IF(Q71=1,G71,0)</f>
        <v/>
      </c>
      <c r="U71" s="170" t="n">
        <v>1</v>
      </c>
    </row>
    <row r="72">
      <c r="A72" s="54" t="inlineStr">
        <is>
          <t>US DC B4</t>
        </is>
      </c>
      <c r="B72" s="54" t="inlineStr">
        <is>
          <t>US</t>
        </is>
      </c>
      <c r="C72" s="54" t="inlineStr">
        <is>
          <t>B0BZQ19Z44</t>
        </is>
      </c>
      <c r="D72" s="54" t="inlineStr">
        <is>
          <t>BAMBOO-QUEEN-LIGHTOLIVE</t>
        </is>
      </c>
      <c r="E72" s="54" t="inlineStr">
        <is>
          <t>Queen</t>
        </is>
      </c>
      <c r="F72" s="54" t="inlineStr">
        <is>
          <t>Light Olive</t>
        </is>
      </c>
      <c r="G72" s="55" t="n">
        <v>31</v>
      </c>
      <c r="H72" s="167" t="n">
        <v>2061.19</v>
      </c>
      <c r="I72" s="167" t="n">
        <v>0</v>
      </c>
      <c r="J72" s="168">
        <f>IF(AND(N(G72)&gt;0,N(H72)+N(I72)&gt;0),(H72+I72)*U72/G72,"")</f>
        <v/>
      </c>
      <c r="K72" s="167" t="n">
        <v>89.98999999999999</v>
      </c>
      <c r="L72" s="167" t="n">
        <v>71.23999999999999</v>
      </c>
      <c r="M72" s="54" t="inlineStr">
        <is>
          <t>Eligible</t>
        </is>
      </c>
      <c r="N72" s="168">
        <f>IF(OR(J72="",L72=""),"",L72-J72)</f>
        <v/>
      </c>
      <c r="O72" s="169">
        <f>IF(OR(J72="",L72=""),"",L72/J72-1)</f>
        <v/>
      </c>
      <c r="P72" s="169">
        <f>IF(OR(J72="",K72=""),"",K72/J72-1)</f>
        <v/>
      </c>
      <c r="Q72" s="54">
        <f>IF(AND(ISNUMBER(J72),ISNUMBER(L72)),1,0)</f>
        <v/>
      </c>
      <c r="R72" s="69">
        <f>IF(Q72=1,G72*L72,0)</f>
        <v/>
      </c>
      <c r="S72" s="69">
        <f>IF(Q72=1,(H72+I72)*U72,0)</f>
        <v/>
      </c>
      <c r="T72" s="59">
        <f>IF(Q72=1,G72,0)</f>
        <v/>
      </c>
      <c r="U72" s="170" t="n">
        <v>1</v>
      </c>
    </row>
    <row r="73">
      <c r="A73" s="54" t="inlineStr">
        <is>
          <t>US DC B4</t>
        </is>
      </c>
      <c r="B73" s="54" t="inlineStr">
        <is>
          <t>US</t>
        </is>
      </c>
      <c r="C73" s="54" t="inlineStr">
        <is>
          <t>B08KQKKVSX</t>
        </is>
      </c>
      <c r="D73" s="54" t="inlineStr">
        <is>
          <t>BAMBOO-TWIN-OLIVE</t>
        </is>
      </c>
      <c r="E73" s="54" t="inlineStr">
        <is>
          <t>Twin</t>
        </is>
      </c>
      <c r="F73" s="54" t="inlineStr">
        <is>
          <t>Olive</t>
        </is>
      </c>
      <c r="G73" s="55" t="n">
        <v>31</v>
      </c>
      <c r="H73" s="167" t="n">
        <v>1619.44</v>
      </c>
      <c r="I73" s="167" t="n">
        <v>0</v>
      </c>
      <c r="J73" s="168">
        <f>IF(AND(N(G73)&gt;0,N(H73)+N(I73)&gt;0),(H73+I73)*U73/G73,"")</f>
        <v/>
      </c>
      <c r="K73" s="167" t="n">
        <v>64.98999999999999</v>
      </c>
      <c r="L73" s="167" t="n">
        <v>47.02</v>
      </c>
      <c r="M73" s="54" t="inlineStr">
        <is>
          <t>Eligible</t>
        </is>
      </c>
      <c r="N73" s="168">
        <f>IF(OR(J73="",L73=""),"",L73-J73)</f>
        <v/>
      </c>
      <c r="O73" s="169">
        <f>IF(OR(J73="",L73=""),"",L73/J73-1)</f>
        <v/>
      </c>
      <c r="P73" s="169">
        <f>IF(OR(J73="",K73=""),"",K73/J73-1)</f>
        <v/>
      </c>
      <c r="Q73" s="54">
        <f>IF(AND(ISNUMBER(J73),ISNUMBER(L73)),1,0)</f>
        <v/>
      </c>
      <c r="R73" s="69">
        <f>IF(Q73=1,G73*L73,0)</f>
        <v/>
      </c>
      <c r="S73" s="69">
        <f>IF(Q73=1,(H73+I73)*U73,0)</f>
        <v/>
      </c>
      <c r="T73" s="59">
        <f>IF(Q73=1,G73,0)</f>
        <v/>
      </c>
      <c r="U73" s="170" t="n">
        <v>1</v>
      </c>
    </row>
    <row r="74">
      <c r="A74" s="54" t="inlineStr">
        <is>
          <t>US DC B4</t>
        </is>
      </c>
      <c r="B74" s="54" t="inlineStr">
        <is>
          <t>US</t>
        </is>
      </c>
      <c r="C74" s="54" t="inlineStr">
        <is>
          <t>B08KQLQ7RG</t>
        </is>
      </c>
      <c r="D74" s="54" t="inlineStr">
        <is>
          <t>BAMBOO-CALIFKING-CREME</t>
        </is>
      </c>
      <c r="E74" s="54" t="inlineStr">
        <is>
          <t>California King</t>
        </is>
      </c>
      <c r="F74" s="54" t="inlineStr">
        <is>
          <t>Creme</t>
        </is>
      </c>
      <c r="G74" s="55" t="n">
        <v>26</v>
      </c>
      <c r="H74" s="167" t="n">
        <v>1852.24</v>
      </c>
      <c r="I74" s="167" t="n">
        <v>0</v>
      </c>
      <c r="J74" s="168">
        <f>IF(AND(N(G74)&gt;0,N(H74)+N(I74)&gt;0),(H74+I74)*U74/G74,"")</f>
        <v/>
      </c>
      <c r="K74" s="167" t="n">
        <v>94.98999999999999</v>
      </c>
      <c r="L74" s="167" t="n">
        <v>75.98999999999999</v>
      </c>
      <c r="M74" s="54" t="inlineStr">
        <is>
          <t>Eligible</t>
        </is>
      </c>
      <c r="N74" s="168">
        <f>IF(OR(J74="",L74=""),"",L74-J74)</f>
        <v/>
      </c>
      <c r="O74" s="169">
        <f>IF(OR(J74="",L74=""),"",L74/J74-1)</f>
        <v/>
      </c>
      <c r="P74" s="169">
        <f>IF(OR(J74="",K74=""),"",K74/J74-1)</f>
        <v/>
      </c>
      <c r="Q74" s="54">
        <f>IF(AND(ISNUMBER(J74),ISNUMBER(L74)),1,0)</f>
        <v/>
      </c>
      <c r="R74" s="69">
        <f>IF(Q74=1,G74*L74,0)</f>
        <v/>
      </c>
      <c r="S74" s="69">
        <f>IF(Q74=1,(H74+I74)*U74,0)</f>
        <v/>
      </c>
      <c r="T74" s="59">
        <f>IF(Q74=1,G74,0)</f>
        <v/>
      </c>
      <c r="U74" s="170" t="n">
        <v>1</v>
      </c>
    </row>
    <row r="75">
      <c r="A75" s="54" t="inlineStr">
        <is>
          <t>US DC B4</t>
        </is>
      </c>
      <c r="B75" s="54" t="inlineStr">
        <is>
          <t>US</t>
        </is>
      </c>
      <c r="C75" s="54" t="inlineStr">
        <is>
          <t>B0BZPZP12L</t>
        </is>
      </c>
      <c r="D75" s="54" t="inlineStr">
        <is>
          <t>BAMBOO-KING-LIGHTOLIVE</t>
        </is>
      </c>
      <c r="E75" s="54" t="inlineStr">
        <is>
          <t>King</t>
        </is>
      </c>
      <c r="F75" s="54" t="inlineStr">
        <is>
          <t>Light Olive</t>
        </is>
      </c>
      <c r="G75" s="55" t="n">
        <v>26</v>
      </c>
      <c r="H75" s="167" t="n">
        <v>1852.24</v>
      </c>
      <c r="I75" s="167" t="n">
        <v>0</v>
      </c>
      <c r="J75" s="168">
        <f>IF(AND(N(G75)&gt;0,N(H75)+N(I75)&gt;0),(H75+I75)*U75/G75,"")</f>
        <v/>
      </c>
      <c r="K75" s="167" t="n">
        <v>94.98999999999999</v>
      </c>
      <c r="L75" s="167" t="n">
        <v>72.67</v>
      </c>
      <c r="M75" s="54" t="inlineStr">
        <is>
          <t>Eligible</t>
        </is>
      </c>
      <c r="N75" s="168">
        <f>IF(OR(J75="",L75=""),"",L75-J75)</f>
        <v/>
      </c>
      <c r="O75" s="169">
        <f>IF(OR(J75="",L75=""),"",L75/J75-1)</f>
        <v/>
      </c>
      <c r="P75" s="169">
        <f>IF(OR(J75="",K75=""),"",K75/J75-1)</f>
        <v/>
      </c>
      <c r="Q75" s="54">
        <f>IF(AND(ISNUMBER(J75),ISNUMBER(L75)),1,0)</f>
        <v/>
      </c>
      <c r="R75" s="69">
        <f>IF(Q75=1,G75*L75,0)</f>
        <v/>
      </c>
      <c r="S75" s="69">
        <f>IF(Q75=1,(H75+I75)*U75,0)</f>
        <v/>
      </c>
      <c r="T75" s="59">
        <f>IF(Q75=1,G75,0)</f>
        <v/>
      </c>
      <c r="U75" s="170" t="n">
        <v>1</v>
      </c>
    </row>
    <row r="76">
      <c r="A76" s="54" t="inlineStr">
        <is>
          <t>US DC B4</t>
        </is>
      </c>
      <c r="B76" s="54" t="inlineStr">
        <is>
          <t>US</t>
        </is>
      </c>
      <c r="C76" s="54" t="inlineStr">
        <is>
          <t>B08KQL2JT8</t>
        </is>
      </c>
      <c r="D76" s="54" t="inlineStr">
        <is>
          <t>BAMBOO-FULL-NAVYBLUE</t>
        </is>
      </c>
      <c r="E76" s="54" t="inlineStr">
        <is>
          <t>Full</t>
        </is>
      </c>
      <c r="F76" s="54" t="inlineStr">
        <is>
          <t>Navy Blue</t>
        </is>
      </c>
      <c r="G76" s="55" t="n">
        <v>23</v>
      </c>
      <c r="H76" s="167" t="n">
        <v>1420.02</v>
      </c>
      <c r="I76" s="167" t="n">
        <v>0</v>
      </c>
      <c r="J76" s="168">
        <f>IF(AND(N(G76)&gt;0,N(H76)+N(I76)&gt;0),(H76+I76)*U76/G76,"")</f>
        <v/>
      </c>
      <c r="K76" s="167" t="n">
        <v>74.98999999999999</v>
      </c>
      <c r="L76" s="167" t="n">
        <v>64.98999999999999</v>
      </c>
      <c r="M76" s="54" t="inlineStr">
        <is>
          <t>Eligible</t>
        </is>
      </c>
      <c r="N76" s="168">
        <f>IF(OR(J76="",L76=""),"",L76-J76)</f>
        <v/>
      </c>
      <c r="O76" s="169">
        <f>IF(OR(J76="",L76=""),"",L76/J76-1)</f>
        <v/>
      </c>
      <c r="P76" s="169">
        <f>IF(OR(J76="",K76=""),"",K76/J76-1)</f>
        <v/>
      </c>
      <c r="Q76" s="54">
        <f>IF(AND(ISNUMBER(J76),ISNUMBER(L76)),1,0)</f>
        <v/>
      </c>
      <c r="R76" s="69">
        <f>IF(Q76=1,G76*L76,0)</f>
        <v/>
      </c>
      <c r="S76" s="69">
        <f>IF(Q76=1,(H76+I76)*U76,0)</f>
        <v/>
      </c>
      <c r="T76" s="59">
        <f>IF(Q76=1,G76,0)</f>
        <v/>
      </c>
      <c r="U76" s="170" t="n">
        <v>1</v>
      </c>
    </row>
    <row r="77">
      <c r="A77" s="54" t="inlineStr">
        <is>
          <t>US DC B4</t>
        </is>
      </c>
      <c r="B77" s="54" t="inlineStr">
        <is>
          <t>US</t>
        </is>
      </c>
      <c r="C77" s="54" t="inlineStr">
        <is>
          <t>B08KQJYDCR</t>
        </is>
      </c>
      <c r="D77" s="54" t="inlineStr">
        <is>
          <t>BAMBOO-FULL-LIGHTBLUE</t>
        </is>
      </c>
      <c r="E77" s="54" t="inlineStr">
        <is>
          <t>Full</t>
        </is>
      </c>
      <c r="F77" s="54" t="inlineStr">
        <is>
          <t>Light Blue</t>
        </is>
      </c>
      <c r="G77" s="55" t="n">
        <v>21</v>
      </c>
      <c r="H77" s="167" t="n">
        <v>1364.79</v>
      </c>
      <c r="I77" s="167" t="n">
        <v>0</v>
      </c>
      <c r="J77" s="168">
        <f>IF(AND(N(G77)&gt;0,N(H77)+N(I77)&gt;0),(H77+I77)*U77/G77,"")</f>
        <v/>
      </c>
      <c r="K77" s="167" t="n">
        <v>69.98999999999999</v>
      </c>
      <c r="L77" s="167" t="n">
        <v>61.74</v>
      </c>
      <c r="M77" s="54" t="inlineStr">
        <is>
          <t>Eligible</t>
        </is>
      </c>
      <c r="N77" s="168">
        <f>IF(OR(J77="",L77=""),"",L77-J77)</f>
        <v/>
      </c>
      <c r="O77" s="169">
        <f>IF(OR(J77="",L77=""),"",L77/J77-1)</f>
        <v/>
      </c>
      <c r="P77" s="169">
        <f>IF(OR(J77="",K77=""),"",K77/J77-1)</f>
        <v/>
      </c>
      <c r="Q77" s="54">
        <f>IF(AND(ISNUMBER(J77),ISNUMBER(L77)),1,0)</f>
        <v/>
      </c>
      <c r="R77" s="69">
        <f>IF(Q77=1,G77*L77,0)</f>
        <v/>
      </c>
      <c r="S77" s="69">
        <f>IF(Q77=1,(H77+I77)*U77,0)</f>
        <v/>
      </c>
      <c r="T77" s="59">
        <f>IF(Q77=1,G77,0)</f>
        <v/>
      </c>
      <c r="U77" s="170" t="n">
        <v>1</v>
      </c>
    </row>
    <row r="78">
      <c r="A78" s="54" t="inlineStr">
        <is>
          <t>US DC B4</t>
        </is>
      </c>
      <c r="B78" s="54" t="inlineStr">
        <is>
          <t>US</t>
        </is>
      </c>
      <c r="C78" s="54" t="inlineStr">
        <is>
          <t>B08KQJ3JSW</t>
        </is>
      </c>
      <c r="D78" s="54" t="inlineStr">
        <is>
          <t>BAMBOO-FULL-CREME</t>
        </is>
      </c>
      <c r="E78" s="54" t="inlineStr">
        <is>
          <t>Full</t>
        </is>
      </c>
      <c r="F78" s="54" t="inlineStr">
        <is>
          <t>Creme</t>
        </is>
      </c>
      <c r="G78" s="55" t="n">
        <v>19</v>
      </c>
      <c r="H78" s="167" t="n">
        <v>1173.06</v>
      </c>
      <c r="I78" s="167" t="n">
        <v>0</v>
      </c>
      <c r="J78" s="168">
        <f>IF(AND(N(G78)&gt;0,N(H78)+N(I78)&gt;0),(H78+I78)*U78/G78,"")</f>
        <v/>
      </c>
      <c r="K78" s="167" t="n">
        <v>74.98999999999999</v>
      </c>
      <c r="L78" s="167" t="n">
        <v>61.74</v>
      </c>
      <c r="M78" s="54" t="inlineStr">
        <is>
          <t>Eligible</t>
        </is>
      </c>
      <c r="N78" s="168">
        <f>IF(OR(J78="",L78=""),"",L78-J78)</f>
        <v/>
      </c>
      <c r="O78" s="169">
        <f>IF(OR(J78="",L78=""),"",L78/J78-1)</f>
        <v/>
      </c>
      <c r="P78" s="169">
        <f>IF(OR(J78="",K78=""),"",K78/J78-1)</f>
        <v/>
      </c>
      <c r="Q78" s="54">
        <f>IF(AND(ISNUMBER(J78),ISNUMBER(L78)),1,0)</f>
        <v/>
      </c>
      <c r="R78" s="69">
        <f>IF(Q78=1,G78*L78,0)</f>
        <v/>
      </c>
      <c r="S78" s="69">
        <f>IF(Q78=1,(H78+I78)*U78,0)</f>
        <v/>
      </c>
      <c r="T78" s="59">
        <f>IF(Q78=1,G78,0)</f>
        <v/>
      </c>
      <c r="U78" s="170" t="n">
        <v>1</v>
      </c>
    </row>
    <row r="79">
      <c r="A79" s="54" t="inlineStr">
        <is>
          <t>US DC B4</t>
        </is>
      </c>
      <c r="B79" s="54" t="inlineStr">
        <is>
          <t>US</t>
        </is>
      </c>
      <c r="C79" s="54" t="inlineStr">
        <is>
          <t>B08KQHSWSJ</t>
        </is>
      </c>
      <c r="D79" s="54" t="inlineStr">
        <is>
          <t>BAMBOO-CALIFKING-LIGHTBLUE</t>
        </is>
      </c>
      <c r="E79" s="54" t="inlineStr">
        <is>
          <t>California King</t>
        </is>
      </c>
      <c r="F79" s="54" t="inlineStr">
        <is>
          <t>Light Blue</t>
        </is>
      </c>
      <c r="G79" s="55" t="n">
        <v>18</v>
      </c>
      <c r="H79" s="167" t="n">
        <v>1282.32</v>
      </c>
      <c r="I79" s="167" t="n">
        <v>0</v>
      </c>
      <c r="J79" s="168">
        <f>IF(AND(N(G79)&gt;0,N(H79)+N(I79)&gt;0),(H79+I79)*U79/G79,"")</f>
        <v/>
      </c>
      <c r="K79" s="167" t="n">
        <v>94.98999999999999</v>
      </c>
      <c r="L79" s="167" t="n">
        <v>79.98999999999999</v>
      </c>
      <c r="M79" s="54" t="inlineStr">
        <is>
          <t>Eligible</t>
        </is>
      </c>
      <c r="N79" s="168">
        <f>IF(OR(J79="",L79=""),"",L79-J79)</f>
        <v/>
      </c>
      <c r="O79" s="169">
        <f>IF(OR(J79="",L79=""),"",L79/J79-1)</f>
        <v/>
      </c>
      <c r="P79" s="169">
        <f>IF(OR(J79="",K79=""),"",K79/J79-1)</f>
        <v/>
      </c>
      <c r="Q79" s="54">
        <f>IF(AND(ISNUMBER(J79),ISNUMBER(L79)),1,0)</f>
        <v/>
      </c>
      <c r="R79" s="69">
        <f>IF(Q79=1,G79*L79,0)</f>
        <v/>
      </c>
      <c r="S79" s="69">
        <f>IF(Q79=1,(H79+I79)*U79,0)</f>
        <v/>
      </c>
      <c r="T79" s="59">
        <f>IF(Q79=1,G79,0)</f>
        <v/>
      </c>
      <c r="U79" s="170" t="n">
        <v>1</v>
      </c>
    </row>
    <row r="80">
      <c r="A80" s="54" t="inlineStr">
        <is>
          <t>US DC B4</t>
        </is>
      </c>
      <c r="B80" s="54" t="inlineStr">
        <is>
          <t>US</t>
        </is>
      </c>
      <c r="C80" s="54" t="inlineStr">
        <is>
          <t>B0CLKFLJMZ</t>
        </is>
      </c>
      <c r="D80" s="54" t="inlineStr">
        <is>
          <t>BAMBOO-FULL-SAGE GREEN</t>
        </is>
      </c>
      <c r="E80" s="54" t="inlineStr">
        <is>
          <t>Full</t>
        </is>
      </c>
      <c r="F80" s="54" t="inlineStr">
        <is>
          <t>Sage Green</t>
        </is>
      </c>
      <c r="G80" s="55" t="n">
        <v>18</v>
      </c>
      <c r="H80" s="167" t="n">
        <v>1111.32</v>
      </c>
      <c r="I80" s="167" t="n">
        <v>0</v>
      </c>
      <c r="J80" s="168">
        <f>IF(AND(N(G80)&gt;0,N(H80)+N(I80)&gt;0),(H80+I80)*U80/G80,"")</f>
        <v/>
      </c>
      <c r="K80" s="167" t="n">
        <v>74.98999999999999</v>
      </c>
      <c r="L80" s="167" t="n">
        <v>58.49</v>
      </c>
      <c r="M80" s="54" t="inlineStr">
        <is>
          <t>Eligible</t>
        </is>
      </c>
      <c r="N80" s="168">
        <f>IF(OR(J80="",L80=""),"",L80-J80)</f>
        <v/>
      </c>
      <c r="O80" s="169">
        <f>IF(OR(J80="",L80=""),"",L80/J80-1)</f>
        <v/>
      </c>
      <c r="P80" s="169">
        <f>IF(OR(J80="",K80=""),"",K80/J80-1)</f>
        <v/>
      </c>
      <c r="Q80" s="54">
        <f>IF(AND(ISNUMBER(J80),ISNUMBER(L80)),1,0)</f>
        <v/>
      </c>
      <c r="R80" s="69">
        <f>IF(Q80=1,G80*L80,0)</f>
        <v/>
      </c>
      <c r="S80" s="69">
        <f>IF(Q80=1,(H80+I80)*U80,0)</f>
        <v/>
      </c>
      <c r="T80" s="59">
        <f>IF(Q80=1,G80,0)</f>
        <v/>
      </c>
      <c r="U80" s="170" t="n">
        <v>1</v>
      </c>
    </row>
    <row r="81">
      <c r="A81" s="54" t="inlineStr">
        <is>
          <t>US DC B4</t>
        </is>
      </c>
      <c r="B81" s="54" t="inlineStr">
        <is>
          <t>US</t>
        </is>
      </c>
      <c r="C81" s="54" t="inlineStr">
        <is>
          <t>B0CRHYHS4X</t>
        </is>
      </c>
      <c r="D81" s="54" t="inlineStr">
        <is>
          <t>BAMBOO-CALIFKING-BURGUNDY-NEW</t>
        </is>
      </c>
      <c r="E81" s="54" t="inlineStr">
        <is>
          <t>California King</t>
        </is>
      </c>
      <c r="F81" s="54" t="inlineStr">
        <is>
          <t>Burgundy</t>
        </is>
      </c>
      <c r="G81" s="55" t="n">
        <v>17</v>
      </c>
      <c r="H81" s="167" t="n">
        <v>1237.33</v>
      </c>
      <c r="I81" s="167" t="n">
        <v>0</v>
      </c>
      <c r="J81" s="168">
        <f>IF(AND(N(G81)&gt;0,N(H81)+N(I81)&gt;0),(H81+I81)*U81/G81,"")</f>
        <v/>
      </c>
      <c r="K81" s="167" t="n">
        <v>94.98999999999999</v>
      </c>
      <c r="L81" s="167" t="n">
        <v>72.67</v>
      </c>
      <c r="M81" s="54" t="inlineStr">
        <is>
          <t>Eligible</t>
        </is>
      </c>
      <c r="N81" s="168">
        <f>IF(OR(J81="",L81=""),"",L81-J81)</f>
        <v/>
      </c>
      <c r="O81" s="169">
        <f>IF(OR(J81="",L81=""),"",L81/J81-1)</f>
        <v/>
      </c>
      <c r="P81" s="169">
        <f>IF(OR(J81="",K81=""),"",K81/J81-1)</f>
        <v/>
      </c>
      <c r="Q81" s="54">
        <f>IF(AND(ISNUMBER(J81),ISNUMBER(L81)),1,0)</f>
        <v/>
      </c>
      <c r="R81" s="69">
        <f>IF(Q81=1,G81*L81,0)</f>
        <v/>
      </c>
      <c r="S81" s="69">
        <f>IF(Q81=1,(H81+I81)*U81,0)</f>
        <v/>
      </c>
      <c r="T81" s="59">
        <f>IF(Q81=1,G81,0)</f>
        <v/>
      </c>
      <c r="U81" s="170" t="n">
        <v>1</v>
      </c>
    </row>
    <row r="82">
      <c r="A82" s="54" t="inlineStr">
        <is>
          <t>US DC B4</t>
        </is>
      </c>
      <c r="B82" s="54" t="inlineStr">
        <is>
          <t>US</t>
        </is>
      </c>
      <c r="C82" s="54" t="inlineStr">
        <is>
          <t>B08KQJBFFY</t>
        </is>
      </c>
      <c r="D82" s="54" t="inlineStr">
        <is>
          <t>BAMBOO-CALIFKING-GREY</t>
        </is>
      </c>
      <c r="E82" s="54" t="inlineStr">
        <is>
          <t>California King</t>
        </is>
      </c>
      <c r="F82" s="54" t="inlineStr">
        <is>
          <t>Grey</t>
        </is>
      </c>
      <c r="G82" s="55" t="n">
        <v>16</v>
      </c>
      <c r="H82" s="167" t="n">
        <v>1139.84</v>
      </c>
      <c r="I82" s="167" t="n">
        <v>0</v>
      </c>
      <c r="J82" s="168">
        <f>IF(AND(N(G82)&gt;0,N(H82)+N(I82)&gt;0),(H82+I82)*U82/G82,"")</f>
        <v/>
      </c>
      <c r="K82" s="167" t="n">
        <v>94.98999999999999</v>
      </c>
      <c r="L82" s="167" t="n">
        <v>75.98</v>
      </c>
      <c r="M82" s="54" t="inlineStr">
        <is>
          <t>Eligible</t>
        </is>
      </c>
      <c r="N82" s="168">
        <f>IF(OR(J82="",L82=""),"",L82-J82)</f>
        <v/>
      </c>
      <c r="O82" s="169">
        <f>IF(OR(J82="",L82=""),"",L82/J82-1)</f>
        <v/>
      </c>
      <c r="P82" s="169">
        <f>IF(OR(J82="",K82=""),"",K82/J82-1)</f>
        <v/>
      </c>
      <c r="Q82" s="54">
        <f>IF(AND(ISNUMBER(J82),ISNUMBER(L82)),1,0)</f>
        <v/>
      </c>
      <c r="R82" s="69">
        <f>IF(Q82=1,G82*L82,0)</f>
        <v/>
      </c>
      <c r="S82" s="69">
        <f>IF(Q82=1,(H82+I82)*U82,0)</f>
        <v/>
      </c>
      <c r="T82" s="59">
        <f>IF(Q82=1,G82,0)</f>
        <v/>
      </c>
      <c r="U82" s="170" t="n">
        <v>1</v>
      </c>
    </row>
    <row r="83">
      <c r="A83" s="54" t="inlineStr">
        <is>
          <t>US DC B4</t>
        </is>
      </c>
      <c r="B83" s="54" t="inlineStr">
        <is>
          <t>US</t>
        </is>
      </c>
      <c r="C83" s="54" t="inlineStr">
        <is>
          <t>B08KQ3C8BX</t>
        </is>
      </c>
      <c r="D83" s="54" t="inlineStr">
        <is>
          <t>BAMBOO-CALIFKING-NAVYBLUE</t>
        </is>
      </c>
      <c r="E83" s="54" t="inlineStr">
        <is>
          <t>California King</t>
        </is>
      </c>
      <c r="F83" s="54" t="inlineStr">
        <is>
          <t>Navy Blue</t>
        </is>
      </c>
      <c r="G83" s="55" t="n">
        <v>16</v>
      </c>
      <c r="H83" s="167" t="n">
        <v>1218.6</v>
      </c>
      <c r="I83" s="167" t="n">
        <v>0</v>
      </c>
      <c r="J83" s="168">
        <f>IF(AND(N(G83)&gt;0,N(H83)+N(I83)&gt;0),(H83+I83)*U83/G83,"")</f>
        <v/>
      </c>
      <c r="K83" s="167" t="n">
        <v>94.98999999999999</v>
      </c>
      <c r="L83" s="167" t="n">
        <v>80.73999999999999</v>
      </c>
      <c r="M83" s="54" t="inlineStr">
        <is>
          <t>Eligible</t>
        </is>
      </c>
      <c r="N83" s="168">
        <f>IF(OR(J83="",L83=""),"",L83-J83)</f>
        <v/>
      </c>
      <c r="O83" s="169">
        <f>IF(OR(J83="",L83=""),"",L83/J83-1)</f>
        <v/>
      </c>
      <c r="P83" s="169">
        <f>IF(OR(J83="",K83=""),"",K83/J83-1)</f>
        <v/>
      </c>
      <c r="Q83" s="54">
        <f>IF(AND(ISNUMBER(J83),ISNUMBER(L83)),1,0)</f>
        <v/>
      </c>
      <c r="R83" s="69">
        <f>IF(Q83=1,G83*L83,0)</f>
        <v/>
      </c>
      <c r="S83" s="69">
        <f>IF(Q83=1,(H83+I83)*U83,0)</f>
        <v/>
      </c>
      <c r="T83" s="59">
        <f>IF(Q83=1,G83,0)</f>
        <v/>
      </c>
      <c r="U83" s="170" t="n">
        <v>1</v>
      </c>
    </row>
    <row r="84">
      <c r="A84" s="54" t="inlineStr">
        <is>
          <t>US DC B4</t>
        </is>
      </c>
      <c r="B84" s="54" t="inlineStr">
        <is>
          <t>US</t>
        </is>
      </c>
      <c r="C84" s="54" t="inlineStr">
        <is>
          <t>B0BZPY4PXY</t>
        </is>
      </c>
      <c r="D84" s="54" t="inlineStr">
        <is>
          <t>BAMBOO-FULL-PURPLE</t>
        </is>
      </c>
      <c r="E84" s="54" t="inlineStr">
        <is>
          <t>Full</t>
        </is>
      </c>
      <c r="F84" s="54" t="inlineStr">
        <is>
          <t>Purple</t>
        </is>
      </c>
      <c r="G84" s="55" t="n">
        <v>15</v>
      </c>
      <c r="H84" s="167" t="n">
        <v>926.1</v>
      </c>
      <c r="I84" s="167" t="n">
        <v>0</v>
      </c>
      <c r="J84" s="168">
        <f>IF(AND(N(G84)&gt;0,N(H84)+N(I84)&gt;0),(H84+I84)*U84/G84,"")</f>
        <v/>
      </c>
      <c r="K84" s="167" t="n">
        <v>74.98999999999999</v>
      </c>
      <c r="L84" s="167" t="n">
        <v>55.57</v>
      </c>
      <c r="M84" s="54" t="inlineStr">
        <is>
          <t>Eligible</t>
        </is>
      </c>
      <c r="N84" s="168">
        <f>IF(OR(J84="",L84=""),"",L84-J84)</f>
        <v/>
      </c>
      <c r="O84" s="169">
        <f>IF(OR(J84="",L84=""),"",L84/J84-1)</f>
        <v/>
      </c>
      <c r="P84" s="169">
        <f>IF(OR(J84="",K84=""),"",K84/J84-1)</f>
        <v/>
      </c>
      <c r="Q84" s="54">
        <f>IF(AND(ISNUMBER(J84),ISNUMBER(L84)),1,0)</f>
        <v/>
      </c>
      <c r="R84" s="69">
        <f>IF(Q84=1,G84*L84,0)</f>
        <v/>
      </c>
      <c r="S84" s="69">
        <f>IF(Q84=1,(H84+I84)*U84,0)</f>
        <v/>
      </c>
      <c r="T84" s="59">
        <f>IF(Q84=1,G84,0)</f>
        <v/>
      </c>
      <c r="U84" s="170" t="n">
        <v>1</v>
      </c>
    </row>
    <row r="85">
      <c r="A85" s="54" t="inlineStr">
        <is>
          <t>US DC B4</t>
        </is>
      </c>
      <c r="B85" s="54" t="inlineStr">
        <is>
          <t>US</t>
        </is>
      </c>
      <c r="C85" s="54" t="inlineStr">
        <is>
          <t>B08KQJBRKM</t>
        </is>
      </c>
      <c r="D85" s="54" t="inlineStr">
        <is>
          <t>BAMBOO-FULL-TAUPE</t>
        </is>
      </c>
      <c r="E85" s="54" t="inlineStr">
        <is>
          <t>Full</t>
        </is>
      </c>
      <c r="F85" s="54" t="inlineStr">
        <is>
          <t>Taupe</t>
        </is>
      </c>
      <c r="G85" s="55" t="n">
        <v>15</v>
      </c>
      <c r="H85" s="167" t="n">
        <v>926.1</v>
      </c>
      <c r="I85" s="167" t="n">
        <v>0</v>
      </c>
      <c r="J85" s="168">
        <f>IF(AND(N(G85)&gt;0,N(H85)+N(I85)&gt;0),(H85+I85)*U85/G85,"")</f>
        <v/>
      </c>
      <c r="K85" s="167" t="n">
        <v>74.98999999999999</v>
      </c>
      <c r="L85" s="167" t="n">
        <v>61.74</v>
      </c>
      <c r="M85" s="54" t="inlineStr">
        <is>
          <t>Eligible</t>
        </is>
      </c>
      <c r="N85" s="168">
        <f>IF(OR(J85="",L85=""),"",L85-J85)</f>
        <v/>
      </c>
      <c r="O85" s="169">
        <f>IF(OR(J85="",L85=""),"",L85/J85-1)</f>
        <v/>
      </c>
      <c r="P85" s="169">
        <f>IF(OR(J85="",K85=""),"",K85/J85-1)</f>
        <v/>
      </c>
      <c r="Q85" s="54">
        <f>IF(AND(ISNUMBER(J85),ISNUMBER(L85)),1,0)</f>
        <v/>
      </c>
      <c r="R85" s="69">
        <f>IF(Q85=1,G85*L85,0)</f>
        <v/>
      </c>
      <c r="S85" s="69">
        <f>IF(Q85=1,(H85+I85)*U85,0)</f>
        <v/>
      </c>
      <c r="T85" s="59">
        <f>IF(Q85=1,G85,0)</f>
        <v/>
      </c>
      <c r="U85" s="170" t="n">
        <v>1</v>
      </c>
    </row>
    <row r="86">
      <c r="A86" s="54" t="inlineStr">
        <is>
          <t>US DC B4</t>
        </is>
      </c>
      <c r="B86" s="54" t="inlineStr">
        <is>
          <t>US</t>
        </is>
      </c>
      <c r="C86" s="54" t="inlineStr">
        <is>
          <t>B08KQLFRVR</t>
        </is>
      </c>
      <c r="D86" s="54" t="inlineStr">
        <is>
          <t>BAMBOO-CALIFKING-LIGHTGREY</t>
        </is>
      </c>
      <c r="E86" s="54" t="inlineStr">
        <is>
          <t>California King</t>
        </is>
      </c>
      <c r="F86" s="54" t="inlineStr">
        <is>
          <t>Light Grey</t>
        </is>
      </c>
      <c r="G86" s="55" t="n">
        <v>14</v>
      </c>
      <c r="H86" s="167" t="n">
        <v>997.36</v>
      </c>
      <c r="I86" s="167" t="n">
        <v>0</v>
      </c>
      <c r="J86" s="168">
        <f>IF(AND(N(G86)&gt;0,N(H86)+N(I86)&gt;0),(H86+I86)*U86/G86,"")</f>
        <v/>
      </c>
      <c r="K86" s="167" t="n">
        <v>94.98999999999999</v>
      </c>
      <c r="L86" s="167" t="n">
        <v>75.98999999999999</v>
      </c>
      <c r="M86" s="54" t="inlineStr">
        <is>
          <t>Eligible</t>
        </is>
      </c>
      <c r="N86" s="168">
        <f>IF(OR(J86="",L86=""),"",L86-J86)</f>
        <v/>
      </c>
      <c r="O86" s="169">
        <f>IF(OR(J86="",L86=""),"",L86/J86-1)</f>
        <v/>
      </c>
      <c r="P86" s="169">
        <f>IF(OR(J86="",K86=""),"",K86/J86-1)</f>
        <v/>
      </c>
      <c r="Q86" s="54">
        <f>IF(AND(ISNUMBER(J86),ISNUMBER(L86)),1,0)</f>
        <v/>
      </c>
      <c r="R86" s="69">
        <f>IF(Q86=1,G86*L86,0)</f>
        <v/>
      </c>
      <c r="S86" s="69">
        <f>IF(Q86=1,(H86+I86)*U86,0)</f>
        <v/>
      </c>
      <c r="T86" s="59">
        <f>IF(Q86=1,G86,0)</f>
        <v/>
      </c>
      <c r="U86" s="170" t="n">
        <v>1</v>
      </c>
    </row>
    <row r="87">
      <c r="A87" s="54" t="inlineStr">
        <is>
          <t>US DC B4</t>
        </is>
      </c>
      <c r="B87" s="54" t="inlineStr">
        <is>
          <t>US</t>
        </is>
      </c>
      <c r="C87" s="54" t="inlineStr">
        <is>
          <t>B08KQJGSW2</t>
        </is>
      </c>
      <c r="D87" s="54" t="inlineStr">
        <is>
          <t>BAMBOO-TWIN-LIGHTBLUE</t>
        </is>
      </c>
      <c r="E87" s="54" t="inlineStr">
        <is>
          <t>Twin</t>
        </is>
      </c>
      <c r="F87" s="54" t="inlineStr">
        <is>
          <t>Light Blue</t>
        </is>
      </c>
      <c r="G87" s="55" t="n">
        <v>14</v>
      </c>
      <c r="H87" s="167" t="n">
        <v>731.36</v>
      </c>
      <c r="I87" s="167" t="n">
        <v>0</v>
      </c>
      <c r="J87" s="168">
        <f>IF(AND(N(G87)&gt;0,N(H87)+N(I87)&gt;0),(H87+I87)*U87/G87,"")</f>
        <v/>
      </c>
      <c r="K87" s="167" t="n">
        <v>64.98999999999999</v>
      </c>
      <c r="L87" s="167" t="n">
        <v>52.24</v>
      </c>
      <c r="M87" s="54" t="inlineStr">
        <is>
          <t>Eligible</t>
        </is>
      </c>
      <c r="N87" s="168">
        <f>IF(OR(J87="",L87=""),"",L87-J87)</f>
        <v/>
      </c>
      <c r="O87" s="169">
        <f>IF(OR(J87="",L87=""),"",L87/J87-1)</f>
        <v/>
      </c>
      <c r="P87" s="169">
        <f>IF(OR(J87="",K87=""),"",K87/J87-1)</f>
        <v/>
      </c>
      <c r="Q87" s="54">
        <f>IF(AND(ISNUMBER(J87),ISNUMBER(L87)),1,0)</f>
        <v/>
      </c>
      <c r="R87" s="69">
        <f>IF(Q87=1,G87*L87,0)</f>
        <v/>
      </c>
      <c r="S87" s="69">
        <f>IF(Q87=1,(H87+I87)*U87,0)</f>
        <v/>
      </c>
      <c r="T87" s="59">
        <f>IF(Q87=1,G87,0)</f>
        <v/>
      </c>
      <c r="U87" s="170" t="n">
        <v>1</v>
      </c>
    </row>
    <row r="88">
      <c r="A88" s="54" t="inlineStr">
        <is>
          <t>US DC B4</t>
        </is>
      </c>
      <c r="B88" s="54" t="inlineStr">
        <is>
          <t>US</t>
        </is>
      </c>
      <c r="C88" s="54" t="inlineStr">
        <is>
          <t>B0BZQ21K22</t>
        </is>
      </c>
      <c r="D88" s="54" t="inlineStr">
        <is>
          <t>BAMBOO-TWIN-MIDGREY</t>
        </is>
      </c>
      <c r="E88" s="54" t="inlineStr">
        <is>
          <t>Twin</t>
        </is>
      </c>
      <c r="F88" s="54" t="inlineStr">
        <is>
          <t>Midgrey</t>
        </is>
      </c>
      <c r="G88" s="55" t="n">
        <v>14</v>
      </c>
      <c r="H88" s="167" t="n">
        <v>654.36</v>
      </c>
      <c r="I88" s="167" t="n">
        <v>0</v>
      </c>
      <c r="J88" s="168">
        <f>IF(AND(N(G88)&gt;0,N(H88)+N(I88)&gt;0),(H88+I88)*U88/G88,"")</f>
        <v/>
      </c>
      <c r="K88" s="167" t="n">
        <v>64.98999999999999</v>
      </c>
      <c r="L88" s="167" t="n">
        <v>49.49</v>
      </c>
      <c r="M88" s="54" t="inlineStr">
        <is>
          <t>Eligible</t>
        </is>
      </c>
      <c r="N88" s="168">
        <f>IF(OR(J88="",L88=""),"",L88-J88)</f>
        <v/>
      </c>
      <c r="O88" s="169">
        <f>IF(OR(J88="",L88=""),"",L88/J88-1)</f>
        <v/>
      </c>
      <c r="P88" s="169">
        <f>IF(OR(J88="",K88=""),"",K88/J88-1)</f>
        <v/>
      </c>
      <c r="Q88" s="54">
        <f>IF(AND(ISNUMBER(J88),ISNUMBER(L88)),1,0)</f>
        <v/>
      </c>
      <c r="R88" s="69">
        <f>IF(Q88=1,G88*L88,0)</f>
        <v/>
      </c>
      <c r="S88" s="69">
        <f>IF(Q88=1,(H88+I88)*U88,0)</f>
        <v/>
      </c>
      <c r="T88" s="59">
        <f>IF(Q88=1,G88,0)</f>
        <v/>
      </c>
      <c r="U88" s="170" t="n">
        <v>1</v>
      </c>
    </row>
    <row r="89">
      <c r="A89" s="54" t="inlineStr">
        <is>
          <t>US DC B4</t>
        </is>
      </c>
      <c r="B89" s="54" t="inlineStr">
        <is>
          <t>US</t>
        </is>
      </c>
      <c r="C89" s="54" t="inlineStr">
        <is>
          <t>B0BZPZQCBL</t>
        </is>
      </c>
      <c r="D89" s="54" t="inlineStr">
        <is>
          <t>BAMBOO-CALIFKING-CHARCOAL</t>
        </is>
      </c>
      <c r="E89" s="54" t="inlineStr">
        <is>
          <t>California King</t>
        </is>
      </c>
      <c r="F89" s="54" t="inlineStr">
        <is>
          <t>Charcoal</t>
        </is>
      </c>
      <c r="G89" s="55" t="n">
        <v>13</v>
      </c>
      <c r="H89" s="167" t="n">
        <v>944.87</v>
      </c>
      <c r="I89" s="167" t="n">
        <v>0</v>
      </c>
      <c r="J89" s="168">
        <f>IF(AND(N(G89)&gt;0,N(H89)+N(I89)&gt;0),(H89+I89)*U89/G89,"")</f>
        <v/>
      </c>
      <c r="K89" s="167" t="n">
        <v>94.98999999999999</v>
      </c>
      <c r="L89" s="167" t="n">
        <v>71.98999999999999</v>
      </c>
      <c r="M89" s="54" t="inlineStr">
        <is>
          <t>Eligible</t>
        </is>
      </c>
      <c r="N89" s="168">
        <f>IF(OR(J89="",L89=""),"",L89-J89)</f>
        <v/>
      </c>
      <c r="O89" s="169">
        <f>IF(OR(J89="",L89=""),"",L89/J89-1)</f>
        <v/>
      </c>
      <c r="P89" s="169">
        <f>IF(OR(J89="",K89=""),"",K89/J89-1)</f>
        <v/>
      </c>
      <c r="Q89" s="54">
        <f>IF(AND(ISNUMBER(J89),ISNUMBER(L89)),1,0)</f>
        <v/>
      </c>
      <c r="R89" s="69">
        <f>IF(Q89=1,G89*L89,0)</f>
        <v/>
      </c>
      <c r="S89" s="69">
        <f>IF(Q89=1,(H89+I89)*U89,0)</f>
        <v/>
      </c>
      <c r="T89" s="59">
        <f>IF(Q89=1,G89,0)</f>
        <v/>
      </c>
      <c r="U89" s="170" t="n">
        <v>1</v>
      </c>
    </row>
    <row r="90">
      <c r="A90" s="54" t="inlineStr">
        <is>
          <t>US DC B4</t>
        </is>
      </c>
      <c r="B90" s="54" t="inlineStr">
        <is>
          <t>US</t>
        </is>
      </c>
      <c r="C90" s="54" t="inlineStr">
        <is>
          <t>B0CRHX3LKM</t>
        </is>
      </c>
      <c r="D90" s="54" t="inlineStr">
        <is>
          <t>BAMBOO-TWIN-BURGUNDY-NEW</t>
        </is>
      </c>
      <c r="E90" s="54" t="inlineStr">
        <is>
          <t>Twin</t>
        </is>
      </c>
      <c r="F90" s="54" t="inlineStr">
        <is>
          <t>Burgundy</t>
        </is>
      </c>
      <c r="G90" s="55" t="n">
        <v>13</v>
      </c>
      <c r="H90" s="167" t="n">
        <v>607.62</v>
      </c>
      <c r="I90" s="167" t="n">
        <v>0</v>
      </c>
      <c r="J90" s="168">
        <f>IF(AND(N(G90)&gt;0,N(H90)+N(I90)&gt;0),(H90+I90)*U90/G90,"")</f>
        <v/>
      </c>
      <c r="K90" s="167" t="n">
        <v>64.98999999999999</v>
      </c>
      <c r="L90" s="167" t="n">
        <v>47.02</v>
      </c>
      <c r="M90" s="54" t="inlineStr">
        <is>
          <t>Eligible</t>
        </is>
      </c>
      <c r="N90" s="168">
        <f>IF(OR(J90="",L90=""),"",L90-J90)</f>
        <v/>
      </c>
      <c r="O90" s="169">
        <f>IF(OR(J90="",L90=""),"",L90/J90-1)</f>
        <v/>
      </c>
      <c r="P90" s="169">
        <f>IF(OR(J90="",K90=""),"",K90/J90-1)</f>
        <v/>
      </c>
      <c r="Q90" s="54">
        <f>IF(AND(ISNUMBER(J90),ISNUMBER(L90)),1,0)</f>
        <v/>
      </c>
      <c r="R90" s="69">
        <f>IF(Q90=1,G90*L90,0)</f>
        <v/>
      </c>
      <c r="S90" s="69">
        <f>IF(Q90=1,(H90+I90)*U90,0)</f>
        <v/>
      </c>
      <c r="T90" s="59">
        <f>IF(Q90=1,G90,0)</f>
        <v/>
      </c>
      <c r="U90" s="170" t="n">
        <v>1</v>
      </c>
    </row>
    <row r="91">
      <c r="A91" s="54" t="inlineStr">
        <is>
          <t>US DC B4</t>
        </is>
      </c>
      <c r="B91" s="54" t="inlineStr">
        <is>
          <t>US</t>
        </is>
      </c>
      <c r="C91" s="54" t="inlineStr">
        <is>
          <t>B0CLKDMGHC</t>
        </is>
      </c>
      <c r="D91" s="54" t="inlineStr">
        <is>
          <t>BAMBOO-TWIN-LIGHT PINK</t>
        </is>
      </c>
      <c r="E91" s="54" t="inlineStr">
        <is>
          <t>Twin</t>
        </is>
      </c>
      <c r="F91" s="54" t="inlineStr">
        <is>
          <t>Light Pink</t>
        </is>
      </c>
      <c r="G91" s="55" t="n">
        <v>13</v>
      </c>
      <c r="H91" s="167" t="n">
        <v>679.12</v>
      </c>
      <c r="I91" s="167" t="n">
        <v>0</v>
      </c>
      <c r="J91" s="168">
        <f>IF(AND(N(G91)&gt;0,N(H91)+N(I91)&gt;0),(H91+I91)*U91/G91,"")</f>
        <v/>
      </c>
      <c r="K91" s="167" t="n">
        <v>64.98999999999999</v>
      </c>
      <c r="L91" s="167" t="n">
        <v>52.24</v>
      </c>
      <c r="M91" s="54" t="inlineStr">
        <is>
          <t>Eligible</t>
        </is>
      </c>
      <c r="N91" s="168">
        <f>IF(OR(J91="",L91=""),"",L91-J91)</f>
        <v/>
      </c>
      <c r="O91" s="169">
        <f>IF(OR(J91="",L91=""),"",L91/J91-1)</f>
        <v/>
      </c>
      <c r="P91" s="169">
        <f>IF(OR(J91="",K91=""),"",K91/J91-1)</f>
        <v/>
      </c>
      <c r="Q91" s="54">
        <f>IF(AND(ISNUMBER(J91),ISNUMBER(L91)),1,0)</f>
        <v/>
      </c>
      <c r="R91" s="69">
        <f>IF(Q91=1,G91*L91,0)</f>
        <v/>
      </c>
      <c r="S91" s="69">
        <f>IF(Q91=1,(H91+I91)*U91,0)</f>
        <v/>
      </c>
      <c r="T91" s="59">
        <f>IF(Q91=1,G91,0)</f>
        <v/>
      </c>
      <c r="U91" s="170" t="n">
        <v>1</v>
      </c>
    </row>
    <row r="92">
      <c r="A92" s="54" t="inlineStr">
        <is>
          <t>US DC B4</t>
        </is>
      </c>
      <c r="B92" s="54" t="inlineStr">
        <is>
          <t>US</t>
        </is>
      </c>
      <c r="C92" s="54" t="inlineStr">
        <is>
          <t>B0BZQ19QT6</t>
        </is>
      </c>
      <c r="D92" s="54" t="inlineStr">
        <is>
          <t>BAMBOO-FULL-CHARCOAL</t>
        </is>
      </c>
      <c r="E92" s="54" t="inlineStr">
        <is>
          <t>Full</t>
        </is>
      </c>
      <c r="F92" s="54" t="inlineStr">
        <is>
          <t>Charcoal</t>
        </is>
      </c>
      <c r="G92" s="55" t="n">
        <v>12</v>
      </c>
      <c r="H92" s="167" t="n">
        <v>747.38</v>
      </c>
      <c r="I92" s="167" t="n">
        <v>0</v>
      </c>
      <c r="J92" s="168">
        <f>IF(AND(N(G92)&gt;0,N(H92)+N(I92)&gt;0),(H92+I92)*U92/G92,"")</f>
        <v/>
      </c>
      <c r="K92" s="167" t="n">
        <v>74.98999999999999</v>
      </c>
      <c r="L92" s="167" t="n">
        <v>61.74</v>
      </c>
      <c r="M92" s="54" t="inlineStr">
        <is>
          <t>Eligible</t>
        </is>
      </c>
      <c r="N92" s="168">
        <f>IF(OR(J92="",L92=""),"",L92-J92)</f>
        <v/>
      </c>
      <c r="O92" s="169">
        <f>IF(OR(J92="",L92=""),"",L92/J92-1)</f>
        <v/>
      </c>
      <c r="P92" s="169">
        <f>IF(OR(J92="",K92=""),"",K92/J92-1)</f>
        <v/>
      </c>
      <c r="Q92" s="54">
        <f>IF(AND(ISNUMBER(J92),ISNUMBER(L92)),1,0)</f>
        <v/>
      </c>
      <c r="R92" s="69">
        <f>IF(Q92=1,G92*L92,0)</f>
        <v/>
      </c>
      <c r="S92" s="69">
        <f>IF(Q92=1,(H92+I92)*U92,0)</f>
        <v/>
      </c>
      <c r="T92" s="59">
        <f>IF(Q92=1,G92,0)</f>
        <v/>
      </c>
      <c r="U92" s="170" t="n">
        <v>1</v>
      </c>
    </row>
    <row r="93">
      <c r="A93" s="54" t="inlineStr">
        <is>
          <t>US DC B4</t>
        </is>
      </c>
      <c r="B93" s="54" t="inlineStr">
        <is>
          <t>US</t>
        </is>
      </c>
      <c r="C93" s="54" t="inlineStr">
        <is>
          <t>B0BZPZN1GV</t>
        </is>
      </c>
      <c r="D93" s="54" t="inlineStr">
        <is>
          <t>BAMBOO-TWIN-BLACK</t>
        </is>
      </c>
      <c r="E93" s="54" t="inlineStr">
        <is>
          <t>Twin</t>
        </is>
      </c>
      <c r="F93" s="54" t="inlineStr">
        <is>
          <t>Black</t>
        </is>
      </c>
      <c r="G93" s="55" t="n">
        <v>12</v>
      </c>
      <c r="H93" s="167" t="n">
        <v>560.88</v>
      </c>
      <c r="I93" s="167" t="n">
        <v>0</v>
      </c>
      <c r="J93" s="168">
        <f>IF(AND(N(G93)&gt;0,N(H93)+N(I93)&gt;0),(H93+I93)*U93/G93,"")</f>
        <v/>
      </c>
      <c r="K93" s="167" t="n">
        <v>64.98999999999999</v>
      </c>
      <c r="L93" s="167" t="n">
        <v>54.99</v>
      </c>
      <c r="M93" s="54" t="inlineStr">
        <is>
          <t>Eligible</t>
        </is>
      </c>
      <c r="N93" s="168">
        <f>IF(OR(J93="",L93=""),"",L93-J93)</f>
        <v/>
      </c>
      <c r="O93" s="169">
        <f>IF(OR(J93="",L93=""),"",L93/J93-1)</f>
        <v/>
      </c>
      <c r="P93" s="169">
        <f>IF(OR(J93="",K93=""),"",K93/J93-1)</f>
        <v/>
      </c>
      <c r="Q93" s="54">
        <f>IF(AND(ISNUMBER(J93),ISNUMBER(L93)),1,0)</f>
        <v/>
      </c>
      <c r="R93" s="69">
        <f>IF(Q93=1,G93*L93,0)</f>
        <v/>
      </c>
      <c r="S93" s="69">
        <f>IF(Q93=1,(H93+I93)*U93,0)</f>
        <v/>
      </c>
      <c r="T93" s="59">
        <f>IF(Q93=1,G93,0)</f>
        <v/>
      </c>
      <c r="U93" s="170" t="n">
        <v>1</v>
      </c>
    </row>
    <row r="94">
      <c r="A94" s="54" t="inlineStr">
        <is>
          <t>US DC B4</t>
        </is>
      </c>
      <c r="B94" s="54" t="inlineStr">
        <is>
          <t>US</t>
        </is>
      </c>
      <c r="C94" s="54" t="inlineStr">
        <is>
          <t>B08KQJTP39</t>
        </is>
      </c>
      <c r="D94" s="54" t="inlineStr">
        <is>
          <t>BAMBOO-FULL-OLIVE</t>
        </is>
      </c>
      <c r="E94" s="54" t="inlineStr">
        <is>
          <t>Full</t>
        </is>
      </c>
      <c r="F94" s="54" t="inlineStr">
        <is>
          <t>Olive</t>
        </is>
      </c>
      <c r="G94" s="55" t="n">
        <v>11</v>
      </c>
      <c r="H94" s="167" t="n">
        <v>679.14</v>
      </c>
      <c r="I94" s="167" t="n">
        <v>0</v>
      </c>
      <c r="J94" s="168">
        <f>IF(AND(N(G94)&gt;0,N(H94)+N(I94)&gt;0),(H94+I94)*U94/G94,"")</f>
        <v/>
      </c>
      <c r="K94" s="167" t="n">
        <v>74.98999999999999</v>
      </c>
      <c r="L94" s="167" t="n">
        <v>55.57</v>
      </c>
      <c r="M94" s="54" t="inlineStr">
        <is>
          <t>Eligible</t>
        </is>
      </c>
      <c r="N94" s="168">
        <f>IF(OR(J94="",L94=""),"",L94-J94)</f>
        <v/>
      </c>
      <c r="O94" s="169">
        <f>IF(OR(J94="",L94=""),"",L94/J94-1)</f>
        <v/>
      </c>
      <c r="P94" s="169">
        <f>IF(OR(J94="",K94=""),"",K94/J94-1)</f>
        <v/>
      </c>
      <c r="Q94" s="54">
        <f>IF(AND(ISNUMBER(J94),ISNUMBER(L94)),1,0)</f>
        <v/>
      </c>
      <c r="R94" s="69">
        <f>IF(Q94=1,G94*L94,0)</f>
        <v/>
      </c>
      <c r="S94" s="69">
        <f>IF(Q94=1,(H94+I94)*U94,0)</f>
        <v/>
      </c>
      <c r="T94" s="59">
        <f>IF(Q94=1,G94,0)</f>
        <v/>
      </c>
      <c r="U94" s="170" t="n">
        <v>1</v>
      </c>
    </row>
    <row r="95">
      <c r="A95" s="54" t="inlineStr">
        <is>
          <t>US DC B4</t>
        </is>
      </c>
      <c r="B95" s="54" t="inlineStr">
        <is>
          <t>US</t>
        </is>
      </c>
      <c r="C95" s="54" t="inlineStr">
        <is>
          <t>B08KQKS54Q</t>
        </is>
      </c>
      <c r="D95" s="54" t="inlineStr">
        <is>
          <t>BAMBOO-TWIN-CREME</t>
        </is>
      </c>
      <c r="E95" s="54" t="inlineStr">
        <is>
          <t>Twin</t>
        </is>
      </c>
      <c r="F95" s="54" t="inlineStr">
        <is>
          <t>Creme</t>
        </is>
      </c>
      <c r="G95" s="55" t="n">
        <v>11</v>
      </c>
      <c r="H95" s="167" t="n">
        <v>574.64</v>
      </c>
      <c r="I95" s="167" t="n">
        <v>0</v>
      </c>
      <c r="J95" s="168">
        <f>IF(AND(N(G95)&gt;0,N(H95)+N(I95)&gt;0),(H95+I95)*U95/G95,"")</f>
        <v/>
      </c>
      <c r="K95" s="167" t="n">
        <v>64.98999999999999</v>
      </c>
      <c r="L95" s="167" t="n">
        <v>52.24</v>
      </c>
      <c r="M95" s="54" t="inlineStr">
        <is>
          <t>Eligible</t>
        </is>
      </c>
      <c r="N95" s="168">
        <f>IF(OR(J95="",L95=""),"",L95-J95)</f>
        <v/>
      </c>
      <c r="O95" s="169">
        <f>IF(OR(J95="",L95=""),"",L95/J95-1)</f>
        <v/>
      </c>
      <c r="P95" s="169">
        <f>IF(OR(J95="",K95=""),"",K95/J95-1)</f>
        <v/>
      </c>
      <c r="Q95" s="54">
        <f>IF(AND(ISNUMBER(J95),ISNUMBER(L95)),1,0)</f>
        <v/>
      </c>
      <c r="R95" s="69">
        <f>IF(Q95=1,G95*L95,0)</f>
        <v/>
      </c>
      <c r="S95" s="69">
        <f>IF(Q95=1,(H95+I95)*U95,0)</f>
        <v/>
      </c>
      <c r="T95" s="59">
        <f>IF(Q95=1,G95,0)</f>
        <v/>
      </c>
      <c r="U95" s="170" t="n">
        <v>1</v>
      </c>
    </row>
    <row r="96">
      <c r="A96" s="54" t="inlineStr">
        <is>
          <t>US DC B4</t>
        </is>
      </c>
      <c r="B96" s="54" t="inlineStr">
        <is>
          <t>US</t>
        </is>
      </c>
      <c r="C96" s="54" t="inlineStr">
        <is>
          <t>B08KQJZHGC</t>
        </is>
      </c>
      <c r="D96" s="54" t="inlineStr">
        <is>
          <t>BAMBOO-CALIFKING-OLIVE</t>
        </is>
      </c>
      <c r="E96" s="54" t="inlineStr">
        <is>
          <t>California King</t>
        </is>
      </c>
      <c r="F96" s="54" t="inlineStr">
        <is>
          <t>Olive</t>
        </is>
      </c>
      <c r="G96" s="55" t="n">
        <v>9</v>
      </c>
      <c r="H96" s="167" t="n">
        <v>641.16</v>
      </c>
      <c r="I96" s="167" t="n">
        <v>0</v>
      </c>
      <c r="J96" s="168">
        <f>IF(AND(N(G96)&gt;0,N(H96)+N(I96)&gt;0),(H96+I96)*U96/G96,"")</f>
        <v/>
      </c>
      <c r="K96" s="167" t="n">
        <v>94.98999999999999</v>
      </c>
      <c r="L96" s="167" t="n">
        <v>75.98</v>
      </c>
      <c r="M96" s="54" t="inlineStr">
        <is>
          <t>Eligible</t>
        </is>
      </c>
      <c r="N96" s="168">
        <f>IF(OR(J96="",L96=""),"",L96-J96)</f>
        <v/>
      </c>
      <c r="O96" s="169">
        <f>IF(OR(J96="",L96=""),"",L96/J96-1)</f>
        <v/>
      </c>
      <c r="P96" s="169">
        <f>IF(OR(J96="",K96=""),"",K96/J96-1)</f>
        <v/>
      </c>
      <c r="Q96" s="54">
        <f>IF(AND(ISNUMBER(J96),ISNUMBER(L96)),1,0)</f>
        <v/>
      </c>
      <c r="R96" s="69">
        <f>IF(Q96=1,G96*L96,0)</f>
        <v/>
      </c>
      <c r="S96" s="69">
        <f>IF(Q96=1,(H96+I96)*U96,0)</f>
        <v/>
      </c>
      <c r="T96" s="59">
        <f>IF(Q96=1,G96,0)</f>
        <v/>
      </c>
      <c r="U96" s="170" t="n">
        <v>1</v>
      </c>
    </row>
    <row r="97">
      <c r="A97" s="54" t="inlineStr">
        <is>
          <t>US DC B4</t>
        </is>
      </c>
      <c r="B97" s="54" t="inlineStr">
        <is>
          <t>US</t>
        </is>
      </c>
      <c r="C97" s="54" t="inlineStr">
        <is>
          <t>B08KQJP1K7</t>
        </is>
      </c>
      <c r="D97" s="54" t="inlineStr">
        <is>
          <t>BAMBOO-FULL-GREY</t>
        </is>
      </c>
      <c r="E97" s="54" t="inlineStr">
        <is>
          <t>Full</t>
        </is>
      </c>
      <c r="F97" s="54" t="inlineStr">
        <is>
          <t>Grey</t>
        </is>
      </c>
      <c r="G97" s="55" t="n">
        <v>9</v>
      </c>
      <c r="H97" s="167" t="n">
        <v>584.91</v>
      </c>
      <c r="I97" s="167" t="n">
        <v>0</v>
      </c>
      <c r="J97" s="168">
        <f>IF(AND(N(G97)&gt;0,N(H97)+N(I97)&gt;0),(H97+I97)*U97/G97,"")</f>
        <v/>
      </c>
      <c r="K97" s="167" t="n">
        <v>74.98999999999999</v>
      </c>
      <c r="L97" s="167" t="n">
        <v>61.74</v>
      </c>
      <c r="M97" s="54" t="inlineStr">
        <is>
          <t>Eligible</t>
        </is>
      </c>
      <c r="N97" s="168">
        <f>IF(OR(J97="",L97=""),"",L97-J97)</f>
        <v/>
      </c>
      <c r="O97" s="169">
        <f>IF(OR(J97="",L97=""),"",L97/J97-1)</f>
        <v/>
      </c>
      <c r="P97" s="169">
        <f>IF(OR(J97="",K97=""),"",K97/J97-1)</f>
        <v/>
      </c>
      <c r="Q97" s="54">
        <f>IF(AND(ISNUMBER(J97),ISNUMBER(L97)),1,0)</f>
        <v/>
      </c>
      <c r="R97" s="69">
        <f>IF(Q97=1,G97*L97,0)</f>
        <v/>
      </c>
      <c r="S97" s="69">
        <f>IF(Q97=1,(H97+I97)*U97,0)</f>
        <v/>
      </c>
      <c r="T97" s="59">
        <f>IF(Q97=1,G97,0)</f>
        <v/>
      </c>
      <c r="U97" s="170" t="n">
        <v>1</v>
      </c>
    </row>
    <row r="98">
      <c r="A98" s="54" t="inlineStr">
        <is>
          <t>US DC B4</t>
        </is>
      </c>
      <c r="B98" s="54" t="inlineStr">
        <is>
          <t>US</t>
        </is>
      </c>
      <c r="C98" s="54" t="inlineStr">
        <is>
          <t>B08KQKJXDK</t>
        </is>
      </c>
      <c r="D98" s="54" t="inlineStr">
        <is>
          <t>BAMBOO-TWIN-GREY</t>
        </is>
      </c>
      <c r="E98" s="54" t="inlineStr">
        <is>
          <t>Twin</t>
        </is>
      </c>
      <c r="F98" s="54" t="inlineStr">
        <is>
          <t>Grey</t>
        </is>
      </c>
      <c r="G98" s="55" t="n">
        <v>9</v>
      </c>
      <c r="H98" s="167" t="n">
        <v>470.16</v>
      </c>
      <c r="I98" s="167" t="n">
        <v>0</v>
      </c>
      <c r="J98" s="168">
        <f>IF(AND(N(G98)&gt;0,N(H98)+N(I98)&gt;0),(H98+I98)*U98/G98,"")</f>
        <v/>
      </c>
      <c r="K98" s="167" t="n">
        <v>64.98999999999999</v>
      </c>
      <c r="L98" s="167" t="n">
        <v>49.49</v>
      </c>
      <c r="M98" s="54" t="inlineStr">
        <is>
          <t>Eligible</t>
        </is>
      </c>
      <c r="N98" s="168">
        <f>IF(OR(J98="",L98=""),"",L98-J98)</f>
        <v/>
      </c>
      <c r="O98" s="169">
        <f>IF(OR(J98="",L98=""),"",L98/J98-1)</f>
        <v/>
      </c>
      <c r="P98" s="169">
        <f>IF(OR(J98="",K98=""),"",K98/J98-1)</f>
        <v/>
      </c>
      <c r="Q98" s="54">
        <f>IF(AND(ISNUMBER(J98),ISNUMBER(L98)),1,0)</f>
        <v/>
      </c>
      <c r="R98" s="69">
        <f>IF(Q98=1,G98*L98,0)</f>
        <v/>
      </c>
      <c r="S98" s="69">
        <f>IF(Q98=1,(H98+I98)*U98,0)</f>
        <v/>
      </c>
      <c r="T98" s="59">
        <f>IF(Q98=1,G98,0)</f>
        <v/>
      </c>
      <c r="U98" s="170" t="n">
        <v>1</v>
      </c>
    </row>
    <row r="99">
      <c r="A99" s="54" t="inlineStr">
        <is>
          <t>US DC B4</t>
        </is>
      </c>
      <c r="B99" s="54" t="inlineStr">
        <is>
          <t>US</t>
        </is>
      </c>
      <c r="C99" s="54" t="inlineStr">
        <is>
          <t>B08KQJRL41</t>
        </is>
      </c>
      <c r="D99" s="54" t="inlineStr">
        <is>
          <t>BAMBOO-TWIN-NAVYBLUE</t>
        </is>
      </c>
      <c r="E99" s="54" t="inlineStr">
        <is>
          <t>Twin</t>
        </is>
      </c>
      <c r="F99" s="54" t="inlineStr">
        <is>
          <t>Navy Blue</t>
        </is>
      </c>
      <c r="G99" s="55" t="n">
        <v>9</v>
      </c>
      <c r="H99" s="167" t="n">
        <v>470.16</v>
      </c>
      <c r="I99" s="167" t="n">
        <v>0</v>
      </c>
      <c r="J99" s="168">
        <f>IF(AND(N(G99)&gt;0,N(H99)+N(I99)&gt;0),(H99+I99)*U99/G99,"")</f>
        <v/>
      </c>
      <c r="K99" s="167" t="n">
        <v>64.98999999999999</v>
      </c>
      <c r="L99" s="167" t="n">
        <v>50.99</v>
      </c>
      <c r="M99" s="54" t="inlineStr">
        <is>
          <t>Eligible</t>
        </is>
      </c>
      <c r="N99" s="168">
        <f>IF(OR(J99="",L99=""),"",L99-J99)</f>
        <v/>
      </c>
      <c r="O99" s="169">
        <f>IF(OR(J99="",L99=""),"",L99/J99-1)</f>
        <v/>
      </c>
      <c r="P99" s="169">
        <f>IF(OR(J99="",K99=""),"",K99/J99-1)</f>
        <v/>
      </c>
      <c r="Q99" s="54">
        <f>IF(AND(ISNUMBER(J99),ISNUMBER(L99)),1,0)</f>
        <v/>
      </c>
      <c r="R99" s="69">
        <f>IF(Q99=1,G99*L99,0)</f>
        <v/>
      </c>
      <c r="S99" s="69">
        <f>IF(Q99=1,(H99+I99)*U99,0)</f>
        <v/>
      </c>
      <c r="T99" s="59">
        <f>IF(Q99=1,G99,0)</f>
        <v/>
      </c>
      <c r="U99" s="170" t="n">
        <v>1</v>
      </c>
    </row>
    <row r="100">
      <c r="A100" s="54" t="inlineStr">
        <is>
          <t>US DC B4</t>
        </is>
      </c>
      <c r="B100" s="54" t="inlineStr">
        <is>
          <t>US</t>
        </is>
      </c>
      <c r="C100" s="54" t="inlineStr">
        <is>
          <t>B0CLKBT95K</t>
        </is>
      </c>
      <c r="D100" s="54" t="inlineStr">
        <is>
          <t>BAMBOO-TWIN-SAGE GREEN</t>
        </is>
      </c>
      <c r="E100" s="54" t="inlineStr">
        <is>
          <t>Twin</t>
        </is>
      </c>
      <c r="F100" s="54" t="inlineStr">
        <is>
          <t>Sage Green</t>
        </is>
      </c>
      <c r="G100" s="55" t="n">
        <v>9</v>
      </c>
      <c r="H100" s="167" t="n">
        <v>470.16</v>
      </c>
      <c r="I100" s="167" t="n">
        <v>0</v>
      </c>
      <c r="J100" s="168">
        <f>IF(AND(N(G100)&gt;0,N(H100)+N(I100)&gt;0),(H100+I100)*U100/G100,"")</f>
        <v/>
      </c>
      <c r="K100" s="167" t="n">
        <v>64.98999999999999</v>
      </c>
      <c r="L100" s="167" t="n">
        <v>46.16</v>
      </c>
      <c r="M100" s="54" t="inlineStr">
        <is>
          <t>Eligible</t>
        </is>
      </c>
      <c r="N100" s="168">
        <f>IF(OR(J100="",L100=""),"",L100-J100)</f>
        <v/>
      </c>
      <c r="O100" s="169">
        <f>IF(OR(J100="",L100=""),"",L100/J100-1)</f>
        <v/>
      </c>
      <c r="P100" s="169">
        <f>IF(OR(J100="",K100=""),"",K100/J100-1)</f>
        <v/>
      </c>
      <c r="Q100" s="54">
        <f>IF(AND(ISNUMBER(J100),ISNUMBER(L100)),1,0)</f>
        <v/>
      </c>
      <c r="R100" s="69">
        <f>IF(Q100=1,G100*L100,0)</f>
        <v/>
      </c>
      <c r="S100" s="69">
        <f>IF(Q100=1,(H100+I100)*U100,0)</f>
        <v/>
      </c>
      <c r="T100" s="59">
        <f>IF(Q100=1,G100,0)</f>
        <v/>
      </c>
      <c r="U100" s="170" t="n">
        <v>1</v>
      </c>
    </row>
    <row r="101">
      <c r="A101" s="54" t="inlineStr">
        <is>
          <t>US DC B4</t>
        </is>
      </c>
      <c r="B101" s="54" t="inlineStr">
        <is>
          <t>US</t>
        </is>
      </c>
      <c r="C101" s="54" t="inlineStr">
        <is>
          <t>B08KQK8Z1J</t>
        </is>
      </c>
      <c r="D101" s="54" t="inlineStr">
        <is>
          <t>BAMBOO-TWIN-LIGHTGREY</t>
        </is>
      </c>
      <c r="E101" s="54" t="inlineStr">
        <is>
          <t>Twin</t>
        </is>
      </c>
      <c r="F101" s="54" t="inlineStr">
        <is>
          <t>Light Grey</t>
        </is>
      </c>
      <c r="G101" s="55" t="n">
        <v>8</v>
      </c>
      <c r="H101" s="167" t="n">
        <v>407.92</v>
      </c>
      <c r="I101" s="167" t="n">
        <v>0</v>
      </c>
      <c r="J101" s="168">
        <f>IF(AND(N(G101)&gt;0,N(H101)+N(I101)&gt;0),(H101+I101)*U101/G101,"")</f>
        <v/>
      </c>
      <c r="K101" s="167" t="n">
        <v>64.98999999999999</v>
      </c>
      <c r="L101" s="167" t="n">
        <v>48.44</v>
      </c>
      <c r="M101" s="54" t="inlineStr">
        <is>
          <t>Eligible</t>
        </is>
      </c>
      <c r="N101" s="168">
        <f>IF(OR(J101="",L101=""),"",L101-J101)</f>
        <v/>
      </c>
      <c r="O101" s="169">
        <f>IF(OR(J101="",L101=""),"",L101/J101-1)</f>
        <v/>
      </c>
      <c r="P101" s="169">
        <f>IF(OR(J101="",K101=""),"",K101/J101-1)</f>
        <v/>
      </c>
      <c r="Q101" s="54">
        <f>IF(AND(ISNUMBER(J101),ISNUMBER(L101)),1,0)</f>
        <v/>
      </c>
      <c r="R101" s="69">
        <f>IF(Q101=1,G101*L101,0)</f>
        <v/>
      </c>
      <c r="S101" s="69">
        <f>IF(Q101=1,(H101+I101)*U101,0)</f>
        <v/>
      </c>
      <c r="T101" s="59">
        <f>IF(Q101=1,G101,0)</f>
        <v/>
      </c>
      <c r="U101" s="170" t="n">
        <v>1</v>
      </c>
    </row>
    <row r="102">
      <c r="A102" s="54" t="inlineStr">
        <is>
          <t>US DC B4</t>
        </is>
      </c>
      <c r="B102" s="54" t="inlineStr">
        <is>
          <t>US</t>
        </is>
      </c>
      <c r="C102" s="54" t="inlineStr">
        <is>
          <t>B08KQJBFFZ</t>
        </is>
      </c>
      <c r="D102" s="54" t="inlineStr">
        <is>
          <t>BAMBOO-TWIN-TAUPE</t>
        </is>
      </c>
      <c r="E102" s="54" t="inlineStr">
        <is>
          <t>Twin</t>
        </is>
      </c>
      <c r="F102" s="54" t="inlineStr">
        <is>
          <t>Taupe</t>
        </is>
      </c>
      <c r="G102" s="55" t="n">
        <v>8</v>
      </c>
      <c r="H102" s="167" t="n">
        <v>417.92</v>
      </c>
      <c r="I102" s="167" t="n">
        <v>0</v>
      </c>
      <c r="J102" s="168">
        <f>IF(AND(N(G102)&gt;0,N(H102)+N(I102)&gt;0),(H102+I102)*U102/G102,"")</f>
        <v/>
      </c>
      <c r="K102" s="167" t="n">
        <v>64.98999999999999</v>
      </c>
      <c r="L102" s="167" t="n">
        <v>47.02</v>
      </c>
      <c r="M102" s="54" t="inlineStr">
        <is>
          <t>Eligible</t>
        </is>
      </c>
      <c r="N102" s="168">
        <f>IF(OR(J102="",L102=""),"",L102-J102)</f>
        <v/>
      </c>
      <c r="O102" s="169">
        <f>IF(OR(J102="",L102=""),"",L102/J102-1)</f>
        <v/>
      </c>
      <c r="P102" s="169">
        <f>IF(OR(J102="",K102=""),"",K102/J102-1)</f>
        <v/>
      </c>
      <c r="Q102" s="54">
        <f>IF(AND(ISNUMBER(J102),ISNUMBER(L102)),1,0)</f>
        <v/>
      </c>
      <c r="R102" s="69">
        <f>IF(Q102=1,G102*L102,0)</f>
        <v/>
      </c>
      <c r="S102" s="69">
        <f>IF(Q102=1,(H102+I102)*U102,0)</f>
        <v/>
      </c>
      <c r="T102" s="59">
        <f>IF(Q102=1,G102,0)</f>
        <v/>
      </c>
      <c r="U102" s="170" t="n">
        <v>1</v>
      </c>
    </row>
    <row r="103">
      <c r="A103" s="54" t="inlineStr">
        <is>
          <t>US DC B4</t>
        </is>
      </c>
      <c r="B103" s="54" t="inlineStr">
        <is>
          <t>US</t>
        </is>
      </c>
      <c r="C103" s="54" t="inlineStr">
        <is>
          <t>B0BZQ5SDNS</t>
        </is>
      </c>
      <c r="D103" s="54" t="inlineStr">
        <is>
          <t>BAMBOO-CALIFKING-PURPLE</t>
        </is>
      </c>
      <c r="E103" s="54" t="inlineStr">
        <is>
          <t>California King</t>
        </is>
      </c>
      <c r="F103" s="54" t="inlineStr">
        <is>
          <t>Purple</t>
        </is>
      </c>
      <c r="G103" s="55" t="n">
        <v>7</v>
      </c>
      <c r="H103" s="167" t="n">
        <v>498.68</v>
      </c>
      <c r="I103" s="167" t="n">
        <v>0</v>
      </c>
      <c r="J103" s="168">
        <f>IF(AND(N(G103)&gt;0,N(H103)+N(I103)&gt;0),(H103+I103)*U103/G103,"")</f>
        <v/>
      </c>
      <c r="K103" s="167" t="n">
        <v>94.98999999999999</v>
      </c>
      <c r="L103" s="167" t="n">
        <v>79.98999999999999</v>
      </c>
      <c r="M103" s="54" t="inlineStr">
        <is>
          <t>Eligible</t>
        </is>
      </c>
      <c r="N103" s="168">
        <f>IF(OR(J103="",L103=""),"",L103-J103)</f>
        <v/>
      </c>
      <c r="O103" s="169">
        <f>IF(OR(J103="",L103=""),"",L103/J103-1)</f>
        <v/>
      </c>
      <c r="P103" s="169">
        <f>IF(OR(J103="",K103=""),"",K103/J103-1)</f>
        <v/>
      </c>
      <c r="Q103" s="54">
        <f>IF(AND(ISNUMBER(J103),ISNUMBER(L103)),1,0)</f>
        <v/>
      </c>
      <c r="R103" s="69">
        <f>IF(Q103=1,G103*L103,0)</f>
        <v/>
      </c>
      <c r="S103" s="69">
        <f>IF(Q103=1,(H103+I103)*U103,0)</f>
        <v/>
      </c>
      <c r="T103" s="59">
        <f>IF(Q103=1,G103,0)</f>
        <v/>
      </c>
      <c r="U103" s="170" t="n">
        <v>1</v>
      </c>
    </row>
    <row r="104">
      <c r="A104" s="54" t="inlineStr">
        <is>
          <t>US DC B4</t>
        </is>
      </c>
      <c r="B104" s="54" t="inlineStr">
        <is>
          <t>US</t>
        </is>
      </c>
      <c r="C104" s="54" t="inlineStr">
        <is>
          <t>B0CLKCVLRG</t>
        </is>
      </c>
      <c r="D104" s="54" t="inlineStr">
        <is>
          <t>BAMBOO-CALIFKING-SAGE GREEN</t>
        </is>
      </c>
      <c r="E104" s="54" t="inlineStr">
        <is>
          <t>California King</t>
        </is>
      </c>
      <c r="F104" s="54" t="inlineStr">
        <is>
          <t>Sage Green</t>
        </is>
      </c>
      <c r="G104" s="55" t="n">
        <v>7</v>
      </c>
      <c r="H104" s="167" t="n">
        <v>498.68</v>
      </c>
      <c r="I104" s="167" t="n">
        <v>0</v>
      </c>
      <c r="J104" s="168">
        <f>IF(AND(N(G104)&gt;0,N(H104)+N(I104)&gt;0),(H104+I104)*U104/G104,"")</f>
        <v/>
      </c>
      <c r="K104" s="167" t="n">
        <v>94.98999999999999</v>
      </c>
      <c r="L104" s="167" t="n">
        <v>80.73999999999999</v>
      </c>
      <c r="M104" s="54" t="inlineStr">
        <is>
          <t>Eligible</t>
        </is>
      </c>
      <c r="N104" s="168">
        <f>IF(OR(J104="",L104=""),"",L104-J104)</f>
        <v/>
      </c>
      <c r="O104" s="169">
        <f>IF(OR(J104="",L104=""),"",L104/J104-1)</f>
        <v/>
      </c>
      <c r="P104" s="169">
        <f>IF(OR(J104="",K104=""),"",K104/J104-1)</f>
        <v/>
      </c>
      <c r="Q104" s="54">
        <f>IF(AND(ISNUMBER(J104),ISNUMBER(L104)),1,0)</f>
        <v/>
      </c>
      <c r="R104" s="69">
        <f>IF(Q104=1,G104*L104,0)</f>
        <v/>
      </c>
      <c r="S104" s="69">
        <f>IF(Q104=1,(H104+I104)*U104,0)</f>
        <v/>
      </c>
      <c r="T104" s="59">
        <f>IF(Q104=1,G104,0)</f>
        <v/>
      </c>
      <c r="U104" s="170" t="n">
        <v>1</v>
      </c>
    </row>
    <row r="105">
      <c r="A105" s="54" t="inlineStr">
        <is>
          <t>US DC B4</t>
        </is>
      </c>
      <c r="B105" s="54" t="inlineStr">
        <is>
          <t>US</t>
        </is>
      </c>
      <c r="C105" s="54" t="inlineStr">
        <is>
          <t>B0BZQ43D7W</t>
        </is>
      </c>
      <c r="D105" s="54" t="inlineStr">
        <is>
          <t>BAMBOO-FULL-MIDGREY</t>
        </is>
      </c>
      <c r="E105" s="54" t="inlineStr">
        <is>
          <t>Full</t>
        </is>
      </c>
      <c r="F105" s="54" t="inlineStr">
        <is>
          <t>Midgrey</t>
        </is>
      </c>
      <c r="G105" s="55" t="n">
        <v>7</v>
      </c>
      <c r="H105" s="167" t="n">
        <v>432.18</v>
      </c>
      <c r="I105" s="167" t="n">
        <v>0</v>
      </c>
      <c r="J105" s="168">
        <f>IF(AND(N(G105)&gt;0,N(H105)+N(I105)&gt;0),(H105+I105)*U105/G105,"")</f>
        <v/>
      </c>
      <c r="K105" s="167" t="n">
        <v>74.98999999999999</v>
      </c>
      <c r="L105" s="167" t="n">
        <v>55.57</v>
      </c>
      <c r="M105" s="54" t="inlineStr">
        <is>
          <t>Eligible</t>
        </is>
      </c>
      <c r="N105" s="168">
        <f>IF(OR(J105="",L105=""),"",L105-J105)</f>
        <v/>
      </c>
      <c r="O105" s="169">
        <f>IF(OR(J105="",L105=""),"",L105/J105-1)</f>
        <v/>
      </c>
      <c r="P105" s="169">
        <f>IF(OR(J105="",K105=""),"",K105/J105-1)</f>
        <v/>
      </c>
      <c r="Q105" s="54">
        <f>IF(AND(ISNUMBER(J105),ISNUMBER(L105)),1,0)</f>
        <v/>
      </c>
      <c r="R105" s="69">
        <f>IF(Q105=1,G105*L105,0)</f>
        <v/>
      </c>
      <c r="S105" s="69">
        <f>IF(Q105=1,(H105+I105)*U105,0)</f>
        <v/>
      </c>
      <c r="T105" s="59">
        <f>IF(Q105=1,G105,0)</f>
        <v/>
      </c>
      <c r="U105" s="170" t="n">
        <v>1</v>
      </c>
    </row>
    <row r="106">
      <c r="A106" s="54" t="inlineStr">
        <is>
          <t>US DC B4</t>
        </is>
      </c>
      <c r="B106" s="54" t="inlineStr">
        <is>
          <t>US</t>
        </is>
      </c>
      <c r="C106" s="54" t="inlineStr">
        <is>
          <t>B0BZQ39BTX</t>
        </is>
      </c>
      <c r="D106" s="54" t="inlineStr">
        <is>
          <t>BAMBOO-TWIN-PURPLE</t>
        </is>
      </c>
      <c r="E106" s="54" t="inlineStr">
        <is>
          <t>Twin</t>
        </is>
      </c>
      <c r="F106" s="54" t="inlineStr">
        <is>
          <t>Purple</t>
        </is>
      </c>
      <c r="G106" s="55" t="n">
        <v>6</v>
      </c>
      <c r="H106" s="167" t="n">
        <v>313.44</v>
      </c>
      <c r="I106" s="167" t="n">
        <v>0</v>
      </c>
      <c r="J106" s="168">
        <f>IF(AND(N(G106)&gt;0,N(H106)+N(I106)&gt;0),(H106+I106)*U106/G106,"")</f>
        <v/>
      </c>
      <c r="K106" s="167" t="n">
        <v>64.98999999999999</v>
      </c>
      <c r="L106" s="167" t="n">
        <v>47.02</v>
      </c>
      <c r="M106" s="54" t="inlineStr">
        <is>
          <t>Eligible</t>
        </is>
      </c>
      <c r="N106" s="168">
        <f>IF(OR(J106="",L106=""),"",L106-J106)</f>
        <v/>
      </c>
      <c r="O106" s="169">
        <f>IF(OR(J106="",L106=""),"",L106/J106-1)</f>
        <v/>
      </c>
      <c r="P106" s="169">
        <f>IF(OR(J106="",K106=""),"",K106/J106-1)</f>
        <v/>
      </c>
      <c r="Q106" s="54">
        <f>IF(AND(ISNUMBER(J106),ISNUMBER(L106)),1,0)</f>
        <v/>
      </c>
      <c r="R106" s="69">
        <f>IF(Q106=1,G106*L106,0)</f>
        <v/>
      </c>
      <c r="S106" s="69">
        <f>IF(Q106=1,(H106+I106)*U106,0)</f>
        <v/>
      </c>
      <c r="T106" s="59">
        <f>IF(Q106=1,G106,0)</f>
        <v/>
      </c>
      <c r="U106" s="170" t="n">
        <v>1</v>
      </c>
    </row>
    <row r="107">
      <c r="A107" s="54" t="inlineStr">
        <is>
          <t>US DC B4</t>
        </is>
      </c>
      <c r="B107" s="54" t="inlineStr">
        <is>
          <t>US</t>
        </is>
      </c>
      <c r="C107" s="54" t="inlineStr">
        <is>
          <t>B0BZQ19Z47</t>
        </is>
      </c>
      <c r="D107" s="54" t="inlineStr">
        <is>
          <t>BAMBOO-CALIFKING-LIGHTOLIVE</t>
        </is>
      </c>
      <c r="E107" s="54" t="inlineStr">
        <is>
          <t>California King</t>
        </is>
      </c>
      <c r="F107" s="54" t="inlineStr">
        <is>
          <t>Light Olive</t>
        </is>
      </c>
      <c r="G107" s="55" t="n">
        <v>5</v>
      </c>
      <c r="H107" s="167" t="n">
        <v>356.2</v>
      </c>
      <c r="I107" s="167" t="n">
        <v>0</v>
      </c>
      <c r="J107" s="168">
        <f>IF(AND(N(G107)&gt;0,N(H107)+N(I107)&gt;0),(H107+I107)*U107/G107,"")</f>
        <v/>
      </c>
      <c r="K107" s="167" t="n">
        <v>94.98999999999999</v>
      </c>
      <c r="L107" s="167" t="n">
        <v>79.98999999999999</v>
      </c>
      <c r="M107" s="54" t="inlineStr">
        <is>
          <t>Eligible</t>
        </is>
      </c>
      <c r="N107" s="168">
        <f>IF(OR(J107="",L107=""),"",L107-J107)</f>
        <v/>
      </c>
      <c r="O107" s="169">
        <f>IF(OR(J107="",L107=""),"",L107/J107-1)</f>
        <v/>
      </c>
      <c r="P107" s="169">
        <f>IF(OR(J107="",K107=""),"",K107/J107-1)</f>
        <v/>
      </c>
      <c r="Q107" s="54">
        <f>IF(AND(ISNUMBER(J107),ISNUMBER(L107)),1,0)</f>
        <v/>
      </c>
      <c r="R107" s="69">
        <f>IF(Q107=1,G107*L107,0)</f>
        <v/>
      </c>
      <c r="S107" s="69">
        <f>IF(Q107=1,(H107+I107)*U107,0)</f>
        <v/>
      </c>
      <c r="T107" s="59">
        <f>IF(Q107=1,G107,0)</f>
        <v/>
      </c>
      <c r="U107" s="170" t="n">
        <v>1</v>
      </c>
    </row>
    <row r="108">
      <c r="A108" s="54" t="inlineStr">
        <is>
          <t>US DC B4</t>
        </is>
      </c>
      <c r="B108" s="54" t="inlineStr">
        <is>
          <t>US</t>
        </is>
      </c>
      <c r="C108" s="54" t="inlineStr">
        <is>
          <t>B0BZQ1G5B8</t>
        </is>
      </c>
      <c r="D108" s="54" t="inlineStr">
        <is>
          <t>BAMBOO-CALIFKING-BLACK</t>
        </is>
      </c>
      <c r="E108" s="54" t="inlineStr">
        <is>
          <t>California King</t>
        </is>
      </c>
      <c r="F108" s="54" t="inlineStr">
        <is>
          <t>Black</t>
        </is>
      </c>
      <c r="G108" s="55" t="n">
        <v>4</v>
      </c>
      <c r="H108" s="167" t="n">
        <v>284.96</v>
      </c>
      <c r="I108" s="167" t="n">
        <v>0</v>
      </c>
      <c r="J108" s="168">
        <f>IF(AND(N(G108)&gt;0,N(H108)+N(I108)&gt;0),(H108+I108)*U108/G108,"")</f>
        <v/>
      </c>
      <c r="K108" s="167" t="n">
        <v>94.98999999999999</v>
      </c>
      <c r="L108" s="167" t="n">
        <v>71.98999999999999</v>
      </c>
      <c r="M108" s="54" t="inlineStr">
        <is>
          <t>Eligible</t>
        </is>
      </c>
      <c r="N108" s="168">
        <f>IF(OR(J108="",L108=""),"",L108-J108)</f>
        <v/>
      </c>
      <c r="O108" s="169">
        <f>IF(OR(J108="",L108=""),"",L108/J108-1)</f>
        <v/>
      </c>
      <c r="P108" s="169">
        <f>IF(OR(J108="",K108=""),"",K108/J108-1)</f>
        <v/>
      </c>
      <c r="Q108" s="54">
        <f>IF(AND(ISNUMBER(J108),ISNUMBER(L108)),1,0)</f>
        <v/>
      </c>
      <c r="R108" s="69">
        <f>IF(Q108=1,G108*L108,0)</f>
        <v/>
      </c>
      <c r="S108" s="69">
        <f>IF(Q108=1,(H108+I108)*U108,0)</f>
        <v/>
      </c>
      <c r="T108" s="59">
        <f>IF(Q108=1,G108,0)</f>
        <v/>
      </c>
      <c r="U108" s="170" t="n">
        <v>1</v>
      </c>
    </row>
    <row r="109">
      <c r="A109" s="54" t="inlineStr">
        <is>
          <t>US DC B4</t>
        </is>
      </c>
      <c r="B109" s="54" t="inlineStr">
        <is>
          <t>US</t>
        </is>
      </c>
      <c r="C109" s="54" t="inlineStr">
        <is>
          <t>B0CLKD23ZH</t>
        </is>
      </c>
      <c r="D109" s="54" t="inlineStr">
        <is>
          <t>BAMBOO-CALIFKING-LIGHT PINK</t>
        </is>
      </c>
      <c r="E109" s="54" t="inlineStr">
        <is>
          <t>California King</t>
        </is>
      </c>
      <c r="F109" s="54" t="inlineStr">
        <is>
          <t>Light Pink</t>
        </is>
      </c>
      <c r="G109" s="55" t="n">
        <v>4</v>
      </c>
      <c r="H109" s="167" t="n">
        <v>284.96</v>
      </c>
      <c r="I109" s="167" t="n">
        <v>0</v>
      </c>
      <c r="J109" s="168">
        <f>IF(AND(N(G109)&gt;0,N(H109)+N(I109)&gt;0),(H109+I109)*U109/G109,"")</f>
        <v/>
      </c>
      <c r="K109" s="167" t="n">
        <v>94.98999999999999</v>
      </c>
      <c r="L109" s="167" t="n">
        <v>79.98999999999999</v>
      </c>
      <c r="M109" s="54" t="inlineStr">
        <is>
          <t>Eligible</t>
        </is>
      </c>
      <c r="N109" s="168">
        <f>IF(OR(J109="",L109=""),"",L109-J109)</f>
        <v/>
      </c>
      <c r="O109" s="169">
        <f>IF(OR(J109="",L109=""),"",L109/J109-1)</f>
        <v/>
      </c>
      <c r="P109" s="169">
        <f>IF(OR(J109="",K109=""),"",K109/J109-1)</f>
        <v/>
      </c>
      <c r="Q109" s="54">
        <f>IF(AND(ISNUMBER(J109),ISNUMBER(L109)),1,0)</f>
        <v/>
      </c>
      <c r="R109" s="69">
        <f>IF(Q109=1,G109*L109,0)</f>
        <v/>
      </c>
      <c r="S109" s="69">
        <f>IF(Q109=1,(H109+I109)*U109,0)</f>
        <v/>
      </c>
      <c r="T109" s="59">
        <f>IF(Q109=1,G109,0)</f>
        <v/>
      </c>
      <c r="U109" s="170" t="n">
        <v>1</v>
      </c>
    </row>
    <row r="110">
      <c r="A110" s="54" t="inlineStr">
        <is>
          <t>US DC B4</t>
        </is>
      </c>
      <c r="B110" s="54" t="inlineStr">
        <is>
          <t>US</t>
        </is>
      </c>
      <c r="C110" s="54" t="inlineStr">
        <is>
          <t>B0BZQ3XM7P</t>
        </is>
      </c>
      <c r="D110" s="54" t="inlineStr">
        <is>
          <t>BAMBOO-TWIN-LIGHTOLIVE</t>
        </is>
      </c>
      <c r="E110" s="54" t="inlineStr">
        <is>
          <t>Twin</t>
        </is>
      </c>
      <c r="F110" s="54" t="inlineStr">
        <is>
          <t>Light Olive</t>
        </is>
      </c>
      <c r="G110" s="55" t="n">
        <v>3</v>
      </c>
      <c r="H110" s="167" t="n">
        <v>140.22</v>
      </c>
      <c r="I110" s="167" t="n">
        <v>0</v>
      </c>
      <c r="J110" s="168">
        <f>IF(AND(N(G110)&gt;0,N(H110)+N(I110)&gt;0),(H110+I110)*U110/G110,"")</f>
        <v/>
      </c>
      <c r="K110" s="167" t="n">
        <v>64.98999999999999</v>
      </c>
      <c r="L110" s="167" t="n">
        <v>54.99</v>
      </c>
      <c r="M110" s="54" t="inlineStr">
        <is>
          <t>Eligible</t>
        </is>
      </c>
      <c r="N110" s="168">
        <f>IF(OR(J110="",L110=""),"",L110-J110)</f>
        <v/>
      </c>
      <c r="O110" s="169">
        <f>IF(OR(J110="",L110=""),"",L110/J110-1)</f>
        <v/>
      </c>
      <c r="P110" s="169">
        <f>IF(OR(J110="",K110=""),"",K110/J110-1)</f>
        <v/>
      </c>
      <c r="Q110" s="54">
        <f>IF(AND(ISNUMBER(J110),ISNUMBER(L110)),1,0)</f>
        <v/>
      </c>
      <c r="R110" s="69">
        <f>IF(Q110=1,G110*L110,0)</f>
        <v/>
      </c>
      <c r="S110" s="69">
        <f>IF(Q110=1,(H110+I110)*U110,0)</f>
        <v/>
      </c>
      <c r="T110" s="59">
        <f>IF(Q110=1,G110,0)</f>
        <v/>
      </c>
      <c r="U110" s="170" t="n">
        <v>1</v>
      </c>
    </row>
    <row r="111">
      <c r="A111" s="54" t="inlineStr">
        <is>
          <t>US DC B4</t>
        </is>
      </c>
      <c r="B111" s="54" t="inlineStr">
        <is>
          <t>US</t>
        </is>
      </c>
      <c r="C111" s="54" t="inlineStr">
        <is>
          <t>B0BZPYZ1XY</t>
        </is>
      </c>
      <c r="D111" s="54" t="inlineStr">
        <is>
          <t>BAMBOO-FULL-BLACK</t>
        </is>
      </c>
      <c r="E111" s="54" t="inlineStr">
        <is>
          <t>Full</t>
        </is>
      </c>
      <c r="F111" s="54" t="inlineStr">
        <is>
          <t>Black</t>
        </is>
      </c>
      <c r="G111" s="55" t="n">
        <v>2</v>
      </c>
      <c r="H111" s="167" t="n">
        <v>129.98</v>
      </c>
      <c r="I111" s="167" t="n">
        <v>0</v>
      </c>
      <c r="J111" s="168">
        <f>IF(AND(N(G111)&gt;0,N(H111)+N(I111)&gt;0),(H111+I111)*U111/G111,"")</f>
        <v/>
      </c>
      <c r="K111" s="167" t="n">
        <v>74.98999999999999</v>
      </c>
      <c r="L111" s="167" t="n">
        <v>61.74</v>
      </c>
      <c r="M111" s="54" t="inlineStr">
        <is>
          <t>Eligible</t>
        </is>
      </c>
      <c r="N111" s="168">
        <f>IF(OR(J111="",L111=""),"",L111-J111)</f>
        <v/>
      </c>
      <c r="O111" s="169">
        <f>IF(OR(J111="",L111=""),"",L111/J111-1)</f>
        <v/>
      </c>
      <c r="P111" s="169">
        <f>IF(OR(J111="",K111=""),"",K111/J111-1)</f>
        <v/>
      </c>
      <c r="Q111" s="54">
        <f>IF(AND(ISNUMBER(J111),ISNUMBER(L111)),1,0)</f>
        <v/>
      </c>
      <c r="R111" s="69">
        <f>IF(Q111=1,G111*L111,0)</f>
        <v/>
      </c>
      <c r="S111" s="69">
        <f>IF(Q111=1,(H111+I111)*U111,0)</f>
        <v/>
      </c>
      <c r="T111" s="59">
        <f>IF(Q111=1,G111,0)</f>
        <v/>
      </c>
      <c r="U111" s="170" t="n">
        <v>1</v>
      </c>
    </row>
    <row r="112">
      <c r="A112" s="54" t="inlineStr">
        <is>
          <t>US DC B4</t>
        </is>
      </c>
      <c r="B112" s="54" t="inlineStr">
        <is>
          <t>US</t>
        </is>
      </c>
      <c r="C112" s="54" t="inlineStr">
        <is>
          <t>B0BZPZPGDC</t>
        </is>
      </c>
      <c r="D112" s="54" t="inlineStr">
        <is>
          <t>BAMBOO-FULL-LIGHTOLIVE</t>
        </is>
      </c>
      <c r="E112" s="54" t="inlineStr">
        <is>
          <t>Full</t>
        </is>
      </c>
      <c r="F112" s="54" t="inlineStr">
        <is>
          <t>Light Olive</t>
        </is>
      </c>
      <c r="G112" s="55" t="n">
        <v>2</v>
      </c>
      <c r="H112" s="167" t="n">
        <v>123.48</v>
      </c>
      <c r="I112" s="167" t="n">
        <v>0</v>
      </c>
      <c r="J112" s="168">
        <f>IF(AND(N(G112)&gt;0,N(H112)+N(I112)&gt;0),(H112+I112)*U112/G112,"")</f>
        <v/>
      </c>
      <c r="K112" s="167" t="n">
        <v>74.98999999999999</v>
      </c>
      <c r="L112" s="167" t="n">
        <v>58.49</v>
      </c>
      <c r="M112" s="54" t="inlineStr">
        <is>
          <t>Eligible</t>
        </is>
      </c>
      <c r="N112" s="168">
        <f>IF(OR(J112="",L112=""),"",L112-J112)</f>
        <v/>
      </c>
      <c r="O112" s="169">
        <f>IF(OR(J112="",L112=""),"",L112/J112-1)</f>
        <v/>
      </c>
      <c r="P112" s="169">
        <f>IF(OR(J112="",K112=""),"",K112/J112-1)</f>
        <v/>
      </c>
      <c r="Q112" s="54">
        <f>IF(AND(ISNUMBER(J112),ISNUMBER(L112)),1,0)</f>
        <v/>
      </c>
      <c r="R112" s="69">
        <f>IF(Q112=1,G112*L112,0)</f>
        <v/>
      </c>
      <c r="S112" s="69">
        <f>IF(Q112=1,(H112+I112)*U112,0)</f>
        <v/>
      </c>
      <c r="T112" s="59">
        <f>IF(Q112=1,G112,0)</f>
        <v/>
      </c>
      <c r="U112" s="170" t="n">
        <v>1</v>
      </c>
    </row>
    <row r="113">
      <c r="A113" s="54" t="inlineStr">
        <is>
          <t>US DC B4</t>
        </is>
      </c>
      <c r="B113" s="54" t="inlineStr">
        <is>
          <t>US</t>
        </is>
      </c>
      <c r="C113" s="54" t="inlineStr">
        <is>
          <t>B0BZQ228PV</t>
        </is>
      </c>
      <c r="D113" s="54" t="inlineStr">
        <is>
          <t>BAMBOO-TWIN-CHARCOAL</t>
        </is>
      </c>
      <c r="E113" s="54" t="inlineStr">
        <is>
          <t>Twin</t>
        </is>
      </c>
      <c r="F113" s="54" t="inlineStr">
        <is>
          <t>Charcoal</t>
        </is>
      </c>
      <c r="G113" s="55" t="n">
        <v>2</v>
      </c>
      <c r="H113" s="167" t="n">
        <v>93.48</v>
      </c>
      <c r="I113" s="167" t="n">
        <v>0</v>
      </c>
      <c r="J113" s="168">
        <f>IF(AND(N(G113)&gt;0,N(H113)+N(I113)&gt;0),(H113+I113)*U113/G113,"")</f>
        <v/>
      </c>
      <c r="K113" s="167" t="n">
        <v>64.98999999999999</v>
      </c>
      <c r="L113" s="167" t="n"/>
      <c r="M113" s="54" t="inlineStr">
        <is>
          <t>No reference price</t>
        </is>
      </c>
      <c r="N113" s="168">
        <f>IF(OR(J113="",L113=""),"",L113-J113)</f>
        <v/>
      </c>
      <c r="O113" s="169">
        <f>IF(OR(J113="",L113=""),"",L113/J113-1)</f>
        <v/>
      </c>
      <c r="P113" s="169">
        <f>IF(OR(J113="",K113=""),"",K113/J113-1)</f>
        <v/>
      </c>
      <c r="Q113" s="54">
        <f>IF(AND(ISNUMBER(J113),ISNUMBER(L113)),1,0)</f>
        <v/>
      </c>
      <c r="R113" s="69">
        <f>IF(Q113=1,G113*L113,0)</f>
        <v/>
      </c>
      <c r="S113" s="69">
        <f>IF(Q113=1,(H113+I113)*U113,0)</f>
        <v/>
      </c>
      <c r="T113" s="59">
        <f>IF(Q113=1,G113,0)</f>
        <v/>
      </c>
      <c r="U113" s="170" t="n">
        <v>1</v>
      </c>
    </row>
    <row r="114">
      <c r="A114" s="54" t="inlineStr">
        <is>
          <t>CA DC B4</t>
        </is>
      </c>
      <c r="B114" s="54" t="inlineStr">
        <is>
          <t>CA</t>
        </is>
      </c>
      <c r="C114" s="54" t="inlineStr">
        <is>
          <t>B08KQJMZ8Q</t>
        </is>
      </c>
      <c r="D114" s="54" t="inlineStr">
        <is>
          <t>BAMBOO-QUEEN-TAUPE</t>
        </is>
      </c>
      <c r="E114" s="54" t="inlineStr">
        <is>
          <t>Queen</t>
        </is>
      </c>
      <c r="F114" s="54" t="inlineStr">
        <is>
          <t>Taupe</t>
        </is>
      </c>
      <c r="G114" s="55" t="n">
        <v>59</v>
      </c>
      <c r="H114" s="167" t="n">
        <v>3157.59</v>
      </c>
      <c r="I114" s="167" t="n">
        <v>0</v>
      </c>
      <c r="J114" s="171">
        <f>IF(AND(N(G114)&gt;0,N(H114)+N(I114)&gt;0),(H114+I114)*U114/G114,"")</f>
        <v/>
      </c>
      <c r="K114" s="172" t="n">
        <v>99.98999999999999</v>
      </c>
      <c r="L114" s="172" t="n">
        <v>84.78</v>
      </c>
      <c r="M114" s="54" t="inlineStr">
        <is>
          <t>Eligible</t>
        </is>
      </c>
      <c r="N114" s="171">
        <f>IF(OR(J114="",L114=""),"",L114-J114)</f>
        <v/>
      </c>
      <c r="O114" s="169">
        <f>IF(OR(J114="",L114=""),"",L114/J114-1)</f>
        <v/>
      </c>
      <c r="P114" s="169">
        <f>IF(OR(J114="",K114=""),"",K114/J114-1)</f>
        <v/>
      </c>
      <c r="Q114" s="54">
        <f>IF(AND(ISNUMBER(J114),ISNUMBER(L114)),1,0)</f>
        <v/>
      </c>
      <c r="R114" s="69">
        <f>IF(Q114=1,G114*L114,0)</f>
        <v/>
      </c>
      <c r="S114" s="69">
        <f>IF(Q114=1,(H114+I114)*U114,0)</f>
        <v/>
      </c>
      <c r="T114" s="59">
        <f>IF(Q114=1,G114,0)</f>
        <v/>
      </c>
      <c r="U114" s="170">
        <f>$G$3</f>
        <v/>
      </c>
    </row>
    <row r="115">
      <c r="A115" s="54" t="inlineStr">
        <is>
          <t>CA DC B4</t>
        </is>
      </c>
      <c r="B115" s="54" t="inlineStr">
        <is>
          <t>CA</t>
        </is>
      </c>
      <c r="C115" s="54" t="inlineStr">
        <is>
          <t>B08KQHRDDG</t>
        </is>
      </c>
      <c r="D115" s="54" t="inlineStr">
        <is>
          <t>BAMBOO-KING-WHITE</t>
        </is>
      </c>
      <c r="E115" s="54" t="inlineStr">
        <is>
          <t>King</t>
        </is>
      </c>
      <c r="F115" s="54" t="inlineStr">
        <is>
          <t>White</t>
        </is>
      </c>
      <c r="G115" s="55" t="n">
        <v>55</v>
      </c>
      <c r="H115" s="167" t="n">
        <v>3134.29</v>
      </c>
      <c r="I115" s="167" t="n">
        <v>0</v>
      </c>
      <c r="J115" s="171">
        <f>IF(AND(N(G115)&gt;0,N(H115)+N(I115)&gt;0),(H115+I115)*U115/G115,"")</f>
        <v/>
      </c>
      <c r="K115" s="172" t="n">
        <v>99.98999999999999</v>
      </c>
      <c r="L115" s="172" t="n">
        <v>80.73999999999999</v>
      </c>
      <c r="M115" s="54" t="inlineStr">
        <is>
          <t>Eligible</t>
        </is>
      </c>
      <c r="N115" s="171">
        <f>IF(OR(J115="",L115=""),"",L115-J115)</f>
        <v/>
      </c>
      <c r="O115" s="169">
        <f>IF(OR(J115="",L115=""),"",L115/J115-1)</f>
        <v/>
      </c>
      <c r="P115" s="169">
        <f>IF(OR(J115="",K115=""),"",K115/J115-1)</f>
        <v/>
      </c>
      <c r="Q115" s="54">
        <f>IF(AND(ISNUMBER(J115),ISNUMBER(L115)),1,0)</f>
        <v/>
      </c>
      <c r="R115" s="69">
        <f>IF(Q115=1,G115*L115,0)</f>
        <v/>
      </c>
      <c r="S115" s="69">
        <f>IF(Q115=1,(H115+I115)*U115,0)</f>
        <v/>
      </c>
      <c r="T115" s="59">
        <f>IF(Q115=1,G115,0)</f>
        <v/>
      </c>
      <c r="U115" s="170">
        <f>$G$3</f>
        <v/>
      </c>
    </row>
    <row r="116">
      <c r="A116" s="54" t="inlineStr">
        <is>
          <t>CA DC B4</t>
        </is>
      </c>
      <c r="B116" s="54" t="inlineStr">
        <is>
          <t>CA</t>
        </is>
      </c>
      <c r="C116" s="54" t="inlineStr">
        <is>
          <t>B08KQJ3M9N</t>
        </is>
      </c>
      <c r="D116" s="54" t="inlineStr">
        <is>
          <t>BAMBOO-KING-LIGHTGREY</t>
        </is>
      </c>
      <c r="E116" s="54" t="inlineStr">
        <is>
          <t>King</t>
        </is>
      </c>
      <c r="F116" s="54" t="inlineStr">
        <is>
          <t>Light Grey</t>
        </is>
      </c>
      <c r="G116" s="55" t="n">
        <v>51</v>
      </c>
      <c r="H116" s="167" t="n">
        <v>2313.7</v>
      </c>
      <c r="I116" s="167" t="n">
        <v>0</v>
      </c>
      <c r="J116" s="171">
        <f>IF(AND(N(G116)&gt;0,N(H116)+N(I116)&gt;0),(H116+I116)*U116/G116,"")</f>
        <v/>
      </c>
      <c r="K116" s="172" t="n">
        <v>99.98999999999999</v>
      </c>
      <c r="L116" s="172" t="n">
        <v>84.98999999999999</v>
      </c>
      <c r="M116" s="54" t="inlineStr">
        <is>
          <t>Eligible</t>
        </is>
      </c>
      <c r="N116" s="171">
        <f>IF(OR(J116="",L116=""),"",L116-J116)</f>
        <v/>
      </c>
      <c r="O116" s="169">
        <f>IF(OR(J116="",L116=""),"",L116/J116-1)</f>
        <v/>
      </c>
      <c r="P116" s="169">
        <f>IF(OR(J116="",K116=""),"",K116/J116-1)</f>
        <v/>
      </c>
      <c r="Q116" s="54">
        <f>IF(AND(ISNUMBER(J116),ISNUMBER(L116)),1,0)</f>
        <v/>
      </c>
      <c r="R116" s="69">
        <f>IF(Q116=1,G116*L116,0)</f>
        <v/>
      </c>
      <c r="S116" s="69">
        <f>IF(Q116=1,(H116+I116)*U116,0)</f>
        <v/>
      </c>
      <c r="T116" s="59">
        <f>IF(Q116=1,G116,0)</f>
        <v/>
      </c>
      <c r="U116" s="170">
        <f>$G$3</f>
        <v/>
      </c>
    </row>
    <row r="117">
      <c r="A117" s="54" t="inlineStr">
        <is>
          <t>CA DC B4</t>
        </is>
      </c>
      <c r="B117" s="54" t="inlineStr">
        <is>
          <t>CA</t>
        </is>
      </c>
      <c r="C117" s="54" t="inlineStr">
        <is>
          <t>B0BZQ19Z44</t>
        </is>
      </c>
      <c r="D117" s="54" t="inlineStr">
        <is>
          <t>BAMBOO-QUEEN-LIGHTOLIVE</t>
        </is>
      </c>
      <c r="E117" s="54" t="inlineStr">
        <is>
          <t>Queen</t>
        </is>
      </c>
      <c r="F117" s="54" t="inlineStr">
        <is>
          <t>Light Olive</t>
        </is>
      </c>
      <c r="G117" s="55" t="n">
        <v>44</v>
      </c>
      <c r="H117" s="167" t="n">
        <v>2132.91</v>
      </c>
      <c r="I117" s="167" t="n">
        <v>0</v>
      </c>
      <c r="J117" s="171">
        <f>IF(AND(N(G117)&gt;0,N(H117)+N(I117)&gt;0),(H117+I117)*U117/G117,"")</f>
        <v/>
      </c>
      <c r="K117" s="172" t="n">
        <v>99.98999999999999</v>
      </c>
      <c r="L117" s="172" t="n">
        <v>99.98999999999999</v>
      </c>
      <c r="M117" s="54" t="inlineStr">
        <is>
          <t>Eligible</t>
        </is>
      </c>
      <c r="N117" s="171">
        <f>IF(OR(J117="",L117=""),"",L117-J117)</f>
        <v/>
      </c>
      <c r="O117" s="169">
        <f>IF(OR(J117="",L117=""),"",L117/J117-1)</f>
        <v/>
      </c>
      <c r="P117" s="169">
        <f>IF(OR(J117="",K117=""),"",K117/J117-1)</f>
        <v/>
      </c>
      <c r="Q117" s="54">
        <f>IF(AND(ISNUMBER(J117),ISNUMBER(L117)),1,0)</f>
        <v/>
      </c>
      <c r="R117" s="69">
        <f>IF(Q117=1,G117*L117,0)</f>
        <v/>
      </c>
      <c r="S117" s="69">
        <f>IF(Q117=1,(H117+I117)*U117,0)</f>
        <v/>
      </c>
      <c r="T117" s="59">
        <f>IF(Q117=1,G117,0)</f>
        <v/>
      </c>
      <c r="U117" s="170">
        <f>$G$3</f>
        <v/>
      </c>
    </row>
    <row r="118">
      <c r="A118" s="54" t="inlineStr">
        <is>
          <t>CA DC B4</t>
        </is>
      </c>
      <c r="B118" s="54" t="inlineStr">
        <is>
          <t>CA</t>
        </is>
      </c>
      <c r="C118" s="54" t="inlineStr">
        <is>
          <t>B08KQJQ3C2</t>
        </is>
      </c>
      <c r="D118" s="54" t="inlineStr">
        <is>
          <t>BAMBOO-KING-GREY</t>
        </is>
      </c>
      <c r="E118" s="54" t="inlineStr">
        <is>
          <t>King</t>
        </is>
      </c>
      <c r="F118" s="54" t="inlineStr">
        <is>
          <t>Grey</t>
        </is>
      </c>
      <c r="G118" s="55" t="n">
        <v>43</v>
      </c>
      <c r="H118" s="167" t="n">
        <v>2080.08</v>
      </c>
      <c r="I118" s="167" t="n">
        <v>0</v>
      </c>
      <c r="J118" s="171">
        <f>IF(AND(N(G118)&gt;0,N(H118)+N(I118)&gt;0),(H118+I118)*U118/G118,"")</f>
        <v/>
      </c>
      <c r="K118" s="172" t="n">
        <v>99.98999999999999</v>
      </c>
      <c r="L118" s="172" t="n">
        <v>75.81</v>
      </c>
      <c r="M118" s="54" t="inlineStr">
        <is>
          <t>Eligible</t>
        </is>
      </c>
      <c r="N118" s="171">
        <f>IF(OR(J118="",L118=""),"",L118-J118)</f>
        <v/>
      </c>
      <c r="O118" s="169">
        <f>IF(OR(J118="",L118=""),"",L118/J118-1)</f>
        <v/>
      </c>
      <c r="P118" s="169">
        <f>IF(OR(J118="",K118=""),"",K118/J118-1)</f>
        <v/>
      </c>
      <c r="Q118" s="54">
        <f>IF(AND(ISNUMBER(J118),ISNUMBER(L118)),1,0)</f>
        <v/>
      </c>
      <c r="R118" s="69">
        <f>IF(Q118=1,G118*L118,0)</f>
        <v/>
      </c>
      <c r="S118" s="69">
        <f>IF(Q118=1,(H118+I118)*U118,0)</f>
        <v/>
      </c>
      <c r="T118" s="59">
        <f>IF(Q118=1,G118,0)</f>
        <v/>
      </c>
      <c r="U118" s="170">
        <f>$G$3</f>
        <v/>
      </c>
    </row>
    <row r="119">
      <c r="A119" s="54" t="inlineStr">
        <is>
          <t>CA DC B4</t>
        </is>
      </c>
      <c r="B119" s="54" t="inlineStr">
        <is>
          <t>CA</t>
        </is>
      </c>
      <c r="C119" s="54" t="inlineStr">
        <is>
          <t>B08KQ5VVRV</t>
        </is>
      </c>
      <c r="D119" s="54" t="inlineStr">
        <is>
          <t>BAMBOO-QUEEN-GREY</t>
        </is>
      </c>
      <c r="E119" s="54" t="inlineStr">
        <is>
          <t>Queen</t>
        </is>
      </c>
      <c r="F119" s="54" t="inlineStr">
        <is>
          <t>Grey</t>
        </is>
      </c>
      <c r="G119" s="55" t="n">
        <v>32</v>
      </c>
      <c r="H119" s="167" t="n">
        <v>1823.41</v>
      </c>
      <c r="I119" s="167" t="n">
        <v>0</v>
      </c>
      <c r="J119" s="171">
        <f>IF(AND(N(G119)&gt;0,N(H119)+N(I119)&gt;0),(H119+I119)*U119/G119,"")</f>
        <v/>
      </c>
      <c r="K119" s="172" t="n">
        <v>99.98999999999999</v>
      </c>
      <c r="L119" s="172" t="n">
        <v>74.98</v>
      </c>
      <c r="M119" s="54" t="inlineStr">
        <is>
          <t>Manual price</t>
        </is>
      </c>
      <c r="N119" s="171">
        <f>IF(OR(J119="",L119=""),"",L119-J119)</f>
        <v/>
      </c>
      <c r="O119" s="169">
        <f>IF(OR(J119="",L119=""),"",L119/J119-1)</f>
        <v/>
      </c>
      <c r="P119" s="169">
        <f>IF(OR(J119="",K119=""),"",K119/J119-1)</f>
        <v/>
      </c>
      <c r="Q119" s="54">
        <f>IF(AND(ISNUMBER(J119),ISNUMBER(L119)),1,0)</f>
        <v/>
      </c>
      <c r="R119" s="69">
        <f>IF(Q119=1,G119*L119,0)</f>
        <v/>
      </c>
      <c r="S119" s="69">
        <f>IF(Q119=1,(H119+I119)*U119,0)</f>
        <v/>
      </c>
      <c r="T119" s="59">
        <f>IF(Q119=1,G119,0)</f>
        <v/>
      </c>
      <c r="U119" s="170">
        <f>$G$3</f>
        <v/>
      </c>
    </row>
    <row r="120">
      <c r="A120" s="54" t="inlineStr">
        <is>
          <t>CA DC B4</t>
        </is>
      </c>
      <c r="B120" s="54" t="inlineStr">
        <is>
          <t>CA</t>
        </is>
      </c>
      <c r="C120" s="54" t="inlineStr">
        <is>
          <t>B08KQKKRNC</t>
        </is>
      </c>
      <c r="D120" s="54" t="inlineStr">
        <is>
          <t>BAMBOO-QUEEN-NAVYBLUE</t>
        </is>
      </c>
      <c r="E120" s="54" t="inlineStr">
        <is>
          <t>Queen</t>
        </is>
      </c>
      <c r="F120" s="54" t="inlineStr">
        <is>
          <t>Navy Blue</t>
        </is>
      </c>
      <c r="G120" s="55" t="n">
        <v>29</v>
      </c>
      <c r="H120" s="167" t="n">
        <v>1651.57</v>
      </c>
      <c r="I120" s="167" t="n">
        <v>0</v>
      </c>
      <c r="J120" s="171">
        <f>IF(AND(N(G120)&gt;0,N(H120)+N(I120)&gt;0),(H120+I120)*U120/G120,"")</f>
        <v/>
      </c>
      <c r="K120" s="172" t="n">
        <v>99.98999999999999</v>
      </c>
      <c r="L120" s="172" t="n">
        <v>84.78</v>
      </c>
      <c r="M120" s="54" t="inlineStr">
        <is>
          <t>Eligible</t>
        </is>
      </c>
      <c r="N120" s="171">
        <f>IF(OR(J120="",L120=""),"",L120-J120)</f>
        <v/>
      </c>
      <c r="O120" s="169">
        <f>IF(OR(J120="",L120=""),"",L120/J120-1)</f>
        <v/>
      </c>
      <c r="P120" s="169">
        <f>IF(OR(J120="",K120=""),"",K120/J120-1)</f>
        <v/>
      </c>
      <c r="Q120" s="54">
        <f>IF(AND(ISNUMBER(J120),ISNUMBER(L120)),1,0)</f>
        <v/>
      </c>
      <c r="R120" s="69">
        <f>IF(Q120=1,G120*L120,0)</f>
        <v/>
      </c>
      <c r="S120" s="69">
        <f>IF(Q120=1,(H120+I120)*U120,0)</f>
        <v/>
      </c>
      <c r="T120" s="59">
        <f>IF(Q120=1,G120,0)</f>
        <v/>
      </c>
      <c r="U120" s="170">
        <f>$G$3</f>
        <v/>
      </c>
    </row>
    <row r="121">
      <c r="A121" s="54" t="inlineStr">
        <is>
          <t>CA DC B4</t>
        </is>
      </c>
      <c r="B121" s="54" t="inlineStr">
        <is>
          <t>CA</t>
        </is>
      </c>
      <c r="C121" s="54" t="inlineStr">
        <is>
          <t>B0CLKJL9KD</t>
        </is>
      </c>
      <c r="D121" s="54" t="inlineStr">
        <is>
          <t>BAMBOO-QUEEN-SAGE GREEN</t>
        </is>
      </c>
      <c r="E121" s="54" t="inlineStr">
        <is>
          <t>Queen</t>
        </is>
      </c>
      <c r="F121" s="54" t="inlineStr">
        <is>
          <t>Sage Green</t>
        </is>
      </c>
      <c r="G121" s="55" t="n">
        <v>29</v>
      </c>
      <c r="H121" s="167" t="n">
        <v>1651.47</v>
      </c>
      <c r="I121" s="167" t="n">
        <v>0</v>
      </c>
      <c r="J121" s="171">
        <f>IF(AND(N(G121)&gt;0,N(H121)+N(I121)&gt;0),(H121+I121)*U121/G121,"")</f>
        <v/>
      </c>
      <c r="K121" s="172" t="n">
        <v>99.98999999999999</v>
      </c>
      <c r="L121" s="172" t="n">
        <v>94.48999999999999</v>
      </c>
      <c r="M121" s="54" t="inlineStr">
        <is>
          <t>Eligible</t>
        </is>
      </c>
      <c r="N121" s="171">
        <f>IF(OR(J121="",L121=""),"",L121-J121)</f>
        <v/>
      </c>
      <c r="O121" s="169">
        <f>IF(OR(J121="",L121=""),"",L121/J121-1)</f>
        <v/>
      </c>
      <c r="P121" s="169">
        <f>IF(OR(J121="",K121=""),"",K121/J121-1)</f>
        <v/>
      </c>
      <c r="Q121" s="54">
        <f>IF(AND(ISNUMBER(J121),ISNUMBER(L121)),1,0)</f>
        <v/>
      </c>
      <c r="R121" s="69">
        <f>IF(Q121=1,G121*L121,0)</f>
        <v/>
      </c>
      <c r="S121" s="69">
        <f>IF(Q121=1,(H121+I121)*U121,0)</f>
        <v/>
      </c>
      <c r="T121" s="59">
        <f>IF(Q121=1,G121,0)</f>
        <v/>
      </c>
      <c r="U121" s="170">
        <f>$G$3</f>
        <v/>
      </c>
    </row>
    <row r="122">
      <c r="A122" s="54" t="inlineStr">
        <is>
          <t>CA DC B4</t>
        </is>
      </c>
      <c r="B122" s="54" t="inlineStr">
        <is>
          <t>CA</t>
        </is>
      </c>
      <c r="C122" s="54" t="inlineStr">
        <is>
          <t>B08KQJGM74</t>
        </is>
      </c>
      <c r="D122" s="54" t="inlineStr">
        <is>
          <t>BAMBOO-QUEEN-WHITE</t>
        </is>
      </c>
      <c r="E122" s="54" t="inlineStr">
        <is>
          <t>Queen</t>
        </is>
      </c>
      <c r="F122" s="54" t="inlineStr">
        <is>
          <t>White</t>
        </is>
      </c>
      <c r="G122" s="55" t="n">
        <v>28</v>
      </c>
      <c r="H122" s="167" t="n">
        <v>1697.05</v>
      </c>
      <c r="I122" s="167" t="n">
        <v>0</v>
      </c>
      <c r="J122" s="171">
        <f>IF(AND(N(G122)&gt;0,N(H122)+N(I122)&gt;0),(H122+I122)*U122/G122,"")</f>
        <v/>
      </c>
      <c r="K122" s="172" t="n">
        <v>99.98999999999999</v>
      </c>
      <c r="L122" s="172" t="n">
        <v>84.78</v>
      </c>
      <c r="M122" s="54" t="inlineStr">
        <is>
          <t>Eligible</t>
        </is>
      </c>
      <c r="N122" s="171">
        <f>IF(OR(J122="",L122=""),"",L122-J122)</f>
        <v/>
      </c>
      <c r="O122" s="169">
        <f>IF(OR(J122="",L122=""),"",L122/J122-1)</f>
        <v/>
      </c>
      <c r="P122" s="169">
        <f>IF(OR(J122="",K122=""),"",K122/J122-1)</f>
        <v/>
      </c>
      <c r="Q122" s="54">
        <f>IF(AND(ISNUMBER(J122),ISNUMBER(L122)),1,0)</f>
        <v/>
      </c>
      <c r="R122" s="69">
        <f>IF(Q122=1,G122*L122,0)</f>
        <v/>
      </c>
      <c r="S122" s="69">
        <f>IF(Q122=1,(H122+I122)*U122,0)</f>
        <v/>
      </c>
      <c r="T122" s="59">
        <f>IF(Q122=1,G122,0)</f>
        <v/>
      </c>
      <c r="U122" s="170">
        <f>$G$3</f>
        <v/>
      </c>
    </row>
    <row r="123">
      <c r="A123" s="54" t="inlineStr">
        <is>
          <t>CA DC B4</t>
        </is>
      </c>
      <c r="B123" s="54" t="inlineStr">
        <is>
          <t>CA</t>
        </is>
      </c>
      <c r="C123" s="54" t="inlineStr">
        <is>
          <t>B0BZPZPGDC</t>
        </is>
      </c>
      <c r="D123" s="54" t="inlineStr">
        <is>
          <t>BAMBOO-FULL-LIGHTOLIVE</t>
        </is>
      </c>
      <c r="E123" s="54" t="inlineStr">
        <is>
          <t>Full</t>
        </is>
      </c>
      <c r="F123" s="54" t="inlineStr">
        <is>
          <t>Light Olive</t>
        </is>
      </c>
      <c r="G123" s="55" t="n">
        <v>26</v>
      </c>
      <c r="H123" s="167" t="n">
        <v>879.12</v>
      </c>
      <c r="I123" s="167" t="n">
        <v>0</v>
      </c>
      <c r="J123" s="171">
        <f>IF(AND(N(G123)&gt;0,N(H123)+N(I123)&gt;0),(H123+I123)*U123/G123,"")</f>
        <v/>
      </c>
      <c r="K123" s="172" t="n">
        <v>79.98999999999999</v>
      </c>
      <c r="L123" s="172" t="n">
        <v>68.63</v>
      </c>
      <c r="M123" s="54" t="inlineStr">
        <is>
          <t>Eligible</t>
        </is>
      </c>
      <c r="N123" s="171">
        <f>IF(OR(J123="",L123=""),"",L123-J123)</f>
        <v/>
      </c>
      <c r="O123" s="169">
        <f>IF(OR(J123="",L123=""),"",L123/J123-1)</f>
        <v/>
      </c>
      <c r="P123" s="169">
        <f>IF(OR(J123="",K123=""),"",K123/J123-1)</f>
        <v/>
      </c>
      <c r="Q123" s="54">
        <f>IF(AND(ISNUMBER(J123),ISNUMBER(L123)),1,0)</f>
        <v/>
      </c>
      <c r="R123" s="69">
        <f>IF(Q123=1,G123*L123,0)</f>
        <v/>
      </c>
      <c r="S123" s="69">
        <f>IF(Q123=1,(H123+I123)*U123,0)</f>
        <v/>
      </c>
      <c r="T123" s="59">
        <f>IF(Q123=1,G123,0)</f>
        <v/>
      </c>
      <c r="U123" s="170">
        <f>$G$3</f>
        <v/>
      </c>
    </row>
    <row r="124">
      <c r="A124" s="54" t="inlineStr">
        <is>
          <t>CA DC B4</t>
        </is>
      </c>
      <c r="B124" s="54" t="inlineStr">
        <is>
          <t>CA</t>
        </is>
      </c>
      <c r="C124" s="54" t="inlineStr">
        <is>
          <t>B08KQJDSVC</t>
        </is>
      </c>
      <c r="D124" s="54" t="inlineStr">
        <is>
          <t>BAMBOO-QUEEN-LIGHTGREY</t>
        </is>
      </c>
      <c r="E124" s="54" t="inlineStr">
        <is>
          <t>Queen</t>
        </is>
      </c>
      <c r="F124" s="54" t="inlineStr">
        <is>
          <t>Light Grey</t>
        </is>
      </c>
      <c r="G124" s="55" t="n">
        <v>26</v>
      </c>
      <c r="H124" s="167" t="n">
        <v>1483.81</v>
      </c>
      <c r="I124" s="167" t="n">
        <v>0</v>
      </c>
      <c r="J124" s="171">
        <f>IF(AND(N(G124)&gt;0,N(H124)+N(I124)&gt;0),(H124+I124)*U124/G124,"")</f>
        <v/>
      </c>
      <c r="K124" s="172" t="n">
        <v>99.98999999999999</v>
      </c>
      <c r="L124" s="172" t="n">
        <v>80.75</v>
      </c>
      <c r="M124" s="54" t="inlineStr">
        <is>
          <t>Eligible</t>
        </is>
      </c>
      <c r="N124" s="171">
        <f>IF(OR(J124="",L124=""),"",L124-J124)</f>
        <v/>
      </c>
      <c r="O124" s="169">
        <f>IF(OR(J124="",L124=""),"",L124/J124-1)</f>
        <v/>
      </c>
      <c r="P124" s="169">
        <f>IF(OR(J124="",K124=""),"",K124/J124-1)</f>
        <v/>
      </c>
      <c r="Q124" s="54">
        <f>IF(AND(ISNUMBER(J124),ISNUMBER(L124)),1,0)</f>
        <v/>
      </c>
      <c r="R124" s="69">
        <f>IF(Q124=1,G124*L124,0)</f>
        <v/>
      </c>
      <c r="S124" s="69">
        <f>IF(Q124=1,(H124+I124)*U124,0)</f>
        <v/>
      </c>
      <c r="T124" s="59">
        <f>IF(Q124=1,G124,0)</f>
        <v/>
      </c>
      <c r="U124" s="170">
        <f>$G$3</f>
        <v/>
      </c>
    </row>
    <row r="125">
      <c r="A125" s="54" t="inlineStr">
        <is>
          <t>CA DC B4</t>
        </is>
      </c>
      <c r="B125" s="54" t="inlineStr">
        <is>
          <t>CA</t>
        </is>
      </c>
      <c r="C125" s="54" t="inlineStr">
        <is>
          <t>B08KQJRSW6</t>
        </is>
      </c>
      <c r="D125" s="54" t="inlineStr">
        <is>
          <t>BAMBOO-QUEEN-OLIVE</t>
        </is>
      </c>
      <c r="E125" s="54" t="inlineStr">
        <is>
          <t>Queen</t>
        </is>
      </c>
      <c r="F125" s="54" t="inlineStr">
        <is>
          <t>Olive</t>
        </is>
      </c>
      <c r="G125" s="55" t="n">
        <v>26</v>
      </c>
      <c r="H125" s="167" t="n">
        <v>1481.11</v>
      </c>
      <c r="I125" s="167" t="n">
        <v>0</v>
      </c>
      <c r="J125" s="171">
        <f>IF(AND(N(G125)&gt;0,N(H125)+N(I125)&gt;0),(H125+I125)*U125/G125,"")</f>
        <v/>
      </c>
      <c r="K125" s="172" t="n">
        <v>99.98999999999999</v>
      </c>
      <c r="L125" s="172" t="n">
        <v>89.23999999999999</v>
      </c>
      <c r="M125" s="54" t="inlineStr">
        <is>
          <t>Eligible</t>
        </is>
      </c>
      <c r="N125" s="171">
        <f>IF(OR(J125="",L125=""),"",L125-J125)</f>
        <v/>
      </c>
      <c r="O125" s="169">
        <f>IF(OR(J125="",L125=""),"",L125/J125-1)</f>
        <v/>
      </c>
      <c r="P125" s="169">
        <f>IF(OR(J125="",K125=""),"",K125/J125-1)</f>
        <v/>
      </c>
      <c r="Q125" s="54">
        <f>IF(AND(ISNUMBER(J125),ISNUMBER(L125)),1,0)</f>
        <v/>
      </c>
      <c r="R125" s="69">
        <f>IF(Q125=1,G125*L125,0)</f>
        <v/>
      </c>
      <c r="S125" s="69">
        <f>IF(Q125=1,(H125+I125)*U125,0)</f>
        <v/>
      </c>
      <c r="T125" s="59">
        <f>IF(Q125=1,G125,0)</f>
        <v/>
      </c>
      <c r="U125" s="170">
        <f>$G$3</f>
        <v/>
      </c>
    </row>
    <row r="126">
      <c r="A126" s="54" t="inlineStr">
        <is>
          <t>CA DC B4</t>
        </is>
      </c>
      <c r="B126" s="54" t="inlineStr">
        <is>
          <t>CA</t>
        </is>
      </c>
      <c r="C126" s="54" t="inlineStr">
        <is>
          <t>B0BZQ1FBJ9</t>
        </is>
      </c>
      <c r="D126" s="54" t="inlineStr">
        <is>
          <t>BAMBOO-QUEEN-BLACK</t>
        </is>
      </c>
      <c r="E126" s="54" t="inlineStr">
        <is>
          <t>Queen</t>
        </is>
      </c>
      <c r="F126" s="54" t="inlineStr">
        <is>
          <t>Black</t>
        </is>
      </c>
      <c r="G126" s="55" t="n">
        <v>24</v>
      </c>
      <c r="H126" s="167" t="n">
        <v>1457.32</v>
      </c>
      <c r="I126" s="167" t="n">
        <v>0</v>
      </c>
      <c r="J126" s="171">
        <f>IF(AND(N(G126)&gt;0,N(H126)+N(I126)&gt;0),(H126+I126)*U126/G126,"")</f>
        <v/>
      </c>
      <c r="K126" s="172" t="n">
        <v>99.98999999999999</v>
      </c>
      <c r="L126" s="172" t="n">
        <v>89.23999999999999</v>
      </c>
      <c r="M126" s="54" t="inlineStr">
        <is>
          <t>Eligible</t>
        </is>
      </c>
      <c r="N126" s="171">
        <f>IF(OR(J126="",L126=""),"",L126-J126)</f>
        <v/>
      </c>
      <c r="O126" s="169">
        <f>IF(OR(J126="",L126=""),"",L126/J126-1)</f>
        <v/>
      </c>
      <c r="P126" s="169">
        <f>IF(OR(J126="",K126=""),"",K126/J126-1)</f>
        <v/>
      </c>
      <c r="Q126" s="54">
        <f>IF(AND(ISNUMBER(J126),ISNUMBER(L126)),1,0)</f>
        <v/>
      </c>
      <c r="R126" s="69">
        <f>IF(Q126=1,G126*L126,0)</f>
        <v/>
      </c>
      <c r="S126" s="69">
        <f>IF(Q126=1,(H126+I126)*U126,0)</f>
        <v/>
      </c>
      <c r="T126" s="59">
        <f>IF(Q126=1,G126,0)</f>
        <v/>
      </c>
      <c r="U126" s="170">
        <f>$G$3</f>
        <v/>
      </c>
    </row>
    <row r="127">
      <c r="A127" s="54" t="inlineStr">
        <is>
          <t>CA DC B4</t>
        </is>
      </c>
      <c r="B127" s="54" t="inlineStr">
        <is>
          <t>CA</t>
        </is>
      </c>
      <c r="C127" s="54" t="inlineStr">
        <is>
          <t>B08KQK91X7</t>
        </is>
      </c>
      <c r="D127" s="54" t="inlineStr">
        <is>
          <t>BAMBOO-QUEEN-CREME</t>
        </is>
      </c>
      <c r="E127" s="54" t="inlineStr">
        <is>
          <t>Queen</t>
        </is>
      </c>
      <c r="F127" s="54" t="inlineStr">
        <is>
          <t>Creme</t>
        </is>
      </c>
      <c r="G127" s="55" t="n">
        <v>21</v>
      </c>
      <c r="H127" s="167" t="n">
        <v>1197.28</v>
      </c>
      <c r="I127" s="167" t="n">
        <v>0</v>
      </c>
      <c r="J127" s="171">
        <f>IF(AND(N(G127)&gt;0,N(H127)+N(I127)&gt;0),(H127+I127)*U127/G127,"")</f>
        <v/>
      </c>
      <c r="K127" s="172" t="n">
        <v>99.98999999999999</v>
      </c>
      <c r="L127" s="172" t="n">
        <v>89.23999999999999</v>
      </c>
      <c r="M127" s="54" t="inlineStr">
        <is>
          <t>Eligible</t>
        </is>
      </c>
      <c r="N127" s="171">
        <f>IF(OR(J127="",L127=""),"",L127-J127)</f>
        <v/>
      </c>
      <c r="O127" s="169">
        <f>IF(OR(J127="",L127=""),"",L127/J127-1)</f>
        <v/>
      </c>
      <c r="P127" s="169">
        <f>IF(OR(J127="",K127=""),"",K127/J127-1)</f>
        <v/>
      </c>
      <c r="Q127" s="54">
        <f>IF(AND(ISNUMBER(J127),ISNUMBER(L127)),1,0)</f>
        <v/>
      </c>
      <c r="R127" s="69">
        <f>IF(Q127=1,G127*L127,0)</f>
        <v/>
      </c>
      <c r="S127" s="69">
        <f>IF(Q127=1,(H127+I127)*U127,0)</f>
        <v/>
      </c>
      <c r="T127" s="59">
        <f>IF(Q127=1,G127,0)</f>
        <v/>
      </c>
      <c r="U127" s="170">
        <f>$G$3</f>
        <v/>
      </c>
    </row>
    <row r="128">
      <c r="A128" s="54" t="inlineStr">
        <is>
          <t>CA DC B4</t>
        </is>
      </c>
      <c r="B128" s="54" t="inlineStr">
        <is>
          <t>CA</t>
        </is>
      </c>
      <c r="C128" s="54" t="inlineStr">
        <is>
          <t>B0BZQ18QJB</t>
        </is>
      </c>
      <c r="D128" s="54" t="inlineStr">
        <is>
          <t>BAMBOO-QUEEN-MIDGREY</t>
        </is>
      </c>
      <c r="E128" s="54" t="inlineStr">
        <is>
          <t>Queen</t>
        </is>
      </c>
      <c r="F128" s="54" t="inlineStr">
        <is>
          <t>Midgrey</t>
        </is>
      </c>
      <c r="G128" s="55" t="n">
        <v>21</v>
      </c>
      <c r="H128" s="167" t="n">
        <v>1195.76</v>
      </c>
      <c r="I128" s="167" t="n">
        <v>0</v>
      </c>
      <c r="J128" s="171">
        <f>IF(AND(N(G128)&gt;0,N(H128)+N(I128)&gt;0),(H128+I128)*U128/G128,"")</f>
        <v/>
      </c>
      <c r="K128" s="172" t="n">
        <v>99.98999999999999</v>
      </c>
      <c r="L128" s="172" t="n">
        <v>80.75</v>
      </c>
      <c r="M128" s="54" t="inlineStr">
        <is>
          <t>Eligible</t>
        </is>
      </c>
      <c r="N128" s="171">
        <f>IF(OR(J128="",L128=""),"",L128-J128)</f>
        <v/>
      </c>
      <c r="O128" s="169">
        <f>IF(OR(J128="",L128=""),"",L128/J128-1)</f>
        <v/>
      </c>
      <c r="P128" s="169">
        <f>IF(OR(J128="",K128=""),"",K128/J128-1)</f>
        <v/>
      </c>
      <c r="Q128" s="54">
        <f>IF(AND(ISNUMBER(J128),ISNUMBER(L128)),1,0)</f>
        <v/>
      </c>
      <c r="R128" s="69">
        <f>IF(Q128=1,G128*L128,0)</f>
        <v/>
      </c>
      <c r="S128" s="69">
        <f>IF(Q128=1,(H128+I128)*U128,0)</f>
        <v/>
      </c>
      <c r="T128" s="59">
        <f>IF(Q128=1,G128,0)</f>
        <v/>
      </c>
      <c r="U128" s="170">
        <f>$G$3</f>
        <v/>
      </c>
    </row>
    <row r="129">
      <c r="A129" s="54" t="inlineStr">
        <is>
          <t>CA DC B4</t>
        </is>
      </c>
      <c r="B129" s="54" t="inlineStr">
        <is>
          <t>CA</t>
        </is>
      </c>
      <c r="C129" s="54" t="inlineStr">
        <is>
          <t>B08KQJ61T7</t>
        </is>
      </c>
      <c r="D129" s="54" t="inlineStr">
        <is>
          <t>BAMBOO-KING-TAUPE</t>
        </is>
      </c>
      <c r="E129" s="54" t="inlineStr">
        <is>
          <t>King</t>
        </is>
      </c>
      <c r="F129" s="54" t="inlineStr">
        <is>
          <t>Taupe</t>
        </is>
      </c>
      <c r="G129" s="55" t="n">
        <v>20</v>
      </c>
      <c r="H129" s="167" t="n">
        <v>1140.32</v>
      </c>
      <c r="I129" s="167" t="n">
        <v>0</v>
      </c>
      <c r="J129" s="171">
        <f>IF(AND(N(G129)&gt;0,N(H129)+N(I129)&gt;0),(H129+I129)*U129/G129,"")</f>
        <v/>
      </c>
      <c r="K129" s="172" t="n">
        <v>99.98999999999999</v>
      </c>
      <c r="L129" s="172" t="n">
        <v>84.98999999999999</v>
      </c>
      <c r="M129" s="54" t="inlineStr">
        <is>
          <t>Eligible</t>
        </is>
      </c>
      <c r="N129" s="171">
        <f>IF(OR(J129="",L129=""),"",L129-J129)</f>
        <v/>
      </c>
      <c r="O129" s="169">
        <f>IF(OR(J129="",L129=""),"",L129/J129-1)</f>
        <v/>
      </c>
      <c r="P129" s="169">
        <f>IF(OR(J129="",K129=""),"",K129/J129-1)</f>
        <v/>
      </c>
      <c r="Q129" s="54">
        <f>IF(AND(ISNUMBER(J129),ISNUMBER(L129)),1,0)</f>
        <v/>
      </c>
      <c r="R129" s="69">
        <f>IF(Q129=1,G129*L129,0)</f>
        <v/>
      </c>
      <c r="S129" s="69">
        <f>IF(Q129=1,(H129+I129)*U129,0)</f>
        <v/>
      </c>
      <c r="T129" s="59">
        <f>IF(Q129=1,G129,0)</f>
        <v/>
      </c>
      <c r="U129" s="170">
        <f>$G$3</f>
        <v/>
      </c>
    </row>
    <row r="130">
      <c r="A130" s="54" t="inlineStr">
        <is>
          <t>CA DC B4</t>
        </is>
      </c>
      <c r="B130" s="54" t="inlineStr">
        <is>
          <t>CA</t>
        </is>
      </c>
      <c r="C130" s="54" t="inlineStr">
        <is>
          <t>B0CRHZ1CK3</t>
        </is>
      </c>
      <c r="D130" s="54" t="inlineStr">
        <is>
          <t>BAMBOO-QUEEN-BURGUNDY-NEW</t>
        </is>
      </c>
      <c r="E130" s="54" t="inlineStr">
        <is>
          <t>Queen</t>
        </is>
      </c>
      <c r="F130" s="54" t="inlineStr">
        <is>
          <t>Burgundy</t>
        </is>
      </c>
      <c r="G130" s="55" t="n">
        <v>19</v>
      </c>
      <c r="H130" s="167" t="n">
        <v>1082.76</v>
      </c>
      <c r="I130" s="167" t="n">
        <v>0</v>
      </c>
      <c r="J130" s="171">
        <f>IF(AND(N(G130)&gt;0,N(H130)+N(I130)&gt;0),(H130+I130)*U130/G130,"")</f>
        <v/>
      </c>
      <c r="K130" s="172" t="n">
        <v>99.98999999999999</v>
      </c>
      <c r="L130" s="172" t="n">
        <v>89.23999999999999</v>
      </c>
      <c r="M130" s="54" t="inlineStr">
        <is>
          <t>Eligible</t>
        </is>
      </c>
      <c r="N130" s="171">
        <f>IF(OR(J130="",L130=""),"",L130-J130)</f>
        <v/>
      </c>
      <c r="O130" s="169">
        <f>IF(OR(J130="",L130=""),"",L130/J130-1)</f>
        <v/>
      </c>
      <c r="P130" s="169">
        <f>IF(OR(J130="",K130=""),"",K130/J130-1)</f>
        <v/>
      </c>
      <c r="Q130" s="54">
        <f>IF(AND(ISNUMBER(J130),ISNUMBER(L130)),1,0)</f>
        <v/>
      </c>
      <c r="R130" s="69">
        <f>IF(Q130=1,G130*L130,0)</f>
        <v/>
      </c>
      <c r="S130" s="69">
        <f>IF(Q130=1,(H130+I130)*U130,0)</f>
        <v/>
      </c>
      <c r="T130" s="59">
        <f>IF(Q130=1,G130,0)</f>
        <v/>
      </c>
      <c r="U130" s="170">
        <f>$G$3</f>
        <v/>
      </c>
    </row>
    <row r="131">
      <c r="A131" s="54" t="inlineStr">
        <is>
          <t>CA DC B4</t>
        </is>
      </c>
      <c r="B131" s="54" t="inlineStr">
        <is>
          <t>CA</t>
        </is>
      </c>
      <c r="C131" s="54" t="inlineStr">
        <is>
          <t>B08KQJBRKM</t>
        </is>
      </c>
      <c r="D131" s="54" t="inlineStr">
        <is>
          <t>BAMBOO-FULL-TAUPE</t>
        </is>
      </c>
      <c r="E131" s="54" t="inlineStr">
        <is>
          <t>Full</t>
        </is>
      </c>
      <c r="F131" s="54" t="inlineStr">
        <is>
          <t>Taupe</t>
        </is>
      </c>
      <c r="G131" s="55" t="n">
        <v>18</v>
      </c>
      <c r="H131" s="167" t="n">
        <v>730.96</v>
      </c>
      <c r="I131" s="167" t="n">
        <v>0</v>
      </c>
      <c r="J131" s="171">
        <f>IF(AND(N(G131)&gt;0,N(H131)+N(I131)&gt;0),(H131+I131)*U131/G131,"")</f>
        <v/>
      </c>
      <c r="K131" s="172" t="n">
        <v>79.98999999999999</v>
      </c>
      <c r="L131" s="172" t="n">
        <v>76.48999999999999</v>
      </c>
      <c r="M131" s="54" t="inlineStr">
        <is>
          <t>Eligible</t>
        </is>
      </c>
      <c r="N131" s="171">
        <f>IF(OR(J131="",L131=""),"",L131-J131)</f>
        <v/>
      </c>
      <c r="O131" s="169">
        <f>IF(OR(J131="",L131=""),"",L131/J131-1)</f>
        <v/>
      </c>
      <c r="P131" s="169">
        <f>IF(OR(J131="",K131=""),"",K131/J131-1)</f>
        <v/>
      </c>
      <c r="Q131" s="54">
        <f>IF(AND(ISNUMBER(J131),ISNUMBER(L131)),1,0)</f>
        <v/>
      </c>
      <c r="R131" s="69">
        <f>IF(Q131=1,G131*L131,0)</f>
        <v/>
      </c>
      <c r="S131" s="69">
        <f>IF(Q131=1,(H131+I131)*U131,0)</f>
        <v/>
      </c>
      <c r="T131" s="59">
        <f>IF(Q131=1,G131,0)</f>
        <v/>
      </c>
      <c r="U131" s="170">
        <f>$G$3</f>
        <v/>
      </c>
    </row>
    <row r="132">
      <c r="A132" s="54" t="inlineStr">
        <is>
          <t>CA DC B4</t>
        </is>
      </c>
      <c r="B132" s="54" t="inlineStr">
        <is>
          <t>CA</t>
        </is>
      </c>
      <c r="C132" s="54" t="inlineStr">
        <is>
          <t>B08KQJ62YC</t>
        </is>
      </c>
      <c r="D132" s="54" t="inlineStr">
        <is>
          <t>BAMBOO-KING-CREME</t>
        </is>
      </c>
      <c r="E132" s="54" t="inlineStr">
        <is>
          <t>King</t>
        </is>
      </c>
      <c r="F132" s="54" t="inlineStr">
        <is>
          <t>Creme</t>
        </is>
      </c>
      <c r="G132" s="55" t="n">
        <v>17</v>
      </c>
      <c r="H132" s="167" t="n">
        <v>970.24</v>
      </c>
      <c r="I132" s="167" t="n">
        <v>0</v>
      </c>
      <c r="J132" s="171">
        <f>IF(AND(N(G132)&gt;0,N(H132)+N(I132)&gt;0),(H132+I132)*U132/G132,"")</f>
        <v/>
      </c>
      <c r="K132" s="172" t="n">
        <v>99.98999999999999</v>
      </c>
      <c r="L132" s="172" t="n">
        <v>80.73999999999999</v>
      </c>
      <c r="M132" s="54" t="inlineStr">
        <is>
          <t>Eligible</t>
        </is>
      </c>
      <c r="N132" s="171">
        <f>IF(OR(J132="",L132=""),"",L132-J132)</f>
        <v/>
      </c>
      <c r="O132" s="169">
        <f>IF(OR(J132="",L132=""),"",L132/J132-1)</f>
        <v/>
      </c>
      <c r="P132" s="169">
        <f>IF(OR(J132="",K132=""),"",K132/J132-1)</f>
        <v/>
      </c>
      <c r="Q132" s="54">
        <f>IF(AND(ISNUMBER(J132),ISNUMBER(L132)),1,0)</f>
        <v/>
      </c>
      <c r="R132" s="69">
        <f>IF(Q132=1,G132*L132,0)</f>
        <v/>
      </c>
      <c r="S132" s="69">
        <f>IF(Q132=1,(H132+I132)*U132,0)</f>
        <v/>
      </c>
      <c r="T132" s="59">
        <f>IF(Q132=1,G132,0)</f>
        <v/>
      </c>
      <c r="U132" s="170">
        <f>$G$3</f>
        <v/>
      </c>
    </row>
    <row r="133">
      <c r="A133" s="54" t="inlineStr">
        <is>
          <t>CA DC B4</t>
        </is>
      </c>
      <c r="B133" s="54" t="inlineStr">
        <is>
          <t>CA</t>
        </is>
      </c>
      <c r="C133" s="54" t="inlineStr">
        <is>
          <t>B08KQJGSW2</t>
        </is>
      </c>
      <c r="D133" s="54" t="inlineStr">
        <is>
          <t>BAMBOO-TWIN-LIGHTBLUE</t>
        </is>
      </c>
      <c r="E133" s="54" t="inlineStr">
        <is>
          <t>Twin</t>
        </is>
      </c>
      <c r="F133" s="54" t="inlineStr">
        <is>
          <t>Light Blue</t>
        </is>
      </c>
      <c r="G133" s="55" t="n">
        <v>16</v>
      </c>
      <c r="H133" s="167" t="n">
        <v>522.39</v>
      </c>
      <c r="I133" s="167" t="n">
        <v>0</v>
      </c>
      <c r="J133" s="171">
        <f>IF(AND(N(G133)&gt;0,N(H133)+N(I133)&gt;0),(H133+I133)*U133/G133,"")</f>
        <v/>
      </c>
      <c r="K133" s="172" t="n">
        <v>79.98999999999999</v>
      </c>
      <c r="L133" s="172" t="n">
        <v>75.98999999999999</v>
      </c>
      <c r="M133" s="54" t="inlineStr">
        <is>
          <t>Eligible</t>
        </is>
      </c>
      <c r="N133" s="171">
        <f>IF(OR(J133="",L133=""),"",L133-J133)</f>
        <v/>
      </c>
      <c r="O133" s="169">
        <f>IF(OR(J133="",L133=""),"",L133/J133-1)</f>
        <v/>
      </c>
      <c r="P133" s="169">
        <f>IF(OR(J133="",K133=""),"",K133/J133-1)</f>
        <v/>
      </c>
      <c r="Q133" s="54">
        <f>IF(AND(ISNUMBER(J133),ISNUMBER(L133)),1,0)</f>
        <v/>
      </c>
      <c r="R133" s="69">
        <f>IF(Q133=1,G133*L133,0)</f>
        <v/>
      </c>
      <c r="S133" s="69">
        <f>IF(Q133=1,(H133+I133)*U133,0)</f>
        <v/>
      </c>
      <c r="T133" s="59">
        <f>IF(Q133=1,G133,0)</f>
        <v/>
      </c>
      <c r="U133" s="170">
        <f>$G$3</f>
        <v/>
      </c>
    </row>
    <row r="134">
      <c r="A134" s="54" t="inlineStr">
        <is>
          <t>CA DC B4</t>
        </is>
      </c>
      <c r="B134" s="54" t="inlineStr">
        <is>
          <t>CA</t>
        </is>
      </c>
      <c r="C134" s="54" t="inlineStr">
        <is>
          <t>B0BZQ1JFM7</t>
        </is>
      </c>
      <c r="D134" s="54" t="inlineStr">
        <is>
          <t>BAMBOO-QUEEN-CHARCOAL</t>
        </is>
      </c>
      <c r="E134" s="54" t="inlineStr">
        <is>
          <t>Queen</t>
        </is>
      </c>
      <c r="F134" s="54" t="inlineStr">
        <is>
          <t>Charcoal</t>
        </is>
      </c>
      <c r="G134" s="55" t="n">
        <v>15</v>
      </c>
      <c r="H134" s="167" t="n">
        <v>854.53</v>
      </c>
      <c r="I134" s="167" t="n">
        <v>0</v>
      </c>
      <c r="J134" s="171">
        <f>IF(AND(N(G134)&gt;0,N(H134)+N(I134)&gt;0),(H134+I134)*U134/G134,"")</f>
        <v/>
      </c>
      <c r="K134" s="172" t="n">
        <v>99.98999999999999</v>
      </c>
      <c r="L134" s="172" t="n"/>
      <c r="M134" s="54" t="inlineStr">
        <is>
          <t>Out of stock</t>
        </is>
      </c>
      <c r="N134" s="171">
        <f>IF(OR(J134="",L134=""),"",L134-J134)</f>
        <v/>
      </c>
      <c r="O134" s="169">
        <f>IF(OR(J134="",L134=""),"",L134/J134-1)</f>
        <v/>
      </c>
      <c r="P134" s="169">
        <f>IF(OR(J134="",K134=""),"",K134/J134-1)</f>
        <v/>
      </c>
      <c r="Q134" s="54">
        <f>IF(AND(ISNUMBER(J134),ISNUMBER(L134)),1,0)</f>
        <v/>
      </c>
      <c r="R134" s="69">
        <f>IF(Q134=1,G134*L134,0)</f>
        <v/>
      </c>
      <c r="S134" s="69">
        <f>IF(Q134=1,(H134+I134)*U134,0)</f>
        <v/>
      </c>
      <c r="T134" s="59">
        <f>IF(Q134=1,G134,0)</f>
        <v/>
      </c>
      <c r="U134" s="170">
        <f>$G$3</f>
        <v/>
      </c>
    </row>
    <row r="135">
      <c r="A135" s="54" t="inlineStr">
        <is>
          <t>CA DC B4</t>
        </is>
      </c>
      <c r="B135" s="54" t="inlineStr">
        <is>
          <t>CA</t>
        </is>
      </c>
      <c r="C135" s="54" t="inlineStr">
        <is>
          <t>B0BZPZ2L1R</t>
        </is>
      </c>
      <c r="D135" s="54" t="inlineStr">
        <is>
          <t>BAMBOO-KING-BLACK</t>
        </is>
      </c>
      <c r="E135" s="54" t="inlineStr">
        <is>
          <t>King</t>
        </is>
      </c>
      <c r="F135" s="54" t="inlineStr">
        <is>
          <t>Black</t>
        </is>
      </c>
      <c r="G135" s="55" t="n">
        <v>14</v>
      </c>
      <c r="H135" s="167" t="n">
        <v>798.09</v>
      </c>
      <c r="I135" s="167" t="n">
        <v>0</v>
      </c>
      <c r="J135" s="171">
        <f>IF(AND(N(G135)&gt;0,N(H135)+N(I135)&gt;0),(H135+I135)*U135/G135,"")</f>
        <v/>
      </c>
      <c r="K135" s="172" t="n">
        <v>99.98999999999999</v>
      </c>
      <c r="L135" s="172" t="n">
        <v>80.73999999999999</v>
      </c>
      <c r="M135" s="54" t="inlineStr">
        <is>
          <t>Eligible</t>
        </is>
      </c>
      <c r="N135" s="171">
        <f>IF(OR(J135="",L135=""),"",L135-J135)</f>
        <v/>
      </c>
      <c r="O135" s="169">
        <f>IF(OR(J135="",L135=""),"",L135/J135-1)</f>
        <v/>
      </c>
      <c r="P135" s="169">
        <f>IF(OR(J135="",K135=""),"",K135/J135-1)</f>
        <v/>
      </c>
      <c r="Q135" s="54">
        <f>IF(AND(ISNUMBER(J135),ISNUMBER(L135)),1,0)</f>
        <v/>
      </c>
      <c r="R135" s="69">
        <f>IF(Q135=1,G135*L135,0)</f>
        <v/>
      </c>
      <c r="S135" s="69">
        <f>IF(Q135=1,(H135+I135)*U135,0)</f>
        <v/>
      </c>
      <c r="T135" s="59">
        <f>IF(Q135=1,G135,0)</f>
        <v/>
      </c>
      <c r="U135" s="170">
        <f>$G$3</f>
        <v/>
      </c>
    </row>
    <row r="136">
      <c r="A136" s="54" t="inlineStr">
        <is>
          <t>CA DC B4</t>
        </is>
      </c>
      <c r="B136" s="54" t="inlineStr">
        <is>
          <t>CA</t>
        </is>
      </c>
      <c r="C136" s="54" t="inlineStr">
        <is>
          <t>B0CRHYYVZQ</t>
        </is>
      </c>
      <c r="D136" s="54" t="inlineStr">
        <is>
          <t>BAMBOO-KING-BURGUNDY-NEW</t>
        </is>
      </c>
      <c r="E136" s="54" t="inlineStr">
        <is>
          <t>King</t>
        </is>
      </c>
      <c r="F136" s="54" t="inlineStr">
        <is>
          <t>Burgundy</t>
        </is>
      </c>
      <c r="G136" s="55" t="n">
        <v>14</v>
      </c>
      <c r="H136" s="167" t="n">
        <v>795.71</v>
      </c>
      <c r="I136" s="167" t="n">
        <v>0</v>
      </c>
      <c r="J136" s="171">
        <f>IF(AND(N(G136)&gt;0,N(H136)+N(I136)&gt;0),(H136+I136)*U136/G136,"")</f>
        <v/>
      </c>
      <c r="K136" s="172" t="n">
        <v>99.98999999999999</v>
      </c>
      <c r="L136" s="172" t="n">
        <v>84.98999999999999</v>
      </c>
      <c r="M136" s="54" t="inlineStr">
        <is>
          <t>Eligible</t>
        </is>
      </c>
      <c r="N136" s="171">
        <f>IF(OR(J136="",L136=""),"",L136-J136)</f>
        <v/>
      </c>
      <c r="O136" s="169">
        <f>IF(OR(J136="",L136=""),"",L136/J136-1)</f>
        <v/>
      </c>
      <c r="P136" s="169">
        <f>IF(OR(J136="",K136=""),"",K136/J136-1)</f>
        <v/>
      </c>
      <c r="Q136" s="54">
        <f>IF(AND(ISNUMBER(J136),ISNUMBER(L136)),1,0)</f>
        <v/>
      </c>
      <c r="R136" s="69">
        <f>IF(Q136=1,G136*L136,0)</f>
        <v/>
      </c>
      <c r="S136" s="69">
        <f>IF(Q136=1,(H136+I136)*U136,0)</f>
        <v/>
      </c>
      <c r="T136" s="59">
        <f>IF(Q136=1,G136,0)</f>
        <v/>
      </c>
      <c r="U136" s="170">
        <f>$G$3</f>
        <v/>
      </c>
    </row>
    <row r="137">
      <c r="A137" s="54" t="inlineStr">
        <is>
          <t>CA DC B4</t>
        </is>
      </c>
      <c r="B137" s="54" t="inlineStr">
        <is>
          <t>CA</t>
        </is>
      </c>
      <c r="C137" s="54" t="inlineStr">
        <is>
          <t>B08KQJP1K7</t>
        </is>
      </c>
      <c r="D137" s="54" t="inlineStr">
        <is>
          <t>BAMBOO-FULL-GREY</t>
        </is>
      </c>
      <c r="E137" s="54" t="inlineStr">
        <is>
          <t>Full</t>
        </is>
      </c>
      <c r="F137" s="54" t="inlineStr">
        <is>
          <t>Grey</t>
        </is>
      </c>
      <c r="G137" s="55" t="n">
        <v>13</v>
      </c>
      <c r="H137" s="167" t="n">
        <v>593.52</v>
      </c>
      <c r="I137" s="167" t="n">
        <v>0</v>
      </c>
      <c r="J137" s="171">
        <f>IF(AND(N(G137)&gt;0,N(H137)+N(I137)&gt;0),(H137+I137)*U137/G137,"")</f>
        <v/>
      </c>
      <c r="K137" s="172" t="n">
        <v>79.98999999999999</v>
      </c>
      <c r="L137" s="172" t="n">
        <v>79.98999999999999</v>
      </c>
      <c r="M137" s="54" t="inlineStr">
        <is>
          <t>Eligible</t>
        </is>
      </c>
      <c r="N137" s="171">
        <f>IF(OR(J137="",L137=""),"",L137-J137)</f>
        <v/>
      </c>
      <c r="O137" s="169">
        <f>IF(OR(J137="",L137=""),"",L137/J137-1)</f>
        <v/>
      </c>
      <c r="P137" s="169">
        <f>IF(OR(J137="",K137=""),"",K137/J137-1)</f>
        <v/>
      </c>
      <c r="Q137" s="54">
        <f>IF(AND(ISNUMBER(J137),ISNUMBER(L137)),1,0)</f>
        <v/>
      </c>
      <c r="R137" s="69">
        <f>IF(Q137=1,G137*L137,0)</f>
        <v/>
      </c>
      <c r="S137" s="69">
        <f>IF(Q137=1,(H137+I137)*U137,0)</f>
        <v/>
      </c>
      <c r="T137" s="59">
        <f>IF(Q137=1,G137,0)</f>
        <v/>
      </c>
      <c r="U137" s="170">
        <f>$G$3</f>
        <v/>
      </c>
    </row>
    <row r="138">
      <c r="A138" s="54" t="inlineStr">
        <is>
          <t>CA DC B4</t>
        </is>
      </c>
      <c r="B138" s="54" t="inlineStr">
        <is>
          <t>CA</t>
        </is>
      </c>
      <c r="C138" s="54" t="inlineStr">
        <is>
          <t>B08KQJYDCR</t>
        </is>
      </c>
      <c r="D138" s="54" t="inlineStr">
        <is>
          <t>BAMBOO-FULL-LIGHTBLUE</t>
        </is>
      </c>
      <c r="E138" s="54" t="inlineStr">
        <is>
          <t>Full</t>
        </is>
      </c>
      <c r="F138" s="54" t="inlineStr">
        <is>
          <t>Light Blue</t>
        </is>
      </c>
      <c r="G138" s="55" t="n">
        <v>13</v>
      </c>
      <c r="H138" s="167" t="n">
        <v>648.35</v>
      </c>
      <c r="I138" s="167" t="n">
        <v>0</v>
      </c>
      <c r="J138" s="171">
        <f>IF(AND(N(G138)&gt;0,N(H138)+N(I138)&gt;0),(H138+I138)*U138/G138,"")</f>
        <v/>
      </c>
      <c r="K138" s="172" t="n">
        <v>79.98999999999999</v>
      </c>
      <c r="L138" s="172" t="n"/>
      <c r="M138" s="54" t="inlineStr">
        <is>
          <t>No reference price</t>
        </is>
      </c>
      <c r="N138" s="171">
        <f>IF(OR(J138="",L138=""),"",L138-J138)</f>
        <v/>
      </c>
      <c r="O138" s="169">
        <f>IF(OR(J138="",L138=""),"",L138/J138-1)</f>
        <v/>
      </c>
      <c r="P138" s="169">
        <f>IF(OR(J138="",K138=""),"",K138/J138-1)</f>
        <v/>
      </c>
      <c r="Q138" s="54">
        <f>IF(AND(ISNUMBER(J138),ISNUMBER(L138)),1,0)</f>
        <v/>
      </c>
      <c r="R138" s="69">
        <f>IF(Q138=1,G138*L138,0)</f>
        <v/>
      </c>
      <c r="S138" s="69">
        <f>IF(Q138=1,(H138+I138)*U138,0)</f>
        <v/>
      </c>
      <c r="T138" s="59">
        <f>IF(Q138=1,G138,0)</f>
        <v/>
      </c>
      <c r="U138" s="170">
        <f>$G$3</f>
        <v/>
      </c>
    </row>
    <row r="139">
      <c r="A139" s="54" t="inlineStr">
        <is>
          <t>CA DC B4</t>
        </is>
      </c>
      <c r="B139" s="54" t="inlineStr">
        <is>
          <t>CA</t>
        </is>
      </c>
      <c r="C139" s="54" t="inlineStr">
        <is>
          <t>B08KQKXQLS</t>
        </is>
      </c>
      <c r="D139" s="54" t="inlineStr">
        <is>
          <t>BAMBOO-QUEEN-LIGHTBLUE</t>
        </is>
      </c>
      <c r="E139" s="54" t="inlineStr">
        <is>
          <t>Queen</t>
        </is>
      </c>
      <c r="F139" s="54" t="inlineStr">
        <is>
          <t>Light Blue</t>
        </is>
      </c>
      <c r="G139" s="55" t="n">
        <v>13</v>
      </c>
      <c r="H139" s="167" t="n">
        <v>786.67</v>
      </c>
      <c r="I139" s="167" t="n">
        <v>0</v>
      </c>
      <c r="J139" s="171">
        <f>IF(AND(N(G139)&gt;0,N(H139)+N(I139)&gt;0),(H139+I139)*U139/G139,"")</f>
        <v/>
      </c>
      <c r="K139" s="172" t="n">
        <v>99.98999999999999</v>
      </c>
      <c r="L139" s="172" t="n">
        <v>94.48999999999999</v>
      </c>
      <c r="M139" s="54" t="inlineStr">
        <is>
          <t>Eligible</t>
        </is>
      </c>
      <c r="N139" s="171">
        <f>IF(OR(J139="",L139=""),"",L139-J139)</f>
        <v/>
      </c>
      <c r="O139" s="169">
        <f>IF(OR(J139="",L139=""),"",L139/J139-1)</f>
        <v/>
      </c>
      <c r="P139" s="169">
        <f>IF(OR(J139="",K139=""),"",K139/J139-1)</f>
        <v/>
      </c>
      <c r="Q139" s="54">
        <f>IF(AND(ISNUMBER(J139),ISNUMBER(L139)),1,0)</f>
        <v/>
      </c>
      <c r="R139" s="69">
        <f>IF(Q139=1,G139*L139,0)</f>
        <v/>
      </c>
      <c r="S139" s="69">
        <f>IF(Q139=1,(H139+I139)*U139,0)</f>
        <v/>
      </c>
      <c r="T139" s="59">
        <f>IF(Q139=1,G139,0)</f>
        <v/>
      </c>
      <c r="U139" s="170">
        <f>$G$3</f>
        <v/>
      </c>
    </row>
    <row r="140">
      <c r="A140" s="54" t="inlineStr">
        <is>
          <t>CA DC B4</t>
        </is>
      </c>
      <c r="B140" s="54" t="inlineStr">
        <is>
          <t>CA</t>
        </is>
      </c>
      <c r="C140" s="54" t="inlineStr">
        <is>
          <t>B08KQL2JT8</t>
        </is>
      </c>
      <c r="D140" s="54" t="inlineStr">
        <is>
          <t>BAMBOO-FULL-NAVYBLUE</t>
        </is>
      </c>
      <c r="E140" s="54" t="inlineStr">
        <is>
          <t>Full</t>
        </is>
      </c>
      <c r="F140" s="54" t="inlineStr">
        <is>
          <t>Navy Blue</t>
        </is>
      </c>
      <c r="G140" s="55" t="n">
        <v>12</v>
      </c>
      <c r="H140" s="167" t="n">
        <v>597.72</v>
      </c>
      <c r="I140" s="167" t="n">
        <v>0</v>
      </c>
      <c r="J140" s="171">
        <f>IF(AND(N(G140)&gt;0,N(H140)+N(I140)&gt;0),(H140+I140)*U140/G140,"")</f>
        <v/>
      </c>
      <c r="K140" s="172" t="n">
        <v>79.98999999999999</v>
      </c>
      <c r="L140" s="172" t="n">
        <v>75.98999999999999</v>
      </c>
      <c r="M140" s="54" t="inlineStr">
        <is>
          <t>Eligible</t>
        </is>
      </c>
      <c r="N140" s="171">
        <f>IF(OR(J140="",L140=""),"",L140-J140)</f>
        <v/>
      </c>
      <c r="O140" s="169">
        <f>IF(OR(J140="",L140=""),"",L140/J140-1)</f>
        <v/>
      </c>
      <c r="P140" s="169">
        <f>IF(OR(J140="",K140=""),"",K140/J140-1)</f>
        <v/>
      </c>
      <c r="Q140" s="54">
        <f>IF(AND(ISNUMBER(J140),ISNUMBER(L140)),1,0)</f>
        <v/>
      </c>
      <c r="R140" s="69">
        <f>IF(Q140=1,G140*L140,0)</f>
        <v/>
      </c>
      <c r="S140" s="69">
        <f>IF(Q140=1,(H140+I140)*U140,0)</f>
        <v/>
      </c>
      <c r="T140" s="59">
        <f>IF(Q140=1,G140,0)</f>
        <v/>
      </c>
      <c r="U140" s="170">
        <f>$G$3</f>
        <v/>
      </c>
    </row>
    <row r="141">
      <c r="A141" s="54" t="inlineStr">
        <is>
          <t>CA DC B4</t>
        </is>
      </c>
      <c r="B141" s="54" t="inlineStr">
        <is>
          <t>CA</t>
        </is>
      </c>
      <c r="C141" s="54" t="inlineStr">
        <is>
          <t>B0BZPY4PXY</t>
        </is>
      </c>
      <c r="D141" s="54" t="inlineStr">
        <is>
          <t>BAMBOO-FULL-PURPLE</t>
        </is>
      </c>
      <c r="E141" s="54" t="inlineStr">
        <is>
          <t>Full</t>
        </is>
      </c>
      <c r="F141" s="54" t="inlineStr">
        <is>
          <t>Purple</t>
        </is>
      </c>
      <c r="G141" s="55" t="n">
        <v>12</v>
      </c>
      <c r="H141" s="167" t="n">
        <v>486.92</v>
      </c>
      <c r="I141" s="167" t="n">
        <v>0</v>
      </c>
      <c r="J141" s="171">
        <f>IF(AND(N(G141)&gt;0,N(H141)+N(I141)&gt;0),(H141+I141)*U141/G141,"")</f>
        <v/>
      </c>
      <c r="K141" s="172" t="n">
        <v>79.98999999999999</v>
      </c>
      <c r="L141" s="172" t="n">
        <v>75.98999999999999</v>
      </c>
      <c r="M141" s="54" t="inlineStr">
        <is>
          <t>Eligible</t>
        </is>
      </c>
      <c r="N141" s="171">
        <f>IF(OR(J141="",L141=""),"",L141-J141)</f>
        <v/>
      </c>
      <c r="O141" s="169">
        <f>IF(OR(J141="",L141=""),"",L141/J141-1)</f>
        <v/>
      </c>
      <c r="P141" s="169">
        <f>IF(OR(J141="",K141=""),"",K141/J141-1)</f>
        <v/>
      </c>
      <c r="Q141" s="54">
        <f>IF(AND(ISNUMBER(J141),ISNUMBER(L141)),1,0)</f>
        <v/>
      </c>
      <c r="R141" s="69">
        <f>IF(Q141=1,G141*L141,0)</f>
        <v/>
      </c>
      <c r="S141" s="69">
        <f>IF(Q141=1,(H141+I141)*U141,0)</f>
        <v/>
      </c>
      <c r="T141" s="59">
        <f>IF(Q141=1,G141,0)</f>
        <v/>
      </c>
      <c r="U141" s="170">
        <f>$G$3</f>
        <v/>
      </c>
    </row>
    <row r="142">
      <c r="A142" s="54" t="inlineStr">
        <is>
          <t>CA DC B4</t>
        </is>
      </c>
      <c r="B142" s="54" t="inlineStr">
        <is>
          <t>CA</t>
        </is>
      </c>
      <c r="C142" s="54" t="inlineStr">
        <is>
          <t>B08KQLK2HK</t>
        </is>
      </c>
      <c r="D142" s="54" t="inlineStr">
        <is>
          <t>BAMBOO-KING-OLIVE</t>
        </is>
      </c>
      <c r="E142" s="54" t="inlineStr">
        <is>
          <t>King</t>
        </is>
      </c>
      <c r="F142" s="54" t="inlineStr">
        <is>
          <t>Olive</t>
        </is>
      </c>
      <c r="G142" s="55" t="n">
        <v>12</v>
      </c>
      <c r="H142" s="167" t="n">
        <v>682.96</v>
      </c>
      <c r="I142" s="167" t="n">
        <v>0</v>
      </c>
      <c r="J142" s="171">
        <f>IF(AND(N(G142)&gt;0,N(H142)+N(I142)&gt;0),(H142+I142)*U142/G142,"")</f>
        <v/>
      </c>
      <c r="K142" s="172" t="n">
        <v>99.98999999999999</v>
      </c>
      <c r="L142" s="172" t="n"/>
      <c r="M142" s="54" t="inlineStr">
        <is>
          <t>Out of stock</t>
        </is>
      </c>
      <c r="N142" s="171">
        <f>IF(OR(J142="",L142=""),"",L142-J142)</f>
        <v/>
      </c>
      <c r="O142" s="169">
        <f>IF(OR(J142="",L142=""),"",L142/J142-1)</f>
        <v/>
      </c>
      <c r="P142" s="169">
        <f>IF(OR(J142="",K142=""),"",K142/J142-1)</f>
        <v/>
      </c>
      <c r="Q142" s="54">
        <f>IF(AND(ISNUMBER(J142),ISNUMBER(L142)),1,0)</f>
        <v/>
      </c>
      <c r="R142" s="69">
        <f>IF(Q142=1,G142*L142,0)</f>
        <v/>
      </c>
      <c r="S142" s="69">
        <f>IF(Q142=1,(H142+I142)*U142,0)</f>
        <v/>
      </c>
      <c r="T142" s="59">
        <f>IF(Q142=1,G142,0)</f>
        <v/>
      </c>
      <c r="U142" s="170">
        <f>$G$3</f>
        <v/>
      </c>
    </row>
    <row r="143">
      <c r="A143" s="54" t="inlineStr">
        <is>
          <t>CA DC B4</t>
        </is>
      </c>
      <c r="B143" s="54" t="inlineStr">
        <is>
          <t>CA</t>
        </is>
      </c>
      <c r="C143" s="54" t="inlineStr">
        <is>
          <t>B08KQJ3JSW</t>
        </is>
      </c>
      <c r="D143" s="54" t="inlineStr">
        <is>
          <t>BAMBOO-FULL-CREME</t>
        </is>
      </c>
      <c r="E143" s="54" t="inlineStr">
        <is>
          <t>Full</t>
        </is>
      </c>
      <c r="F143" s="54" t="inlineStr">
        <is>
          <t>Creme</t>
        </is>
      </c>
      <c r="G143" s="55" t="n">
        <v>10</v>
      </c>
      <c r="H143" s="167" t="n">
        <v>387.17</v>
      </c>
      <c r="I143" s="167" t="n">
        <v>0</v>
      </c>
      <c r="J143" s="171">
        <f>IF(AND(N(G143)&gt;0,N(H143)+N(I143)&gt;0),(H143+I143)*U143/G143,"")</f>
        <v/>
      </c>
      <c r="K143" s="172" t="n">
        <v>79.98999999999999</v>
      </c>
      <c r="L143" s="172" t="n">
        <v>79.98999999999999</v>
      </c>
      <c r="M143" s="54" t="inlineStr">
        <is>
          <t>Eligible</t>
        </is>
      </c>
      <c r="N143" s="171">
        <f>IF(OR(J143="",L143=""),"",L143-J143)</f>
        <v/>
      </c>
      <c r="O143" s="169">
        <f>IF(OR(J143="",L143=""),"",L143/J143-1)</f>
        <v/>
      </c>
      <c r="P143" s="169">
        <f>IF(OR(J143="",K143=""),"",K143/J143-1)</f>
        <v/>
      </c>
      <c r="Q143" s="54">
        <f>IF(AND(ISNUMBER(J143),ISNUMBER(L143)),1,0)</f>
        <v/>
      </c>
      <c r="R143" s="69">
        <f>IF(Q143=1,G143*L143,0)</f>
        <v/>
      </c>
      <c r="S143" s="69">
        <f>IF(Q143=1,(H143+I143)*U143,0)</f>
        <v/>
      </c>
      <c r="T143" s="59">
        <f>IF(Q143=1,G143,0)</f>
        <v/>
      </c>
      <c r="U143" s="170">
        <f>$G$3</f>
        <v/>
      </c>
    </row>
    <row r="144">
      <c r="A144" s="54" t="inlineStr">
        <is>
          <t>CA DC B4</t>
        </is>
      </c>
      <c r="B144" s="54" t="inlineStr">
        <is>
          <t>CA</t>
        </is>
      </c>
      <c r="C144" s="54" t="inlineStr">
        <is>
          <t>B0BZQ43D7W</t>
        </is>
      </c>
      <c r="D144" s="54" t="inlineStr">
        <is>
          <t>BAMBOO-FULL-MIDGREY</t>
        </is>
      </c>
      <c r="E144" s="54" t="inlineStr">
        <is>
          <t>Full</t>
        </is>
      </c>
      <c r="F144" s="54" t="inlineStr">
        <is>
          <t>Midgrey</t>
        </is>
      </c>
      <c r="G144" s="55" t="n">
        <v>10</v>
      </c>
      <c r="H144" s="167" t="n">
        <v>474.43</v>
      </c>
      <c r="I144" s="167" t="n">
        <v>0</v>
      </c>
      <c r="J144" s="171">
        <f>IF(AND(N(G144)&gt;0,N(H144)+N(I144)&gt;0),(H144+I144)*U144/G144,"")</f>
        <v/>
      </c>
      <c r="K144" s="172" t="n">
        <v>79.98999999999999</v>
      </c>
      <c r="L144" s="172" t="n">
        <v>79.28</v>
      </c>
      <c r="M144" s="54" t="inlineStr">
        <is>
          <t>Eligible</t>
        </is>
      </c>
      <c r="N144" s="171">
        <f>IF(OR(J144="",L144=""),"",L144-J144)</f>
        <v/>
      </c>
      <c r="O144" s="169">
        <f>IF(OR(J144="",L144=""),"",L144/J144-1)</f>
        <v/>
      </c>
      <c r="P144" s="169">
        <f>IF(OR(J144="",K144=""),"",K144/J144-1)</f>
        <v/>
      </c>
      <c r="Q144" s="54">
        <f>IF(AND(ISNUMBER(J144),ISNUMBER(L144)),1,0)</f>
        <v/>
      </c>
      <c r="R144" s="69">
        <f>IF(Q144=1,G144*L144,0)</f>
        <v/>
      </c>
      <c r="S144" s="69">
        <f>IF(Q144=1,(H144+I144)*U144,0)</f>
        <v/>
      </c>
      <c r="T144" s="59">
        <f>IF(Q144=1,G144,0)</f>
        <v/>
      </c>
      <c r="U144" s="170">
        <f>$G$3</f>
        <v/>
      </c>
    </row>
    <row r="145">
      <c r="A145" s="54" t="inlineStr">
        <is>
          <t>CA DC B4</t>
        </is>
      </c>
      <c r="B145" s="54" t="inlineStr">
        <is>
          <t>CA</t>
        </is>
      </c>
      <c r="C145" s="54" t="inlineStr">
        <is>
          <t>B0CLKDSVCV</t>
        </is>
      </c>
      <c r="D145" s="54" t="inlineStr">
        <is>
          <t>BAMBOO-FULL-LIGHT PINK</t>
        </is>
      </c>
      <c r="E145" s="54" t="inlineStr">
        <is>
          <t>Full</t>
        </is>
      </c>
      <c r="F145" s="54" t="inlineStr">
        <is>
          <t>Light Pink</t>
        </is>
      </c>
      <c r="G145" s="55" t="n">
        <v>9</v>
      </c>
      <c r="H145" s="167" t="n">
        <v>450.38</v>
      </c>
      <c r="I145" s="167" t="n">
        <v>0</v>
      </c>
      <c r="J145" s="171">
        <f>IF(AND(N(G145)&gt;0,N(H145)+N(I145)&gt;0),(H145+I145)*U145/G145,"")</f>
        <v/>
      </c>
      <c r="K145" s="172" t="n">
        <v>79.98999999999999</v>
      </c>
      <c r="L145" s="172" t="n">
        <v>79.98999999999999</v>
      </c>
      <c r="M145" s="54" t="inlineStr">
        <is>
          <t>Eligible</t>
        </is>
      </c>
      <c r="N145" s="171">
        <f>IF(OR(J145="",L145=""),"",L145-J145)</f>
        <v/>
      </c>
      <c r="O145" s="169">
        <f>IF(OR(J145="",L145=""),"",L145/J145-1)</f>
        <v/>
      </c>
      <c r="P145" s="169">
        <f>IF(OR(J145="",K145=""),"",K145/J145-1)</f>
        <v/>
      </c>
      <c r="Q145" s="54">
        <f>IF(AND(ISNUMBER(J145),ISNUMBER(L145)),1,0)</f>
        <v/>
      </c>
      <c r="R145" s="69">
        <f>IF(Q145=1,G145*L145,0)</f>
        <v/>
      </c>
      <c r="S145" s="69">
        <f>IF(Q145=1,(H145+I145)*U145,0)</f>
        <v/>
      </c>
      <c r="T145" s="59">
        <f>IF(Q145=1,G145,0)</f>
        <v/>
      </c>
      <c r="U145" s="170">
        <f>$G$3</f>
        <v/>
      </c>
    </row>
    <row r="146">
      <c r="A146" s="54" t="inlineStr">
        <is>
          <t>CA DC B4</t>
        </is>
      </c>
      <c r="B146" s="54" t="inlineStr">
        <is>
          <t>CA</t>
        </is>
      </c>
      <c r="C146" s="54" t="inlineStr">
        <is>
          <t>B0BZQ3F8RQ</t>
        </is>
      </c>
      <c r="D146" s="54" t="inlineStr">
        <is>
          <t>BAMBOO-KING-PURPLE</t>
        </is>
      </c>
      <c r="E146" s="54" t="inlineStr">
        <is>
          <t>King</t>
        </is>
      </c>
      <c r="F146" s="54" t="inlineStr">
        <is>
          <t>Purple</t>
        </is>
      </c>
      <c r="G146" s="55" t="n">
        <v>9</v>
      </c>
      <c r="H146" s="167" t="n">
        <v>479.05</v>
      </c>
      <c r="I146" s="167" t="n">
        <v>0</v>
      </c>
      <c r="J146" s="171">
        <f>IF(AND(N(G146)&gt;0,N(H146)+N(I146)&gt;0),(H146+I146)*U146/G146,"")</f>
        <v/>
      </c>
      <c r="K146" s="172" t="n">
        <v>99.98999999999999</v>
      </c>
      <c r="L146" s="172" t="n">
        <v>99.98999999999999</v>
      </c>
      <c r="M146" s="54" t="inlineStr">
        <is>
          <t>Eligible</t>
        </is>
      </c>
      <c r="N146" s="171">
        <f>IF(OR(J146="",L146=""),"",L146-J146)</f>
        <v/>
      </c>
      <c r="O146" s="169">
        <f>IF(OR(J146="",L146=""),"",L146/J146-1)</f>
        <v/>
      </c>
      <c r="P146" s="169">
        <f>IF(OR(J146="",K146=""),"",K146/J146-1)</f>
        <v/>
      </c>
      <c r="Q146" s="54">
        <f>IF(AND(ISNUMBER(J146),ISNUMBER(L146)),1,0)</f>
        <v/>
      </c>
      <c r="R146" s="69">
        <f>IF(Q146=1,G146*L146,0)</f>
        <v/>
      </c>
      <c r="S146" s="69">
        <f>IF(Q146=1,(H146+I146)*U146,0)</f>
        <v/>
      </c>
      <c r="T146" s="59">
        <f>IF(Q146=1,G146,0)</f>
        <v/>
      </c>
      <c r="U146" s="170">
        <f>$G$3</f>
        <v/>
      </c>
    </row>
    <row r="147">
      <c r="A147" s="54" t="inlineStr">
        <is>
          <t>CA DC B4</t>
        </is>
      </c>
      <c r="B147" s="54" t="inlineStr">
        <is>
          <t>CA</t>
        </is>
      </c>
      <c r="C147" s="54" t="inlineStr">
        <is>
          <t>B08KQK9WCY</t>
        </is>
      </c>
      <c r="D147" s="54" t="inlineStr">
        <is>
          <t>BAMBOO-KING-NAVYBLUE</t>
        </is>
      </c>
      <c r="E147" s="54" t="inlineStr">
        <is>
          <t>King</t>
        </is>
      </c>
      <c r="F147" s="54" t="inlineStr">
        <is>
          <t>Navy Blue</t>
        </is>
      </c>
      <c r="G147" s="55" t="n">
        <v>8</v>
      </c>
      <c r="H147" s="167" t="n">
        <v>484.3</v>
      </c>
      <c r="I147" s="167" t="n">
        <v>0</v>
      </c>
      <c r="J147" s="171">
        <f>IF(AND(N(G147)&gt;0,N(H147)+N(I147)&gt;0),(H147+I147)*U147/G147,"")</f>
        <v/>
      </c>
      <c r="K147" s="172" t="n">
        <v>99.98999999999999</v>
      </c>
      <c r="L147" s="172" t="n">
        <v>84.98999999999999</v>
      </c>
      <c r="M147" s="54" t="inlineStr">
        <is>
          <t>Eligible</t>
        </is>
      </c>
      <c r="N147" s="171">
        <f>IF(OR(J147="",L147=""),"",L147-J147)</f>
        <v/>
      </c>
      <c r="O147" s="169">
        <f>IF(OR(J147="",L147=""),"",L147/J147-1)</f>
        <v/>
      </c>
      <c r="P147" s="169">
        <f>IF(OR(J147="",K147=""),"",K147/J147-1)</f>
        <v/>
      </c>
      <c r="Q147" s="54">
        <f>IF(AND(ISNUMBER(J147),ISNUMBER(L147)),1,0)</f>
        <v/>
      </c>
      <c r="R147" s="69">
        <f>IF(Q147=1,G147*L147,0)</f>
        <v/>
      </c>
      <c r="S147" s="69">
        <f>IF(Q147=1,(H147+I147)*U147,0)</f>
        <v/>
      </c>
      <c r="T147" s="59">
        <f>IF(Q147=1,G147,0)</f>
        <v/>
      </c>
      <c r="U147" s="170">
        <f>$G$3</f>
        <v/>
      </c>
    </row>
    <row r="148">
      <c r="A148" s="54" t="inlineStr">
        <is>
          <t>CA DC B4</t>
        </is>
      </c>
      <c r="B148" s="54" t="inlineStr">
        <is>
          <t>CA</t>
        </is>
      </c>
      <c r="C148" s="54" t="inlineStr">
        <is>
          <t>B0CLKCDHHS</t>
        </is>
      </c>
      <c r="D148" s="54" t="inlineStr">
        <is>
          <t>BAMBOO-KING-SAGE GREEN</t>
        </is>
      </c>
      <c r="E148" s="54" t="inlineStr">
        <is>
          <t>King</t>
        </is>
      </c>
      <c r="F148" s="54" t="inlineStr">
        <is>
          <t>Sage Green</t>
        </is>
      </c>
      <c r="G148" s="55" t="n">
        <v>8</v>
      </c>
      <c r="H148" s="167" t="n">
        <v>500.27</v>
      </c>
      <c r="I148" s="167" t="n">
        <v>0</v>
      </c>
      <c r="J148" s="171">
        <f>IF(AND(N(G148)&gt;0,N(H148)+N(I148)&gt;0),(H148+I148)*U148/G148,"")</f>
        <v/>
      </c>
      <c r="K148" s="172" t="n">
        <v>99.98999999999999</v>
      </c>
      <c r="L148" s="172" t="n">
        <v>99.98999999999999</v>
      </c>
      <c r="M148" s="54" t="inlineStr">
        <is>
          <t>Eligible</t>
        </is>
      </c>
      <c r="N148" s="171">
        <f>IF(OR(J148="",L148=""),"",L148-J148)</f>
        <v/>
      </c>
      <c r="O148" s="169">
        <f>IF(OR(J148="",L148=""),"",L148/J148-1)</f>
        <v/>
      </c>
      <c r="P148" s="169">
        <f>IF(OR(J148="",K148=""),"",K148/J148-1)</f>
        <v/>
      </c>
      <c r="Q148" s="54">
        <f>IF(AND(ISNUMBER(J148),ISNUMBER(L148)),1,0)</f>
        <v/>
      </c>
      <c r="R148" s="69">
        <f>IF(Q148=1,G148*L148,0)</f>
        <v/>
      </c>
      <c r="S148" s="69">
        <f>IF(Q148=1,(H148+I148)*U148,0)</f>
        <v/>
      </c>
      <c r="T148" s="59">
        <f>IF(Q148=1,G148,0)</f>
        <v/>
      </c>
      <c r="U148" s="170">
        <f>$G$3</f>
        <v/>
      </c>
    </row>
    <row r="149">
      <c r="A149" s="54" t="inlineStr">
        <is>
          <t>CA DC B4</t>
        </is>
      </c>
      <c r="B149" s="54" t="inlineStr">
        <is>
          <t>CA</t>
        </is>
      </c>
      <c r="C149" s="54" t="inlineStr">
        <is>
          <t>B08KQJHKFJ</t>
        </is>
      </c>
      <c r="D149" s="54" t="inlineStr">
        <is>
          <t>BAMBOO-FULL-LIGHTGREY</t>
        </is>
      </c>
      <c r="E149" s="54" t="inlineStr">
        <is>
          <t>Full</t>
        </is>
      </c>
      <c r="F149" s="54" t="inlineStr">
        <is>
          <t>Light Grey</t>
        </is>
      </c>
      <c r="G149" s="55" t="n">
        <v>7</v>
      </c>
      <c r="H149" s="167" t="n">
        <v>318.96</v>
      </c>
      <c r="I149" s="167" t="n">
        <v>0</v>
      </c>
      <c r="J149" s="171">
        <f>IF(AND(N(G149)&gt;0,N(H149)+N(I149)&gt;0),(H149+I149)*U149/G149,"")</f>
        <v/>
      </c>
      <c r="K149" s="172" t="n">
        <v>79.98999999999999</v>
      </c>
      <c r="L149" s="172" t="n">
        <v>79.98999999999999</v>
      </c>
      <c r="M149" s="54" t="inlineStr">
        <is>
          <t>Eligible</t>
        </is>
      </c>
      <c r="N149" s="171">
        <f>IF(OR(J149="",L149=""),"",L149-J149)</f>
        <v/>
      </c>
      <c r="O149" s="169">
        <f>IF(OR(J149="",L149=""),"",L149/J149-1)</f>
        <v/>
      </c>
      <c r="P149" s="169">
        <f>IF(OR(J149="",K149=""),"",K149/J149-1)</f>
        <v/>
      </c>
      <c r="Q149" s="54">
        <f>IF(AND(ISNUMBER(J149),ISNUMBER(L149)),1,0)</f>
        <v/>
      </c>
      <c r="R149" s="69">
        <f>IF(Q149=1,G149*L149,0)</f>
        <v/>
      </c>
      <c r="S149" s="69">
        <f>IF(Q149=1,(H149+I149)*U149,0)</f>
        <v/>
      </c>
      <c r="T149" s="59">
        <f>IF(Q149=1,G149,0)</f>
        <v/>
      </c>
      <c r="U149" s="170">
        <f>$G$3</f>
        <v/>
      </c>
    </row>
    <row r="150">
      <c r="A150" s="54" t="inlineStr">
        <is>
          <t>CA DC B4</t>
        </is>
      </c>
      <c r="B150" s="54" t="inlineStr">
        <is>
          <t>CA</t>
        </is>
      </c>
      <c r="C150" s="54" t="inlineStr">
        <is>
          <t>B0BZPZ588L</t>
        </is>
      </c>
      <c r="D150" s="54" t="inlineStr">
        <is>
          <t>BAMBOO-KING-CHARCOAL</t>
        </is>
      </c>
      <c r="E150" s="54" t="inlineStr">
        <is>
          <t>King</t>
        </is>
      </c>
      <c r="F150" s="54" t="inlineStr">
        <is>
          <t>Charcoal</t>
        </is>
      </c>
      <c r="G150" s="55" t="n">
        <v>7</v>
      </c>
      <c r="H150" s="167" t="n">
        <v>398.75</v>
      </c>
      <c r="I150" s="167" t="n">
        <v>0</v>
      </c>
      <c r="J150" s="171">
        <f>IF(AND(N(G150)&gt;0,N(H150)+N(I150)&gt;0),(H150+I150)*U150/G150,"")</f>
        <v/>
      </c>
      <c r="K150" s="172" t="n">
        <v>99.98999999999999</v>
      </c>
      <c r="L150" s="172" t="n">
        <v>99.98999999999999</v>
      </c>
      <c r="M150" s="54" t="inlineStr">
        <is>
          <t>Eligible</t>
        </is>
      </c>
      <c r="N150" s="171">
        <f>IF(OR(J150="",L150=""),"",L150-J150)</f>
        <v/>
      </c>
      <c r="O150" s="169">
        <f>IF(OR(J150="",L150=""),"",L150/J150-1)</f>
        <v/>
      </c>
      <c r="P150" s="169">
        <f>IF(OR(J150="",K150=""),"",K150/J150-1)</f>
        <v/>
      </c>
      <c r="Q150" s="54">
        <f>IF(AND(ISNUMBER(J150),ISNUMBER(L150)),1,0)</f>
        <v/>
      </c>
      <c r="R150" s="69">
        <f>IF(Q150=1,G150*L150,0)</f>
        <v/>
      </c>
      <c r="S150" s="69">
        <f>IF(Q150=1,(H150+I150)*U150,0)</f>
        <v/>
      </c>
      <c r="T150" s="59">
        <f>IF(Q150=1,G150,0)</f>
        <v/>
      </c>
      <c r="U150" s="170">
        <f>$G$3</f>
        <v/>
      </c>
    </row>
    <row r="151">
      <c r="A151" s="54" t="inlineStr">
        <is>
          <t>CA DC B4</t>
        </is>
      </c>
      <c r="B151" s="54" t="inlineStr">
        <is>
          <t>CA</t>
        </is>
      </c>
      <c r="C151" s="54" t="inlineStr">
        <is>
          <t>B0BZQ3ZGNG</t>
        </is>
      </c>
      <c r="D151" s="54" t="inlineStr">
        <is>
          <t>BAMBOO-QUEEN-PURPLE</t>
        </is>
      </c>
      <c r="E151" s="54" t="inlineStr">
        <is>
          <t>Queen</t>
        </is>
      </c>
      <c r="F151" s="54" t="inlineStr">
        <is>
          <t>Purple</t>
        </is>
      </c>
      <c r="G151" s="55" t="n">
        <v>7</v>
      </c>
      <c r="H151" s="167" t="n">
        <v>399.39</v>
      </c>
      <c r="I151" s="167" t="n">
        <v>0</v>
      </c>
      <c r="J151" s="171">
        <f>IF(AND(N(G151)&gt;0,N(H151)+N(I151)&gt;0),(H151+I151)*U151/G151,"")</f>
        <v/>
      </c>
      <c r="K151" s="172" t="n">
        <v>111.99</v>
      </c>
      <c r="L151" s="172" t="n">
        <v>89.23999999999999</v>
      </c>
      <c r="M151" s="54" t="inlineStr">
        <is>
          <t>Eligible</t>
        </is>
      </c>
      <c r="N151" s="171">
        <f>IF(OR(J151="",L151=""),"",L151-J151)</f>
        <v/>
      </c>
      <c r="O151" s="169">
        <f>IF(OR(J151="",L151=""),"",L151/J151-1)</f>
        <v/>
      </c>
      <c r="P151" s="169">
        <f>IF(OR(J151="",K151=""),"",K151/J151-1)</f>
        <v/>
      </c>
      <c r="Q151" s="54">
        <f>IF(AND(ISNUMBER(J151),ISNUMBER(L151)),1,0)</f>
        <v/>
      </c>
      <c r="R151" s="69">
        <f>IF(Q151=1,G151*L151,0)</f>
        <v/>
      </c>
      <c r="S151" s="69">
        <f>IF(Q151=1,(H151+I151)*U151,0)</f>
        <v/>
      </c>
      <c r="T151" s="59">
        <f>IF(Q151=1,G151,0)</f>
        <v/>
      </c>
      <c r="U151" s="170">
        <f>$G$3</f>
        <v/>
      </c>
    </row>
    <row r="152">
      <c r="A152" s="54" t="inlineStr">
        <is>
          <t>CA DC B4</t>
        </is>
      </c>
      <c r="B152" s="54" t="inlineStr">
        <is>
          <t>CA</t>
        </is>
      </c>
      <c r="C152" s="54" t="inlineStr">
        <is>
          <t>B0BZPZN1GV</t>
        </is>
      </c>
      <c r="D152" s="54" t="inlineStr">
        <is>
          <t>BAMBOO-TWIN-BLACK</t>
        </is>
      </c>
      <c r="E152" s="54" t="inlineStr">
        <is>
          <t>Twin</t>
        </is>
      </c>
      <c r="F152" s="54" t="inlineStr">
        <is>
          <t>Black</t>
        </is>
      </c>
      <c r="G152" s="55" t="n">
        <v>7</v>
      </c>
      <c r="H152" s="167" t="n">
        <v>284.26</v>
      </c>
      <c r="I152" s="167" t="n">
        <v>0</v>
      </c>
      <c r="J152" s="171">
        <f>IF(AND(N(G152)&gt;0,N(H152)+N(I152)&gt;0),(H152+I152)*U152/G152,"")</f>
        <v/>
      </c>
      <c r="K152" s="172" t="n">
        <v>79.98999999999999</v>
      </c>
      <c r="L152" s="172" t="n">
        <v>79.98999999999999</v>
      </c>
      <c r="M152" s="54" t="inlineStr">
        <is>
          <t>Eligible</t>
        </is>
      </c>
      <c r="N152" s="171">
        <f>IF(OR(J152="",L152=""),"",L152-J152)</f>
        <v/>
      </c>
      <c r="O152" s="169">
        <f>IF(OR(J152="",L152=""),"",L152/J152-1)</f>
        <v/>
      </c>
      <c r="P152" s="169">
        <f>IF(OR(J152="",K152=""),"",K152/J152-1)</f>
        <v/>
      </c>
      <c r="Q152" s="54">
        <f>IF(AND(ISNUMBER(J152),ISNUMBER(L152)),1,0)</f>
        <v/>
      </c>
      <c r="R152" s="69">
        <f>IF(Q152=1,G152*L152,0)</f>
        <v/>
      </c>
      <c r="S152" s="69">
        <f>IF(Q152=1,(H152+I152)*U152,0)</f>
        <v/>
      </c>
      <c r="T152" s="59">
        <f>IF(Q152=1,G152,0)</f>
        <v/>
      </c>
      <c r="U152" s="170">
        <f>$G$3</f>
        <v/>
      </c>
    </row>
    <row r="153">
      <c r="A153" s="54" t="inlineStr">
        <is>
          <t>CA DC B4</t>
        </is>
      </c>
      <c r="B153" s="54" t="inlineStr">
        <is>
          <t>CA</t>
        </is>
      </c>
      <c r="C153" s="54" t="inlineStr">
        <is>
          <t>B08KQJTP39</t>
        </is>
      </c>
      <c r="D153" s="54" t="inlineStr">
        <is>
          <t>BAMBOO-FULL-OLIVE</t>
        </is>
      </c>
      <c r="E153" s="54" t="inlineStr">
        <is>
          <t>Full</t>
        </is>
      </c>
      <c r="F153" s="54" t="inlineStr">
        <is>
          <t>Olive</t>
        </is>
      </c>
      <c r="G153" s="55" t="n">
        <v>6</v>
      </c>
      <c r="H153" s="167" t="n">
        <v>273.44</v>
      </c>
      <c r="I153" s="167" t="n">
        <v>0</v>
      </c>
      <c r="J153" s="171">
        <f>IF(AND(N(G153)&gt;0,N(H153)+N(I153)&gt;0),(H153+I153)*U153/G153,"")</f>
        <v/>
      </c>
      <c r="K153" s="172" t="n">
        <v>79.98999999999999</v>
      </c>
      <c r="L153" s="172" t="n">
        <v>72.23999999999999</v>
      </c>
      <c r="M153" s="54" t="inlineStr">
        <is>
          <t>Eligible</t>
        </is>
      </c>
      <c r="N153" s="171">
        <f>IF(OR(J153="",L153=""),"",L153-J153)</f>
        <v/>
      </c>
      <c r="O153" s="169">
        <f>IF(OR(J153="",L153=""),"",L153/J153-1)</f>
        <v/>
      </c>
      <c r="P153" s="169">
        <f>IF(OR(J153="",K153=""),"",K153/J153-1)</f>
        <v/>
      </c>
      <c r="Q153" s="54">
        <f>IF(AND(ISNUMBER(J153),ISNUMBER(L153)),1,0)</f>
        <v/>
      </c>
      <c r="R153" s="69">
        <f>IF(Q153=1,G153*L153,0)</f>
        <v/>
      </c>
      <c r="S153" s="69">
        <f>IF(Q153=1,(H153+I153)*U153,0)</f>
        <v/>
      </c>
      <c r="T153" s="59">
        <f>IF(Q153=1,G153,0)</f>
        <v/>
      </c>
      <c r="U153" s="170">
        <f>$G$3</f>
        <v/>
      </c>
    </row>
    <row r="154">
      <c r="A154" s="54" t="inlineStr">
        <is>
          <t>CA DC B4</t>
        </is>
      </c>
      <c r="B154" s="54" t="inlineStr">
        <is>
          <t>CA</t>
        </is>
      </c>
      <c r="C154" s="54" t="inlineStr">
        <is>
          <t>B08KQJV49M</t>
        </is>
      </c>
      <c r="D154" s="54" t="inlineStr">
        <is>
          <t>BAMBOO-FULL-WHITE</t>
        </is>
      </c>
      <c r="E154" s="54" t="inlineStr">
        <is>
          <t>Full</t>
        </is>
      </c>
      <c r="F154" s="54" t="inlineStr">
        <is>
          <t>White</t>
        </is>
      </c>
      <c r="G154" s="55" t="n">
        <v>6</v>
      </c>
      <c r="H154" s="167" t="n">
        <v>291.48</v>
      </c>
      <c r="I154" s="167" t="n">
        <v>0</v>
      </c>
      <c r="J154" s="171">
        <f>IF(AND(N(G154)&gt;0,N(H154)+N(I154)&gt;0),(H154+I154)*U154/G154,"")</f>
        <v/>
      </c>
      <c r="K154" s="172" t="n">
        <v>79.98999999999999</v>
      </c>
      <c r="L154" s="172" t="n">
        <v>75.98999999999999</v>
      </c>
      <c r="M154" s="54" t="inlineStr">
        <is>
          <t>Eligible</t>
        </is>
      </c>
      <c r="N154" s="171">
        <f>IF(OR(J154="",L154=""),"",L154-J154)</f>
        <v/>
      </c>
      <c r="O154" s="169">
        <f>IF(OR(J154="",L154=""),"",L154/J154-1)</f>
        <v/>
      </c>
      <c r="P154" s="169">
        <f>IF(OR(J154="",K154=""),"",K154/J154-1)</f>
        <v/>
      </c>
      <c r="Q154" s="54">
        <f>IF(AND(ISNUMBER(J154),ISNUMBER(L154)),1,0)</f>
        <v/>
      </c>
      <c r="R154" s="69">
        <f>IF(Q154=1,G154*L154,0)</f>
        <v/>
      </c>
      <c r="S154" s="69">
        <f>IF(Q154=1,(H154+I154)*U154,0)</f>
        <v/>
      </c>
      <c r="T154" s="59">
        <f>IF(Q154=1,G154,0)</f>
        <v/>
      </c>
      <c r="U154" s="170">
        <f>$G$3</f>
        <v/>
      </c>
    </row>
    <row r="155">
      <c r="A155" s="54" t="inlineStr">
        <is>
          <t>CA DC B4</t>
        </is>
      </c>
      <c r="B155" s="54" t="inlineStr">
        <is>
          <t>CA</t>
        </is>
      </c>
      <c r="C155" s="54" t="inlineStr">
        <is>
          <t>B0CLK9QXX3</t>
        </is>
      </c>
      <c r="D155" s="54" t="inlineStr">
        <is>
          <t>BAMBOO-KING-LIGHT PINK</t>
        </is>
      </c>
      <c r="E155" s="54" t="inlineStr">
        <is>
          <t>King</t>
        </is>
      </c>
      <c r="F155" s="54" t="inlineStr">
        <is>
          <t>Light Pink</t>
        </is>
      </c>
      <c r="G155" s="55" t="n">
        <v>6</v>
      </c>
      <c r="H155" s="167" t="n">
        <v>364.45</v>
      </c>
      <c r="I155" s="167" t="n">
        <v>0</v>
      </c>
      <c r="J155" s="171">
        <f>IF(AND(N(G155)&gt;0,N(H155)+N(I155)&gt;0),(H155+I155)*U155/G155,"")</f>
        <v/>
      </c>
      <c r="K155" s="172" t="n">
        <v>99.98999999999999</v>
      </c>
      <c r="L155" s="172" t="n">
        <v>80.73999999999999</v>
      </c>
      <c r="M155" s="54" t="inlineStr">
        <is>
          <t>Eligible</t>
        </is>
      </c>
      <c r="N155" s="171">
        <f>IF(OR(J155="",L155=""),"",L155-J155)</f>
        <v/>
      </c>
      <c r="O155" s="169">
        <f>IF(OR(J155="",L155=""),"",L155/J155-1)</f>
        <v/>
      </c>
      <c r="P155" s="169">
        <f>IF(OR(J155="",K155=""),"",K155/J155-1)</f>
        <v/>
      </c>
      <c r="Q155" s="54">
        <f>IF(AND(ISNUMBER(J155),ISNUMBER(L155)),1,0)</f>
        <v/>
      </c>
      <c r="R155" s="69">
        <f>IF(Q155=1,G155*L155,0)</f>
        <v/>
      </c>
      <c r="S155" s="69">
        <f>IF(Q155=1,(H155+I155)*U155,0)</f>
        <v/>
      </c>
      <c r="T155" s="59">
        <f>IF(Q155=1,G155,0)</f>
        <v/>
      </c>
      <c r="U155" s="170">
        <f>$G$3</f>
        <v/>
      </c>
    </row>
    <row r="156">
      <c r="A156" s="54" t="inlineStr">
        <is>
          <t>CA DC B4</t>
        </is>
      </c>
      <c r="B156" s="54" t="inlineStr">
        <is>
          <t>CA</t>
        </is>
      </c>
      <c r="C156" s="54" t="inlineStr">
        <is>
          <t>B08KQKJXDK</t>
        </is>
      </c>
      <c r="D156" s="54" t="inlineStr">
        <is>
          <t>BAMBOO-TWIN-GREY</t>
        </is>
      </c>
      <c r="E156" s="54" t="inlineStr">
        <is>
          <t>Twin</t>
        </is>
      </c>
      <c r="F156" s="54" t="inlineStr">
        <is>
          <t>Grey</t>
        </is>
      </c>
      <c r="G156" s="55" t="n">
        <v>6</v>
      </c>
      <c r="H156" s="167" t="n">
        <v>298.82</v>
      </c>
      <c r="I156" s="167" t="n">
        <v>0</v>
      </c>
      <c r="J156" s="171">
        <f>IF(AND(N(G156)&gt;0,N(H156)+N(I156)&gt;0),(H156+I156)*U156/G156,"")</f>
        <v/>
      </c>
      <c r="K156" s="172" t="n">
        <v>79.98999999999999</v>
      </c>
      <c r="L156" s="172" t="n"/>
      <c r="M156" s="54" t="inlineStr">
        <is>
          <t>No reference price</t>
        </is>
      </c>
      <c r="N156" s="171">
        <f>IF(OR(J156="",L156=""),"",L156-J156)</f>
        <v/>
      </c>
      <c r="O156" s="169">
        <f>IF(OR(J156="",L156=""),"",L156/J156-1)</f>
        <v/>
      </c>
      <c r="P156" s="169">
        <f>IF(OR(J156="",K156=""),"",K156/J156-1)</f>
        <v/>
      </c>
      <c r="Q156" s="54">
        <f>IF(AND(ISNUMBER(J156),ISNUMBER(L156)),1,0)</f>
        <v/>
      </c>
      <c r="R156" s="69">
        <f>IF(Q156=1,G156*L156,0)</f>
        <v/>
      </c>
      <c r="S156" s="69">
        <f>IF(Q156=1,(H156+I156)*U156,0)</f>
        <v/>
      </c>
      <c r="T156" s="59">
        <f>IF(Q156=1,G156,0)</f>
        <v/>
      </c>
      <c r="U156" s="170">
        <f>$G$3</f>
        <v/>
      </c>
    </row>
    <row r="157">
      <c r="A157" s="54" t="inlineStr">
        <is>
          <t>CA DC B4</t>
        </is>
      </c>
      <c r="B157" s="54" t="inlineStr">
        <is>
          <t>CA</t>
        </is>
      </c>
      <c r="C157" s="54" t="inlineStr">
        <is>
          <t>B0BZQ3XM7P</t>
        </is>
      </c>
      <c r="D157" s="54" t="inlineStr">
        <is>
          <t>BAMBOO-TWIN-LIGHTOLIVE</t>
        </is>
      </c>
      <c r="E157" s="54" t="inlineStr">
        <is>
          <t>Twin</t>
        </is>
      </c>
      <c r="F157" s="54" t="inlineStr">
        <is>
          <t>Light Olive</t>
        </is>
      </c>
      <c r="G157" s="55" t="n">
        <v>6</v>
      </c>
      <c r="H157" s="167" t="n">
        <v>178.9</v>
      </c>
      <c r="I157" s="167" t="n">
        <v>0</v>
      </c>
      <c r="J157" s="171">
        <f>IF(AND(N(G157)&gt;0,N(H157)+N(I157)&gt;0),(H157+I157)*U157/G157,"")</f>
        <v/>
      </c>
      <c r="K157" s="172" t="n">
        <v>79.98999999999999</v>
      </c>
      <c r="L157" s="172" t="n"/>
      <c r="M157" s="54" t="inlineStr">
        <is>
          <t>Out of stock</t>
        </is>
      </c>
      <c r="N157" s="171">
        <f>IF(OR(J157="",L157=""),"",L157-J157)</f>
        <v/>
      </c>
      <c r="O157" s="169">
        <f>IF(OR(J157="",L157=""),"",L157/J157-1)</f>
        <v/>
      </c>
      <c r="P157" s="169">
        <f>IF(OR(J157="",K157=""),"",K157/J157-1)</f>
        <v/>
      </c>
      <c r="Q157" s="54">
        <f>IF(AND(ISNUMBER(J157),ISNUMBER(L157)),1,0)</f>
        <v/>
      </c>
      <c r="R157" s="69">
        <f>IF(Q157=1,G157*L157,0)</f>
        <v/>
      </c>
      <c r="S157" s="69">
        <f>IF(Q157=1,(H157+I157)*U157,0)</f>
        <v/>
      </c>
      <c r="T157" s="59">
        <f>IF(Q157=1,G157,0)</f>
        <v/>
      </c>
      <c r="U157" s="170">
        <f>$G$3</f>
        <v/>
      </c>
    </row>
    <row r="158">
      <c r="A158" s="54" t="inlineStr">
        <is>
          <t>CA DC B4</t>
        </is>
      </c>
      <c r="B158" s="54" t="inlineStr">
        <is>
          <t>CA</t>
        </is>
      </c>
      <c r="C158" s="54" t="inlineStr">
        <is>
          <t>B08KQ3C8BX</t>
        </is>
      </c>
      <c r="D158" s="54" t="inlineStr">
        <is>
          <t>BAMBOO-CALIFKING-NAVYBLUE</t>
        </is>
      </c>
      <c r="E158" s="54" t="inlineStr">
        <is>
          <t>California King</t>
        </is>
      </c>
      <c r="F158" s="54" t="inlineStr">
        <is>
          <t>Navy Blue</t>
        </is>
      </c>
      <c r="G158" s="55" t="n">
        <v>5</v>
      </c>
      <c r="H158" s="167" t="n">
        <v>234.82</v>
      </c>
      <c r="I158" s="167" t="n">
        <v>0</v>
      </c>
      <c r="J158" s="171">
        <f>IF(AND(N(G158)&gt;0,N(H158)+N(I158)&gt;0),(H158+I158)*U158/G158,"")</f>
        <v/>
      </c>
      <c r="K158" s="172" t="n">
        <v>99.98999999999999</v>
      </c>
      <c r="L158" s="172" t="n">
        <v>94.98999999999999</v>
      </c>
      <c r="M158" s="54" t="inlineStr">
        <is>
          <t>Eligible</t>
        </is>
      </c>
      <c r="N158" s="171">
        <f>IF(OR(J158="",L158=""),"",L158-J158)</f>
        <v/>
      </c>
      <c r="O158" s="169">
        <f>IF(OR(J158="",L158=""),"",L158/J158-1)</f>
        <v/>
      </c>
      <c r="P158" s="169">
        <f>IF(OR(J158="",K158=""),"",K158/J158-1)</f>
        <v/>
      </c>
      <c r="Q158" s="54">
        <f>IF(AND(ISNUMBER(J158),ISNUMBER(L158)),1,0)</f>
        <v/>
      </c>
      <c r="R158" s="69">
        <f>IF(Q158=1,G158*L158,0)</f>
        <v/>
      </c>
      <c r="S158" s="69">
        <f>IF(Q158=1,(H158+I158)*U158,0)</f>
        <v/>
      </c>
      <c r="T158" s="59">
        <f>IF(Q158=1,G158,0)</f>
        <v/>
      </c>
      <c r="U158" s="170">
        <f>$G$3</f>
        <v/>
      </c>
    </row>
    <row r="159">
      <c r="A159" s="54" t="inlineStr">
        <is>
          <t>CA DC B4</t>
        </is>
      </c>
      <c r="B159" s="54" t="inlineStr">
        <is>
          <t>CA</t>
        </is>
      </c>
      <c r="C159" s="54" t="inlineStr">
        <is>
          <t>B0CRHYS5KT</t>
        </is>
      </c>
      <c r="D159" s="54" t="inlineStr">
        <is>
          <t>BAMBOO-FULL-BURGUNDY-NEW</t>
        </is>
      </c>
      <c r="E159" s="54" t="inlineStr">
        <is>
          <t>Full</t>
        </is>
      </c>
      <c r="F159" s="54" t="inlineStr">
        <is>
          <t>Burgundy</t>
        </is>
      </c>
      <c r="G159" s="55" t="n">
        <v>5</v>
      </c>
      <c r="H159" s="167" t="n">
        <v>181.77</v>
      </c>
      <c r="I159" s="167" t="n">
        <v>0</v>
      </c>
      <c r="J159" s="171">
        <f>IF(AND(N(G159)&gt;0,N(H159)+N(I159)&gt;0),(H159+I159)*U159/G159,"")</f>
        <v/>
      </c>
      <c r="K159" s="172" t="n">
        <v>79.98999999999999</v>
      </c>
      <c r="L159" s="172" t="n">
        <v>75.98999999999999</v>
      </c>
      <c r="M159" s="54" t="inlineStr">
        <is>
          <t>Eligible</t>
        </is>
      </c>
      <c r="N159" s="171">
        <f>IF(OR(J159="",L159=""),"",L159-J159)</f>
        <v/>
      </c>
      <c r="O159" s="169">
        <f>IF(OR(J159="",L159=""),"",L159/J159-1)</f>
        <v/>
      </c>
      <c r="P159" s="169">
        <f>IF(OR(J159="",K159=""),"",K159/J159-1)</f>
        <v/>
      </c>
      <c r="Q159" s="54">
        <f>IF(AND(ISNUMBER(J159),ISNUMBER(L159)),1,0)</f>
        <v/>
      </c>
      <c r="R159" s="69">
        <f>IF(Q159=1,G159*L159,0)</f>
        <v/>
      </c>
      <c r="S159" s="69">
        <f>IF(Q159=1,(H159+I159)*U159,0)</f>
        <v/>
      </c>
      <c r="T159" s="59">
        <f>IF(Q159=1,G159,0)</f>
        <v/>
      </c>
      <c r="U159" s="170">
        <f>$G$3</f>
        <v/>
      </c>
    </row>
    <row r="160">
      <c r="A160" s="54" t="inlineStr">
        <is>
          <t>CA DC B4</t>
        </is>
      </c>
      <c r="B160" s="54" t="inlineStr">
        <is>
          <t>CA</t>
        </is>
      </c>
      <c r="C160" s="54" t="inlineStr">
        <is>
          <t>B0CLKCT674</t>
        </is>
      </c>
      <c r="D160" s="54" t="inlineStr">
        <is>
          <t>BAMBOO-QUEEN-LIGHT PINK</t>
        </is>
      </c>
      <c r="E160" s="54" t="inlineStr">
        <is>
          <t>Queen</t>
        </is>
      </c>
      <c r="F160" s="54" t="inlineStr">
        <is>
          <t>Light Pink</t>
        </is>
      </c>
      <c r="G160" s="55" t="n">
        <v>5</v>
      </c>
      <c r="H160" s="167" t="n">
        <v>312.27</v>
      </c>
      <c r="I160" s="167" t="n">
        <v>0</v>
      </c>
      <c r="J160" s="171">
        <f>IF(AND(N(G160)&gt;0,N(H160)+N(I160)&gt;0),(H160+I160)*U160/G160,"")</f>
        <v/>
      </c>
      <c r="K160" s="172" t="n">
        <v>99.98999999999999</v>
      </c>
      <c r="L160" s="172" t="n">
        <v>84.78</v>
      </c>
      <c r="M160" s="54" t="inlineStr">
        <is>
          <t>Eligible</t>
        </is>
      </c>
      <c r="N160" s="171">
        <f>IF(OR(J160="",L160=""),"",L160-J160)</f>
        <v/>
      </c>
      <c r="O160" s="169">
        <f>IF(OR(J160="",L160=""),"",L160/J160-1)</f>
        <v/>
      </c>
      <c r="P160" s="169">
        <f>IF(OR(J160="",K160=""),"",K160/J160-1)</f>
        <v/>
      </c>
      <c r="Q160" s="54">
        <f>IF(AND(ISNUMBER(J160),ISNUMBER(L160)),1,0)</f>
        <v/>
      </c>
      <c r="R160" s="69">
        <f>IF(Q160=1,G160*L160,0)</f>
        <v/>
      </c>
      <c r="S160" s="69">
        <f>IF(Q160=1,(H160+I160)*U160,0)</f>
        <v/>
      </c>
      <c r="T160" s="59">
        <f>IF(Q160=1,G160,0)</f>
        <v/>
      </c>
      <c r="U160" s="170">
        <f>$G$3</f>
        <v/>
      </c>
    </row>
    <row r="161">
      <c r="A161" s="54" t="inlineStr">
        <is>
          <t>CA DC B4</t>
        </is>
      </c>
      <c r="B161" s="54" t="inlineStr">
        <is>
          <t>CA</t>
        </is>
      </c>
      <c r="C161" s="54" t="inlineStr">
        <is>
          <t>B0CLKDMGHC</t>
        </is>
      </c>
      <c r="D161" s="54" t="inlineStr">
        <is>
          <t>BAMBOO-TWIN-LIGHT PINK</t>
        </is>
      </c>
      <c r="E161" s="54" t="inlineStr">
        <is>
          <t>Twin</t>
        </is>
      </c>
      <c r="F161" s="54" t="inlineStr">
        <is>
          <t>Light Pink</t>
        </is>
      </c>
      <c r="G161" s="55" t="n">
        <v>5</v>
      </c>
      <c r="H161" s="167" t="n">
        <v>201.97</v>
      </c>
      <c r="I161" s="167" t="n">
        <v>0</v>
      </c>
      <c r="J161" s="171">
        <f>IF(AND(N(G161)&gt;0,N(H161)+N(I161)&gt;0),(H161+I161)*U161/G161,"")</f>
        <v/>
      </c>
      <c r="K161" s="172" t="n">
        <v>79.98999999999999</v>
      </c>
      <c r="L161" s="172" t="n">
        <v>79.98999999999999</v>
      </c>
      <c r="M161" s="54" t="inlineStr">
        <is>
          <t>Eligible</t>
        </is>
      </c>
      <c r="N161" s="171">
        <f>IF(OR(J161="",L161=""),"",L161-J161)</f>
        <v/>
      </c>
      <c r="O161" s="169">
        <f>IF(OR(J161="",L161=""),"",L161/J161-1)</f>
        <v/>
      </c>
      <c r="P161" s="169">
        <f>IF(OR(J161="",K161=""),"",K161/J161-1)</f>
        <v/>
      </c>
      <c r="Q161" s="54">
        <f>IF(AND(ISNUMBER(J161),ISNUMBER(L161)),1,0)</f>
        <v/>
      </c>
      <c r="R161" s="69">
        <f>IF(Q161=1,G161*L161,0)</f>
        <v/>
      </c>
      <c r="S161" s="69">
        <f>IF(Q161=1,(H161+I161)*U161,0)</f>
        <v/>
      </c>
      <c r="T161" s="59">
        <f>IF(Q161=1,G161,0)</f>
        <v/>
      </c>
      <c r="U161" s="170">
        <f>$G$3</f>
        <v/>
      </c>
    </row>
    <row r="162">
      <c r="A162" s="54" t="inlineStr">
        <is>
          <t>CA DC B4</t>
        </is>
      </c>
      <c r="B162" s="54" t="inlineStr">
        <is>
          <t>CA</t>
        </is>
      </c>
      <c r="C162" s="54" t="inlineStr">
        <is>
          <t>B08KQKQ44M</t>
        </is>
      </c>
      <c r="D162" s="54" t="inlineStr">
        <is>
          <t>BAMBOO-CALIFKING-WHITE</t>
        </is>
      </c>
      <c r="E162" s="54" t="inlineStr">
        <is>
          <t>California King</t>
        </is>
      </c>
      <c r="F162" s="54" t="inlineStr">
        <is>
          <t>White</t>
        </is>
      </c>
      <c r="G162" s="55" t="n">
        <v>4</v>
      </c>
      <c r="H162" s="167" t="n">
        <v>242.18</v>
      </c>
      <c r="I162" s="167" t="n">
        <v>0</v>
      </c>
      <c r="J162" s="171">
        <f>IF(AND(N(G162)&gt;0,N(H162)+N(I162)&gt;0),(H162+I162)*U162/G162,"")</f>
        <v/>
      </c>
      <c r="K162" s="172" t="n">
        <v>99.98999999999999</v>
      </c>
      <c r="L162" s="172" t="n">
        <v>99.98999999999999</v>
      </c>
      <c r="M162" s="54" t="inlineStr">
        <is>
          <t>Eligible</t>
        </is>
      </c>
      <c r="N162" s="171">
        <f>IF(OR(J162="",L162=""),"",L162-J162)</f>
        <v/>
      </c>
      <c r="O162" s="169">
        <f>IF(OR(J162="",L162=""),"",L162/J162-1)</f>
        <v/>
      </c>
      <c r="P162" s="169">
        <f>IF(OR(J162="",K162=""),"",K162/J162-1)</f>
        <v/>
      </c>
      <c r="Q162" s="54">
        <f>IF(AND(ISNUMBER(J162),ISNUMBER(L162)),1,0)</f>
        <v/>
      </c>
      <c r="R162" s="69">
        <f>IF(Q162=1,G162*L162,0)</f>
        <v/>
      </c>
      <c r="S162" s="69">
        <f>IF(Q162=1,(H162+I162)*U162,0)</f>
        <v/>
      </c>
      <c r="T162" s="59">
        <f>IF(Q162=1,G162,0)</f>
        <v/>
      </c>
      <c r="U162" s="170">
        <f>$G$3</f>
        <v/>
      </c>
    </row>
    <row r="163">
      <c r="A163" s="54" t="inlineStr">
        <is>
          <t>CA DC B4</t>
        </is>
      </c>
      <c r="B163" s="54" t="inlineStr">
        <is>
          <t>CA</t>
        </is>
      </c>
      <c r="C163" s="54" t="inlineStr">
        <is>
          <t>B0CLKFLJMZ</t>
        </is>
      </c>
      <c r="D163" s="54" t="inlineStr">
        <is>
          <t>BAMBOO-FULL-SAGE GREEN</t>
        </is>
      </c>
      <c r="E163" s="54" t="inlineStr">
        <is>
          <t>Full</t>
        </is>
      </c>
      <c r="F163" s="54" t="inlineStr">
        <is>
          <t>Sage Green</t>
        </is>
      </c>
      <c r="G163" s="55" t="n">
        <v>4</v>
      </c>
      <c r="H163" s="167" t="n">
        <v>182.66</v>
      </c>
      <c r="I163" s="167" t="n">
        <v>0</v>
      </c>
      <c r="J163" s="171">
        <f>IF(AND(N(G163)&gt;0,N(H163)+N(I163)&gt;0),(H163+I163)*U163/G163,"")</f>
        <v/>
      </c>
      <c r="K163" s="172" t="n">
        <v>79.98999999999999</v>
      </c>
      <c r="L163" s="172" t="n">
        <v>75.98999999999999</v>
      </c>
      <c r="M163" s="54" t="inlineStr">
        <is>
          <t>Eligible</t>
        </is>
      </c>
      <c r="N163" s="171">
        <f>IF(OR(J163="",L163=""),"",L163-J163)</f>
        <v/>
      </c>
      <c r="O163" s="169">
        <f>IF(OR(J163="",L163=""),"",L163/J163-1)</f>
        <v/>
      </c>
      <c r="P163" s="169">
        <f>IF(OR(J163="",K163=""),"",K163/J163-1)</f>
        <v/>
      </c>
      <c r="Q163" s="54">
        <f>IF(AND(ISNUMBER(J163),ISNUMBER(L163)),1,0)</f>
        <v/>
      </c>
      <c r="R163" s="69">
        <f>IF(Q163=1,G163*L163,0)</f>
        <v/>
      </c>
      <c r="S163" s="69">
        <f>IF(Q163=1,(H163+I163)*U163,0)</f>
        <v/>
      </c>
      <c r="T163" s="59">
        <f>IF(Q163=1,G163,0)</f>
        <v/>
      </c>
      <c r="U163" s="170">
        <f>$G$3</f>
        <v/>
      </c>
    </row>
    <row r="164">
      <c r="A164" s="54" t="inlineStr">
        <is>
          <t>CA DC B4</t>
        </is>
      </c>
      <c r="B164" s="54" t="inlineStr">
        <is>
          <t>CA</t>
        </is>
      </c>
      <c r="C164" s="54" t="inlineStr">
        <is>
          <t>B08KQLFRVR</t>
        </is>
      </c>
      <c r="D164" s="54" t="inlineStr">
        <is>
          <t>BAMBOO-CALIFKING-LIGHTGREY</t>
        </is>
      </c>
      <c r="E164" s="54" t="inlineStr">
        <is>
          <t>California King</t>
        </is>
      </c>
      <c r="F164" s="54" t="inlineStr">
        <is>
          <t>Light Grey</t>
        </is>
      </c>
      <c r="G164" s="55" t="n">
        <v>3</v>
      </c>
      <c r="H164" s="167" t="n">
        <v>169.96</v>
      </c>
      <c r="I164" s="167" t="n">
        <v>0</v>
      </c>
      <c r="J164" s="171">
        <f>IF(AND(N(G164)&gt;0,N(H164)+N(I164)&gt;0),(H164+I164)*U164/G164,"")</f>
        <v/>
      </c>
      <c r="K164" s="172" t="n">
        <v>99.98999999999999</v>
      </c>
      <c r="L164" s="172" t="n">
        <v>84.98999999999999</v>
      </c>
      <c r="M164" s="54" t="inlineStr">
        <is>
          <t>Eligible</t>
        </is>
      </c>
      <c r="N164" s="171">
        <f>IF(OR(J164="",L164=""),"",L164-J164)</f>
        <v/>
      </c>
      <c r="O164" s="169">
        <f>IF(OR(J164="",L164=""),"",L164/J164-1)</f>
        <v/>
      </c>
      <c r="P164" s="169">
        <f>IF(OR(J164="",K164=""),"",K164/J164-1)</f>
        <v/>
      </c>
      <c r="Q164" s="54">
        <f>IF(AND(ISNUMBER(J164),ISNUMBER(L164)),1,0)</f>
        <v/>
      </c>
      <c r="R164" s="69">
        <f>IF(Q164=1,G164*L164,0)</f>
        <v/>
      </c>
      <c r="S164" s="69">
        <f>IF(Q164=1,(H164+I164)*U164,0)</f>
        <v/>
      </c>
      <c r="T164" s="59">
        <f>IF(Q164=1,G164,0)</f>
        <v/>
      </c>
      <c r="U164" s="170">
        <f>$G$3</f>
        <v/>
      </c>
    </row>
    <row r="165">
      <c r="A165" s="54" t="inlineStr">
        <is>
          <t>CA DC B4</t>
        </is>
      </c>
      <c r="B165" s="54" t="inlineStr">
        <is>
          <t>CA</t>
        </is>
      </c>
      <c r="C165" s="54" t="inlineStr">
        <is>
          <t>B0BZQ19QT6</t>
        </is>
      </c>
      <c r="D165" s="54" t="inlineStr">
        <is>
          <t>BAMBOO-FULL-CHARCOAL</t>
        </is>
      </c>
      <c r="E165" s="54" t="inlineStr">
        <is>
          <t>Full</t>
        </is>
      </c>
      <c r="F165" s="54" t="inlineStr">
        <is>
          <t>Charcoal</t>
        </is>
      </c>
      <c r="G165" s="55" t="n">
        <v>3</v>
      </c>
      <c r="H165" s="167" t="n">
        <v>142.68</v>
      </c>
      <c r="I165" s="167" t="n">
        <v>0</v>
      </c>
      <c r="J165" s="171">
        <f>IF(AND(N(G165)&gt;0,N(H165)+N(I165)&gt;0),(H165+I165)*U165/G165,"")</f>
        <v/>
      </c>
      <c r="K165" s="172" t="n">
        <v>79.98999999999999</v>
      </c>
      <c r="L165" s="172" t="n">
        <v>79.98999999999999</v>
      </c>
      <c r="M165" s="54" t="inlineStr">
        <is>
          <t>Eligible</t>
        </is>
      </c>
      <c r="N165" s="171">
        <f>IF(OR(J165="",L165=""),"",L165-J165)</f>
        <v/>
      </c>
      <c r="O165" s="169">
        <f>IF(OR(J165="",L165=""),"",L165/J165-1)</f>
        <v/>
      </c>
      <c r="P165" s="169">
        <f>IF(OR(J165="",K165=""),"",K165/J165-1)</f>
        <v/>
      </c>
      <c r="Q165" s="54">
        <f>IF(AND(ISNUMBER(J165),ISNUMBER(L165)),1,0)</f>
        <v/>
      </c>
      <c r="R165" s="69">
        <f>IF(Q165=1,G165*L165,0)</f>
        <v/>
      </c>
      <c r="S165" s="69">
        <f>IF(Q165=1,(H165+I165)*U165,0)</f>
        <v/>
      </c>
      <c r="T165" s="59">
        <f>IF(Q165=1,G165,0)</f>
        <v/>
      </c>
      <c r="U165" s="170">
        <f>$G$3</f>
        <v/>
      </c>
    </row>
    <row r="166">
      <c r="A166" s="54" t="inlineStr">
        <is>
          <t>CA DC B4</t>
        </is>
      </c>
      <c r="B166" s="54" t="inlineStr">
        <is>
          <t>CA</t>
        </is>
      </c>
      <c r="C166" s="54" t="inlineStr">
        <is>
          <t>B08KQL6HKG</t>
        </is>
      </c>
      <c r="D166" s="54" t="inlineStr">
        <is>
          <t>BAMBOO-KING-LIGHTBLUE</t>
        </is>
      </c>
      <c r="E166" s="54" t="inlineStr">
        <is>
          <t>King</t>
        </is>
      </c>
      <c r="F166" s="54" t="inlineStr">
        <is>
          <t>Light Blue</t>
        </is>
      </c>
      <c r="G166" s="55" t="n">
        <v>3</v>
      </c>
      <c r="H166" s="167" t="n">
        <v>188.45</v>
      </c>
      <c r="I166" s="167" t="n">
        <v>0</v>
      </c>
      <c r="J166" s="171">
        <f>IF(AND(N(G166)&gt;0,N(H166)+N(I166)&gt;0),(H166+I166)*U166/G166,"")</f>
        <v/>
      </c>
      <c r="K166" s="172" t="n">
        <v>109.99</v>
      </c>
      <c r="L166" s="172" t="n">
        <v>80.73999999999999</v>
      </c>
      <c r="M166" s="54" t="inlineStr">
        <is>
          <t>Eligible</t>
        </is>
      </c>
      <c r="N166" s="171">
        <f>IF(OR(J166="",L166=""),"",L166-J166)</f>
        <v/>
      </c>
      <c r="O166" s="169">
        <f>IF(OR(J166="",L166=""),"",L166/J166-1)</f>
        <v/>
      </c>
      <c r="P166" s="169">
        <f>IF(OR(J166="",K166=""),"",K166/J166-1)</f>
        <v/>
      </c>
      <c r="Q166" s="54">
        <f>IF(AND(ISNUMBER(J166),ISNUMBER(L166)),1,0)</f>
        <v/>
      </c>
      <c r="R166" s="69">
        <f>IF(Q166=1,G166*L166,0)</f>
        <v/>
      </c>
      <c r="S166" s="69">
        <f>IF(Q166=1,(H166+I166)*U166,0)</f>
        <v/>
      </c>
      <c r="T166" s="59">
        <f>IF(Q166=1,G166,0)</f>
        <v/>
      </c>
      <c r="U166" s="170">
        <f>$G$3</f>
        <v/>
      </c>
    </row>
    <row r="167">
      <c r="A167" s="54" t="inlineStr">
        <is>
          <t>CA DC B4</t>
        </is>
      </c>
      <c r="B167" s="54" t="inlineStr">
        <is>
          <t>CA</t>
        </is>
      </c>
      <c r="C167" s="54" t="inlineStr">
        <is>
          <t>B0BZPZP12L</t>
        </is>
      </c>
      <c r="D167" s="54" t="inlineStr">
        <is>
          <t>BAMBOO-KING-LIGHTOLIVE</t>
        </is>
      </c>
      <c r="E167" s="54" t="inlineStr">
        <is>
          <t>King</t>
        </is>
      </c>
      <c r="F167" s="54" t="inlineStr">
        <is>
          <t>Light Olive</t>
        </is>
      </c>
      <c r="G167" s="55" t="n">
        <v>3</v>
      </c>
      <c r="H167" s="167" t="n">
        <v>170.89</v>
      </c>
      <c r="I167" s="167" t="n">
        <v>0</v>
      </c>
      <c r="J167" s="171">
        <f>IF(AND(N(G167)&gt;0,N(H167)+N(I167)&gt;0),(H167+I167)*U167/G167,"")</f>
        <v/>
      </c>
      <c r="K167" s="172" t="n">
        <v>99.98999999999999</v>
      </c>
      <c r="L167" s="172" t="n">
        <v>80.73999999999999</v>
      </c>
      <c r="M167" s="54" t="inlineStr">
        <is>
          <t>Eligible</t>
        </is>
      </c>
      <c r="N167" s="171">
        <f>IF(OR(J167="",L167=""),"",L167-J167)</f>
        <v/>
      </c>
      <c r="O167" s="169">
        <f>IF(OR(J167="",L167=""),"",L167/J167-1)</f>
        <v/>
      </c>
      <c r="P167" s="169">
        <f>IF(OR(J167="",K167=""),"",K167/J167-1)</f>
        <v/>
      </c>
      <c r="Q167" s="54">
        <f>IF(AND(ISNUMBER(J167),ISNUMBER(L167)),1,0)</f>
        <v/>
      </c>
      <c r="R167" s="69">
        <f>IF(Q167=1,G167*L167,0)</f>
        <v/>
      </c>
      <c r="S167" s="69">
        <f>IF(Q167=1,(H167+I167)*U167,0)</f>
        <v/>
      </c>
      <c r="T167" s="59">
        <f>IF(Q167=1,G167,0)</f>
        <v/>
      </c>
      <c r="U167" s="170">
        <f>$G$3</f>
        <v/>
      </c>
    </row>
    <row r="168">
      <c r="A168" s="54" t="inlineStr">
        <is>
          <t>CA DC B4</t>
        </is>
      </c>
      <c r="B168" s="54" t="inlineStr">
        <is>
          <t>CA</t>
        </is>
      </c>
      <c r="C168" s="54" t="inlineStr">
        <is>
          <t>B0BZPVXR69</t>
        </is>
      </c>
      <c r="D168" s="54" t="inlineStr">
        <is>
          <t>BAMBOO-KING-MIDGREY</t>
        </is>
      </c>
      <c r="E168" s="54" t="inlineStr">
        <is>
          <t>King</t>
        </is>
      </c>
      <c r="F168" s="54" t="inlineStr">
        <is>
          <t>Midgrey</t>
        </is>
      </c>
      <c r="G168" s="55" t="n">
        <v>3</v>
      </c>
      <c r="H168" s="167" t="n">
        <v>170.97</v>
      </c>
      <c r="I168" s="167" t="n">
        <v>0</v>
      </c>
      <c r="J168" s="171">
        <f>IF(AND(N(G168)&gt;0,N(H168)+N(I168)&gt;0),(H168+I168)*U168/G168,"")</f>
        <v/>
      </c>
      <c r="K168" s="172" t="n">
        <v>99.98999999999999</v>
      </c>
      <c r="L168" s="172" t="n">
        <v>94.98999999999999</v>
      </c>
      <c r="M168" s="54" t="inlineStr">
        <is>
          <t>Eligible</t>
        </is>
      </c>
      <c r="N168" s="171">
        <f>IF(OR(J168="",L168=""),"",L168-J168)</f>
        <v/>
      </c>
      <c r="O168" s="169">
        <f>IF(OR(J168="",L168=""),"",L168/J168-1)</f>
        <v/>
      </c>
      <c r="P168" s="169">
        <f>IF(OR(J168="",K168=""),"",K168/J168-1)</f>
        <v/>
      </c>
      <c r="Q168" s="54">
        <f>IF(AND(ISNUMBER(J168),ISNUMBER(L168)),1,0)</f>
        <v/>
      </c>
      <c r="R168" s="69">
        <f>IF(Q168=1,G168*L168,0)</f>
        <v/>
      </c>
      <c r="S168" s="69">
        <f>IF(Q168=1,(H168+I168)*U168,0)</f>
        <v/>
      </c>
      <c r="T168" s="59">
        <f>IF(Q168=1,G168,0)</f>
        <v/>
      </c>
      <c r="U168" s="170">
        <f>$G$3</f>
        <v/>
      </c>
    </row>
    <row r="169">
      <c r="A169" s="54" t="inlineStr">
        <is>
          <t>CA DC B4</t>
        </is>
      </c>
      <c r="B169" s="54" t="inlineStr">
        <is>
          <t>CA</t>
        </is>
      </c>
      <c r="C169" s="54" t="inlineStr">
        <is>
          <t>B0CRHX3LKM</t>
        </is>
      </c>
      <c r="D169" s="54" t="inlineStr">
        <is>
          <t>BAMBOO-TWIN-BURGUNDY-NEW</t>
        </is>
      </c>
      <c r="E169" s="54" t="inlineStr">
        <is>
          <t>Twin</t>
        </is>
      </c>
      <c r="F169" s="54" t="inlineStr">
        <is>
          <t>Burgundy</t>
        </is>
      </c>
      <c r="G169" s="55" t="n">
        <v>3</v>
      </c>
      <c r="H169" s="167" t="n">
        <v>149.75</v>
      </c>
      <c r="I169" s="167" t="n">
        <v>0</v>
      </c>
      <c r="J169" s="171">
        <f>IF(AND(N(G169)&gt;0,N(H169)+N(I169)&gt;0),(H169+I169)*U169/G169,"")</f>
        <v/>
      </c>
      <c r="K169" s="172" t="n">
        <v>79.98999999999999</v>
      </c>
      <c r="L169" s="172" t="n">
        <v>75.98999999999999</v>
      </c>
      <c r="M169" s="54" t="inlineStr">
        <is>
          <t>Eligible</t>
        </is>
      </c>
      <c r="N169" s="171">
        <f>IF(OR(J169="",L169=""),"",L169-J169)</f>
        <v/>
      </c>
      <c r="O169" s="169">
        <f>IF(OR(J169="",L169=""),"",L169/J169-1)</f>
        <v/>
      </c>
      <c r="P169" s="169">
        <f>IF(OR(J169="",K169=""),"",K169/J169-1)</f>
        <v/>
      </c>
      <c r="Q169" s="54">
        <f>IF(AND(ISNUMBER(J169),ISNUMBER(L169)),1,0)</f>
        <v/>
      </c>
      <c r="R169" s="69">
        <f>IF(Q169=1,G169*L169,0)</f>
        <v/>
      </c>
      <c r="S169" s="69">
        <f>IF(Q169=1,(H169+I169)*U169,0)</f>
        <v/>
      </c>
      <c r="T169" s="59">
        <f>IF(Q169=1,G169,0)</f>
        <v/>
      </c>
      <c r="U169" s="170">
        <f>$G$3</f>
        <v/>
      </c>
    </row>
    <row r="170">
      <c r="A170" s="54" t="inlineStr">
        <is>
          <t>CA DC B4</t>
        </is>
      </c>
      <c r="B170" s="54" t="inlineStr">
        <is>
          <t>CA</t>
        </is>
      </c>
      <c r="C170" s="54" t="inlineStr">
        <is>
          <t>B08KQK8Z1J</t>
        </is>
      </c>
      <c r="D170" s="54" t="inlineStr">
        <is>
          <t>BAMBOO-TWIN-LIGHTGREY</t>
        </is>
      </c>
      <c r="E170" s="54" t="inlineStr">
        <is>
          <t>Twin</t>
        </is>
      </c>
      <c r="F170" s="54" t="inlineStr">
        <is>
          <t>Light Grey</t>
        </is>
      </c>
      <c r="G170" s="55" t="n">
        <v>3</v>
      </c>
      <c r="H170" s="167" t="n">
        <v>112.8</v>
      </c>
      <c r="I170" s="167" t="n">
        <v>0</v>
      </c>
      <c r="J170" s="171">
        <f>IF(AND(N(G170)&gt;0,N(H170)+N(I170)&gt;0),(H170+I170)*U170/G170,"")</f>
        <v/>
      </c>
      <c r="K170" s="172" t="n">
        <v>79.98999999999999</v>
      </c>
      <c r="L170" s="172" t="n">
        <v>71.98999999999999</v>
      </c>
      <c r="M170" s="54" t="inlineStr">
        <is>
          <t>Eligible</t>
        </is>
      </c>
      <c r="N170" s="171">
        <f>IF(OR(J170="",L170=""),"",L170-J170)</f>
        <v/>
      </c>
      <c r="O170" s="169">
        <f>IF(OR(J170="",L170=""),"",L170/J170-1)</f>
        <v/>
      </c>
      <c r="P170" s="169">
        <f>IF(OR(J170="",K170=""),"",K170/J170-1)</f>
        <v/>
      </c>
      <c r="Q170" s="54">
        <f>IF(AND(ISNUMBER(J170),ISNUMBER(L170)),1,0)</f>
        <v/>
      </c>
      <c r="R170" s="69">
        <f>IF(Q170=1,G170*L170,0)</f>
        <v/>
      </c>
      <c r="S170" s="69">
        <f>IF(Q170=1,(H170+I170)*U170,0)</f>
        <v/>
      </c>
      <c r="T170" s="59">
        <f>IF(Q170=1,G170,0)</f>
        <v/>
      </c>
      <c r="U170" s="170">
        <f>$G$3</f>
        <v/>
      </c>
    </row>
    <row r="171">
      <c r="A171" s="54" t="inlineStr">
        <is>
          <t>CA DC B4</t>
        </is>
      </c>
      <c r="B171" s="54" t="inlineStr">
        <is>
          <t>CA</t>
        </is>
      </c>
      <c r="C171" s="54" t="inlineStr">
        <is>
          <t>B08KQJRL41</t>
        </is>
      </c>
      <c r="D171" s="54" t="inlineStr">
        <is>
          <t>BAMBOO-TWIN-NAVYBLUE</t>
        </is>
      </c>
      <c r="E171" s="54" t="inlineStr">
        <is>
          <t>Twin</t>
        </is>
      </c>
      <c r="F171" s="54" t="inlineStr">
        <is>
          <t>Navy Blue</t>
        </is>
      </c>
      <c r="G171" s="55" t="n">
        <v>3</v>
      </c>
      <c r="H171" s="167" t="n">
        <v>149.49</v>
      </c>
      <c r="I171" s="167" t="n">
        <v>0</v>
      </c>
      <c r="J171" s="171">
        <f>IF(AND(N(G171)&gt;0,N(H171)+N(I171)&gt;0),(H171+I171)*U171/G171,"")</f>
        <v/>
      </c>
      <c r="K171" s="172" t="n">
        <v>79.98999999999999</v>
      </c>
      <c r="L171" s="172" t="n">
        <v>67.98999999999999</v>
      </c>
      <c r="M171" s="54" t="inlineStr">
        <is>
          <t>Eligible</t>
        </is>
      </c>
      <c r="N171" s="171">
        <f>IF(OR(J171="",L171=""),"",L171-J171)</f>
        <v/>
      </c>
      <c r="O171" s="169">
        <f>IF(OR(J171="",L171=""),"",L171/J171-1)</f>
        <v/>
      </c>
      <c r="P171" s="169">
        <f>IF(OR(J171="",K171=""),"",K171/J171-1)</f>
        <v/>
      </c>
      <c r="Q171" s="54">
        <f>IF(AND(ISNUMBER(J171),ISNUMBER(L171)),1,0)</f>
        <v/>
      </c>
      <c r="R171" s="69">
        <f>IF(Q171=1,G171*L171,0)</f>
        <v/>
      </c>
      <c r="S171" s="69">
        <f>IF(Q171=1,(H171+I171)*U171,0)</f>
        <v/>
      </c>
      <c r="T171" s="59">
        <f>IF(Q171=1,G171,0)</f>
        <v/>
      </c>
      <c r="U171" s="170">
        <f>$G$3</f>
        <v/>
      </c>
    </row>
    <row r="172">
      <c r="A172" s="54" t="inlineStr">
        <is>
          <t>CA DC B4</t>
        </is>
      </c>
      <c r="B172" s="54" t="inlineStr">
        <is>
          <t>CA</t>
        </is>
      </c>
      <c r="C172" s="54" t="inlineStr">
        <is>
          <t>B08KQJBFFZ</t>
        </is>
      </c>
      <c r="D172" s="54" t="inlineStr">
        <is>
          <t>BAMBOO-TWIN-TAUPE</t>
        </is>
      </c>
      <c r="E172" s="54" t="inlineStr">
        <is>
          <t>Twin</t>
        </is>
      </c>
      <c r="F172" s="54" t="inlineStr">
        <is>
          <t>Taupe</t>
        </is>
      </c>
      <c r="G172" s="55" t="n">
        <v>3</v>
      </c>
      <c r="H172" s="167" t="n">
        <v>149.03</v>
      </c>
      <c r="I172" s="167" t="n">
        <v>0</v>
      </c>
      <c r="J172" s="171">
        <f>IF(AND(N(G172)&gt;0,N(H172)+N(I172)&gt;0),(H172+I172)*U172/G172,"")</f>
        <v/>
      </c>
      <c r="K172" s="172" t="n">
        <v>79.98999999999999</v>
      </c>
      <c r="L172" s="172" t="n">
        <v>79.98999999999999</v>
      </c>
      <c r="M172" s="54" t="inlineStr">
        <is>
          <t>Eligible</t>
        </is>
      </c>
      <c r="N172" s="171">
        <f>IF(OR(J172="",L172=""),"",L172-J172)</f>
        <v/>
      </c>
      <c r="O172" s="169">
        <f>IF(OR(J172="",L172=""),"",L172/J172-1)</f>
        <v/>
      </c>
      <c r="P172" s="169">
        <f>IF(OR(J172="",K172=""),"",K172/J172-1)</f>
        <v/>
      </c>
      <c r="Q172" s="54">
        <f>IF(AND(ISNUMBER(J172),ISNUMBER(L172)),1,0)</f>
        <v/>
      </c>
      <c r="R172" s="69">
        <f>IF(Q172=1,G172*L172,0)</f>
        <v/>
      </c>
      <c r="S172" s="69">
        <f>IF(Q172=1,(H172+I172)*U172,0)</f>
        <v/>
      </c>
      <c r="T172" s="59">
        <f>IF(Q172=1,G172,0)</f>
        <v/>
      </c>
      <c r="U172" s="170">
        <f>$G$3</f>
        <v/>
      </c>
    </row>
    <row r="173">
      <c r="A173" s="54" t="inlineStr">
        <is>
          <t>CA DC B4</t>
        </is>
      </c>
      <c r="B173" s="54" t="inlineStr">
        <is>
          <t>CA</t>
        </is>
      </c>
      <c r="C173" s="54" t="inlineStr">
        <is>
          <t>B08KQKBM4Q</t>
        </is>
      </c>
      <c r="D173" s="54" t="inlineStr">
        <is>
          <t>BAMBOO-TWIN-WHITE</t>
        </is>
      </c>
      <c r="E173" s="54" t="inlineStr">
        <is>
          <t>Twin</t>
        </is>
      </c>
      <c r="F173" s="54" t="inlineStr">
        <is>
          <t>White</t>
        </is>
      </c>
      <c r="G173" s="55" t="n">
        <v>3</v>
      </c>
      <c r="H173" s="167" t="n">
        <v>149.38</v>
      </c>
      <c r="I173" s="167" t="n">
        <v>0</v>
      </c>
      <c r="J173" s="171">
        <f>IF(AND(N(G173)&gt;0,N(H173)+N(I173)&gt;0),(H173+I173)*U173/G173,"")</f>
        <v/>
      </c>
      <c r="K173" s="172" t="n">
        <v>79.98999999999999</v>
      </c>
      <c r="L173" s="172" t="n">
        <v>79.98999999999999</v>
      </c>
      <c r="M173" s="54" t="inlineStr">
        <is>
          <t>Eligible</t>
        </is>
      </c>
      <c r="N173" s="171">
        <f>IF(OR(J173="",L173=""),"",L173-J173)</f>
        <v/>
      </c>
      <c r="O173" s="169">
        <f>IF(OR(J173="",L173=""),"",L173/J173-1)</f>
        <v/>
      </c>
      <c r="P173" s="169">
        <f>IF(OR(J173="",K173=""),"",K173/J173-1)</f>
        <v/>
      </c>
      <c r="Q173" s="54">
        <f>IF(AND(ISNUMBER(J173),ISNUMBER(L173)),1,0)</f>
        <v/>
      </c>
      <c r="R173" s="69">
        <f>IF(Q173=1,G173*L173,0)</f>
        <v/>
      </c>
      <c r="S173" s="69">
        <f>IF(Q173=1,(H173+I173)*U173,0)</f>
        <v/>
      </c>
      <c r="T173" s="59">
        <f>IF(Q173=1,G173,0)</f>
        <v/>
      </c>
      <c r="U173" s="170">
        <f>$G$3</f>
        <v/>
      </c>
    </row>
    <row r="174">
      <c r="A174" s="54" t="inlineStr">
        <is>
          <t>CA DC B4</t>
        </is>
      </c>
      <c r="B174" s="54" t="inlineStr">
        <is>
          <t>CA</t>
        </is>
      </c>
      <c r="C174" s="54" t="inlineStr">
        <is>
          <t>B08KQJBFFY</t>
        </is>
      </c>
      <c r="D174" s="54" t="inlineStr">
        <is>
          <t>BAMBOO-CALIFKING-GREY</t>
        </is>
      </c>
      <c r="E174" s="54" t="inlineStr">
        <is>
          <t>California King</t>
        </is>
      </c>
      <c r="F174" s="54" t="inlineStr">
        <is>
          <t>Grey</t>
        </is>
      </c>
      <c r="G174" s="55" t="n">
        <v>2</v>
      </c>
      <c r="H174" s="167" t="n">
        <v>98.02</v>
      </c>
      <c r="I174" s="167" t="n">
        <v>0</v>
      </c>
      <c r="J174" s="171">
        <f>IF(AND(N(G174)&gt;0,N(H174)+N(I174)&gt;0),(H174+I174)*U174/G174,"")</f>
        <v/>
      </c>
      <c r="K174" s="172" t="n">
        <v>99.98999999999999</v>
      </c>
      <c r="L174" s="172" t="n">
        <v>94.98999999999999</v>
      </c>
      <c r="M174" s="54" t="inlineStr">
        <is>
          <t>Eligible</t>
        </is>
      </c>
      <c r="N174" s="171">
        <f>IF(OR(J174="",L174=""),"",L174-J174)</f>
        <v/>
      </c>
      <c r="O174" s="169">
        <f>IF(OR(J174="",L174=""),"",L174/J174-1)</f>
        <v/>
      </c>
      <c r="P174" s="169">
        <f>IF(OR(J174="",K174=""),"",K174/J174-1)</f>
        <v/>
      </c>
      <c r="Q174" s="54">
        <f>IF(AND(ISNUMBER(J174),ISNUMBER(L174)),1,0)</f>
        <v/>
      </c>
      <c r="R174" s="69">
        <f>IF(Q174=1,G174*L174,0)</f>
        <v/>
      </c>
      <c r="S174" s="69">
        <f>IF(Q174=1,(H174+I174)*U174,0)</f>
        <v/>
      </c>
      <c r="T174" s="59">
        <f>IF(Q174=1,G174,0)</f>
        <v/>
      </c>
      <c r="U174" s="170">
        <f>$G$3</f>
        <v/>
      </c>
    </row>
    <row r="175">
      <c r="A175" s="54" t="inlineStr">
        <is>
          <t>CA DC B4</t>
        </is>
      </c>
      <c r="B175" s="54" t="inlineStr">
        <is>
          <t>CA</t>
        </is>
      </c>
      <c r="C175" s="54" t="inlineStr">
        <is>
          <t>B0BZQ19Z47</t>
        </is>
      </c>
      <c r="D175" s="54" t="inlineStr">
        <is>
          <t>BAMBOO-CALIFKING-LIGHTOLIVE</t>
        </is>
      </c>
      <c r="E175" s="54" t="inlineStr">
        <is>
          <t>California King</t>
        </is>
      </c>
      <c r="F175" s="54" t="inlineStr">
        <is>
          <t>Light Olive</t>
        </is>
      </c>
      <c r="G175" s="55" t="n">
        <v>2</v>
      </c>
      <c r="H175" s="167" t="n">
        <v>100.51</v>
      </c>
      <c r="I175" s="167" t="n">
        <v>0</v>
      </c>
      <c r="J175" s="171">
        <f>IF(AND(N(G175)&gt;0,N(H175)+N(I175)&gt;0),(H175+I175)*U175/G175,"")</f>
        <v/>
      </c>
      <c r="K175" s="172" t="n">
        <v>99.98999999999999</v>
      </c>
      <c r="L175" s="172" t="n"/>
      <c r="M175" s="54" t="inlineStr">
        <is>
          <t>No reference price</t>
        </is>
      </c>
      <c r="N175" s="171">
        <f>IF(OR(J175="",L175=""),"",L175-J175)</f>
        <v/>
      </c>
      <c r="O175" s="169">
        <f>IF(OR(J175="",L175=""),"",L175/J175-1)</f>
        <v/>
      </c>
      <c r="P175" s="169">
        <f>IF(OR(J175="",K175=""),"",K175/J175-1)</f>
        <v/>
      </c>
      <c r="Q175" s="54">
        <f>IF(AND(ISNUMBER(J175),ISNUMBER(L175)),1,0)</f>
        <v/>
      </c>
      <c r="R175" s="69">
        <f>IF(Q175=1,G175*L175,0)</f>
        <v/>
      </c>
      <c r="S175" s="69">
        <f>IF(Q175=1,(H175+I175)*U175,0)</f>
        <v/>
      </c>
      <c r="T175" s="59">
        <f>IF(Q175=1,G175,0)</f>
        <v/>
      </c>
      <c r="U175" s="170">
        <f>$G$3</f>
        <v/>
      </c>
    </row>
    <row r="176">
      <c r="A176" s="54" t="inlineStr">
        <is>
          <t>CA DC B4</t>
        </is>
      </c>
      <c r="B176" s="54" t="inlineStr">
        <is>
          <t>CA</t>
        </is>
      </c>
      <c r="C176" s="54" t="inlineStr">
        <is>
          <t>B08KQJZHGC</t>
        </is>
      </c>
      <c r="D176" s="54" t="inlineStr">
        <is>
          <t>BAMBOO-CALIFKING-OLIVE</t>
        </is>
      </c>
      <c r="E176" s="54" t="inlineStr">
        <is>
          <t>California King</t>
        </is>
      </c>
      <c r="F176" s="54" t="inlineStr">
        <is>
          <t>Olive</t>
        </is>
      </c>
      <c r="G176" s="55" t="n">
        <v>2</v>
      </c>
      <c r="H176" s="167" t="n">
        <v>94.03</v>
      </c>
      <c r="I176" s="167" t="n">
        <v>0</v>
      </c>
      <c r="J176" s="171">
        <f>IF(AND(N(G176)&gt;0,N(H176)+N(I176)&gt;0),(H176+I176)*U176/G176,"")</f>
        <v/>
      </c>
      <c r="K176" s="172" t="n">
        <v>99.98999999999999</v>
      </c>
      <c r="L176" s="172" t="n">
        <v>94.98999999999999</v>
      </c>
      <c r="M176" s="54" t="inlineStr">
        <is>
          <t>Eligible</t>
        </is>
      </c>
      <c r="N176" s="171">
        <f>IF(OR(J176="",L176=""),"",L176-J176)</f>
        <v/>
      </c>
      <c r="O176" s="169">
        <f>IF(OR(J176="",L176=""),"",L176/J176-1)</f>
        <v/>
      </c>
      <c r="P176" s="169">
        <f>IF(OR(J176="",K176=""),"",K176/J176-1)</f>
        <v/>
      </c>
      <c r="Q176" s="54">
        <f>IF(AND(ISNUMBER(J176),ISNUMBER(L176)),1,0)</f>
        <v/>
      </c>
      <c r="R176" s="69">
        <f>IF(Q176=1,G176*L176,0)</f>
        <v/>
      </c>
      <c r="S176" s="69">
        <f>IF(Q176=1,(H176+I176)*U176,0)</f>
        <v/>
      </c>
      <c r="T176" s="59">
        <f>IF(Q176=1,G176,0)</f>
        <v/>
      </c>
      <c r="U176" s="170">
        <f>$G$3</f>
        <v/>
      </c>
    </row>
    <row r="177">
      <c r="A177" s="54" t="inlineStr">
        <is>
          <t>CA DC B4</t>
        </is>
      </c>
      <c r="B177" s="54" t="inlineStr">
        <is>
          <t>CA</t>
        </is>
      </c>
      <c r="C177" s="54" t="inlineStr">
        <is>
          <t>B0CLKCVLRG</t>
        </is>
      </c>
      <c r="D177" s="54" t="inlineStr">
        <is>
          <t>BAMBOO-CALIFKING-SAGE GREEN</t>
        </is>
      </c>
      <c r="E177" s="54" t="inlineStr">
        <is>
          <t>California King</t>
        </is>
      </c>
      <c r="F177" s="54" t="inlineStr">
        <is>
          <t>Sage Green</t>
        </is>
      </c>
      <c r="G177" s="55" t="n">
        <v>2</v>
      </c>
      <c r="H177" s="167" t="n">
        <v>94.45999999999999</v>
      </c>
      <c r="I177" s="167" t="n">
        <v>0</v>
      </c>
      <c r="J177" s="171">
        <f>IF(AND(N(G177)&gt;0,N(H177)+N(I177)&gt;0),(H177+I177)*U177/G177,"")</f>
        <v/>
      </c>
      <c r="K177" s="172" t="n">
        <v>99.98999999999999</v>
      </c>
      <c r="L177" s="172" t="n">
        <v>84.98999999999999</v>
      </c>
      <c r="M177" s="54" t="inlineStr">
        <is>
          <t>Eligible</t>
        </is>
      </c>
      <c r="N177" s="171">
        <f>IF(OR(J177="",L177=""),"",L177-J177)</f>
        <v/>
      </c>
      <c r="O177" s="169">
        <f>IF(OR(J177="",L177=""),"",L177/J177-1)</f>
        <v/>
      </c>
      <c r="P177" s="169">
        <f>IF(OR(J177="",K177=""),"",K177/J177-1)</f>
        <v/>
      </c>
      <c r="Q177" s="54">
        <f>IF(AND(ISNUMBER(J177),ISNUMBER(L177)),1,0)</f>
        <v/>
      </c>
      <c r="R177" s="69">
        <f>IF(Q177=1,G177*L177,0)</f>
        <v/>
      </c>
      <c r="S177" s="69">
        <f>IF(Q177=1,(H177+I177)*U177,0)</f>
        <v/>
      </c>
      <c r="T177" s="59">
        <f>IF(Q177=1,G177,0)</f>
        <v/>
      </c>
      <c r="U177" s="170">
        <f>$G$3</f>
        <v/>
      </c>
    </row>
    <row r="178">
      <c r="A178" s="54" t="inlineStr">
        <is>
          <t>CA DC B4</t>
        </is>
      </c>
      <c r="B178" s="54" t="inlineStr">
        <is>
          <t>CA</t>
        </is>
      </c>
      <c r="C178" s="54" t="inlineStr">
        <is>
          <t>B0BZPYZ1XY</t>
        </is>
      </c>
      <c r="D178" s="54" t="inlineStr">
        <is>
          <t>BAMBOO-FULL-BLACK</t>
        </is>
      </c>
      <c r="E178" s="54" t="inlineStr">
        <is>
          <t>Full</t>
        </is>
      </c>
      <c r="F178" s="54" t="inlineStr">
        <is>
          <t>Black</t>
        </is>
      </c>
      <c r="G178" s="55" t="n">
        <v>2</v>
      </c>
      <c r="H178" s="167" t="n">
        <v>94.81</v>
      </c>
      <c r="I178" s="167" t="n">
        <v>0</v>
      </c>
      <c r="J178" s="171">
        <f>IF(AND(N(G178)&gt;0,N(H178)+N(I178)&gt;0),(H178+I178)*U178/G178,"")</f>
        <v/>
      </c>
      <c r="K178" s="172" t="n">
        <v>79.98999999999999</v>
      </c>
      <c r="L178" s="172" t="n">
        <v>75.98999999999999</v>
      </c>
      <c r="M178" s="54" t="inlineStr">
        <is>
          <t>Eligible</t>
        </is>
      </c>
      <c r="N178" s="171">
        <f>IF(OR(J178="",L178=""),"",L178-J178)</f>
        <v/>
      </c>
      <c r="O178" s="169">
        <f>IF(OR(J178="",L178=""),"",L178/J178-1)</f>
        <v/>
      </c>
      <c r="P178" s="169">
        <f>IF(OR(J178="",K178=""),"",K178/J178-1)</f>
        <v/>
      </c>
      <c r="Q178" s="54">
        <f>IF(AND(ISNUMBER(J178),ISNUMBER(L178)),1,0)</f>
        <v/>
      </c>
      <c r="R178" s="69">
        <f>IF(Q178=1,G178*L178,0)</f>
        <v/>
      </c>
      <c r="S178" s="69">
        <f>IF(Q178=1,(H178+I178)*U178,0)</f>
        <v/>
      </c>
      <c r="T178" s="59">
        <f>IF(Q178=1,G178,0)</f>
        <v/>
      </c>
      <c r="U178" s="170">
        <f>$G$3</f>
        <v/>
      </c>
    </row>
    <row r="179">
      <c r="A179" s="54" t="inlineStr">
        <is>
          <t>CA DC B4</t>
        </is>
      </c>
      <c r="B179" s="54" t="inlineStr">
        <is>
          <t>CA</t>
        </is>
      </c>
      <c r="C179" s="54" t="inlineStr">
        <is>
          <t>B0BZQ39BTX</t>
        </is>
      </c>
      <c r="D179" s="54" t="inlineStr">
        <is>
          <t>BAMBOO-TWIN-PURPLE</t>
        </is>
      </c>
      <c r="E179" s="54" t="inlineStr">
        <is>
          <t>Twin</t>
        </is>
      </c>
      <c r="F179" s="54" t="inlineStr">
        <is>
          <t>Purple</t>
        </is>
      </c>
      <c r="G179" s="55" t="n">
        <v>2</v>
      </c>
      <c r="H179" s="167" t="n">
        <v>72.23</v>
      </c>
      <c r="I179" s="167" t="n">
        <v>0</v>
      </c>
      <c r="J179" s="171">
        <f>IF(AND(N(G179)&gt;0,N(H179)+N(I179)&gt;0),(H179+I179)*U179/G179,"")</f>
        <v/>
      </c>
      <c r="K179" s="172" t="n">
        <v>79.98999999999999</v>
      </c>
      <c r="L179" s="172" t="n">
        <v>75.98999999999999</v>
      </c>
      <c r="M179" s="54" t="inlineStr">
        <is>
          <t>Eligible</t>
        </is>
      </c>
      <c r="N179" s="171">
        <f>IF(OR(J179="",L179=""),"",L179-J179)</f>
        <v/>
      </c>
      <c r="O179" s="169">
        <f>IF(OR(J179="",L179=""),"",L179/J179-1)</f>
        <v/>
      </c>
      <c r="P179" s="169">
        <f>IF(OR(J179="",K179=""),"",K179/J179-1)</f>
        <v/>
      </c>
      <c r="Q179" s="54">
        <f>IF(AND(ISNUMBER(J179),ISNUMBER(L179)),1,0)</f>
        <v/>
      </c>
      <c r="R179" s="69">
        <f>IF(Q179=1,G179*L179,0)</f>
        <v/>
      </c>
      <c r="S179" s="69">
        <f>IF(Q179=1,(H179+I179)*U179,0)</f>
        <v/>
      </c>
      <c r="T179" s="59">
        <f>IF(Q179=1,G179,0)</f>
        <v/>
      </c>
      <c r="U179" s="170">
        <f>$G$3</f>
        <v/>
      </c>
    </row>
    <row r="180">
      <c r="A180" s="54" t="inlineStr">
        <is>
          <t>CA DC B4</t>
        </is>
      </c>
      <c r="B180" s="54" t="inlineStr">
        <is>
          <t>CA</t>
        </is>
      </c>
      <c r="C180" s="54" t="inlineStr">
        <is>
          <t>B0CRHYHS4X</t>
        </is>
      </c>
      <c r="D180" s="54" t="inlineStr">
        <is>
          <t>BAMBOO-CALIFKING-BURGUNDY-NEW</t>
        </is>
      </c>
      <c r="E180" s="54" t="inlineStr">
        <is>
          <t>California King</t>
        </is>
      </c>
      <c r="F180" s="54" t="inlineStr">
        <is>
          <t>Burgundy</t>
        </is>
      </c>
      <c r="G180" s="55" t="n">
        <v>1</v>
      </c>
      <c r="H180" s="167" t="n">
        <v>62.54</v>
      </c>
      <c r="I180" s="167" t="n">
        <v>0</v>
      </c>
      <c r="J180" s="171">
        <f>IF(AND(N(G180)&gt;0,N(H180)+N(I180)&gt;0),(H180+I180)*U180/G180,"")</f>
        <v/>
      </c>
      <c r="K180" s="172" t="n">
        <v>99.98999999999999</v>
      </c>
      <c r="L180" s="172" t="n">
        <v>80.73999999999999</v>
      </c>
      <c r="M180" s="54" t="inlineStr">
        <is>
          <t>Eligible</t>
        </is>
      </c>
      <c r="N180" s="171">
        <f>IF(OR(J180="",L180=""),"",L180-J180)</f>
        <v/>
      </c>
      <c r="O180" s="169">
        <f>IF(OR(J180="",L180=""),"",L180/J180-1)</f>
        <v/>
      </c>
      <c r="P180" s="169">
        <f>IF(OR(J180="",K180=""),"",K180/J180-1)</f>
        <v/>
      </c>
      <c r="Q180" s="54">
        <f>IF(AND(ISNUMBER(J180),ISNUMBER(L180)),1,0)</f>
        <v/>
      </c>
      <c r="R180" s="69">
        <f>IF(Q180=1,G180*L180,0)</f>
        <v/>
      </c>
      <c r="S180" s="69">
        <f>IF(Q180=1,(H180+I180)*U180,0)</f>
        <v/>
      </c>
      <c r="T180" s="59">
        <f>IF(Q180=1,G180,0)</f>
        <v/>
      </c>
      <c r="U180" s="170">
        <f>$G$3</f>
        <v/>
      </c>
    </row>
    <row r="181">
      <c r="A181" s="54" t="inlineStr">
        <is>
          <t>CA DC B4</t>
        </is>
      </c>
      <c r="B181" s="54" t="inlineStr">
        <is>
          <t>CA</t>
        </is>
      </c>
      <c r="C181" s="54" t="inlineStr">
        <is>
          <t>B08KQLQ7RG</t>
        </is>
      </c>
      <c r="D181" s="54" t="inlineStr">
        <is>
          <t>BAMBOO-CALIFKING-CREME</t>
        </is>
      </c>
      <c r="E181" s="54" t="inlineStr">
        <is>
          <t>California King</t>
        </is>
      </c>
      <c r="F181" s="54" t="inlineStr">
        <is>
          <t>Creme</t>
        </is>
      </c>
      <c r="G181" s="55" t="n">
        <v>1</v>
      </c>
      <c r="H181" s="167" t="n">
        <v>46.8</v>
      </c>
      <c r="I181" s="167" t="n">
        <v>0</v>
      </c>
      <c r="J181" s="171">
        <f>IF(AND(N(G181)&gt;0,N(H181)+N(I181)&gt;0),(H181+I181)*U181/G181,"")</f>
        <v/>
      </c>
      <c r="K181" s="172" t="n">
        <v>99.98999999999999</v>
      </c>
      <c r="L181" s="172" t="n">
        <v>89.98999999999999</v>
      </c>
      <c r="M181" s="54" t="inlineStr">
        <is>
          <t>Eligible</t>
        </is>
      </c>
      <c r="N181" s="171">
        <f>IF(OR(J181="",L181=""),"",L181-J181)</f>
        <v/>
      </c>
      <c r="O181" s="169">
        <f>IF(OR(J181="",L181=""),"",L181/J181-1)</f>
        <v/>
      </c>
      <c r="P181" s="169">
        <f>IF(OR(J181="",K181=""),"",K181/J181-1)</f>
        <v/>
      </c>
      <c r="Q181" s="54">
        <f>IF(AND(ISNUMBER(J181),ISNUMBER(L181)),1,0)</f>
        <v/>
      </c>
      <c r="R181" s="69">
        <f>IF(Q181=1,G181*L181,0)</f>
        <v/>
      </c>
      <c r="S181" s="69">
        <f>IF(Q181=1,(H181+I181)*U181,0)</f>
        <v/>
      </c>
      <c r="T181" s="59">
        <f>IF(Q181=1,G181,0)</f>
        <v/>
      </c>
      <c r="U181" s="170">
        <f>$G$3</f>
        <v/>
      </c>
    </row>
    <row r="182">
      <c r="A182" s="54" t="inlineStr">
        <is>
          <t>CA DC B4</t>
        </is>
      </c>
      <c r="B182" s="54" t="inlineStr">
        <is>
          <t>CA</t>
        </is>
      </c>
      <c r="C182" s="54" t="inlineStr">
        <is>
          <t>B08KQHSWSJ</t>
        </is>
      </c>
      <c r="D182" s="54" t="inlineStr">
        <is>
          <t>BAMBOO-CALIFKING-LIGHTBLUE</t>
        </is>
      </c>
      <c r="E182" s="54" t="inlineStr">
        <is>
          <t>California King</t>
        </is>
      </c>
      <c r="F182" s="54" t="inlineStr">
        <is>
          <t>Light Blue</t>
        </is>
      </c>
      <c r="G182" s="55" t="n">
        <v>1</v>
      </c>
      <c r="H182" s="167" t="n">
        <v>57.01</v>
      </c>
      <c r="I182" s="167" t="n">
        <v>0</v>
      </c>
      <c r="J182" s="171">
        <f>IF(AND(N(G182)&gt;0,N(H182)+N(I182)&gt;0),(H182+I182)*U182/G182,"")</f>
        <v/>
      </c>
      <c r="K182" s="172" t="n">
        <v>99.98999999999999</v>
      </c>
      <c r="L182" s="172" t="n">
        <v>90.25</v>
      </c>
      <c r="M182" s="54" t="inlineStr">
        <is>
          <t>Eligible</t>
        </is>
      </c>
      <c r="N182" s="171">
        <f>IF(OR(J182="",L182=""),"",L182-J182)</f>
        <v/>
      </c>
      <c r="O182" s="169">
        <f>IF(OR(J182="",L182=""),"",L182/J182-1)</f>
        <v/>
      </c>
      <c r="P182" s="169">
        <f>IF(OR(J182="",K182=""),"",K182/J182-1)</f>
        <v/>
      </c>
      <c r="Q182" s="54">
        <f>IF(AND(ISNUMBER(J182),ISNUMBER(L182)),1,0)</f>
        <v/>
      </c>
      <c r="R182" s="69">
        <f>IF(Q182=1,G182*L182,0)</f>
        <v/>
      </c>
      <c r="S182" s="69">
        <f>IF(Q182=1,(H182+I182)*U182,0)</f>
        <v/>
      </c>
      <c r="T182" s="59">
        <f>IF(Q182=1,G182,0)</f>
        <v/>
      </c>
      <c r="U182" s="170">
        <f>$G$3</f>
        <v/>
      </c>
    </row>
    <row r="183">
      <c r="A183" s="54" t="inlineStr">
        <is>
          <t>CA DC B4</t>
        </is>
      </c>
      <c r="B183" s="54" t="inlineStr">
        <is>
          <t>CA</t>
        </is>
      </c>
      <c r="C183" s="54" t="inlineStr">
        <is>
          <t>B08KQKS54Q</t>
        </is>
      </c>
      <c r="D183" s="54" t="inlineStr">
        <is>
          <t>BAMBOO-TWIN-CREME</t>
        </is>
      </c>
      <c r="E183" s="54" t="inlineStr">
        <is>
          <t>Twin</t>
        </is>
      </c>
      <c r="F183" s="54" t="inlineStr">
        <is>
          <t>Creme</t>
        </is>
      </c>
      <c r="G183" s="55" t="n">
        <v>1</v>
      </c>
      <c r="H183" s="167" t="n">
        <v>45.37</v>
      </c>
      <c r="I183" s="167" t="n">
        <v>0</v>
      </c>
      <c r="J183" s="171">
        <f>IF(AND(N(G183)&gt;0,N(H183)+N(I183)&gt;0),(H183+I183)*U183/G183,"")</f>
        <v/>
      </c>
      <c r="K183" s="172" t="n">
        <v>79.98999999999999</v>
      </c>
      <c r="L183" s="172" t="n">
        <v>75.98999999999999</v>
      </c>
      <c r="M183" s="54" t="inlineStr">
        <is>
          <t>Eligible</t>
        </is>
      </c>
      <c r="N183" s="171">
        <f>IF(OR(J183="",L183=""),"",L183-J183)</f>
        <v/>
      </c>
      <c r="O183" s="169">
        <f>IF(OR(J183="",L183=""),"",L183/J183-1)</f>
        <v/>
      </c>
      <c r="P183" s="169">
        <f>IF(OR(J183="",K183=""),"",K183/J183-1)</f>
        <v/>
      </c>
      <c r="Q183" s="54">
        <f>IF(AND(ISNUMBER(J183),ISNUMBER(L183)),1,0)</f>
        <v/>
      </c>
      <c r="R183" s="69">
        <f>IF(Q183=1,G183*L183,0)</f>
        <v/>
      </c>
      <c r="S183" s="69">
        <f>IF(Q183=1,(H183+I183)*U183,0)</f>
        <v/>
      </c>
      <c r="T183" s="59">
        <f>IF(Q183=1,G183,0)</f>
        <v/>
      </c>
      <c r="U183" s="170">
        <f>$G$3</f>
        <v/>
      </c>
    </row>
    <row r="184">
      <c r="A184" s="54" t="inlineStr">
        <is>
          <t>CA DC B4</t>
        </is>
      </c>
      <c r="B184" s="54" t="inlineStr">
        <is>
          <t>CA</t>
        </is>
      </c>
      <c r="C184" s="54" t="inlineStr">
        <is>
          <t>B0BZQ1G5B8</t>
        </is>
      </c>
      <c r="D184" s="54" t="inlineStr">
        <is>
          <t>BAMBOO-CALIFKING-BLACK</t>
        </is>
      </c>
      <c r="E184" s="54" t="inlineStr">
        <is>
          <t>California King</t>
        </is>
      </c>
      <c r="F184" s="54" t="inlineStr">
        <is>
          <t>Black</t>
        </is>
      </c>
      <c r="G184" s="55" t="n">
        <v>0</v>
      </c>
      <c r="H184" s="167" t="n"/>
      <c r="I184" s="167" t="n"/>
      <c r="J184" s="171">
        <f>IF(AND(N(G184)&gt;0,N(H184)+N(I184)&gt;0),(H184+I184)*U184/G184,"")</f>
        <v/>
      </c>
      <c r="K184" s="172" t="n">
        <v>99.98999999999999</v>
      </c>
      <c r="L184" s="172" t="n">
        <v>68.84</v>
      </c>
      <c r="M184" s="54" t="inlineStr">
        <is>
          <t>Manual price</t>
        </is>
      </c>
      <c r="N184" s="171">
        <f>IF(OR(J184="",L184=""),"",L184-J184)</f>
        <v/>
      </c>
      <c r="O184" s="169">
        <f>IF(OR(J184="",L184=""),"",L184/J184-1)</f>
        <v/>
      </c>
      <c r="P184" s="169">
        <f>IF(OR(J184="",K184=""),"",K184/J184-1)</f>
        <v/>
      </c>
      <c r="Q184" s="54">
        <f>IF(AND(ISNUMBER(J184),ISNUMBER(L184)),1,0)</f>
        <v/>
      </c>
      <c r="R184" s="69">
        <f>IF(Q184=1,G184*L184,0)</f>
        <v/>
      </c>
      <c r="S184" s="69">
        <f>IF(Q184=1,(H184+I184)*U184,0)</f>
        <v/>
      </c>
      <c r="T184" s="59">
        <f>IF(Q184=1,G184,0)</f>
        <v/>
      </c>
      <c r="U184" s="170">
        <f>$G$3</f>
        <v/>
      </c>
    </row>
    <row r="185">
      <c r="A185" s="54" t="inlineStr">
        <is>
          <t>CA DC B4</t>
        </is>
      </c>
      <c r="B185" s="54" t="inlineStr">
        <is>
          <t>CA</t>
        </is>
      </c>
      <c r="C185" s="54" t="inlineStr">
        <is>
          <t>B0CLKD23ZH</t>
        </is>
      </c>
      <c r="D185" s="54" t="inlineStr">
        <is>
          <t>BAMBOO-CALIFKING-LIGHT PINK</t>
        </is>
      </c>
      <c r="E185" s="54" t="inlineStr">
        <is>
          <t>California King</t>
        </is>
      </c>
      <c r="F185" s="54" t="inlineStr">
        <is>
          <t>Light Pink</t>
        </is>
      </c>
      <c r="G185" s="55" t="n">
        <v>0</v>
      </c>
      <c r="H185" s="167" t="n"/>
      <c r="I185" s="167" t="n"/>
      <c r="J185" s="171">
        <f>IF(AND(N(G185)&gt;0,N(H185)+N(I185)&gt;0),(H185+I185)*U185/G185,"")</f>
        <v/>
      </c>
      <c r="K185" s="172" t="n">
        <v>99.98999999999999</v>
      </c>
      <c r="L185" s="172" t="n">
        <v>89.98999999999999</v>
      </c>
      <c r="M185" s="54" t="inlineStr">
        <is>
          <t>Eligible</t>
        </is>
      </c>
      <c r="N185" s="171">
        <f>IF(OR(J185="",L185=""),"",L185-J185)</f>
        <v/>
      </c>
      <c r="O185" s="169">
        <f>IF(OR(J185="",L185=""),"",L185/J185-1)</f>
        <v/>
      </c>
      <c r="P185" s="169">
        <f>IF(OR(J185="",K185=""),"",K185/J185-1)</f>
        <v/>
      </c>
      <c r="Q185" s="54">
        <f>IF(AND(ISNUMBER(J185),ISNUMBER(L185)),1,0)</f>
        <v/>
      </c>
      <c r="R185" s="69">
        <f>IF(Q185=1,G185*L185,0)</f>
        <v/>
      </c>
      <c r="S185" s="69">
        <f>IF(Q185=1,(H185+I185)*U185,0)</f>
        <v/>
      </c>
      <c r="T185" s="59">
        <f>IF(Q185=1,G185,0)</f>
        <v/>
      </c>
      <c r="U185" s="170">
        <f>$G$3</f>
        <v/>
      </c>
    </row>
    <row r="186">
      <c r="A186" s="54" t="inlineStr">
        <is>
          <t>CA DC B4</t>
        </is>
      </c>
      <c r="B186" s="54" t="inlineStr">
        <is>
          <t>CA</t>
        </is>
      </c>
      <c r="C186" s="54" t="inlineStr">
        <is>
          <t>B0BZPY841G</t>
        </is>
      </c>
      <c r="D186" s="54" t="inlineStr">
        <is>
          <t>BAMBOO-CALIFKING-MIDGREY</t>
        </is>
      </c>
      <c r="E186" s="54" t="inlineStr">
        <is>
          <t>California King</t>
        </is>
      </c>
      <c r="F186" s="54" t="inlineStr">
        <is>
          <t>Midgrey</t>
        </is>
      </c>
      <c r="G186" s="55" t="n">
        <v>0</v>
      </c>
      <c r="H186" s="167" t="n"/>
      <c r="I186" s="167" t="n"/>
      <c r="J186" s="171">
        <f>IF(AND(N(G186)&gt;0,N(H186)+N(I186)&gt;0),(H186+I186)*U186/G186,"")</f>
        <v/>
      </c>
      <c r="K186" s="172" t="n">
        <v>99.98999999999999</v>
      </c>
      <c r="L186" s="172" t="n">
        <v>99.98999999999999</v>
      </c>
      <c r="M186" s="54" t="inlineStr">
        <is>
          <t>Eligible</t>
        </is>
      </c>
      <c r="N186" s="171">
        <f>IF(OR(J186="",L186=""),"",L186-J186)</f>
        <v/>
      </c>
      <c r="O186" s="169">
        <f>IF(OR(J186="",L186=""),"",L186/J186-1)</f>
        <v/>
      </c>
      <c r="P186" s="169">
        <f>IF(OR(J186="",K186=""),"",K186/J186-1)</f>
        <v/>
      </c>
      <c r="Q186" s="54">
        <f>IF(AND(ISNUMBER(J186),ISNUMBER(L186)),1,0)</f>
        <v/>
      </c>
      <c r="R186" s="69">
        <f>IF(Q186=1,G186*L186,0)</f>
        <v/>
      </c>
      <c r="S186" s="69">
        <f>IF(Q186=1,(H186+I186)*U186,0)</f>
        <v/>
      </c>
      <c r="T186" s="59">
        <f>IF(Q186=1,G186,0)</f>
        <v/>
      </c>
      <c r="U186" s="170">
        <f>$G$3</f>
        <v/>
      </c>
    </row>
    <row r="187">
      <c r="A187" s="54" t="inlineStr">
        <is>
          <t>CA DC B4</t>
        </is>
      </c>
      <c r="B187" s="54" t="inlineStr">
        <is>
          <t>CA</t>
        </is>
      </c>
      <c r="C187" s="54" t="inlineStr">
        <is>
          <t>B0BZQ5SDNS</t>
        </is>
      </c>
      <c r="D187" s="54" t="inlineStr">
        <is>
          <t>BAMBOO-CALIFKING-PURPLE</t>
        </is>
      </c>
      <c r="E187" s="54" t="inlineStr">
        <is>
          <t>California King</t>
        </is>
      </c>
      <c r="F187" s="54" t="inlineStr">
        <is>
          <t>Purple</t>
        </is>
      </c>
      <c r="G187" s="55" t="n">
        <v>0</v>
      </c>
      <c r="H187" s="167" t="n"/>
      <c r="I187" s="167" t="n"/>
      <c r="J187" s="171">
        <f>IF(AND(N(G187)&gt;0,N(H187)+N(I187)&gt;0),(H187+I187)*U187/G187,"")</f>
        <v/>
      </c>
      <c r="K187" s="172" t="n">
        <v>99.98999999999999</v>
      </c>
      <c r="L187" s="172" t="n">
        <v>94.98999999999999</v>
      </c>
      <c r="M187" s="54" t="inlineStr">
        <is>
          <t>Eligible</t>
        </is>
      </c>
      <c r="N187" s="171">
        <f>IF(OR(J187="",L187=""),"",L187-J187)</f>
        <v/>
      </c>
      <c r="O187" s="169">
        <f>IF(OR(J187="",L187=""),"",L187/J187-1)</f>
        <v/>
      </c>
      <c r="P187" s="169">
        <f>IF(OR(J187="",K187=""),"",K187/J187-1)</f>
        <v/>
      </c>
      <c r="Q187" s="54">
        <f>IF(AND(ISNUMBER(J187),ISNUMBER(L187)),1,0)</f>
        <v/>
      </c>
      <c r="R187" s="69">
        <f>IF(Q187=1,G187*L187,0)</f>
        <v/>
      </c>
      <c r="S187" s="69">
        <f>IF(Q187=1,(H187+I187)*U187,0)</f>
        <v/>
      </c>
      <c r="T187" s="59">
        <f>IF(Q187=1,G187,0)</f>
        <v/>
      </c>
      <c r="U187" s="170">
        <f>$G$3</f>
        <v/>
      </c>
    </row>
    <row r="188">
      <c r="A188" s="54" t="inlineStr">
        <is>
          <t>CA DC B4</t>
        </is>
      </c>
      <c r="B188" s="54" t="inlineStr">
        <is>
          <t>CA</t>
        </is>
      </c>
      <c r="C188" s="54" t="inlineStr">
        <is>
          <t>B08KQJTLZP</t>
        </is>
      </c>
      <c r="D188" s="54" t="inlineStr">
        <is>
          <t>BAMBOO-CALIFKING-TAUPE</t>
        </is>
      </c>
      <c r="E188" s="54" t="inlineStr">
        <is>
          <t>California King</t>
        </is>
      </c>
      <c r="F188" s="54" t="inlineStr">
        <is>
          <t>Taupe</t>
        </is>
      </c>
      <c r="G188" s="55" t="n">
        <v>0</v>
      </c>
      <c r="H188" s="167" t="n"/>
      <c r="I188" s="167" t="n"/>
      <c r="J188" s="171">
        <f>IF(AND(N(G188)&gt;0,N(H188)+N(I188)&gt;0),(H188+I188)*U188/G188,"")</f>
        <v/>
      </c>
      <c r="K188" s="172" t="n">
        <v>99.98999999999999</v>
      </c>
      <c r="L188" s="172" t="n">
        <v>84.98999999999999</v>
      </c>
      <c r="M188" s="54" t="inlineStr">
        <is>
          <t>Eligible</t>
        </is>
      </c>
      <c r="N188" s="171">
        <f>IF(OR(J188="",L188=""),"",L188-J188)</f>
        <v/>
      </c>
      <c r="O188" s="169">
        <f>IF(OR(J188="",L188=""),"",L188/J188-1)</f>
        <v/>
      </c>
      <c r="P188" s="169">
        <f>IF(OR(J188="",K188=""),"",K188/J188-1)</f>
        <v/>
      </c>
      <c r="Q188" s="54">
        <f>IF(AND(ISNUMBER(J188),ISNUMBER(L188)),1,0)</f>
        <v/>
      </c>
      <c r="R188" s="69">
        <f>IF(Q188=1,G188*L188,0)</f>
        <v/>
      </c>
      <c r="S188" s="69">
        <f>IF(Q188=1,(H188+I188)*U188,0)</f>
        <v/>
      </c>
      <c r="T188" s="59">
        <f>IF(Q188=1,G188,0)</f>
        <v/>
      </c>
      <c r="U188" s="170">
        <f>$G$3</f>
        <v/>
      </c>
    </row>
    <row r="189">
      <c r="A189" s="54" t="inlineStr">
        <is>
          <t>CA DC B4</t>
        </is>
      </c>
      <c r="B189" s="54" t="inlineStr">
        <is>
          <t>CA</t>
        </is>
      </c>
      <c r="C189" s="54" t="inlineStr">
        <is>
          <t>B0BZQ228PV</t>
        </is>
      </c>
      <c r="D189" s="54" t="inlineStr">
        <is>
          <t>BAMBOO-TWIN-CHARCOAL</t>
        </is>
      </c>
      <c r="E189" s="54" t="inlineStr">
        <is>
          <t>Twin</t>
        </is>
      </c>
      <c r="F189" s="54" t="inlineStr">
        <is>
          <t>Charcoal</t>
        </is>
      </c>
      <c r="G189" s="55" t="n">
        <v>0</v>
      </c>
      <c r="H189" s="167" t="n"/>
      <c r="I189" s="167" t="n"/>
      <c r="J189" s="171">
        <f>IF(AND(N(G189)&gt;0,N(H189)+N(I189)&gt;0),(H189+I189)*U189/G189,"")</f>
        <v/>
      </c>
      <c r="K189" s="172" t="n">
        <v>79.98999999999999</v>
      </c>
      <c r="L189" s="172" t="n">
        <v>79.98999999999999</v>
      </c>
      <c r="M189" s="54" t="inlineStr">
        <is>
          <t>Eligible</t>
        </is>
      </c>
      <c r="N189" s="171">
        <f>IF(OR(J189="",L189=""),"",L189-J189)</f>
        <v/>
      </c>
      <c r="O189" s="169">
        <f>IF(OR(J189="",L189=""),"",L189/J189-1)</f>
        <v/>
      </c>
      <c r="P189" s="169">
        <f>IF(OR(J189="",K189=""),"",K189/J189-1)</f>
        <v/>
      </c>
      <c r="Q189" s="54">
        <f>IF(AND(ISNUMBER(J189),ISNUMBER(L189)),1,0)</f>
        <v/>
      </c>
      <c r="R189" s="69">
        <f>IF(Q189=1,G189*L189,0)</f>
        <v/>
      </c>
      <c r="S189" s="69">
        <f>IF(Q189=1,(H189+I189)*U189,0)</f>
        <v/>
      </c>
      <c r="T189" s="59">
        <f>IF(Q189=1,G189,0)</f>
        <v/>
      </c>
      <c r="U189" s="170">
        <f>$G$3</f>
        <v/>
      </c>
    </row>
    <row r="190">
      <c r="A190" s="54" t="inlineStr">
        <is>
          <t>CA DC B4</t>
        </is>
      </c>
      <c r="B190" s="54" t="inlineStr">
        <is>
          <t>CA</t>
        </is>
      </c>
      <c r="C190" s="54" t="inlineStr">
        <is>
          <t>B08KQKKVSX</t>
        </is>
      </c>
      <c r="D190" s="54" t="inlineStr">
        <is>
          <t>BAMBOO-TWIN-OLIVE</t>
        </is>
      </c>
      <c r="E190" s="54" t="inlineStr">
        <is>
          <t>Twin</t>
        </is>
      </c>
      <c r="F190" s="54" t="inlineStr">
        <is>
          <t>Olive</t>
        </is>
      </c>
      <c r="G190" s="55" t="n">
        <v>0</v>
      </c>
      <c r="H190" s="167" t="n"/>
      <c r="I190" s="167" t="n"/>
      <c r="J190" s="171">
        <f>IF(AND(N(G190)&gt;0,N(H190)+N(I190)&gt;0),(H190+I190)*U190/G190,"")</f>
        <v/>
      </c>
      <c r="K190" s="172" t="n">
        <v>79.98999999999999</v>
      </c>
      <c r="L190" s="172" t="n">
        <v>79.98999999999999</v>
      </c>
      <c r="M190" s="54" t="inlineStr">
        <is>
          <t>Eligible</t>
        </is>
      </c>
      <c r="N190" s="171">
        <f>IF(OR(J190="",L190=""),"",L190-J190)</f>
        <v/>
      </c>
      <c r="O190" s="169">
        <f>IF(OR(J190="",L190=""),"",L190/J190-1)</f>
        <v/>
      </c>
      <c r="P190" s="169">
        <f>IF(OR(J190="",K190=""),"",K190/J190-1)</f>
        <v/>
      </c>
      <c r="Q190" s="54">
        <f>IF(AND(ISNUMBER(J190),ISNUMBER(L190)),1,0)</f>
        <v/>
      </c>
      <c r="R190" s="69">
        <f>IF(Q190=1,G190*L190,0)</f>
        <v/>
      </c>
      <c r="S190" s="69">
        <f>IF(Q190=1,(H190+I190)*U190,0)</f>
        <v/>
      </c>
      <c r="T190" s="59">
        <f>IF(Q190=1,G190,0)</f>
        <v/>
      </c>
      <c r="U190" s="170">
        <f>$G$3</f>
        <v/>
      </c>
    </row>
    <row r="191">
      <c r="A191" s="54" t="inlineStr">
        <is>
          <t>CA DC B4</t>
        </is>
      </c>
      <c r="B191" s="54" t="inlineStr">
        <is>
          <t>CA</t>
        </is>
      </c>
      <c r="C191" s="54" t="inlineStr">
        <is>
          <t>B0CLKBT95K</t>
        </is>
      </c>
      <c r="D191" s="54" t="inlineStr">
        <is>
          <t>BAMBOO-TWIN-SAGE GREEN</t>
        </is>
      </c>
      <c r="E191" s="54" t="inlineStr">
        <is>
          <t>Twin</t>
        </is>
      </c>
      <c r="F191" s="54" t="inlineStr">
        <is>
          <t>Sage Green</t>
        </is>
      </c>
      <c r="G191" s="55" t="n">
        <v>0</v>
      </c>
      <c r="H191" s="167" t="n"/>
      <c r="I191" s="167" t="n"/>
      <c r="J191" s="171">
        <f>IF(AND(N(G191)&gt;0,N(H191)+N(I191)&gt;0),(H191+I191)*U191/G191,"")</f>
        <v/>
      </c>
      <c r="K191" s="172" t="n">
        <v>79.98999999999999</v>
      </c>
      <c r="L191" s="172" t="n">
        <v>79.98999999999999</v>
      </c>
      <c r="M191" s="54" t="inlineStr">
        <is>
          <t>Eligible</t>
        </is>
      </c>
      <c r="N191" s="171">
        <f>IF(OR(J191="",L191=""),"",L191-J191)</f>
        <v/>
      </c>
      <c r="O191" s="169">
        <f>IF(OR(J191="",L191=""),"",L191/J191-1)</f>
        <v/>
      </c>
      <c r="P191" s="169">
        <f>IF(OR(J191="",K191=""),"",K191/J191-1)</f>
        <v/>
      </c>
      <c r="Q191" s="54">
        <f>IF(AND(ISNUMBER(J191),ISNUMBER(L191)),1,0)</f>
        <v/>
      </c>
      <c r="R191" s="69">
        <f>IF(Q191=1,G191*L191,0)</f>
        <v/>
      </c>
      <c r="S191" s="69">
        <f>IF(Q191=1,(H191+I191)*U191,0)</f>
        <v/>
      </c>
      <c r="T191" s="59">
        <f>IF(Q191=1,G191,0)</f>
        <v/>
      </c>
      <c r="U191" s="170">
        <f>$G$3</f>
        <v/>
      </c>
    </row>
    <row r="192">
      <c r="A192" s="54" t="inlineStr">
        <is>
          <t>US DC B6</t>
        </is>
      </c>
      <c r="B192" s="54" t="inlineStr">
        <is>
          <t>US</t>
        </is>
      </c>
      <c r="C192" s="54" t="inlineStr">
        <is>
          <t>B0CQ2XQF9N</t>
        </is>
      </c>
      <c r="D192" s="54" t="inlineStr">
        <is>
          <t>BAMBOO-KING-WHITE-6PCS</t>
        </is>
      </c>
      <c r="E192" s="54" t="inlineStr">
        <is>
          <t>King</t>
        </is>
      </c>
      <c r="F192" s="54" t="inlineStr">
        <is>
          <t>White</t>
        </is>
      </c>
      <c r="G192" s="55" t="n">
        <v>449</v>
      </c>
      <c r="H192" s="167" t="n">
        <v>34119.51</v>
      </c>
      <c r="I192" s="167" t="n">
        <v>0</v>
      </c>
      <c r="J192" s="168">
        <f>IF(AND(N(G192)&gt;0,N(H192)+N(I192)&gt;0),(H192+I192)*U192/G192,"")</f>
        <v/>
      </c>
      <c r="K192" s="167" t="n">
        <v>94.98999999999999</v>
      </c>
      <c r="L192" s="167" t="n">
        <v>68.63</v>
      </c>
      <c r="M192" s="54" t="inlineStr">
        <is>
          <t>Eligible</t>
        </is>
      </c>
      <c r="N192" s="168">
        <f>IF(OR(J192="",L192=""),"",L192-J192)</f>
        <v/>
      </c>
      <c r="O192" s="169">
        <f>IF(OR(J192="",L192=""),"",L192/J192-1)</f>
        <v/>
      </c>
      <c r="P192" s="169">
        <f>IF(OR(J192="",K192=""),"",K192/J192-1)</f>
        <v/>
      </c>
      <c r="Q192" s="54">
        <f>IF(AND(ISNUMBER(J192),ISNUMBER(L192)),1,0)</f>
        <v/>
      </c>
      <c r="R192" s="69">
        <f>IF(Q192=1,G192*L192,0)</f>
        <v/>
      </c>
      <c r="S192" s="69">
        <f>IF(Q192=1,(H192+I192)*U192,0)</f>
        <v/>
      </c>
      <c r="T192" s="59">
        <f>IF(Q192=1,G192,0)</f>
        <v/>
      </c>
      <c r="U192" s="170" t="n">
        <v>1</v>
      </c>
    </row>
    <row r="193">
      <c r="A193" s="54" t="inlineStr">
        <is>
          <t>US DC B6</t>
        </is>
      </c>
      <c r="B193" s="54" t="inlineStr">
        <is>
          <t>US</t>
        </is>
      </c>
      <c r="C193" s="54" t="inlineStr">
        <is>
          <t>B0CQ3178D7</t>
        </is>
      </c>
      <c r="D193" s="54" t="inlineStr">
        <is>
          <t>BAMBOO-KING-TAUPE-6PCS</t>
        </is>
      </c>
      <c r="E193" s="54" t="inlineStr">
        <is>
          <t>King</t>
        </is>
      </c>
      <c r="F193" s="54" t="inlineStr">
        <is>
          <t>Taupe</t>
        </is>
      </c>
      <c r="G193" s="55" t="n">
        <v>194</v>
      </c>
      <c r="H193" s="167" t="n">
        <v>15402.07</v>
      </c>
      <c r="I193" s="167" t="n">
        <v>0</v>
      </c>
      <c r="J193" s="168">
        <f>IF(AND(N(G193)&gt;0,N(H193)+N(I193)&gt;0),(H193+I193)*U193/G193,"")</f>
        <v/>
      </c>
      <c r="K193" s="167" t="n">
        <v>99.98999999999999</v>
      </c>
      <c r="L193" s="167" t="n">
        <v>68.63</v>
      </c>
      <c r="M193" s="54" t="inlineStr">
        <is>
          <t>Eligible</t>
        </is>
      </c>
      <c r="N193" s="168">
        <f>IF(OR(J193="",L193=""),"",L193-J193)</f>
        <v/>
      </c>
      <c r="O193" s="169">
        <f>IF(OR(J193="",L193=""),"",L193/J193-1)</f>
        <v/>
      </c>
      <c r="P193" s="169">
        <f>IF(OR(J193="",K193=""),"",K193/J193-1)</f>
        <v/>
      </c>
      <c r="Q193" s="54">
        <f>IF(AND(ISNUMBER(J193),ISNUMBER(L193)),1,0)</f>
        <v/>
      </c>
      <c r="R193" s="69">
        <f>IF(Q193=1,G193*L193,0)</f>
        <v/>
      </c>
      <c r="S193" s="69">
        <f>IF(Q193=1,(H193+I193)*U193,0)</f>
        <v/>
      </c>
      <c r="T193" s="59">
        <f>IF(Q193=1,G193,0)</f>
        <v/>
      </c>
      <c r="U193" s="170" t="n">
        <v>1</v>
      </c>
    </row>
    <row r="194">
      <c r="A194" s="54" t="inlineStr">
        <is>
          <t>US DC B6</t>
        </is>
      </c>
      <c r="B194" s="54" t="inlineStr">
        <is>
          <t>US</t>
        </is>
      </c>
      <c r="C194" s="54" t="inlineStr">
        <is>
          <t>B0CQ2ZWGNQ</t>
        </is>
      </c>
      <c r="D194" s="54" t="inlineStr">
        <is>
          <t>BAMBOO-QUEEN-WHITE-6PCS</t>
        </is>
      </c>
      <c r="E194" s="54" t="inlineStr">
        <is>
          <t>Queen</t>
        </is>
      </c>
      <c r="F194" s="54" t="inlineStr">
        <is>
          <t>White</t>
        </is>
      </c>
      <c r="G194" s="55" t="n">
        <v>192</v>
      </c>
      <c r="H194" s="167" t="n">
        <v>13990.58</v>
      </c>
      <c r="I194" s="167" t="n">
        <v>0</v>
      </c>
      <c r="J194" s="168">
        <f>IF(AND(N(G194)&gt;0,N(H194)+N(I194)&gt;0),(H194+I194)*U194/G194,"")</f>
        <v/>
      </c>
      <c r="K194" s="167" t="n">
        <v>89.98999999999999</v>
      </c>
      <c r="L194" s="167" t="n">
        <v>64.59</v>
      </c>
      <c r="M194" s="54" t="inlineStr">
        <is>
          <t>Eligible</t>
        </is>
      </c>
      <c r="N194" s="168">
        <f>IF(OR(J194="",L194=""),"",L194-J194)</f>
        <v/>
      </c>
      <c r="O194" s="169">
        <f>IF(OR(J194="",L194=""),"",L194/J194-1)</f>
        <v/>
      </c>
      <c r="P194" s="169">
        <f>IF(OR(J194="",K194=""),"",K194/J194-1)</f>
        <v/>
      </c>
      <c r="Q194" s="54">
        <f>IF(AND(ISNUMBER(J194),ISNUMBER(L194)),1,0)</f>
        <v/>
      </c>
      <c r="R194" s="69">
        <f>IF(Q194=1,G194*L194,0)</f>
        <v/>
      </c>
      <c r="S194" s="69">
        <f>IF(Q194=1,(H194+I194)*U194,0)</f>
        <v/>
      </c>
      <c r="T194" s="59">
        <f>IF(Q194=1,G194,0)</f>
        <v/>
      </c>
      <c r="U194" s="170" t="n">
        <v>1</v>
      </c>
    </row>
    <row r="195">
      <c r="A195" s="54" t="inlineStr">
        <is>
          <t>US DC B6</t>
        </is>
      </c>
      <c r="B195" s="54" t="inlineStr">
        <is>
          <t>US</t>
        </is>
      </c>
      <c r="C195" s="54" t="inlineStr">
        <is>
          <t>B0CQ33198K</t>
        </is>
      </c>
      <c r="D195" s="54" t="inlineStr">
        <is>
          <t>BAMBOO-QUEEN-TAUPE-6PCS</t>
        </is>
      </c>
      <c r="E195" s="54" t="inlineStr">
        <is>
          <t>Queen</t>
        </is>
      </c>
      <c r="F195" s="54" t="inlineStr">
        <is>
          <t>Taupe</t>
        </is>
      </c>
      <c r="G195" s="55" t="n">
        <v>138</v>
      </c>
      <c r="H195" s="167" t="n">
        <v>9759.879999999999</v>
      </c>
      <c r="I195" s="167" t="n">
        <v>0</v>
      </c>
      <c r="J195" s="168">
        <f>IF(AND(N(G195)&gt;0,N(H195)+N(I195)&gt;0),(H195+I195)*U195/G195,"")</f>
        <v/>
      </c>
      <c r="K195" s="167" t="n">
        <v>94.98999999999999</v>
      </c>
      <c r="L195" s="167" t="n">
        <v>64.59</v>
      </c>
      <c r="M195" s="54" t="inlineStr">
        <is>
          <t>Eligible</t>
        </is>
      </c>
      <c r="N195" s="168">
        <f>IF(OR(J195="",L195=""),"",L195-J195)</f>
        <v/>
      </c>
      <c r="O195" s="169">
        <f>IF(OR(J195="",L195=""),"",L195/J195-1)</f>
        <v/>
      </c>
      <c r="P195" s="169">
        <f>IF(OR(J195="",K195=""),"",K195/J195-1)</f>
        <v/>
      </c>
      <c r="Q195" s="54">
        <f>IF(AND(ISNUMBER(J195),ISNUMBER(L195)),1,0)</f>
        <v/>
      </c>
      <c r="R195" s="69">
        <f>IF(Q195=1,G195*L195,0)</f>
        <v/>
      </c>
      <c r="S195" s="69">
        <f>IF(Q195=1,(H195+I195)*U195,0)</f>
        <v/>
      </c>
      <c r="T195" s="59">
        <f>IF(Q195=1,G195,0)</f>
        <v/>
      </c>
      <c r="U195" s="170" t="n">
        <v>1</v>
      </c>
    </row>
    <row r="196">
      <c r="A196" s="54" t="inlineStr">
        <is>
          <t>US DC B6</t>
        </is>
      </c>
      <c r="B196" s="54" t="inlineStr">
        <is>
          <t>US</t>
        </is>
      </c>
      <c r="C196" s="54" t="inlineStr">
        <is>
          <t>B0CQ32S4ML</t>
        </is>
      </c>
      <c r="D196" s="54" t="inlineStr">
        <is>
          <t>BAMBOO-KING-GREY-6PCS</t>
        </is>
      </c>
      <c r="E196" s="54" t="inlineStr">
        <is>
          <t>King</t>
        </is>
      </c>
      <c r="F196" s="54" t="inlineStr">
        <is>
          <t>Grey</t>
        </is>
      </c>
      <c r="G196" s="55" t="n">
        <v>133</v>
      </c>
      <c r="H196" s="167" t="n">
        <v>10106.67</v>
      </c>
      <c r="I196" s="167" t="n">
        <v>0</v>
      </c>
      <c r="J196" s="168">
        <f>IF(AND(N(G196)&gt;0,N(H196)+N(I196)&gt;0),(H196+I196)*U196/G196,"")</f>
        <v/>
      </c>
      <c r="K196" s="167" t="n">
        <v>99.98999999999999</v>
      </c>
      <c r="L196" s="167" t="n">
        <v>68.63</v>
      </c>
      <c r="M196" s="54" t="inlineStr">
        <is>
          <t>Eligible</t>
        </is>
      </c>
      <c r="N196" s="168">
        <f>IF(OR(J196="",L196=""),"",L196-J196)</f>
        <v/>
      </c>
      <c r="O196" s="169">
        <f>IF(OR(J196="",L196=""),"",L196/J196-1)</f>
        <v/>
      </c>
      <c r="P196" s="169">
        <f>IF(OR(J196="",K196=""),"",K196/J196-1)</f>
        <v/>
      </c>
      <c r="Q196" s="54">
        <f>IF(AND(ISNUMBER(J196),ISNUMBER(L196)),1,0)</f>
        <v/>
      </c>
      <c r="R196" s="69">
        <f>IF(Q196=1,G196*L196,0)</f>
        <v/>
      </c>
      <c r="S196" s="69">
        <f>IF(Q196=1,(H196+I196)*U196,0)</f>
        <v/>
      </c>
      <c r="T196" s="59">
        <f>IF(Q196=1,G196,0)</f>
        <v/>
      </c>
      <c r="U196" s="170" t="n">
        <v>1</v>
      </c>
    </row>
    <row r="197">
      <c r="A197" s="54" t="inlineStr">
        <is>
          <t>US DC B6</t>
        </is>
      </c>
      <c r="B197" s="54" t="inlineStr">
        <is>
          <t>US</t>
        </is>
      </c>
      <c r="C197" s="54" t="inlineStr">
        <is>
          <t>B0CQ33H4QW</t>
        </is>
      </c>
      <c r="D197" s="54" t="inlineStr">
        <is>
          <t>BAMBOO-KING-LIGHTGREY-6PCS</t>
        </is>
      </c>
      <c r="E197" s="54" t="inlineStr">
        <is>
          <t>King</t>
        </is>
      </c>
      <c r="F197" s="54" t="inlineStr">
        <is>
          <t>Light Grey</t>
        </is>
      </c>
      <c r="G197" s="55" t="n">
        <v>129</v>
      </c>
      <c r="H197" s="167" t="n">
        <v>9938.709999999999</v>
      </c>
      <c r="I197" s="167" t="n">
        <v>0</v>
      </c>
      <c r="J197" s="168">
        <f>IF(AND(N(G197)&gt;0,N(H197)+N(I197)&gt;0),(H197+I197)*U197/G197,"")</f>
        <v/>
      </c>
      <c r="K197" s="167" t="n">
        <v>99.98999999999999</v>
      </c>
      <c r="L197" s="167" t="n">
        <v>68.63</v>
      </c>
      <c r="M197" s="54" t="inlineStr">
        <is>
          <t>Eligible</t>
        </is>
      </c>
      <c r="N197" s="168">
        <f>IF(OR(J197="",L197=""),"",L197-J197)</f>
        <v/>
      </c>
      <c r="O197" s="169">
        <f>IF(OR(J197="",L197=""),"",L197/J197-1)</f>
        <v/>
      </c>
      <c r="P197" s="169">
        <f>IF(OR(J197="",K197=""),"",K197/J197-1)</f>
        <v/>
      </c>
      <c r="Q197" s="54">
        <f>IF(AND(ISNUMBER(J197),ISNUMBER(L197)),1,0)</f>
        <v/>
      </c>
      <c r="R197" s="69">
        <f>IF(Q197=1,G197*L197,0)</f>
        <v/>
      </c>
      <c r="S197" s="69">
        <f>IF(Q197=1,(H197+I197)*U197,0)</f>
        <v/>
      </c>
      <c r="T197" s="59">
        <f>IF(Q197=1,G197,0)</f>
        <v/>
      </c>
      <c r="U197" s="170" t="n">
        <v>1</v>
      </c>
    </row>
    <row r="198">
      <c r="A198" s="54" t="inlineStr">
        <is>
          <t>US DC B6</t>
        </is>
      </c>
      <c r="B198" s="54" t="inlineStr">
        <is>
          <t>US</t>
        </is>
      </c>
      <c r="C198" s="54" t="inlineStr">
        <is>
          <t>B0CQ33KG5X</t>
        </is>
      </c>
      <c r="D198" s="54" t="inlineStr">
        <is>
          <t>BAMBOO-KING-CREME-6PCS</t>
        </is>
      </c>
      <c r="E198" s="54" t="inlineStr">
        <is>
          <t>King</t>
        </is>
      </c>
      <c r="F198" s="54" t="inlineStr">
        <is>
          <t>Creme</t>
        </is>
      </c>
      <c r="G198" s="55" t="n">
        <v>117</v>
      </c>
      <c r="H198" s="167" t="n">
        <v>9159.120000000001</v>
      </c>
      <c r="I198" s="167" t="n">
        <v>0</v>
      </c>
      <c r="J198" s="168">
        <f>IF(AND(N(G198)&gt;0,N(H198)+N(I198)&gt;0),(H198+I198)*U198/G198,"")</f>
        <v/>
      </c>
      <c r="K198" s="167" t="n">
        <v>99.98999999999999</v>
      </c>
      <c r="L198" s="167" t="n">
        <v>76.7</v>
      </c>
      <c r="M198" s="54" t="inlineStr">
        <is>
          <t>Eligible</t>
        </is>
      </c>
      <c r="N198" s="168">
        <f>IF(OR(J198="",L198=""),"",L198-J198)</f>
        <v/>
      </c>
      <c r="O198" s="169">
        <f>IF(OR(J198="",L198=""),"",L198/J198-1)</f>
        <v/>
      </c>
      <c r="P198" s="169">
        <f>IF(OR(J198="",K198=""),"",K198/J198-1)</f>
        <v/>
      </c>
      <c r="Q198" s="54">
        <f>IF(AND(ISNUMBER(J198),ISNUMBER(L198)),1,0)</f>
        <v/>
      </c>
      <c r="R198" s="69">
        <f>IF(Q198=1,G198*L198,0)</f>
        <v/>
      </c>
      <c r="S198" s="69">
        <f>IF(Q198=1,(H198+I198)*U198,0)</f>
        <v/>
      </c>
      <c r="T198" s="59">
        <f>IF(Q198=1,G198,0)</f>
        <v/>
      </c>
      <c r="U198" s="170" t="n">
        <v>1</v>
      </c>
    </row>
    <row r="199">
      <c r="A199" s="54" t="inlineStr">
        <is>
          <t>US DC B6</t>
        </is>
      </c>
      <c r="B199" s="54" t="inlineStr">
        <is>
          <t>US</t>
        </is>
      </c>
      <c r="C199" s="54" t="inlineStr">
        <is>
          <t>B0CQ32N392</t>
        </is>
      </c>
      <c r="D199" s="54" t="inlineStr">
        <is>
          <t>BAMBOO-QUEEN-NAVYBLUE-6PCS</t>
        </is>
      </c>
      <c r="E199" s="54" t="inlineStr">
        <is>
          <t>Queen</t>
        </is>
      </c>
      <c r="F199" s="54" t="inlineStr">
        <is>
          <t>Navy Blue</t>
        </is>
      </c>
      <c r="G199" s="55" t="n">
        <v>101</v>
      </c>
      <c r="H199" s="167" t="n">
        <v>7195.24</v>
      </c>
      <c r="I199" s="167" t="n">
        <v>0</v>
      </c>
      <c r="J199" s="168">
        <f>IF(AND(N(G199)&gt;0,N(H199)+N(I199)&gt;0),(H199+I199)*U199/G199,"")</f>
        <v/>
      </c>
      <c r="K199" s="167" t="n">
        <v>94.98999999999999</v>
      </c>
      <c r="L199" s="167" t="n"/>
      <c r="M199" s="54" t="inlineStr">
        <is>
          <t>Out of stock</t>
        </is>
      </c>
      <c r="N199" s="168">
        <f>IF(OR(J199="",L199=""),"",L199-J199)</f>
        <v/>
      </c>
      <c r="O199" s="169">
        <f>IF(OR(J199="",L199=""),"",L199/J199-1)</f>
        <v/>
      </c>
      <c r="P199" s="169">
        <f>IF(OR(J199="",K199=""),"",K199/J199-1)</f>
        <v/>
      </c>
      <c r="Q199" s="54">
        <f>IF(AND(ISNUMBER(J199),ISNUMBER(L199)),1,0)</f>
        <v/>
      </c>
      <c r="R199" s="69">
        <f>IF(Q199=1,G199*L199,0)</f>
        <v/>
      </c>
      <c r="S199" s="69">
        <f>IF(Q199=1,(H199+I199)*U199,0)</f>
        <v/>
      </c>
      <c r="T199" s="59">
        <f>IF(Q199=1,G199,0)</f>
        <v/>
      </c>
      <c r="U199" s="170" t="n">
        <v>1</v>
      </c>
    </row>
    <row r="200">
      <c r="A200" s="54" t="inlineStr">
        <is>
          <t>US DC B6</t>
        </is>
      </c>
      <c r="B200" s="54" t="inlineStr">
        <is>
          <t>US</t>
        </is>
      </c>
      <c r="C200" s="54" t="inlineStr">
        <is>
          <t>B0CQ316YRY</t>
        </is>
      </c>
      <c r="D200" s="54" t="inlineStr">
        <is>
          <t>BAMBOO-KING-NAVYBLUE-6PCS</t>
        </is>
      </c>
      <c r="E200" s="54" t="inlineStr">
        <is>
          <t>King</t>
        </is>
      </c>
      <c r="F200" s="54" t="inlineStr">
        <is>
          <t>Navy Blue</t>
        </is>
      </c>
      <c r="G200" s="55" t="n">
        <v>100</v>
      </c>
      <c r="H200" s="167" t="n">
        <v>7875</v>
      </c>
      <c r="I200" s="167" t="n">
        <v>0</v>
      </c>
      <c r="J200" s="168">
        <f>IF(AND(N(G200)&gt;0,N(H200)+N(I200)&gt;0),(H200+I200)*U200/G200,"")</f>
        <v/>
      </c>
      <c r="K200" s="167" t="n">
        <v>99.98999999999999</v>
      </c>
      <c r="L200" s="167" t="n">
        <v>72.67</v>
      </c>
      <c r="M200" s="54" t="inlineStr">
        <is>
          <t>Eligible</t>
        </is>
      </c>
      <c r="N200" s="168">
        <f>IF(OR(J200="",L200=""),"",L200-J200)</f>
        <v/>
      </c>
      <c r="O200" s="169">
        <f>IF(OR(J200="",L200=""),"",L200/J200-1)</f>
        <v/>
      </c>
      <c r="P200" s="169">
        <f>IF(OR(J200="",K200=""),"",K200/J200-1)</f>
        <v/>
      </c>
      <c r="Q200" s="54">
        <f>IF(AND(ISNUMBER(J200),ISNUMBER(L200)),1,0)</f>
        <v/>
      </c>
      <c r="R200" s="69">
        <f>IF(Q200=1,G200*L200,0)</f>
        <v/>
      </c>
      <c r="S200" s="69">
        <f>IF(Q200=1,(H200+I200)*U200,0)</f>
        <v/>
      </c>
      <c r="T200" s="59">
        <f>IF(Q200=1,G200,0)</f>
        <v/>
      </c>
      <c r="U200" s="170" t="n">
        <v>1</v>
      </c>
    </row>
    <row r="201">
      <c r="A201" s="54" t="inlineStr">
        <is>
          <t>US DC B6</t>
        </is>
      </c>
      <c r="B201" s="54" t="inlineStr">
        <is>
          <t>US</t>
        </is>
      </c>
      <c r="C201" s="54" t="inlineStr">
        <is>
          <t>B0CQ32Z6VP</t>
        </is>
      </c>
      <c r="D201" s="54" t="inlineStr">
        <is>
          <t>BAMBOO-QUEEN-CREME-6PCS</t>
        </is>
      </c>
      <c r="E201" s="54" t="inlineStr">
        <is>
          <t>Queen</t>
        </is>
      </c>
      <c r="F201" s="54" t="inlineStr">
        <is>
          <t>Creme</t>
        </is>
      </c>
      <c r="G201" s="55" t="n">
        <v>100</v>
      </c>
      <c r="H201" s="167" t="n">
        <v>7124</v>
      </c>
      <c r="I201" s="167" t="n">
        <v>0</v>
      </c>
      <c r="J201" s="168">
        <f>IF(AND(N(G201)&gt;0,N(H201)+N(I201)&gt;0),(H201+I201)*U201/G201,"")</f>
        <v/>
      </c>
      <c r="K201" s="167" t="n">
        <v>94.98999999999999</v>
      </c>
      <c r="L201" s="167" t="n">
        <v>64.59</v>
      </c>
      <c r="M201" s="54" t="inlineStr">
        <is>
          <t>Eligible</t>
        </is>
      </c>
      <c r="N201" s="168">
        <f>IF(OR(J201="",L201=""),"",L201-J201)</f>
        <v/>
      </c>
      <c r="O201" s="169">
        <f>IF(OR(J201="",L201=""),"",L201/J201-1)</f>
        <v/>
      </c>
      <c r="P201" s="169">
        <f>IF(OR(J201="",K201=""),"",K201/J201-1)</f>
        <v/>
      </c>
      <c r="Q201" s="54">
        <f>IF(AND(ISNUMBER(J201),ISNUMBER(L201)),1,0)</f>
        <v/>
      </c>
      <c r="R201" s="69">
        <f>IF(Q201=1,G201*L201,0)</f>
        <v/>
      </c>
      <c r="S201" s="69">
        <f>IF(Q201=1,(H201+I201)*U201,0)</f>
        <v/>
      </c>
      <c r="T201" s="59">
        <f>IF(Q201=1,G201,0)</f>
        <v/>
      </c>
      <c r="U201" s="170" t="n">
        <v>1</v>
      </c>
    </row>
    <row r="202">
      <c r="A202" s="54" t="inlineStr">
        <is>
          <t>US DC B6</t>
        </is>
      </c>
      <c r="B202" s="54" t="inlineStr">
        <is>
          <t>US</t>
        </is>
      </c>
      <c r="C202" s="54" t="inlineStr">
        <is>
          <t>B0CQ2ZWSN7</t>
        </is>
      </c>
      <c r="D202" s="54" t="inlineStr">
        <is>
          <t>BAMBOO-QUEEN-BURGUNDY-6PCS</t>
        </is>
      </c>
      <c r="E202" s="54" t="inlineStr">
        <is>
          <t>Queen</t>
        </is>
      </c>
      <c r="F202" s="54" t="inlineStr">
        <is>
          <t>Burgundy</t>
        </is>
      </c>
      <c r="G202" s="55" t="n">
        <v>95</v>
      </c>
      <c r="H202" s="167" t="n">
        <v>6767.8</v>
      </c>
      <c r="I202" s="167" t="n">
        <v>0</v>
      </c>
      <c r="J202" s="168">
        <f>IF(AND(N(G202)&gt;0,N(H202)+N(I202)&gt;0),(H202+I202)*U202/G202,"")</f>
        <v/>
      </c>
      <c r="K202" s="167" t="n">
        <v>94.98999999999999</v>
      </c>
      <c r="L202" s="167" t="n">
        <v>64.59</v>
      </c>
      <c r="M202" s="54" t="inlineStr">
        <is>
          <t>Eligible</t>
        </is>
      </c>
      <c r="N202" s="168">
        <f>IF(OR(J202="",L202=""),"",L202-J202)</f>
        <v/>
      </c>
      <c r="O202" s="169">
        <f>IF(OR(J202="",L202=""),"",L202/J202-1)</f>
        <v/>
      </c>
      <c r="P202" s="169">
        <f>IF(OR(J202="",K202=""),"",K202/J202-1)</f>
        <v/>
      </c>
      <c r="Q202" s="54">
        <f>IF(AND(ISNUMBER(J202),ISNUMBER(L202)),1,0)</f>
        <v/>
      </c>
      <c r="R202" s="69">
        <f>IF(Q202=1,G202*L202,0)</f>
        <v/>
      </c>
      <c r="S202" s="69">
        <f>IF(Q202=1,(H202+I202)*U202,0)</f>
        <v/>
      </c>
      <c r="T202" s="59">
        <f>IF(Q202=1,G202,0)</f>
        <v/>
      </c>
      <c r="U202" s="170" t="n">
        <v>1</v>
      </c>
    </row>
    <row r="203">
      <c r="A203" s="54" t="inlineStr">
        <is>
          <t>US DC B6</t>
        </is>
      </c>
      <c r="B203" s="54" t="inlineStr">
        <is>
          <t>US</t>
        </is>
      </c>
      <c r="C203" s="54" t="inlineStr">
        <is>
          <t>B0CQ331L15</t>
        </is>
      </c>
      <c r="D203" s="54" t="inlineStr">
        <is>
          <t>BAMBOO-KING-BLACK-6PCS</t>
        </is>
      </c>
      <c r="E203" s="54" t="inlineStr">
        <is>
          <t>King</t>
        </is>
      </c>
      <c r="F203" s="54" t="inlineStr">
        <is>
          <t>Black</t>
        </is>
      </c>
      <c r="G203" s="55" t="n">
        <v>81</v>
      </c>
      <c r="H203" s="167" t="n">
        <v>6155.19</v>
      </c>
      <c r="I203" s="167" t="n">
        <v>0</v>
      </c>
      <c r="J203" s="168">
        <f>IF(AND(N(G203)&gt;0,N(H203)+N(I203)&gt;0),(H203+I203)*U203/G203,"")</f>
        <v/>
      </c>
      <c r="K203" s="167" t="n">
        <v>99.98999999999999</v>
      </c>
      <c r="L203" s="167" t="n">
        <v>68.63</v>
      </c>
      <c r="M203" s="54" t="inlineStr">
        <is>
          <t>Eligible</t>
        </is>
      </c>
      <c r="N203" s="168">
        <f>IF(OR(J203="",L203=""),"",L203-J203)</f>
        <v/>
      </c>
      <c r="O203" s="169">
        <f>IF(OR(J203="",L203=""),"",L203/J203-1)</f>
        <v/>
      </c>
      <c r="P203" s="169">
        <f>IF(OR(J203="",K203=""),"",K203/J203-1)</f>
        <v/>
      </c>
      <c r="Q203" s="54">
        <f>IF(AND(ISNUMBER(J203),ISNUMBER(L203)),1,0)</f>
        <v/>
      </c>
      <c r="R203" s="69">
        <f>IF(Q203=1,G203*L203,0)</f>
        <v/>
      </c>
      <c r="S203" s="69">
        <f>IF(Q203=1,(H203+I203)*U203,0)</f>
        <v/>
      </c>
      <c r="T203" s="59">
        <f>IF(Q203=1,G203,0)</f>
        <v/>
      </c>
      <c r="U203" s="170" t="n">
        <v>1</v>
      </c>
    </row>
    <row r="204">
      <c r="A204" s="54" t="inlineStr">
        <is>
          <t>US DC B6</t>
        </is>
      </c>
      <c r="B204" s="54" t="inlineStr">
        <is>
          <t>US</t>
        </is>
      </c>
      <c r="C204" s="54" t="inlineStr">
        <is>
          <t>B0CQ31X65Y</t>
        </is>
      </c>
      <c r="D204" s="54" t="inlineStr">
        <is>
          <t>BAMBOO-KING-LIGHTBLUE-6PCS</t>
        </is>
      </c>
      <c r="E204" s="54" t="inlineStr">
        <is>
          <t>King</t>
        </is>
      </c>
      <c r="F204" s="54" t="inlineStr">
        <is>
          <t>Light Blue</t>
        </is>
      </c>
      <c r="G204" s="55" t="n">
        <v>81</v>
      </c>
      <c r="H204" s="167" t="n">
        <v>6293.2</v>
      </c>
      <c r="I204" s="167" t="n">
        <v>0</v>
      </c>
      <c r="J204" s="168">
        <f>IF(AND(N(G204)&gt;0,N(H204)+N(I204)&gt;0),(H204+I204)*U204/G204,"")</f>
        <v/>
      </c>
      <c r="K204" s="167" t="n">
        <v>99.98999999999999</v>
      </c>
      <c r="L204" s="167" t="n">
        <v>72.67</v>
      </c>
      <c r="M204" s="54" t="inlineStr">
        <is>
          <t>Eligible</t>
        </is>
      </c>
      <c r="N204" s="168">
        <f>IF(OR(J204="",L204=""),"",L204-J204)</f>
        <v/>
      </c>
      <c r="O204" s="169">
        <f>IF(OR(J204="",L204=""),"",L204/J204-1)</f>
        <v/>
      </c>
      <c r="P204" s="169">
        <f>IF(OR(J204="",K204=""),"",K204/J204-1)</f>
        <v/>
      </c>
      <c r="Q204" s="54">
        <f>IF(AND(ISNUMBER(J204),ISNUMBER(L204)),1,0)</f>
        <v/>
      </c>
      <c r="R204" s="69">
        <f>IF(Q204=1,G204*L204,0)</f>
        <v/>
      </c>
      <c r="S204" s="69">
        <f>IF(Q204=1,(H204+I204)*U204,0)</f>
        <v/>
      </c>
      <c r="T204" s="59">
        <f>IF(Q204=1,G204,0)</f>
        <v/>
      </c>
      <c r="U204" s="170" t="n">
        <v>1</v>
      </c>
    </row>
    <row r="205">
      <c r="A205" s="54" t="inlineStr">
        <is>
          <t>US DC B6</t>
        </is>
      </c>
      <c r="B205" s="54" t="inlineStr">
        <is>
          <t>US</t>
        </is>
      </c>
      <c r="C205" s="54" t="inlineStr">
        <is>
          <t>B0CQ33K3TL</t>
        </is>
      </c>
      <c r="D205" s="54" t="inlineStr">
        <is>
          <t>BAMBOO-QUEEN-LIGHTGREY-6PCS</t>
        </is>
      </c>
      <c r="E205" s="54" t="inlineStr">
        <is>
          <t>Queen</t>
        </is>
      </c>
      <c r="F205" s="54" t="inlineStr">
        <is>
          <t>Light Grey</t>
        </is>
      </c>
      <c r="G205" s="55" t="n">
        <v>75</v>
      </c>
      <c r="H205" s="167" t="n">
        <v>5511.76</v>
      </c>
      <c r="I205" s="167" t="n">
        <v>0</v>
      </c>
      <c r="J205" s="168">
        <f>IF(AND(N(G205)&gt;0,N(H205)+N(I205)&gt;0),(H205+I205)*U205/G205,"")</f>
        <v/>
      </c>
      <c r="K205" s="167" t="n">
        <v>94.98999999999999</v>
      </c>
      <c r="L205" s="167" t="n">
        <v>64.59</v>
      </c>
      <c r="M205" s="54" t="inlineStr">
        <is>
          <t>Eligible</t>
        </is>
      </c>
      <c r="N205" s="168">
        <f>IF(OR(J205="",L205=""),"",L205-J205)</f>
        <v/>
      </c>
      <c r="O205" s="169">
        <f>IF(OR(J205="",L205=""),"",L205/J205-1)</f>
        <v/>
      </c>
      <c r="P205" s="169">
        <f>IF(OR(J205="",K205=""),"",K205/J205-1)</f>
        <v/>
      </c>
      <c r="Q205" s="54">
        <f>IF(AND(ISNUMBER(J205),ISNUMBER(L205)),1,0)</f>
        <v/>
      </c>
      <c r="R205" s="69">
        <f>IF(Q205=1,G205*L205,0)</f>
        <v/>
      </c>
      <c r="S205" s="69">
        <f>IF(Q205=1,(H205+I205)*U205,0)</f>
        <v/>
      </c>
      <c r="T205" s="59">
        <f>IF(Q205=1,G205,0)</f>
        <v/>
      </c>
      <c r="U205" s="170" t="n">
        <v>1</v>
      </c>
    </row>
    <row r="206">
      <c r="A206" s="54" t="inlineStr">
        <is>
          <t>US DC B6</t>
        </is>
      </c>
      <c r="B206" s="54" t="inlineStr">
        <is>
          <t>US</t>
        </is>
      </c>
      <c r="C206" s="54" t="inlineStr">
        <is>
          <t>B0CQ32NPF5</t>
        </is>
      </c>
      <c r="D206" s="54" t="inlineStr">
        <is>
          <t>BAMBOO-KING-BURGUNDY-6PCS</t>
        </is>
      </c>
      <c r="E206" s="54" t="inlineStr">
        <is>
          <t>King</t>
        </is>
      </c>
      <c r="F206" s="54" t="inlineStr">
        <is>
          <t>Burgundy</t>
        </is>
      </c>
      <c r="G206" s="55" t="n">
        <v>74</v>
      </c>
      <c r="H206" s="167" t="n">
        <v>5887.26</v>
      </c>
      <c r="I206" s="167" t="n">
        <v>0</v>
      </c>
      <c r="J206" s="168">
        <f>IF(AND(N(G206)&gt;0,N(H206)+N(I206)&gt;0),(H206+I206)*U206/G206,"")</f>
        <v/>
      </c>
      <c r="K206" s="167" t="n">
        <v>99.98999999999999</v>
      </c>
      <c r="L206" s="167" t="n">
        <v>80.73999999999999</v>
      </c>
      <c r="M206" s="54" t="inlineStr">
        <is>
          <t>Eligible</t>
        </is>
      </c>
      <c r="N206" s="168">
        <f>IF(OR(J206="",L206=""),"",L206-J206)</f>
        <v/>
      </c>
      <c r="O206" s="169">
        <f>IF(OR(J206="",L206=""),"",L206/J206-1)</f>
        <v/>
      </c>
      <c r="P206" s="169">
        <f>IF(OR(J206="",K206=""),"",K206/J206-1)</f>
        <v/>
      </c>
      <c r="Q206" s="54">
        <f>IF(AND(ISNUMBER(J206),ISNUMBER(L206)),1,0)</f>
        <v/>
      </c>
      <c r="R206" s="69">
        <f>IF(Q206=1,G206*L206,0)</f>
        <v/>
      </c>
      <c r="S206" s="69">
        <f>IF(Q206=1,(H206+I206)*U206,0)</f>
        <v/>
      </c>
      <c r="T206" s="59">
        <f>IF(Q206=1,G206,0)</f>
        <v/>
      </c>
      <c r="U206" s="170" t="n">
        <v>1</v>
      </c>
    </row>
    <row r="207">
      <c r="A207" s="54" t="inlineStr">
        <is>
          <t>US DC B6</t>
        </is>
      </c>
      <c r="B207" s="54" t="inlineStr">
        <is>
          <t>US</t>
        </is>
      </c>
      <c r="C207" s="54" t="inlineStr">
        <is>
          <t>B0CQ319J1Z</t>
        </is>
      </c>
      <c r="D207" s="54" t="inlineStr">
        <is>
          <t>BAMBOO-KING-MIDGREY-6PCS</t>
        </is>
      </c>
      <c r="E207" s="54" t="inlineStr">
        <is>
          <t>King</t>
        </is>
      </c>
      <c r="F207" s="54" t="inlineStr">
        <is>
          <t>Midgrey</t>
        </is>
      </c>
      <c r="G207" s="55" t="n">
        <v>72</v>
      </c>
      <c r="H207" s="167" t="n">
        <v>5759.28</v>
      </c>
      <c r="I207" s="167" t="n">
        <v>0</v>
      </c>
      <c r="J207" s="168">
        <f>IF(AND(N(G207)&gt;0,N(H207)+N(I207)&gt;0),(H207+I207)*U207/G207,"")</f>
        <v/>
      </c>
      <c r="K207" s="167" t="n">
        <v>99.98999999999999</v>
      </c>
      <c r="L207" s="167" t="n">
        <v>72.67</v>
      </c>
      <c r="M207" s="54" t="inlineStr">
        <is>
          <t>Eligible</t>
        </is>
      </c>
      <c r="N207" s="168">
        <f>IF(OR(J207="",L207=""),"",L207-J207)</f>
        <v/>
      </c>
      <c r="O207" s="169">
        <f>IF(OR(J207="",L207=""),"",L207/J207-1)</f>
        <v/>
      </c>
      <c r="P207" s="169">
        <f>IF(OR(J207="",K207=""),"",K207/J207-1)</f>
        <v/>
      </c>
      <c r="Q207" s="54">
        <f>IF(AND(ISNUMBER(J207),ISNUMBER(L207)),1,0)</f>
        <v/>
      </c>
      <c r="R207" s="69">
        <f>IF(Q207=1,G207*L207,0)</f>
        <v/>
      </c>
      <c r="S207" s="69">
        <f>IF(Q207=1,(H207+I207)*U207,0)</f>
        <v/>
      </c>
      <c r="T207" s="59">
        <f>IF(Q207=1,G207,0)</f>
        <v/>
      </c>
      <c r="U207" s="170" t="n">
        <v>1</v>
      </c>
    </row>
    <row r="208">
      <c r="A208" s="54" t="inlineStr">
        <is>
          <t>US DC B6</t>
        </is>
      </c>
      <c r="B208" s="54" t="inlineStr">
        <is>
          <t>US</t>
        </is>
      </c>
      <c r="C208" s="54" t="inlineStr">
        <is>
          <t>B0CQ31FR3Y</t>
        </is>
      </c>
      <c r="D208" s="54" t="inlineStr">
        <is>
          <t>BAMBOO-QUEEN-MIDGREY-6PCS</t>
        </is>
      </c>
      <c r="E208" s="54" t="inlineStr">
        <is>
          <t>Queen</t>
        </is>
      </c>
      <c r="F208" s="54" t="inlineStr">
        <is>
          <t>Midgrey</t>
        </is>
      </c>
      <c r="G208" s="55" t="n">
        <v>71</v>
      </c>
      <c r="H208" s="167" t="n">
        <v>5058.04</v>
      </c>
      <c r="I208" s="167" t="n">
        <v>0</v>
      </c>
      <c r="J208" s="168">
        <f>IF(AND(N(G208)&gt;0,N(H208)+N(I208)&gt;0),(H208+I208)*U208/G208,"")</f>
        <v/>
      </c>
      <c r="K208" s="167" t="n">
        <v>94.98999999999999</v>
      </c>
      <c r="L208" s="167" t="n">
        <v>71.23999999999999</v>
      </c>
      <c r="M208" s="54" t="inlineStr">
        <is>
          <t>Eligible</t>
        </is>
      </c>
      <c r="N208" s="168">
        <f>IF(OR(J208="",L208=""),"",L208-J208)</f>
        <v/>
      </c>
      <c r="O208" s="169">
        <f>IF(OR(J208="",L208=""),"",L208/J208-1)</f>
        <v/>
      </c>
      <c r="P208" s="169">
        <f>IF(OR(J208="",K208=""),"",K208/J208-1)</f>
        <v/>
      </c>
      <c r="Q208" s="54">
        <f>IF(AND(ISNUMBER(J208),ISNUMBER(L208)),1,0)</f>
        <v/>
      </c>
      <c r="R208" s="69">
        <f>IF(Q208=1,G208*L208,0)</f>
        <v/>
      </c>
      <c r="S208" s="69">
        <f>IF(Q208=1,(H208+I208)*U208,0)</f>
        <v/>
      </c>
      <c r="T208" s="59">
        <f>IF(Q208=1,G208,0)</f>
        <v/>
      </c>
      <c r="U208" s="170" t="n">
        <v>1</v>
      </c>
    </row>
    <row r="209">
      <c r="A209" s="54" t="inlineStr">
        <is>
          <t>US DC B6</t>
        </is>
      </c>
      <c r="B209" s="54" t="inlineStr">
        <is>
          <t>US</t>
        </is>
      </c>
      <c r="C209" s="54" t="inlineStr">
        <is>
          <t>B0CQ3CDRTN</t>
        </is>
      </c>
      <c r="D209" s="54" t="inlineStr">
        <is>
          <t>BAMBOO-QUEEN-SAGE GREEN-6PCS</t>
        </is>
      </c>
      <c r="E209" s="54" t="inlineStr">
        <is>
          <t>Queen</t>
        </is>
      </c>
      <c r="F209" s="54" t="inlineStr">
        <is>
          <t>Sage Green</t>
        </is>
      </c>
      <c r="G209" s="55" t="n">
        <v>68</v>
      </c>
      <c r="H209" s="167" t="n">
        <v>4788.08</v>
      </c>
      <c r="I209" s="167" t="n">
        <v>0</v>
      </c>
      <c r="J209" s="168">
        <f>IF(AND(N(G209)&gt;0,N(H209)+N(I209)&gt;0),(H209+I209)*U209/G209,"")</f>
        <v/>
      </c>
      <c r="K209" s="167" t="n">
        <v>94.98999999999999</v>
      </c>
      <c r="L209" s="167" t="n">
        <v>64.59</v>
      </c>
      <c r="M209" s="54" t="inlineStr">
        <is>
          <t>Eligible</t>
        </is>
      </c>
      <c r="N209" s="168">
        <f>IF(OR(J209="",L209=""),"",L209-J209)</f>
        <v/>
      </c>
      <c r="O209" s="169">
        <f>IF(OR(J209="",L209=""),"",L209/J209-1)</f>
        <v/>
      </c>
      <c r="P209" s="169">
        <f>IF(OR(J209="",K209=""),"",K209/J209-1)</f>
        <v/>
      </c>
      <c r="Q209" s="54">
        <f>IF(AND(ISNUMBER(J209),ISNUMBER(L209)),1,0)</f>
        <v/>
      </c>
      <c r="R209" s="69">
        <f>IF(Q209=1,G209*L209,0)</f>
        <v/>
      </c>
      <c r="S209" s="69">
        <f>IF(Q209=1,(H209+I209)*U209,0)</f>
        <v/>
      </c>
      <c r="T209" s="59">
        <f>IF(Q209=1,G209,0)</f>
        <v/>
      </c>
      <c r="U209" s="170" t="n">
        <v>1</v>
      </c>
    </row>
    <row r="210">
      <c r="A210" s="54" t="inlineStr">
        <is>
          <t>US DC B6</t>
        </is>
      </c>
      <c r="B210" s="54" t="inlineStr">
        <is>
          <t>US</t>
        </is>
      </c>
      <c r="C210" s="54" t="inlineStr">
        <is>
          <t>B0CQ2ZZ9QN</t>
        </is>
      </c>
      <c r="D210" s="54" t="inlineStr">
        <is>
          <t>BAMBOO-KING-SAGE GREEN-6PCS</t>
        </is>
      </c>
      <c r="E210" s="54" t="inlineStr">
        <is>
          <t>King</t>
        </is>
      </c>
      <c r="F210" s="54" t="inlineStr">
        <is>
          <t>Sage Green</t>
        </is>
      </c>
      <c r="G210" s="55" t="n">
        <v>67</v>
      </c>
      <c r="H210" s="167" t="n">
        <v>5187.33</v>
      </c>
      <c r="I210" s="167" t="n">
        <v>0</v>
      </c>
      <c r="J210" s="168">
        <f>IF(AND(N(G210)&gt;0,N(H210)+N(I210)&gt;0),(H210+I210)*U210/G210,"")</f>
        <v/>
      </c>
      <c r="K210" s="167" t="n">
        <v>99.98999999999999</v>
      </c>
      <c r="L210" s="167" t="n">
        <v>76.7</v>
      </c>
      <c r="M210" s="54" t="inlineStr">
        <is>
          <t>Eligible</t>
        </is>
      </c>
      <c r="N210" s="168">
        <f>IF(OR(J210="",L210=""),"",L210-J210)</f>
        <v/>
      </c>
      <c r="O210" s="169">
        <f>IF(OR(J210="",L210=""),"",L210/J210-1)</f>
        <v/>
      </c>
      <c r="P210" s="169">
        <f>IF(OR(J210="",K210=""),"",K210/J210-1)</f>
        <v/>
      </c>
      <c r="Q210" s="54">
        <f>IF(AND(ISNUMBER(J210),ISNUMBER(L210)),1,0)</f>
        <v/>
      </c>
      <c r="R210" s="69">
        <f>IF(Q210=1,G210*L210,0)</f>
        <v/>
      </c>
      <c r="S210" s="69">
        <f>IF(Q210=1,(H210+I210)*U210,0)</f>
        <v/>
      </c>
      <c r="T210" s="59">
        <f>IF(Q210=1,G210,0)</f>
        <v/>
      </c>
      <c r="U210" s="170" t="n">
        <v>1</v>
      </c>
    </row>
    <row r="211">
      <c r="A211" s="54" t="inlineStr">
        <is>
          <t>US DC B6</t>
        </is>
      </c>
      <c r="B211" s="54" t="inlineStr">
        <is>
          <t>US</t>
        </is>
      </c>
      <c r="C211" s="54" t="inlineStr">
        <is>
          <t>B0CQ2YDPDS</t>
        </is>
      </c>
      <c r="D211" s="54" t="inlineStr">
        <is>
          <t>BAMBOO-KING-OLIVE-6PCS</t>
        </is>
      </c>
      <c r="E211" s="54" t="inlineStr">
        <is>
          <t>King</t>
        </is>
      </c>
      <c r="F211" s="54" t="inlineStr">
        <is>
          <t>Olive</t>
        </is>
      </c>
      <c r="G211" s="55" t="n">
        <v>66</v>
      </c>
      <c r="H211" s="167" t="n">
        <v>5015.34</v>
      </c>
      <c r="I211" s="167" t="n">
        <v>0</v>
      </c>
      <c r="J211" s="168">
        <f>IF(AND(N(G211)&gt;0,N(H211)+N(I211)&gt;0),(H211+I211)*U211/G211,"")</f>
        <v/>
      </c>
      <c r="K211" s="167" t="n">
        <v>99.98999999999999</v>
      </c>
      <c r="L211" s="167" t="n">
        <v>80.73999999999999</v>
      </c>
      <c r="M211" s="54" t="inlineStr">
        <is>
          <t>Eligible</t>
        </is>
      </c>
      <c r="N211" s="168">
        <f>IF(OR(J211="",L211=""),"",L211-J211)</f>
        <v/>
      </c>
      <c r="O211" s="169">
        <f>IF(OR(J211="",L211=""),"",L211/J211-1)</f>
        <v/>
      </c>
      <c r="P211" s="169">
        <f>IF(OR(J211="",K211=""),"",K211/J211-1)</f>
        <v/>
      </c>
      <c r="Q211" s="54">
        <f>IF(AND(ISNUMBER(J211),ISNUMBER(L211)),1,0)</f>
        <v/>
      </c>
      <c r="R211" s="69">
        <f>IF(Q211=1,G211*L211,0)</f>
        <v/>
      </c>
      <c r="S211" s="69">
        <f>IF(Q211=1,(H211+I211)*U211,0)</f>
        <v/>
      </c>
      <c r="T211" s="59">
        <f>IF(Q211=1,G211,0)</f>
        <v/>
      </c>
      <c r="U211" s="170" t="n">
        <v>1</v>
      </c>
    </row>
    <row r="212">
      <c r="A212" s="54" t="inlineStr">
        <is>
          <t>US DC B6</t>
        </is>
      </c>
      <c r="B212" s="54" t="inlineStr">
        <is>
          <t>US</t>
        </is>
      </c>
      <c r="C212" s="54" t="inlineStr">
        <is>
          <t>B0CQ32F3HY</t>
        </is>
      </c>
      <c r="D212" s="54" t="inlineStr">
        <is>
          <t>BAMBOO-QUEEN-LIGHTBLUE-6PCS</t>
        </is>
      </c>
      <c r="E212" s="54" t="inlineStr">
        <is>
          <t>Queen</t>
        </is>
      </c>
      <c r="F212" s="54" t="inlineStr">
        <is>
          <t>Light Blue</t>
        </is>
      </c>
      <c r="G212" s="55" t="n">
        <v>57</v>
      </c>
      <c r="H212" s="167" t="n">
        <v>4215.68</v>
      </c>
      <c r="I212" s="167" t="n">
        <v>0</v>
      </c>
      <c r="J212" s="168">
        <f>IF(AND(N(G212)&gt;0,N(H212)+N(I212)&gt;0),(H212+I212)*U212/G212,"")</f>
        <v/>
      </c>
      <c r="K212" s="167" t="n">
        <v>94.98999999999999</v>
      </c>
      <c r="L212" s="167" t="n">
        <v>68.39</v>
      </c>
      <c r="M212" s="54" t="inlineStr">
        <is>
          <t>Eligible</t>
        </is>
      </c>
      <c r="N212" s="168">
        <f>IF(OR(J212="",L212=""),"",L212-J212)</f>
        <v/>
      </c>
      <c r="O212" s="169">
        <f>IF(OR(J212="",L212=""),"",L212/J212-1)</f>
        <v/>
      </c>
      <c r="P212" s="169">
        <f>IF(OR(J212="",K212=""),"",K212/J212-1)</f>
        <v/>
      </c>
      <c r="Q212" s="54">
        <f>IF(AND(ISNUMBER(J212),ISNUMBER(L212)),1,0)</f>
        <v/>
      </c>
      <c r="R212" s="69">
        <f>IF(Q212=1,G212*L212,0)</f>
        <v/>
      </c>
      <c r="S212" s="69">
        <f>IF(Q212=1,(H212+I212)*U212,0)</f>
        <v/>
      </c>
      <c r="T212" s="59">
        <f>IF(Q212=1,G212,0)</f>
        <v/>
      </c>
      <c r="U212" s="170" t="n">
        <v>1</v>
      </c>
    </row>
    <row r="213">
      <c r="A213" s="54" t="inlineStr">
        <is>
          <t>US DC B6</t>
        </is>
      </c>
      <c r="B213" s="54" t="inlineStr">
        <is>
          <t>US</t>
        </is>
      </c>
      <c r="C213" s="54" t="inlineStr">
        <is>
          <t>B0CQ31Q559</t>
        </is>
      </c>
      <c r="D213" s="54" t="inlineStr">
        <is>
          <t>BAMBOO-FULL-WHITE-6PCS</t>
        </is>
      </c>
      <c r="E213" s="54" t="inlineStr">
        <is>
          <t>Full</t>
        </is>
      </c>
      <c r="F213" s="54" t="inlineStr">
        <is>
          <t>White</t>
        </is>
      </c>
      <c r="G213" s="55" t="n">
        <v>50</v>
      </c>
      <c r="H213" s="167" t="n">
        <v>3324.5</v>
      </c>
      <c r="I213" s="167" t="n">
        <v>0</v>
      </c>
      <c r="J213" s="168">
        <f>IF(AND(N(G213)&gt;0,N(H213)+N(I213)&gt;0),(H213+I213)*U213/G213,"")</f>
        <v/>
      </c>
      <c r="K213" s="167" t="n">
        <v>74.98999999999999</v>
      </c>
      <c r="L213" s="167" t="n">
        <v>56.52</v>
      </c>
      <c r="M213" s="54" t="inlineStr">
        <is>
          <t>Eligible</t>
        </is>
      </c>
      <c r="N213" s="168">
        <f>IF(OR(J213="",L213=""),"",L213-J213)</f>
        <v/>
      </c>
      <c r="O213" s="169">
        <f>IF(OR(J213="",L213=""),"",L213/J213-1)</f>
        <v/>
      </c>
      <c r="P213" s="169">
        <f>IF(OR(J213="",K213=""),"",K213/J213-1)</f>
        <v/>
      </c>
      <c r="Q213" s="54">
        <f>IF(AND(ISNUMBER(J213),ISNUMBER(L213)),1,0)</f>
        <v/>
      </c>
      <c r="R213" s="69">
        <f>IF(Q213=1,G213*L213,0)</f>
        <v/>
      </c>
      <c r="S213" s="69">
        <f>IF(Q213=1,(H213+I213)*U213,0)</f>
        <v/>
      </c>
      <c r="T213" s="59">
        <f>IF(Q213=1,G213,0)</f>
        <v/>
      </c>
      <c r="U213" s="170" t="n">
        <v>1</v>
      </c>
    </row>
    <row r="214">
      <c r="A214" s="54" t="inlineStr">
        <is>
          <t>US DC B6</t>
        </is>
      </c>
      <c r="B214" s="54" t="inlineStr">
        <is>
          <t>US</t>
        </is>
      </c>
      <c r="C214" s="54" t="inlineStr">
        <is>
          <t>B0CQ31PZ8Q</t>
        </is>
      </c>
      <c r="D214" s="54" t="inlineStr">
        <is>
          <t>BAMBOO-QUEEN-LIGHT PINK-6PCS</t>
        </is>
      </c>
      <c r="E214" s="54" t="inlineStr">
        <is>
          <t>Queen</t>
        </is>
      </c>
      <c r="F214" s="54" t="inlineStr">
        <is>
          <t>Light Pink</t>
        </is>
      </c>
      <c r="G214" s="55" t="n">
        <v>49</v>
      </c>
      <c r="H214" s="167" t="n">
        <v>3490.76</v>
      </c>
      <c r="I214" s="167" t="n">
        <v>0</v>
      </c>
      <c r="J214" s="168">
        <f>IF(AND(N(G214)&gt;0,N(H214)+N(I214)&gt;0),(H214+I214)*U214/G214,"")</f>
        <v/>
      </c>
      <c r="K214" s="167" t="n">
        <v>94.98999999999999</v>
      </c>
      <c r="L214" s="167" t="n">
        <v>80.73999999999999</v>
      </c>
      <c r="M214" s="54" t="inlineStr">
        <is>
          <t>Eligible</t>
        </is>
      </c>
      <c r="N214" s="168">
        <f>IF(OR(J214="",L214=""),"",L214-J214)</f>
        <v/>
      </c>
      <c r="O214" s="169">
        <f>IF(OR(J214="",L214=""),"",L214/J214-1)</f>
        <v/>
      </c>
      <c r="P214" s="169">
        <f>IF(OR(J214="",K214=""),"",K214/J214-1)</f>
        <v/>
      </c>
      <c r="Q214" s="54">
        <f>IF(AND(ISNUMBER(J214),ISNUMBER(L214)),1,0)</f>
        <v/>
      </c>
      <c r="R214" s="69">
        <f>IF(Q214=1,G214*L214,0)</f>
        <v/>
      </c>
      <c r="S214" s="69">
        <f>IF(Q214=1,(H214+I214)*U214,0)</f>
        <v/>
      </c>
      <c r="T214" s="59">
        <f>IF(Q214=1,G214,0)</f>
        <v/>
      </c>
      <c r="U214" s="170" t="n">
        <v>1</v>
      </c>
    </row>
    <row r="215">
      <c r="A215" s="54" t="inlineStr">
        <is>
          <t>US DC B6</t>
        </is>
      </c>
      <c r="B215" s="54" t="inlineStr">
        <is>
          <t>US</t>
        </is>
      </c>
      <c r="C215" s="54" t="inlineStr">
        <is>
          <t>B0CQ2ZZW88</t>
        </is>
      </c>
      <c r="D215" s="54" t="inlineStr">
        <is>
          <t>BAMBOO-KING-CHARCOAL-6PCS</t>
        </is>
      </c>
      <c r="E215" s="54" t="inlineStr">
        <is>
          <t>King</t>
        </is>
      </c>
      <c r="F215" s="54" t="inlineStr">
        <is>
          <t>Charcoal</t>
        </is>
      </c>
      <c r="G215" s="55" t="n">
        <v>45</v>
      </c>
      <c r="H215" s="167" t="n">
        <v>3529.55</v>
      </c>
      <c r="I215" s="167" t="n">
        <v>0</v>
      </c>
      <c r="J215" s="168">
        <f>IF(AND(N(G215)&gt;0,N(H215)+N(I215)&gt;0),(H215+I215)*U215/G215,"")</f>
        <v/>
      </c>
      <c r="K215" s="167" t="n">
        <v>99.98999999999999</v>
      </c>
      <c r="L215" s="167" t="n">
        <v>68.63</v>
      </c>
      <c r="M215" s="54" t="inlineStr">
        <is>
          <t>Eligible</t>
        </is>
      </c>
      <c r="N215" s="168">
        <f>IF(OR(J215="",L215=""),"",L215-J215)</f>
        <v/>
      </c>
      <c r="O215" s="169">
        <f>IF(OR(J215="",L215=""),"",L215/J215-1)</f>
        <v/>
      </c>
      <c r="P215" s="169">
        <f>IF(OR(J215="",K215=""),"",K215/J215-1)</f>
        <v/>
      </c>
      <c r="Q215" s="54">
        <f>IF(AND(ISNUMBER(J215),ISNUMBER(L215)),1,0)</f>
        <v/>
      </c>
      <c r="R215" s="69">
        <f>IF(Q215=1,G215*L215,0)</f>
        <v/>
      </c>
      <c r="S215" s="69">
        <f>IF(Q215=1,(H215+I215)*U215,0)</f>
        <v/>
      </c>
      <c r="T215" s="59">
        <f>IF(Q215=1,G215,0)</f>
        <v/>
      </c>
      <c r="U215" s="170" t="n">
        <v>1</v>
      </c>
    </row>
    <row r="216">
      <c r="A216" s="54" t="inlineStr">
        <is>
          <t>US DC B6</t>
        </is>
      </c>
      <c r="B216" s="54" t="inlineStr">
        <is>
          <t>US</t>
        </is>
      </c>
      <c r="C216" s="54" t="inlineStr">
        <is>
          <t>B0CQ32B24Y</t>
        </is>
      </c>
      <c r="D216" s="54" t="inlineStr">
        <is>
          <t>BAMBOO-QUEEN-OLIVE-6PCS</t>
        </is>
      </c>
      <c r="E216" s="54" t="inlineStr">
        <is>
          <t>Queen</t>
        </is>
      </c>
      <c r="F216" s="54" t="inlineStr">
        <is>
          <t>Olive</t>
        </is>
      </c>
      <c r="G216" s="55" t="n">
        <v>45</v>
      </c>
      <c r="H216" s="167" t="n">
        <v>3205.8</v>
      </c>
      <c r="I216" s="167" t="n">
        <v>0</v>
      </c>
      <c r="J216" s="168">
        <f>IF(AND(N(G216)&gt;0,N(H216)+N(I216)&gt;0),(H216+I216)*U216/G216,"")</f>
        <v/>
      </c>
      <c r="K216" s="167" t="n">
        <v>94.98999999999999</v>
      </c>
      <c r="L216" s="167" t="n">
        <v>64.59</v>
      </c>
      <c r="M216" s="54" t="inlineStr">
        <is>
          <t>Eligible</t>
        </is>
      </c>
      <c r="N216" s="168">
        <f>IF(OR(J216="",L216=""),"",L216-J216)</f>
        <v/>
      </c>
      <c r="O216" s="169">
        <f>IF(OR(J216="",L216=""),"",L216/J216-1)</f>
        <v/>
      </c>
      <c r="P216" s="169">
        <f>IF(OR(J216="",K216=""),"",K216/J216-1)</f>
        <v/>
      </c>
      <c r="Q216" s="54">
        <f>IF(AND(ISNUMBER(J216),ISNUMBER(L216)),1,0)</f>
        <v/>
      </c>
      <c r="R216" s="69">
        <f>IF(Q216=1,G216*L216,0)</f>
        <v/>
      </c>
      <c r="S216" s="69">
        <f>IF(Q216=1,(H216+I216)*U216,0)</f>
        <v/>
      </c>
      <c r="T216" s="59">
        <f>IF(Q216=1,G216,0)</f>
        <v/>
      </c>
      <c r="U216" s="170" t="n">
        <v>1</v>
      </c>
    </row>
    <row r="217">
      <c r="A217" s="54" t="inlineStr">
        <is>
          <t>US DC B6</t>
        </is>
      </c>
      <c r="B217" s="54" t="inlineStr">
        <is>
          <t>US</t>
        </is>
      </c>
      <c r="C217" s="54" t="inlineStr">
        <is>
          <t>B0CQ33C286</t>
        </is>
      </c>
      <c r="D217" s="54" t="inlineStr">
        <is>
          <t>BAMBOO-QUEEN-CHARCOAL-6PCS</t>
        </is>
      </c>
      <c r="E217" s="54" t="inlineStr">
        <is>
          <t>Queen</t>
        </is>
      </c>
      <c r="F217" s="54" t="inlineStr">
        <is>
          <t>Charcoal</t>
        </is>
      </c>
      <c r="G217" s="55" t="n">
        <v>44</v>
      </c>
      <c r="H217" s="167" t="n">
        <v>3134.56</v>
      </c>
      <c r="I217" s="167" t="n">
        <v>0</v>
      </c>
      <c r="J217" s="168">
        <f>IF(AND(N(G217)&gt;0,N(H217)+N(I217)&gt;0),(H217+I217)*U217/G217,"")</f>
        <v/>
      </c>
      <c r="K217" s="167" t="n">
        <v>94.98999999999999</v>
      </c>
      <c r="L217" s="167" t="n">
        <v>68.63</v>
      </c>
      <c r="M217" s="54" t="inlineStr">
        <is>
          <t>Eligible</t>
        </is>
      </c>
      <c r="N217" s="168">
        <f>IF(OR(J217="",L217=""),"",L217-J217)</f>
        <v/>
      </c>
      <c r="O217" s="169">
        <f>IF(OR(J217="",L217=""),"",L217/J217-1)</f>
        <v/>
      </c>
      <c r="P217" s="169">
        <f>IF(OR(J217="",K217=""),"",K217/J217-1)</f>
        <v/>
      </c>
      <c r="Q217" s="54">
        <f>IF(AND(ISNUMBER(J217),ISNUMBER(L217)),1,0)</f>
        <v/>
      </c>
      <c r="R217" s="69">
        <f>IF(Q217=1,G217*L217,0)</f>
        <v/>
      </c>
      <c r="S217" s="69">
        <f>IF(Q217=1,(H217+I217)*U217,0)</f>
        <v/>
      </c>
      <c r="T217" s="59">
        <f>IF(Q217=1,G217,0)</f>
        <v/>
      </c>
      <c r="U217" s="170" t="n">
        <v>1</v>
      </c>
    </row>
    <row r="218">
      <c r="A218" s="54" t="inlineStr">
        <is>
          <t>US DC B6</t>
        </is>
      </c>
      <c r="B218" s="54" t="inlineStr">
        <is>
          <t>US</t>
        </is>
      </c>
      <c r="C218" s="54" t="inlineStr">
        <is>
          <t>B0CQ31XHCV</t>
        </is>
      </c>
      <c r="D218" s="54" t="inlineStr">
        <is>
          <t>BAMBOO-QUEEN-GREY-6PCS</t>
        </is>
      </c>
      <c r="E218" s="54" t="inlineStr">
        <is>
          <t>Queen</t>
        </is>
      </c>
      <c r="F218" s="54" t="inlineStr">
        <is>
          <t>Grey</t>
        </is>
      </c>
      <c r="G218" s="55" t="n">
        <v>43</v>
      </c>
      <c r="H218" s="167" t="n">
        <v>3179.57</v>
      </c>
      <c r="I218" s="167" t="n">
        <v>0</v>
      </c>
      <c r="J218" s="168">
        <f>IF(AND(N(G218)&gt;0,N(H218)+N(I218)&gt;0),(H218+I218)*U218/G218,"")</f>
        <v/>
      </c>
      <c r="K218" s="167" t="n">
        <v>94.98999999999999</v>
      </c>
      <c r="L218" s="167" t="n">
        <v>68.63</v>
      </c>
      <c r="M218" s="54" t="inlineStr">
        <is>
          <t>Eligible</t>
        </is>
      </c>
      <c r="N218" s="168">
        <f>IF(OR(J218="",L218=""),"",L218-J218)</f>
        <v/>
      </c>
      <c r="O218" s="169">
        <f>IF(OR(J218="",L218=""),"",L218/J218-1)</f>
        <v/>
      </c>
      <c r="P218" s="169">
        <f>IF(OR(J218="",K218=""),"",K218/J218-1)</f>
        <v/>
      </c>
      <c r="Q218" s="54">
        <f>IF(AND(ISNUMBER(J218),ISNUMBER(L218)),1,0)</f>
        <v/>
      </c>
      <c r="R218" s="69">
        <f>IF(Q218=1,G218*L218,0)</f>
        <v/>
      </c>
      <c r="S218" s="69">
        <f>IF(Q218=1,(H218+I218)*U218,0)</f>
        <v/>
      </c>
      <c r="T218" s="59">
        <f>IF(Q218=1,G218,0)</f>
        <v/>
      </c>
      <c r="U218" s="170" t="n">
        <v>1</v>
      </c>
    </row>
    <row r="219">
      <c r="A219" s="54" t="inlineStr">
        <is>
          <t>US DC B6</t>
        </is>
      </c>
      <c r="B219" s="54" t="inlineStr">
        <is>
          <t>US</t>
        </is>
      </c>
      <c r="C219" s="54" t="inlineStr">
        <is>
          <t>B0CQ2ZYZJT</t>
        </is>
      </c>
      <c r="D219" s="54" t="inlineStr">
        <is>
          <t>BAMBOO-CALIFKING-WHITE-6PCS</t>
        </is>
      </c>
      <c r="E219" s="54" t="inlineStr">
        <is>
          <t>California King</t>
        </is>
      </c>
      <c r="F219" s="54" t="inlineStr">
        <is>
          <t>White</t>
        </is>
      </c>
      <c r="G219" s="55" t="n">
        <v>40</v>
      </c>
      <c r="H219" s="167" t="n">
        <v>3163.6</v>
      </c>
      <c r="I219" s="167" t="n">
        <v>0</v>
      </c>
      <c r="J219" s="168">
        <f>IF(AND(N(G219)&gt;0,N(H219)+N(I219)&gt;0),(H219+I219)*U219/G219,"")</f>
        <v/>
      </c>
      <c r="K219" s="167" t="n">
        <v>94.98999999999999</v>
      </c>
      <c r="L219" s="167" t="n">
        <v>72.67</v>
      </c>
      <c r="M219" s="54" t="inlineStr">
        <is>
          <t>Eligible</t>
        </is>
      </c>
      <c r="N219" s="168">
        <f>IF(OR(J219="",L219=""),"",L219-J219)</f>
        <v/>
      </c>
      <c r="O219" s="169">
        <f>IF(OR(J219="",L219=""),"",L219/J219-1)</f>
        <v/>
      </c>
      <c r="P219" s="169">
        <f>IF(OR(J219="",K219=""),"",K219/J219-1)</f>
        <v/>
      </c>
      <c r="Q219" s="54">
        <f>IF(AND(ISNUMBER(J219),ISNUMBER(L219)),1,0)</f>
        <v/>
      </c>
      <c r="R219" s="69">
        <f>IF(Q219=1,G219*L219,0)</f>
        <v/>
      </c>
      <c r="S219" s="69">
        <f>IF(Q219=1,(H219+I219)*U219,0)</f>
        <v/>
      </c>
      <c r="T219" s="59">
        <f>IF(Q219=1,G219,0)</f>
        <v/>
      </c>
      <c r="U219" s="170" t="n">
        <v>1</v>
      </c>
    </row>
    <row r="220">
      <c r="A220" s="54" t="inlineStr">
        <is>
          <t>US DC B6</t>
        </is>
      </c>
      <c r="B220" s="54" t="inlineStr">
        <is>
          <t>US</t>
        </is>
      </c>
      <c r="C220" s="54" t="inlineStr">
        <is>
          <t>B0CQ328N9Z</t>
        </is>
      </c>
      <c r="D220" s="54" t="inlineStr">
        <is>
          <t>BAMBOO-KING-PURPLE-6PCS</t>
        </is>
      </c>
      <c r="E220" s="54" t="inlineStr">
        <is>
          <t>King</t>
        </is>
      </c>
      <c r="F220" s="54" t="inlineStr">
        <is>
          <t>Purple</t>
        </is>
      </c>
      <c r="G220" s="55" t="n">
        <v>39</v>
      </c>
      <c r="H220" s="167" t="n">
        <v>2963.61</v>
      </c>
      <c r="I220" s="167" t="n">
        <v>0</v>
      </c>
      <c r="J220" s="168">
        <f>IF(AND(N(G220)&gt;0,N(H220)+N(I220)&gt;0),(H220+I220)*U220/G220,"")</f>
        <v/>
      </c>
      <c r="K220" s="167" t="n">
        <v>99.98999999999999</v>
      </c>
      <c r="L220" s="167" t="n">
        <v>61.36</v>
      </c>
      <c r="M220" s="54" t="inlineStr">
        <is>
          <t>Eligible</t>
        </is>
      </c>
      <c r="N220" s="168">
        <f>IF(OR(J220="",L220=""),"",L220-J220)</f>
        <v/>
      </c>
      <c r="O220" s="169">
        <f>IF(OR(J220="",L220=""),"",L220/J220-1)</f>
        <v/>
      </c>
      <c r="P220" s="169">
        <f>IF(OR(J220="",K220=""),"",K220/J220-1)</f>
        <v/>
      </c>
      <c r="Q220" s="54">
        <f>IF(AND(ISNUMBER(J220),ISNUMBER(L220)),1,0)</f>
        <v/>
      </c>
      <c r="R220" s="69">
        <f>IF(Q220=1,G220*L220,0)</f>
        <v/>
      </c>
      <c r="S220" s="69">
        <f>IF(Q220=1,(H220+I220)*U220,0)</f>
        <v/>
      </c>
      <c r="T220" s="59">
        <f>IF(Q220=1,G220,0)</f>
        <v/>
      </c>
      <c r="U220" s="170" t="n">
        <v>1</v>
      </c>
    </row>
    <row r="221">
      <c r="A221" s="54" t="inlineStr">
        <is>
          <t>US DC B6</t>
        </is>
      </c>
      <c r="B221" s="54" t="inlineStr">
        <is>
          <t>US</t>
        </is>
      </c>
      <c r="C221" s="54" t="inlineStr">
        <is>
          <t>B0CQ31CZTJ</t>
        </is>
      </c>
      <c r="D221" s="54" t="inlineStr">
        <is>
          <t>BAMBOO-QUEEN-BLACK-6PCS</t>
        </is>
      </c>
      <c r="E221" s="54" t="inlineStr">
        <is>
          <t>Queen</t>
        </is>
      </c>
      <c r="F221" s="54" t="inlineStr">
        <is>
          <t>Black</t>
        </is>
      </c>
      <c r="G221" s="55" t="n">
        <v>39</v>
      </c>
      <c r="H221" s="167" t="n">
        <v>2883.36</v>
      </c>
      <c r="I221" s="167" t="n">
        <v>0</v>
      </c>
      <c r="J221" s="168">
        <f>IF(AND(N(G221)&gt;0,N(H221)+N(I221)&gt;0),(H221+I221)*U221/G221,"")</f>
        <v/>
      </c>
      <c r="K221" s="167" t="n">
        <v>94.98999999999999</v>
      </c>
      <c r="L221" s="167" t="n">
        <v>79.98999999999999</v>
      </c>
      <c r="M221" s="54" t="inlineStr">
        <is>
          <t>Eligible</t>
        </is>
      </c>
      <c r="N221" s="168">
        <f>IF(OR(J221="",L221=""),"",L221-J221)</f>
        <v/>
      </c>
      <c r="O221" s="169">
        <f>IF(OR(J221="",L221=""),"",L221/J221-1)</f>
        <v/>
      </c>
      <c r="P221" s="169">
        <f>IF(OR(J221="",K221=""),"",K221/J221-1)</f>
        <v/>
      </c>
      <c r="Q221" s="54">
        <f>IF(AND(ISNUMBER(J221),ISNUMBER(L221)),1,0)</f>
        <v/>
      </c>
      <c r="R221" s="69">
        <f>IF(Q221=1,G221*L221,0)</f>
        <v/>
      </c>
      <c r="S221" s="69">
        <f>IF(Q221=1,(H221+I221)*U221,0)</f>
        <v/>
      </c>
      <c r="T221" s="59">
        <f>IF(Q221=1,G221,0)</f>
        <v/>
      </c>
      <c r="U221" s="170" t="n">
        <v>1</v>
      </c>
    </row>
    <row r="222">
      <c r="A222" s="54" t="inlineStr">
        <is>
          <t>US DC B6</t>
        </is>
      </c>
      <c r="B222" s="54" t="inlineStr">
        <is>
          <t>US</t>
        </is>
      </c>
      <c r="C222" s="54" t="inlineStr">
        <is>
          <t>B0CQ311KCT</t>
        </is>
      </c>
      <c r="D222" s="54" t="inlineStr">
        <is>
          <t>BAMBOO-FULL-TAUPE-6PCS</t>
        </is>
      </c>
      <c r="E222" s="54" t="inlineStr">
        <is>
          <t>Full</t>
        </is>
      </c>
      <c r="F222" s="54" t="inlineStr">
        <is>
          <t>Taupe</t>
        </is>
      </c>
      <c r="G222" s="55" t="n">
        <v>33</v>
      </c>
      <c r="H222" s="167" t="n">
        <v>1963.17</v>
      </c>
      <c r="I222" s="167" t="n">
        <v>0</v>
      </c>
      <c r="J222" s="168">
        <f>IF(AND(N(G222)&gt;0,N(H222)+N(I222)&gt;0),(H222+I222)*U222/G222,"")</f>
        <v/>
      </c>
      <c r="K222" s="167" t="n">
        <v>79.98999999999999</v>
      </c>
      <c r="L222" s="167" t="n">
        <v>69.98999999999999</v>
      </c>
      <c r="M222" s="54" t="inlineStr">
        <is>
          <t>Eligible</t>
        </is>
      </c>
      <c r="N222" s="168">
        <f>IF(OR(J222="",L222=""),"",L222-J222)</f>
        <v/>
      </c>
      <c r="O222" s="169">
        <f>IF(OR(J222="",L222=""),"",L222/J222-1)</f>
        <v/>
      </c>
      <c r="P222" s="169">
        <f>IF(OR(J222="",K222=""),"",K222/J222-1)</f>
        <v/>
      </c>
      <c r="Q222" s="54">
        <f>IF(AND(ISNUMBER(J222),ISNUMBER(L222)),1,0)</f>
        <v/>
      </c>
      <c r="R222" s="69">
        <f>IF(Q222=1,G222*L222,0)</f>
        <v/>
      </c>
      <c r="S222" s="69">
        <f>IF(Q222=1,(H222+I222)*U222,0)</f>
        <v/>
      </c>
      <c r="T222" s="59">
        <f>IF(Q222=1,G222,0)</f>
        <v/>
      </c>
      <c r="U222" s="170" t="n">
        <v>1</v>
      </c>
    </row>
    <row r="223">
      <c r="A223" s="54" t="inlineStr">
        <is>
          <t>US DC B6</t>
        </is>
      </c>
      <c r="B223" s="54" t="inlineStr">
        <is>
          <t>US</t>
        </is>
      </c>
      <c r="C223" s="54" t="inlineStr">
        <is>
          <t>B0CQ2YVZ18</t>
        </is>
      </c>
      <c r="D223" s="54" t="inlineStr">
        <is>
          <t>BAMBOO-KING-LIGHTOLIVE-6PCS</t>
        </is>
      </c>
      <c r="E223" s="54" t="inlineStr">
        <is>
          <t>King</t>
        </is>
      </c>
      <c r="F223" s="54" t="inlineStr">
        <is>
          <t>Light Olive</t>
        </is>
      </c>
      <c r="G223" s="55" t="n">
        <v>32</v>
      </c>
      <c r="H223" s="167" t="n">
        <v>2431.68</v>
      </c>
      <c r="I223" s="167" t="n">
        <v>0</v>
      </c>
      <c r="J223" s="168">
        <f>IF(AND(N(G223)&gt;0,N(H223)+N(I223)&gt;0),(H223+I223)*U223/G223,"")</f>
        <v/>
      </c>
      <c r="K223" s="167" t="n">
        <v>99.98999999999999</v>
      </c>
      <c r="L223" s="167" t="n">
        <v>72.67</v>
      </c>
      <c r="M223" s="54" t="inlineStr">
        <is>
          <t>Eligible</t>
        </is>
      </c>
      <c r="N223" s="168">
        <f>IF(OR(J223="",L223=""),"",L223-J223)</f>
        <v/>
      </c>
      <c r="O223" s="169">
        <f>IF(OR(J223="",L223=""),"",L223/J223-1)</f>
        <v/>
      </c>
      <c r="P223" s="169">
        <f>IF(OR(J223="",K223=""),"",K223/J223-1)</f>
        <v/>
      </c>
      <c r="Q223" s="54">
        <f>IF(AND(ISNUMBER(J223),ISNUMBER(L223)),1,0)</f>
        <v/>
      </c>
      <c r="R223" s="69">
        <f>IF(Q223=1,G223*L223,0)</f>
        <v/>
      </c>
      <c r="S223" s="69">
        <f>IF(Q223=1,(H223+I223)*U223,0)</f>
        <v/>
      </c>
      <c r="T223" s="59">
        <f>IF(Q223=1,G223,0)</f>
        <v/>
      </c>
      <c r="U223" s="170" t="n">
        <v>1</v>
      </c>
    </row>
    <row r="224">
      <c r="A224" s="54" t="inlineStr">
        <is>
          <t>US DC B6</t>
        </is>
      </c>
      <c r="B224" s="54" t="inlineStr">
        <is>
          <t>US</t>
        </is>
      </c>
      <c r="C224" s="54" t="inlineStr">
        <is>
          <t>B0CQ311QX3</t>
        </is>
      </c>
      <c r="D224" s="54" t="inlineStr">
        <is>
          <t>BAMBOO-CALIFKING-NAVYBLUE-6PCS</t>
        </is>
      </c>
      <c r="E224" s="54" t="inlineStr">
        <is>
          <t>California King</t>
        </is>
      </c>
      <c r="F224" s="54" t="inlineStr">
        <is>
          <t>Navy Blue</t>
        </is>
      </c>
      <c r="G224" s="55" t="n">
        <v>28</v>
      </c>
      <c r="H224" s="167" t="n">
        <v>2127.72</v>
      </c>
      <c r="I224" s="167" t="n">
        <v>0</v>
      </c>
      <c r="J224" s="168">
        <f>IF(AND(N(G224)&gt;0,N(H224)+N(I224)&gt;0),(H224+I224)*U224/G224,"")</f>
        <v/>
      </c>
      <c r="K224" s="167" t="n">
        <v>99.98999999999999</v>
      </c>
      <c r="L224" s="167" t="n">
        <v>72.67</v>
      </c>
      <c r="M224" s="54" t="inlineStr">
        <is>
          <t>Eligible</t>
        </is>
      </c>
      <c r="N224" s="168">
        <f>IF(OR(J224="",L224=""),"",L224-J224)</f>
        <v/>
      </c>
      <c r="O224" s="169">
        <f>IF(OR(J224="",L224=""),"",L224/J224-1)</f>
        <v/>
      </c>
      <c r="P224" s="169">
        <f>IF(OR(J224="",K224=""),"",K224/J224-1)</f>
        <v/>
      </c>
      <c r="Q224" s="54">
        <f>IF(AND(ISNUMBER(J224),ISNUMBER(L224)),1,0)</f>
        <v/>
      </c>
      <c r="R224" s="69">
        <f>IF(Q224=1,G224*L224,0)</f>
        <v/>
      </c>
      <c r="S224" s="69">
        <f>IF(Q224=1,(H224+I224)*U224,0)</f>
        <v/>
      </c>
      <c r="T224" s="59">
        <f>IF(Q224=1,G224,0)</f>
        <v/>
      </c>
      <c r="U224" s="170" t="n">
        <v>1</v>
      </c>
    </row>
    <row r="225">
      <c r="A225" s="54" t="inlineStr">
        <is>
          <t>US DC B6</t>
        </is>
      </c>
      <c r="B225" s="54" t="inlineStr">
        <is>
          <t>US</t>
        </is>
      </c>
      <c r="C225" s="54" t="inlineStr">
        <is>
          <t>B0CQ332KLH</t>
        </is>
      </c>
      <c r="D225" s="54" t="inlineStr">
        <is>
          <t>BAMBOO-FULL-BLACK-6PCS</t>
        </is>
      </c>
      <c r="E225" s="54" t="inlineStr">
        <is>
          <t>Full</t>
        </is>
      </c>
      <c r="F225" s="54" t="inlineStr">
        <is>
          <t>Black</t>
        </is>
      </c>
      <c r="G225" s="55" t="n">
        <v>28</v>
      </c>
      <c r="H225" s="167" t="n">
        <v>1861.72</v>
      </c>
      <c r="I225" s="167" t="n">
        <v>0</v>
      </c>
      <c r="J225" s="168">
        <f>IF(AND(N(G225)&gt;0,N(H225)+N(I225)&gt;0),(H225+I225)*U225/G225,"")</f>
        <v/>
      </c>
      <c r="K225" s="167" t="n">
        <v>79.98999999999999</v>
      </c>
      <c r="L225" s="167" t="n">
        <v>64.12</v>
      </c>
      <c r="M225" s="54" t="inlineStr">
        <is>
          <t>Eligible</t>
        </is>
      </c>
      <c r="N225" s="168">
        <f>IF(OR(J225="",L225=""),"",L225-J225)</f>
        <v/>
      </c>
      <c r="O225" s="169">
        <f>IF(OR(J225="",L225=""),"",L225/J225-1)</f>
        <v/>
      </c>
      <c r="P225" s="169">
        <f>IF(OR(J225="",K225=""),"",K225/J225-1)</f>
        <v/>
      </c>
      <c r="Q225" s="54">
        <f>IF(AND(ISNUMBER(J225),ISNUMBER(L225)),1,0)</f>
        <v/>
      </c>
      <c r="R225" s="69">
        <f>IF(Q225=1,G225*L225,0)</f>
        <v/>
      </c>
      <c r="S225" s="69">
        <f>IF(Q225=1,(H225+I225)*U225,0)</f>
        <v/>
      </c>
      <c r="T225" s="59">
        <f>IF(Q225=1,G225,0)</f>
        <v/>
      </c>
      <c r="U225" s="170" t="n">
        <v>1</v>
      </c>
    </row>
    <row r="226">
      <c r="A226" s="54" t="inlineStr">
        <is>
          <t>US DC B6</t>
        </is>
      </c>
      <c r="B226" s="54" t="inlineStr">
        <is>
          <t>US</t>
        </is>
      </c>
      <c r="C226" s="54" t="inlineStr">
        <is>
          <t>B0CQ328DZM</t>
        </is>
      </c>
      <c r="D226" s="54" t="inlineStr">
        <is>
          <t>BAMBOO-CALIFKING-TAUPE-6PCS</t>
        </is>
      </c>
      <c r="E226" s="54" t="inlineStr">
        <is>
          <t>California King</t>
        </is>
      </c>
      <c r="F226" s="54" t="inlineStr">
        <is>
          <t>Taupe</t>
        </is>
      </c>
      <c r="G226" s="55" t="n">
        <v>26</v>
      </c>
      <c r="H226" s="167" t="n">
        <v>2035.74</v>
      </c>
      <c r="I226" s="167" t="n">
        <v>0</v>
      </c>
      <c r="J226" s="168">
        <f>IF(AND(N(G226)&gt;0,N(H226)+N(I226)&gt;0),(H226+I226)*U226/G226,"")</f>
        <v/>
      </c>
      <c r="K226" s="167" t="n">
        <v>99.98999999999999</v>
      </c>
      <c r="L226" s="167" t="n">
        <v>72.67</v>
      </c>
      <c r="M226" s="54" t="inlineStr">
        <is>
          <t>Eligible</t>
        </is>
      </c>
      <c r="N226" s="168">
        <f>IF(OR(J226="",L226=""),"",L226-J226)</f>
        <v/>
      </c>
      <c r="O226" s="169">
        <f>IF(OR(J226="",L226=""),"",L226/J226-1)</f>
        <v/>
      </c>
      <c r="P226" s="169">
        <f>IF(OR(J226="",K226=""),"",K226/J226-1)</f>
        <v/>
      </c>
      <c r="Q226" s="54">
        <f>IF(AND(ISNUMBER(J226),ISNUMBER(L226)),1,0)</f>
        <v/>
      </c>
      <c r="R226" s="69">
        <f>IF(Q226=1,G226*L226,0)</f>
        <v/>
      </c>
      <c r="S226" s="69">
        <f>IF(Q226=1,(H226+I226)*U226,0)</f>
        <v/>
      </c>
      <c r="T226" s="59">
        <f>IF(Q226=1,G226,0)</f>
        <v/>
      </c>
      <c r="U226" s="170" t="n">
        <v>1</v>
      </c>
    </row>
    <row r="227">
      <c r="A227" s="54" t="inlineStr">
        <is>
          <t>US DC B6</t>
        </is>
      </c>
      <c r="B227" s="54" t="inlineStr">
        <is>
          <t>US</t>
        </is>
      </c>
      <c r="C227" s="54" t="inlineStr">
        <is>
          <t>B0CQ31X78V</t>
        </is>
      </c>
      <c r="D227" s="54" t="inlineStr">
        <is>
          <t>BAMBOO-CALIFKING-CREME-6PCS</t>
        </is>
      </c>
      <c r="E227" s="54" t="inlineStr">
        <is>
          <t>California King</t>
        </is>
      </c>
      <c r="F227" s="54" t="inlineStr">
        <is>
          <t>Creme</t>
        </is>
      </c>
      <c r="G227" s="55" t="n">
        <v>25</v>
      </c>
      <c r="H227" s="167" t="n">
        <v>1899.75</v>
      </c>
      <c r="I227" s="167" t="n">
        <v>0</v>
      </c>
      <c r="J227" s="168">
        <f>IF(AND(N(G227)&gt;0,N(H227)+N(I227)&gt;0),(H227+I227)*U227/G227,"")</f>
        <v/>
      </c>
      <c r="K227" s="167" t="n">
        <v>99.98999999999999</v>
      </c>
      <c r="L227" s="167" t="n">
        <v>76.7</v>
      </c>
      <c r="M227" s="54" t="inlineStr">
        <is>
          <t>Eligible</t>
        </is>
      </c>
      <c r="N227" s="168">
        <f>IF(OR(J227="",L227=""),"",L227-J227)</f>
        <v/>
      </c>
      <c r="O227" s="169">
        <f>IF(OR(J227="",L227=""),"",L227/J227-1)</f>
        <v/>
      </c>
      <c r="P227" s="169">
        <f>IF(OR(J227="",K227=""),"",K227/J227-1)</f>
        <v/>
      </c>
      <c r="Q227" s="54">
        <f>IF(AND(ISNUMBER(J227),ISNUMBER(L227)),1,0)</f>
        <v/>
      </c>
      <c r="R227" s="69">
        <f>IF(Q227=1,G227*L227,0)</f>
        <v/>
      </c>
      <c r="S227" s="69">
        <f>IF(Q227=1,(H227+I227)*U227,0)</f>
        <v/>
      </c>
      <c r="T227" s="59">
        <f>IF(Q227=1,G227,0)</f>
        <v/>
      </c>
      <c r="U227" s="170" t="n">
        <v>1</v>
      </c>
    </row>
    <row r="228">
      <c r="A228" s="54" t="inlineStr">
        <is>
          <t>US DC B6</t>
        </is>
      </c>
      <c r="B228" s="54" t="inlineStr">
        <is>
          <t>US</t>
        </is>
      </c>
      <c r="C228" s="54" t="inlineStr">
        <is>
          <t>B0CQ34D2QS</t>
        </is>
      </c>
      <c r="D228" s="54" t="inlineStr">
        <is>
          <t>BAMBOO-TWIN-WHITE-6PCS</t>
        </is>
      </c>
      <c r="E228" s="54" t="inlineStr">
        <is>
          <t>Twin</t>
        </is>
      </c>
      <c r="F228" s="54" t="inlineStr">
        <is>
          <t>White</t>
        </is>
      </c>
      <c r="G228" s="55" t="n">
        <v>24</v>
      </c>
      <c r="H228" s="167" t="n">
        <v>1406.76</v>
      </c>
      <c r="I228" s="167" t="n">
        <v>0</v>
      </c>
      <c r="J228" s="168">
        <f>IF(AND(N(G228)&gt;0,N(H228)+N(I228)&gt;0),(H228+I228)*U228/G228,"")</f>
        <v/>
      </c>
      <c r="K228" s="167" t="n">
        <v>64.98999999999999</v>
      </c>
      <c r="L228" s="167" t="n">
        <v>56.99</v>
      </c>
      <c r="M228" s="54" t="inlineStr">
        <is>
          <t>Eligible</t>
        </is>
      </c>
      <c r="N228" s="168">
        <f>IF(OR(J228="",L228=""),"",L228-J228)</f>
        <v/>
      </c>
      <c r="O228" s="169">
        <f>IF(OR(J228="",L228=""),"",L228/J228-1)</f>
        <v/>
      </c>
      <c r="P228" s="169">
        <f>IF(OR(J228="",K228=""),"",K228/J228-1)</f>
        <v/>
      </c>
      <c r="Q228" s="54">
        <f>IF(AND(ISNUMBER(J228),ISNUMBER(L228)),1,0)</f>
        <v/>
      </c>
      <c r="R228" s="69">
        <f>IF(Q228=1,G228*L228,0)</f>
        <v/>
      </c>
      <c r="S228" s="69">
        <f>IF(Q228=1,(H228+I228)*U228,0)</f>
        <v/>
      </c>
      <c r="T228" s="59">
        <f>IF(Q228=1,G228,0)</f>
        <v/>
      </c>
      <c r="U228" s="170" t="n">
        <v>1</v>
      </c>
    </row>
    <row r="229">
      <c r="A229" s="54" t="inlineStr">
        <is>
          <t>US DC B6</t>
        </is>
      </c>
      <c r="B229" s="54" t="inlineStr">
        <is>
          <t>US</t>
        </is>
      </c>
      <c r="C229" s="54" t="inlineStr">
        <is>
          <t>B0CQ318RHN</t>
        </is>
      </c>
      <c r="D229" s="54" t="inlineStr">
        <is>
          <t>BAMBOO-FULL-MIDGREY-6PCS</t>
        </is>
      </c>
      <c r="E229" s="54" t="inlineStr">
        <is>
          <t>Full</t>
        </is>
      </c>
      <c r="F229" s="54" t="inlineStr">
        <is>
          <t>Midgrey</t>
        </is>
      </c>
      <c r="G229" s="55" t="n">
        <v>22</v>
      </c>
      <c r="H229" s="167" t="n">
        <v>1308.78</v>
      </c>
      <c r="I229" s="167" t="n">
        <v>0</v>
      </c>
      <c r="J229" s="168">
        <f>IF(AND(N(G229)&gt;0,N(H229)+N(I229)&gt;0),(H229+I229)*U229/G229,"")</f>
        <v/>
      </c>
      <c r="K229" s="167" t="n">
        <v>79.98999999999999</v>
      </c>
      <c r="L229" s="167" t="n">
        <v>59.84</v>
      </c>
      <c r="M229" s="54" t="inlineStr">
        <is>
          <t>Eligible</t>
        </is>
      </c>
      <c r="N229" s="168">
        <f>IF(OR(J229="",L229=""),"",L229-J229)</f>
        <v/>
      </c>
      <c r="O229" s="169">
        <f>IF(OR(J229="",L229=""),"",L229/J229-1)</f>
        <v/>
      </c>
      <c r="P229" s="169">
        <f>IF(OR(J229="",K229=""),"",K229/J229-1)</f>
        <v/>
      </c>
      <c r="Q229" s="54">
        <f>IF(AND(ISNUMBER(J229),ISNUMBER(L229)),1,0)</f>
        <v/>
      </c>
      <c r="R229" s="69">
        <f>IF(Q229=1,G229*L229,0)</f>
        <v/>
      </c>
      <c r="S229" s="69">
        <f>IF(Q229=1,(H229+I229)*U229,0)</f>
        <v/>
      </c>
      <c r="T229" s="59">
        <f>IF(Q229=1,G229,0)</f>
        <v/>
      </c>
      <c r="U229" s="170" t="n">
        <v>1</v>
      </c>
    </row>
    <row r="230">
      <c r="A230" s="54" t="inlineStr">
        <is>
          <t>US DC B6</t>
        </is>
      </c>
      <c r="B230" s="54" t="inlineStr">
        <is>
          <t>US</t>
        </is>
      </c>
      <c r="C230" s="54" t="inlineStr">
        <is>
          <t>B0CQ2ZSDMN</t>
        </is>
      </c>
      <c r="D230" s="54" t="inlineStr">
        <is>
          <t>BAMBOO-FULL-NAVYBLUE-6PCS</t>
        </is>
      </c>
      <c r="E230" s="54" t="inlineStr">
        <is>
          <t>Full</t>
        </is>
      </c>
      <c r="F230" s="54" t="inlineStr">
        <is>
          <t>Navy Blue</t>
        </is>
      </c>
      <c r="G230" s="55" t="n">
        <v>22</v>
      </c>
      <c r="H230" s="167" t="n">
        <v>1462.78</v>
      </c>
      <c r="I230" s="167" t="n">
        <v>0</v>
      </c>
      <c r="J230" s="168">
        <f>IF(AND(N(G230)&gt;0,N(H230)+N(I230)&gt;0),(H230+I230)*U230/G230,"")</f>
        <v/>
      </c>
      <c r="K230" s="167" t="n">
        <v>79.98999999999999</v>
      </c>
      <c r="L230" s="167" t="n">
        <v>66.48999999999999</v>
      </c>
      <c r="M230" s="54" t="inlineStr">
        <is>
          <t>Eligible</t>
        </is>
      </c>
      <c r="N230" s="168">
        <f>IF(OR(J230="",L230=""),"",L230-J230)</f>
        <v/>
      </c>
      <c r="O230" s="169">
        <f>IF(OR(J230="",L230=""),"",L230/J230-1)</f>
        <v/>
      </c>
      <c r="P230" s="169">
        <f>IF(OR(J230="",K230=""),"",K230/J230-1)</f>
        <v/>
      </c>
      <c r="Q230" s="54">
        <f>IF(AND(ISNUMBER(J230),ISNUMBER(L230)),1,0)</f>
        <v/>
      </c>
      <c r="R230" s="69">
        <f>IF(Q230=1,G230*L230,0)</f>
        <v/>
      </c>
      <c r="S230" s="69">
        <f>IF(Q230=1,(H230+I230)*U230,0)</f>
        <v/>
      </c>
      <c r="T230" s="59">
        <f>IF(Q230=1,G230,0)</f>
        <v/>
      </c>
      <c r="U230" s="170" t="n">
        <v>1</v>
      </c>
    </row>
    <row r="231">
      <c r="A231" s="54" t="inlineStr">
        <is>
          <t>US DC B6</t>
        </is>
      </c>
      <c r="B231" s="54" t="inlineStr">
        <is>
          <t>US</t>
        </is>
      </c>
      <c r="C231" s="54" t="inlineStr">
        <is>
          <t>B0CQ32QQ47</t>
        </is>
      </c>
      <c r="D231" s="54" t="inlineStr">
        <is>
          <t>BAMBOO-TWIN-TAUPE-6PCS</t>
        </is>
      </c>
      <c r="E231" s="54" t="inlineStr">
        <is>
          <t>Twin</t>
        </is>
      </c>
      <c r="F231" s="54" t="inlineStr">
        <is>
          <t>Taupe</t>
        </is>
      </c>
      <c r="G231" s="55" t="n">
        <v>21</v>
      </c>
      <c r="H231" s="167" t="n">
        <v>1070.79</v>
      </c>
      <c r="I231" s="167" t="n">
        <v>0</v>
      </c>
      <c r="J231" s="168">
        <f>IF(AND(N(G231)&gt;0,N(H231)+N(I231)&gt;0),(H231+I231)*U231/G231,"")</f>
        <v/>
      </c>
      <c r="K231" s="167" t="n">
        <v>69.98999999999999</v>
      </c>
      <c r="L231" s="167" t="n"/>
      <c r="M231" s="54" t="inlineStr">
        <is>
          <t>No reference price</t>
        </is>
      </c>
      <c r="N231" s="168">
        <f>IF(OR(J231="",L231=""),"",L231-J231)</f>
        <v/>
      </c>
      <c r="O231" s="169">
        <f>IF(OR(J231="",L231=""),"",L231/J231-1)</f>
        <v/>
      </c>
      <c r="P231" s="169">
        <f>IF(OR(J231="",K231=""),"",K231/J231-1)</f>
        <v/>
      </c>
      <c r="Q231" s="54">
        <f>IF(AND(ISNUMBER(J231),ISNUMBER(L231)),1,0)</f>
        <v/>
      </c>
      <c r="R231" s="69">
        <f>IF(Q231=1,G231*L231,0)</f>
        <v/>
      </c>
      <c r="S231" s="69">
        <f>IF(Q231=1,(H231+I231)*U231,0)</f>
        <v/>
      </c>
      <c r="T231" s="59">
        <f>IF(Q231=1,G231,0)</f>
        <v/>
      </c>
      <c r="U231" s="170" t="n">
        <v>1</v>
      </c>
    </row>
    <row r="232">
      <c r="A232" s="54" t="inlineStr">
        <is>
          <t>US DC B6</t>
        </is>
      </c>
      <c r="B232" s="54" t="inlineStr">
        <is>
          <t>US</t>
        </is>
      </c>
      <c r="C232" s="54" t="inlineStr">
        <is>
          <t>B0CQ2ZZZ42</t>
        </is>
      </c>
      <c r="D232" s="54" t="inlineStr">
        <is>
          <t>BAMBOO-TWIN-CREME-6PCS</t>
        </is>
      </c>
      <c r="E232" s="54" t="inlineStr">
        <is>
          <t>Twin</t>
        </is>
      </c>
      <c r="F232" s="54" t="inlineStr">
        <is>
          <t>Creme</t>
        </is>
      </c>
      <c r="G232" s="55" t="n">
        <v>20</v>
      </c>
      <c r="H232" s="167" t="n">
        <v>1082.81</v>
      </c>
      <c r="I232" s="167" t="n">
        <v>0</v>
      </c>
      <c r="J232" s="168">
        <f>IF(AND(N(G232)&gt;0,N(H232)+N(I232)&gt;0),(H232+I232)*U232/G232,"")</f>
        <v/>
      </c>
      <c r="K232" s="167" t="n">
        <v>69.98999999999999</v>
      </c>
      <c r="L232" s="167" t="n"/>
      <c r="M232" s="54" t="inlineStr">
        <is>
          <t>No reference price</t>
        </is>
      </c>
      <c r="N232" s="168">
        <f>IF(OR(J232="",L232=""),"",L232-J232)</f>
        <v/>
      </c>
      <c r="O232" s="169">
        <f>IF(OR(J232="",L232=""),"",L232/J232-1)</f>
        <v/>
      </c>
      <c r="P232" s="169">
        <f>IF(OR(J232="",K232=""),"",K232/J232-1)</f>
        <v/>
      </c>
      <c r="Q232" s="54">
        <f>IF(AND(ISNUMBER(J232),ISNUMBER(L232)),1,0)</f>
        <v/>
      </c>
      <c r="R232" s="69">
        <f>IF(Q232=1,G232*L232,0)</f>
        <v/>
      </c>
      <c r="S232" s="69">
        <f>IF(Q232=1,(H232+I232)*U232,0)</f>
        <v/>
      </c>
      <c r="T232" s="59">
        <f>IF(Q232=1,G232,0)</f>
        <v/>
      </c>
      <c r="U232" s="170" t="n">
        <v>1</v>
      </c>
    </row>
    <row r="233">
      <c r="A233" s="54" t="inlineStr">
        <is>
          <t>US DC B6</t>
        </is>
      </c>
      <c r="B233" s="54" t="inlineStr">
        <is>
          <t>US</t>
        </is>
      </c>
      <c r="C233" s="54" t="inlineStr">
        <is>
          <t>B0CQ31L3V7</t>
        </is>
      </c>
      <c r="D233" s="54" t="inlineStr">
        <is>
          <t>BAMBOO-CALIFKING-LIGHTBLUE-6PCS</t>
        </is>
      </c>
      <c r="E233" s="54" t="inlineStr">
        <is>
          <t>California King</t>
        </is>
      </c>
      <c r="F233" s="54" t="inlineStr">
        <is>
          <t>Light Blue</t>
        </is>
      </c>
      <c r="G233" s="55" t="n">
        <v>19</v>
      </c>
      <c r="H233" s="167" t="n">
        <v>1483.81</v>
      </c>
      <c r="I233" s="167" t="n">
        <v>0</v>
      </c>
      <c r="J233" s="168">
        <f>IF(AND(N(G233)&gt;0,N(H233)+N(I233)&gt;0),(H233+I233)*U233/G233,"")</f>
        <v/>
      </c>
      <c r="K233" s="167" t="n">
        <v>99.98999999999999</v>
      </c>
      <c r="L233" s="167" t="n">
        <v>72.67</v>
      </c>
      <c r="M233" s="54" t="inlineStr">
        <is>
          <t>Eligible</t>
        </is>
      </c>
      <c r="N233" s="168">
        <f>IF(OR(J233="",L233=""),"",L233-J233)</f>
        <v/>
      </c>
      <c r="O233" s="169">
        <f>IF(OR(J233="",L233=""),"",L233/J233-1)</f>
        <v/>
      </c>
      <c r="P233" s="169">
        <f>IF(OR(J233="",K233=""),"",K233/J233-1)</f>
        <v/>
      </c>
      <c r="Q233" s="54">
        <f>IF(AND(ISNUMBER(J233),ISNUMBER(L233)),1,0)</f>
        <v/>
      </c>
      <c r="R233" s="69">
        <f>IF(Q233=1,G233*L233,0)</f>
        <v/>
      </c>
      <c r="S233" s="69">
        <f>IF(Q233=1,(H233+I233)*U233,0)</f>
        <v/>
      </c>
      <c r="T233" s="59">
        <f>IF(Q233=1,G233,0)</f>
        <v/>
      </c>
      <c r="U233" s="170" t="n">
        <v>1</v>
      </c>
    </row>
    <row r="234">
      <c r="A234" s="54" t="inlineStr">
        <is>
          <t>US DC B6</t>
        </is>
      </c>
      <c r="B234" s="54" t="inlineStr">
        <is>
          <t>US</t>
        </is>
      </c>
      <c r="C234" s="54" t="inlineStr">
        <is>
          <t>B0CQ316WG1</t>
        </is>
      </c>
      <c r="D234" s="54" t="inlineStr">
        <is>
          <t>BAMBOO-CALIFKING-MIDGREY-6PCS</t>
        </is>
      </c>
      <c r="E234" s="54" t="inlineStr">
        <is>
          <t>California King</t>
        </is>
      </c>
      <c r="F234" s="54" t="inlineStr">
        <is>
          <t>Midgrey</t>
        </is>
      </c>
      <c r="G234" s="55" t="n">
        <v>19</v>
      </c>
      <c r="H234" s="167" t="n">
        <v>1443.81</v>
      </c>
      <c r="I234" s="167" t="n">
        <v>0</v>
      </c>
      <c r="J234" s="168">
        <f>IF(AND(N(G234)&gt;0,N(H234)+N(I234)&gt;0),(H234+I234)*U234/G234,"")</f>
        <v/>
      </c>
      <c r="K234" s="167" t="n">
        <v>99.98999999999999</v>
      </c>
      <c r="L234" s="167" t="n">
        <v>84.98999999999999</v>
      </c>
      <c r="M234" s="54" t="inlineStr">
        <is>
          <t>Eligible</t>
        </is>
      </c>
      <c r="N234" s="168">
        <f>IF(OR(J234="",L234=""),"",L234-J234)</f>
        <v/>
      </c>
      <c r="O234" s="169">
        <f>IF(OR(J234="",L234=""),"",L234/J234-1)</f>
        <v/>
      </c>
      <c r="P234" s="169">
        <f>IF(OR(J234="",K234=""),"",K234/J234-1)</f>
        <v/>
      </c>
      <c r="Q234" s="54">
        <f>IF(AND(ISNUMBER(J234),ISNUMBER(L234)),1,0)</f>
        <v/>
      </c>
      <c r="R234" s="69">
        <f>IF(Q234=1,G234*L234,0)</f>
        <v/>
      </c>
      <c r="S234" s="69">
        <f>IF(Q234=1,(H234+I234)*U234,0)</f>
        <v/>
      </c>
      <c r="T234" s="59">
        <f>IF(Q234=1,G234,0)</f>
        <v/>
      </c>
      <c r="U234" s="170" t="n">
        <v>1</v>
      </c>
    </row>
    <row r="235">
      <c r="A235" s="54" t="inlineStr">
        <is>
          <t>US DC B6</t>
        </is>
      </c>
      <c r="B235" s="54" t="inlineStr">
        <is>
          <t>US</t>
        </is>
      </c>
      <c r="C235" s="54" t="inlineStr">
        <is>
          <t>B0CQ32S4MW</t>
        </is>
      </c>
      <c r="D235" s="54" t="inlineStr">
        <is>
          <t>BAMBOO-FULL-LIGHT PINK-6PCS</t>
        </is>
      </c>
      <c r="E235" s="54" t="inlineStr">
        <is>
          <t>Full</t>
        </is>
      </c>
      <c r="F235" s="54" t="inlineStr">
        <is>
          <t>Light Pink</t>
        </is>
      </c>
      <c r="G235" s="55" t="n">
        <v>18</v>
      </c>
      <c r="H235" s="167" t="n">
        <v>1196.82</v>
      </c>
      <c r="I235" s="167" t="n">
        <v>0</v>
      </c>
      <c r="J235" s="168">
        <f>IF(AND(N(G235)&gt;0,N(H235)+N(I235)&gt;0),(H235+I235)*U235/G235,"")</f>
        <v/>
      </c>
      <c r="K235" s="167" t="n">
        <v>79.98999999999999</v>
      </c>
      <c r="L235" s="167" t="n">
        <v>66.48999999999999</v>
      </c>
      <c r="M235" s="54" t="inlineStr">
        <is>
          <t>Eligible</t>
        </is>
      </c>
      <c r="N235" s="168">
        <f>IF(OR(J235="",L235=""),"",L235-J235)</f>
        <v/>
      </c>
      <c r="O235" s="169">
        <f>IF(OR(J235="",L235=""),"",L235/J235-1)</f>
        <v/>
      </c>
      <c r="P235" s="169">
        <f>IF(OR(J235="",K235=""),"",K235/J235-1)</f>
        <v/>
      </c>
      <c r="Q235" s="54">
        <f>IF(AND(ISNUMBER(J235),ISNUMBER(L235)),1,0)</f>
        <v/>
      </c>
      <c r="R235" s="69">
        <f>IF(Q235=1,G235*L235,0)</f>
        <v/>
      </c>
      <c r="S235" s="69">
        <f>IF(Q235=1,(H235+I235)*U235,0)</f>
        <v/>
      </c>
      <c r="T235" s="59">
        <f>IF(Q235=1,G235,0)</f>
        <v/>
      </c>
      <c r="U235" s="170" t="n">
        <v>1</v>
      </c>
    </row>
    <row r="236">
      <c r="A236" s="54" t="inlineStr">
        <is>
          <t>US DC B6</t>
        </is>
      </c>
      <c r="B236" s="54" t="inlineStr">
        <is>
          <t>US</t>
        </is>
      </c>
      <c r="C236" s="54" t="inlineStr">
        <is>
          <t>B0CQ3437ZF</t>
        </is>
      </c>
      <c r="D236" s="54" t="inlineStr">
        <is>
          <t>BAMBOO-KING-LIGHT PINK-6PCS</t>
        </is>
      </c>
      <c r="E236" s="54" t="inlineStr">
        <is>
          <t>King</t>
        </is>
      </c>
      <c r="F236" s="54" t="inlineStr">
        <is>
          <t>Light Pink</t>
        </is>
      </c>
      <c r="G236" s="55" t="n">
        <v>17</v>
      </c>
      <c r="H236" s="167" t="n">
        <v>1291.83</v>
      </c>
      <c r="I236" s="167" t="n">
        <v>0</v>
      </c>
      <c r="J236" s="168">
        <f>IF(AND(N(G236)&gt;0,N(H236)+N(I236)&gt;0),(H236+I236)*U236/G236,"")</f>
        <v/>
      </c>
      <c r="K236" s="167" t="n">
        <v>99.98999999999999</v>
      </c>
      <c r="L236" s="167" t="n">
        <v>72.19</v>
      </c>
      <c r="M236" s="54" t="inlineStr">
        <is>
          <t>Eligible</t>
        </is>
      </c>
      <c r="N236" s="168">
        <f>IF(OR(J236="",L236=""),"",L236-J236)</f>
        <v/>
      </c>
      <c r="O236" s="169">
        <f>IF(OR(J236="",L236=""),"",L236/J236-1)</f>
        <v/>
      </c>
      <c r="P236" s="169">
        <f>IF(OR(J236="",K236=""),"",K236/J236-1)</f>
        <v/>
      </c>
      <c r="Q236" s="54">
        <f>IF(AND(ISNUMBER(J236),ISNUMBER(L236)),1,0)</f>
        <v/>
      </c>
      <c r="R236" s="69">
        <f>IF(Q236=1,G236*L236,0)</f>
        <v/>
      </c>
      <c r="S236" s="69">
        <f>IF(Q236=1,(H236+I236)*U236,0)</f>
        <v/>
      </c>
      <c r="T236" s="59">
        <f>IF(Q236=1,G236,0)</f>
        <v/>
      </c>
      <c r="U236" s="170" t="n">
        <v>1</v>
      </c>
    </row>
    <row r="237">
      <c r="A237" s="54" t="inlineStr">
        <is>
          <t>US DC B6</t>
        </is>
      </c>
      <c r="B237" s="54" t="inlineStr">
        <is>
          <t>US</t>
        </is>
      </c>
      <c r="C237" s="54" t="inlineStr">
        <is>
          <t>B0CQ312HKC</t>
        </is>
      </c>
      <c r="D237" s="54" t="inlineStr">
        <is>
          <t>BAMBOO-QUEEN-LIGHTOLIVE-6PCS</t>
        </is>
      </c>
      <c r="E237" s="54" t="inlineStr">
        <is>
          <t>Queen</t>
        </is>
      </c>
      <c r="F237" s="54" t="inlineStr">
        <is>
          <t>Light Olive</t>
        </is>
      </c>
      <c r="G237" s="55" t="n">
        <v>17</v>
      </c>
      <c r="H237" s="167" t="n">
        <v>1211.08</v>
      </c>
      <c r="I237" s="167" t="n">
        <v>0</v>
      </c>
      <c r="J237" s="168">
        <f>IF(AND(N(G237)&gt;0,N(H237)+N(I237)&gt;0),(H237+I237)*U237/G237,"")</f>
        <v/>
      </c>
      <c r="K237" s="167" t="n">
        <v>94.98999999999999</v>
      </c>
      <c r="L237" s="167" t="n">
        <v>67.68000000000001</v>
      </c>
      <c r="M237" s="54" t="inlineStr">
        <is>
          <t>Eligible</t>
        </is>
      </c>
      <c r="N237" s="168">
        <f>IF(OR(J237="",L237=""),"",L237-J237)</f>
        <v/>
      </c>
      <c r="O237" s="169">
        <f>IF(OR(J237="",L237=""),"",L237/J237-1)</f>
        <v/>
      </c>
      <c r="P237" s="169">
        <f>IF(OR(J237="",K237=""),"",K237/J237-1)</f>
        <v/>
      </c>
      <c r="Q237" s="54">
        <f>IF(AND(ISNUMBER(J237),ISNUMBER(L237)),1,0)</f>
        <v/>
      </c>
      <c r="R237" s="69">
        <f>IF(Q237=1,G237*L237,0)</f>
        <v/>
      </c>
      <c r="S237" s="69">
        <f>IF(Q237=1,(H237+I237)*U237,0)</f>
        <v/>
      </c>
      <c r="T237" s="59">
        <f>IF(Q237=1,G237,0)</f>
        <v/>
      </c>
      <c r="U237" s="170" t="n">
        <v>1</v>
      </c>
    </row>
    <row r="238">
      <c r="A238" s="54" t="inlineStr">
        <is>
          <t>US DC B6</t>
        </is>
      </c>
      <c r="B238" s="54" t="inlineStr">
        <is>
          <t>US</t>
        </is>
      </c>
      <c r="C238" s="54" t="inlineStr">
        <is>
          <t>B0CQ3199ZV</t>
        </is>
      </c>
      <c r="D238" s="54" t="inlineStr">
        <is>
          <t>BAMBOO-FULL-BURGUNDY-6PCS</t>
        </is>
      </c>
      <c r="E238" s="54" t="inlineStr">
        <is>
          <t>Full</t>
        </is>
      </c>
      <c r="F238" s="54" t="inlineStr">
        <is>
          <t>Burgundy</t>
        </is>
      </c>
      <c r="G238" s="55" t="n">
        <v>16</v>
      </c>
      <c r="H238" s="167" t="n">
        <v>1063.84</v>
      </c>
      <c r="I238" s="167" t="n">
        <v>0</v>
      </c>
      <c r="J238" s="168">
        <f>IF(AND(N(G238)&gt;0,N(H238)+N(I238)&gt;0),(H238+I238)*U238/G238,"")</f>
        <v/>
      </c>
      <c r="K238" s="167" t="n">
        <v>79.98999999999999</v>
      </c>
      <c r="L238" s="167" t="n">
        <v>54.5</v>
      </c>
      <c r="M238" s="54" t="inlineStr">
        <is>
          <t>Manual price</t>
        </is>
      </c>
      <c r="N238" s="168">
        <f>IF(OR(J238="",L238=""),"",L238-J238)</f>
        <v/>
      </c>
      <c r="O238" s="169">
        <f>IF(OR(J238="",L238=""),"",L238/J238-1)</f>
        <v/>
      </c>
      <c r="P238" s="169">
        <f>IF(OR(J238="",K238=""),"",K238/J238-1)</f>
        <v/>
      </c>
      <c r="Q238" s="54">
        <f>IF(AND(ISNUMBER(J238),ISNUMBER(L238)),1,0)</f>
        <v/>
      </c>
      <c r="R238" s="69">
        <f>IF(Q238=1,G238*L238,0)</f>
        <v/>
      </c>
      <c r="S238" s="69">
        <f>IF(Q238=1,(H238+I238)*U238,0)</f>
        <v/>
      </c>
      <c r="T238" s="59">
        <f>IF(Q238=1,G238,0)</f>
        <v/>
      </c>
      <c r="U238" s="170" t="n">
        <v>1</v>
      </c>
    </row>
    <row r="239">
      <c r="A239" s="54" t="inlineStr">
        <is>
          <t>US DC B6</t>
        </is>
      </c>
      <c r="B239" s="54" t="inlineStr">
        <is>
          <t>US</t>
        </is>
      </c>
      <c r="C239" s="54" t="inlineStr">
        <is>
          <t>B0CQ32JNVG</t>
        </is>
      </c>
      <c r="D239" s="54" t="inlineStr">
        <is>
          <t>BAMBOO-FULL-LIGHTBLUE-6PCS</t>
        </is>
      </c>
      <c r="E239" s="54" t="inlineStr">
        <is>
          <t>Full</t>
        </is>
      </c>
      <c r="F239" s="54" t="inlineStr">
        <is>
          <t>Light Blue</t>
        </is>
      </c>
      <c r="G239" s="55" t="n">
        <v>16</v>
      </c>
      <c r="H239" s="167" t="n">
        <v>1063.84</v>
      </c>
      <c r="I239" s="167" t="n">
        <v>0</v>
      </c>
      <c r="J239" s="168">
        <f>IF(AND(N(G239)&gt;0,N(H239)+N(I239)&gt;0),(H239+I239)*U239/G239,"")</f>
        <v/>
      </c>
      <c r="K239" s="167" t="n"/>
      <c r="L239" s="167" t="n"/>
      <c r="M239" s="54" t="inlineStr">
        <is>
          <t>Not in a deal</t>
        </is>
      </c>
      <c r="N239" s="168">
        <f>IF(OR(J239="",L239=""),"",L239-J239)</f>
        <v/>
      </c>
      <c r="O239" s="169">
        <f>IF(OR(J239="",L239=""),"",L239/J239-1)</f>
        <v/>
      </c>
      <c r="P239" s="169">
        <f>IF(OR(J239="",K239=""),"",K239/J239-1)</f>
        <v/>
      </c>
      <c r="Q239" s="54">
        <f>IF(AND(ISNUMBER(J239),ISNUMBER(L239)),1,0)</f>
        <v/>
      </c>
      <c r="R239" s="69">
        <f>IF(Q239=1,G239*L239,0)</f>
        <v/>
      </c>
      <c r="S239" s="69">
        <f>IF(Q239=1,(H239+I239)*U239,0)</f>
        <v/>
      </c>
      <c r="T239" s="59">
        <f>IF(Q239=1,G239,0)</f>
        <v/>
      </c>
      <c r="U239" s="170" t="n">
        <v>1</v>
      </c>
    </row>
    <row r="240">
      <c r="A240" s="54" t="inlineStr">
        <is>
          <t>US DC B6</t>
        </is>
      </c>
      <c r="B240" s="54" t="inlineStr">
        <is>
          <t>US</t>
        </is>
      </c>
      <c r="C240" s="54" t="inlineStr">
        <is>
          <t>B0CQ33T9BL</t>
        </is>
      </c>
      <c r="D240" s="54" t="inlineStr">
        <is>
          <t>BAMBOO-CALIFKING-GREY-6PCS</t>
        </is>
      </c>
      <c r="E240" s="54" t="inlineStr">
        <is>
          <t>California King</t>
        </is>
      </c>
      <c r="F240" s="54" t="inlineStr">
        <is>
          <t>Grey</t>
        </is>
      </c>
      <c r="G240" s="55" t="n">
        <v>15</v>
      </c>
      <c r="H240" s="167" t="n">
        <v>1139.85</v>
      </c>
      <c r="I240" s="167" t="n">
        <v>0</v>
      </c>
      <c r="J240" s="168">
        <f>IF(AND(N(G240)&gt;0,N(H240)+N(I240)&gt;0),(H240+I240)*U240/G240,"")</f>
        <v/>
      </c>
      <c r="K240" s="167" t="n">
        <v>99.98999999999999</v>
      </c>
      <c r="L240" s="167" t="n">
        <v>84.98999999999999</v>
      </c>
      <c r="M240" s="54" t="inlineStr">
        <is>
          <t>Eligible</t>
        </is>
      </c>
      <c r="N240" s="168">
        <f>IF(OR(J240="",L240=""),"",L240-J240)</f>
        <v/>
      </c>
      <c r="O240" s="169">
        <f>IF(OR(J240="",L240=""),"",L240/J240-1)</f>
        <v/>
      </c>
      <c r="P240" s="169">
        <f>IF(OR(J240="",K240=""),"",K240/J240-1)</f>
        <v/>
      </c>
      <c r="Q240" s="54">
        <f>IF(AND(ISNUMBER(J240),ISNUMBER(L240)),1,0)</f>
        <v/>
      </c>
      <c r="R240" s="69">
        <f>IF(Q240=1,G240*L240,0)</f>
        <v/>
      </c>
      <c r="S240" s="69">
        <f>IF(Q240=1,(H240+I240)*U240,0)</f>
        <v/>
      </c>
      <c r="T240" s="59">
        <f>IF(Q240=1,G240,0)</f>
        <v/>
      </c>
      <c r="U240" s="170" t="n">
        <v>1</v>
      </c>
    </row>
    <row r="241">
      <c r="A241" s="54" t="inlineStr">
        <is>
          <t>US DC B6</t>
        </is>
      </c>
      <c r="B241" s="54" t="inlineStr">
        <is>
          <t>US</t>
        </is>
      </c>
      <c r="C241" s="54" t="inlineStr">
        <is>
          <t>B0CQ31X7S5</t>
        </is>
      </c>
      <c r="D241" s="54" t="inlineStr">
        <is>
          <t>BAMBOO-CALIFKING-LIGHTGREY-6PCS</t>
        </is>
      </c>
      <c r="E241" s="54" t="inlineStr">
        <is>
          <t>California King</t>
        </is>
      </c>
      <c r="F241" s="54" t="inlineStr">
        <is>
          <t>Light Grey</t>
        </is>
      </c>
      <c r="G241" s="55" t="n">
        <v>15</v>
      </c>
      <c r="H241" s="167" t="n">
        <v>1159.85</v>
      </c>
      <c r="I241" s="167" t="n">
        <v>0</v>
      </c>
      <c r="J241" s="168">
        <f>IF(AND(N(G241)&gt;0,N(H241)+N(I241)&gt;0),(H241+I241)*U241/G241,"")</f>
        <v/>
      </c>
      <c r="K241" s="167" t="n">
        <v>99.98999999999999</v>
      </c>
      <c r="L241" s="167" t="n">
        <v>94.98999999999999</v>
      </c>
      <c r="M241" s="54" t="inlineStr">
        <is>
          <t>Eligible</t>
        </is>
      </c>
      <c r="N241" s="168">
        <f>IF(OR(J241="",L241=""),"",L241-J241)</f>
        <v/>
      </c>
      <c r="O241" s="169">
        <f>IF(OR(J241="",L241=""),"",L241/J241-1)</f>
        <v/>
      </c>
      <c r="P241" s="169">
        <f>IF(OR(J241="",K241=""),"",K241/J241-1)</f>
        <v/>
      </c>
      <c r="Q241" s="54">
        <f>IF(AND(ISNUMBER(J241),ISNUMBER(L241)),1,0)</f>
        <v/>
      </c>
      <c r="R241" s="69">
        <f>IF(Q241=1,G241*L241,0)</f>
        <v/>
      </c>
      <c r="S241" s="69">
        <f>IF(Q241=1,(H241+I241)*U241,0)</f>
        <v/>
      </c>
      <c r="T241" s="59">
        <f>IF(Q241=1,G241,0)</f>
        <v/>
      </c>
      <c r="U241" s="170" t="n">
        <v>1</v>
      </c>
    </row>
    <row r="242">
      <c r="A242" s="54" t="inlineStr">
        <is>
          <t>US DC B6</t>
        </is>
      </c>
      <c r="B242" s="54" t="inlineStr">
        <is>
          <t>US</t>
        </is>
      </c>
      <c r="C242" s="54" t="inlineStr">
        <is>
          <t>B0CQ328B82</t>
        </is>
      </c>
      <c r="D242" s="54" t="inlineStr">
        <is>
          <t>BAMBOO-FULL-GREY-6PCS</t>
        </is>
      </c>
      <c r="E242" s="54" t="inlineStr">
        <is>
          <t>Full</t>
        </is>
      </c>
      <c r="F242" s="54" t="inlineStr">
        <is>
          <t>Grey</t>
        </is>
      </c>
      <c r="G242" s="55" t="n">
        <v>15</v>
      </c>
      <c r="H242" s="167" t="n">
        <v>997.35</v>
      </c>
      <c r="I242" s="167" t="n">
        <v>0</v>
      </c>
      <c r="J242" s="168">
        <f>IF(AND(N(G242)&gt;0,N(H242)+N(I242)&gt;0),(H242+I242)*U242/G242,"")</f>
        <v/>
      </c>
      <c r="K242" s="167" t="n">
        <v>79.98999999999999</v>
      </c>
      <c r="L242" s="167" t="n">
        <v>59.84</v>
      </c>
      <c r="M242" s="54" t="inlineStr">
        <is>
          <t>Eligible</t>
        </is>
      </c>
      <c r="N242" s="168">
        <f>IF(OR(J242="",L242=""),"",L242-J242)</f>
        <v/>
      </c>
      <c r="O242" s="169">
        <f>IF(OR(J242="",L242=""),"",L242/J242-1)</f>
        <v/>
      </c>
      <c r="P242" s="169">
        <f>IF(OR(J242="",K242=""),"",K242/J242-1)</f>
        <v/>
      </c>
      <c r="Q242" s="54">
        <f>IF(AND(ISNUMBER(J242),ISNUMBER(L242)),1,0)</f>
        <v/>
      </c>
      <c r="R242" s="69">
        <f>IF(Q242=1,G242*L242,0)</f>
        <v/>
      </c>
      <c r="S242" s="69">
        <f>IF(Q242=1,(H242+I242)*U242,0)</f>
        <v/>
      </c>
      <c r="T242" s="59">
        <f>IF(Q242=1,G242,0)</f>
        <v/>
      </c>
      <c r="U242" s="170" t="n">
        <v>1</v>
      </c>
    </row>
    <row r="243">
      <c r="A243" s="54" t="inlineStr">
        <is>
          <t>US DC B6</t>
        </is>
      </c>
      <c r="B243" s="54" t="inlineStr">
        <is>
          <t>US</t>
        </is>
      </c>
      <c r="C243" s="54" t="inlineStr">
        <is>
          <t>B0CQ32JY2T</t>
        </is>
      </c>
      <c r="D243" s="54" t="inlineStr">
        <is>
          <t>BAMBOO-CALIFKING-OLIVE-6PCS</t>
        </is>
      </c>
      <c r="E243" s="54" t="inlineStr">
        <is>
          <t>California King</t>
        </is>
      </c>
      <c r="F243" s="54" t="inlineStr">
        <is>
          <t>Olive</t>
        </is>
      </c>
      <c r="G243" s="55" t="n">
        <v>14</v>
      </c>
      <c r="H243" s="167" t="n">
        <v>1063.86</v>
      </c>
      <c r="I243" s="167" t="n">
        <v>0</v>
      </c>
      <c r="J243" s="168">
        <f>IF(AND(N(G243)&gt;0,N(H243)+N(I243)&gt;0),(H243+I243)*U243/G243,"")</f>
        <v/>
      </c>
      <c r="K243" s="167" t="n">
        <v>99.98999999999999</v>
      </c>
      <c r="L243" s="167" t="n">
        <v>94.98999999999999</v>
      </c>
      <c r="M243" s="54" t="inlineStr">
        <is>
          <t>Eligible</t>
        </is>
      </c>
      <c r="N243" s="168">
        <f>IF(OR(J243="",L243=""),"",L243-J243)</f>
        <v/>
      </c>
      <c r="O243" s="169">
        <f>IF(OR(J243="",L243=""),"",L243/J243-1)</f>
        <v/>
      </c>
      <c r="P243" s="169">
        <f>IF(OR(J243="",K243=""),"",K243/J243-1)</f>
        <v/>
      </c>
      <c r="Q243" s="54">
        <f>IF(AND(ISNUMBER(J243),ISNUMBER(L243)),1,0)</f>
        <v/>
      </c>
      <c r="R243" s="69">
        <f>IF(Q243=1,G243*L243,0)</f>
        <v/>
      </c>
      <c r="S243" s="69">
        <f>IF(Q243=1,(H243+I243)*U243,0)</f>
        <v/>
      </c>
      <c r="T243" s="59">
        <f>IF(Q243=1,G243,0)</f>
        <v/>
      </c>
      <c r="U243" s="170" t="n">
        <v>1</v>
      </c>
    </row>
    <row r="244">
      <c r="A244" s="54" t="inlineStr">
        <is>
          <t>US DC B6</t>
        </is>
      </c>
      <c r="B244" s="54" t="inlineStr">
        <is>
          <t>US</t>
        </is>
      </c>
      <c r="C244" s="54" t="inlineStr">
        <is>
          <t>B0CQ31LJ3J</t>
        </is>
      </c>
      <c r="D244" s="54" t="inlineStr">
        <is>
          <t>BAMBOO-CALIFKING-SAGE GREEN-6PCS</t>
        </is>
      </c>
      <c r="E244" s="54" t="inlineStr">
        <is>
          <t>California King</t>
        </is>
      </c>
      <c r="F244" s="54" t="inlineStr">
        <is>
          <t>Sage Green</t>
        </is>
      </c>
      <c r="G244" s="55" t="n">
        <v>14</v>
      </c>
      <c r="H244" s="167" t="n">
        <v>955.87</v>
      </c>
      <c r="I244" s="167" t="n">
        <v>0</v>
      </c>
      <c r="J244" s="168">
        <f>IF(AND(N(G244)&gt;0,N(H244)+N(I244)&gt;0),(H244+I244)*U244/G244,"")</f>
        <v/>
      </c>
      <c r="K244" s="167" t="n"/>
      <c r="L244" s="167" t="n"/>
      <c r="M244" s="54" t="inlineStr">
        <is>
          <t>Not in a deal</t>
        </is>
      </c>
      <c r="N244" s="168">
        <f>IF(OR(J244="",L244=""),"",L244-J244)</f>
        <v/>
      </c>
      <c r="O244" s="169">
        <f>IF(OR(J244="",L244=""),"",L244/J244-1)</f>
        <v/>
      </c>
      <c r="P244" s="169">
        <f>IF(OR(J244="",K244=""),"",K244/J244-1)</f>
        <v/>
      </c>
      <c r="Q244" s="54">
        <f>IF(AND(ISNUMBER(J244),ISNUMBER(L244)),1,0)</f>
        <v/>
      </c>
      <c r="R244" s="69">
        <f>IF(Q244=1,G244*L244,0)</f>
        <v/>
      </c>
      <c r="S244" s="69">
        <f>IF(Q244=1,(H244+I244)*U244,0)</f>
        <v/>
      </c>
      <c r="T244" s="59">
        <f>IF(Q244=1,G244,0)</f>
        <v/>
      </c>
      <c r="U244" s="170" t="n">
        <v>1</v>
      </c>
    </row>
    <row r="245">
      <c r="A245" s="54" t="inlineStr">
        <is>
          <t>US DC B6</t>
        </is>
      </c>
      <c r="B245" s="54" t="inlineStr">
        <is>
          <t>US</t>
        </is>
      </c>
      <c r="C245" s="54" t="inlineStr">
        <is>
          <t>B0CQ31ZKNJ</t>
        </is>
      </c>
      <c r="D245" s="54" t="inlineStr">
        <is>
          <t>BAMBOO-FULL-CHARCOAL-6PCS</t>
        </is>
      </c>
      <c r="E245" s="54" t="inlineStr">
        <is>
          <t>Full</t>
        </is>
      </c>
      <c r="F245" s="54" t="inlineStr">
        <is>
          <t>Charcoal</t>
        </is>
      </c>
      <c r="G245" s="55" t="n">
        <v>14</v>
      </c>
      <c r="H245" s="167" t="n">
        <v>930.86</v>
      </c>
      <c r="I245" s="167" t="n">
        <v>0</v>
      </c>
      <c r="J245" s="168">
        <f>IF(AND(N(G245)&gt;0,N(H245)+N(I245)&gt;0),(H245+I245)*U245/G245,"")</f>
        <v/>
      </c>
      <c r="K245" s="167" t="n">
        <v>79.98999999999999</v>
      </c>
      <c r="L245" s="167" t="n">
        <v>75.98999999999999</v>
      </c>
      <c r="M245" s="54" t="inlineStr">
        <is>
          <t>Eligible</t>
        </is>
      </c>
      <c r="N245" s="168">
        <f>IF(OR(J245="",L245=""),"",L245-J245)</f>
        <v/>
      </c>
      <c r="O245" s="169">
        <f>IF(OR(J245="",L245=""),"",L245/J245-1)</f>
        <v/>
      </c>
      <c r="P245" s="169">
        <f>IF(OR(J245="",K245=""),"",K245/J245-1)</f>
        <v/>
      </c>
      <c r="Q245" s="54">
        <f>IF(AND(ISNUMBER(J245),ISNUMBER(L245)),1,0)</f>
        <v/>
      </c>
      <c r="R245" s="69">
        <f>IF(Q245=1,G245*L245,0)</f>
        <v/>
      </c>
      <c r="S245" s="69">
        <f>IF(Q245=1,(H245+I245)*U245,0)</f>
        <v/>
      </c>
      <c r="T245" s="59">
        <f>IF(Q245=1,G245,0)</f>
        <v/>
      </c>
      <c r="U245" s="170" t="n">
        <v>1</v>
      </c>
    </row>
    <row r="246">
      <c r="A246" s="54" t="inlineStr">
        <is>
          <t>US DC B6</t>
        </is>
      </c>
      <c r="B246" s="54" t="inlineStr">
        <is>
          <t>US</t>
        </is>
      </c>
      <c r="C246" s="54" t="inlineStr">
        <is>
          <t>B0CQ32VM8N</t>
        </is>
      </c>
      <c r="D246" s="54" t="inlineStr">
        <is>
          <t>BAMBOO-FULL-LIGHTGREY-6PCS</t>
        </is>
      </c>
      <c r="E246" s="54" t="inlineStr">
        <is>
          <t>Full</t>
        </is>
      </c>
      <c r="F246" s="54" t="inlineStr">
        <is>
          <t>Light Grey</t>
        </is>
      </c>
      <c r="G246" s="55" t="n">
        <v>14</v>
      </c>
      <c r="H246" s="167" t="n">
        <v>930.86</v>
      </c>
      <c r="I246" s="167" t="n">
        <v>0</v>
      </c>
      <c r="J246" s="168">
        <f>IF(AND(N(G246)&gt;0,N(H246)+N(I246)&gt;0),(H246+I246)*U246/G246,"")</f>
        <v/>
      </c>
      <c r="K246" s="167" t="n"/>
      <c r="L246" s="167" t="n"/>
      <c r="M246" s="54" t="inlineStr">
        <is>
          <t>Not in a deal</t>
        </is>
      </c>
      <c r="N246" s="168">
        <f>IF(OR(J246="",L246=""),"",L246-J246)</f>
        <v/>
      </c>
      <c r="O246" s="169">
        <f>IF(OR(J246="",L246=""),"",L246/J246-1)</f>
        <v/>
      </c>
      <c r="P246" s="169">
        <f>IF(OR(J246="",K246=""),"",K246/J246-1)</f>
        <v/>
      </c>
      <c r="Q246" s="54">
        <f>IF(AND(ISNUMBER(J246),ISNUMBER(L246)),1,0)</f>
        <v/>
      </c>
      <c r="R246" s="69">
        <f>IF(Q246=1,G246*L246,0)</f>
        <v/>
      </c>
      <c r="S246" s="69">
        <f>IF(Q246=1,(H246+I246)*U246,0)</f>
        <v/>
      </c>
      <c r="T246" s="59">
        <f>IF(Q246=1,G246,0)</f>
        <v/>
      </c>
      <c r="U246" s="170" t="n">
        <v>1</v>
      </c>
    </row>
    <row r="247">
      <c r="A247" s="54" t="inlineStr">
        <is>
          <t>US DC B6</t>
        </is>
      </c>
      <c r="B247" s="54" t="inlineStr">
        <is>
          <t>US</t>
        </is>
      </c>
      <c r="C247" s="54" t="inlineStr">
        <is>
          <t>B0CQ31X3X5</t>
        </is>
      </c>
      <c r="D247" s="54" t="inlineStr">
        <is>
          <t>BAMBOO-FULL-PURPLE-6PCS</t>
        </is>
      </c>
      <c r="E247" s="54" t="inlineStr">
        <is>
          <t>Full</t>
        </is>
      </c>
      <c r="F247" s="54" t="inlineStr">
        <is>
          <t>Purple</t>
        </is>
      </c>
      <c r="G247" s="55" t="n">
        <v>14</v>
      </c>
      <c r="H247" s="167" t="n">
        <v>930.86</v>
      </c>
      <c r="I247" s="167" t="n">
        <v>0</v>
      </c>
      <c r="J247" s="168">
        <f>IF(AND(N(G247)&gt;0,N(H247)+N(I247)&gt;0),(H247+I247)*U247/G247,"")</f>
        <v/>
      </c>
      <c r="K247" s="167" t="n">
        <v>79.98999999999999</v>
      </c>
      <c r="L247" s="167" t="n">
        <v>59.84</v>
      </c>
      <c r="M247" s="54" t="inlineStr">
        <is>
          <t>Eligible</t>
        </is>
      </c>
      <c r="N247" s="168">
        <f>IF(OR(J247="",L247=""),"",L247-J247)</f>
        <v/>
      </c>
      <c r="O247" s="169">
        <f>IF(OR(J247="",L247=""),"",L247/J247-1)</f>
        <v/>
      </c>
      <c r="P247" s="169">
        <f>IF(OR(J247="",K247=""),"",K247/J247-1)</f>
        <v/>
      </c>
      <c r="Q247" s="54">
        <f>IF(AND(ISNUMBER(J247),ISNUMBER(L247)),1,0)</f>
        <v/>
      </c>
      <c r="R247" s="69">
        <f>IF(Q247=1,G247*L247,0)</f>
        <v/>
      </c>
      <c r="S247" s="69">
        <f>IF(Q247=1,(H247+I247)*U247,0)</f>
        <v/>
      </c>
      <c r="T247" s="59">
        <f>IF(Q247=1,G247,0)</f>
        <v/>
      </c>
      <c r="U247" s="170" t="n">
        <v>1</v>
      </c>
    </row>
    <row r="248">
      <c r="A248" s="54" t="inlineStr">
        <is>
          <t>US DC B6</t>
        </is>
      </c>
      <c r="B248" s="54" t="inlineStr">
        <is>
          <t>US</t>
        </is>
      </c>
      <c r="C248" s="54" t="inlineStr">
        <is>
          <t>B0CQ2ZVMJJ</t>
        </is>
      </c>
      <c r="D248" s="54" t="inlineStr">
        <is>
          <t>BAMBOO-TWIN-OLIVE-6PCS</t>
        </is>
      </c>
      <c r="E248" s="54" t="inlineStr">
        <is>
          <t>Twin</t>
        </is>
      </c>
      <c r="F248" s="54" t="inlineStr">
        <is>
          <t>Olive</t>
        </is>
      </c>
      <c r="G248" s="55" t="n">
        <v>14</v>
      </c>
      <c r="H248" s="167" t="n">
        <v>797.86</v>
      </c>
      <c r="I248" s="167" t="n">
        <v>0</v>
      </c>
      <c r="J248" s="168">
        <f>IF(AND(N(G248)&gt;0,N(H248)+N(I248)&gt;0),(H248+I248)*U248/G248,"")</f>
        <v/>
      </c>
      <c r="K248" s="167" t="n">
        <v>69.98999999999999</v>
      </c>
      <c r="L248" s="167" t="n">
        <v>55.57</v>
      </c>
      <c r="M248" s="54" t="inlineStr">
        <is>
          <t>Eligible</t>
        </is>
      </c>
      <c r="N248" s="168">
        <f>IF(OR(J248="",L248=""),"",L248-J248)</f>
        <v/>
      </c>
      <c r="O248" s="169">
        <f>IF(OR(J248="",L248=""),"",L248/J248-1)</f>
        <v/>
      </c>
      <c r="P248" s="169">
        <f>IF(OR(J248="",K248=""),"",K248/J248-1)</f>
        <v/>
      </c>
      <c r="Q248" s="54">
        <f>IF(AND(ISNUMBER(J248),ISNUMBER(L248)),1,0)</f>
        <v/>
      </c>
      <c r="R248" s="69">
        <f>IF(Q248=1,G248*L248,0)</f>
        <v/>
      </c>
      <c r="S248" s="69">
        <f>IF(Q248=1,(H248+I248)*U248,0)</f>
        <v/>
      </c>
      <c r="T248" s="59">
        <f>IF(Q248=1,G248,0)</f>
        <v/>
      </c>
      <c r="U248" s="170" t="n">
        <v>1</v>
      </c>
    </row>
    <row r="249">
      <c r="A249" s="54" t="inlineStr">
        <is>
          <t>US DC B6</t>
        </is>
      </c>
      <c r="B249" s="54" t="inlineStr">
        <is>
          <t>US</t>
        </is>
      </c>
      <c r="C249" s="54" t="inlineStr">
        <is>
          <t>B0CQ2YZ364</t>
        </is>
      </c>
      <c r="D249" s="54" t="inlineStr">
        <is>
          <t>BAMBOO-TWIN-SAGE GREEN-6PCS</t>
        </is>
      </c>
      <c r="E249" s="54" t="inlineStr">
        <is>
          <t>Twin</t>
        </is>
      </c>
      <c r="F249" s="54" t="inlineStr">
        <is>
          <t>Sage Green</t>
        </is>
      </c>
      <c r="G249" s="55" t="n">
        <v>14</v>
      </c>
      <c r="H249" s="167" t="n">
        <v>812.86</v>
      </c>
      <c r="I249" s="167" t="n">
        <v>0</v>
      </c>
      <c r="J249" s="168">
        <f>IF(AND(N(G249)&gt;0,N(H249)+N(I249)&gt;0),(H249+I249)*U249/G249,"")</f>
        <v/>
      </c>
      <c r="K249" s="167" t="n">
        <v>69.98999999999999</v>
      </c>
      <c r="L249" s="167" t="n">
        <v>51.29</v>
      </c>
      <c r="M249" s="54" t="inlineStr">
        <is>
          <t>Eligible</t>
        </is>
      </c>
      <c r="N249" s="168">
        <f>IF(OR(J249="",L249=""),"",L249-J249)</f>
        <v/>
      </c>
      <c r="O249" s="169">
        <f>IF(OR(J249="",L249=""),"",L249/J249-1)</f>
        <v/>
      </c>
      <c r="P249" s="169">
        <f>IF(OR(J249="",K249=""),"",K249/J249-1)</f>
        <v/>
      </c>
      <c r="Q249" s="54">
        <f>IF(AND(ISNUMBER(J249),ISNUMBER(L249)),1,0)</f>
        <v/>
      </c>
      <c r="R249" s="69">
        <f>IF(Q249=1,G249*L249,0)</f>
        <v/>
      </c>
      <c r="S249" s="69">
        <f>IF(Q249=1,(H249+I249)*U249,0)</f>
        <v/>
      </c>
      <c r="T249" s="59">
        <f>IF(Q249=1,G249,0)</f>
        <v/>
      </c>
      <c r="U249" s="170" t="n">
        <v>1</v>
      </c>
    </row>
    <row r="250">
      <c r="A250" s="54" t="inlineStr">
        <is>
          <t>US DC B6</t>
        </is>
      </c>
      <c r="B250" s="54" t="inlineStr">
        <is>
          <t>US</t>
        </is>
      </c>
      <c r="C250" s="54" t="inlineStr">
        <is>
          <t>B0CQ2ZVD96</t>
        </is>
      </c>
      <c r="D250" s="54" t="inlineStr">
        <is>
          <t>BAMBOO-FULL-CREME-6PCS</t>
        </is>
      </c>
      <c r="E250" s="54" t="inlineStr">
        <is>
          <t>Full</t>
        </is>
      </c>
      <c r="F250" s="54" t="inlineStr">
        <is>
          <t>Creme</t>
        </is>
      </c>
      <c r="G250" s="55" t="n">
        <v>13</v>
      </c>
      <c r="H250" s="167" t="n">
        <v>822.37</v>
      </c>
      <c r="I250" s="167" t="n">
        <v>0</v>
      </c>
      <c r="J250" s="168">
        <f>IF(AND(N(G250)&gt;0,N(H250)+N(I250)&gt;0),(H250+I250)*U250/G250,"")</f>
        <v/>
      </c>
      <c r="K250" s="167" t="n">
        <v>79.98999999999999</v>
      </c>
      <c r="L250" s="167" t="n">
        <v>56.52</v>
      </c>
      <c r="M250" s="54" t="inlineStr">
        <is>
          <t>Eligible</t>
        </is>
      </c>
      <c r="N250" s="168">
        <f>IF(OR(J250="",L250=""),"",L250-J250)</f>
        <v/>
      </c>
      <c r="O250" s="169">
        <f>IF(OR(J250="",L250=""),"",L250/J250-1)</f>
        <v/>
      </c>
      <c r="P250" s="169">
        <f>IF(OR(J250="",K250=""),"",K250/J250-1)</f>
        <v/>
      </c>
      <c r="Q250" s="54">
        <f>IF(AND(ISNUMBER(J250),ISNUMBER(L250)),1,0)</f>
        <v/>
      </c>
      <c r="R250" s="69">
        <f>IF(Q250=1,G250*L250,0)</f>
        <v/>
      </c>
      <c r="S250" s="69">
        <f>IF(Q250=1,(H250+I250)*U250,0)</f>
        <v/>
      </c>
      <c r="T250" s="59">
        <f>IF(Q250=1,G250,0)</f>
        <v/>
      </c>
      <c r="U250" s="170" t="n">
        <v>1</v>
      </c>
    </row>
    <row r="251">
      <c r="A251" s="54" t="inlineStr">
        <is>
          <t>US DC B6</t>
        </is>
      </c>
      <c r="B251" s="54" t="inlineStr">
        <is>
          <t>US</t>
        </is>
      </c>
      <c r="C251" s="54" t="inlineStr">
        <is>
          <t>B0CQ31CJPJ</t>
        </is>
      </c>
      <c r="D251" s="54" t="inlineStr">
        <is>
          <t>BAMBOO-TWIN-LIGHTBLUE-6PCS</t>
        </is>
      </c>
      <c r="E251" s="54" t="inlineStr">
        <is>
          <t>Twin</t>
        </is>
      </c>
      <c r="F251" s="54" t="inlineStr">
        <is>
          <t>Light Blue</t>
        </is>
      </c>
      <c r="G251" s="55" t="n">
        <v>13</v>
      </c>
      <c r="H251" s="167" t="n">
        <v>740.87</v>
      </c>
      <c r="I251" s="167" t="n">
        <v>0</v>
      </c>
      <c r="J251" s="168">
        <f>IF(AND(N(G251)&gt;0,N(H251)+N(I251)&gt;0),(H251+I251)*U251/G251,"")</f>
        <v/>
      </c>
      <c r="K251" s="167" t="n"/>
      <c r="L251" s="167" t="n"/>
      <c r="M251" s="54" t="inlineStr">
        <is>
          <t>Not in a deal</t>
        </is>
      </c>
      <c r="N251" s="168">
        <f>IF(OR(J251="",L251=""),"",L251-J251)</f>
        <v/>
      </c>
      <c r="O251" s="169">
        <f>IF(OR(J251="",L251=""),"",L251/J251-1)</f>
        <v/>
      </c>
      <c r="P251" s="169">
        <f>IF(OR(J251="",K251=""),"",K251/J251-1)</f>
        <v/>
      </c>
      <c r="Q251" s="54">
        <f>IF(AND(ISNUMBER(J251),ISNUMBER(L251)),1,0)</f>
        <v/>
      </c>
      <c r="R251" s="69">
        <f>IF(Q251=1,G251*L251,0)</f>
        <v/>
      </c>
      <c r="S251" s="69">
        <f>IF(Q251=1,(H251+I251)*U251,0)</f>
        <v/>
      </c>
      <c r="T251" s="59">
        <f>IF(Q251=1,G251,0)</f>
        <v/>
      </c>
      <c r="U251" s="170" t="n">
        <v>1</v>
      </c>
    </row>
    <row r="252">
      <c r="A252" s="54" t="inlineStr">
        <is>
          <t>US DC B6</t>
        </is>
      </c>
      <c r="B252" s="54" t="inlineStr">
        <is>
          <t>US</t>
        </is>
      </c>
      <c r="C252" s="54" t="inlineStr">
        <is>
          <t>B0CQ33ZGQ4</t>
        </is>
      </c>
      <c r="D252" s="54" t="inlineStr">
        <is>
          <t>BAMBOO-FULL-OLIVE-6PCS</t>
        </is>
      </c>
      <c r="E252" s="54" t="inlineStr">
        <is>
          <t>Full</t>
        </is>
      </c>
      <c r="F252" s="54" t="inlineStr">
        <is>
          <t>Olive</t>
        </is>
      </c>
      <c r="G252" s="55" t="n">
        <v>10</v>
      </c>
      <c r="H252" s="167" t="n">
        <v>664.9</v>
      </c>
      <c r="I252" s="167" t="n">
        <v>0</v>
      </c>
      <c r="J252" s="168">
        <f>IF(AND(N(G252)&gt;0,N(H252)+N(I252)&gt;0),(H252+I252)*U252/G252,"")</f>
        <v/>
      </c>
      <c r="K252" s="167" t="n">
        <v>79.98999999999999</v>
      </c>
      <c r="L252" s="167" t="n">
        <v>59.84</v>
      </c>
      <c r="M252" s="54" t="inlineStr">
        <is>
          <t>Eligible</t>
        </is>
      </c>
      <c r="N252" s="168">
        <f>IF(OR(J252="",L252=""),"",L252-J252)</f>
        <v/>
      </c>
      <c r="O252" s="169">
        <f>IF(OR(J252="",L252=""),"",L252/J252-1)</f>
        <v/>
      </c>
      <c r="P252" s="169">
        <f>IF(OR(J252="",K252=""),"",K252/J252-1)</f>
        <v/>
      </c>
      <c r="Q252" s="54">
        <f>IF(AND(ISNUMBER(J252),ISNUMBER(L252)),1,0)</f>
        <v/>
      </c>
      <c r="R252" s="69">
        <f>IF(Q252=1,G252*L252,0)</f>
        <v/>
      </c>
      <c r="S252" s="69">
        <f>IF(Q252=1,(H252+I252)*U252,0)</f>
        <v/>
      </c>
      <c r="T252" s="59">
        <f>IF(Q252=1,G252,0)</f>
        <v/>
      </c>
      <c r="U252" s="170" t="n">
        <v>1</v>
      </c>
    </row>
    <row r="253">
      <c r="A253" s="54" t="inlineStr">
        <is>
          <t>US DC B6</t>
        </is>
      </c>
      <c r="B253" s="54" t="inlineStr">
        <is>
          <t>US</t>
        </is>
      </c>
      <c r="C253" s="54" t="inlineStr">
        <is>
          <t>B0CQ32LWVD</t>
        </is>
      </c>
      <c r="D253" s="54" t="inlineStr">
        <is>
          <t>BAMBOO-TWIN-BURGUNDY-6PCS</t>
        </is>
      </c>
      <c r="E253" s="54" t="inlineStr">
        <is>
          <t>Twin</t>
        </is>
      </c>
      <c r="F253" s="54" t="inlineStr">
        <is>
          <t>Burgundy</t>
        </is>
      </c>
      <c r="G253" s="55" t="n">
        <v>10</v>
      </c>
      <c r="H253" s="167" t="n">
        <v>572.9</v>
      </c>
      <c r="I253" s="167" t="n">
        <v>0</v>
      </c>
      <c r="J253" s="168">
        <f>IF(AND(N(G253)&gt;0,N(H253)+N(I253)&gt;0),(H253+I253)*U253/G253,"")</f>
        <v/>
      </c>
      <c r="K253" s="167" t="n">
        <v>69.98999999999999</v>
      </c>
      <c r="L253" s="167" t="n">
        <v>59.99</v>
      </c>
      <c r="M253" s="54" t="inlineStr">
        <is>
          <t>Eligible</t>
        </is>
      </c>
      <c r="N253" s="168">
        <f>IF(OR(J253="",L253=""),"",L253-J253)</f>
        <v/>
      </c>
      <c r="O253" s="169">
        <f>IF(OR(J253="",L253=""),"",L253/J253-1)</f>
        <v/>
      </c>
      <c r="P253" s="169">
        <f>IF(OR(J253="",K253=""),"",K253/J253-1)</f>
        <v/>
      </c>
      <c r="Q253" s="54">
        <f>IF(AND(ISNUMBER(J253),ISNUMBER(L253)),1,0)</f>
        <v/>
      </c>
      <c r="R253" s="69">
        <f>IF(Q253=1,G253*L253,0)</f>
        <v/>
      </c>
      <c r="S253" s="69">
        <f>IF(Q253=1,(H253+I253)*U253,0)</f>
        <v/>
      </c>
      <c r="T253" s="59">
        <f>IF(Q253=1,G253,0)</f>
        <v/>
      </c>
      <c r="U253" s="170" t="n">
        <v>1</v>
      </c>
    </row>
    <row r="254">
      <c r="A254" s="54" t="inlineStr">
        <is>
          <t>US DC B6</t>
        </is>
      </c>
      <c r="B254" s="54" t="inlineStr">
        <is>
          <t>US</t>
        </is>
      </c>
      <c r="C254" s="54" t="inlineStr">
        <is>
          <t>B0CQ31V52K</t>
        </is>
      </c>
      <c r="D254" s="54" t="inlineStr">
        <is>
          <t>BAMBOO-CALIFKING-LIGHTOLIVE-6PCS</t>
        </is>
      </c>
      <c r="E254" s="54" t="inlineStr">
        <is>
          <t>California King</t>
        </is>
      </c>
      <c r="F254" s="54" t="inlineStr">
        <is>
          <t>Light Olive</t>
        </is>
      </c>
      <c r="G254" s="55" t="n">
        <v>8</v>
      </c>
      <c r="H254" s="167" t="n">
        <v>607.92</v>
      </c>
      <c r="I254" s="167" t="n">
        <v>0</v>
      </c>
      <c r="J254" s="168">
        <f>IF(AND(N(G254)&gt;0,N(H254)+N(I254)&gt;0),(H254+I254)*U254/G254,"")</f>
        <v/>
      </c>
      <c r="K254" s="167" t="n">
        <v>99.98999999999999</v>
      </c>
      <c r="L254" s="167" t="n">
        <v>84.98999999999999</v>
      </c>
      <c r="M254" s="54" t="inlineStr">
        <is>
          <t>Eligible</t>
        </is>
      </c>
      <c r="N254" s="168">
        <f>IF(OR(J254="",L254=""),"",L254-J254)</f>
        <v/>
      </c>
      <c r="O254" s="169">
        <f>IF(OR(J254="",L254=""),"",L254/J254-1)</f>
        <v/>
      </c>
      <c r="P254" s="169">
        <f>IF(OR(J254="",K254=""),"",K254/J254-1)</f>
        <v/>
      </c>
      <c r="Q254" s="54">
        <f>IF(AND(ISNUMBER(J254),ISNUMBER(L254)),1,0)</f>
        <v/>
      </c>
      <c r="R254" s="69">
        <f>IF(Q254=1,G254*L254,0)</f>
        <v/>
      </c>
      <c r="S254" s="69">
        <f>IF(Q254=1,(H254+I254)*U254,0)</f>
        <v/>
      </c>
      <c r="T254" s="59">
        <f>IF(Q254=1,G254,0)</f>
        <v/>
      </c>
      <c r="U254" s="170" t="n">
        <v>1</v>
      </c>
    </row>
    <row r="255">
      <c r="A255" s="54" t="inlineStr">
        <is>
          <t>US DC B6</t>
        </is>
      </c>
      <c r="B255" s="54" t="inlineStr">
        <is>
          <t>US</t>
        </is>
      </c>
      <c r="C255" s="54" t="inlineStr">
        <is>
          <t>B0CQ2ZVDC1</t>
        </is>
      </c>
      <c r="D255" s="54" t="inlineStr">
        <is>
          <t>BAMBOO-TWIN-CHARCOAL-6PCS</t>
        </is>
      </c>
      <c r="E255" s="54" t="inlineStr">
        <is>
          <t>Twin</t>
        </is>
      </c>
      <c r="F255" s="54" t="inlineStr">
        <is>
          <t>Charcoal</t>
        </is>
      </c>
      <c r="G255" s="55" t="n">
        <v>8</v>
      </c>
      <c r="H255" s="167" t="n">
        <v>407.92</v>
      </c>
      <c r="I255" s="167" t="n">
        <v>0</v>
      </c>
      <c r="J255" s="168">
        <f>IF(AND(N(G255)&gt;0,N(H255)+N(I255)&gt;0),(H255+I255)*U255/G255,"")</f>
        <v/>
      </c>
      <c r="K255" s="167" t="n">
        <v>69.98999999999999</v>
      </c>
      <c r="L255" s="167" t="n"/>
      <c r="M255" s="54" t="inlineStr">
        <is>
          <t>No reference price</t>
        </is>
      </c>
      <c r="N255" s="168">
        <f>IF(OR(J255="",L255=""),"",L255-J255)</f>
        <v/>
      </c>
      <c r="O255" s="169">
        <f>IF(OR(J255="",L255=""),"",L255/J255-1)</f>
        <v/>
      </c>
      <c r="P255" s="169">
        <f>IF(OR(J255="",K255=""),"",K255/J255-1)</f>
        <v/>
      </c>
      <c r="Q255" s="54">
        <f>IF(AND(ISNUMBER(J255),ISNUMBER(L255)),1,0)</f>
        <v/>
      </c>
      <c r="R255" s="69">
        <f>IF(Q255=1,G255*L255,0)</f>
        <v/>
      </c>
      <c r="S255" s="69">
        <f>IF(Q255=1,(H255+I255)*U255,0)</f>
        <v/>
      </c>
      <c r="T255" s="59">
        <f>IF(Q255=1,G255,0)</f>
        <v/>
      </c>
      <c r="U255" s="170" t="n">
        <v>1</v>
      </c>
    </row>
    <row r="256">
      <c r="A256" s="54" t="inlineStr">
        <is>
          <t>US DC B6</t>
        </is>
      </c>
      <c r="B256" s="54" t="inlineStr">
        <is>
          <t>US</t>
        </is>
      </c>
      <c r="C256" s="54" t="inlineStr">
        <is>
          <t>B0CQ33ZGQL</t>
        </is>
      </c>
      <c r="D256" s="54" t="inlineStr">
        <is>
          <t>BAMBOO-TWIN-LIGHTGREY-6PCS</t>
        </is>
      </c>
      <c r="E256" s="54" t="inlineStr">
        <is>
          <t>Twin</t>
        </is>
      </c>
      <c r="F256" s="54" t="inlineStr">
        <is>
          <t>Light Grey</t>
        </is>
      </c>
      <c r="G256" s="55" t="n">
        <v>8</v>
      </c>
      <c r="H256" s="167" t="n">
        <v>455.92</v>
      </c>
      <c r="I256" s="167" t="n">
        <v>0</v>
      </c>
      <c r="J256" s="168">
        <f>IF(AND(N(G256)&gt;0,N(H256)+N(I256)&gt;0),(H256+I256)*U256/G256,"")</f>
        <v/>
      </c>
      <c r="K256" s="167" t="n">
        <v>69.98999999999999</v>
      </c>
      <c r="L256" s="167" t="n"/>
      <c r="M256" s="54" t="inlineStr">
        <is>
          <t>No reference price</t>
        </is>
      </c>
      <c r="N256" s="168">
        <f>IF(OR(J256="",L256=""),"",L256-J256)</f>
        <v/>
      </c>
      <c r="O256" s="169">
        <f>IF(OR(J256="",L256=""),"",L256/J256-1)</f>
        <v/>
      </c>
      <c r="P256" s="169">
        <f>IF(OR(J256="",K256=""),"",K256/J256-1)</f>
        <v/>
      </c>
      <c r="Q256" s="54">
        <f>IF(AND(ISNUMBER(J256),ISNUMBER(L256)),1,0)</f>
        <v/>
      </c>
      <c r="R256" s="69">
        <f>IF(Q256=1,G256*L256,0)</f>
        <v/>
      </c>
      <c r="S256" s="69">
        <f>IF(Q256=1,(H256+I256)*U256,0)</f>
        <v/>
      </c>
      <c r="T256" s="59">
        <f>IF(Q256=1,G256,0)</f>
        <v/>
      </c>
      <c r="U256" s="170" t="n">
        <v>1</v>
      </c>
    </row>
    <row r="257">
      <c r="A257" s="54" t="inlineStr">
        <is>
          <t>US DC B6</t>
        </is>
      </c>
      <c r="B257" s="54" t="inlineStr">
        <is>
          <t>US</t>
        </is>
      </c>
      <c r="C257" s="54" t="inlineStr">
        <is>
          <t>B0CQ2YMNV7</t>
        </is>
      </c>
      <c r="D257" s="54" t="inlineStr">
        <is>
          <t>BAMBOO-TWIN-PURPLE-6PCS</t>
        </is>
      </c>
      <c r="E257" s="54" t="inlineStr">
        <is>
          <t>Twin</t>
        </is>
      </c>
      <c r="F257" s="54" t="inlineStr">
        <is>
          <t>Purple</t>
        </is>
      </c>
      <c r="G257" s="55" t="n">
        <v>8</v>
      </c>
      <c r="H257" s="167" t="n">
        <v>449.92</v>
      </c>
      <c r="I257" s="167" t="n">
        <v>0</v>
      </c>
      <c r="J257" s="168">
        <f>IF(AND(N(G257)&gt;0,N(H257)+N(I257)&gt;0),(H257+I257)*U257/G257,"")</f>
        <v/>
      </c>
      <c r="K257" s="167" t="n">
        <v>69.98999999999999</v>
      </c>
      <c r="L257" s="167" t="n">
        <v>51.29</v>
      </c>
      <c r="M257" s="54" t="inlineStr">
        <is>
          <t>Eligible</t>
        </is>
      </c>
      <c r="N257" s="168">
        <f>IF(OR(J257="",L257=""),"",L257-J257)</f>
        <v/>
      </c>
      <c r="O257" s="169">
        <f>IF(OR(J257="",L257=""),"",L257/J257-1)</f>
        <v/>
      </c>
      <c r="P257" s="169">
        <f>IF(OR(J257="",K257=""),"",K257/J257-1)</f>
        <v/>
      </c>
      <c r="Q257" s="54">
        <f>IF(AND(ISNUMBER(J257),ISNUMBER(L257)),1,0)</f>
        <v/>
      </c>
      <c r="R257" s="69">
        <f>IF(Q257=1,G257*L257,0)</f>
        <v/>
      </c>
      <c r="S257" s="69">
        <f>IF(Q257=1,(H257+I257)*U257,0)</f>
        <v/>
      </c>
      <c r="T257" s="59">
        <f>IF(Q257=1,G257,0)</f>
        <v/>
      </c>
      <c r="U257" s="170" t="n">
        <v>1</v>
      </c>
    </row>
    <row r="258">
      <c r="A258" s="54" t="inlineStr">
        <is>
          <t>US DC B6</t>
        </is>
      </c>
      <c r="B258" s="54" t="inlineStr">
        <is>
          <t>US</t>
        </is>
      </c>
      <c r="C258" s="54" t="inlineStr">
        <is>
          <t>B0CQ33P28L</t>
        </is>
      </c>
      <c r="D258" s="54" t="inlineStr">
        <is>
          <t>BAMBOO-TWIN-GREY-6PCS</t>
        </is>
      </c>
      <c r="E258" s="54" t="inlineStr">
        <is>
          <t>Twin</t>
        </is>
      </c>
      <c r="F258" s="54" t="inlineStr">
        <is>
          <t>Grey</t>
        </is>
      </c>
      <c r="G258" s="55" t="n">
        <v>7</v>
      </c>
      <c r="H258" s="167" t="n">
        <v>398.93</v>
      </c>
      <c r="I258" s="167" t="n">
        <v>0</v>
      </c>
      <c r="J258" s="168">
        <f>IF(AND(N(G258)&gt;0,N(H258)+N(I258)&gt;0),(H258+I258)*U258/G258,"")</f>
        <v/>
      </c>
      <c r="K258" s="167" t="n">
        <v>69.98999999999999</v>
      </c>
      <c r="L258" s="167" t="n">
        <v>56.99</v>
      </c>
      <c r="M258" s="54" t="inlineStr">
        <is>
          <t>Eligible</t>
        </is>
      </c>
      <c r="N258" s="168">
        <f>IF(OR(J258="",L258=""),"",L258-J258)</f>
        <v/>
      </c>
      <c r="O258" s="169">
        <f>IF(OR(J258="",L258=""),"",L258/J258-1)</f>
        <v/>
      </c>
      <c r="P258" s="169">
        <f>IF(OR(J258="",K258=""),"",K258/J258-1)</f>
        <v/>
      </c>
      <c r="Q258" s="54">
        <f>IF(AND(ISNUMBER(J258),ISNUMBER(L258)),1,0)</f>
        <v/>
      </c>
      <c r="R258" s="69">
        <f>IF(Q258=1,G258*L258,0)</f>
        <v/>
      </c>
      <c r="S258" s="69">
        <f>IF(Q258=1,(H258+I258)*U258,0)</f>
        <v/>
      </c>
      <c r="T258" s="59">
        <f>IF(Q258=1,G258,0)</f>
        <v/>
      </c>
      <c r="U258" s="170" t="n">
        <v>1</v>
      </c>
    </row>
    <row r="259">
      <c r="A259" s="54" t="inlineStr">
        <is>
          <t>US DC B6</t>
        </is>
      </c>
      <c r="B259" s="54" t="inlineStr">
        <is>
          <t>US</t>
        </is>
      </c>
      <c r="C259" s="54" t="inlineStr">
        <is>
          <t>B0CQ33BH1K</t>
        </is>
      </c>
      <c r="D259" s="54" t="inlineStr">
        <is>
          <t>BAMBOO-TWIN-LIGHT PINK-6PCS</t>
        </is>
      </c>
      <c r="E259" s="54" t="inlineStr">
        <is>
          <t>Twin</t>
        </is>
      </c>
      <c r="F259" s="54" t="inlineStr">
        <is>
          <t>Light Pink</t>
        </is>
      </c>
      <c r="G259" s="55" t="n">
        <v>7</v>
      </c>
      <c r="H259" s="167" t="n">
        <v>398.93</v>
      </c>
      <c r="I259" s="167" t="n">
        <v>0</v>
      </c>
      <c r="J259" s="168">
        <f>IF(AND(N(G259)&gt;0,N(H259)+N(I259)&gt;0),(H259+I259)*U259/G259,"")</f>
        <v/>
      </c>
      <c r="K259" s="167" t="n">
        <v>69.98999999999999</v>
      </c>
      <c r="L259" s="167" t="n"/>
      <c r="M259" s="54" t="inlineStr">
        <is>
          <t>No reference price</t>
        </is>
      </c>
      <c r="N259" s="168">
        <f>IF(OR(J259="",L259=""),"",L259-J259)</f>
        <v/>
      </c>
      <c r="O259" s="169">
        <f>IF(OR(J259="",L259=""),"",L259/J259-1)</f>
        <v/>
      </c>
      <c r="P259" s="169">
        <f>IF(OR(J259="",K259=""),"",K259/J259-1)</f>
        <v/>
      </c>
      <c r="Q259" s="54">
        <f>IF(AND(ISNUMBER(J259),ISNUMBER(L259)),1,0)</f>
        <v/>
      </c>
      <c r="R259" s="69">
        <f>IF(Q259=1,G259*L259,0)</f>
        <v/>
      </c>
      <c r="S259" s="69">
        <f>IF(Q259=1,(H259+I259)*U259,0)</f>
        <v/>
      </c>
      <c r="T259" s="59">
        <f>IF(Q259=1,G259,0)</f>
        <v/>
      </c>
      <c r="U259" s="170" t="n">
        <v>1</v>
      </c>
    </row>
    <row r="260">
      <c r="A260" s="54" t="inlineStr">
        <is>
          <t>US DC B6</t>
        </is>
      </c>
      <c r="B260" s="54" t="inlineStr">
        <is>
          <t>US</t>
        </is>
      </c>
      <c r="C260" s="54" t="inlineStr">
        <is>
          <t>B0CQ32JTTK</t>
        </is>
      </c>
      <c r="D260" s="54" t="inlineStr">
        <is>
          <t>BAMBOO-CALIFKING-CHARCOAL-6PCS</t>
        </is>
      </c>
      <c r="E260" s="54" t="inlineStr">
        <is>
          <t>California King</t>
        </is>
      </c>
      <c r="F260" s="54" t="inlineStr">
        <is>
          <t>Charcoal</t>
        </is>
      </c>
      <c r="G260" s="55" t="n">
        <v>6</v>
      </c>
      <c r="H260" s="167" t="n">
        <v>455.94</v>
      </c>
      <c r="I260" s="167" t="n">
        <v>0</v>
      </c>
      <c r="J260" s="168">
        <f>IF(AND(N(G260)&gt;0,N(H260)+N(I260)&gt;0),(H260+I260)*U260/G260,"")</f>
        <v/>
      </c>
      <c r="K260" s="167" t="n">
        <v>99.98999999999999</v>
      </c>
      <c r="L260" s="167" t="n">
        <v>84.98999999999999</v>
      </c>
      <c r="M260" s="54" t="inlineStr">
        <is>
          <t>Eligible</t>
        </is>
      </c>
      <c r="N260" s="168">
        <f>IF(OR(J260="",L260=""),"",L260-J260)</f>
        <v/>
      </c>
      <c r="O260" s="169">
        <f>IF(OR(J260="",L260=""),"",L260/J260-1)</f>
        <v/>
      </c>
      <c r="P260" s="169">
        <f>IF(OR(J260="",K260=""),"",K260/J260-1)</f>
        <v/>
      </c>
      <c r="Q260" s="54">
        <f>IF(AND(ISNUMBER(J260),ISNUMBER(L260)),1,0)</f>
        <v/>
      </c>
      <c r="R260" s="69">
        <f>IF(Q260=1,G260*L260,0)</f>
        <v/>
      </c>
      <c r="S260" s="69">
        <f>IF(Q260=1,(H260+I260)*U260,0)</f>
        <v/>
      </c>
      <c r="T260" s="59">
        <f>IF(Q260=1,G260,0)</f>
        <v/>
      </c>
      <c r="U260" s="170" t="n">
        <v>1</v>
      </c>
    </row>
    <row r="261">
      <c r="A261" s="54" t="inlineStr">
        <is>
          <t>US DC B6</t>
        </is>
      </c>
      <c r="B261" s="54" t="inlineStr">
        <is>
          <t>US</t>
        </is>
      </c>
      <c r="C261" s="54" t="inlineStr">
        <is>
          <t>B0CQ32CNNX</t>
        </is>
      </c>
      <c r="D261" s="54" t="inlineStr">
        <is>
          <t>BAMBOO-CALIFKING-PURPLE-6PCS</t>
        </is>
      </c>
      <c r="E261" s="54" t="inlineStr">
        <is>
          <t>California King</t>
        </is>
      </c>
      <c r="F261" s="54" t="inlineStr">
        <is>
          <t>Purple</t>
        </is>
      </c>
      <c r="G261" s="55" t="n">
        <v>6</v>
      </c>
      <c r="H261" s="167" t="n">
        <v>455.94</v>
      </c>
      <c r="I261" s="167" t="n">
        <v>0</v>
      </c>
      <c r="J261" s="168">
        <f>IF(AND(N(G261)&gt;0,N(H261)+N(I261)&gt;0),(H261+I261)*U261/G261,"")</f>
        <v/>
      </c>
      <c r="K261" s="167" t="n">
        <v>99.98999999999999</v>
      </c>
      <c r="L261" s="167" t="n">
        <v>94.98999999999999</v>
      </c>
      <c r="M261" s="54" t="inlineStr">
        <is>
          <t>Eligible</t>
        </is>
      </c>
      <c r="N261" s="168">
        <f>IF(OR(J261="",L261=""),"",L261-J261)</f>
        <v/>
      </c>
      <c r="O261" s="169">
        <f>IF(OR(J261="",L261=""),"",L261/J261-1)</f>
        <v/>
      </c>
      <c r="P261" s="169">
        <f>IF(OR(J261="",K261=""),"",K261/J261-1)</f>
        <v/>
      </c>
      <c r="Q261" s="54">
        <f>IF(AND(ISNUMBER(J261),ISNUMBER(L261)),1,0)</f>
        <v/>
      </c>
      <c r="R261" s="69">
        <f>IF(Q261=1,G261*L261,0)</f>
        <v/>
      </c>
      <c r="S261" s="69">
        <f>IF(Q261=1,(H261+I261)*U261,0)</f>
        <v/>
      </c>
      <c r="T261" s="59">
        <f>IF(Q261=1,G261,0)</f>
        <v/>
      </c>
      <c r="U261" s="170" t="n">
        <v>1</v>
      </c>
    </row>
    <row r="262">
      <c r="A262" s="54" t="inlineStr">
        <is>
          <t>US DC B6</t>
        </is>
      </c>
      <c r="B262" s="54" t="inlineStr">
        <is>
          <t>US</t>
        </is>
      </c>
      <c r="C262" s="54" t="inlineStr">
        <is>
          <t>B0CQ31N5Q5</t>
        </is>
      </c>
      <c r="D262" s="54" t="inlineStr">
        <is>
          <t>BAMBOO-TWIN-NAVYBLUE-6PCS</t>
        </is>
      </c>
      <c r="E262" s="54" t="inlineStr">
        <is>
          <t>Twin</t>
        </is>
      </c>
      <c r="F262" s="54" t="inlineStr">
        <is>
          <t>Navy Blue</t>
        </is>
      </c>
      <c r="G262" s="55" t="n">
        <v>6</v>
      </c>
      <c r="H262" s="167" t="n">
        <v>359.94</v>
      </c>
      <c r="I262" s="167" t="n">
        <v>0</v>
      </c>
      <c r="J262" s="168">
        <f>IF(AND(N(G262)&gt;0,N(H262)+N(I262)&gt;0),(H262+I262)*U262/G262,"")</f>
        <v/>
      </c>
      <c r="K262" s="167" t="n">
        <v>69.98999999999999</v>
      </c>
      <c r="L262" s="167" t="n">
        <v>59.99</v>
      </c>
      <c r="M262" s="54" t="inlineStr">
        <is>
          <t>Eligible</t>
        </is>
      </c>
      <c r="N262" s="168">
        <f>IF(OR(J262="",L262=""),"",L262-J262)</f>
        <v/>
      </c>
      <c r="O262" s="169">
        <f>IF(OR(J262="",L262=""),"",L262/J262-1)</f>
        <v/>
      </c>
      <c r="P262" s="169">
        <f>IF(OR(J262="",K262=""),"",K262/J262-1)</f>
        <v/>
      </c>
      <c r="Q262" s="54">
        <f>IF(AND(ISNUMBER(J262),ISNUMBER(L262)),1,0)</f>
        <v/>
      </c>
      <c r="R262" s="69">
        <f>IF(Q262=1,G262*L262,0)</f>
        <v/>
      </c>
      <c r="S262" s="69">
        <f>IF(Q262=1,(H262+I262)*U262,0)</f>
        <v/>
      </c>
      <c r="T262" s="59">
        <f>IF(Q262=1,G262,0)</f>
        <v/>
      </c>
      <c r="U262" s="170" t="n">
        <v>1</v>
      </c>
    </row>
    <row r="263">
      <c r="A263" s="54" t="inlineStr">
        <is>
          <t>US DC B6</t>
        </is>
      </c>
      <c r="B263" s="54" t="inlineStr">
        <is>
          <t>US</t>
        </is>
      </c>
      <c r="C263" s="54" t="inlineStr">
        <is>
          <t>B0CQ2ZS83S</t>
        </is>
      </c>
      <c r="D263" s="54" t="inlineStr">
        <is>
          <t>BAMBOO-CALIFKING-LIGHT PINK-6PCS</t>
        </is>
      </c>
      <c r="E263" s="54" t="inlineStr">
        <is>
          <t>California King</t>
        </is>
      </c>
      <c r="F263" s="54" t="inlineStr">
        <is>
          <t>Light Pink</t>
        </is>
      </c>
      <c r="G263" s="55" t="n">
        <v>5</v>
      </c>
      <c r="H263" s="167" t="n">
        <v>379.95</v>
      </c>
      <c r="I263" s="167" t="n">
        <v>0</v>
      </c>
      <c r="J263" s="168">
        <f>IF(AND(N(G263)&gt;0,N(H263)+N(I263)&gt;0),(H263+I263)*U263/G263,"")</f>
        <v/>
      </c>
      <c r="K263" s="167" t="n">
        <v>99.98999999999999</v>
      </c>
      <c r="L263" s="167" t="n">
        <v>94.98999999999999</v>
      </c>
      <c r="M263" s="54" t="inlineStr">
        <is>
          <t>Eligible</t>
        </is>
      </c>
      <c r="N263" s="168">
        <f>IF(OR(J263="",L263=""),"",L263-J263)</f>
        <v/>
      </c>
      <c r="O263" s="169">
        <f>IF(OR(J263="",L263=""),"",L263/J263-1)</f>
        <v/>
      </c>
      <c r="P263" s="169">
        <f>IF(OR(J263="",K263=""),"",K263/J263-1)</f>
        <v/>
      </c>
      <c r="Q263" s="54">
        <f>IF(AND(ISNUMBER(J263),ISNUMBER(L263)),1,0)</f>
        <v/>
      </c>
      <c r="R263" s="69">
        <f>IF(Q263=1,G263*L263,0)</f>
        <v/>
      </c>
      <c r="S263" s="69">
        <f>IF(Q263=1,(H263+I263)*U263,0)</f>
        <v/>
      </c>
      <c r="T263" s="59">
        <f>IF(Q263=1,G263,0)</f>
        <v/>
      </c>
      <c r="U263" s="170" t="n">
        <v>1</v>
      </c>
    </row>
    <row r="264">
      <c r="A264" s="54" t="inlineStr">
        <is>
          <t>US DC B6</t>
        </is>
      </c>
      <c r="B264" s="54" t="inlineStr">
        <is>
          <t>US</t>
        </is>
      </c>
      <c r="C264" s="54" t="inlineStr">
        <is>
          <t>B0CQ3319BK</t>
        </is>
      </c>
      <c r="D264" s="54" t="inlineStr">
        <is>
          <t>BAMBOO-TWIN-BLACK-6PCS</t>
        </is>
      </c>
      <c r="E264" s="54" t="inlineStr">
        <is>
          <t>Twin</t>
        </is>
      </c>
      <c r="F264" s="54" t="inlineStr">
        <is>
          <t>Black</t>
        </is>
      </c>
      <c r="G264" s="55" t="n">
        <v>5</v>
      </c>
      <c r="H264" s="167" t="n">
        <v>284.95</v>
      </c>
      <c r="I264" s="167" t="n">
        <v>0</v>
      </c>
      <c r="J264" s="168">
        <f>IF(AND(N(G264)&gt;0,N(H264)+N(I264)&gt;0),(H264+I264)*U264/G264,"")</f>
        <v/>
      </c>
      <c r="K264" s="167" t="n">
        <v>69.98999999999999</v>
      </c>
      <c r="L264" s="167" t="n">
        <v>66.48999999999999</v>
      </c>
      <c r="M264" s="54" t="inlineStr">
        <is>
          <t>Eligible</t>
        </is>
      </c>
      <c r="N264" s="168">
        <f>IF(OR(J264="",L264=""),"",L264-J264)</f>
        <v/>
      </c>
      <c r="O264" s="169">
        <f>IF(OR(J264="",L264=""),"",L264/J264-1)</f>
        <v/>
      </c>
      <c r="P264" s="169">
        <f>IF(OR(J264="",K264=""),"",K264/J264-1)</f>
        <v/>
      </c>
      <c r="Q264" s="54">
        <f>IF(AND(ISNUMBER(J264),ISNUMBER(L264)),1,0)</f>
        <v/>
      </c>
      <c r="R264" s="69">
        <f>IF(Q264=1,G264*L264,0)</f>
        <v/>
      </c>
      <c r="S264" s="69">
        <f>IF(Q264=1,(H264+I264)*U264,0)</f>
        <v/>
      </c>
      <c r="T264" s="59">
        <f>IF(Q264=1,G264,0)</f>
        <v/>
      </c>
      <c r="U264" s="170" t="n">
        <v>1</v>
      </c>
    </row>
    <row r="265">
      <c r="A265" s="54" t="inlineStr">
        <is>
          <t>US DC B6</t>
        </is>
      </c>
      <c r="B265" s="54" t="inlineStr">
        <is>
          <t>US</t>
        </is>
      </c>
      <c r="C265" s="54" t="inlineStr">
        <is>
          <t>B0CQ31XF3H</t>
        </is>
      </c>
      <c r="D265" s="54" t="inlineStr">
        <is>
          <t>BAMBOO-TWIN-MIDGREY-6PCS</t>
        </is>
      </c>
      <c r="E265" s="54" t="inlineStr">
        <is>
          <t>Twin</t>
        </is>
      </c>
      <c r="F265" s="54" t="inlineStr">
        <is>
          <t>Midgrey</t>
        </is>
      </c>
      <c r="G265" s="55" t="n">
        <v>5</v>
      </c>
      <c r="H265" s="167" t="n">
        <v>284.95</v>
      </c>
      <c r="I265" s="167" t="n">
        <v>0</v>
      </c>
      <c r="J265" s="168">
        <f>IF(AND(N(G265)&gt;0,N(H265)+N(I265)&gt;0),(H265+I265)*U265/G265,"")</f>
        <v/>
      </c>
      <c r="K265" s="167" t="n">
        <v>69.98999999999999</v>
      </c>
      <c r="L265" s="167" t="n">
        <v>48.44</v>
      </c>
      <c r="M265" s="54" t="inlineStr">
        <is>
          <t>Eligible</t>
        </is>
      </c>
      <c r="N265" s="168">
        <f>IF(OR(J265="",L265=""),"",L265-J265)</f>
        <v/>
      </c>
      <c r="O265" s="169">
        <f>IF(OR(J265="",L265=""),"",L265/J265-1)</f>
        <v/>
      </c>
      <c r="P265" s="169">
        <f>IF(OR(J265="",K265=""),"",K265/J265-1)</f>
        <v/>
      </c>
      <c r="Q265" s="54">
        <f>IF(AND(ISNUMBER(J265),ISNUMBER(L265)),1,0)</f>
        <v/>
      </c>
      <c r="R265" s="69">
        <f>IF(Q265=1,G265*L265,0)</f>
        <v/>
      </c>
      <c r="S265" s="69">
        <f>IF(Q265=1,(H265+I265)*U265,0)</f>
        <v/>
      </c>
      <c r="T265" s="59">
        <f>IF(Q265=1,G265,0)</f>
        <v/>
      </c>
      <c r="U265" s="170" t="n">
        <v>1</v>
      </c>
    </row>
    <row r="266">
      <c r="A266" s="54" t="inlineStr">
        <is>
          <t>US DC B6</t>
        </is>
      </c>
      <c r="B266" s="54" t="inlineStr">
        <is>
          <t>US</t>
        </is>
      </c>
      <c r="C266" s="54" t="inlineStr">
        <is>
          <t>B0CQ33QVZK</t>
        </is>
      </c>
      <c r="D266" s="54" t="inlineStr">
        <is>
          <t>BAMBOO-CALIFKING-BURGUNDY-6PCS</t>
        </is>
      </c>
      <c r="E266" s="54" t="inlineStr">
        <is>
          <t>California King</t>
        </is>
      </c>
      <c r="F266" s="54" t="inlineStr">
        <is>
          <t>Burgundy</t>
        </is>
      </c>
      <c r="G266" s="55" t="n">
        <v>4</v>
      </c>
      <c r="H266" s="167" t="n">
        <v>319.96</v>
      </c>
      <c r="I266" s="167" t="n">
        <v>0</v>
      </c>
      <c r="J266" s="168">
        <f>IF(AND(N(G266)&gt;0,N(H266)+N(I266)&gt;0),(H266+I266)*U266/G266,"")</f>
        <v/>
      </c>
      <c r="K266" s="167" t="n">
        <v>99.98999999999999</v>
      </c>
      <c r="L266" s="167" t="n">
        <v>84.98999999999999</v>
      </c>
      <c r="M266" s="54" t="inlineStr">
        <is>
          <t>Eligible</t>
        </is>
      </c>
      <c r="N266" s="168">
        <f>IF(OR(J266="",L266=""),"",L266-J266)</f>
        <v/>
      </c>
      <c r="O266" s="169">
        <f>IF(OR(J266="",L266=""),"",L266/J266-1)</f>
        <v/>
      </c>
      <c r="P266" s="169">
        <f>IF(OR(J266="",K266=""),"",K266/J266-1)</f>
        <v/>
      </c>
      <c r="Q266" s="54">
        <f>IF(AND(ISNUMBER(J266),ISNUMBER(L266)),1,0)</f>
        <v/>
      </c>
      <c r="R266" s="69">
        <f>IF(Q266=1,G266*L266,0)</f>
        <v/>
      </c>
      <c r="S266" s="69">
        <f>IF(Q266=1,(H266+I266)*U266,0)</f>
        <v/>
      </c>
      <c r="T266" s="59">
        <f>IF(Q266=1,G266,0)</f>
        <v/>
      </c>
      <c r="U266" s="170" t="n">
        <v>1</v>
      </c>
    </row>
    <row r="267">
      <c r="A267" s="54" t="inlineStr">
        <is>
          <t>US DC B6</t>
        </is>
      </c>
      <c r="B267" s="54" t="inlineStr">
        <is>
          <t>US</t>
        </is>
      </c>
      <c r="C267" s="54" t="inlineStr">
        <is>
          <t>B0CQ31D5FM</t>
        </is>
      </c>
      <c r="D267" s="54" t="inlineStr">
        <is>
          <t>BAMBOO-CALIFKING-BLACK-6PCS</t>
        </is>
      </c>
      <c r="E267" s="54" t="inlineStr">
        <is>
          <t>California King</t>
        </is>
      </c>
      <c r="F267" s="54" t="inlineStr">
        <is>
          <t>Black</t>
        </is>
      </c>
      <c r="G267" s="55" t="n">
        <v>3</v>
      </c>
      <c r="H267" s="167" t="n">
        <v>239.97</v>
      </c>
      <c r="I267" s="167" t="n">
        <v>0</v>
      </c>
      <c r="J267" s="168">
        <f>IF(AND(N(G267)&gt;0,N(H267)+N(I267)&gt;0),(H267+I267)*U267/G267,"")</f>
        <v/>
      </c>
      <c r="K267" s="167" t="n">
        <v>99.98999999999999</v>
      </c>
      <c r="L267" s="167" t="n">
        <v>72.67</v>
      </c>
      <c r="M267" s="54" t="inlineStr">
        <is>
          <t>Eligible</t>
        </is>
      </c>
      <c r="N267" s="168">
        <f>IF(OR(J267="",L267=""),"",L267-J267)</f>
        <v/>
      </c>
      <c r="O267" s="169">
        <f>IF(OR(J267="",L267=""),"",L267/J267-1)</f>
        <v/>
      </c>
      <c r="P267" s="169">
        <f>IF(OR(J267="",K267=""),"",K267/J267-1)</f>
        <v/>
      </c>
      <c r="Q267" s="54">
        <f>IF(AND(ISNUMBER(J267),ISNUMBER(L267)),1,0)</f>
        <v/>
      </c>
      <c r="R267" s="69">
        <f>IF(Q267=1,G267*L267,0)</f>
        <v/>
      </c>
      <c r="S267" s="69">
        <f>IF(Q267=1,(H267+I267)*U267,0)</f>
        <v/>
      </c>
      <c r="T267" s="59">
        <f>IF(Q267=1,G267,0)</f>
        <v/>
      </c>
      <c r="U267" s="170" t="n">
        <v>1</v>
      </c>
    </row>
    <row r="268">
      <c r="A268" s="54" t="inlineStr">
        <is>
          <t>US DC B6</t>
        </is>
      </c>
      <c r="B268" s="54" t="inlineStr">
        <is>
          <t>US</t>
        </is>
      </c>
      <c r="C268" s="54" t="inlineStr">
        <is>
          <t>B0CQ2YBSK2</t>
        </is>
      </c>
      <c r="D268" s="54" t="inlineStr">
        <is>
          <t>BAMBOO-FULL-LIGHTOLIVE-6PCS</t>
        </is>
      </c>
      <c r="E268" s="54" t="inlineStr">
        <is>
          <t>Full</t>
        </is>
      </c>
      <c r="F268" s="54" t="inlineStr">
        <is>
          <t>Light Olive</t>
        </is>
      </c>
      <c r="G268" s="55" t="n">
        <v>3</v>
      </c>
      <c r="H268" s="167" t="n">
        <v>199.47</v>
      </c>
      <c r="I268" s="167" t="n">
        <v>0</v>
      </c>
      <c r="J268" s="168">
        <f>IF(AND(N(G268)&gt;0,N(H268)+N(I268)&gt;0),(H268+I268)*U268/G268,"")</f>
        <v/>
      </c>
      <c r="K268" s="167" t="n">
        <v>79.98999999999999</v>
      </c>
      <c r="L268" s="167" t="n">
        <v>66.48999999999999</v>
      </c>
      <c r="M268" s="54" t="inlineStr">
        <is>
          <t>Eligible</t>
        </is>
      </c>
      <c r="N268" s="168">
        <f>IF(OR(J268="",L268=""),"",L268-J268)</f>
        <v/>
      </c>
      <c r="O268" s="169">
        <f>IF(OR(J268="",L268=""),"",L268/J268-1)</f>
        <v/>
      </c>
      <c r="P268" s="169">
        <f>IF(OR(J268="",K268=""),"",K268/J268-1)</f>
        <v/>
      </c>
      <c r="Q268" s="54">
        <f>IF(AND(ISNUMBER(J268),ISNUMBER(L268)),1,0)</f>
        <v/>
      </c>
      <c r="R268" s="69">
        <f>IF(Q268=1,G268*L268,0)</f>
        <v/>
      </c>
      <c r="S268" s="69">
        <f>IF(Q268=1,(H268+I268)*U268,0)</f>
        <v/>
      </c>
      <c r="T268" s="59">
        <f>IF(Q268=1,G268,0)</f>
        <v/>
      </c>
      <c r="U268" s="170" t="n">
        <v>1</v>
      </c>
    </row>
    <row r="269">
      <c r="A269" s="54" t="inlineStr">
        <is>
          <t>US DC B6</t>
        </is>
      </c>
      <c r="B269" s="54" t="inlineStr">
        <is>
          <t>US</t>
        </is>
      </c>
      <c r="C269" s="54" t="inlineStr">
        <is>
          <t>B0CQ2YWCB3</t>
        </is>
      </c>
      <c r="D269" s="54" t="inlineStr">
        <is>
          <t>BAMBOO-TWIN-LIGHTOLIVE-6PCS</t>
        </is>
      </c>
      <c r="E269" s="54" t="inlineStr">
        <is>
          <t>Twin</t>
        </is>
      </c>
      <c r="F269" s="54" t="inlineStr">
        <is>
          <t>Light Olive</t>
        </is>
      </c>
      <c r="G269" s="55" t="n">
        <v>3</v>
      </c>
      <c r="H269" s="167" t="n">
        <v>170.97</v>
      </c>
      <c r="I269" s="167" t="n">
        <v>0</v>
      </c>
      <c r="J269" s="168">
        <f>IF(AND(N(G269)&gt;0,N(H269)+N(I269)&gt;0),(H269+I269)*U269/G269,"")</f>
        <v/>
      </c>
      <c r="K269" s="167" t="n">
        <v>69.98999999999999</v>
      </c>
      <c r="L269" s="167" t="n">
        <v>50.01</v>
      </c>
      <c r="M269" s="54" t="inlineStr">
        <is>
          <t>Eligible</t>
        </is>
      </c>
      <c r="N269" s="168">
        <f>IF(OR(J269="",L269=""),"",L269-J269)</f>
        <v/>
      </c>
      <c r="O269" s="169">
        <f>IF(OR(J269="",L269=""),"",L269/J269-1)</f>
        <v/>
      </c>
      <c r="P269" s="169">
        <f>IF(OR(J269="",K269=""),"",K269/J269-1)</f>
        <v/>
      </c>
      <c r="Q269" s="54">
        <f>IF(AND(ISNUMBER(J269),ISNUMBER(L269)),1,0)</f>
        <v/>
      </c>
      <c r="R269" s="69">
        <f>IF(Q269=1,G269*L269,0)</f>
        <v/>
      </c>
      <c r="S269" s="69">
        <f>IF(Q269=1,(H269+I269)*U269,0)</f>
        <v/>
      </c>
      <c r="T269" s="59">
        <f>IF(Q269=1,G269,0)</f>
        <v/>
      </c>
      <c r="U269" s="170" t="n">
        <v>1</v>
      </c>
    </row>
    <row r="270">
      <c r="A270" s="54" t="inlineStr">
        <is>
          <t>CA DC B6</t>
        </is>
      </c>
      <c r="B270" s="54" t="inlineStr">
        <is>
          <t>CA</t>
        </is>
      </c>
      <c r="C270" s="54" t="inlineStr">
        <is>
          <t>B0CQ2XQF9N</t>
        </is>
      </c>
      <c r="D270" s="54" t="inlineStr">
        <is>
          <t>BAMBOO-KING-WHITE-6PCS</t>
        </is>
      </c>
      <c r="E270" s="54" t="inlineStr">
        <is>
          <t>King</t>
        </is>
      </c>
      <c r="F270" s="54" t="inlineStr">
        <is>
          <t>White</t>
        </is>
      </c>
      <c r="G270" s="55" t="n">
        <v>278</v>
      </c>
      <c r="H270" s="167" t="n">
        <v>11886.84</v>
      </c>
      <c r="I270" s="167" t="n">
        <v>0</v>
      </c>
      <c r="J270" s="171">
        <f>IF(AND(N(G270)&gt;0,N(H270)+N(I270)&gt;0),(H270+I270)*U270/G270,"")</f>
        <v/>
      </c>
      <c r="K270" s="172" t="n">
        <v>99.98999999999999</v>
      </c>
      <c r="L270" s="172" t="n">
        <v>84.98999999999999</v>
      </c>
      <c r="M270" s="54" t="inlineStr">
        <is>
          <t>Eligible</t>
        </is>
      </c>
      <c r="N270" s="171">
        <f>IF(OR(J270="",L270=""),"",L270-J270)</f>
        <v/>
      </c>
      <c r="O270" s="169">
        <f>IF(OR(J270="",L270=""),"",L270/J270-1)</f>
        <v/>
      </c>
      <c r="P270" s="169">
        <f>IF(OR(J270="",K270=""),"",K270/J270-1)</f>
        <v/>
      </c>
      <c r="Q270" s="54">
        <f>IF(AND(ISNUMBER(J270),ISNUMBER(L270)),1,0)</f>
        <v/>
      </c>
      <c r="R270" s="69">
        <f>IF(Q270=1,G270*L270,0)</f>
        <v/>
      </c>
      <c r="S270" s="69">
        <f>IF(Q270=1,(H270+I270)*U270,0)</f>
        <v/>
      </c>
      <c r="T270" s="59">
        <f>IF(Q270=1,G270,0)</f>
        <v/>
      </c>
      <c r="U270" s="170">
        <f>$G$3</f>
        <v/>
      </c>
    </row>
    <row r="271">
      <c r="A271" s="54" t="inlineStr">
        <is>
          <t>CA DC B6</t>
        </is>
      </c>
      <c r="B271" s="54" t="inlineStr">
        <is>
          <t>CA</t>
        </is>
      </c>
      <c r="C271" s="54" t="inlineStr">
        <is>
          <t>B0CQ3178D7</t>
        </is>
      </c>
      <c r="D271" s="54" t="inlineStr">
        <is>
          <t>BAMBOO-KING-TAUPE-6PCS</t>
        </is>
      </c>
      <c r="E271" s="54" t="inlineStr">
        <is>
          <t>King</t>
        </is>
      </c>
      <c r="F271" s="54" t="inlineStr">
        <is>
          <t>Taupe</t>
        </is>
      </c>
      <c r="G271" s="55" t="n">
        <v>266</v>
      </c>
      <c r="H271" s="167" t="n">
        <v>11376.1</v>
      </c>
      <c r="I271" s="167" t="n">
        <v>0</v>
      </c>
      <c r="J271" s="171">
        <f>IF(AND(N(G271)&gt;0,N(H271)+N(I271)&gt;0),(H271+I271)*U271/G271,"")</f>
        <v/>
      </c>
      <c r="K271" s="172" t="n">
        <v>99.98999999999999</v>
      </c>
      <c r="L271" s="172" t="n">
        <v>84.98999999999999</v>
      </c>
      <c r="M271" s="54" t="inlineStr">
        <is>
          <t>Eligible</t>
        </is>
      </c>
      <c r="N271" s="171">
        <f>IF(OR(J271="",L271=""),"",L271-J271)</f>
        <v/>
      </c>
      <c r="O271" s="169">
        <f>IF(OR(J271="",L271=""),"",L271/J271-1)</f>
        <v/>
      </c>
      <c r="P271" s="169">
        <f>IF(OR(J271="",K271=""),"",K271/J271-1)</f>
        <v/>
      </c>
      <c r="Q271" s="54">
        <f>IF(AND(ISNUMBER(J271),ISNUMBER(L271)),1,0)</f>
        <v/>
      </c>
      <c r="R271" s="69">
        <f>IF(Q271=1,G271*L271,0)</f>
        <v/>
      </c>
      <c r="S271" s="69">
        <f>IF(Q271=1,(H271+I271)*U271,0)</f>
        <v/>
      </c>
      <c r="T271" s="59">
        <f>IF(Q271=1,G271,0)</f>
        <v/>
      </c>
      <c r="U271" s="170">
        <f>$G$3</f>
        <v/>
      </c>
    </row>
    <row r="272">
      <c r="A272" s="54" t="inlineStr">
        <is>
          <t>CA DC B6</t>
        </is>
      </c>
      <c r="B272" s="54" t="inlineStr">
        <is>
          <t>CA</t>
        </is>
      </c>
      <c r="C272" s="54" t="inlineStr">
        <is>
          <t>B0CQ316YRY</t>
        </is>
      </c>
      <c r="D272" s="54" t="inlineStr">
        <is>
          <t>BAMBOO-KING-NAVYBLUE-6PCS</t>
        </is>
      </c>
      <c r="E272" s="54" t="inlineStr">
        <is>
          <t>King</t>
        </is>
      </c>
      <c r="F272" s="54" t="inlineStr">
        <is>
          <t>Navy Blue</t>
        </is>
      </c>
      <c r="G272" s="55" t="n">
        <v>121</v>
      </c>
      <c r="H272" s="167" t="n">
        <v>5520.19</v>
      </c>
      <c r="I272" s="167" t="n">
        <v>0</v>
      </c>
      <c r="J272" s="171">
        <f>IF(AND(N(G272)&gt;0,N(H272)+N(I272)&gt;0),(H272+I272)*U272/G272,"")</f>
        <v/>
      </c>
      <c r="K272" s="172" t="n">
        <v>99.98999999999999</v>
      </c>
      <c r="L272" s="172" t="n">
        <v>84.98999999999999</v>
      </c>
      <c r="M272" s="54" t="inlineStr">
        <is>
          <t>Eligible</t>
        </is>
      </c>
      <c r="N272" s="171">
        <f>IF(OR(J272="",L272=""),"",L272-J272)</f>
        <v/>
      </c>
      <c r="O272" s="169">
        <f>IF(OR(J272="",L272=""),"",L272/J272-1)</f>
        <v/>
      </c>
      <c r="P272" s="169">
        <f>IF(OR(J272="",K272=""),"",K272/J272-1)</f>
        <v/>
      </c>
      <c r="Q272" s="54">
        <f>IF(AND(ISNUMBER(J272),ISNUMBER(L272)),1,0)</f>
        <v/>
      </c>
      <c r="R272" s="69">
        <f>IF(Q272=1,G272*L272,0)</f>
        <v/>
      </c>
      <c r="S272" s="69">
        <f>IF(Q272=1,(H272+I272)*U272,0)</f>
        <v/>
      </c>
      <c r="T272" s="59">
        <f>IF(Q272=1,G272,0)</f>
        <v/>
      </c>
      <c r="U272" s="170">
        <f>$G$3</f>
        <v/>
      </c>
    </row>
    <row r="273">
      <c r="A273" s="54" t="inlineStr">
        <is>
          <t>CA DC B6</t>
        </is>
      </c>
      <c r="B273" s="54" t="inlineStr">
        <is>
          <t>CA</t>
        </is>
      </c>
      <c r="C273" s="54" t="inlineStr">
        <is>
          <t>B0CQ33C286</t>
        </is>
      </c>
      <c r="D273" s="54" t="inlineStr">
        <is>
          <t>BAMBOO-QUEEN-CHARCOAL-6PCS</t>
        </is>
      </c>
      <c r="E273" s="54" t="inlineStr">
        <is>
          <t>Queen</t>
        </is>
      </c>
      <c r="F273" s="54" t="inlineStr">
        <is>
          <t>Charcoal</t>
        </is>
      </c>
      <c r="G273" s="55" t="n">
        <v>118</v>
      </c>
      <c r="H273" s="167" t="n">
        <v>5360.53</v>
      </c>
      <c r="I273" s="167" t="n">
        <v>0</v>
      </c>
      <c r="J273" s="171">
        <f>IF(AND(N(G273)&gt;0,N(H273)+N(I273)&gt;0),(H273+I273)*U273/G273,"")</f>
        <v/>
      </c>
      <c r="K273" s="172" t="n">
        <v>99.98999999999999</v>
      </c>
      <c r="L273" s="172" t="n">
        <v>89.23999999999999</v>
      </c>
      <c r="M273" s="54" t="inlineStr">
        <is>
          <t>Eligible</t>
        </is>
      </c>
      <c r="N273" s="171">
        <f>IF(OR(J273="",L273=""),"",L273-J273)</f>
        <v/>
      </c>
      <c r="O273" s="169">
        <f>IF(OR(J273="",L273=""),"",L273/J273-1)</f>
        <v/>
      </c>
      <c r="P273" s="169">
        <f>IF(OR(J273="",K273=""),"",K273/J273-1)</f>
        <v/>
      </c>
      <c r="Q273" s="54">
        <f>IF(AND(ISNUMBER(J273),ISNUMBER(L273)),1,0)</f>
        <v/>
      </c>
      <c r="R273" s="69">
        <f>IF(Q273=1,G273*L273,0)</f>
        <v/>
      </c>
      <c r="S273" s="69">
        <f>IF(Q273=1,(H273+I273)*U273,0)</f>
        <v/>
      </c>
      <c r="T273" s="59">
        <f>IF(Q273=1,G273,0)</f>
        <v/>
      </c>
      <c r="U273" s="170">
        <f>$G$3</f>
        <v/>
      </c>
    </row>
    <row r="274">
      <c r="A274" s="54" t="inlineStr">
        <is>
          <t>CA DC B6</t>
        </is>
      </c>
      <c r="B274" s="54" t="inlineStr">
        <is>
          <t>CA</t>
        </is>
      </c>
      <c r="C274" s="54" t="inlineStr">
        <is>
          <t>B0CQ32S4ML</t>
        </is>
      </c>
      <c r="D274" s="54" t="inlineStr">
        <is>
          <t>BAMBOO-KING-GREY-6PCS</t>
        </is>
      </c>
      <c r="E274" s="54" t="inlineStr">
        <is>
          <t>King</t>
        </is>
      </c>
      <c r="F274" s="54" t="inlineStr">
        <is>
          <t>Grey</t>
        </is>
      </c>
      <c r="G274" s="55" t="n">
        <v>86</v>
      </c>
      <c r="H274" s="167" t="n">
        <v>3921.53</v>
      </c>
      <c r="I274" s="167" t="n">
        <v>0</v>
      </c>
      <c r="J274" s="171">
        <f>IF(AND(N(G274)&gt;0,N(H274)+N(I274)&gt;0),(H274+I274)*U274/G274,"")</f>
        <v/>
      </c>
      <c r="K274" s="172" t="n">
        <v>99.98999999999999</v>
      </c>
      <c r="L274" s="172" t="n">
        <v>84.98999999999999</v>
      </c>
      <c r="M274" s="54" t="inlineStr">
        <is>
          <t>Eligible</t>
        </is>
      </c>
      <c r="N274" s="171">
        <f>IF(OR(J274="",L274=""),"",L274-J274)</f>
        <v/>
      </c>
      <c r="O274" s="169">
        <f>IF(OR(J274="",L274=""),"",L274/J274-1)</f>
        <v/>
      </c>
      <c r="P274" s="169">
        <f>IF(OR(J274="",K274=""),"",K274/J274-1)</f>
        <v/>
      </c>
      <c r="Q274" s="54">
        <f>IF(AND(ISNUMBER(J274),ISNUMBER(L274)),1,0)</f>
        <v/>
      </c>
      <c r="R274" s="69">
        <f>IF(Q274=1,G274*L274,0)</f>
        <v/>
      </c>
      <c r="S274" s="69">
        <f>IF(Q274=1,(H274+I274)*U274,0)</f>
        <v/>
      </c>
      <c r="T274" s="59">
        <f>IF(Q274=1,G274,0)</f>
        <v/>
      </c>
      <c r="U274" s="170">
        <f>$G$3</f>
        <v/>
      </c>
    </row>
    <row r="275">
      <c r="A275" s="54" t="inlineStr">
        <is>
          <t>CA DC B6</t>
        </is>
      </c>
      <c r="B275" s="54" t="inlineStr">
        <is>
          <t>CA</t>
        </is>
      </c>
      <c r="C275" s="54" t="inlineStr">
        <is>
          <t>B0CQ32NPF5</t>
        </is>
      </c>
      <c r="D275" s="54" t="inlineStr">
        <is>
          <t>BAMBOO-KING-BURGUNDY-6PCS</t>
        </is>
      </c>
      <c r="E275" s="54" t="inlineStr">
        <is>
          <t>King</t>
        </is>
      </c>
      <c r="F275" s="54" t="inlineStr">
        <is>
          <t>Burgundy</t>
        </is>
      </c>
      <c r="G275" s="55" t="n">
        <v>79</v>
      </c>
      <c r="H275" s="167" t="n">
        <v>3370.08</v>
      </c>
      <c r="I275" s="167" t="n">
        <v>0</v>
      </c>
      <c r="J275" s="171">
        <f>IF(AND(N(G275)&gt;0,N(H275)+N(I275)&gt;0),(H275+I275)*U275/G275,"")</f>
        <v/>
      </c>
      <c r="K275" s="172" t="n">
        <v>107.99</v>
      </c>
      <c r="L275" s="172" t="n">
        <v>94.98999999999999</v>
      </c>
      <c r="M275" s="54" t="inlineStr">
        <is>
          <t>Eligible</t>
        </is>
      </c>
      <c r="N275" s="171">
        <f>IF(OR(J275="",L275=""),"",L275-J275)</f>
        <v/>
      </c>
      <c r="O275" s="169">
        <f>IF(OR(J275="",L275=""),"",L275/J275-1)</f>
        <v/>
      </c>
      <c r="P275" s="169">
        <f>IF(OR(J275="",K275=""),"",K275/J275-1)</f>
        <v/>
      </c>
      <c r="Q275" s="54">
        <f>IF(AND(ISNUMBER(J275),ISNUMBER(L275)),1,0)</f>
        <v/>
      </c>
      <c r="R275" s="69">
        <f>IF(Q275=1,G275*L275,0)</f>
        <v/>
      </c>
      <c r="S275" s="69">
        <f>IF(Q275=1,(H275+I275)*U275,0)</f>
        <v/>
      </c>
      <c r="T275" s="59">
        <f>IF(Q275=1,G275,0)</f>
        <v/>
      </c>
      <c r="U275" s="170">
        <f>$G$3</f>
        <v/>
      </c>
    </row>
    <row r="276">
      <c r="A276" s="54" t="inlineStr">
        <is>
          <t>CA DC B6</t>
        </is>
      </c>
      <c r="B276" s="54" t="inlineStr">
        <is>
          <t>CA</t>
        </is>
      </c>
      <c r="C276" s="54" t="inlineStr">
        <is>
          <t>B0CQ319J1Z</t>
        </is>
      </c>
      <c r="D276" s="54" t="inlineStr">
        <is>
          <t>BAMBOO-KING-MIDGREY-6PCS</t>
        </is>
      </c>
      <c r="E276" s="54" t="inlineStr">
        <is>
          <t>King</t>
        </is>
      </c>
      <c r="F276" s="54" t="inlineStr">
        <is>
          <t>Midgrey</t>
        </is>
      </c>
      <c r="G276" s="55" t="n">
        <v>79</v>
      </c>
      <c r="H276" s="167" t="n">
        <v>3604.22</v>
      </c>
      <c r="I276" s="167" t="n">
        <v>0</v>
      </c>
      <c r="J276" s="171">
        <f>IF(AND(N(G276)&gt;0,N(H276)+N(I276)&gt;0),(H276+I276)*U276/G276,"")</f>
        <v/>
      </c>
      <c r="K276" s="172" t="n">
        <v>99.98999999999999</v>
      </c>
      <c r="L276" s="172" t="n">
        <v>89.98999999999999</v>
      </c>
      <c r="M276" s="54" t="inlineStr">
        <is>
          <t>Eligible</t>
        </is>
      </c>
      <c r="N276" s="171">
        <f>IF(OR(J276="",L276=""),"",L276-J276)</f>
        <v/>
      </c>
      <c r="O276" s="169">
        <f>IF(OR(J276="",L276=""),"",L276/J276-1)</f>
        <v/>
      </c>
      <c r="P276" s="169">
        <f>IF(OR(J276="",K276=""),"",K276/J276-1)</f>
        <v/>
      </c>
      <c r="Q276" s="54">
        <f>IF(AND(ISNUMBER(J276),ISNUMBER(L276)),1,0)</f>
        <v/>
      </c>
      <c r="R276" s="69">
        <f>IF(Q276=1,G276*L276,0)</f>
        <v/>
      </c>
      <c r="S276" s="69">
        <f>IF(Q276=1,(H276+I276)*U276,0)</f>
        <v/>
      </c>
      <c r="T276" s="59">
        <f>IF(Q276=1,G276,0)</f>
        <v/>
      </c>
      <c r="U276" s="170">
        <f>$G$3</f>
        <v/>
      </c>
    </row>
    <row r="277">
      <c r="A277" s="54" t="inlineStr">
        <is>
          <t>CA DC B6</t>
        </is>
      </c>
      <c r="B277" s="54" t="inlineStr">
        <is>
          <t>CA</t>
        </is>
      </c>
      <c r="C277" s="54" t="inlineStr">
        <is>
          <t>B0CQ2ZWGNQ</t>
        </is>
      </c>
      <c r="D277" s="54" t="inlineStr">
        <is>
          <t>BAMBOO-QUEEN-WHITE-6PCS</t>
        </is>
      </c>
      <c r="E277" s="54" t="inlineStr">
        <is>
          <t>Queen</t>
        </is>
      </c>
      <c r="F277" s="54" t="inlineStr">
        <is>
          <t>White</t>
        </is>
      </c>
      <c r="G277" s="55" t="n">
        <v>79</v>
      </c>
      <c r="H277" s="167" t="n">
        <v>4499.21</v>
      </c>
      <c r="I277" s="167" t="n">
        <v>0</v>
      </c>
      <c r="J277" s="171">
        <f>IF(AND(N(G277)&gt;0,N(H277)+N(I277)&gt;0),(H277+I277)*U277/G277,"")</f>
        <v/>
      </c>
      <c r="K277" s="172" t="n">
        <v>99.98999999999999</v>
      </c>
      <c r="L277" s="172" t="n">
        <v>79.98999999999999</v>
      </c>
      <c r="M277" s="54" t="inlineStr">
        <is>
          <t>Eligible</t>
        </is>
      </c>
      <c r="N277" s="171">
        <f>IF(OR(J277="",L277=""),"",L277-J277)</f>
        <v/>
      </c>
      <c r="O277" s="169">
        <f>IF(OR(J277="",L277=""),"",L277/J277-1)</f>
        <v/>
      </c>
      <c r="P277" s="169">
        <f>IF(OR(J277="",K277=""),"",K277/J277-1)</f>
        <v/>
      </c>
      <c r="Q277" s="54">
        <f>IF(AND(ISNUMBER(J277),ISNUMBER(L277)),1,0)</f>
        <v/>
      </c>
      <c r="R277" s="69">
        <f>IF(Q277=1,G277*L277,0)</f>
        <v/>
      </c>
      <c r="S277" s="69">
        <f>IF(Q277=1,(H277+I277)*U277,0)</f>
        <v/>
      </c>
      <c r="T277" s="59">
        <f>IF(Q277=1,G277,0)</f>
        <v/>
      </c>
      <c r="U277" s="170">
        <f>$G$3</f>
        <v/>
      </c>
    </row>
    <row r="278">
      <c r="A278" s="54" t="inlineStr">
        <is>
          <t>CA DC B6</t>
        </is>
      </c>
      <c r="B278" s="54" t="inlineStr">
        <is>
          <t>CA</t>
        </is>
      </c>
      <c r="C278" s="54" t="inlineStr">
        <is>
          <t>B0CQ32N392</t>
        </is>
      </c>
      <c r="D278" s="54" t="inlineStr">
        <is>
          <t>BAMBOO-QUEEN-NAVYBLUE-6PCS</t>
        </is>
      </c>
      <c r="E278" s="54" t="inlineStr">
        <is>
          <t>Queen</t>
        </is>
      </c>
      <c r="F278" s="54" t="inlineStr">
        <is>
          <t>Navy Blue</t>
        </is>
      </c>
      <c r="G278" s="55" t="n">
        <v>46</v>
      </c>
      <c r="H278" s="167" t="n">
        <v>2619.59</v>
      </c>
      <c r="I278" s="167" t="n">
        <v>0</v>
      </c>
      <c r="J278" s="171">
        <f>IF(AND(N(G278)&gt;0,N(H278)+N(I278)&gt;0),(H278+I278)*U278/G278,"")</f>
        <v/>
      </c>
      <c r="K278" s="172" t="n">
        <v>99.98999999999999</v>
      </c>
      <c r="L278" s="172" t="n">
        <v>84.98999999999999</v>
      </c>
      <c r="M278" s="54" t="inlineStr">
        <is>
          <t>Eligible</t>
        </is>
      </c>
      <c r="N278" s="171">
        <f>IF(OR(J278="",L278=""),"",L278-J278)</f>
        <v/>
      </c>
      <c r="O278" s="169">
        <f>IF(OR(J278="",L278=""),"",L278/J278-1)</f>
        <v/>
      </c>
      <c r="P278" s="169">
        <f>IF(OR(J278="",K278=""),"",K278/J278-1)</f>
        <v/>
      </c>
      <c r="Q278" s="54">
        <f>IF(AND(ISNUMBER(J278),ISNUMBER(L278)),1,0)</f>
        <v/>
      </c>
      <c r="R278" s="69">
        <f>IF(Q278=1,G278*L278,0)</f>
        <v/>
      </c>
      <c r="S278" s="69">
        <f>IF(Q278=1,(H278+I278)*U278,0)</f>
        <v/>
      </c>
      <c r="T278" s="59">
        <f>IF(Q278=1,G278,0)</f>
        <v/>
      </c>
      <c r="U278" s="170">
        <f>$G$3</f>
        <v/>
      </c>
    </row>
    <row r="279">
      <c r="A279" s="54" t="inlineStr">
        <is>
          <t>CA DC B6</t>
        </is>
      </c>
      <c r="B279" s="54" t="inlineStr">
        <is>
          <t>CA</t>
        </is>
      </c>
      <c r="C279" s="54" t="inlineStr">
        <is>
          <t>B0CQ33K3TL</t>
        </is>
      </c>
      <c r="D279" s="54" t="inlineStr">
        <is>
          <t>BAMBOO-QUEEN-LIGHTGREY-6PCS</t>
        </is>
      </c>
      <c r="E279" s="54" t="inlineStr">
        <is>
          <t>Queen</t>
        </is>
      </c>
      <c r="F279" s="54" t="inlineStr">
        <is>
          <t>Light Grey</t>
        </is>
      </c>
      <c r="G279" s="55" t="n">
        <v>42</v>
      </c>
      <c r="H279" s="167" t="n">
        <v>2395.16</v>
      </c>
      <c r="I279" s="167" t="n">
        <v>0</v>
      </c>
      <c r="J279" s="171">
        <f>IF(AND(N(G279)&gt;0,N(H279)+N(I279)&gt;0),(H279+I279)*U279/G279,"")</f>
        <v/>
      </c>
      <c r="K279" s="172" t="n">
        <v>99.98999999999999</v>
      </c>
      <c r="L279" s="172" t="n">
        <v>84.98999999999999</v>
      </c>
      <c r="M279" s="54" t="inlineStr">
        <is>
          <t>Eligible</t>
        </is>
      </c>
      <c r="N279" s="171">
        <f>IF(OR(J279="",L279=""),"",L279-J279)</f>
        <v/>
      </c>
      <c r="O279" s="169">
        <f>IF(OR(J279="",L279=""),"",L279/J279-1)</f>
        <v/>
      </c>
      <c r="P279" s="169">
        <f>IF(OR(J279="",K279=""),"",K279/J279-1)</f>
        <v/>
      </c>
      <c r="Q279" s="54">
        <f>IF(AND(ISNUMBER(J279),ISNUMBER(L279)),1,0)</f>
        <v/>
      </c>
      <c r="R279" s="69">
        <f>IF(Q279=1,G279*L279,0)</f>
        <v/>
      </c>
      <c r="S279" s="69">
        <f>IF(Q279=1,(H279+I279)*U279,0)</f>
        <v/>
      </c>
      <c r="T279" s="59">
        <f>IF(Q279=1,G279,0)</f>
        <v/>
      </c>
      <c r="U279" s="170">
        <f>$G$3</f>
        <v/>
      </c>
    </row>
    <row r="280">
      <c r="A280" s="54" t="inlineStr">
        <is>
          <t>CA DC B6</t>
        </is>
      </c>
      <c r="B280" s="54" t="inlineStr">
        <is>
          <t>CA</t>
        </is>
      </c>
      <c r="C280" s="54" t="inlineStr">
        <is>
          <t>B0CQ331L15</t>
        </is>
      </c>
      <c r="D280" s="54" t="inlineStr">
        <is>
          <t>BAMBOO-KING-BLACK-6PCS</t>
        </is>
      </c>
      <c r="E280" s="54" t="inlineStr">
        <is>
          <t>King</t>
        </is>
      </c>
      <c r="F280" s="54" t="inlineStr">
        <is>
          <t>Black</t>
        </is>
      </c>
      <c r="G280" s="55" t="n">
        <v>37</v>
      </c>
      <c r="H280" s="167" t="n">
        <v>2109.47</v>
      </c>
      <c r="I280" s="167" t="n">
        <v>0</v>
      </c>
      <c r="J280" s="171">
        <f>IF(AND(N(G280)&gt;0,N(H280)+N(I280)&gt;0),(H280+I280)*U280/G280,"")</f>
        <v/>
      </c>
      <c r="K280" s="172" t="n">
        <v>99.98999999999999</v>
      </c>
      <c r="L280" s="172" t="n">
        <v>89.98999999999999</v>
      </c>
      <c r="M280" s="54" t="inlineStr">
        <is>
          <t>Eligible</t>
        </is>
      </c>
      <c r="N280" s="171">
        <f>IF(OR(J280="",L280=""),"",L280-J280)</f>
        <v/>
      </c>
      <c r="O280" s="169">
        <f>IF(OR(J280="",L280=""),"",L280/J280-1)</f>
        <v/>
      </c>
      <c r="P280" s="169">
        <f>IF(OR(J280="",K280=""),"",K280/J280-1)</f>
        <v/>
      </c>
      <c r="Q280" s="54">
        <f>IF(AND(ISNUMBER(J280),ISNUMBER(L280)),1,0)</f>
        <v/>
      </c>
      <c r="R280" s="69">
        <f>IF(Q280=1,G280*L280,0)</f>
        <v/>
      </c>
      <c r="S280" s="69">
        <f>IF(Q280=1,(H280+I280)*U280,0)</f>
        <v/>
      </c>
      <c r="T280" s="59">
        <f>IF(Q280=1,G280,0)</f>
        <v/>
      </c>
      <c r="U280" s="170">
        <f>$G$3</f>
        <v/>
      </c>
    </row>
    <row r="281">
      <c r="A281" s="54" t="inlineStr">
        <is>
          <t>CA DC B6</t>
        </is>
      </c>
      <c r="B281" s="54" t="inlineStr">
        <is>
          <t>CA</t>
        </is>
      </c>
      <c r="C281" s="54" t="inlineStr">
        <is>
          <t>B0CQ31XHCV</t>
        </is>
      </c>
      <c r="D281" s="54" t="inlineStr">
        <is>
          <t>BAMBOO-QUEEN-GREY-6PCS</t>
        </is>
      </c>
      <c r="E281" s="54" t="inlineStr">
        <is>
          <t>Queen</t>
        </is>
      </c>
      <c r="F281" s="54" t="inlineStr">
        <is>
          <t>Grey</t>
        </is>
      </c>
      <c r="G281" s="55" t="n">
        <v>35</v>
      </c>
      <c r="H281" s="167" t="n">
        <v>1992.31</v>
      </c>
      <c r="I281" s="167" t="n">
        <v>0</v>
      </c>
      <c r="J281" s="171">
        <f>IF(AND(N(G281)&gt;0,N(H281)+N(I281)&gt;0),(H281+I281)*U281/G281,"")</f>
        <v/>
      </c>
      <c r="K281" s="172" t="n">
        <v>99.98999999999999</v>
      </c>
      <c r="L281" s="172" t="n">
        <v>94.98999999999999</v>
      </c>
      <c r="M281" s="54" t="inlineStr">
        <is>
          <t>Eligible</t>
        </is>
      </c>
      <c r="N281" s="171">
        <f>IF(OR(J281="",L281=""),"",L281-J281)</f>
        <v/>
      </c>
      <c r="O281" s="169">
        <f>IF(OR(J281="",L281=""),"",L281/J281-1)</f>
        <v/>
      </c>
      <c r="P281" s="169">
        <f>IF(OR(J281="",K281=""),"",K281/J281-1)</f>
        <v/>
      </c>
      <c r="Q281" s="54">
        <f>IF(AND(ISNUMBER(J281),ISNUMBER(L281)),1,0)</f>
        <v/>
      </c>
      <c r="R281" s="69">
        <f>IF(Q281=1,G281*L281,0)</f>
        <v/>
      </c>
      <c r="S281" s="69">
        <f>IF(Q281=1,(H281+I281)*U281,0)</f>
        <v/>
      </c>
      <c r="T281" s="59">
        <f>IF(Q281=1,G281,0)</f>
        <v/>
      </c>
      <c r="U281" s="170">
        <f>$G$3</f>
        <v/>
      </c>
    </row>
    <row r="282">
      <c r="A282" s="54" t="inlineStr">
        <is>
          <t>CA DC B6</t>
        </is>
      </c>
      <c r="B282" s="54" t="inlineStr">
        <is>
          <t>CA</t>
        </is>
      </c>
      <c r="C282" s="54" t="inlineStr">
        <is>
          <t>B0CQ31Q559</t>
        </is>
      </c>
      <c r="D282" s="54" t="inlineStr">
        <is>
          <t>BAMBOO-FULL-WHITE-6PCS</t>
        </is>
      </c>
      <c r="E282" s="54" t="inlineStr">
        <is>
          <t>Full</t>
        </is>
      </c>
      <c r="F282" s="54" t="inlineStr">
        <is>
          <t>White</t>
        </is>
      </c>
      <c r="G282" s="55" t="n">
        <v>32</v>
      </c>
      <c r="H282" s="167" t="n">
        <v>1458.61</v>
      </c>
      <c r="I282" s="167" t="n">
        <v>0</v>
      </c>
      <c r="J282" s="171">
        <f>IF(AND(N(G282)&gt;0,N(H282)+N(I282)&gt;0),(H282+I282)*U282/G282,"")</f>
        <v/>
      </c>
      <c r="K282" s="172" t="n">
        <v>79.98999999999999</v>
      </c>
      <c r="L282" s="172" t="n">
        <v>67.98999999999999</v>
      </c>
      <c r="M282" s="54" t="inlineStr">
        <is>
          <t>Eligible</t>
        </is>
      </c>
      <c r="N282" s="171">
        <f>IF(OR(J282="",L282=""),"",L282-J282)</f>
        <v/>
      </c>
      <c r="O282" s="169">
        <f>IF(OR(J282="",L282=""),"",L282/J282-1)</f>
        <v/>
      </c>
      <c r="P282" s="169">
        <f>IF(OR(J282="",K282=""),"",K282/J282-1)</f>
        <v/>
      </c>
      <c r="Q282" s="54">
        <f>IF(AND(ISNUMBER(J282),ISNUMBER(L282)),1,0)</f>
        <v/>
      </c>
      <c r="R282" s="69">
        <f>IF(Q282=1,G282*L282,0)</f>
        <v/>
      </c>
      <c r="S282" s="69">
        <f>IF(Q282=1,(H282+I282)*U282,0)</f>
        <v/>
      </c>
      <c r="T282" s="59">
        <f>IF(Q282=1,G282,0)</f>
        <v/>
      </c>
      <c r="U282" s="170">
        <f>$G$3</f>
        <v/>
      </c>
    </row>
    <row r="283">
      <c r="A283" s="54" t="inlineStr">
        <is>
          <t>CA DC B6</t>
        </is>
      </c>
      <c r="B283" s="54" t="inlineStr">
        <is>
          <t>CA</t>
        </is>
      </c>
      <c r="C283" s="54" t="inlineStr">
        <is>
          <t>B0CQ2YDPDS</t>
        </is>
      </c>
      <c r="D283" s="54" t="inlineStr">
        <is>
          <t>BAMBOO-KING-OLIVE-6PCS</t>
        </is>
      </c>
      <c r="E283" s="54" t="inlineStr">
        <is>
          <t>King</t>
        </is>
      </c>
      <c r="F283" s="54" t="inlineStr">
        <is>
          <t>Olive</t>
        </is>
      </c>
      <c r="G283" s="55" t="n">
        <v>32</v>
      </c>
      <c r="H283" s="167" t="n">
        <v>1711.84</v>
      </c>
      <c r="I283" s="167" t="n">
        <v>0</v>
      </c>
      <c r="J283" s="171">
        <f>IF(AND(N(G283)&gt;0,N(H283)+N(I283)&gt;0),(H283+I283)*U283/G283,"")</f>
        <v/>
      </c>
      <c r="K283" s="172" t="n">
        <v>99.98999999999999</v>
      </c>
      <c r="L283" s="172" t="n">
        <v>84.98999999999999</v>
      </c>
      <c r="M283" s="54" t="inlineStr">
        <is>
          <t>Eligible</t>
        </is>
      </c>
      <c r="N283" s="171">
        <f>IF(OR(J283="",L283=""),"",L283-J283)</f>
        <v/>
      </c>
      <c r="O283" s="169">
        <f>IF(OR(J283="",L283=""),"",L283/J283-1)</f>
        <v/>
      </c>
      <c r="P283" s="169">
        <f>IF(OR(J283="",K283=""),"",K283/J283-1)</f>
        <v/>
      </c>
      <c r="Q283" s="54">
        <f>IF(AND(ISNUMBER(J283),ISNUMBER(L283)),1,0)</f>
        <v/>
      </c>
      <c r="R283" s="69">
        <f>IF(Q283=1,G283*L283,0)</f>
        <v/>
      </c>
      <c r="S283" s="69">
        <f>IF(Q283=1,(H283+I283)*U283,0)</f>
        <v/>
      </c>
      <c r="T283" s="59">
        <f>IF(Q283=1,G283,0)</f>
        <v/>
      </c>
      <c r="U283" s="170">
        <f>$G$3</f>
        <v/>
      </c>
    </row>
    <row r="284">
      <c r="A284" s="54" t="inlineStr">
        <is>
          <t>CA DC B6</t>
        </is>
      </c>
      <c r="B284" s="54" t="inlineStr">
        <is>
          <t>CA</t>
        </is>
      </c>
      <c r="C284" s="54" t="inlineStr">
        <is>
          <t>B0CQ33198K</t>
        </is>
      </c>
      <c r="D284" s="54" t="inlineStr">
        <is>
          <t>BAMBOO-QUEEN-TAUPE-6PCS</t>
        </is>
      </c>
      <c r="E284" s="54" t="inlineStr">
        <is>
          <t>Queen</t>
        </is>
      </c>
      <c r="F284" s="54" t="inlineStr">
        <is>
          <t>Taupe</t>
        </is>
      </c>
      <c r="G284" s="55" t="n">
        <v>32</v>
      </c>
      <c r="H284" s="167" t="n">
        <v>1937.1</v>
      </c>
      <c r="I284" s="167" t="n">
        <v>0</v>
      </c>
      <c r="J284" s="171">
        <f>IF(AND(N(G284)&gt;0,N(H284)+N(I284)&gt;0),(H284+I284)*U284/G284,"")</f>
        <v/>
      </c>
      <c r="K284" s="172" t="n">
        <v>99.98999999999999</v>
      </c>
      <c r="L284" s="172" t="n">
        <v>21.39</v>
      </c>
      <c r="M284" s="54" t="inlineStr">
        <is>
          <t>Manual price</t>
        </is>
      </c>
      <c r="N284" s="171">
        <f>IF(OR(J284="",L284=""),"",L284-J284)</f>
        <v/>
      </c>
      <c r="O284" s="169">
        <f>IF(OR(J284="",L284=""),"",L284/J284-1)</f>
        <v/>
      </c>
      <c r="P284" s="169">
        <f>IF(OR(J284="",K284=""),"",K284/J284-1)</f>
        <v/>
      </c>
      <c r="Q284" s="54">
        <f>IF(AND(ISNUMBER(J284),ISNUMBER(L284)),1,0)</f>
        <v/>
      </c>
      <c r="R284" s="69">
        <f>IF(Q284=1,G284*L284,0)</f>
        <v/>
      </c>
      <c r="S284" s="69">
        <f>IF(Q284=1,(H284+I284)*U284,0)</f>
        <v/>
      </c>
      <c r="T284" s="59">
        <f>IF(Q284=1,G284,0)</f>
        <v/>
      </c>
      <c r="U284" s="170">
        <f>$G$3</f>
        <v/>
      </c>
    </row>
    <row r="285">
      <c r="A285" s="54" t="inlineStr">
        <is>
          <t>CA DC B6</t>
        </is>
      </c>
      <c r="B285" s="54" t="inlineStr">
        <is>
          <t>CA</t>
        </is>
      </c>
      <c r="C285" s="54" t="inlineStr">
        <is>
          <t>B0CQ2ZWSN7</t>
        </is>
      </c>
      <c r="D285" s="54" t="inlineStr">
        <is>
          <t>BAMBOO-QUEEN-BURGUNDY-6PCS</t>
        </is>
      </c>
      <c r="E285" s="54" t="inlineStr">
        <is>
          <t>Queen</t>
        </is>
      </c>
      <c r="F285" s="54" t="inlineStr">
        <is>
          <t>Burgundy</t>
        </is>
      </c>
      <c r="G285" s="55" t="n">
        <v>31</v>
      </c>
      <c r="H285" s="167" t="n">
        <v>1766.18</v>
      </c>
      <c r="I285" s="167" t="n">
        <v>0</v>
      </c>
      <c r="J285" s="171">
        <f>IF(AND(N(G285)&gt;0,N(H285)+N(I285)&gt;0),(H285+I285)*U285/G285,"")</f>
        <v/>
      </c>
      <c r="K285" s="172" t="n">
        <v>99.98999999999999</v>
      </c>
      <c r="L285" s="172" t="n">
        <v>84.23999999999999</v>
      </c>
      <c r="M285" s="54" t="inlineStr">
        <is>
          <t>Eligible</t>
        </is>
      </c>
      <c r="N285" s="171">
        <f>IF(OR(J285="",L285=""),"",L285-J285)</f>
        <v/>
      </c>
      <c r="O285" s="169">
        <f>IF(OR(J285="",L285=""),"",L285/J285-1)</f>
        <v/>
      </c>
      <c r="P285" s="169">
        <f>IF(OR(J285="",K285=""),"",K285/J285-1)</f>
        <v/>
      </c>
      <c r="Q285" s="54">
        <f>IF(AND(ISNUMBER(J285),ISNUMBER(L285)),1,0)</f>
        <v/>
      </c>
      <c r="R285" s="69">
        <f>IF(Q285=1,G285*L285,0)</f>
        <v/>
      </c>
      <c r="S285" s="69">
        <f>IF(Q285=1,(H285+I285)*U285,0)</f>
        <v/>
      </c>
      <c r="T285" s="59">
        <f>IF(Q285=1,G285,0)</f>
        <v/>
      </c>
      <c r="U285" s="170">
        <f>$G$3</f>
        <v/>
      </c>
    </row>
    <row r="286">
      <c r="A286" s="54" t="inlineStr">
        <is>
          <t>CA DC B6</t>
        </is>
      </c>
      <c r="B286" s="54" t="inlineStr">
        <is>
          <t>CA</t>
        </is>
      </c>
      <c r="C286" s="54" t="inlineStr">
        <is>
          <t>B0CQ31PZ8Q</t>
        </is>
      </c>
      <c r="D286" s="54" t="inlineStr">
        <is>
          <t>BAMBOO-QUEEN-LIGHT PINK-6PCS</t>
        </is>
      </c>
      <c r="E286" s="54" t="inlineStr">
        <is>
          <t>Queen</t>
        </is>
      </c>
      <c r="F286" s="54" t="inlineStr">
        <is>
          <t>Light Pink</t>
        </is>
      </c>
      <c r="G286" s="55" t="n">
        <v>31</v>
      </c>
      <c r="H286" s="167" t="n">
        <v>1765.62</v>
      </c>
      <c r="I286" s="167" t="n">
        <v>0</v>
      </c>
      <c r="J286" s="171">
        <f>IF(AND(N(G286)&gt;0,N(H286)+N(I286)&gt;0),(H286+I286)*U286/G286,"")</f>
        <v/>
      </c>
      <c r="K286" s="172" t="n">
        <v>99.98999999999999</v>
      </c>
      <c r="L286" s="172" t="n">
        <v>76.48999999999999</v>
      </c>
      <c r="M286" s="54" t="inlineStr">
        <is>
          <t>Eligible</t>
        </is>
      </c>
      <c r="N286" s="171">
        <f>IF(OR(J286="",L286=""),"",L286-J286)</f>
        <v/>
      </c>
      <c r="O286" s="169">
        <f>IF(OR(J286="",L286=""),"",L286/J286-1)</f>
        <v/>
      </c>
      <c r="P286" s="169">
        <f>IF(OR(J286="",K286=""),"",K286/J286-1)</f>
        <v/>
      </c>
      <c r="Q286" s="54">
        <f>IF(AND(ISNUMBER(J286),ISNUMBER(L286)),1,0)</f>
        <v/>
      </c>
      <c r="R286" s="69">
        <f>IF(Q286=1,G286*L286,0)</f>
        <v/>
      </c>
      <c r="S286" s="69">
        <f>IF(Q286=1,(H286+I286)*U286,0)</f>
        <v/>
      </c>
      <c r="T286" s="59">
        <f>IF(Q286=1,G286,0)</f>
        <v/>
      </c>
      <c r="U286" s="170">
        <f>$G$3</f>
        <v/>
      </c>
    </row>
    <row r="287">
      <c r="A287" s="54" t="inlineStr">
        <is>
          <t>CA DC B6</t>
        </is>
      </c>
      <c r="B287" s="54" t="inlineStr">
        <is>
          <t>CA</t>
        </is>
      </c>
      <c r="C287" s="54" t="inlineStr">
        <is>
          <t>B0CQ31CZTJ</t>
        </is>
      </c>
      <c r="D287" s="54" t="inlineStr">
        <is>
          <t>BAMBOO-QUEEN-BLACK-6PCS</t>
        </is>
      </c>
      <c r="E287" s="54" t="inlineStr">
        <is>
          <t>Queen</t>
        </is>
      </c>
      <c r="F287" s="54" t="inlineStr">
        <is>
          <t>Black</t>
        </is>
      </c>
      <c r="G287" s="55" t="n">
        <v>30</v>
      </c>
      <c r="H287" s="167" t="n">
        <v>1708.21</v>
      </c>
      <c r="I287" s="167" t="n">
        <v>0</v>
      </c>
      <c r="J287" s="171">
        <f>IF(AND(N(G287)&gt;0,N(H287)+N(I287)&gt;0),(H287+I287)*U287/G287,"")</f>
        <v/>
      </c>
      <c r="K287" s="172" t="n">
        <v>99.98999999999999</v>
      </c>
      <c r="L287" s="172" t="n">
        <v>99.98999999999999</v>
      </c>
      <c r="M287" s="54" t="inlineStr">
        <is>
          <t>Eligible</t>
        </is>
      </c>
      <c r="N287" s="171">
        <f>IF(OR(J287="",L287=""),"",L287-J287)</f>
        <v/>
      </c>
      <c r="O287" s="169">
        <f>IF(OR(J287="",L287=""),"",L287/J287-1)</f>
        <v/>
      </c>
      <c r="P287" s="169">
        <f>IF(OR(J287="",K287=""),"",K287/J287-1)</f>
        <v/>
      </c>
      <c r="Q287" s="54">
        <f>IF(AND(ISNUMBER(J287),ISNUMBER(L287)),1,0)</f>
        <v/>
      </c>
      <c r="R287" s="69">
        <f>IF(Q287=1,G287*L287,0)</f>
        <v/>
      </c>
      <c r="S287" s="69">
        <f>IF(Q287=1,(H287+I287)*U287,0)</f>
        <v/>
      </c>
      <c r="T287" s="59">
        <f>IF(Q287=1,G287,0)</f>
        <v/>
      </c>
      <c r="U287" s="170">
        <f>$G$3</f>
        <v/>
      </c>
    </row>
    <row r="288">
      <c r="A288" s="54" t="inlineStr">
        <is>
          <t>CA DC B6</t>
        </is>
      </c>
      <c r="B288" s="54" t="inlineStr">
        <is>
          <t>CA</t>
        </is>
      </c>
      <c r="C288" s="54" t="inlineStr">
        <is>
          <t>B0CQ328N9Z</t>
        </is>
      </c>
      <c r="D288" s="54" t="inlineStr">
        <is>
          <t>BAMBOO-KING-PURPLE-6PCS</t>
        </is>
      </c>
      <c r="E288" s="54" t="inlineStr">
        <is>
          <t>King</t>
        </is>
      </c>
      <c r="F288" s="54" t="inlineStr">
        <is>
          <t>Purple</t>
        </is>
      </c>
      <c r="G288" s="55" t="n">
        <v>29</v>
      </c>
      <c r="H288" s="167" t="n">
        <v>1239.04</v>
      </c>
      <c r="I288" s="167" t="n">
        <v>0</v>
      </c>
      <c r="J288" s="171">
        <f>IF(AND(N(G288)&gt;0,N(H288)+N(I288)&gt;0),(H288+I288)*U288/G288,"")</f>
        <v/>
      </c>
      <c r="K288" s="172" t="n">
        <v>99.98999999999999</v>
      </c>
      <c r="L288" s="172" t="n">
        <v>84.98999999999999</v>
      </c>
      <c r="M288" s="54" t="inlineStr">
        <is>
          <t>Eligible</t>
        </is>
      </c>
      <c r="N288" s="171">
        <f>IF(OR(J288="",L288=""),"",L288-J288)</f>
        <v/>
      </c>
      <c r="O288" s="169">
        <f>IF(OR(J288="",L288=""),"",L288/J288-1)</f>
        <v/>
      </c>
      <c r="P288" s="169">
        <f>IF(OR(J288="",K288=""),"",K288/J288-1)</f>
        <v/>
      </c>
      <c r="Q288" s="54">
        <f>IF(AND(ISNUMBER(J288),ISNUMBER(L288)),1,0)</f>
        <v/>
      </c>
      <c r="R288" s="69">
        <f>IF(Q288=1,G288*L288,0)</f>
        <v/>
      </c>
      <c r="S288" s="69">
        <f>IF(Q288=1,(H288+I288)*U288,0)</f>
        <v/>
      </c>
      <c r="T288" s="59">
        <f>IF(Q288=1,G288,0)</f>
        <v/>
      </c>
      <c r="U288" s="170">
        <f>$G$3</f>
        <v/>
      </c>
    </row>
    <row r="289">
      <c r="A289" s="54" t="inlineStr">
        <is>
          <t>CA DC B6</t>
        </is>
      </c>
      <c r="B289" s="54" t="inlineStr">
        <is>
          <t>CA</t>
        </is>
      </c>
      <c r="C289" s="54" t="inlineStr">
        <is>
          <t>B0CQ32F3HY</t>
        </is>
      </c>
      <c r="D289" s="54" t="inlineStr">
        <is>
          <t>BAMBOO-QUEEN-LIGHTBLUE-6PCS</t>
        </is>
      </c>
      <c r="E289" s="54" t="inlineStr">
        <is>
          <t>Queen</t>
        </is>
      </c>
      <c r="F289" s="54" t="inlineStr">
        <is>
          <t>Light Blue</t>
        </is>
      </c>
      <c r="G289" s="55" t="n">
        <v>28</v>
      </c>
      <c r="H289" s="167" t="n">
        <v>1596.66</v>
      </c>
      <c r="I289" s="167" t="n">
        <v>0</v>
      </c>
      <c r="J289" s="171">
        <f>IF(AND(N(G289)&gt;0,N(H289)+N(I289)&gt;0),(H289+I289)*U289/G289,"")</f>
        <v/>
      </c>
      <c r="K289" s="172" t="n">
        <v>99.98999999999999</v>
      </c>
      <c r="L289" s="172" t="n">
        <v>84.98999999999999</v>
      </c>
      <c r="M289" s="54" t="inlineStr">
        <is>
          <t>Eligible</t>
        </is>
      </c>
      <c r="N289" s="171">
        <f>IF(OR(J289="",L289=""),"",L289-J289)</f>
        <v/>
      </c>
      <c r="O289" s="169">
        <f>IF(OR(J289="",L289=""),"",L289/J289-1)</f>
        <v/>
      </c>
      <c r="P289" s="169">
        <f>IF(OR(J289="",K289=""),"",K289/J289-1)</f>
        <v/>
      </c>
      <c r="Q289" s="54">
        <f>IF(AND(ISNUMBER(J289),ISNUMBER(L289)),1,0)</f>
        <v/>
      </c>
      <c r="R289" s="69">
        <f>IF(Q289=1,G289*L289,0)</f>
        <v/>
      </c>
      <c r="S289" s="69">
        <f>IF(Q289=1,(H289+I289)*U289,0)</f>
        <v/>
      </c>
      <c r="T289" s="59">
        <f>IF(Q289=1,G289,0)</f>
        <v/>
      </c>
      <c r="U289" s="170">
        <f>$G$3</f>
        <v/>
      </c>
    </row>
    <row r="290">
      <c r="A290" s="54" t="inlineStr">
        <is>
          <t>CA DC B6</t>
        </is>
      </c>
      <c r="B290" s="54" t="inlineStr">
        <is>
          <t>CA</t>
        </is>
      </c>
      <c r="C290" s="54" t="inlineStr">
        <is>
          <t>B0CQ33H4QW</t>
        </is>
      </c>
      <c r="D290" s="54" t="inlineStr">
        <is>
          <t>BAMBOO-KING-LIGHTGREY-6PCS</t>
        </is>
      </c>
      <c r="E290" s="54" t="inlineStr">
        <is>
          <t>King</t>
        </is>
      </c>
      <c r="F290" s="54" t="inlineStr">
        <is>
          <t>Light Grey</t>
        </is>
      </c>
      <c r="G290" s="55" t="n">
        <v>26</v>
      </c>
      <c r="H290" s="167" t="n">
        <v>1481.8</v>
      </c>
      <c r="I290" s="167" t="n">
        <v>0</v>
      </c>
      <c r="J290" s="171">
        <f>IF(AND(N(G290)&gt;0,N(H290)+N(I290)&gt;0),(H290+I290)*U290/G290,"")</f>
        <v/>
      </c>
      <c r="K290" s="172" t="n">
        <v>99.98999999999999</v>
      </c>
      <c r="L290" s="172" t="n">
        <v>22.92</v>
      </c>
      <c r="M290" s="54" t="inlineStr">
        <is>
          <t>Manual price</t>
        </is>
      </c>
      <c r="N290" s="171">
        <f>IF(OR(J290="",L290=""),"",L290-J290)</f>
        <v/>
      </c>
      <c r="O290" s="169">
        <f>IF(OR(J290="",L290=""),"",L290/J290-1)</f>
        <v/>
      </c>
      <c r="P290" s="169">
        <f>IF(OR(J290="",K290=""),"",K290/J290-1)</f>
        <v/>
      </c>
      <c r="Q290" s="54">
        <f>IF(AND(ISNUMBER(J290),ISNUMBER(L290)),1,0)</f>
        <v/>
      </c>
      <c r="R290" s="69">
        <f>IF(Q290=1,G290*L290,0)</f>
        <v/>
      </c>
      <c r="S290" s="69">
        <f>IF(Q290=1,(H290+I290)*U290,0)</f>
        <v/>
      </c>
      <c r="T290" s="59">
        <f>IF(Q290=1,G290,0)</f>
        <v/>
      </c>
      <c r="U290" s="170">
        <f>$G$3</f>
        <v/>
      </c>
    </row>
    <row r="291">
      <c r="A291" s="54" t="inlineStr">
        <is>
          <t>CA DC B6</t>
        </is>
      </c>
      <c r="B291" s="54" t="inlineStr">
        <is>
          <t>CA</t>
        </is>
      </c>
      <c r="C291" s="54" t="inlineStr">
        <is>
          <t>B0CQ32Z6VP</t>
        </is>
      </c>
      <c r="D291" s="54" t="inlineStr">
        <is>
          <t>BAMBOO-QUEEN-CREME-6PCS</t>
        </is>
      </c>
      <c r="E291" s="54" t="inlineStr">
        <is>
          <t>Queen</t>
        </is>
      </c>
      <c r="F291" s="54" t="inlineStr">
        <is>
          <t>Creme</t>
        </is>
      </c>
      <c r="G291" s="55" t="n">
        <v>26</v>
      </c>
      <c r="H291" s="167" t="n">
        <v>1481.97</v>
      </c>
      <c r="I291" s="167" t="n">
        <v>0</v>
      </c>
      <c r="J291" s="171">
        <f>IF(AND(N(G291)&gt;0,N(H291)+N(I291)&gt;0),(H291+I291)*U291/G291,"")</f>
        <v/>
      </c>
      <c r="K291" s="172" t="n">
        <v>107.99</v>
      </c>
      <c r="L291" s="172" t="n">
        <v>84.98999999999999</v>
      </c>
      <c r="M291" s="54" t="inlineStr">
        <is>
          <t>Eligible</t>
        </is>
      </c>
      <c r="N291" s="171">
        <f>IF(OR(J291="",L291=""),"",L291-J291)</f>
        <v/>
      </c>
      <c r="O291" s="169">
        <f>IF(OR(J291="",L291=""),"",L291/J291-1)</f>
        <v/>
      </c>
      <c r="P291" s="169">
        <f>IF(OR(J291="",K291=""),"",K291/J291-1)</f>
        <v/>
      </c>
      <c r="Q291" s="54">
        <f>IF(AND(ISNUMBER(J291),ISNUMBER(L291)),1,0)</f>
        <v/>
      </c>
      <c r="R291" s="69">
        <f>IF(Q291=1,G291*L291,0)</f>
        <v/>
      </c>
      <c r="S291" s="69">
        <f>IF(Q291=1,(H291+I291)*U291,0)</f>
        <v/>
      </c>
      <c r="T291" s="59">
        <f>IF(Q291=1,G291,0)</f>
        <v/>
      </c>
      <c r="U291" s="170">
        <f>$G$3</f>
        <v/>
      </c>
    </row>
    <row r="292">
      <c r="A292" s="54" t="inlineStr">
        <is>
          <t>CA DC B6</t>
        </is>
      </c>
      <c r="B292" s="54" t="inlineStr">
        <is>
          <t>CA</t>
        </is>
      </c>
      <c r="C292" s="54" t="inlineStr">
        <is>
          <t>B0CQ32B24Y</t>
        </is>
      </c>
      <c r="D292" s="54" t="inlineStr">
        <is>
          <t>BAMBOO-QUEEN-OLIVE-6PCS</t>
        </is>
      </c>
      <c r="E292" s="54" t="inlineStr">
        <is>
          <t>Queen</t>
        </is>
      </c>
      <c r="F292" s="54" t="inlineStr">
        <is>
          <t>Olive</t>
        </is>
      </c>
      <c r="G292" s="55" t="n">
        <v>26</v>
      </c>
      <c r="H292" s="167" t="n">
        <v>1479.29</v>
      </c>
      <c r="I292" s="167" t="n">
        <v>0</v>
      </c>
      <c r="J292" s="171">
        <f>IF(AND(N(G292)&gt;0,N(H292)+N(I292)&gt;0),(H292+I292)*U292/G292,"")</f>
        <v/>
      </c>
      <c r="K292" s="172" t="n">
        <v>99.98999999999999</v>
      </c>
      <c r="L292" s="172" t="n">
        <v>84.98999999999999</v>
      </c>
      <c r="M292" s="54" t="inlineStr">
        <is>
          <t>Eligible</t>
        </is>
      </c>
      <c r="N292" s="171">
        <f>IF(OR(J292="",L292=""),"",L292-J292)</f>
        <v/>
      </c>
      <c r="O292" s="169">
        <f>IF(OR(J292="",L292=""),"",L292/J292-1)</f>
        <v/>
      </c>
      <c r="P292" s="169">
        <f>IF(OR(J292="",K292=""),"",K292/J292-1)</f>
        <v/>
      </c>
      <c r="Q292" s="54">
        <f>IF(AND(ISNUMBER(J292),ISNUMBER(L292)),1,0)</f>
        <v/>
      </c>
      <c r="R292" s="69">
        <f>IF(Q292=1,G292*L292,0)</f>
        <v/>
      </c>
      <c r="S292" s="69">
        <f>IF(Q292=1,(H292+I292)*U292,0)</f>
        <v/>
      </c>
      <c r="T292" s="59">
        <f>IF(Q292=1,G292,0)</f>
        <v/>
      </c>
      <c r="U292" s="170">
        <f>$G$3</f>
        <v/>
      </c>
    </row>
    <row r="293">
      <c r="A293" s="54" t="inlineStr">
        <is>
          <t>CA DC B6</t>
        </is>
      </c>
      <c r="B293" s="54" t="inlineStr">
        <is>
          <t>CA</t>
        </is>
      </c>
      <c r="C293" s="54" t="inlineStr">
        <is>
          <t>B0CQ3437ZF</t>
        </is>
      </c>
      <c r="D293" s="54" t="inlineStr">
        <is>
          <t>BAMBOO-KING-LIGHT PINK-6PCS</t>
        </is>
      </c>
      <c r="E293" s="54" t="inlineStr">
        <is>
          <t>King</t>
        </is>
      </c>
      <c r="F293" s="54" t="inlineStr">
        <is>
          <t>Light Pink</t>
        </is>
      </c>
      <c r="G293" s="55" t="n">
        <v>25</v>
      </c>
      <c r="H293" s="167" t="n">
        <v>1134.13</v>
      </c>
      <c r="I293" s="167" t="n">
        <v>0</v>
      </c>
      <c r="J293" s="171">
        <f>IF(AND(N(G293)&gt;0,N(H293)+N(I293)&gt;0),(H293+I293)*U293/G293,"")</f>
        <v/>
      </c>
      <c r="K293" s="172" t="n">
        <v>99.98999999999999</v>
      </c>
      <c r="L293" s="172" t="n">
        <v>84.98999999999999</v>
      </c>
      <c r="M293" s="54" t="inlineStr">
        <is>
          <t>Eligible</t>
        </is>
      </c>
      <c r="N293" s="171">
        <f>IF(OR(J293="",L293=""),"",L293-J293)</f>
        <v/>
      </c>
      <c r="O293" s="169">
        <f>IF(OR(J293="",L293=""),"",L293/J293-1)</f>
        <v/>
      </c>
      <c r="P293" s="169">
        <f>IF(OR(J293="",K293=""),"",K293/J293-1)</f>
        <v/>
      </c>
      <c r="Q293" s="54">
        <f>IF(AND(ISNUMBER(J293),ISNUMBER(L293)),1,0)</f>
        <v/>
      </c>
      <c r="R293" s="69">
        <f>IF(Q293=1,G293*L293,0)</f>
        <v/>
      </c>
      <c r="S293" s="69">
        <f>IF(Q293=1,(H293+I293)*U293,0)</f>
        <v/>
      </c>
      <c r="T293" s="59">
        <f>IF(Q293=1,G293,0)</f>
        <v/>
      </c>
      <c r="U293" s="170">
        <f>$G$3</f>
        <v/>
      </c>
    </row>
    <row r="294">
      <c r="A294" s="54" t="inlineStr">
        <is>
          <t>CA DC B6</t>
        </is>
      </c>
      <c r="B294" s="54" t="inlineStr">
        <is>
          <t>CA</t>
        </is>
      </c>
      <c r="C294" s="54" t="inlineStr">
        <is>
          <t>B0CQ3CDRTN</t>
        </is>
      </c>
      <c r="D294" s="54" t="inlineStr">
        <is>
          <t>BAMBOO-QUEEN-SAGE GREEN-6PCS</t>
        </is>
      </c>
      <c r="E294" s="54" t="inlineStr">
        <is>
          <t>Queen</t>
        </is>
      </c>
      <c r="F294" s="54" t="inlineStr">
        <is>
          <t>Sage Green</t>
        </is>
      </c>
      <c r="G294" s="55" t="n">
        <v>24</v>
      </c>
      <c r="H294" s="167" t="n">
        <v>1366.78</v>
      </c>
      <c r="I294" s="167" t="n">
        <v>0</v>
      </c>
      <c r="J294" s="171">
        <f>IF(AND(N(G294)&gt;0,N(H294)+N(I294)&gt;0),(H294+I294)*U294/G294,"")</f>
        <v/>
      </c>
      <c r="K294" s="172" t="n">
        <v>99.98999999999999</v>
      </c>
      <c r="L294" s="172" t="n">
        <v>84.98999999999999</v>
      </c>
      <c r="M294" s="54" t="inlineStr">
        <is>
          <t>Eligible</t>
        </is>
      </c>
      <c r="N294" s="171">
        <f>IF(OR(J294="",L294=""),"",L294-J294)</f>
        <v/>
      </c>
      <c r="O294" s="169">
        <f>IF(OR(J294="",L294=""),"",L294/J294-1)</f>
        <v/>
      </c>
      <c r="P294" s="169">
        <f>IF(OR(J294="",K294=""),"",K294/J294-1)</f>
        <v/>
      </c>
      <c r="Q294" s="54">
        <f>IF(AND(ISNUMBER(J294),ISNUMBER(L294)),1,0)</f>
        <v/>
      </c>
      <c r="R294" s="69">
        <f>IF(Q294=1,G294*L294,0)</f>
        <v/>
      </c>
      <c r="S294" s="69">
        <f>IF(Q294=1,(H294+I294)*U294,0)</f>
        <v/>
      </c>
      <c r="T294" s="59">
        <f>IF(Q294=1,G294,0)</f>
        <v/>
      </c>
      <c r="U294" s="170">
        <f>$G$3</f>
        <v/>
      </c>
    </row>
    <row r="295">
      <c r="A295" s="54" t="inlineStr">
        <is>
          <t>CA DC B6</t>
        </is>
      </c>
      <c r="B295" s="54" t="inlineStr">
        <is>
          <t>CA</t>
        </is>
      </c>
      <c r="C295" s="54" t="inlineStr">
        <is>
          <t>B0CQ318RHN</t>
        </is>
      </c>
      <c r="D295" s="54" t="inlineStr">
        <is>
          <t>BAMBOO-FULL-MIDGREY-6PCS</t>
        </is>
      </c>
      <c r="E295" s="54" t="inlineStr">
        <is>
          <t>Full</t>
        </is>
      </c>
      <c r="F295" s="54" t="inlineStr">
        <is>
          <t>Midgrey</t>
        </is>
      </c>
      <c r="G295" s="55" t="n">
        <v>21</v>
      </c>
      <c r="H295" s="167" t="n">
        <v>955.98</v>
      </c>
      <c r="I295" s="167" t="n">
        <v>0</v>
      </c>
      <c r="J295" s="171">
        <f>IF(AND(N(G295)&gt;0,N(H295)+N(I295)&gt;0),(H295+I295)*U295/G295,"")</f>
        <v/>
      </c>
      <c r="K295" s="172" t="n">
        <v>79.98999999999999</v>
      </c>
      <c r="L295" s="172" t="n">
        <v>75.98999999999999</v>
      </c>
      <c r="M295" s="54" t="inlineStr">
        <is>
          <t>Eligible</t>
        </is>
      </c>
      <c r="N295" s="171">
        <f>IF(OR(J295="",L295=""),"",L295-J295)</f>
        <v/>
      </c>
      <c r="O295" s="169">
        <f>IF(OR(J295="",L295=""),"",L295/J295-1)</f>
        <v/>
      </c>
      <c r="P295" s="169">
        <f>IF(OR(J295="",K295=""),"",K295/J295-1)</f>
        <v/>
      </c>
      <c r="Q295" s="54">
        <f>IF(AND(ISNUMBER(J295),ISNUMBER(L295)),1,0)</f>
        <v/>
      </c>
      <c r="R295" s="69">
        <f>IF(Q295=1,G295*L295,0)</f>
        <v/>
      </c>
      <c r="S295" s="69">
        <f>IF(Q295=1,(H295+I295)*U295,0)</f>
        <v/>
      </c>
      <c r="T295" s="59">
        <f>IF(Q295=1,G295,0)</f>
        <v/>
      </c>
      <c r="U295" s="170">
        <f>$G$3</f>
        <v/>
      </c>
    </row>
    <row r="296">
      <c r="A296" s="54" t="inlineStr">
        <is>
          <t>CA DC B6</t>
        </is>
      </c>
      <c r="B296" s="54" t="inlineStr">
        <is>
          <t>CA</t>
        </is>
      </c>
      <c r="C296" s="54" t="inlineStr">
        <is>
          <t>B0CQ31FR3Y</t>
        </is>
      </c>
      <c r="D296" s="54" t="inlineStr">
        <is>
          <t>BAMBOO-QUEEN-MIDGREY-6PCS</t>
        </is>
      </c>
      <c r="E296" s="54" t="inlineStr">
        <is>
          <t>Queen</t>
        </is>
      </c>
      <c r="F296" s="54" t="inlineStr">
        <is>
          <t>Midgrey</t>
        </is>
      </c>
      <c r="G296" s="55" t="n">
        <v>18</v>
      </c>
      <c r="H296" s="167" t="n">
        <v>815.11</v>
      </c>
      <c r="I296" s="167" t="n">
        <v>0</v>
      </c>
      <c r="J296" s="171">
        <f>IF(AND(N(G296)&gt;0,N(H296)+N(I296)&gt;0),(H296+I296)*U296/G296,"")</f>
        <v/>
      </c>
      <c r="K296" s="172" t="n">
        <v>99.98999999999999</v>
      </c>
      <c r="L296" s="172" t="n">
        <v>99.98999999999999</v>
      </c>
      <c r="M296" s="54" t="inlineStr">
        <is>
          <t>Eligible</t>
        </is>
      </c>
      <c r="N296" s="171">
        <f>IF(OR(J296="",L296=""),"",L296-J296)</f>
        <v/>
      </c>
      <c r="O296" s="169">
        <f>IF(OR(J296="",L296=""),"",L296/J296-1)</f>
        <v/>
      </c>
      <c r="P296" s="169">
        <f>IF(OR(J296="",K296=""),"",K296/J296-1)</f>
        <v/>
      </c>
      <c r="Q296" s="54">
        <f>IF(AND(ISNUMBER(J296),ISNUMBER(L296)),1,0)</f>
        <v/>
      </c>
      <c r="R296" s="69">
        <f>IF(Q296=1,G296*L296,0)</f>
        <v/>
      </c>
      <c r="S296" s="69">
        <f>IF(Q296=1,(H296+I296)*U296,0)</f>
        <v/>
      </c>
      <c r="T296" s="59">
        <f>IF(Q296=1,G296,0)</f>
        <v/>
      </c>
      <c r="U296" s="170">
        <f>$G$3</f>
        <v/>
      </c>
    </row>
    <row r="297">
      <c r="A297" s="54" t="inlineStr">
        <is>
          <t>CA DC B6</t>
        </is>
      </c>
      <c r="B297" s="54" t="inlineStr">
        <is>
          <t>CA</t>
        </is>
      </c>
      <c r="C297" s="54" t="inlineStr">
        <is>
          <t>B0CQ31X65Y</t>
        </is>
      </c>
      <c r="D297" s="54" t="inlineStr">
        <is>
          <t>BAMBOO-KING-LIGHTBLUE-6PCS</t>
        </is>
      </c>
      <c r="E297" s="54" t="inlineStr">
        <is>
          <t>King</t>
        </is>
      </c>
      <c r="F297" s="54" t="inlineStr">
        <is>
          <t>Light Blue</t>
        </is>
      </c>
      <c r="G297" s="55" t="n">
        <v>16</v>
      </c>
      <c r="H297" s="167" t="n">
        <v>911.72</v>
      </c>
      <c r="I297" s="167" t="n">
        <v>0</v>
      </c>
      <c r="J297" s="171">
        <f>IF(AND(N(G297)&gt;0,N(H297)+N(I297)&gt;0),(H297+I297)*U297/G297,"")</f>
        <v/>
      </c>
      <c r="K297" s="172" t="n">
        <v>99.98999999999999</v>
      </c>
      <c r="L297" s="172" t="n">
        <v>84.98999999999999</v>
      </c>
      <c r="M297" s="54" t="inlineStr">
        <is>
          <t>Eligible</t>
        </is>
      </c>
      <c r="N297" s="171">
        <f>IF(OR(J297="",L297=""),"",L297-J297)</f>
        <v/>
      </c>
      <c r="O297" s="169">
        <f>IF(OR(J297="",L297=""),"",L297/J297-1)</f>
        <v/>
      </c>
      <c r="P297" s="169">
        <f>IF(OR(J297="",K297=""),"",K297/J297-1)</f>
        <v/>
      </c>
      <c r="Q297" s="54">
        <f>IF(AND(ISNUMBER(J297),ISNUMBER(L297)),1,0)</f>
        <v/>
      </c>
      <c r="R297" s="69">
        <f>IF(Q297=1,G297*L297,0)</f>
        <v/>
      </c>
      <c r="S297" s="69">
        <f>IF(Q297=1,(H297+I297)*U297,0)</f>
        <v/>
      </c>
      <c r="T297" s="59">
        <f>IF(Q297=1,G297,0)</f>
        <v/>
      </c>
      <c r="U297" s="170">
        <f>$G$3</f>
        <v/>
      </c>
    </row>
    <row r="298">
      <c r="A298" s="54" t="inlineStr">
        <is>
          <t>CA DC B6</t>
        </is>
      </c>
      <c r="B298" s="54" t="inlineStr">
        <is>
          <t>CA</t>
        </is>
      </c>
      <c r="C298" s="54" t="inlineStr">
        <is>
          <t>B0CQ328B82</t>
        </is>
      </c>
      <c r="D298" s="54" t="inlineStr">
        <is>
          <t>BAMBOO-FULL-GREY-6PCS</t>
        </is>
      </c>
      <c r="E298" s="54" t="inlineStr">
        <is>
          <t>Full</t>
        </is>
      </c>
      <c r="F298" s="54" t="inlineStr">
        <is>
          <t>Grey</t>
        </is>
      </c>
      <c r="G298" s="55" t="n">
        <v>15</v>
      </c>
      <c r="H298" s="167" t="n">
        <v>682.41</v>
      </c>
      <c r="I298" s="167" t="n">
        <v>0</v>
      </c>
      <c r="J298" s="171">
        <f>IF(AND(N(G298)&gt;0,N(H298)+N(I298)&gt;0),(H298+I298)*U298/G298,"")</f>
        <v/>
      </c>
      <c r="K298" s="172" t="n">
        <v>79.98999999999999</v>
      </c>
      <c r="L298" s="172" t="n">
        <v>79.98999999999999</v>
      </c>
      <c r="M298" s="54" t="inlineStr">
        <is>
          <t>Eligible</t>
        </is>
      </c>
      <c r="N298" s="171">
        <f>IF(OR(J298="",L298=""),"",L298-J298)</f>
        <v/>
      </c>
      <c r="O298" s="169">
        <f>IF(OR(J298="",L298=""),"",L298/J298-1)</f>
        <v/>
      </c>
      <c r="P298" s="169">
        <f>IF(OR(J298="",K298=""),"",K298/J298-1)</f>
        <v/>
      </c>
      <c r="Q298" s="54">
        <f>IF(AND(ISNUMBER(J298),ISNUMBER(L298)),1,0)</f>
        <v/>
      </c>
      <c r="R298" s="69">
        <f>IF(Q298=1,G298*L298,0)</f>
        <v/>
      </c>
      <c r="S298" s="69">
        <f>IF(Q298=1,(H298+I298)*U298,0)</f>
        <v/>
      </c>
      <c r="T298" s="59">
        <f>IF(Q298=1,G298,0)</f>
        <v/>
      </c>
      <c r="U298" s="170">
        <f>$G$3</f>
        <v/>
      </c>
    </row>
    <row r="299">
      <c r="A299" s="54" t="inlineStr">
        <is>
          <t>CA DC B6</t>
        </is>
      </c>
      <c r="B299" s="54" t="inlineStr">
        <is>
          <t>CA</t>
        </is>
      </c>
      <c r="C299" s="54" t="inlineStr">
        <is>
          <t>B0CQ32S4MW</t>
        </is>
      </c>
      <c r="D299" s="54" t="inlineStr">
        <is>
          <t>BAMBOO-FULL-LIGHT PINK-6PCS</t>
        </is>
      </c>
      <c r="E299" s="54" t="inlineStr">
        <is>
          <t>Full</t>
        </is>
      </c>
      <c r="F299" s="54" t="inlineStr">
        <is>
          <t>Light Pink</t>
        </is>
      </c>
      <c r="G299" s="55" t="n">
        <v>15</v>
      </c>
      <c r="H299" s="167" t="n">
        <v>684.13</v>
      </c>
      <c r="I299" s="167" t="n">
        <v>0</v>
      </c>
      <c r="J299" s="171">
        <f>IF(AND(N(G299)&gt;0,N(H299)+N(I299)&gt;0),(H299+I299)*U299/G299,"")</f>
        <v/>
      </c>
      <c r="K299" s="172" t="n">
        <v>79.98999999999999</v>
      </c>
      <c r="L299" s="172" t="n">
        <v>79.98999999999999</v>
      </c>
      <c r="M299" s="54" t="inlineStr">
        <is>
          <t>Eligible</t>
        </is>
      </c>
      <c r="N299" s="171">
        <f>IF(OR(J299="",L299=""),"",L299-J299)</f>
        <v/>
      </c>
      <c r="O299" s="169">
        <f>IF(OR(J299="",L299=""),"",L299/J299-1)</f>
        <v/>
      </c>
      <c r="P299" s="169">
        <f>IF(OR(J299="",K299=""),"",K299/J299-1)</f>
        <v/>
      </c>
      <c r="Q299" s="54">
        <f>IF(AND(ISNUMBER(J299),ISNUMBER(L299)),1,0)</f>
        <v/>
      </c>
      <c r="R299" s="69">
        <f>IF(Q299=1,G299*L299,0)</f>
        <v/>
      </c>
      <c r="S299" s="69">
        <f>IF(Q299=1,(H299+I299)*U299,0)</f>
        <v/>
      </c>
      <c r="T299" s="59">
        <f>IF(Q299=1,G299,0)</f>
        <v/>
      </c>
      <c r="U299" s="170">
        <f>$G$3</f>
        <v/>
      </c>
    </row>
    <row r="300">
      <c r="A300" s="54" t="inlineStr">
        <is>
          <t>CA DC B6</t>
        </is>
      </c>
      <c r="B300" s="54" t="inlineStr">
        <is>
          <t>CA</t>
        </is>
      </c>
      <c r="C300" s="54" t="inlineStr">
        <is>
          <t>B0CQ2ZZW88</t>
        </is>
      </c>
      <c r="D300" s="54" t="inlineStr">
        <is>
          <t>BAMBOO-KING-CHARCOAL-6PCS</t>
        </is>
      </c>
      <c r="E300" s="54" t="inlineStr">
        <is>
          <t>King</t>
        </is>
      </c>
      <c r="F300" s="54" t="inlineStr">
        <is>
          <t>Charcoal</t>
        </is>
      </c>
      <c r="G300" s="55" t="n">
        <v>15</v>
      </c>
      <c r="H300" s="167" t="n">
        <v>853.98</v>
      </c>
      <c r="I300" s="167" t="n">
        <v>0</v>
      </c>
      <c r="J300" s="171">
        <f>IF(AND(N(G300)&gt;0,N(H300)+N(I300)&gt;0),(H300+I300)*U300/G300,"")</f>
        <v/>
      </c>
      <c r="K300" s="172" t="n">
        <v>99.98999999999999</v>
      </c>
      <c r="L300" s="172" t="n">
        <v>84.98999999999999</v>
      </c>
      <c r="M300" s="54" t="inlineStr">
        <is>
          <t>Eligible</t>
        </is>
      </c>
      <c r="N300" s="171">
        <f>IF(OR(J300="",L300=""),"",L300-J300)</f>
        <v/>
      </c>
      <c r="O300" s="169">
        <f>IF(OR(J300="",L300=""),"",L300/J300-1)</f>
        <v/>
      </c>
      <c r="P300" s="169">
        <f>IF(OR(J300="",K300=""),"",K300/J300-1)</f>
        <v/>
      </c>
      <c r="Q300" s="54">
        <f>IF(AND(ISNUMBER(J300),ISNUMBER(L300)),1,0)</f>
        <v/>
      </c>
      <c r="R300" s="69">
        <f>IF(Q300=1,G300*L300,0)</f>
        <v/>
      </c>
      <c r="S300" s="69">
        <f>IF(Q300=1,(H300+I300)*U300,0)</f>
        <v/>
      </c>
      <c r="T300" s="59">
        <f>IF(Q300=1,G300,0)</f>
        <v/>
      </c>
      <c r="U300" s="170">
        <f>$G$3</f>
        <v/>
      </c>
    </row>
    <row r="301">
      <c r="A301" s="54" t="inlineStr">
        <is>
          <t>CA DC B6</t>
        </is>
      </c>
      <c r="B301" s="54" t="inlineStr">
        <is>
          <t>CA</t>
        </is>
      </c>
      <c r="C301" s="54" t="inlineStr">
        <is>
          <t>B0CQ33KG5X</t>
        </is>
      </c>
      <c r="D301" s="54" t="inlineStr">
        <is>
          <t>BAMBOO-KING-CREME-6PCS</t>
        </is>
      </c>
      <c r="E301" s="54" t="inlineStr">
        <is>
          <t>King</t>
        </is>
      </c>
      <c r="F301" s="54" t="inlineStr">
        <is>
          <t>Creme</t>
        </is>
      </c>
      <c r="G301" s="55" t="n">
        <v>15</v>
      </c>
      <c r="H301" s="167" t="n">
        <v>941.3200000000001</v>
      </c>
      <c r="I301" s="167" t="n">
        <v>0</v>
      </c>
      <c r="J301" s="171">
        <f>IF(AND(N(G301)&gt;0,N(H301)+N(I301)&gt;0),(H301+I301)*U301/G301,"")</f>
        <v/>
      </c>
      <c r="K301" s="172" t="n">
        <v>99.98999999999999</v>
      </c>
      <c r="L301" s="172" t="n">
        <v>84.98999999999999</v>
      </c>
      <c r="M301" s="54" t="inlineStr">
        <is>
          <t>Eligible</t>
        </is>
      </c>
      <c r="N301" s="171">
        <f>IF(OR(J301="",L301=""),"",L301-J301)</f>
        <v/>
      </c>
      <c r="O301" s="169">
        <f>IF(OR(J301="",L301=""),"",L301/J301-1)</f>
        <v/>
      </c>
      <c r="P301" s="169">
        <f>IF(OR(J301="",K301=""),"",K301/J301-1)</f>
        <v/>
      </c>
      <c r="Q301" s="54">
        <f>IF(AND(ISNUMBER(J301),ISNUMBER(L301)),1,0)</f>
        <v/>
      </c>
      <c r="R301" s="69">
        <f>IF(Q301=1,G301*L301,0)</f>
        <v/>
      </c>
      <c r="S301" s="69">
        <f>IF(Q301=1,(H301+I301)*U301,0)</f>
        <v/>
      </c>
      <c r="T301" s="59">
        <f>IF(Q301=1,G301,0)</f>
        <v/>
      </c>
      <c r="U301" s="170">
        <f>$G$3</f>
        <v/>
      </c>
    </row>
    <row r="302">
      <c r="A302" s="54" t="inlineStr">
        <is>
          <t>CA DC B6</t>
        </is>
      </c>
      <c r="B302" s="54" t="inlineStr">
        <is>
          <t>CA</t>
        </is>
      </c>
      <c r="C302" s="54" t="inlineStr">
        <is>
          <t>B0CQ32JNVG</t>
        </is>
      </c>
      <c r="D302" s="54" t="inlineStr">
        <is>
          <t>BAMBOO-FULL-LIGHTBLUE-6PCS</t>
        </is>
      </c>
      <c r="E302" s="54" t="inlineStr">
        <is>
          <t>Full</t>
        </is>
      </c>
      <c r="F302" s="54" t="inlineStr">
        <is>
          <t>Light Blue</t>
        </is>
      </c>
      <c r="G302" s="55" t="n">
        <v>14</v>
      </c>
      <c r="H302" s="167" t="n">
        <v>638.4400000000001</v>
      </c>
      <c r="I302" s="167" t="n">
        <v>0</v>
      </c>
      <c r="J302" s="171">
        <f>IF(AND(N(G302)&gt;0,N(H302)+N(I302)&gt;0),(H302+I302)*U302/G302,"")</f>
        <v/>
      </c>
      <c r="K302" s="172" t="n">
        <v>79.98999999999999</v>
      </c>
      <c r="L302" s="172" t="n">
        <v>79.98999999999999</v>
      </c>
      <c r="M302" s="54" t="inlineStr">
        <is>
          <t>Eligible</t>
        </is>
      </c>
      <c r="N302" s="171">
        <f>IF(OR(J302="",L302=""),"",L302-J302)</f>
        <v/>
      </c>
      <c r="O302" s="169">
        <f>IF(OR(J302="",L302=""),"",L302/J302-1)</f>
        <v/>
      </c>
      <c r="P302" s="169">
        <f>IF(OR(J302="",K302=""),"",K302/J302-1)</f>
        <v/>
      </c>
      <c r="Q302" s="54">
        <f>IF(AND(ISNUMBER(J302),ISNUMBER(L302)),1,0)</f>
        <v/>
      </c>
      <c r="R302" s="69">
        <f>IF(Q302=1,G302*L302,0)</f>
        <v/>
      </c>
      <c r="S302" s="69">
        <f>IF(Q302=1,(H302+I302)*U302,0)</f>
        <v/>
      </c>
      <c r="T302" s="59">
        <f>IF(Q302=1,G302,0)</f>
        <v/>
      </c>
      <c r="U302" s="170">
        <f>$G$3</f>
        <v/>
      </c>
    </row>
    <row r="303">
      <c r="A303" s="54" t="inlineStr">
        <is>
          <t>CA DC B6</t>
        </is>
      </c>
      <c r="B303" s="54" t="inlineStr">
        <is>
          <t>CA</t>
        </is>
      </c>
      <c r="C303" s="54" t="inlineStr">
        <is>
          <t>B0CQ332KLH</t>
        </is>
      </c>
      <c r="D303" s="54" t="inlineStr">
        <is>
          <t>BAMBOO-FULL-BLACK-6PCS</t>
        </is>
      </c>
      <c r="E303" s="54" t="inlineStr">
        <is>
          <t>Full</t>
        </is>
      </c>
      <c r="F303" s="54" t="inlineStr">
        <is>
          <t>Black</t>
        </is>
      </c>
      <c r="G303" s="55" t="n">
        <v>13</v>
      </c>
      <c r="H303" s="167" t="n">
        <v>592.65</v>
      </c>
      <c r="I303" s="167" t="n">
        <v>0</v>
      </c>
      <c r="J303" s="171">
        <f>IF(AND(N(G303)&gt;0,N(H303)+N(I303)&gt;0),(H303+I303)*U303/G303,"")</f>
        <v/>
      </c>
      <c r="K303" s="172" t="n">
        <v>79.98999999999999</v>
      </c>
      <c r="L303" s="172" t="n">
        <v>67.98999999999999</v>
      </c>
      <c r="M303" s="54" t="inlineStr">
        <is>
          <t>Eligible</t>
        </is>
      </c>
      <c r="N303" s="171">
        <f>IF(OR(J303="",L303=""),"",L303-J303)</f>
        <v/>
      </c>
      <c r="O303" s="169">
        <f>IF(OR(J303="",L303=""),"",L303/J303-1)</f>
        <v/>
      </c>
      <c r="P303" s="169">
        <f>IF(OR(J303="",K303=""),"",K303/J303-1)</f>
        <v/>
      </c>
      <c r="Q303" s="54">
        <f>IF(AND(ISNUMBER(J303),ISNUMBER(L303)),1,0)</f>
        <v/>
      </c>
      <c r="R303" s="69">
        <f>IF(Q303=1,G303*L303,0)</f>
        <v/>
      </c>
      <c r="S303" s="69">
        <f>IF(Q303=1,(H303+I303)*U303,0)</f>
        <v/>
      </c>
      <c r="T303" s="59">
        <f>IF(Q303=1,G303,0)</f>
        <v/>
      </c>
      <c r="U303" s="170">
        <f>$G$3</f>
        <v/>
      </c>
    </row>
    <row r="304">
      <c r="A304" s="54" t="inlineStr">
        <is>
          <t>CA DC B6</t>
        </is>
      </c>
      <c r="B304" s="54" t="inlineStr">
        <is>
          <t>CA</t>
        </is>
      </c>
      <c r="C304" s="54" t="inlineStr">
        <is>
          <t>B0CQ2ZSDMN</t>
        </is>
      </c>
      <c r="D304" s="54" t="inlineStr">
        <is>
          <t>BAMBOO-FULL-NAVYBLUE-6PCS</t>
        </is>
      </c>
      <c r="E304" s="54" t="inlineStr">
        <is>
          <t>Full</t>
        </is>
      </c>
      <c r="F304" s="54" t="inlineStr">
        <is>
          <t>Navy Blue</t>
        </is>
      </c>
      <c r="G304" s="55" t="n">
        <v>13</v>
      </c>
      <c r="H304" s="167" t="n">
        <v>594</v>
      </c>
      <c r="I304" s="167" t="n">
        <v>0</v>
      </c>
      <c r="J304" s="171">
        <f>IF(AND(N(G304)&gt;0,N(H304)+N(I304)&gt;0),(H304+I304)*U304/G304,"")</f>
        <v/>
      </c>
      <c r="K304" s="172" t="n">
        <v>79.98999999999999</v>
      </c>
      <c r="L304" s="172" t="n">
        <v>75.98999999999999</v>
      </c>
      <c r="M304" s="54" t="inlineStr">
        <is>
          <t>Eligible</t>
        </is>
      </c>
      <c r="N304" s="171">
        <f>IF(OR(J304="",L304=""),"",L304-J304)</f>
        <v/>
      </c>
      <c r="O304" s="169">
        <f>IF(OR(J304="",L304=""),"",L304/J304-1)</f>
        <v/>
      </c>
      <c r="P304" s="169">
        <f>IF(OR(J304="",K304=""),"",K304/J304-1)</f>
        <v/>
      </c>
      <c r="Q304" s="54">
        <f>IF(AND(ISNUMBER(J304),ISNUMBER(L304)),1,0)</f>
        <v/>
      </c>
      <c r="R304" s="69">
        <f>IF(Q304=1,G304*L304,0)</f>
        <v/>
      </c>
      <c r="S304" s="69">
        <f>IF(Q304=1,(H304+I304)*U304,0)</f>
        <v/>
      </c>
      <c r="T304" s="59">
        <f>IF(Q304=1,G304,0)</f>
        <v/>
      </c>
      <c r="U304" s="170">
        <f>$G$3</f>
        <v/>
      </c>
    </row>
    <row r="305">
      <c r="A305" s="54" t="inlineStr">
        <is>
          <t>CA DC B6</t>
        </is>
      </c>
      <c r="B305" s="54" t="inlineStr">
        <is>
          <t>CA</t>
        </is>
      </c>
      <c r="C305" s="54" t="inlineStr">
        <is>
          <t>B0CQ3GXLCJ</t>
        </is>
      </c>
      <c r="D305" s="54" t="n"/>
      <c r="E305" s="54" t="inlineStr">
        <is>
          <t>Queen</t>
        </is>
      </c>
      <c r="F305" s="54" t="inlineStr">
        <is>
          <t>Purple</t>
        </is>
      </c>
      <c r="G305" s="55" t="n">
        <v>13</v>
      </c>
      <c r="H305" s="167" t="n">
        <v>741.61</v>
      </c>
      <c r="I305" s="167" t="n">
        <v>0</v>
      </c>
      <c r="J305" s="171">
        <f>IF(AND(N(G305)&gt;0,N(H305)+N(I305)&gt;0),(H305+I305)*U305/G305,"")</f>
        <v/>
      </c>
      <c r="K305" s="172" t="n">
        <v>99.98999999999999</v>
      </c>
      <c r="L305" s="172" t="n">
        <v>94.77</v>
      </c>
      <c r="M305" s="54" t="inlineStr">
        <is>
          <t>Eligible</t>
        </is>
      </c>
      <c r="N305" s="171">
        <f>IF(OR(J305="",L305=""),"",L305-J305)</f>
        <v/>
      </c>
      <c r="O305" s="169">
        <f>IF(OR(J305="",L305=""),"",L305/J305-1)</f>
        <v/>
      </c>
      <c r="P305" s="169">
        <f>IF(OR(J305="",K305=""),"",K305/J305-1)</f>
        <v/>
      </c>
      <c r="Q305" s="54">
        <f>IF(AND(ISNUMBER(J305),ISNUMBER(L305)),1,0)</f>
        <v/>
      </c>
      <c r="R305" s="69">
        <f>IF(Q305=1,G305*L305,0)</f>
        <v/>
      </c>
      <c r="S305" s="69">
        <f>IF(Q305=1,(H305+I305)*U305,0)</f>
        <v/>
      </c>
      <c r="T305" s="59">
        <f>IF(Q305=1,G305,0)</f>
        <v/>
      </c>
      <c r="U305" s="170">
        <f>$G$3</f>
        <v/>
      </c>
    </row>
    <row r="306">
      <c r="A306" s="54" t="inlineStr">
        <is>
          <t>CA DC B6</t>
        </is>
      </c>
      <c r="B306" s="54" t="inlineStr">
        <is>
          <t>CA</t>
        </is>
      </c>
      <c r="C306" s="54" t="inlineStr">
        <is>
          <t>B0CQ31XF3H</t>
        </is>
      </c>
      <c r="D306" s="54" t="inlineStr">
        <is>
          <t>BAMBOO-TWIN-MIDGREY-6PCS</t>
        </is>
      </c>
      <c r="E306" s="54" t="inlineStr">
        <is>
          <t>Twin</t>
        </is>
      </c>
      <c r="F306" s="54" t="inlineStr">
        <is>
          <t>Midgrey</t>
        </is>
      </c>
      <c r="G306" s="55" t="n">
        <v>13</v>
      </c>
      <c r="H306" s="167" t="n">
        <v>489.24</v>
      </c>
      <c r="I306" s="167" t="n">
        <v>0</v>
      </c>
      <c r="J306" s="171">
        <f>IF(AND(N(G306)&gt;0,N(H306)+N(I306)&gt;0),(H306+I306)*U306/G306,"")</f>
        <v/>
      </c>
      <c r="K306" s="172" t="n">
        <v>79.98999999999999</v>
      </c>
      <c r="L306" s="172" t="n"/>
      <c r="M306" s="54" t="inlineStr">
        <is>
          <t>Out of stock</t>
        </is>
      </c>
      <c r="N306" s="171">
        <f>IF(OR(J306="",L306=""),"",L306-J306)</f>
        <v/>
      </c>
      <c r="O306" s="169">
        <f>IF(OR(J306="",L306=""),"",L306/J306-1)</f>
        <v/>
      </c>
      <c r="P306" s="169">
        <f>IF(OR(J306="",K306=""),"",K306/J306-1)</f>
        <v/>
      </c>
      <c r="Q306" s="54">
        <f>IF(AND(ISNUMBER(J306),ISNUMBER(L306)),1,0)</f>
        <v/>
      </c>
      <c r="R306" s="69">
        <f>IF(Q306=1,G306*L306,0)</f>
        <v/>
      </c>
      <c r="S306" s="69">
        <f>IF(Q306=1,(H306+I306)*U306,0)</f>
        <v/>
      </c>
      <c r="T306" s="59">
        <f>IF(Q306=1,G306,0)</f>
        <v/>
      </c>
      <c r="U306" s="170">
        <f>$G$3</f>
        <v/>
      </c>
    </row>
    <row r="307">
      <c r="A307" s="54" t="inlineStr">
        <is>
          <t>CA DC B6</t>
        </is>
      </c>
      <c r="B307" s="54" t="inlineStr">
        <is>
          <t>CA</t>
        </is>
      </c>
      <c r="C307" s="54" t="inlineStr">
        <is>
          <t>B0CQ311KCT</t>
        </is>
      </c>
      <c r="D307" s="54" t="inlineStr">
        <is>
          <t>BAMBOO-FULL-TAUPE-6PCS</t>
        </is>
      </c>
      <c r="E307" s="54" t="inlineStr">
        <is>
          <t>Full</t>
        </is>
      </c>
      <c r="F307" s="54" t="inlineStr">
        <is>
          <t>Taupe</t>
        </is>
      </c>
      <c r="G307" s="55" t="n">
        <v>12</v>
      </c>
      <c r="H307" s="167" t="n">
        <v>569.03</v>
      </c>
      <c r="I307" s="167" t="n">
        <v>0</v>
      </c>
      <c r="J307" s="171">
        <f>IF(AND(N(G307)&gt;0,N(H307)+N(I307)&gt;0),(H307+I307)*U307/G307,"")</f>
        <v/>
      </c>
      <c r="K307" s="172" t="n">
        <v>79.98999999999999</v>
      </c>
      <c r="L307" s="172" t="n">
        <v>75.98999999999999</v>
      </c>
      <c r="M307" s="54" t="inlineStr">
        <is>
          <t>Eligible</t>
        </is>
      </c>
      <c r="N307" s="171">
        <f>IF(OR(J307="",L307=""),"",L307-J307)</f>
        <v/>
      </c>
      <c r="O307" s="169">
        <f>IF(OR(J307="",L307=""),"",L307/J307-1)</f>
        <v/>
      </c>
      <c r="P307" s="169">
        <f>IF(OR(J307="",K307=""),"",K307/J307-1)</f>
        <v/>
      </c>
      <c r="Q307" s="54">
        <f>IF(AND(ISNUMBER(J307),ISNUMBER(L307)),1,0)</f>
        <v/>
      </c>
      <c r="R307" s="69">
        <f>IF(Q307=1,G307*L307,0)</f>
        <v/>
      </c>
      <c r="S307" s="69">
        <f>IF(Q307=1,(H307+I307)*U307,0)</f>
        <v/>
      </c>
      <c r="T307" s="59">
        <f>IF(Q307=1,G307,0)</f>
        <v/>
      </c>
      <c r="U307" s="170">
        <f>$G$3</f>
        <v/>
      </c>
    </row>
    <row r="308">
      <c r="A308" s="54" t="inlineStr">
        <is>
          <t>CA DC B6</t>
        </is>
      </c>
      <c r="B308" s="54" t="inlineStr">
        <is>
          <t>CA</t>
        </is>
      </c>
      <c r="C308" s="54" t="inlineStr">
        <is>
          <t>B0CQ2ZZ9QN</t>
        </is>
      </c>
      <c r="D308" s="54" t="inlineStr">
        <is>
          <t>BAMBOO-KING-SAGE GREEN-6PCS</t>
        </is>
      </c>
      <c r="E308" s="54" t="inlineStr">
        <is>
          <t>King</t>
        </is>
      </c>
      <c r="F308" s="54" t="inlineStr">
        <is>
          <t>Sage Green</t>
        </is>
      </c>
      <c r="G308" s="55" t="n">
        <v>12</v>
      </c>
      <c r="H308" s="167" t="n">
        <v>753.5</v>
      </c>
      <c r="I308" s="167" t="n">
        <v>0</v>
      </c>
      <c r="J308" s="171">
        <f>IF(AND(N(G308)&gt;0,N(H308)+N(I308)&gt;0),(H308+I308)*U308/G308,"")</f>
        <v/>
      </c>
      <c r="K308" s="172" t="n">
        <v>107.99</v>
      </c>
      <c r="L308" s="172" t="n">
        <v>76.48999999999999</v>
      </c>
      <c r="M308" s="54" t="inlineStr">
        <is>
          <t>Eligible</t>
        </is>
      </c>
      <c r="N308" s="171">
        <f>IF(OR(J308="",L308=""),"",L308-J308)</f>
        <v/>
      </c>
      <c r="O308" s="169">
        <f>IF(OR(J308="",L308=""),"",L308/J308-1)</f>
        <v/>
      </c>
      <c r="P308" s="169">
        <f>IF(OR(J308="",K308=""),"",K308/J308-1)</f>
        <v/>
      </c>
      <c r="Q308" s="54">
        <f>IF(AND(ISNUMBER(J308),ISNUMBER(L308)),1,0)</f>
        <v/>
      </c>
      <c r="R308" s="69">
        <f>IF(Q308=1,G308*L308,0)</f>
        <v/>
      </c>
      <c r="S308" s="69">
        <f>IF(Q308=1,(H308+I308)*U308,0)</f>
        <v/>
      </c>
      <c r="T308" s="59">
        <f>IF(Q308=1,G308,0)</f>
        <v/>
      </c>
      <c r="U308" s="170">
        <f>$G$3</f>
        <v/>
      </c>
    </row>
    <row r="309">
      <c r="A309" s="54" t="inlineStr">
        <is>
          <t>CA DC B6</t>
        </is>
      </c>
      <c r="B309" s="54" t="inlineStr">
        <is>
          <t>CA</t>
        </is>
      </c>
      <c r="C309" s="54" t="inlineStr">
        <is>
          <t>B0CQ32VM8N</t>
        </is>
      </c>
      <c r="D309" s="54" t="inlineStr">
        <is>
          <t>BAMBOO-FULL-LIGHTGREY-6PCS</t>
        </is>
      </c>
      <c r="E309" s="54" t="inlineStr">
        <is>
          <t>Full</t>
        </is>
      </c>
      <c r="F309" s="54" t="inlineStr">
        <is>
          <t>Light Grey</t>
        </is>
      </c>
      <c r="G309" s="55" t="n">
        <v>10</v>
      </c>
      <c r="H309" s="167" t="n">
        <v>455.82</v>
      </c>
      <c r="I309" s="167" t="n">
        <v>0</v>
      </c>
      <c r="J309" s="171">
        <f>IF(AND(N(G309)&gt;0,N(H309)+N(I309)&gt;0),(H309+I309)*U309/G309,"")</f>
        <v/>
      </c>
      <c r="K309" s="172" t="n">
        <v>79.98999999999999</v>
      </c>
      <c r="L309" s="172" t="n">
        <v>75.98999999999999</v>
      </c>
      <c r="M309" s="54" t="inlineStr">
        <is>
          <t>Eligible</t>
        </is>
      </c>
      <c r="N309" s="171">
        <f>IF(OR(J309="",L309=""),"",L309-J309)</f>
        <v/>
      </c>
      <c r="O309" s="169">
        <f>IF(OR(J309="",L309=""),"",L309/J309-1)</f>
        <v/>
      </c>
      <c r="P309" s="169">
        <f>IF(OR(J309="",K309=""),"",K309/J309-1)</f>
        <v/>
      </c>
      <c r="Q309" s="54">
        <f>IF(AND(ISNUMBER(J309),ISNUMBER(L309)),1,0)</f>
        <v/>
      </c>
      <c r="R309" s="69">
        <f>IF(Q309=1,G309*L309,0)</f>
        <v/>
      </c>
      <c r="S309" s="69">
        <f>IF(Q309=1,(H309+I309)*U309,0)</f>
        <v/>
      </c>
      <c r="T309" s="59">
        <f>IF(Q309=1,G309,0)</f>
        <v/>
      </c>
      <c r="U309" s="170">
        <f>$G$3</f>
        <v/>
      </c>
    </row>
    <row r="310">
      <c r="A310" s="54" t="inlineStr">
        <is>
          <t>CA DC B6</t>
        </is>
      </c>
      <c r="B310" s="54" t="inlineStr">
        <is>
          <t>CA</t>
        </is>
      </c>
      <c r="C310" s="54" t="inlineStr">
        <is>
          <t>B0CQ2YVZ18</t>
        </is>
      </c>
      <c r="D310" s="54" t="inlineStr">
        <is>
          <t>BAMBOO-KING-LIGHTOLIVE-6PCS</t>
        </is>
      </c>
      <c r="E310" s="54" t="inlineStr">
        <is>
          <t>King</t>
        </is>
      </c>
      <c r="F310" s="54" t="inlineStr">
        <is>
          <t>Light Olive</t>
        </is>
      </c>
      <c r="G310" s="55" t="n">
        <v>10</v>
      </c>
      <c r="H310" s="167" t="n">
        <v>569.12</v>
      </c>
      <c r="I310" s="167" t="n">
        <v>0</v>
      </c>
      <c r="J310" s="171">
        <f>IF(AND(N(G310)&gt;0,N(H310)+N(I310)&gt;0),(H310+I310)*U310/G310,"")</f>
        <v/>
      </c>
      <c r="K310" s="172" t="n">
        <v>99.98999999999999</v>
      </c>
      <c r="L310" s="172" t="n">
        <v>99.98999999999999</v>
      </c>
      <c r="M310" s="54" t="inlineStr">
        <is>
          <t>Eligible</t>
        </is>
      </c>
      <c r="N310" s="171">
        <f>IF(OR(J310="",L310=""),"",L310-J310)</f>
        <v/>
      </c>
      <c r="O310" s="169">
        <f>IF(OR(J310="",L310=""),"",L310/J310-1)</f>
        <v/>
      </c>
      <c r="P310" s="169">
        <f>IF(OR(J310="",K310=""),"",K310/J310-1)</f>
        <v/>
      </c>
      <c r="Q310" s="54">
        <f>IF(AND(ISNUMBER(J310),ISNUMBER(L310)),1,0)</f>
        <v/>
      </c>
      <c r="R310" s="69">
        <f>IF(Q310=1,G310*L310,0)</f>
        <v/>
      </c>
      <c r="S310" s="69">
        <f>IF(Q310=1,(H310+I310)*U310,0)</f>
        <v/>
      </c>
      <c r="T310" s="59">
        <f>IF(Q310=1,G310,0)</f>
        <v/>
      </c>
      <c r="U310" s="170">
        <f>$G$3</f>
        <v/>
      </c>
    </row>
    <row r="311">
      <c r="A311" s="54" t="inlineStr">
        <is>
          <t>CA DC B6</t>
        </is>
      </c>
      <c r="B311" s="54" t="inlineStr">
        <is>
          <t>CA</t>
        </is>
      </c>
      <c r="C311" s="54" t="inlineStr">
        <is>
          <t>B0CQ312HKC</t>
        </is>
      </c>
      <c r="D311" s="54" t="inlineStr">
        <is>
          <t>BAMBOO-QUEEN-LIGHTOLIVE-6PCS</t>
        </is>
      </c>
      <c r="E311" s="54" t="inlineStr">
        <is>
          <t>Queen</t>
        </is>
      </c>
      <c r="F311" s="54" t="inlineStr">
        <is>
          <t>Light Olive</t>
        </is>
      </c>
      <c r="G311" s="55" t="n">
        <v>10</v>
      </c>
      <c r="H311" s="167" t="n">
        <v>570.21</v>
      </c>
      <c r="I311" s="167" t="n">
        <v>0</v>
      </c>
      <c r="J311" s="171">
        <f>IF(AND(N(G311)&gt;0,N(H311)+N(I311)&gt;0),(H311+I311)*U311/G311,"")</f>
        <v/>
      </c>
      <c r="K311" s="172" t="n">
        <v>99.98999999999999</v>
      </c>
      <c r="L311" s="172" t="n">
        <v>84.98999999999999</v>
      </c>
      <c r="M311" s="54" t="inlineStr">
        <is>
          <t>Eligible</t>
        </is>
      </c>
      <c r="N311" s="171">
        <f>IF(OR(J311="",L311=""),"",L311-J311)</f>
        <v/>
      </c>
      <c r="O311" s="169">
        <f>IF(OR(J311="",L311=""),"",L311/J311-1)</f>
        <v/>
      </c>
      <c r="P311" s="169">
        <f>IF(OR(J311="",K311=""),"",K311/J311-1)</f>
        <v/>
      </c>
      <c r="Q311" s="54">
        <f>IF(AND(ISNUMBER(J311),ISNUMBER(L311)),1,0)</f>
        <v/>
      </c>
      <c r="R311" s="69">
        <f>IF(Q311=1,G311*L311,0)</f>
        <v/>
      </c>
      <c r="S311" s="69">
        <f>IF(Q311=1,(H311+I311)*U311,0)</f>
        <v/>
      </c>
      <c r="T311" s="59">
        <f>IF(Q311=1,G311,0)</f>
        <v/>
      </c>
      <c r="U311" s="170">
        <f>$G$3</f>
        <v/>
      </c>
    </row>
    <row r="312">
      <c r="A312" s="54" t="inlineStr">
        <is>
          <t>CA DC B6</t>
        </is>
      </c>
      <c r="B312" s="54" t="inlineStr">
        <is>
          <t>CA</t>
        </is>
      </c>
      <c r="C312" s="54" t="inlineStr">
        <is>
          <t>B0CQ34D2QS</t>
        </is>
      </c>
      <c r="D312" s="54" t="inlineStr">
        <is>
          <t>BAMBOO-TWIN-WHITE-6PCS</t>
        </is>
      </c>
      <c r="E312" s="54" t="inlineStr">
        <is>
          <t>Twin</t>
        </is>
      </c>
      <c r="F312" s="54" t="inlineStr">
        <is>
          <t>White</t>
        </is>
      </c>
      <c r="G312" s="55" t="n">
        <v>10</v>
      </c>
      <c r="H312" s="167" t="n">
        <v>499.95</v>
      </c>
      <c r="I312" s="167" t="n">
        <v>0</v>
      </c>
      <c r="J312" s="171">
        <f>IF(AND(N(G312)&gt;0,N(H312)+N(I312)&gt;0),(H312+I312)*U312/G312,"")</f>
        <v/>
      </c>
      <c r="K312" s="172" t="n">
        <v>79.98999999999999</v>
      </c>
      <c r="L312" s="172" t="n">
        <v>79.98999999999999</v>
      </c>
      <c r="M312" s="54" t="inlineStr">
        <is>
          <t>Eligible</t>
        </is>
      </c>
      <c r="N312" s="171">
        <f>IF(OR(J312="",L312=""),"",L312-J312)</f>
        <v/>
      </c>
      <c r="O312" s="169">
        <f>IF(OR(J312="",L312=""),"",L312/J312-1)</f>
        <v/>
      </c>
      <c r="P312" s="169">
        <f>IF(OR(J312="",K312=""),"",K312/J312-1)</f>
        <v/>
      </c>
      <c r="Q312" s="54">
        <f>IF(AND(ISNUMBER(J312),ISNUMBER(L312)),1,0)</f>
        <v/>
      </c>
      <c r="R312" s="69">
        <f>IF(Q312=1,G312*L312,0)</f>
        <v/>
      </c>
      <c r="S312" s="69">
        <f>IF(Q312=1,(H312+I312)*U312,0)</f>
        <v/>
      </c>
      <c r="T312" s="59">
        <f>IF(Q312=1,G312,0)</f>
        <v/>
      </c>
      <c r="U312" s="170">
        <f>$G$3</f>
        <v/>
      </c>
    </row>
    <row r="313">
      <c r="A313" s="54" t="inlineStr">
        <is>
          <t>CA DC B6</t>
        </is>
      </c>
      <c r="B313" s="54" t="inlineStr">
        <is>
          <t>CA</t>
        </is>
      </c>
      <c r="C313" s="54" t="inlineStr">
        <is>
          <t>B0CQ322XC6</t>
        </is>
      </c>
      <c r="D313" s="54" t="inlineStr">
        <is>
          <t>BAMBOO-FULL-SAGE GREEN-6PCS</t>
        </is>
      </c>
      <c r="E313" s="54" t="inlineStr">
        <is>
          <t>Full</t>
        </is>
      </c>
      <c r="F313" s="54" t="inlineStr">
        <is>
          <t>Sage Green</t>
        </is>
      </c>
      <c r="G313" s="55" t="n">
        <v>9</v>
      </c>
      <c r="H313" s="167" t="n">
        <v>425.89</v>
      </c>
      <c r="I313" s="167" t="n">
        <v>0</v>
      </c>
      <c r="J313" s="171">
        <f>IF(AND(N(G313)&gt;0,N(H313)+N(I313)&gt;0),(H313+I313)*U313/G313,"")</f>
        <v/>
      </c>
      <c r="K313" s="172" t="n">
        <v>79.98999999999999</v>
      </c>
      <c r="L313" s="172" t="n">
        <v>79.98999999999999</v>
      </c>
      <c r="M313" s="54" t="inlineStr">
        <is>
          <t>Eligible</t>
        </is>
      </c>
      <c r="N313" s="171">
        <f>IF(OR(J313="",L313=""),"",L313-J313)</f>
        <v/>
      </c>
      <c r="O313" s="169">
        <f>IF(OR(J313="",L313=""),"",L313/J313-1)</f>
        <v/>
      </c>
      <c r="P313" s="169">
        <f>IF(OR(J313="",K313=""),"",K313/J313-1)</f>
        <v/>
      </c>
      <c r="Q313" s="54">
        <f>IF(AND(ISNUMBER(J313),ISNUMBER(L313)),1,0)</f>
        <v/>
      </c>
      <c r="R313" s="69">
        <f>IF(Q313=1,G313*L313,0)</f>
        <v/>
      </c>
      <c r="S313" s="69">
        <f>IF(Q313=1,(H313+I313)*U313,0)</f>
        <v/>
      </c>
      <c r="T313" s="59">
        <f>IF(Q313=1,G313,0)</f>
        <v/>
      </c>
      <c r="U313" s="170">
        <f>$G$3</f>
        <v/>
      </c>
    </row>
    <row r="314">
      <c r="A314" s="54" t="inlineStr">
        <is>
          <t>CA DC B6</t>
        </is>
      </c>
      <c r="B314" s="54" t="inlineStr">
        <is>
          <t>CA</t>
        </is>
      </c>
      <c r="C314" s="54" t="inlineStr">
        <is>
          <t>B0CQ33ZGQ4</t>
        </is>
      </c>
      <c r="D314" s="54" t="inlineStr">
        <is>
          <t>BAMBOO-FULL-OLIVE-6PCS</t>
        </is>
      </c>
      <c r="E314" s="54" t="inlineStr">
        <is>
          <t>Full</t>
        </is>
      </c>
      <c r="F314" s="54" t="inlineStr">
        <is>
          <t>Olive</t>
        </is>
      </c>
      <c r="G314" s="55" t="n">
        <v>8</v>
      </c>
      <c r="H314" s="167" t="n">
        <v>378.76</v>
      </c>
      <c r="I314" s="167" t="n">
        <v>0</v>
      </c>
      <c r="J314" s="171">
        <f>IF(AND(N(G314)&gt;0,N(H314)+N(I314)&gt;0),(H314+I314)*U314/G314,"")</f>
        <v/>
      </c>
      <c r="K314" s="172" t="n">
        <v>79.98999999999999</v>
      </c>
      <c r="L314" s="172" t="n">
        <v>75.98999999999999</v>
      </c>
      <c r="M314" s="54" t="inlineStr">
        <is>
          <t>Eligible</t>
        </is>
      </c>
      <c r="N314" s="171">
        <f>IF(OR(J314="",L314=""),"",L314-J314)</f>
        <v/>
      </c>
      <c r="O314" s="169">
        <f>IF(OR(J314="",L314=""),"",L314/J314-1)</f>
        <v/>
      </c>
      <c r="P314" s="169">
        <f>IF(OR(J314="",K314=""),"",K314/J314-1)</f>
        <v/>
      </c>
      <c r="Q314" s="54">
        <f>IF(AND(ISNUMBER(J314),ISNUMBER(L314)),1,0)</f>
        <v/>
      </c>
      <c r="R314" s="69">
        <f>IF(Q314=1,G314*L314,0)</f>
        <v/>
      </c>
      <c r="S314" s="69">
        <f>IF(Q314=1,(H314+I314)*U314,0)</f>
        <v/>
      </c>
      <c r="T314" s="59">
        <f>IF(Q314=1,G314,0)</f>
        <v/>
      </c>
      <c r="U314" s="170">
        <f>$G$3</f>
        <v/>
      </c>
    </row>
    <row r="315">
      <c r="A315" s="54" t="inlineStr">
        <is>
          <t>CA DC B6</t>
        </is>
      </c>
      <c r="B315" s="54" t="inlineStr">
        <is>
          <t>CA</t>
        </is>
      </c>
      <c r="C315" s="54" t="inlineStr">
        <is>
          <t>B0CQ32LWVD</t>
        </is>
      </c>
      <c r="D315" s="54" t="inlineStr">
        <is>
          <t>BAMBOO-TWIN-BURGUNDY-6PCS</t>
        </is>
      </c>
      <c r="E315" s="54" t="inlineStr">
        <is>
          <t>Twin</t>
        </is>
      </c>
      <c r="F315" s="54" t="inlineStr">
        <is>
          <t>Burgundy</t>
        </is>
      </c>
      <c r="G315" s="55" t="n">
        <v>8</v>
      </c>
      <c r="H315" s="167" t="n">
        <v>290.34</v>
      </c>
      <c r="I315" s="167" t="n">
        <v>0</v>
      </c>
      <c r="J315" s="171">
        <f>IF(AND(N(G315)&gt;0,N(H315)+N(I315)&gt;0),(H315+I315)*U315/G315,"")</f>
        <v/>
      </c>
      <c r="K315" s="172" t="n">
        <v>79.98999999999999</v>
      </c>
      <c r="L315" s="172" t="n">
        <v>79.98999999999999</v>
      </c>
      <c r="M315" s="54" t="inlineStr">
        <is>
          <t>Eligible</t>
        </is>
      </c>
      <c r="N315" s="171">
        <f>IF(OR(J315="",L315=""),"",L315-J315)</f>
        <v/>
      </c>
      <c r="O315" s="169">
        <f>IF(OR(J315="",L315=""),"",L315/J315-1)</f>
        <v/>
      </c>
      <c r="P315" s="169">
        <f>IF(OR(J315="",K315=""),"",K315/J315-1)</f>
        <v/>
      </c>
      <c r="Q315" s="54">
        <f>IF(AND(ISNUMBER(J315),ISNUMBER(L315)),1,0)</f>
        <v/>
      </c>
      <c r="R315" s="69">
        <f>IF(Q315=1,G315*L315,0)</f>
        <v/>
      </c>
      <c r="S315" s="69">
        <f>IF(Q315=1,(H315+I315)*U315,0)</f>
        <v/>
      </c>
      <c r="T315" s="59">
        <f>IF(Q315=1,G315,0)</f>
        <v/>
      </c>
      <c r="U315" s="170">
        <f>$G$3</f>
        <v/>
      </c>
    </row>
    <row r="316">
      <c r="A316" s="54" t="inlineStr">
        <is>
          <t>CA DC B6</t>
        </is>
      </c>
      <c r="B316" s="54" t="inlineStr">
        <is>
          <t>CA</t>
        </is>
      </c>
      <c r="C316" s="54" t="inlineStr">
        <is>
          <t>B0CQ2ZVD96</t>
        </is>
      </c>
      <c r="D316" s="54" t="inlineStr">
        <is>
          <t>BAMBOO-FULL-CREME-6PCS</t>
        </is>
      </c>
      <c r="E316" s="54" t="inlineStr">
        <is>
          <t>Full</t>
        </is>
      </c>
      <c r="F316" s="54" t="inlineStr">
        <is>
          <t>Creme</t>
        </is>
      </c>
      <c r="G316" s="55" t="n">
        <v>6</v>
      </c>
      <c r="H316" s="167" t="n">
        <v>274.4</v>
      </c>
      <c r="I316" s="167" t="n">
        <v>0</v>
      </c>
      <c r="J316" s="171">
        <f>IF(AND(N(G316)&gt;0,N(H316)+N(I316)&gt;0),(H316+I316)*U316/G316,"")</f>
        <v/>
      </c>
      <c r="K316" s="172" t="n">
        <v>79.98999999999999</v>
      </c>
      <c r="L316" s="172" t="n">
        <v>75.98999999999999</v>
      </c>
      <c r="M316" s="54" t="inlineStr">
        <is>
          <t>Eligible</t>
        </is>
      </c>
      <c r="N316" s="171">
        <f>IF(OR(J316="",L316=""),"",L316-J316)</f>
        <v/>
      </c>
      <c r="O316" s="169">
        <f>IF(OR(J316="",L316=""),"",L316/J316-1)</f>
        <v/>
      </c>
      <c r="P316" s="169">
        <f>IF(OR(J316="",K316=""),"",K316/J316-1)</f>
        <v/>
      </c>
      <c r="Q316" s="54">
        <f>IF(AND(ISNUMBER(J316),ISNUMBER(L316)),1,0)</f>
        <v/>
      </c>
      <c r="R316" s="69">
        <f>IF(Q316=1,G316*L316,0)</f>
        <v/>
      </c>
      <c r="S316" s="69">
        <f>IF(Q316=1,(H316+I316)*U316,0)</f>
        <v/>
      </c>
      <c r="T316" s="59">
        <f>IF(Q316=1,G316,0)</f>
        <v/>
      </c>
      <c r="U316" s="170">
        <f>$G$3</f>
        <v/>
      </c>
    </row>
    <row r="317">
      <c r="A317" s="54" t="inlineStr">
        <is>
          <t>CA DC B6</t>
        </is>
      </c>
      <c r="B317" s="54" t="inlineStr">
        <is>
          <t>CA</t>
        </is>
      </c>
      <c r="C317" s="54" t="inlineStr">
        <is>
          <t>B0CQ31X3X5</t>
        </is>
      </c>
      <c r="D317" s="54" t="inlineStr">
        <is>
          <t>BAMBOO-FULL-PURPLE-6PCS</t>
        </is>
      </c>
      <c r="E317" s="54" t="inlineStr">
        <is>
          <t>Full</t>
        </is>
      </c>
      <c r="F317" s="54" t="inlineStr">
        <is>
          <t>Purple</t>
        </is>
      </c>
      <c r="G317" s="55" t="n">
        <v>6</v>
      </c>
      <c r="H317" s="167" t="n">
        <v>273.88</v>
      </c>
      <c r="I317" s="167" t="n">
        <v>0</v>
      </c>
      <c r="J317" s="171">
        <f>IF(AND(N(G317)&gt;0,N(H317)+N(I317)&gt;0),(H317+I317)*U317/G317,"")</f>
        <v/>
      </c>
      <c r="K317" s="172" t="n">
        <v>79.98999999999999</v>
      </c>
      <c r="L317" s="172" t="n">
        <v>62.99</v>
      </c>
      <c r="M317" s="54" t="inlineStr">
        <is>
          <t>Eligible</t>
        </is>
      </c>
      <c r="N317" s="171">
        <f>IF(OR(J317="",L317=""),"",L317-J317)</f>
        <v/>
      </c>
      <c r="O317" s="169">
        <f>IF(OR(J317="",L317=""),"",L317/J317-1)</f>
        <v/>
      </c>
      <c r="P317" s="169">
        <f>IF(OR(J317="",K317=""),"",K317/J317-1)</f>
        <v/>
      </c>
      <c r="Q317" s="54">
        <f>IF(AND(ISNUMBER(J317),ISNUMBER(L317)),1,0)</f>
        <v/>
      </c>
      <c r="R317" s="69">
        <f>IF(Q317=1,G317*L317,0)</f>
        <v/>
      </c>
      <c r="S317" s="69">
        <f>IF(Q317=1,(H317+I317)*U317,0)</f>
        <v/>
      </c>
      <c r="T317" s="59">
        <f>IF(Q317=1,G317,0)</f>
        <v/>
      </c>
      <c r="U317" s="170">
        <f>$G$3</f>
        <v/>
      </c>
    </row>
    <row r="318">
      <c r="A318" s="54" t="inlineStr">
        <is>
          <t>CA DC B6</t>
        </is>
      </c>
      <c r="B318" s="54" t="inlineStr">
        <is>
          <t>CA</t>
        </is>
      </c>
      <c r="C318" s="54" t="inlineStr">
        <is>
          <t>B0CQ31N5Q5</t>
        </is>
      </c>
      <c r="D318" s="54" t="inlineStr">
        <is>
          <t>BAMBOO-TWIN-NAVYBLUE-6PCS</t>
        </is>
      </c>
      <c r="E318" s="54" t="inlineStr">
        <is>
          <t>Twin</t>
        </is>
      </c>
      <c r="F318" s="54" t="inlineStr">
        <is>
          <t>Navy Blue</t>
        </is>
      </c>
      <c r="G318" s="55" t="n">
        <v>6</v>
      </c>
      <c r="H318" s="167" t="n">
        <v>300.07</v>
      </c>
      <c r="I318" s="167" t="n">
        <v>0</v>
      </c>
      <c r="J318" s="171">
        <f>IF(AND(N(G318)&gt;0,N(H318)+N(I318)&gt;0),(H318+I318)*U318/G318,"")</f>
        <v/>
      </c>
      <c r="K318" s="172" t="n">
        <v>79.98999999999999</v>
      </c>
      <c r="L318" s="172" t="n">
        <v>79.98999999999999</v>
      </c>
      <c r="M318" s="54" t="inlineStr">
        <is>
          <t>Eligible</t>
        </is>
      </c>
      <c r="N318" s="171">
        <f>IF(OR(J318="",L318=""),"",L318-J318)</f>
        <v/>
      </c>
      <c r="O318" s="169">
        <f>IF(OR(J318="",L318=""),"",L318/J318-1)</f>
        <v/>
      </c>
      <c r="P318" s="169">
        <f>IF(OR(J318="",K318=""),"",K318/J318-1)</f>
        <v/>
      </c>
      <c r="Q318" s="54">
        <f>IF(AND(ISNUMBER(J318),ISNUMBER(L318)),1,0)</f>
        <v/>
      </c>
      <c r="R318" s="69">
        <f>IF(Q318=1,G318*L318,0)</f>
        <v/>
      </c>
      <c r="S318" s="69">
        <f>IF(Q318=1,(H318+I318)*U318,0)</f>
        <v/>
      </c>
      <c r="T318" s="59">
        <f>IF(Q318=1,G318,0)</f>
        <v/>
      </c>
      <c r="U318" s="170">
        <f>$G$3</f>
        <v/>
      </c>
    </row>
    <row r="319">
      <c r="A319" s="54" t="inlineStr">
        <is>
          <t>CA DC B6</t>
        </is>
      </c>
      <c r="B319" s="54" t="inlineStr">
        <is>
          <t>CA</t>
        </is>
      </c>
      <c r="C319" s="54" t="inlineStr">
        <is>
          <t>B0CQ2ZYZJT</t>
        </is>
      </c>
      <c r="D319" s="54" t="inlineStr">
        <is>
          <t>BAMBOO-CALIFKING-WHITE-6PCS</t>
        </is>
      </c>
      <c r="E319" s="54" t="inlineStr">
        <is>
          <t>California King</t>
        </is>
      </c>
      <c r="F319" s="54" t="inlineStr">
        <is>
          <t>White</t>
        </is>
      </c>
      <c r="G319" s="55" t="n">
        <v>5</v>
      </c>
      <c r="H319" s="167" t="n">
        <v>302.82</v>
      </c>
      <c r="I319" s="167" t="n">
        <v>0</v>
      </c>
      <c r="J319" s="171">
        <f>IF(AND(N(G319)&gt;0,N(H319)+N(I319)&gt;0),(H319+I319)*U319/G319,"")</f>
        <v/>
      </c>
      <c r="K319" s="172" t="n">
        <v>99.98999999999999</v>
      </c>
      <c r="L319" s="172" t="n">
        <v>84.98999999999999</v>
      </c>
      <c r="M319" s="54" t="inlineStr">
        <is>
          <t>Eligible</t>
        </is>
      </c>
      <c r="N319" s="171">
        <f>IF(OR(J319="",L319=""),"",L319-J319)</f>
        <v/>
      </c>
      <c r="O319" s="169">
        <f>IF(OR(J319="",L319=""),"",L319/J319-1)</f>
        <v/>
      </c>
      <c r="P319" s="169">
        <f>IF(OR(J319="",K319=""),"",K319/J319-1)</f>
        <v/>
      </c>
      <c r="Q319" s="54">
        <f>IF(AND(ISNUMBER(J319),ISNUMBER(L319)),1,0)</f>
        <v/>
      </c>
      <c r="R319" s="69">
        <f>IF(Q319=1,G319*L319,0)</f>
        <v/>
      </c>
      <c r="S319" s="69">
        <f>IF(Q319=1,(H319+I319)*U319,0)</f>
        <v/>
      </c>
      <c r="T319" s="59">
        <f>IF(Q319=1,G319,0)</f>
        <v/>
      </c>
      <c r="U319" s="170">
        <f>$G$3</f>
        <v/>
      </c>
    </row>
    <row r="320">
      <c r="A320" s="54" t="inlineStr">
        <is>
          <t>CA DC B6</t>
        </is>
      </c>
      <c r="B320" s="54" t="inlineStr">
        <is>
          <t>CA</t>
        </is>
      </c>
      <c r="C320" s="54" t="inlineStr">
        <is>
          <t>B0CQ3199ZV</t>
        </is>
      </c>
      <c r="D320" s="54" t="inlineStr">
        <is>
          <t>BAMBOO-FULL-BURGUNDY-6PCS</t>
        </is>
      </c>
      <c r="E320" s="54" t="inlineStr">
        <is>
          <t>Full</t>
        </is>
      </c>
      <c r="F320" s="54" t="inlineStr">
        <is>
          <t>Burgundy</t>
        </is>
      </c>
      <c r="G320" s="55" t="n">
        <v>5</v>
      </c>
      <c r="H320" s="167" t="n">
        <v>242.32</v>
      </c>
      <c r="I320" s="167" t="n">
        <v>0</v>
      </c>
      <c r="J320" s="171">
        <f>IF(AND(N(G320)&gt;0,N(H320)+N(I320)&gt;0),(H320+I320)*U320/G320,"")</f>
        <v/>
      </c>
      <c r="K320" s="172" t="n">
        <v>79.98999999999999</v>
      </c>
      <c r="L320" s="172" t="n">
        <v>75.98999999999999</v>
      </c>
      <c r="M320" s="54" t="inlineStr">
        <is>
          <t>Eligible</t>
        </is>
      </c>
      <c r="N320" s="171">
        <f>IF(OR(J320="",L320=""),"",L320-J320)</f>
        <v/>
      </c>
      <c r="O320" s="169">
        <f>IF(OR(J320="",L320=""),"",L320/J320-1)</f>
        <v/>
      </c>
      <c r="P320" s="169">
        <f>IF(OR(J320="",K320=""),"",K320/J320-1)</f>
        <v/>
      </c>
      <c r="Q320" s="54">
        <f>IF(AND(ISNUMBER(J320),ISNUMBER(L320)),1,0)</f>
        <v/>
      </c>
      <c r="R320" s="69">
        <f>IF(Q320=1,G320*L320,0)</f>
        <v/>
      </c>
      <c r="S320" s="69">
        <f>IF(Q320=1,(H320+I320)*U320,0)</f>
        <v/>
      </c>
      <c r="T320" s="59">
        <f>IF(Q320=1,G320,0)</f>
        <v/>
      </c>
      <c r="U320" s="170">
        <f>$G$3</f>
        <v/>
      </c>
    </row>
    <row r="321">
      <c r="A321" s="54" t="inlineStr">
        <is>
          <t>CA DC B6</t>
        </is>
      </c>
      <c r="B321" s="54" t="inlineStr">
        <is>
          <t>CA</t>
        </is>
      </c>
      <c r="C321" s="54" t="inlineStr">
        <is>
          <t>B0CQ3319BK</t>
        </is>
      </c>
      <c r="D321" s="54" t="inlineStr">
        <is>
          <t>BAMBOO-TWIN-BLACK-6PCS</t>
        </is>
      </c>
      <c r="E321" s="54" t="inlineStr">
        <is>
          <t>Twin</t>
        </is>
      </c>
      <c r="F321" s="54" t="inlineStr">
        <is>
          <t>Black</t>
        </is>
      </c>
      <c r="G321" s="55" t="n">
        <v>5</v>
      </c>
      <c r="H321" s="167" t="n">
        <v>227.47</v>
      </c>
      <c r="I321" s="167" t="n">
        <v>0</v>
      </c>
      <c r="J321" s="171">
        <f>IF(AND(N(G321)&gt;0,N(H321)+N(I321)&gt;0),(H321+I321)*U321/G321,"")</f>
        <v/>
      </c>
      <c r="K321" s="172" t="n">
        <v>79.98999999999999</v>
      </c>
      <c r="L321" s="172" t="n"/>
      <c r="M321" s="54" t="inlineStr">
        <is>
          <t>No reference price</t>
        </is>
      </c>
      <c r="N321" s="171">
        <f>IF(OR(J321="",L321=""),"",L321-J321)</f>
        <v/>
      </c>
      <c r="O321" s="169">
        <f>IF(OR(J321="",L321=""),"",L321/J321-1)</f>
        <v/>
      </c>
      <c r="P321" s="169">
        <f>IF(OR(J321="",K321=""),"",K321/J321-1)</f>
        <v/>
      </c>
      <c r="Q321" s="54">
        <f>IF(AND(ISNUMBER(J321),ISNUMBER(L321)),1,0)</f>
        <v/>
      </c>
      <c r="R321" s="69">
        <f>IF(Q321=1,G321*L321,0)</f>
        <v/>
      </c>
      <c r="S321" s="69">
        <f>IF(Q321=1,(H321+I321)*U321,0)</f>
        <v/>
      </c>
      <c r="T321" s="59">
        <f>IF(Q321=1,G321,0)</f>
        <v/>
      </c>
      <c r="U321" s="170">
        <f>$G$3</f>
        <v/>
      </c>
    </row>
    <row r="322">
      <c r="A322" s="54" t="inlineStr">
        <is>
          <t>CA DC B6</t>
        </is>
      </c>
      <c r="B322" s="54" t="inlineStr">
        <is>
          <t>CA</t>
        </is>
      </c>
      <c r="C322" s="54" t="inlineStr">
        <is>
          <t>B0CQ32QQ47</t>
        </is>
      </c>
      <c r="D322" s="54" t="inlineStr">
        <is>
          <t>BAMBOO-TWIN-TAUPE-6PCS</t>
        </is>
      </c>
      <c r="E322" s="54" t="inlineStr">
        <is>
          <t>Twin</t>
        </is>
      </c>
      <c r="F322" s="54" t="inlineStr">
        <is>
          <t>Taupe</t>
        </is>
      </c>
      <c r="G322" s="55" t="n">
        <v>5</v>
      </c>
      <c r="H322" s="167" t="n">
        <v>181.88</v>
      </c>
      <c r="I322" s="167" t="n">
        <v>0</v>
      </c>
      <c r="J322" s="171">
        <f>IF(AND(N(G322)&gt;0,N(H322)+N(I322)&gt;0),(H322+I322)*U322/G322,"")</f>
        <v/>
      </c>
      <c r="K322" s="172" t="n">
        <v>79.98999999999999</v>
      </c>
      <c r="L322" s="172" t="n">
        <v>75.98999999999999</v>
      </c>
      <c r="M322" s="54" t="inlineStr">
        <is>
          <t>Eligible</t>
        </is>
      </c>
      <c r="N322" s="171">
        <f>IF(OR(J322="",L322=""),"",L322-J322)</f>
        <v/>
      </c>
      <c r="O322" s="169">
        <f>IF(OR(J322="",L322=""),"",L322/J322-1)</f>
        <v/>
      </c>
      <c r="P322" s="169">
        <f>IF(OR(J322="",K322=""),"",K322/J322-1)</f>
        <v/>
      </c>
      <c r="Q322" s="54">
        <f>IF(AND(ISNUMBER(J322),ISNUMBER(L322)),1,0)</f>
        <v/>
      </c>
      <c r="R322" s="69">
        <f>IF(Q322=1,G322*L322,0)</f>
        <v/>
      </c>
      <c r="S322" s="69">
        <f>IF(Q322=1,(H322+I322)*U322,0)</f>
        <v/>
      </c>
      <c r="T322" s="59">
        <f>IF(Q322=1,G322,0)</f>
        <v/>
      </c>
      <c r="U322" s="170">
        <f>$G$3</f>
        <v/>
      </c>
    </row>
    <row r="323">
      <c r="A323" s="54" t="inlineStr">
        <is>
          <t>CA DC B6</t>
        </is>
      </c>
      <c r="B323" s="54" t="inlineStr">
        <is>
          <t>CA</t>
        </is>
      </c>
      <c r="C323" s="54" t="inlineStr">
        <is>
          <t>B0CQ311QX3</t>
        </is>
      </c>
      <c r="D323" s="54" t="inlineStr">
        <is>
          <t>BAMBOO-CALIFKING-NAVYBLUE-6PCS</t>
        </is>
      </c>
      <c r="E323" s="54" t="inlineStr">
        <is>
          <t>California King</t>
        </is>
      </c>
      <c r="F323" s="54" t="inlineStr">
        <is>
          <t>Navy Blue</t>
        </is>
      </c>
      <c r="G323" s="55" t="n">
        <v>4</v>
      </c>
      <c r="H323" s="167" t="n">
        <v>228.3</v>
      </c>
      <c r="I323" s="167" t="n">
        <v>0</v>
      </c>
      <c r="J323" s="171">
        <f>IF(AND(N(G323)&gt;0,N(H323)+N(I323)&gt;0),(H323+I323)*U323/G323,"")</f>
        <v/>
      </c>
      <c r="K323" s="172" t="n">
        <v>99.98999999999999</v>
      </c>
      <c r="L323" s="172" t="n">
        <v>71.98999999999999</v>
      </c>
      <c r="M323" s="54" t="inlineStr">
        <is>
          <t>Eligible</t>
        </is>
      </c>
      <c r="N323" s="171">
        <f>IF(OR(J323="",L323=""),"",L323-J323)</f>
        <v/>
      </c>
      <c r="O323" s="169">
        <f>IF(OR(J323="",L323=""),"",L323/J323-1)</f>
        <v/>
      </c>
      <c r="P323" s="169">
        <f>IF(OR(J323="",K323=""),"",K323/J323-1)</f>
        <v/>
      </c>
      <c r="Q323" s="54">
        <f>IF(AND(ISNUMBER(J323),ISNUMBER(L323)),1,0)</f>
        <v/>
      </c>
      <c r="R323" s="69">
        <f>IF(Q323=1,G323*L323,0)</f>
        <v/>
      </c>
      <c r="S323" s="69">
        <f>IF(Q323=1,(H323+I323)*U323,0)</f>
        <v/>
      </c>
      <c r="T323" s="59">
        <f>IF(Q323=1,G323,0)</f>
        <v/>
      </c>
      <c r="U323" s="170">
        <f>$G$3</f>
        <v/>
      </c>
    </row>
    <row r="324">
      <c r="A324" s="54" t="inlineStr">
        <is>
          <t>CA DC B6</t>
        </is>
      </c>
      <c r="B324" s="54" t="inlineStr">
        <is>
          <t>CA</t>
        </is>
      </c>
      <c r="C324" s="54" t="inlineStr">
        <is>
          <t>B0CQ33BH1K</t>
        </is>
      </c>
      <c r="D324" s="54" t="inlineStr">
        <is>
          <t>BAMBOO-TWIN-LIGHT PINK-6PCS</t>
        </is>
      </c>
      <c r="E324" s="54" t="inlineStr">
        <is>
          <t>Twin</t>
        </is>
      </c>
      <c r="F324" s="54" t="inlineStr">
        <is>
          <t>Light Pink</t>
        </is>
      </c>
      <c r="G324" s="55" t="n">
        <v>4</v>
      </c>
      <c r="H324" s="167" t="n">
        <v>175.75</v>
      </c>
      <c r="I324" s="167" t="n">
        <v>0</v>
      </c>
      <c r="J324" s="171">
        <f>IF(AND(N(G324)&gt;0,N(H324)+N(I324)&gt;0),(H324+I324)*U324/G324,"")</f>
        <v/>
      </c>
      <c r="K324" s="172" t="n">
        <v>79.98999999999999</v>
      </c>
      <c r="L324" s="172" t="n"/>
      <c r="M324" s="54" t="inlineStr">
        <is>
          <t>Out of stock</t>
        </is>
      </c>
      <c r="N324" s="171">
        <f>IF(OR(J324="",L324=""),"",L324-J324)</f>
        <v/>
      </c>
      <c r="O324" s="169">
        <f>IF(OR(J324="",L324=""),"",L324/J324-1)</f>
        <v/>
      </c>
      <c r="P324" s="169">
        <f>IF(OR(J324="",K324=""),"",K324/J324-1)</f>
        <v/>
      </c>
      <c r="Q324" s="54">
        <f>IF(AND(ISNUMBER(J324),ISNUMBER(L324)),1,0)</f>
        <v/>
      </c>
      <c r="R324" s="69">
        <f>IF(Q324=1,G324*L324,0)</f>
        <v/>
      </c>
      <c r="S324" s="69">
        <f>IF(Q324=1,(H324+I324)*U324,0)</f>
        <v/>
      </c>
      <c r="T324" s="59">
        <f>IF(Q324=1,G324,0)</f>
        <v/>
      </c>
      <c r="U324" s="170">
        <f>$G$3</f>
        <v/>
      </c>
    </row>
    <row r="325">
      <c r="A325" s="54" t="inlineStr">
        <is>
          <t>CA DC B6</t>
        </is>
      </c>
      <c r="B325" s="54" t="inlineStr">
        <is>
          <t>CA</t>
        </is>
      </c>
      <c r="C325" s="54" t="inlineStr">
        <is>
          <t>B0CQ31X7S5</t>
        </is>
      </c>
      <c r="D325" s="54" t="inlineStr">
        <is>
          <t>BAMBOO-CALIFKING-LIGHTGREY-6PCS</t>
        </is>
      </c>
      <c r="E325" s="54" t="inlineStr">
        <is>
          <t>California King</t>
        </is>
      </c>
      <c r="F325" s="54" t="inlineStr">
        <is>
          <t>Light Grey</t>
        </is>
      </c>
      <c r="G325" s="55" t="n">
        <v>3</v>
      </c>
      <c r="H325" s="167" t="n">
        <v>168.92</v>
      </c>
      <c r="I325" s="167" t="n">
        <v>0</v>
      </c>
      <c r="J325" s="171">
        <f>IF(AND(N(G325)&gt;0,N(H325)+N(I325)&gt;0),(H325+I325)*U325/G325,"")</f>
        <v/>
      </c>
      <c r="K325" s="172" t="n">
        <v>99.98999999999999</v>
      </c>
      <c r="L325" s="172" t="n">
        <v>89.98999999999999</v>
      </c>
      <c r="M325" s="54" t="inlineStr">
        <is>
          <t>Eligible</t>
        </is>
      </c>
      <c r="N325" s="171">
        <f>IF(OR(J325="",L325=""),"",L325-J325)</f>
        <v/>
      </c>
      <c r="O325" s="169">
        <f>IF(OR(J325="",L325=""),"",L325/J325-1)</f>
        <v/>
      </c>
      <c r="P325" s="169">
        <f>IF(OR(J325="",K325=""),"",K325/J325-1)</f>
        <v/>
      </c>
      <c r="Q325" s="54">
        <f>IF(AND(ISNUMBER(J325),ISNUMBER(L325)),1,0)</f>
        <v/>
      </c>
      <c r="R325" s="69">
        <f>IF(Q325=1,G325*L325,0)</f>
        <v/>
      </c>
      <c r="S325" s="69">
        <f>IF(Q325=1,(H325+I325)*U325,0)</f>
        <v/>
      </c>
      <c r="T325" s="59">
        <f>IF(Q325=1,G325,0)</f>
        <v/>
      </c>
      <c r="U325" s="170">
        <f>$G$3</f>
        <v/>
      </c>
    </row>
    <row r="326">
      <c r="A326" s="54" t="inlineStr">
        <is>
          <t>CA DC B6</t>
        </is>
      </c>
      <c r="B326" s="54" t="inlineStr">
        <is>
          <t>CA</t>
        </is>
      </c>
      <c r="C326" s="54" t="inlineStr">
        <is>
          <t>B0CQ2ZS83S</t>
        </is>
      </c>
      <c r="D326" s="54" t="inlineStr">
        <is>
          <t>BAMBOO-CALIFKING-LIGHT PINK-6PCS</t>
        </is>
      </c>
      <c r="E326" s="54" t="inlineStr">
        <is>
          <t>California King</t>
        </is>
      </c>
      <c r="F326" s="54" t="inlineStr">
        <is>
          <t>Light Pink</t>
        </is>
      </c>
      <c r="G326" s="55" t="n">
        <v>3</v>
      </c>
      <c r="H326" s="167" t="n">
        <v>131.93</v>
      </c>
      <c r="I326" s="167" t="n">
        <v>0</v>
      </c>
      <c r="J326" s="171">
        <f>IF(AND(N(G326)&gt;0,N(H326)+N(I326)&gt;0),(H326+I326)*U326/G326,"")</f>
        <v/>
      </c>
      <c r="K326" s="172" t="n">
        <v>99.98999999999999</v>
      </c>
      <c r="L326" s="172" t="n">
        <v>45.08</v>
      </c>
      <c r="M326" s="54" t="inlineStr">
        <is>
          <t>Eligible</t>
        </is>
      </c>
      <c r="N326" s="171">
        <f>IF(OR(J326="",L326=""),"",L326-J326)</f>
        <v/>
      </c>
      <c r="O326" s="169">
        <f>IF(OR(J326="",L326=""),"",L326/J326-1)</f>
        <v/>
      </c>
      <c r="P326" s="169">
        <f>IF(OR(J326="",K326=""),"",K326/J326-1)</f>
        <v/>
      </c>
      <c r="Q326" s="54">
        <f>IF(AND(ISNUMBER(J326),ISNUMBER(L326)),1,0)</f>
        <v/>
      </c>
      <c r="R326" s="69">
        <f>IF(Q326=1,G326*L326,0)</f>
        <v/>
      </c>
      <c r="S326" s="69">
        <f>IF(Q326=1,(H326+I326)*U326,0)</f>
        <v/>
      </c>
      <c r="T326" s="59">
        <f>IF(Q326=1,G326,0)</f>
        <v/>
      </c>
      <c r="U326" s="170">
        <f>$G$3</f>
        <v/>
      </c>
    </row>
    <row r="327">
      <c r="A327" s="54" t="inlineStr">
        <is>
          <t>CA DC B6</t>
        </is>
      </c>
      <c r="B327" s="54" t="inlineStr">
        <is>
          <t>CA</t>
        </is>
      </c>
      <c r="C327" s="54" t="inlineStr">
        <is>
          <t>B0CQ316WG1</t>
        </is>
      </c>
      <c r="D327" s="54" t="inlineStr">
        <is>
          <t>BAMBOO-CALIFKING-MIDGREY-6PCS</t>
        </is>
      </c>
      <c r="E327" s="54" t="inlineStr">
        <is>
          <t>California King</t>
        </is>
      </c>
      <c r="F327" s="54" t="inlineStr">
        <is>
          <t>Midgrey</t>
        </is>
      </c>
      <c r="G327" s="55" t="n">
        <v>3</v>
      </c>
      <c r="H327" s="167" t="n">
        <v>169.58</v>
      </c>
      <c r="I327" s="167" t="n">
        <v>0</v>
      </c>
      <c r="J327" s="171">
        <f>IF(AND(N(G327)&gt;0,N(H327)+N(I327)&gt;0),(H327+I327)*U327/G327,"")</f>
        <v/>
      </c>
      <c r="K327" s="172" t="n">
        <v>99.98999999999999</v>
      </c>
      <c r="L327" s="172" t="n">
        <v>99.98999999999999</v>
      </c>
      <c r="M327" s="54" t="inlineStr">
        <is>
          <t>Eligible</t>
        </is>
      </c>
      <c r="N327" s="171">
        <f>IF(OR(J327="",L327=""),"",L327-J327)</f>
        <v/>
      </c>
      <c r="O327" s="169">
        <f>IF(OR(J327="",L327=""),"",L327/J327-1)</f>
        <v/>
      </c>
      <c r="P327" s="169">
        <f>IF(OR(J327="",K327=""),"",K327/J327-1)</f>
        <v/>
      </c>
      <c r="Q327" s="54">
        <f>IF(AND(ISNUMBER(J327),ISNUMBER(L327)),1,0)</f>
        <v/>
      </c>
      <c r="R327" s="69">
        <f>IF(Q327=1,G327*L327,0)</f>
        <v/>
      </c>
      <c r="S327" s="69">
        <f>IF(Q327=1,(H327+I327)*U327,0)</f>
        <v/>
      </c>
      <c r="T327" s="59">
        <f>IF(Q327=1,G327,0)</f>
        <v/>
      </c>
      <c r="U327" s="170">
        <f>$G$3</f>
        <v/>
      </c>
    </row>
    <row r="328">
      <c r="A328" s="54" t="inlineStr">
        <is>
          <t>CA DC B6</t>
        </is>
      </c>
      <c r="B328" s="54" t="inlineStr">
        <is>
          <t>CA</t>
        </is>
      </c>
      <c r="C328" s="54" t="inlineStr">
        <is>
          <t>B0CQ328DZM</t>
        </is>
      </c>
      <c r="D328" s="54" t="inlineStr">
        <is>
          <t>BAMBOO-CALIFKING-TAUPE-6PCS</t>
        </is>
      </c>
      <c r="E328" s="54" t="inlineStr">
        <is>
          <t>California King</t>
        </is>
      </c>
      <c r="F328" s="54" t="inlineStr">
        <is>
          <t>Taupe</t>
        </is>
      </c>
      <c r="G328" s="55" t="n">
        <v>3</v>
      </c>
      <c r="H328" s="167" t="n">
        <v>159.53</v>
      </c>
      <c r="I328" s="167" t="n">
        <v>0</v>
      </c>
      <c r="J328" s="171">
        <f>IF(AND(N(G328)&gt;0,N(H328)+N(I328)&gt;0),(H328+I328)*U328/G328,"")</f>
        <v/>
      </c>
      <c r="K328" s="172" t="n">
        <v>99.98999999999999</v>
      </c>
      <c r="L328" s="172" t="n">
        <v>99.98999999999999</v>
      </c>
      <c r="M328" s="54" t="inlineStr">
        <is>
          <t>Eligible</t>
        </is>
      </c>
      <c r="N328" s="171">
        <f>IF(OR(J328="",L328=""),"",L328-J328)</f>
        <v/>
      </c>
      <c r="O328" s="169">
        <f>IF(OR(J328="",L328=""),"",L328/J328-1)</f>
        <v/>
      </c>
      <c r="P328" s="169">
        <f>IF(OR(J328="",K328=""),"",K328/J328-1)</f>
        <v/>
      </c>
      <c r="Q328" s="54">
        <f>IF(AND(ISNUMBER(J328),ISNUMBER(L328)),1,0)</f>
        <v/>
      </c>
      <c r="R328" s="69">
        <f>IF(Q328=1,G328*L328,0)</f>
        <v/>
      </c>
      <c r="S328" s="69">
        <f>IF(Q328=1,(H328+I328)*U328,0)</f>
        <v/>
      </c>
      <c r="T328" s="59">
        <f>IF(Q328=1,G328,0)</f>
        <v/>
      </c>
      <c r="U328" s="170">
        <f>$G$3</f>
        <v/>
      </c>
    </row>
    <row r="329">
      <c r="A329" s="54" t="inlineStr">
        <is>
          <t>CA DC B6</t>
        </is>
      </c>
      <c r="B329" s="54" t="inlineStr">
        <is>
          <t>CA</t>
        </is>
      </c>
      <c r="C329" s="54" t="inlineStr">
        <is>
          <t>B0CQ31D5FM</t>
        </is>
      </c>
      <c r="D329" s="54" t="inlineStr">
        <is>
          <t>BAMBOO-CALIFKING-BLACK-6PCS</t>
        </is>
      </c>
      <c r="E329" s="54" t="inlineStr">
        <is>
          <t>California King</t>
        </is>
      </c>
      <c r="F329" s="54" t="inlineStr">
        <is>
          <t>Black</t>
        </is>
      </c>
      <c r="G329" s="55" t="n">
        <v>2</v>
      </c>
      <c r="H329" s="167" t="n">
        <v>113.13</v>
      </c>
      <c r="I329" s="167" t="n">
        <v>0</v>
      </c>
      <c r="J329" s="171">
        <f>IF(AND(N(G329)&gt;0,N(H329)+N(I329)&gt;0),(H329+I329)*U329/G329,"")</f>
        <v/>
      </c>
      <c r="K329" s="172" t="n">
        <v>99.98999999999999</v>
      </c>
      <c r="L329" s="172" t="n">
        <v>99.98999999999999</v>
      </c>
      <c r="M329" s="54" t="inlineStr">
        <is>
          <t>Eligible</t>
        </is>
      </c>
      <c r="N329" s="171">
        <f>IF(OR(J329="",L329=""),"",L329-J329)</f>
        <v/>
      </c>
      <c r="O329" s="169">
        <f>IF(OR(J329="",L329=""),"",L329/J329-1)</f>
        <v/>
      </c>
      <c r="P329" s="169">
        <f>IF(OR(J329="",K329=""),"",K329/J329-1)</f>
        <v/>
      </c>
      <c r="Q329" s="54">
        <f>IF(AND(ISNUMBER(J329),ISNUMBER(L329)),1,0)</f>
        <v/>
      </c>
      <c r="R329" s="69">
        <f>IF(Q329=1,G329*L329,0)</f>
        <v/>
      </c>
      <c r="S329" s="69">
        <f>IF(Q329=1,(H329+I329)*U329,0)</f>
        <v/>
      </c>
      <c r="T329" s="59">
        <f>IF(Q329=1,G329,0)</f>
        <v/>
      </c>
      <c r="U329" s="170">
        <f>$G$3</f>
        <v/>
      </c>
    </row>
    <row r="330">
      <c r="A330" s="54" t="inlineStr">
        <is>
          <t>CA DC B6</t>
        </is>
      </c>
      <c r="B330" s="54" t="inlineStr">
        <is>
          <t>CA</t>
        </is>
      </c>
      <c r="C330" s="54" t="inlineStr">
        <is>
          <t>B0CQ33QVZK</t>
        </is>
      </c>
      <c r="D330" s="54" t="inlineStr">
        <is>
          <t>BAMBOO-CALIFKING-BURGUNDY-6PCS</t>
        </is>
      </c>
      <c r="E330" s="54" t="inlineStr">
        <is>
          <t>California King</t>
        </is>
      </c>
      <c r="F330" s="54" t="inlineStr">
        <is>
          <t>Burgundy</t>
        </is>
      </c>
      <c r="G330" s="55" t="n">
        <v>2</v>
      </c>
      <c r="H330" s="167" t="n">
        <v>125.29</v>
      </c>
      <c r="I330" s="167" t="n">
        <v>0</v>
      </c>
      <c r="J330" s="171">
        <f>IF(AND(N(G330)&gt;0,N(H330)+N(I330)&gt;0),(H330+I330)*U330/G330,"")</f>
        <v/>
      </c>
      <c r="K330" s="172" t="n">
        <v>99.98999999999999</v>
      </c>
      <c r="L330" s="172" t="n">
        <v>94.98999999999999</v>
      </c>
      <c r="M330" s="54" t="inlineStr">
        <is>
          <t>Eligible</t>
        </is>
      </c>
      <c r="N330" s="171">
        <f>IF(OR(J330="",L330=""),"",L330-J330)</f>
        <v/>
      </c>
      <c r="O330" s="169">
        <f>IF(OR(J330="",L330=""),"",L330/J330-1)</f>
        <v/>
      </c>
      <c r="P330" s="169">
        <f>IF(OR(J330="",K330=""),"",K330/J330-1)</f>
        <v/>
      </c>
      <c r="Q330" s="54">
        <f>IF(AND(ISNUMBER(J330),ISNUMBER(L330)),1,0)</f>
        <v/>
      </c>
      <c r="R330" s="69">
        <f>IF(Q330=1,G330*L330,0)</f>
        <v/>
      </c>
      <c r="S330" s="69">
        <f>IF(Q330=1,(H330+I330)*U330,0)</f>
        <v/>
      </c>
      <c r="T330" s="59">
        <f>IF(Q330=1,G330,0)</f>
        <v/>
      </c>
      <c r="U330" s="170">
        <f>$G$3</f>
        <v/>
      </c>
    </row>
    <row r="331">
      <c r="A331" s="54" t="inlineStr">
        <is>
          <t>CA DC B6</t>
        </is>
      </c>
      <c r="B331" s="54" t="inlineStr">
        <is>
          <t>CA</t>
        </is>
      </c>
      <c r="C331" s="54" t="inlineStr">
        <is>
          <t>B0CQ31X78V</t>
        </is>
      </c>
      <c r="D331" s="54" t="inlineStr">
        <is>
          <t>BAMBOO-CALIFKING-CREME-6PCS</t>
        </is>
      </c>
      <c r="E331" s="54" t="inlineStr">
        <is>
          <t>California King</t>
        </is>
      </c>
      <c r="F331" s="54" t="inlineStr">
        <is>
          <t>Creme</t>
        </is>
      </c>
      <c r="G331" s="55" t="n">
        <v>2</v>
      </c>
      <c r="H331" s="167" t="n">
        <v>125.94</v>
      </c>
      <c r="I331" s="167" t="n">
        <v>0</v>
      </c>
      <c r="J331" s="171">
        <f>IF(AND(N(G331)&gt;0,N(H331)+N(I331)&gt;0),(H331+I331)*U331/G331,"")</f>
        <v/>
      </c>
      <c r="K331" s="172" t="n">
        <v>99.98999999999999</v>
      </c>
      <c r="L331" s="172" t="n">
        <v>94.98999999999999</v>
      </c>
      <c r="M331" s="54" t="inlineStr">
        <is>
          <t>Eligible</t>
        </is>
      </c>
      <c r="N331" s="171">
        <f>IF(OR(J331="",L331=""),"",L331-J331)</f>
        <v/>
      </c>
      <c r="O331" s="169">
        <f>IF(OR(J331="",L331=""),"",L331/J331-1)</f>
        <v/>
      </c>
      <c r="P331" s="169">
        <f>IF(OR(J331="",K331=""),"",K331/J331-1)</f>
        <v/>
      </c>
      <c r="Q331" s="54">
        <f>IF(AND(ISNUMBER(J331),ISNUMBER(L331)),1,0)</f>
        <v/>
      </c>
      <c r="R331" s="69">
        <f>IF(Q331=1,G331*L331,0)</f>
        <v/>
      </c>
      <c r="S331" s="69">
        <f>IF(Q331=1,(H331+I331)*U331,0)</f>
        <v/>
      </c>
      <c r="T331" s="59">
        <f>IF(Q331=1,G331,0)</f>
        <v/>
      </c>
      <c r="U331" s="170">
        <f>$G$3</f>
        <v/>
      </c>
    </row>
    <row r="332">
      <c r="A332" s="54" t="inlineStr">
        <is>
          <t>CA DC B6</t>
        </is>
      </c>
      <c r="B332" s="54" t="inlineStr">
        <is>
          <t>CA</t>
        </is>
      </c>
      <c r="C332" s="54" t="inlineStr">
        <is>
          <t>B0CQ31LJ3J</t>
        </is>
      </c>
      <c r="D332" s="54" t="inlineStr">
        <is>
          <t>BAMBOO-CALIFKING-SAGE GREEN-6PCS</t>
        </is>
      </c>
      <c r="E332" s="54" t="inlineStr">
        <is>
          <t>California King</t>
        </is>
      </c>
      <c r="F332" s="54" t="inlineStr">
        <is>
          <t>Sage Green</t>
        </is>
      </c>
      <c r="G332" s="55" t="n">
        <v>2</v>
      </c>
      <c r="H332" s="167" t="n">
        <v>100.3</v>
      </c>
      <c r="I332" s="167" t="n">
        <v>0</v>
      </c>
      <c r="J332" s="171">
        <f>IF(AND(N(G332)&gt;0,N(H332)+N(I332)&gt;0),(H332+I332)*U332/G332,"")</f>
        <v/>
      </c>
      <c r="K332" s="172" t="n">
        <v>99.98999999999999</v>
      </c>
      <c r="L332" s="172" t="n">
        <v>89.98999999999999</v>
      </c>
      <c r="M332" s="54" t="inlineStr">
        <is>
          <t>Eligible</t>
        </is>
      </c>
      <c r="N332" s="171">
        <f>IF(OR(J332="",L332=""),"",L332-J332)</f>
        <v/>
      </c>
      <c r="O332" s="169">
        <f>IF(OR(J332="",L332=""),"",L332/J332-1)</f>
        <v/>
      </c>
      <c r="P332" s="169">
        <f>IF(OR(J332="",K332=""),"",K332/J332-1)</f>
        <v/>
      </c>
      <c r="Q332" s="54">
        <f>IF(AND(ISNUMBER(J332),ISNUMBER(L332)),1,0)</f>
        <v/>
      </c>
      <c r="R332" s="69">
        <f>IF(Q332=1,G332*L332,0)</f>
        <v/>
      </c>
      <c r="S332" s="69">
        <f>IF(Q332=1,(H332+I332)*U332,0)</f>
        <v/>
      </c>
      <c r="T332" s="59">
        <f>IF(Q332=1,G332,0)</f>
        <v/>
      </c>
      <c r="U332" s="170">
        <f>$G$3</f>
        <v/>
      </c>
    </row>
    <row r="333">
      <c r="A333" s="54" t="inlineStr">
        <is>
          <t>CA DC B6</t>
        </is>
      </c>
      <c r="B333" s="54" t="inlineStr">
        <is>
          <t>CA</t>
        </is>
      </c>
      <c r="C333" s="54" t="inlineStr">
        <is>
          <t>B0CQ2YZ364</t>
        </is>
      </c>
      <c r="D333" s="54" t="inlineStr">
        <is>
          <t>BAMBOO-TWIN-SAGE GREEN-6PCS</t>
        </is>
      </c>
      <c r="E333" s="54" t="inlineStr">
        <is>
          <t>Twin</t>
        </is>
      </c>
      <c r="F333" s="54" t="inlineStr">
        <is>
          <t>Sage Green</t>
        </is>
      </c>
      <c r="G333" s="55" t="n">
        <v>2</v>
      </c>
      <c r="H333" s="167" t="n">
        <v>98.25</v>
      </c>
      <c r="I333" s="167" t="n">
        <v>0</v>
      </c>
      <c r="J333" s="171">
        <f>IF(AND(N(G333)&gt;0,N(H333)+N(I333)&gt;0),(H333+I333)*U333/G333,"")</f>
        <v/>
      </c>
      <c r="K333" s="172" t="n">
        <v>79.98999999999999</v>
      </c>
      <c r="L333" s="172" t="n">
        <v>79.98999999999999</v>
      </c>
      <c r="M333" s="54" t="inlineStr">
        <is>
          <t>Eligible</t>
        </is>
      </c>
      <c r="N333" s="171">
        <f>IF(OR(J333="",L333=""),"",L333-J333)</f>
        <v/>
      </c>
      <c r="O333" s="169">
        <f>IF(OR(J333="",L333=""),"",L333/J333-1)</f>
        <v/>
      </c>
      <c r="P333" s="169">
        <f>IF(OR(J333="",K333=""),"",K333/J333-1)</f>
        <v/>
      </c>
      <c r="Q333" s="54">
        <f>IF(AND(ISNUMBER(J333),ISNUMBER(L333)),1,0)</f>
        <v/>
      </c>
      <c r="R333" s="69">
        <f>IF(Q333=1,G333*L333,0)</f>
        <v/>
      </c>
      <c r="S333" s="69">
        <f>IF(Q333=1,(H333+I333)*U333,0)</f>
        <v/>
      </c>
      <c r="T333" s="59">
        <f>IF(Q333=1,G333,0)</f>
        <v/>
      </c>
      <c r="U333" s="170">
        <f>$G$3</f>
        <v/>
      </c>
    </row>
    <row r="334">
      <c r="A334" s="54" t="inlineStr">
        <is>
          <t>CA DC B6</t>
        </is>
      </c>
      <c r="B334" s="54" t="inlineStr">
        <is>
          <t>CA</t>
        </is>
      </c>
      <c r="C334" s="54" t="inlineStr">
        <is>
          <t>B0CQ31ZKNJ</t>
        </is>
      </c>
      <c r="D334" s="54" t="inlineStr">
        <is>
          <t>BAMBOO-FULL-CHARCOAL-6PCS</t>
        </is>
      </c>
      <c r="E334" s="54" t="inlineStr">
        <is>
          <t>Full</t>
        </is>
      </c>
      <c r="F334" s="54" t="inlineStr">
        <is>
          <t>Charcoal</t>
        </is>
      </c>
      <c r="G334" s="55" t="n">
        <v>1</v>
      </c>
      <c r="H334" s="167" t="n">
        <v>45.38</v>
      </c>
      <c r="I334" s="167" t="n">
        <v>0</v>
      </c>
      <c r="J334" s="171">
        <f>IF(AND(N(G334)&gt;0,N(H334)+N(I334)&gt;0),(H334+I334)*U334/G334,"")</f>
        <v/>
      </c>
      <c r="K334" s="172" t="n">
        <v>79.98999999999999</v>
      </c>
      <c r="L334" s="172" t="n">
        <v>79.98999999999999</v>
      </c>
      <c r="M334" s="54" t="inlineStr">
        <is>
          <t>Eligible</t>
        </is>
      </c>
      <c r="N334" s="171">
        <f>IF(OR(J334="",L334=""),"",L334-J334)</f>
        <v/>
      </c>
      <c r="O334" s="169">
        <f>IF(OR(J334="",L334=""),"",L334/J334-1)</f>
        <v/>
      </c>
      <c r="P334" s="169">
        <f>IF(OR(J334="",K334=""),"",K334/J334-1)</f>
        <v/>
      </c>
      <c r="Q334" s="54">
        <f>IF(AND(ISNUMBER(J334),ISNUMBER(L334)),1,0)</f>
        <v/>
      </c>
      <c r="R334" s="69">
        <f>IF(Q334=1,G334*L334,0)</f>
        <v/>
      </c>
      <c r="S334" s="69">
        <f>IF(Q334=1,(H334+I334)*U334,0)</f>
        <v/>
      </c>
      <c r="T334" s="59">
        <f>IF(Q334=1,G334,0)</f>
        <v/>
      </c>
      <c r="U334" s="170">
        <f>$G$3</f>
        <v/>
      </c>
    </row>
    <row r="335">
      <c r="A335" s="54" t="inlineStr">
        <is>
          <t>CA DC B6</t>
        </is>
      </c>
      <c r="B335" s="54" t="inlineStr">
        <is>
          <t>CA</t>
        </is>
      </c>
      <c r="C335" s="54" t="inlineStr">
        <is>
          <t>B0CQ2ZZZ42</t>
        </is>
      </c>
      <c r="D335" s="54" t="inlineStr">
        <is>
          <t>BAMBOO-TWIN-CREME-6PCS</t>
        </is>
      </c>
      <c r="E335" s="54" t="inlineStr">
        <is>
          <t>Twin</t>
        </is>
      </c>
      <c r="F335" s="54" t="inlineStr">
        <is>
          <t>Creme</t>
        </is>
      </c>
      <c r="G335" s="55" t="n">
        <v>1</v>
      </c>
      <c r="H335" s="167" t="n">
        <v>50.13</v>
      </c>
      <c r="I335" s="167" t="n">
        <v>0</v>
      </c>
      <c r="J335" s="171">
        <f>IF(AND(N(G335)&gt;0,N(H335)+N(I335)&gt;0),(H335+I335)*U335/G335,"")</f>
        <v/>
      </c>
      <c r="K335" s="172" t="n">
        <v>79.98999999999999</v>
      </c>
      <c r="L335" s="172" t="n">
        <v>79.98999999999999</v>
      </c>
      <c r="M335" s="54" t="inlineStr">
        <is>
          <t>Eligible</t>
        </is>
      </c>
      <c r="N335" s="171">
        <f>IF(OR(J335="",L335=""),"",L335-J335)</f>
        <v/>
      </c>
      <c r="O335" s="169">
        <f>IF(OR(J335="",L335=""),"",L335/J335-1)</f>
        <v/>
      </c>
      <c r="P335" s="169">
        <f>IF(OR(J335="",K335=""),"",K335/J335-1)</f>
        <v/>
      </c>
      <c r="Q335" s="54">
        <f>IF(AND(ISNUMBER(J335),ISNUMBER(L335)),1,0)</f>
        <v/>
      </c>
      <c r="R335" s="69">
        <f>IF(Q335=1,G335*L335,0)</f>
        <v/>
      </c>
      <c r="S335" s="69">
        <f>IF(Q335=1,(H335+I335)*U335,0)</f>
        <v/>
      </c>
      <c r="T335" s="59">
        <f>IF(Q335=1,G335,0)</f>
        <v/>
      </c>
      <c r="U335" s="170">
        <f>$G$3</f>
        <v/>
      </c>
    </row>
    <row r="336">
      <c r="A336" s="54" t="inlineStr">
        <is>
          <t>CA DC B6</t>
        </is>
      </c>
      <c r="B336" s="54" t="inlineStr">
        <is>
          <t>CA</t>
        </is>
      </c>
      <c r="C336" s="54" t="inlineStr">
        <is>
          <t>B0CQ33P28L</t>
        </is>
      </c>
      <c r="D336" s="54" t="inlineStr">
        <is>
          <t>BAMBOO-TWIN-GREY-6PCS</t>
        </is>
      </c>
      <c r="E336" s="54" t="inlineStr">
        <is>
          <t>Twin</t>
        </is>
      </c>
      <c r="F336" s="54" t="inlineStr">
        <is>
          <t>Grey</t>
        </is>
      </c>
      <c r="G336" s="55" t="n">
        <v>1</v>
      </c>
      <c r="H336" s="167" t="n">
        <v>50.05</v>
      </c>
      <c r="I336" s="167" t="n">
        <v>0</v>
      </c>
      <c r="J336" s="171">
        <f>IF(AND(N(G336)&gt;0,N(H336)+N(I336)&gt;0),(H336+I336)*U336/G336,"")</f>
        <v/>
      </c>
      <c r="K336" s="172" t="n">
        <v>79.98999999999999</v>
      </c>
      <c r="L336" s="172" t="n">
        <v>67.98999999999999</v>
      </c>
      <c r="M336" s="54" t="inlineStr">
        <is>
          <t>Eligible</t>
        </is>
      </c>
      <c r="N336" s="171">
        <f>IF(OR(J336="",L336=""),"",L336-J336)</f>
        <v/>
      </c>
      <c r="O336" s="169">
        <f>IF(OR(J336="",L336=""),"",L336/J336-1)</f>
        <v/>
      </c>
      <c r="P336" s="169">
        <f>IF(OR(J336="",K336=""),"",K336/J336-1)</f>
        <v/>
      </c>
      <c r="Q336" s="54">
        <f>IF(AND(ISNUMBER(J336),ISNUMBER(L336)),1,0)</f>
        <v/>
      </c>
      <c r="R336" s="69">
        <f>IF(Q336=1,G336*L336,0)</f>
        <v/>
      </c>
      <c r="S336" s="69">
        <f>IF(Q336=1,(H336+I336)*U336,0)</f>
        <v/>
      </c>
      <c r="T336" s="59">
        <f>IF(Q336=1,G336,0)</f>
        <v/>
      </c>
      <c r="U336" s="170">
        <f>$G$3</f>
        <v/>
      </c>
    </row>
    <row r="337">
      <c r="A337" s="54" t="inlineStr">
        <is>
          <t>CA DC B6</t>
        </is>
      </c>
      <c r="B337" s="54" t="inlineStr">
        <is>
          <t>CA</t>
        </is>
      </c>
      <c r="C337" s="54" t="inlineStr">
        <is>
          <t>B0CQ31CJPJ</t>
        </is>
      </c>
      <c r="D337" s="54" t="inlineStr">
        <is>
          <t>BAMBOO-TWIN-LIGHTBLUE-6PCS</t>
        </is>
      </c>
      <c r="E337" s="54" t="inlineStr">
        <is>
          <t>Twin</t>
        </is>
      </c>
      <c r="F337" s="54" t="inlineStr">
        <is>
          <t>Light Blue</t>
        </is>
      </c>
      <c r="G337" s="55" t="n">
        <v>1</v>
      </c>
      <c r="H337" s="167" t="n">
        <v>45.38</v>
      </c>
      <c r="I337" s="167" t="n">
        <v>0</v>
      </c>
      <c r="J337" s="171">
        <f>IF(AND(N(G337)&gt;0,N(H337)+N(I337)&gt;0),(H337+I337)*U337/G337,"")</f>
        <v/>
      </c>
      <c r="K337" s="172" t="n">
        <v>79.98999999999999</v>
      </c>
      <c r="L337" s="172" t="n"/>
      <c r="M337" s="54" t="inlineStr">
        <is>
          <t>No reference price</t>
        </is>
      </c>
      <c r="N337" s="171">
        <f>IF(OR(J337="",L337=""),"",L337-J337)</f>
        <v/>
      </c>
      <c r="O337" s="169">
        <f>IF(OR(J337="",L337=""),"",L337/J337-1)</f>
        <v/>
      </c>
      <c r="P337" s="169">
        <f>IF(OR(J337="",K337=""),"",K337/J337-1)</f>
        <v/>
      </c>
      <c r="Q337" s="54">
        <f>IF(AND(ISNUMBER(J337),ISNUMBER(L337)),1,0)</f>
        <v/>
      </c>
      <c r="R337" s="69">
        <f>IF(Q337=1,G337*L337,0)</f>
        <v/>
      </c>
      <c r="S337" s="69">
        <f>IF(Q337=1,(H337+I337)*U337,0)</f>
        <v/>
      </c>
      <c r="T337" s="59">
        <f>IF(Q337=1,G337,0)</f>
        <v/>
      </c>
      <c r="U337" s="170">
        <f>$G$3</f>
        <v/>
      </c>
    </row>
    <row r="338">
      <c r="A338" s="54" t="inlineStr">
        <is>
          <t>CA DC B6</t>
        </is>
      </c>
      <c r="B338" s="54" t="inlineStr">
        <is>
          <t>CA</t>
        </is>
      </c>
      <c r="C338" s="54" t="inlineStr">
        <is>
          <t>B0CQ2ZVMJJ</t>
        </is>
      </c>
      <c r="D338" s="54" t="inlineStr">
        <is>
          <t>BAMBOO-TWIN-OLIVE-6PCS</t>
        </is>
      </c>
      <c r="E338" s="54" t="inlineStr">
        <is>
          <t>Twin</t>
        </is>
      </c>
      <c r="F338" s="54" t="inlineStr">
        <is>
          <t>Olive</t>
        </is>
      </c>
      <c r="G338" s="55" t="n">
        <v>1</v>
      </c>
      <c r="H338" s="167" t="n">
        <v>45.36</v>
      </c>
      <c r="I338" s="167" t="n">
        <v>0</v>
      </c>
      <c r="J338" s="171">
        <f>IF(AND(N(G338)&gt;0,N(H338)+N(I338)&gt;0),(H338+I338)*U338/G338,"")</f>
        <v/>
      </c>
      <c r="K338" s="172" t="n">
        <v>79.98999999999999</v>
      </c>
      <c r="L338" s="172" t="n">
        <v>67.98999999999999</v>
      </c>
      <c r="M338" s="54" t="inlineStr">
        <is>
          <t>Eligible</t>
        </is>
      </c>
      <c r="N338" s="171">
        <f>IF(OR(J338="",L338=""),"",L338-J338)</f>
        <v/>
      </c>
      <c r="O338" s="169">
        <f>IF(OR(J338="",L338=""),"",L338/J338-1)</f>
        <v/>
      </c>
      <c r="P338" s="169">
        <f>IF(OR(J338="",K338=""),"",K338/J338-1)</f>
        <v/>
      </c>
      <c r="Q338" s="54">
        <f>IF(AND(ISNUMBER(J338),ISNUMBER(L338)),1,0)</f>
        <v/>
      </c>
      <c r="R338" s="69">
        <f>IF(Q338=1,G338*L338,0)</f>
        <v/>
      </c>
      <c r="S338" s="69">
        <f>IF(Q338=1,(H338+I338)*U338,0)</f>
        <v/>
      </c>
      <c r="T338" s="59">
        <f>IF(Q338=1,G338,0)</f>
        <v/>
      </c>
      <c r="U338" s="170">
        <f>$G$3</f>
        <v/>
      </c>
    </row>
    <row r="339">
      <c r="A339" s="54" t="inlineStr">
        <is>
          <t>CA DC B6</t>
        </is>
      </c>
      <c r="B339" s="54" t="inlineStr">
        <is>
          <t>CA</t>
        </is>
      </c>
      <c r="C339" s="54" t="inlineStr">
        <is>
          <t>B0CQ2YMNV7</t>
        </is>
      </c>
      <c r="D339" s="54" t="inlineStr">
        <is>
          <t>BAMBOO-TWIN-PURPLE-6PCS</t>
        </is>
      </c>
      <c r="E339" s="54" t="inlineStr">
        <is>
          <t>Twin</t>
        </is>
      </c>
      <c r="F339" s="54" t="inlineStr">
        <is>
          <t>Purple</t>
        </is>
      </c>
      <c r="G339" s="55" t="n">
        <v>1</v>
      </c>
      <c r="H339" s="167" t="n">
        <v>50.03</v>
      </c>
      <c r="I339" s="167" t="n">
        <v>0</v>
      </c>
      <c r="J339" s="171">
        <f>IF(AND(N(G339)&gt;0,N(H339)+N(I339)&gt;0),(H339+I339)*U339/G339,"")</f>
        <v/>
      </c>
      <c r="K339" s="172" t="n">
        <v>79.98999999999999</v>
      </c>
      <c r="L339" s="172" t="n">
        <v>75.58</v>
      </c>
      <c r="M339" s="54" t="inlineStr">
        <is>
          <t>Eligible</t>
        </is>
      </c>
      <c r="N339" s="171">
        <f>IF(OR(J339="",L339=""),"",L339-J339)</f>
        <v/>
      </c>
      <c r="O339" s="169">
        <f>IF(OR(J339="",L339=""),"",L339/J339-1)</f>
        <v/>
      </c>
      <c r="P339" s="169">
        <f>IF(OR(J339="",K339=""),"",K339/J339-1)</f>
        <v/>
      </c>
      <c r="Q339" s="54">
        <f>IF(AND(ISNUMBER(J339),ISNUMBER(L339)),1,0)</f>
        <v/>
      </c>
      <c r="R339" s="69">
        <f>IF(Q339=1,G339*L339,0)</f>
        <v/>
      </c>
      <c r="S339" s="69">
        <f>IF(Q339=1,(H339+I339)*U339,0)</f>
        <v/>
      </c>
      <c r="T339" s="59">
        <f>IF(Q339=1,G339,0)</f>
        <v/>
      </c>
      <c r="U339" s="170">
        <f>$G$3</f>
        <v/>
      </c>
    </row>
    <row r="340">
      <c r="A340" s="54" t="inlineStr">
        <is>
          <t>CA DC B6</t>
        </is>
      </c>
      <c r="B340" s="54" t="inlineStr">
        <is>
          <t>CA</t>
        </is>
      </c>
      <c r="C340" s="54" t="inlineStr">
        <is>
          <t>B0CQ32JTTK</t>
        </is>
      </c>
      <c r="D340" s="54" t="inlineStr">
        <is>
          <t>BAMBOO-CALIFKING-CHARCOAL-6PCS</t>
        </is>
      </c>
      <c r="E340" s="54" t="inlineStr">
        <is>
          <t>California King</t>
        </is>
      </c>
      <c r="F340" s="54" t="inlineStr">
        <is>
          <t>Charcoal</t>
        </is>
      </c>
      <c r="G340" s="55" t="n">
        <v>0</v>
      </c>
      <c r="H340" s="167" t="n"/>
      <c r="I340" s="167" t="n"/>
      <c r="J340" s="171">
        <f>IF(AND(N(G340)&gt;0,N(H340)+N(I340)&gt;0),(H340+I340)*U340/G340,"")</f>
        <v/>
      </c>
      <c r="K340" s="172" t="n">
        <v>99.98999999999999</v>
      </c>
      <c r="L340" s="172" t="n">
        <v>89.98999999999999</v>
      </c>
      <c r="M340" s="54" t="inlineStr">
        <is>
          <t>Eligible</t>
        </is>
      </c>
      <c r="N340" s="171">
        <f>IF(OR(J340="",L340=""),"",L340-J340)</f>
        <v/>
      </c>
      <c r="O340" s="169">
        <f>IF(OR(J340="",L340=""),"",L340/J340-1)</f>
        <v/>
      </c>
      <c r="P340" s="169">
        <f>IF(OR(J340="",K340=""),"",K340/J340-1)</f>
        <v/>
      </c>
      <c r="Q340" s="54">
        <f>IF(AND(ISNUMBER(J340),ISNUMBER(L340)),1,0)</f>
        <v/>
      </c>
      <c r="R340" s="69">
        <f>IF(Q340=1,G340*L340,0)</f>
        <v/>
      </c>
      <c r="S340" s="69">
        <f>IF(Q340=1,(H340+I340)*U340,0)</f>
        <v/>
      </c>
      <c r="T340" s="59">
        <f>IF(Q340=1,G340,0)</f>
        <v/>
      </c>
      <c r="U340" s="170">
        <f>$G$3</f>
        <v/>
      </c>
    </row>
    <row r="341">
      <c r="A341" s="54" t="inlineStr">
        <is>
          <t>CA DC B6</t>
        </is>
      </c>
      <c r="B341" s="54" t="inlineStr">
        <is>
          <t>CA</t>
        </is>
      </c>
      <c r="C341" s="54" t="inlineStr">
        <is>
          <t>B0CQ33T9BL</t>
        </is>
      </c>
      <c r="D341" s="54" t="inlineStr">
        <is>
          <t>BAMBOO-CALIFKING-GREY-6PCS</t>
        </is>
      </c>
      <c r="E341" s="54" t="inlineStr">
        <is>
          <t>California King</t>
        </is>
      </c>
      <c r="F341" s="54" t="inlineStr">
        <is>
          <t>Grey</t>
        </is>
      </c>
      <c r="G341" s="55" t="n">
        <v>0</v>
      </c>
      <c r="H341" s="167" t="n"/>
      <c r="I341" s="167" t="n"/>
      <c r="J341" s="171">
        <f>IF(AND(N(G341)&gt;0,N(H341)+N(I341)&gt;0),(H341+I341)*U341/G341,"")</f>
        <v/>
      </c>
      <c r="K341" s="172" t="n">
        <v>99.98999999999999</v>
      </c>
      <c r="L341" s="172" t="n">
        <v>89.98999999999999</v>
      </c>
      <c r="M341" s="54" t="inlineStr">
        <is>
          <t>Eligible</t>
        </is>
      </c>
      <c r="N341" s="171">
        <f>IF(OR(J341="",L341=""),"",L341-J341)</f>
        <v/>
      </c>
      <c r="O341" s="169">
        <f>IF(OR(J341="",L341=""),"",L341/J341-1)</f>
        <v/>
      </c>
      <c r="P341" s="169">
        <f>IF(OR(J341="",K341=""),"",K341/J341-1)</f>
        <v/>
      </c>
      <c r="Q341" s="54">
        <f>IF(AND(ISNUMBER(J341),ISNUMBER(L341)),1,0)</f>
        <v/>
      </c>
      <c r="R341" s="69">
        <f>IF(Q341=1,G341*L341,0)</f>
        <v/>
      </c>
      <c r="S341" s="69">
        <f>IF(Q341=1,(H341+I341)*U341,0)</f>
        <v/>
      </c>
      <c r="T341" s="59">
        <f>IF(Q341=1,G341,0)</f>
        <v/>
      </c>
      <c r="U341" s="170">
        <f>$G$3</f>
        <v/>
      </c>
    </row>
    <row r="342">
      <c r="A342" s="54" t="inlineStr">
        <is>
          <t>CA DC B6</t>
        </is>
      </c>
      <c r="B342" s="54" t="inlineStr">
        <is>
          <t>CA</t>
        </is>
      </c>
      <c r="C342" s="54" t="inlineStr">
        <is>
          <t>B0CQ31L3V7</t>
        </is>
      </c>
      <c r="D342" s="54" t="inlineStr">
        <is>
          <t>BAMBOO-CALIFKING-LIGHTBLUE-6PCS</t>
        </is>
      </c>
      <c r="E342" s="54" t="inlineStr">
        <is>
          <t>California King</t>
        </is>
      </c>
      <c r="F342" s="54" t="inlineStr">
        <is>
          <t>Light Blue</t>
        </is>
      </c>
      <c r="G342" s="55" t="n">
        <v>0</v>
      </c>
      <c r="H342" s="167" t="n"/>
      <c r="I342" s="167" t="n"/>
      <c r="J342" s="171">
        <f>IF(AND(N(G342)&gt;0,N(H342)+N(I342)&gt;0),(H342+I342)*U342/G342,"")</f>
        <v/>
      </c>
      <c r="K342" s="172" t="n">
        <v>99.98999999999999</v>
      </c>
      <c r="L342" s="172" t="n">
        <v>89.98999999999999</v>
      </c>
      <c r="M342" s="54" t="inlineStr">
        <is>
          <t>Eligible</t>
        </is>
      </c>
      <c r="N342" s="171">
        <f>IF(OR(J342="",L342=""),"",L342-J342)</f>
        <v/>
      </c>
      <c r="O342" s="169">
        <f>IF(OR(J342="",L342=""),"",L342/J342-1)</f>
        <v/>
      </c>
      <c r="P342" s="169">
        <f>IF(OR(J342="",K342=""),"",K342/J342-1)</f>
        <v/>
      </c>
      <c r="Q342" s="54">
        <f>IF(AND(ISNUMBER(J342),ISNUMBER(L342)),1,0)</f>
        <v/>
      </c>
      <c r="R342" s="69">
        <f>IF(Q342=1,G342*L342,0)</f>
        <v/>
      </c>
      <c r="S342" s="69">
        <f>IF(Q342=1,(H342+I342)*U342,0)</f>
        <v/>
      </c>
      <c r="T342" s="59">
        <f>IF(Q342=1,G342,0)</f>
        <v/>
      </c>
      <c r="U342" s="170">
        <f>$G$3</f>
        <v/>
      </c>
    </row>
    <row r="343">
      <c r="A343" s="54" t="inlineStr">
        <is>
          <t>CA DC B6</t>
        </is>
      </c>
      <c r="B343" s="54" t="inlineStr">
        <is>
          <t>CA</t>
        </is>
      </c>
      <c r="C343" s="54" t="inlineStr">
        <is>
          <t>B0CQ32JY2T</t>
        </is>
      </c>
      <c r="D343" s="54" t="inlineStr">
        <is>
          <t>BAMBOO-CALIFKING-OLIVE-6PCS</t>
        </is>
      </c>
      <c r="E343" s="54" t="inlineStr">
        <is>
          <t>California King</t>
        </is>
      </c>
      <c r="F343" s="54" t="inlineStr">
        <is>
          <t>Olive</t>
        </is>
      </c>
      <c r="G343" s="55" t="n">
        <v>0</v>
      </c>
      <c r="H343" s="167" t="n"/>
      <c r="I343" s="167" t="n"/>
      <c r="J343" s="171">
        <f>IF(AND(N(G343)&gt;0,N(H343)+N(I343)&gt;0),(H343+I343)*U343/G343,"")</f>
        <v/>
      </c>
      <c r="K343" s="172" t="n">
        <v>99.98999999999999</v>
      </c>
      <c r="L343" s="172" t="n">
        <v>94.98999999999999</v>
      </c>
      <c r="M343" s="54" t="inlineStr">
        <is>
          <t>Eligible</t>
        </is>
      </c>
      <c r="N343" s="171">
        <f>IF(OR(J343="",L343=""),"",L343-J343)</f>
        <v/>
      </c>
      <c r="O343" s="169">
        <f>IF(OR(J343="",L343=""),"",L343/J343-1)</f>
        <v/>
      </c>
      <c r="P343" s="169">
        <f>IF(OR(J343="",K343=""),"",K343/J343-1)</f>
        <v/>
      </c>
      <c r="Q343" s="54">
        <f>IF(AND(ISNUMBER(J343),ISNUMBER(L343)),1,0)</f>
        <v/>
      </c>
      <c r="R343" s="69">
        <f>IF(Q343=1,G343*L343,0)</f>
        <v/>
      </c>
      <c r="S343" s="69">
        <f>IF(Q343=1,(H343+I343)*U343,0)</f>
        <v/>
      </c>
      <c r="T343" s="59">
        <f>IF(Q343=1,G343,0)</f>
        <v/>
      </c>
      <c r="U343" s="170">
        <f>$G$3</f>
        <v/>
      </c>
    </row>
    <row r="344">
      <c r="A344" s="54" t="inlineStr">
        <is>
          <t>CA DC B6</t>
        </is>
      </c>
      <c r="B344" s="54" t="inlineStr">
        <is>
          <t>CA</t>
        </is>
      </c>
      <c r="C344" s="54" t="inlineStr">
        <is>
          <t>B0CQ32CNNX</t>
        </is>
      </c>
      <c r="D344" s="54" t="inlineStr">
        <is>
          <t>BAMBOO-CALIFKING-PURPLE-6PCS</t>
        </is>
      </c>
      <c r="E344" s="54" t="inlineStr">
        <is>
          <t>California King</t>
        </is>
      </c>
      <c r="F344" s="54" t="inlineStr">
        <is>
          <t>Purple</t>
        </is>
      </c>
      <c r="G344" s="55" t="n">
        <v>0</v>
      </c>
      <c r="H344" s="167" t="n"/>
      <c r="I344" s="167" t="n"/>
      <c r="J344" s="171">
        <f>IF(AND(N(G344)&gt;0,N(H344)+N(I344)&gt;0),(H344+I344)*U344/G344,"")</f>
        <v/>
      </c>
      <c r="K344" s="172" t="n">
        <v>99.98999999999999</v>
      </c>
      <c r="L344" s="172" t="n">
        <v>99.98999999999999</v>
      </c>
      <c r="M344" s="54" t="inlineStr">
        <is>
          <t>Eligible</t>
        </is>
      </c>
      <c r="N344" s="171">
        <f>IF(OR(J344="",L344=""),"",L344-J344)</f>
        <v/>
      </c>
      <c r="O344" s="169">
        <f>IF(OR(J344="",L344=""),"",L344/J344-1)</f>
        <v/>
      </c>
      <c r="P344" s="169">
        <f>IF(OR(J344="",K344=""),"",K344/J344-1)</f>
        <v/>
      </c>
      <c r="Q344" s="54">
        <f>IF(AND(ISNUMBER(J344),ISNUMBER(L344)),1,0)</f>
        <v/>
      </c>
      <c r="R344" s="69">
        <f>IF(Q344=1,G344*L344,0)</f>
        <v/>
      </c>
      <c r="S344" s="69">
        <f>IF(Q344=1,(H344+I344)*U344,0)</f>
        <v/>
      </c>
      <c r="T344" s="59">
        <f>IF(Q344=1,G344,0)</f>
        <v/>
      </c>
      <c r="U344" s="170">
        <f>$G$3</f>
        <v/>
      </c>
    </row>
    <row r="345">
      <c r="A345" s="54" t="inlineStr">
        <is>
          <t>CA DC B6</t>
        </is>
      </c>
      <c r="B345" s="54" t="inlineStr">
        <is>
          <t>CA</t>
        </is>
      </c>
      <c r="C345" s="54" t="inlineStr">
        <is>
          <t>B0CQ2YBSK2</t>
        </is>
      </c>
      <c r="D345" s="54" t="inlineStr">
        <is>
          <t>BAMBOO-FULL-LIGHTOLIVE-6PCS</t>
        </is>
      </c>
      <c r="E345" s="54" t="inlineStr">
        <is>
          <t>Full</t>
        </is>
      </c>
      <c r="F345" s="54" t="inlineStr">
        <is>
          <t>Light Olive</t>
        </is>
      </c>
      <c r="G345" s="55" t="n">
        <v>0</v>
      </c>
      <c r="H345" s="167" t="n"/>
      <c r="I345" s="167" t="n"/>
      <c r="J345" s="171">
        <f>IF(AND(N(G345)&gt;0,N(H345)+N(I345)&gt;0),(H345+I345)*U345/G345,"")</f>
        <v/>
      </c>
      <c r="K345" s="172" t="n">
        <v>79.98999999999999</v>
      </c>
      <c r="L345" s="172" t="n">
        <v>79.98999999999999</v>
      </c>
      <c r="M345" s="54" t="inlineStr">
        <is>
          <t>Eligible</t>
        </is>
      </c>
      <c r="N345" s="171">
        <f>IF(OR(J345="",L345=""),"",L345-J345)</f>
        <v/>
      </c>
      <c r="O345" s="169">
        <f>IF(OR(J345="",L345=""),"",L345/J345-1)</f>
        <v/>
      </c>
      <c r="P345" s="169">
        <f>IF(OR(J345="",K345=""),"",K345/J345-1)</f>
        <v/>
      </c>
      <c r="Q345" s="54">
        <f>IF(AND(ISNUMBER(J345),ISNUMBER(L345)),1,0)</f>
        <v/>
      </c>
      <c r="R345" s="69">
        <f>IF(Q345=1,G345*L345,0)</f>
        <v/>
      </c>
      <c r="S345" s="69">
        <f>IF(Q345=1,(H345+I345)*U345,0)</f>
        <v/>
      </c>
      <c r="T345" s="59">
        <f>IF(Q345=1,G345,0)</f>
        <v/>
      </c>
      <c r="U345" s="170">
        <f>$G$3</f>
        <v/>
      </c>
    </row>
    <row r="346">
      <c r="A346" s="54" t="inlineStr">
        <is>
          <t>CA DC B6</t>
        </is>
      </c>
      <c r="B346" s="54" t="inlineStr">
        <is>
          <t>CA</t>
        </is>
      </c>
      <c r="C346" s="54" t="inlineStr">
        <is>
          <t>B0CQ2ZVDC1</t>
        </is>
      </c>
      <c r="D346" s="54" t="inlineStr">
        <is>
          <t>BAMBOO-TWIN-CHARCOAL-6PCS</t>
        </is>
      </c>
      <c r="E346" s="54" t="inlineStr">
        <is>
          <t>Twin</t>
        </is>
      </c>
      <c r="F346" s="54" t="inlineStr">
        <is>
          <t>Charcoal</t>
        </is>
      </c>
      <c r="G346" s="55" t="n">
        <v>0</v>
      </c>
      <c r="H346" s="167" t="n"/>
      <c r="I346" s="167" t="n"/>
      <c r="J346" s="171">
        <f>IF(AND(N(G346)&gt;0,N(H346)+N(I346)&gt;0),(H346+I346)*U346/G346,"")</f>
        <v/>
      </c>
      <c r="K346" s="172" t="n">
        <v>79.98999999999999</v>
      </c>
      <c r="L346" s="172" t="n">
        <v>79.98999999999999</v>
      </c>
      <c r="M346" s="54" t="inlineStr">
        <is>
          <t>Eligible</t>
        </is>
      </c>
      <c r="N346" s="171">
        <f>IF(OR(J346="",L346=""),"",L346-J346)</f>
        <v/>
      </c>
      <c r="O346" s="169">
        <f>IF(OR(J346="",L346=""),"",L346/J346-1)</f>
        <v/>
      </c>
      <c r="P346" s="169">
        <f>IF(OR(J346="",K346=""),"",K346/J346-1)</f>
        <v/>
      </c>
      <c r="Q346" s="54">
        <f>IF(AND(ISNUMBER(J346),ISNUMBER(L346)),1,0)</f>
        <v/>
      </c>
      <c r="R346" s="69">
        <f>IF(Q346=1,G346*L346,0)</f>
        <v/>
      </c>
      <c r="S346" s="69">
        <f>IF(Q346=1,(H346+I346)*U346,0)</f>
        <v/>
      </c>
      <c r="T346" s="59">
        <f>IF(Q346=1,G346,0)</f>
        <v/>
      </c>
      <c r="U346" s="170">
        <f>$G$3</f>
        <v/>
      </c>
    </row>
    <row r="347">
      <c r="A347" s="54" t="inlineStr">
        <is>
          <t>CA DC B6</t>
        </is>
      </c>
      <c r="B347" s="54" t="inlineStr">
        <is>
          <t>CA</t>
        </is>
      </c>
      <c r="C347" s="54" t="inlineStr">
        <is>
          <t>B0CQ2YWCB3</t>
        </is>
      </c>
      <c r="D347" s="54" t="inlineStr">
        <is>
          <t>BAMBOO-TWIN-LIGHTOLIVE-6PCS</t>
        </is>
      </c>
      <c r="E347" s="54" t="inlineStr">
        <is>
          <t>Twin</t>
        </is>
      </c>
      <c r="F347" s="54" t="inlineStr">
        <is>
          <t>Light Olive</t>
        </is>
      </c>
      <c r="G347" s="55" t="n">
        <v>0</v>
      </c>
      <c r="H347" s="167" t="n"/>
      <c r="I347" s="167" t="n"/>
      <c r="J347" s="171">
        <f>IF(AND(N(G347)&gt;0,N(H347)+N(I347)&gt;0),(H347+I347)*U347/G347,"")</f>
        <v/>
      </c>
      <c r="K347" s="172" t="n">
        <v>79.98999999999999</v>
      </c>
      <c r="L347" s="172" t="n">
        <v>75.98999999999999</v>
      </c>
      <c r="M347" s="54" t="inlineStr">
        <is>
          <t>Eligible</t>
        </is>
      </c>
      <c r="N347" s="171">
        <f>IF(OR(J347="",L347=""),"",L347-J347)</f>
        <v/>
      </c>
      <c r="O347" s="169">
        <f>IF(OR(J347="",L347=""),"",L347/J347-1)</f>
        <v/>
      </c>
      <c r="P347" s="169">
        <f>IF(OR(J347="",K347=""),"",K347/J347-1)</f>
        <v/>
      </c>
      <c r="Q347" s="54">
        <f>IF(AND(ISNUMBER(J347),ISNUMBER(L347)),1,0)</f>
        <v/>
      </c>
      <c r="R347" s="69">
        <f>IF(Q347=1,G347*L347,0)</f>
        <v/>
      </c>
      <c r="S347" s="69">
        <f>IF(Q347=1,(H347+I347)*U347,0)</f>
        <v/>
      </c>
      <c r="T347" s="59">
        <f>IF(Q347=1,G347,0)</f>
        <v/>
      </c>
      <c r="U347" s="170">
        <f>$G$3</f>
        <v/>
      </c>
    </row>
    <row r="348">
      <c r="A348" s="54" t="inlineStr">
        <is>
          <t>US SL B6</t>
        </is>
      </c>
      <c r="B348" s="54" t="inlineStr">
        <is>
          <t>US</t>
        </is>
      </c>
      <c r="C348" s="54" t="inlineStr">
        <is>
          <t>B0DDTY4QSP</t>
        </is>
      </c>
      <c r="D348" s="54" t="inlineStr">
        <is>
          <t>SS-BAMBOO-WHITE-QUEEN-6PCS</t>
        </is>
      </c>
      <c r="E348" s="54" t="inlineStr">
        <is>
          <t>Queen</t>
        </is>
      </c>
      <c r="F348" s="54" t="inlineStr">
        <is>
          <t>White</t>
        </is>
      </c>
      <c r="G348" s="55" t="n">
        <v>17</v>
      </c>
      <c r="H348" s="167" t="n">
        <v>870.84</v>
      </c>
      <c r="I348" s="167" t="n">
        <v>0</v>
      </c>
      <c r="J348" s="168">
        <f>IF(AND(N(G348)&gt;0,N(H348)+N(I348)&gt;0),(H348+I348)*U348/G348,"")</f>
        <v/>
      </c>
      <c r="K348" s="167" t="n">
        <v>64.98999999999999</v>
      </c>
      <c r="L348" s="167" t="n"/>
      <c r="M348" s="54" t="inlineStr">
        <is>
          <t>Out of stock</t>
        </is>
      </c>
      <c r="N348" s="168">
        <f>IF(OR(J348="",L348=""),"",L348-J348)</f>
        <v/>
      </c>
      <c r="O348" s="169">
        <f>IF(OR(J348="",L348=""),"",L348/J348-1)</f>
        <v/>
      </c>
      <c r="P348" s="169">
        <f>IF(OR(J348="",K348=""),"",K348/J348-1)</f>
        <v/>
      </c>
      <c r="Q348" s="54">
        <f>IF(AND(ISNUMBER(J348),ISNUMBER(L348)),1,0)</f>
        <v/>
      </c>
      <c r="R348" s="69">
        <f>IF(Q348=1,G348*L348,0)</f>
        <v/>
      </c>
      <c r="S348" s="69">
        <f>IF(Q348=1,(H348+I348)*U348,0)</f>
        <v/>
      </c>
      <c r="T348" s="59">
        <f>IF(Q348=1,G348,0)</f>
        <v/>
      </c>
      <c r="U348" s="170" t="n">
        <v>1</v>
      </c>
    </row>
    <row r="349">
      <c r="A349" s="54" t="inlineStr">
        <is>
          <t>US SL B6</t>
        </is>
      </c>
      <c r="B349" s="54" t="inlineStr">
        <is>
          <t>US</t>
        </is>
      </c>
      <c r="C349" s="54" t="inlineStr">
        <is>
          <t>B0DDTYDHVB</t>
        </is>
      </c>
      <c r="D349" s="54" t="inlineStr">
        <is>
          <t>SS-BAMBOO-TAUPE-KING-6PCS</t>
        </is>
      </c>
      <c r="E349" s="54" t="inlineStr">
        <is>
          <t>King</t>
        </is>
      </c>
      <c r="F349" s="54" t="inlineStr">
        <is>
          <t>Taupe</t>
        </is>
      </c>
      <c r="G349" s="55" t="n">
        <v>16</v>
      </c>
      <c r="H349" s="167" t="n">
        <v>951.84</v>
      </c>
      <c r="I349" s="167" t="n">
        <v>0</v>
      </c>
      <c r="J349" s="168">
        <f>IF(AND(N(G349)&gt;0,N(H349)+N(I349)&gt;0),(H349+I349)*U349/G349,"")</f>
        <v/>
      </c>
      <c r="K349" s="167" t="n">
        <v>69.98999999999999</v>
      </c>
      <c r="L349" s="167" t="n">
        <v>66.48999999999999</v>
      </c>
      <c r="M349" s="54" t="inlineStr">
        <is>
          <t>Eligible</t>
        </is>
      </c>
      <c r="N349" s="168">
        <f>IF(OR(J349="",L349=""),"",L349-J349)</f>
        <v/>
      </c>
      <c r="O349" s="169">
        <f>IF(OR(J349="",L349=""),"",L349/J349-1)</f>
        <v/>
      </c>
      <c r="P349" s="169">
        <f>IF(OR(J349="",K349=""),"",K349/J349-1)</f>
        <v/>
      </c>
      <c r="Q349" s="54">
        <f>IF(AND(ISNUMBER(J349),ISNUMBER(L349)),1,0)</f>
        <v/>
      </c>
      <c r="R349" s="69">
        <f>IF(Q349=1,G349*L349,0)</f>
        <v/>
      </c>
      <c r="S349" s="69">
        <f>IF(Q349=1,(H349+I349)*U349,0)</f>
        <v/>
      </c>
      <c r="T349" s="59">
        <f>IF(Q349=1,G349,0)</f>
        <v/>
      </c>
      <c r="U349" s="170" t="n">
        <v>1</v>
      </c>
    </row>
    <row r="350">
      <c r="A350" s="54" t="inlineStr">
        <is>
          <t>US SL B6</t>
        </is>
      </c>
      <c r="B350" s="54" t="inlineStr">
        <is>
          <t>US</t>
        </is>
      </c>
      <c r="C350" s="54" t="inlineStr">
        <is>
          <t>B0DDTXHPMK</t>
        </is>
      </c>
      <c r="D350" s="54" t="inlineStr">
        <is>
          <t>SS-BAMBOO-PURPLE-QUEEN-6PCS</t>
        </is>
      </c>
      <c r="E350" s="54" t="inlineStr">
        <is>
          <t>Queen</t>
        </is>
      </c>
      <c r="F350" s="54" t="inlineStr">
        <is>
          <t>Purple</t>
        </is>
      </c>
      <c r="G350" s="55" t="n">
        <v>14</v>
      </c>
      <c r="H350" s="167" t="n">
        <v>844.86</v>
      </c>
      <c r="I350" s="167" t="n">
        <v>0</v>
      </c>
      <c r="J350" s="168">
        <f>IF(AND(N(G350)&gt;0,N(H350)+N(I350)&gt;0),(H350+I350)*U350/G350,"")</f>
        <v/>
      </c>
      <c r="K350" s="167" t="n">
        <v>64.98999999999999</v>
      </c>
      <c r="L350" s="167" t="n"/>
      <c r="M350" s="54" t="inlineStr">
        <is>
          <t>Out of stock</t>
        </is>
      </c>
      <c r="N350" s="168">
        <f>IF(OR(J350="",L350=""),"",L350-J350)</f>
        <v/>
      </c>
      <c r="O350" s="169">
        <f>IF(OR(J350="",L350=""),"",L350/J350-1)</f>
        <v/>
      </c>
      <c r="P350" s="169">
        <f>IF(OR(J350="",K350=""),"",K350/J350-1)</f>
        <v/>
      </c>
      <c r="Q350" s="54">
        <f>IF(AND(ISNUMBER(J350),ISNUMBER(L350)),1,0)</f>
        <v/>
      </c>
      <c r="R350" s="69">
        <f>IF(Q350=1,G350*L350,0)</f>
        <v/>
      </c>
      <c r="S350" s="69">
        <f>IF(Q350=1,(H350+I350)*U350,0)</f>
        <v/>
      </c>
      <c r="T350" s="59">
        <f>IF(Q350=1,G350,0)</f>
        <v/>
      </c>
      <c r="U350" s="170" t="n">
        <v>1</v>
      </c>
    </row>
    <row r="351">
      <c r="A351" s="54" t="inlineStr">
        <is>
          <t>US SL B6</t>
        </is>
      </c>
      <c r="B351" s="54" t="inlineStr">
        <is>
          <t>US</t>
        </is>
      </c>
      <c r="C351" s="54" t="inlineStr">
        <is>
          <t>B0DDTZ92JW</t>
        </is>
      </c>
      <c r="D351" s="54" t="inlineStr">
        <is>
          <t>SS-BAMBOO-WHITE-KING-6PCS</t>
        </is>
      </c>
      <c r="E351" s="54" t="inlineStr">
        <is>
          <t>King</t>
        </is>
      </c>
      <c r="F351" s="54" t="inlineStr">
        <is>
          <t>White</t>
        </is>
      </c>
      <c r="G351" s="55" t="n">
        <v>12</v>
      </c>
      <c r="H351" s="167" t="n">
        <v>699.88</v>
      </c>
      <c r="I351" s="167" t="n">
        <v>0</v>
      </c>
      <c r="J351" s="168">
        <f>IF(AND(N(G351)&gt;0,N(H351)+N(I351)&gt;0),(H351+I351)*U351/G351,"")</f>
        <v/>
      </c>
      <c r="K351" s="167" t="n">
        <v>69.98999999999999</v>
      </c>
      <c r="L351" s="167" t="n"/>
      <c r="M351" s="54" t="inlineStr">
        <is>
          <t>Out of stock</t>
        </is>
      </c>
      <c r="N351" s="168">
        <f>IF(OR(J351="",L351=""),"",L351-J351)</f>
        <v/>
      </c>
      <c r="O351" s="169">
        <f>IF(OR(J351="",L351=""),"",L351/J351-1)</f>
        <v/>
      </c>
      <c r="P351" s="169">
        <f>IF(OR(J351="",K351=""),"",K351/J351-1)</f>
        <v/>
      </c>
      <c r="Q351" s="54">
        <f>IF(AND(ISNUMBER(J351),ISNUMBER(L351)),1,0)</f>
        <v/>
      </c>
      <c r="R351" s="69">
        <f>IF(Q351=1,G351*L351,0)</f>
        <v/>
      </c>
      <c r="S351" s="69">
        <f>IF(Q351=1,(H351+I351)*U351,0)</f>
        <v/>
      </c>
      <c r="T351" s="59">
        <f>IF(Q351=1,G351,0)</f>
        <v/>
      </c>
      <c r="U351" s="170" t="n">
        <v>1</v>
      </c>
    </row>
    <row r="352">
      <c r="A352" s="54" t="inlineStr">
        <is>
          <t>US SL B6</t>
        </is>
      </c>
      <c r="B352" s="54" t="inlineStr">
        <is>
          <t>US</t>
        </is>
      </c>
      <c r="C352" s="54" t="inlineStr">
        <is>
          <t>B0DDTX1L6C</t>
        </is>
      </c>
      <c r="D352" s="54" t="inlineStr">
        <is>
          <t>SS-BAMBOO-BURGUNDY-QUEEN-6PCS</t>
        </is>
      </c>
      <c r="E352" s="54" t="inlineStr">
        <is>
          <t>Queen</t>
        </is>
      </c>
      <c r="F352" s="54" t="inlineStr">
        <is>
          <t>Burgundy</t>
        </is>
      </c>
      <c r="G352" s="55" t="n">
        <v>10</v>
      </c>
      <c r="H352" s="167" t="n">
        <v>558.9</v>
      </c>
      <c r="I352" s="167" t="n">
        <v>0</v>
      </c>
      <c r="J352" s="168">
        <f>IF(AND(N(G352)&gt;0,N(H352)+N(I352)&gt;0),(H352+I352)*U352/G352,"")</f>
        <v/>
      </c>
      <c r="K352" s="167" t="n">
        <v>64.98999999999999</v>
      </c>
      <c r="L352" s="167" t="n"/>
      <c r="M352" s="54" t="inlineStr">
        <is>
          <t>Out of stock</t>
        </is>
      </c>
      <c r="N352" s="168">
        <f>IF(OR(J352="",L352=""),"",L352-J352)</f>
        <v/>
      </c>
      <c r="O352" s="169">
        <f>IF(OR(J352="",L352=""),"",L352/J352-1)</f>
        <v/>
      </c>
      <c r="P352" s="169">
        <f>IF(OR(J352="",K352=""),"",K352/J352-1)</f>
        <v/>
      </c>
      <c r="Q352" s="54">
        <f>IF(AND(ISNUMBER(J352),ISNUMBER(L352)),1,0)</f>
        <v/>
      </c>
      <c r="R352" s="69">
        <f>IF(Q352=1,G352*L352,0)</f>
        <v/>
      </c>
      <c r="S352" s="69">
        <f>IF(Q352=1,(H352+I352)*U352,0)</f>
        <v/>
      </c>
      <c r="T352" s="59">
        <f>IF(Q352=1,G352,0)</f>
        <v/>
      </c>
      <c r="U352" s="170" t="n">
        <v>1</v>
      </c>
    </row>
    <row r="353">
      <c r="A353" s="54" t="inlineStr">
        <is>
          <t>US SL B6</t>
        </is>
      </c>
      <c r="B353" s="54" t="inlineStr">
        <is>
          <t>US</t>
        </is>
      </c>
      <c r="C353" s="54" t="inlineStr">
        <is>
          <t>B0DDTZ7XW3</t>
        </is>
      </c>
      <c r="D353" s="54" t="inlineStr">
        <is>
          <t>SS-BAMBOO-MIDGREY-KING-6PCS</t>
        </is>
      </c>
      <c r="E353" s="54" t="inlineStr">
        <is>
          <t>King</t>
        </is>
      </c>
      <c r="F353" s="54" t="inlineStr">
        <is>
          <t>Midgrey</t>
        </is>
      </c>
      <c r="G353" s="55" t="n">
        <v>9</v>
      </c>
      <c r="H353" s="167" t="n">
        <v>503.91</v>
      </c>
      <c r="I353" s="167" t="n">
        <v>0</v>
      </c>
      <c r="J353" s="168">
        <f>IF(AND(N(G353)&gt;0,N(H353)+N(I353)&gt;0),(H353+I353)*U353/G353,"")</f>
        <v/>
      </c>
      <c r="K353" s="167" t="n">
        <v>69.98999999999999</v>
      </c>
      <c r="L353" s="167" t="n">
        <v>66.48999999999999</v>
      </c>
      <c r="M353" s="54" t="inlineStr">
        <is>
          <t>Eligible</t>
        </is>
      </c>
      <c r="N353" s="168">
        <f>IF(OR(J353="",L353=""),"",L353-J353)</f>
        <v/>
      </c>
      <c r="O353" s="169">
        <f>IF(OR(J353="",L353=""),"",L353/J353-1)</f>
        <v/>
      </c>
      <c r="P353" s="169">
        <f>IF(OR(J353="",K353=""),"",K353/J353-1)</f>
        <v/>
      </c>
      <c r="Q353" s="54">
        <f>IF(AND(ISNUMBER(J353),ISNUMBER(L353)),1,0)</f>
        <v/>
      </c>
      <c r="R353" s="69">
        <f>IF(Q353=1,G353*L353,0)</f>
        <v/>
      </c>
      <c r="S353" s="69">
        <f>IF(Q353=1,(H353+I353)*U353,0)</f>
        <v/>
      </c>
      <c r="T353" s="59">
        <f>IF(Q353=1,G353,0)</f>
        <v/>
      </c>
      <c r="U353" s="170" t="n">
        <v>1</v>
      </c>
    </row>
    <row r="354">
      <c r="A354" s="54" t="inlineStr">
        <is>
          <t>US SL B6</t>
        </is>
      </c>
      <c r="B354" s="54" t="inlineStr">
        <is>
          <t>US</t>
        </is>
      </c>
      <c r="C354" s="54" t="inlineStr">
        <is>
          <t>B0DDV1B2T2</t>
        </is>
      </c>
      <c r="D354" s="54" t="inlineStr">
        <is>
          <t>SS-BAMBOO-LIGHT-BLUE-QUEEN-6PCS</t>
        </is>
      </c>
      <c r="E354" s="54" t="inlineStr">
        <is>
          <t>Queen</t>
        </is>
      </c>
      <c r="F354" s="54" t="inlineStr">
        <is>
          <t>Light Blue</t>
        </is>
      </c>
      <c r="G354" s="55" t="n">
        <v>9</v>
      </c>
      <c r="H354" s="167" t="n">
        <v>493.91</v>
      </c>
      <c r="I354" s="167" t="n">
        <v>0</v>
      </c>
      <c r="J354" s="168">
        <f>IF(AND(N(G354)&gt;0,N(H354)+N(I354)&gt;0),(H354+I354)*U354/G354,"")</f>
        <v/>
      </c>
      <c r="K354" s="167" t="n"/>
      <c r="L354" s="167" t="n"/>
      <c r="M354" s="54" t="inlineStr">
        <is>
          <t>Not in a deal</t>
        </is>
      </c>
      <c r="N354" s="168">
        <f>IF(OR(J354="",L354=""),"",L354-J354)</f>
        <v/>
      </c>
      <c r="O354" s="169">
        <f>IF(OR(J354="",L354=""),"",L354/J354-1)</f>
        <v/>
      </c>
      <c r="P354" s="169">
        <f>IF(OR(J354="",K354=""),"",K354/J354-1)</f>
        <v/>
      </c>
      <c r="Q354" s="54">
        <f>IF(AND(ISNUMBER(J354),ISNUMBER(L354)),1,0)</f>
        <v/>
      </c>
      <c r="R354" s="69">
        <f>IF(Q354=1,G354*L354,0)</f>
        <v/>
      </c>
      <c r="S354" s="69">
        <f>IF(Q354=1,(H354+I354)*U354,0)</f>
        <v/>
      </c>
      <c r="T354" s="59">
        <f>IF(Q354=1,G354,0)</f>
        <v/>
      </c>
      <c r="U354" s="170" t="n">
        <v>1</v>
      </c>
    </row>
    <row r="355">
      <c r="A355" s="54" t="inlineStr">
        <is>
          <t>US SL B6</t>
        </is>
      </c>
      <c r="B355" s="54" t="inlineStr">
        <is>
          <t>US</t>
        </is>
      </c>
      <c r="C355" s="54" t="inlineStr">
        <is>
          <t>B0DDV1B2T2</t>
        </is>
      </c>
      <c r="D355" s="54" t="inlineStr">
        <is>
          <t>SS-BAMBOO-LIGHT-BLUE-QUEEN-6PC</t>
        </is>
      </c>
      <c r="E355" s="54" t="inlineStr">
        <is>
          <t>Queen</t>
        </is>
      </c>
      <c r="F355" s="54" t="inlineStr">
        <is>
          <t>Light Blue</t>
        </is>
      </c>
      <c r="G355" s="55" t="n">
        <v>9</v>
      </c>
      <c r="H355" s="167" t="n">
        <v>493.91</v>
      </c>
      <c r="I355" s="167" t="n">
        <v>0</v>
      </c>
      <c r="J355" s="168">
        <f>IF(AND(N(G355)&gt;0,N(H355)+N(I355)&gt;0),(H355+I355)*U355/G355,"")</f>
        <v/>
      </c>
      <c r="K355" s="167" t="n"/>
      <c r="L355" s="167" t="n"/>
      <c r="M355" s="54" t="inlineStr">
        <is>
          <t>Not in a deal</t>
        </is>
      </c>
      <c r="N355" s="168">
        <f>IF(OR(J355="",L355=""),"",L355-J355)</f>
        <v/>
      </c>
      <c r="O355" s="169">
        <f>IF(OR(J355="",L355=""),"",L355/J355-1)</f>
        <v/>
      </c>
      <c r="P355" s="169">
        <f>IF(OR(J355="",K355=""),"",K355/J355-1)</f>
        <v/>
      </c>
      <c r="Q355" s="54">
        <f>IF(AND(ISNUMBER(J355),ISNUMBER(L355)),1,0)</f>
        <v/>
      </c>
      <c r="R355" s="69">
        <f>IF(Q355=1,G355*L355,0)</f>
        <v/>
      </c>
      <c r="S355" s="69">
        <f>IF(Q355=1,(H355+I355)*U355,0)</f>
        <v/>
      </c>
      <c r="T355" s="59">
        <f>IF(Q355=1,G355,0)</f>
        <v/>
      </c>
      <c r="U355" s="170" t="n">
        <v>1</v>
      </c>
    </row>
    <row r="356">
      <c r="A356" s="54" t="inlineStr">
        <is>
          <t>US SL B6</t>
        </is>
      </c>
      <c r="B356" s="54" t="inlineStr">
        <is>
          <t>US</t>
        </is>
      </c>
      <c r="C356" s="54" t="inlineStr">
        <is>
          <t>B0DDTVZRYJ</t>
        </is>
      </c>
      <c r="D356" s="54" t="inlineStr">
        <is>
          <t>SS-BAMBOO-BLACK-KING-6PCS</t>
        </is>
      </c>
      <c r="E356" s="54" t="inlineStr">
        <is>
          <t>King</t>
        </is>
      </c>
      <c r="F356" s="54" t="inlineStr">
        <is>
          <t>Black</t>
        </is>
      </c>
      <c r="G356" s="55" t="n">
        <v>7</v>
      </c>
      <c r="H356" s="167" t="n">
        <v>419.93</v>
      </c>
      <c r="I356" s="167" t="n">
        <v>0</v>
      </c>
      <c r="J356" s="168">
        <f>IF(AND(N(G356)&gt;0,N(H356)+N(I356)&gt;0),(H356+I356)*U356/G356,"")</f>
        <v/>
      </c>
      <c r="K356" s="167" t="n">
        <v>69.98999999999999</v>
      </c>
      <c r="L356" s="167" t="n"/>
      <c r="M356" s="54" t="inlineStr">
        <is>
          <t>Out of stock</t>
        </is>
      </c>
      <c r="N356" s="168">
        <f>IF(OR(J356="",L356=""),"",L356-J356)</f>
        <v/>
      </c>
      <c r="O356" s="169">
        <f>IF(OR(J356="",L356=""),"",L356/J356-1)</f>
        <v/>
      </c>
      <c r="P356" s="169">
        <f>IF(OR(J356="",K356=""),"",K356/J356-1)</f>
        <v/>
      </c>
      <c r="Q356" s="54">
        <f>IF(AND(ISNUMBER(J356),ISNUMBER(L356)),1,0)</f>
        <v/>
      </c>
      <c r="R356" s="69">
        <f>IF(Q356=1,G356*L356,0)</f>
        <v/>
      </c>
      <c r="S356" s="69">
        <f>IF(Q356=1,(H356+I356)*U356,0)</f>
        <v/>
      </c>
      <c r="T356" s="59">
        <f>IF(Q356=1,G356,0)</f>
        <v/>
      </c>
      <c r="U356" s="170" t="n">
        <v>1</v>
      </c>
    </row>
    <row r="357">
      <c r="A357" s="54" t="inlineStr">
        <is>
          <t>US SL B6</t>
        </is>
      </c>
      <c r="B357" s="54" t="inlineStr">
        <is>
          <t>US</t>
        </is>
      </c>
      <c r="C357" s="54" t="inlineStr">
        <is>
          <t>B0DDTZ1LKN</t>
        </is>
      </c>
      <c r="D357" s="54" t="inlineStr">
        <is>
          <t>SS-BAMBOO-CREME-KING-6PCS</t>
        </is>
      </c>
      <c r="E357" s="54" t="inlineStr">
        <is>
          <t>King</t>
        </is>
      </c>
      <c r="F357" s="54" t="inlineStr">
        <is>
          <t>Creme</t>
        </is>
      </c>
      <c r="G357" s="55" t="n">
        <v>7</v>
      </c>
      <c r="H357" s="167" t="n">
        <v>433.93</v>
      </c>
      <c r="I357" s="167" t="n">
        <v>0</v>
      </c>
      <c r="J357" s="168">
        <f>IF(AND(N(G357)&gt;0,N(H357)+N(I357)&gt;0),(H357+I357)*U357/G357,"")</f>
        <v/>
      </c>
      <c r="K357" s="167" t="n">
        <v>69.98999999999999</v>
      </c>
      <c r="L357" s="167" t="n"/>
      <c r="M357" s="54" t="inlineStr">
        <is>
          <t>Out of stock</t>
        </is>
      </c>
      <c r="N357" s="168">
        <f>IF(OR(J357="",L357=""),"",L357-J357)</f>
        <v/>
      </c>
      <c r="O357" s="169">
        <f>IF(OR(J357="",L357=""),"",L357/J357-1)</f>
        <v/>
      </c>
      <c r="P357" s="169">
        <f>IF(OR(J357="",K357=""),"",K357/J357-1)</f>
        <v/>
      </c>
      <c r="Q357" s="54">
        <f>IF(AND(ISNUMBER(J357),ISNUMBER(L357)),1,0)</f>
        <v/>
      </c>
      <c r="R357" s="69">
        <f>IF(Q357=1,G357*L357,0)</f>
        <v/>
      </c>
      <c r="S357" s="69">
        <f>IF(Q357=1,(H357+I357)*U357,0)</f>
        <v/>
      </c>
      <c r="T357" s="59">
        <f>IF(Q357=1,G357,0)</f>
        <v/>
      </c>
      <c r="U357" s="170" t="n">
        <v>1</v>
      </c>
    </row>
    <row r="358">
      <c r="A358" s="54" t="inlineStr">
        <is>
          <t>US SL B6</t>
        </is>
      </c>
      <c r="B358" s="54" t="inlineStr">
        <is>
          <t>US</t>
        </is>
      </c>
      <c r="C358" s="54" t="inlineStr">
        <is>
          <t>B0DDV25KDZ</t>
        </is>
      </c>
      <c r="D358" s="54" t="inlineStr">
        <is>
          <t>SS-BAMBOO-LIGHT-BLUE-KING-6PCS</t>
        </is>
      </c>
      <c r="E358" s="54" t="inlineStr">
        <is>
          <t>King</t>
        </is>
      </c>
      <c r="F358" s="54" t="inlineStr">
        <is>
          <t>Light Blue</t>
        </is>
      </c>
      <c r="G358" s="55" t="n">
        <v>7</v>
      </c>
      <c r="H358" s="167" t="n">
        <v>405.93</v>
      </c>
      <c r="I358" s="167" t="n">
        <v>0</v>
      </c>
      <c r="J358" s="168">
        <f>IF(AND(N(G358)&gt;0,N(H358)+N(I358)&gt;0),(H358+I358)*U358/G358,"")</f>
        <v/>
      </c>
      <c r="K358" s="167" t="n">
        <v>69.98999999999999</v>
      </c>
      <c r="L358" s="167" t="n"/>
      <c r="M358" s="54" t="inlineStr">
        <is>
          <t>Out of stock</t>
        </is>
      </c>
      <c r="N358" s="168">
        <f>IF(OR(J358="",L358=""),"",L358-J358)</f>
        <v/>
      </c>
      <c r="O358" s="169">
        <f>IF(OR(J358="",L358=""),"",L358/J358-1)</f>
        <v/>
      </c>
      <c r="P358" s="169">
        <f>IF(OR(J358="",K358=""),"",K358/J358-1)</f>
        <v/>
      </c>
      <c r="Q358" s="54">
        <f>IF(AND(ISNUMBER(J358),ISNUMBER(L358)),1,0)</f>
        <v/>
      </c>
      <c r="R358" s="69">
        <f>IF(Q358=1,G358*L358,0)</f>
        <v/>
      </c>
      <c r="S358" s="69">
        <f>IF(Q358=1,(H358+I358)*U358,0)</f>
        <v/>
      </c>
      <c r="T358" s="59">
        <f>IF(Q358=1,G358,0)</f>
        <v/>
      </c>
      <c r="U358" s="170" t="n">
        <v>1</v>
      </c>
    </row>
    <row r="359">
      <c r="A359" s="54" t="inlineStr">
        <is>
          <t>US SL B6</t>
        </is>
      </c>
      <c r="B359" s="54" t="inlineStr">
        <is>
          <t>US</t>
        </is>
      </c>
      <c r="C359" s="54" t="inlineStr">
        <is>
          <t>B0DDTZ7Z4W</t>
        </is>
      </c>
      <c r="D359" s="54" t="inlineStr">
        <is>
          <t>SS-BAMBOO-SAGE-GREEN-KING-6PCS</t>
        </is>
      </c>
      <c r="E359" s="54" t="inlineStr">
        <is>
          <t>King</t>
        </is>
      </c>
      <c r="F359" s="54" t="inlineStr">
        <is>
          <t>Sage Green</t>
        </is>
      </c>
      <c r="G359" s="55" t="n">
        <v>7</v>
      </c>
      <c r="H359" s="167" t="n">
        <v>391.93</v>
      </c>
      <c r="I359" s="167" t="n">
        <v>0</v>
      </c>
      <c r="J359" s="168">
        <f>IF(AND(N(G359)&gt;0,N(H359)+N(I359)&gt;0),(H359+I359)*U359/G359,"")</f>
        <v/>
      </c>
      <c r="K359" s="167" t="n">
        <v>69.98999999999999</v>
      </c>
      <c r="L359" s="167" t="n"/>
      <c r="M359" s="54" t="inlineStr">
        <is>
          <t>Out of stock</t>
        </is>
      </c>
      <c r="N359" s="168">
        <f>IF(OR(J359="",L359=""),"",L359-J359)</f>
        <v/>
      </c>
      <c r="O359" s="169">
        <f>IF(OR(J359="",L359=""),"",L359/J359-1)</f>
        <v/>
      </c>
      <c r="P359" s="169">
        <f>IF(OR(J359="",K359=""),"",K359/J359-1)</f>
        <v/>
      </c>
      <c r="Q359" s="54">
        <f>IF(AND(ISNUMBER(J359),ISNUMBER(L359)),1,0)</f>
        <v/>
      </c>
      <c r="R359" s="69">
        <f>IF(Q359=1,G359*L359,0)</f>
        <v/>
      </c>
      <c r="S359" s="69">
        <f>IF(Q359=1,(H359+I359)*U359,0)</f>
        <v/>
      </c>
      <c r="T359" s="59">
        <f>IF(Q359=1,G359,0)</f>
        <v/>
      </c>
      <c r="U359" s="170" t="n">
        <v>1</v>
      </c>
    </row>
    <row r="360">
      <c r="A360" s="54" t="inlineStr">
        <is>
          <t>US SL B6</t>
        </is>
      </c>
      <c r="B360" s="54" t="inlineStr">
        <is>
          <t>US</t>
        </is>
      </c>
      <c r="C360" s="54" t="inlineStr">
        <is>
          <t>B0DDTXJJCN</t>
        </is>
      </c>
      <c r="D360" s="54" t="inlineStr">
        <is>
          <t>SS-BAMBOO-TAUPE-QUEEN-6PCS</t>
        </is>
      </c>
      <c r="E360" s="54" t="inlineStr">
        <is>
          <t>Queen</t>
        </is>
      </c>
      <c r="F360" s="54" t="inlineStr">
        <is>
          <t>Taupe</t>
        </is>
      </c>
      <c r="G360" s="55" t="n">
        <v>7</v>
      </c>
      <c r="H360" s="167" t="n">
        <v>402.93</v>
      </c>
      <c r="I360" s="167" t="n">
        <v>0</v>
      </c>
      <c r="J360" s="168">
        <f>IF(AND(N(G360)&gt;0,N(H360)+N(I360)&gt;0),(H360+I360)*U360/G360,"")</f>
        <v/>
      </c>
      <c r="K360" s="167" t="n">
        <v>64.98999999999999</v>
      </c>
      <c r="L360" s="167" t="n"/>
      <c r="M360" s="54" t="inlineStr">
        <is>
          <t>Out of stock</t>
        </is>
      </c>
      <c r="N360" s="168">
        <f>IF(OR(J360="",L360=""),"",L360-J360)</f>
        <v/>
      </c>
      <c r="O360" s="169">
        <f>IF(OR(J360="",L360=""),"",L360/J360-1)</f>
        <v/>
      </c>
      <c r="P360" s="169">
        <f>IF(OR(J360="",K360=""),"",K360/J360-1)</f>
        <v/>
      </c>
      <c r="Q360" s="54">
        <f>IF(AND(ISNUMBER(J360),ISNUMBER(L360)),1,0)</f>
        <v/>
      </c>
      <c r="R360" s="69">
        <f>IF(Q360=1,G360*L360,0)</f>
        <v/>
      </c>
      <c r="S360" s="69">
        <f>IF(Q360=1,(H360+I360)*U360,0)</f>
        <v/>
      </c>
      <c r="T360" s="59">
        <f>IF(Q360=1,G360,0)</f>
        <v/>
      </c>
      <c r="U360" s="170" t="n">
        <v>1</v>
      </c>
    </row>
    <row r="361">
      <c r="A361" s="54" t="inlineStr">
        <is>
          <t>US SL B6</t>
        </is>
      </c>
      <c r="B361" s="54" t="inlineStr">
        <is>
          <t>US</t>
        </is>
      </c>
      <c r="C361" s="54" t="inlineStr">
        <is>
          <t>B0DDTWV24K</t>
        </is>
      </c>
      <c r="D361" s="54" t="inlineStr">
        <is>
          <t>SS-BAMBOO-GREY-KING-6PCS</t>
        </is>
      </c>
      <c r="E361" s="54" t="inlineStr">
        <is>
          <t>King</t>
        </is>
      </c>
      <c r="F361" s="54" t="inlineStr">
        <is>
          <t>Grey</t>
        </is>
      </c>
      <c r="G361" s="55" t="n">
        <v>6</v>
      </c>
      <c r="H361" s="167" t="n">
        <v>419.94</v>
      </c>
      <c r="I361" s="167" t="n">
        <v>0</v>
      </c>
      <c r="J361" s="168">
        <f>IF(AND(N(G361)&gt;0,N(H361)+N(I361)&gt;0),(H361+I361)*U361/G361,"")</f>
        <v/>
      </c>
      <c r="K361" s="167" t="n">
        <v>69.98999999999999</v>
      </c>
      <c r="L361" s="167" t="n"/>
      <c r="M361" s="54" t="inlineStr">
        <is>
          <t>Out of stock</t>
        </is>
      </c>
      <c r="N361" s="168">
        <f>IF(OR(J361="",L361=""),"",L361-J361)</f>
        <v/>
      </c>
      <c r="O361" s="169">
        <f>IF(OR(J361="",L361=""),"",L361/J361-1)</f>
        <v/>
      </c>
      <c r="P361" s="169">
        <f>IF(OR(J361="",K361=""),"",K361/J361-1)</f>
        <v/>
      </c>
      <c r="Q361" s="54">
        <f>IF(AND(ISNUMBER(J361),ISNUMBER(L361)),1,0)</f>
        <v/>
      </c>
      <c r="R361" s="69">
        <f>IF(Q361=1,G361*L361,0)</f>
        <v/>
      </c>
      <c r="S361" s="69">
        <f>IF(Q361=1,(H361+I361)*U361,0)</f>
        <v/>
      </c>
      <c r="T361" s="59">
        <f>IF(Q361=1,G361,0)</f>
        <v/>
      </c>
      <c r="U361" s="170" t="n">
        <v>1</v>
      </c>
    </row>
    <row r="362">
      <c r="A362" s="54" t="inlineStr">
        <is>
          <t>US SL B6</t>
        </is>
      </c>
      <c r="B362" s="54" t="inlineStr">
        <is>
          <t>US</t>
        </is>
      </c>
      <c r="C362" s="54" t="inlineStr">
        <is>
          <t>B0DDTXH82N</t>
        </is>
      </c>
      <c r="D362" s="54" t="inlineStr">
        <is>
          <t>SS-BAMBOO-BLACK-QUEEN-6PCS</t>
        </is>
      </c>
      <c r="E362" s="54" t="inlineStr">
        <is>
          <t>Queen</t>
        </is>
      </c>
      <c r="F362" s="54" t="inlineStr">
        <is>
          <t>Black</t>
        </is>
      </c>
      <c r="G362" s="55" t="n">
        <v>6</v>
      </c>
      <c r="H362" s="167" t="n">
        <v>389.94</v>
      </c>
      <c r="I362" s="167" t="n">
        <v>0</v>
      </c>
      <c r="J362" s="168">
        <f>IF(AND(N(G362)&gt;0,N(H362)+N(I362)&gt;0),(H362+I362)*U362/G362,"")</f>
        <v/>
      </c>
      <c r="K362" s="167" t="n">
        <v>64.98999999999999</v>
      </c>
      <c r="L362" s="167" t="n"/>
      <c r="M362" s="54" t="inlineStr">
        <is>
          <t>Out of stock</t>
        </is>
      </c>
      <c r="N362" s="168">
        <f>IF(OR(J362="",L362=""),"",L362-J362)</f>
        <v/>
      </c>
      <c r="O362" s="169">
        <f>IF(OR(J362="",L362=""),"",L362/J362-1)</f>
        <v/>
      </c>
      <c r="P362" s="169">
        <f>IF(OR(J362="",K362=""),"",K362/J362-1)</f>
        <v/>
      </c>
      <c r="Q362" s="54">
        <f>IF(AND(ISNUMBER(J362),ISNUMBER(L362)),1,0)</f>
        <v/>
      </c>
      <c r="R362" s="69">
        <f>IF(Q362=1,G362*L362,0)</f>
        <v/>
      </c>
      <c r="S362" s="69">
        <f>IF(Q362=1,(H362+I362)*U362,0)</f>
        <v/>
      </c>
      <c r="T362" s="59">
        <f>IF(Q362=1,G362,0)</f>
        <v/>
      </c>
      <c r="U362" s="170" t="n">
        <v>1</v>
      </c>
    </row>
    <row r="363">
      <c r="A363" s="54" t="inlineStr">
        <is>
          <t>US SL B6</t>
        </is>
      </c>
      <c r="B363" s="54" t="inlineStr">
        <is>
          <t>US</t>
        </is>
      </c>
      <c r="C363" s="54" t="inlineStr">
        <is>
          <t>B0DDTX22QM</t>
        </is>
      </c>
      <c r="D363" s="54" t="inlineStr">
        <is>
          <t>SS-BAMBOO-WHITE-CALIFKING-6PCS</t>
        </is>
      </c>
      <c r="E363" s="54" t="inlineStr">
        <is>
          <t>California King</t>
        </is>
      </c>
      <c r="F363" s="54" t="inlineStr">
        <is>
          <t>White</t>
        </is>
      </c>
      <c r="G363" s="55" t="n">
        <v>5</v>
      </c>
      <c r="H363" s="167" t="n">
        <v>279.95</v>
      </c>
      <c r="I363" s="167" t="n">
        <v>0</v>
      </c>
      <c r="J363" s="168">
        <f>IF(AND(N(G363)&gt;0,N(H363)+N(I363)&gt;0),(H363+I363)*U363/G363,"")</f>
        <v/>
      </c>
      <c r="K363" s="167" t="n">
        <v>69.98999999999999</v>
      </c>
      <c r="L363" s="167" t="n"/>
      <c r="M363" s="54" t="inlineStr">
        <is>
          <t>Out of stock</t>
        </is>
      </c>
      <c r="N363" s="168">
        <f>IF(OR(J363="",L363=""),"",L363-J363)</f>
        <v/>
      </c>
      <c r="O363" s="169">
        <f>IF(OR(J363="",L363=""),"",L363/J363-1)</f>
        <v/>
      </c>
      <c r="P363" s="169">
        <f>IF(OR(J363="",K363=""),"",K363/J363-1)</f>
        <v/>
      </c>
      <c r="Q363" s="54">
        <f>IF(AND(ISNUMBER(J363),ISNUMBER(L363)),1,0)</f>
        <v/>
      </c>
      <c r="R363" s="69">
        <f>IF(Q363=1,G363*L363,0)</f>
        <v/>
      </c>
      <c r="S363" s="69">
        <f>IF(Q363=1,(H363+I363)*U363,0)</f>
        <v/>
      </c>
      <c r="T363" s="59">
        <f>IF(Q363=1,G363,0)</f>
        <v/>
      </c>
      <c r="U363" s="170" t="n">
        <v>1</v>
      </c>
    </row>
    <row r="364">
      <c r="A364" s="54" t="inlineStr">
        <is>
          <t>US SL B6</t>
        </is>
      </c>
      <c r="B364" s="54" t="inlineStr">
        <is>
          <t>US</t>
        </is>
      </c>
      <c r="C364" s="54" t="inlineStr">
        <is>
          <t>B0DDTYX8VX</t>
        </is>
      </c>
      <c r="D364" s="54" t="inlineStr">
        <is>
          <t>SS-BAMBOO-BLACK-FULL-6PCS</t>
        </is>
      </c>
      <c r="E364" s="54" t="inlineStr">
        <is>
          <t>Full</t>
        </is>
      </c>
      <c r="F364" s="54" t="inlineStr">
        <is>
          <t>Black</t>
        </is>
      </c>
      <c r="G364" s="55" t="n">
        <v>5</v>
      </c>
      <c r="H364" s="167" t="n">
        <v>239.95</v>
      </c>
      <c r="I364" s="167" t="n">
        <v>0</v>
      </c>
      <c r="J364" s="168">
        <f>IF(AND(N(G364)&gt;0,N(H364)+N(I364)&gt;0),(H364+I364)*U364/G364,"")</f>
        <v/>
      </c>
      <c r="K364" s="167" t="n">
        <v>59.99</v>
      </c>
      <c r="L364" s="167" t="n">
        <v>56.99</v>
      </c>
      <c r="M364" s="54" t="inlineStr">
        <is>
          <t>Eligible</t>
        </is>
      </c>
      <c r="N364" s="168">
        <f>IF(OR(J364="",L364=""),"",L364-J364)</f>
        <v/>
      </c>
      <c r="O364" s="169">
        <f>IF(OR(J364="",L364=""),"",L364/J364-1)</f>
        <v/>
      </c>
      <c r="P364" s="169">
        <f>IF(OR(J364="",K364=""),"",K364/J364-1)</f>
        <v/>
      </c>
      <c r="Q364" s="54">
        <f>IF(AND(ISNUMBER(J364),ISNUMBER(L364)),1,0)</f>
        <v/>
      </c>
      <c r="R364" s="69">
        <f>IF(Q364=1,G364*L364,0)</f>
        <v/>
      </c>
      <c r="S364" s="69">
        <f>IF(Q364=1,(H364+I364)*U364,0)</f>
        <v/>
      </c>
      <c r="T364" s="59">
        <f>IF(Q364=1,G364,0)</f>
        <v/>
      </c>
      <c r="U364" s="170" t="n">
        <v>1</v>
      </c>
    </row>
    <row r="365">
      <c r="A365" s="54" t="inlineStr">
        <is>
          <t>US SL B6</t>
        </is>
      </c>
      <c r="B365" s="54" t="inlineStr">
        <is>
          <t>US</t>
        </is>
      </c>
      <c r="C365" s="54" t="inlineStr">
        <is>
          <t>B0DDTY7F8M</t>
        </is>
      </c>
      <c r="D365" s="54" t="inlineStr">
        <is>
          <t>SS-BAMBOO-CHARCOAL-KING-6PCS</t>
        </is>
      </c>
      <c r="E365" s="54" t="inlineStr">
        <is>
          <t>King</t>
        </is>
      </c>
      <c r="F365" s="54" t="inlineStr">
        <is>
          <t>Charcoal</t>
        </is>
      </c>
      <c r="G365" s="55" t="n">
        <v>5</v>
      </c>
      <c r="H365" s="167" t="n">
        <v>293.95</v>
      </c>
      <c r="I365" s="167" t="n">
        <v>0</v>
      </c>
      <c r="J365" s="168">
        <f>IF(AND(N(G365)&gt;0,N(H365)+N(I365)&gt;0),(H365+I365)*U365/G365,"")</f>
        <v/>
      </c>
      <c r="K365" s="167" t="n">
        <v>69.98999999999999</v>
      </c>
      <c r="L365" s="167" t="n"/>
      <c r="M365" s="54" t="inlineStr">
        <is>
          <t>Out of stock</t>
        </is>
      </c>
      <c r="N365" s="168">
        <f>IF(OR(J365="",L365=""),"",L365-J365)</f>
        <v/>
      </c>
      <c r="O365" s="169">
        <f>IF(OR(J365="",L365=""),"",L365/J365-1)</f>
        <v/>
      </c>
      <c r="P365" s="169">
        <f>IF(OR(J365="",K365=""),"",K365/J365-1)</f>
        <v/>
      </c>
      <c r="Q365" s="54">
        <f>IF(AND(ISNUMBER(J365),ISNUMBER(L365)),1,0)</f>
        <v/>
      </c>
      <c r="R365" s="69">
        <f>IF(Q365=1,G365*L365,0)</f>
        <v/>
      </c>
      <c r="S365" s="69">
        <f>IF(Q365=1,(H365+I365)*U365,0)</f>
        <v/>
      </c>
      <c r="T365" s="59">
        <f>IF(Q365=1,G365,0)</f>
        <v/>
      </c>
      <c r="U365" s="170" t="n">
        <v>1</v>
      </c>
    </row>
    <row r="366">
      <c r="A366" s="54" t="inlineStr">
        <is>
          <t>US SL B6</t>
        </is>
      </c>
      <c r="B366" s="54" t="inlineStr">
        <is>
          <t>US</t>
        </is>
      </c>
      <c r="C366" s="54" t="inlineStr">
        <is>
          <t>B0DDTXFRNB</t>
        </is>
      </c>
      <c r="D366" s="54" t="inlineStr">
        <is>
          <t>SS-BAMBOO-OLIVE-KING-6PCS</t>
        </is>
      </c>
      <c r="E366" s="54" t="inlineStr">
        <is>
          <t>King</t>
        </is>
      </c>
      <c r="F366" s="54" t="inlineStr">
        <is>
          <t>Olive</t>
        </is>
      </c>
      <c r="G366" s="55" t="n">
        <v>5</v>
      </c>
      <c r="H366" s="167" t="n">
        <v>335.95</v>
      </c>
      <c r="I366" s="167" t="n">
        <v>0</v>
      </c>
      <c r="J366" s="168">
        <f>IF(AND(N(G366)&gt;0,N(H366)+N(I366)&gt;0),(H366+I366)*U366/G366,"")</f>
        <v/>
      </c>
      <c r="K366" s="167" t="n">
        <v>69.98999999999999</v>
      </c>
      <c r="L366" s="167" t="n">
        <v>66.48999999999999</v>
      </c>
      <c r="M366" s="54" t="inlineStr">
        <is>
          <t>Eligible</t>
        </is>
      </c>
      <c r="N366" s="168">
        <f>IF(OR(J366="",L366=""),"",L366-J366)</f>
        <v/>
      </c>
      <c r="O366" s="169">
        <f>IF(OR(J366="",L366=""),"",L366/J366-1)</f>
        <v/>
      </c>
      <c r="P366" s="169">
        <f>IF(OR(J366="",K366=""),"",K366/J366-1)</f>
        <v/>
      </c>
      <c r="Q366" s="54">
        <f>IF(AND(ISNUMBER(J366),ISNUMBER(L366)),1,0)</f>
        <v/>
      </c>
      <c r="R366" s="69">
        <f>IF(Q366=1,G366*L366,0)</f>
        <v/>
      </c>
      <c r="S366" s="69">
        <f>IF(Q366=1,(H366+I366)*U366,0)</f>
        <v/>
      </c>
      <c r="T366" s="59">
        <f>IF(Q366=1,G366,0)</f>
        <v/>
      </c>
      <c r="U366" s="170" t="n">
        <v>1</v>
      </c>
    </row>
    <row r="367">
      <c r="A367" s="54" t="inlineStr">
        <is>
          <t>US SL B6</t>
        </is>
      </c>
      <c r="B367" s="54" t="inlineStr">
        <is>
          <t>US</t>
        </is>
      </c>
      <c r="C367" s="54" t="inlineStr">
        <is>
          <t>B0DDV1PKM6</t>
        </is>
      </c>
      <c r="D367" s="54" t="inlineStr">
        <is>
          <t>SS-BAMBOO-LIGHT-PINK-QUEEN-6PCS</t>
        </is>
      </c>
      <c r="E367" s="54" t="inlineStr">
        <is>
          <t>Queen</t>
        </is>
      </c>
      <c r="F367" s="54" t="inlineStr">
        <is>
          <t>Light Pink</t>
        </is>
      </c>
      <c r="G367" s="55" t="n">
        <v>5</v>
      </c>
      <c r="H367" s="167" t="n">
        <v>298.95</v>
      </c>
      <c r="I367" s="167" t="n">
        <v>0</v>
      </c>
      <c r="J367" s="168">
        <f>IF(AND(N(G367)&gt;0,N(H367)+N(I367)&gt;0),(H367+I367)*U367/G367,"")</f>
        <v/>
      </c>
      <c r="K367" s="167" t="n">
        <v>64.98999999999999</v>
      </c>
      <c r="L367" s="167" t="n"/>
      <c r="M367" s="54" t="inlineStr">
        <is>
          <t>Out of stock</t>
        </is>
      </c>
      <c r="N367" s="168">
        <f>IF(OR(J367="",L367=""),"",L367-J367)</f>
        <v/>
      </c>
      <c r="O367" s="169">
        <f>IF(OR(J367="",L367=""),"",L367/J367-1)</f>
        <v/>
      </c>
      <c r="P367" s="169">
        <f>IF(OR(J367="",K367=""),"",K367/J367-1)</f>
        <v/>
      </c>
      <c r="Q367" s="54">
        <f>IF(AND(ISNUMBER(J367),ISNUMBER(L367)),1,0)</f>
        <v/>
      </c>
      <c r="R367" s="69">
        <f>IF(Q367=1,G367*L367,0)</f>
        <v/>
      </c>
      <c r="S367" s="69">
        <f>IF(Q367=1,(H367+I367)*U367,0)</f>
        <v/>
      </c>
      <c r="T367" s="59">
        <f>IF(Q367=1,G367,0)</f>
        <v/>
      </c>
      <c r="U367" s="170" t="n">
        <v>1</v>
      </c>
    </row>
    <row r="368">
      <c r="A368" s="54" t="inlineStr">
        <is>
          <t>US SL B6</t>
        </is>
      </c>
      <c r="B368" s="54" t="inlineStr">
        <is>
          <t>US</t>
        </is>
      </c>
      <c r="C368" s="54" t="inlineStr">
        <is>
          <t>B0DDTZG44H</t>
        </is>
      </c>
      <c r="D368" s="54" t="inlineStr">
        <is>
          <t>SS-BAMBOO-WHITE-FULL-6PCS</t>
        </is>
      </c>
      <c r="E368" s="54" t="inlineStr">
        <is>
          <t>Full</t>
        </is>
      </c>
      <c r="F368" s="54" t="inlineStr">
        <is>
          <t>White</t>
        </is>
      </c>
      <c r="G368" s="55" t="n">
        <v>4</v>
      </c>
      <c r="H368" s="167" t="n">
        <v>215.96</v>
      </c>
      <c r="I368" s="167" t="n">
        <v>0</v>
      </c>
      <c r="J368" s="168">
        <f>IF(AND(N(G368)&gt;0,N(H368)+N(I368)&gt;0),(H368+I368)*U368/G368,"")</f>
        <v/>
      </c>
      <c r="K368" s="167" t="n">
        <v>59.99</v>
      </c>
      <c r="L368" s="167" t="n"/>
      <c r="M368" s="54" t="inlineStr">
        <is>
          <t>Out of stock</t>
        </is>
      </c>
      <c r="N368" s="168">
        <f>IF(OR(J368="",L368=""),"",L368-J368)</f>
        <v/>
      </c>
      <c r="O368" s="169">
        <f>IF(OR(J368="",L368=""),"",L368/J368-1)</f>
        <v/>
      </c>
      <c r="P368" s="169">
        <f>IF(OR(J368="",K368=""),"",K368/J368-1)</f>
        <v/>
      </c>
      <c r="Q368" s="54">
        <f>IF(AND(ISNUMBER(J368),ISNUMBER(L368)),1,0)</f>
        <v/>
      </c>
      <c r="R368" s="69">
        <f>IF(Q368=1,G368*L368,0)</f>
        <v/>
      </c>
      <c r="S368" s="69">
        <f>IF(Q368=1,(H368+I368)*U368,0)</f>
        <v/>
      </c>
      <c r="T368" s="59">
        <f>IF(Q368=1,G368,0)</f>
        <v/>
      </c>
      <c r="U368" s="170" t="n">
        <v>1</v>
      </c>
    </row>
    <row r="369">
      <c r="A369" s="54" t="inlineStr">
        <is>
          <t>US SL B6</t>
        </is>
      </c>
      <c r="B369" s="54" t="inlineStr">
        <is>
          <t>US</t>
        </is>
      </c>
      <c r="C369" s="54" t="inlineStr">
        <is>
          <t>B0DDTYGGJV</t>
        </is>
      </c>
      <c r="D369" s="54" t="inlineStr">
        <is>
          <t>SS-BAMBOO-BURGUNDY-KING-6PCS</t>
        </is>
      </c>
      <c r="E369" s="54" t="inlineStr">
        <is>
          <t>King</t>
        </is>
      </c>
      <c r="F369" s="54" t="inlineStr">
        <is>
          <t>Burgundy</t>
        </is>
      </c>
      <c r="G369" s="55" t="n">
        <v>4</v>
      </c>
      <c r="H369" s="167" t="n">
        <v>279.96</v>
      </c>
      <c r="I369" s="167" t="n">
        <v>0</v>
      </c>
      <c r="J369" s="168">
        <f>IF(AND(N(G369)&gt;0,N(H369)+N(I369)&gt;0),(H369+I369)*U369/G369,"")</f>
        <v/>
      </c>
      <c r="K369" s="167" t="n">
        <v>69.98999999999999</v>
      </c>
      <c r="L369" s="167" t="n"/>
      <c r="M369" s="54" t="inlineStr">
        <is>
          <t>Out of stock</t>
        </is>
      </c>
      <c r="N369" s="168">
        <f>IF(OR(J369="",L369=""),"",L369-J369)</f>
        <v/>
      </c>
      <c r="O369" s="169">
        <f>IF(OR(J369="",L369=""),"",L369/J369-1)</f>
        <v/>
      </c>
      <c r="P369" s="169">
        <f>IF(OR(J369="",K369=""),"",K369/J369-1)</f>
        <v/>
      </c>
      <c r="Q369" s="54">
        <f>IF(AND(ISNUMBER(J369),ISNUMBER(L369)),1,0)</f>
        <v/>
      </c>
      <c r="R369" s="69">
        <f>IF(Q369=1,G369*L369,0)</f>
        <v/>
      </c>
      <c r="S369" s="69">
        <f>IF(Q369=1,(H369+I369)*U369,0)</f>
        <v/>
      </c>
      <c r="T369" s="59">
        <f>IF(Q369=1,G369,0)</f>
        <v/>
      </c>
      <c r="U369" s="170" t="n">
        <v>1</v>
      </c>
    </row>
    <row r="370">
      <c r="A370" s="54" t="inlineStr">
        <is>
          <t>US SL B6</t>
        </is>
      </c>
      <c r="B370" s="54" t="inlineStr">
        <is>
          <t>US</t>
        </is>
      </c>
      <c r="C370" s="54" t="inlineStr">
        <is>
          <t>B0DDTX24QR</t>
        </is>
      </c>
      <c r="D370" s="54" t="inlineStr">
        <is>
          <t>SS-BAMBOO-LIGHT-GREY-KING-6PCS</t>
        </is>
      </c>
      <c r="E370" s="54" t="inlineStr">
        <is>
          <t>King</t>
        </is>
      </c>
      <c r="F370" s="54" t="inlineStr">
        <is>
          <t>Light Grey</t>
        </is>
      </c>
      <c r="G370" s="55" t="n">
        <v>4</v>
      </c>
      <c r="H370" s="167" t="n">
        <v>251.96</v>
      </c>
      <c r="I370" s="167" t="n">
        <v>0</v>
      </c>
      <c r="J370" s="168">
        <f>IF(AND(N(G370)&gt;0,N(H370)+N(I370)&gt;0),(H370+I370)*U370/G370,"")</f>
        <v/>
      </c>
      <c r="K370" s="167" t="n">
        <v>69.98999999999999</v>
      </c>
      <c r="L370" s="167" t="n">
        <v>66.48999999999999</v>
      </c>
      <c r="M370" s="54" t="inlineStr">
        <is>
          <t>Eligible</t>
        </is>
      </c>
      <c r="N370" s="168">
        <f>IF(OR(J370="",L370=""),"",L370-J370)</f>
        <v/>
      </c>
      <c r="O370" s="169">
        <f>IF(OR(J370="",L370=""),"",L370/J370-1)</f>
        <v/>
      </c>
      <c r="P370" s="169">
        <f>IF(OR(J370="",K370=""),"",K370/J370-1)</f>
        <v/>
      </c>
      <c r="Q370" s="54">
        <f>IF(AND(ISNUMBER(J370),ISNUMBER(L370)),1,0)</f>
        <v/>
      </c>
      <c r="R370" s="69">
        <f>IF(Q370=1,G370*L370,0)</f>
        <v/>
      </c>
      <c r="S370" s="69">
        <f>IF(Q370=1,(H370+I370)*U370,0)</f>
        <v/>
      </c>
      <c r="T370" s="59">
        <f>IF(Q370=1,G370,0)</f>
        <v/>
      </c>
      <c r="U370" s="170" t="n">
        <v>1</v>
      </c>
    </row>
    <row r="371">
      <c r="A371" s="54" t="inlineStr">
        <is>
          <t>US SL B6</t>
        </is>
      </c>
      <c r="B371" s="54" t="inlineStr">
        <is>
          <t>US</t>
        </is>
      </c>
      <c r="C371" s="54" t="inlineStr">
        <is>
          <t>B0DDTYFDJX</t>
        </is>
      </c>
      <c r="D371" s="54" t="inlineStr">
        <is>
          <t>SS-BAMBOO-GREY-QUEEN-6PCS</t>
        </is>
      </c>
      <c r="E371" s="54" t="inlineStr">
        <is>
          <t>Queen</t>
        </is>
      </c>
      <c r="F371" s="54" t="inlineStr">
        <is>
          <t>Grey</t>
        </is>
      </c>
      <c r="G371" s="55" t="n">
        <v>4</v>
      </c>
      <c r="H371" s="167" t="n">
        <v>220.96</v>
      </c>
      <c r="I371" s="167" t="n">
        <v>0</v>
      </c>
      <c r="J371" s="168">
        <f>IF(AND(N(G371)&gt;0,N(H371)+N(I371)&gt;0),(H371+I371)*U371/G371,"")</f>
        <v/>
      </c>
      <c r="K371" s="167" t="n">
        <v>64.98999999999999</v>
      </c>
      <c r="L371" s="167" t="n"/>
      <c r="M371" s="54" t="inlineStr">
        <is>
          <t>Out of stock</t>
        </is>
      </c>
      <c r="N371" s="168">
        <f>IF(OR(J371="",L371=""),"",L371-J371)</f>
        <v/>
      </c>
      <c r="O371" s="169">
        <f>IF(OR(J371="",L371=""),"",L371/J371-1)</f>
        <v/>
      </c>
      <c r="P371" s="169">
        <f>IF(OR(J371="",K371=""),"",K371/J371-1)</f>
        <v/>
      </c>
      <c r="Q371" s="54">
        <f>IF(AND(ISNUMBER(J371),ISNUMBER(L371)),1,0)</f>
        <v/>
      </c>
      <c r="R371" s="69">
        <f>IF(Q371=1,G371*L371,0)</f>
        <v/>
      </c>
      <c r="S371" s="69">
        <f>IF(Q371=1,(H371+I371)*U371,0)</f>
        <v/>
      </c>
      <c r="T371" s="59">
        <f>IF(Q371=1,G371,0)</f>
        <v/>
      </c>
      <c r="U371" s="170" t="n">
        <v>1</v>
      </c>
    </row>
    <row r="372">
      <c r="A372" s="54" t="inlineStr">
        <is>
          <t>US SL B6</t>
        </is>
      </c>
      <c r="B372" s="54" t="inlineStr">
        <is>
          <t>US</t>
        </is>
      </c>
      <c r="C372" s="54" t="inlineStr">
        <is>
          <t>B0DDTXLQCB</t>
        </is>
      </c>
      <c r="D372" s="54" t="inlineStr">
        <is>
          <t>SS-BAMBOO-LIGHT-OLIVE-QUEEN-6PCS</t>
        </is>
      </c>
      <c r="E372" s="54" t="inlineStr">
        <is>
          <t>Queen</t>
        </is>
      </c>
      <c r="F372" s="54" t="inlineStr">
        <is>
          <t>Light Olive</t>
        </is>
      </c>
      <c r="G372" s="55" t="n">
        <v>4</v>
      </c>
      <c r="H372" s="167" t="n">
        <v>233.96</v>
      </c>
      <c r="I372" s="167" t="n">
        <v>0</v>
      </c>
      <c r="J372" s="168">
        <f>IF(AND(N(G372)&gt;0,N(H372)+N(I372)&gt;0),(H372+I372)*U372/G372,"")</f>
        <v/>
      </c>
      <c r="K372" s="167" t="n">
        <v>71.98999999999999</v>
      </c>
      <c r="L372" s="167" t="n">
        <v>68.39</v>
      </c>
      <c r="M372" s="54" t="inlineStr">
        <is>
          <t>Eligible</t>
        </is>
      </c>
      <c r="N372" s="168">
        <f>IF(OR(J372="",L372=""),"",L372-J372)</f>
        <v/>
      </c>
      <c r="O372" s="169">
        <f>IF(OR(J372="",L372=""),"",L372/J372-1)</f>
        <v/>
      </c>
      <c r="P372" s="169">
        <f>IF(OR(J372="",K372=""),"",K372/J372-1)</f>
        <v/>
      </c>
      <c r="Q372" s="54">
        <f>IF(AND(ISNUMBER(J372),ISNUMBER(L372)),1,0)</f>
        <v/>
      </c>
      <c r="R372" s="69">
        <f>IF(Q372=1,G372*L372,0)</f>
        <v/>
      </c>
      <c r="S372" s="69">
        <f>IF(Q372=1,(H372+I372)*U372,0)</f>
        <v/>
      </c>
      <c r="T372" s="59">
        <f>IF(Q372=1,G372,0)</f>
        <v/>
      </c>
      <c r="U372" s="170" t="n">
        <v>1</v>
      </c>
    </row>
    <row r="373">
      <c r="A373" s="54" t="inlineStr">
        <is>
          <t>US SL B6</t>
        </is>
      </c>
      <c r="B373" s="54" t="inlineStr">
        <is>
          <t>US</t>
        </is>
      </c>
      <c r="C373" s="54" t="inlineStr">
        <is>
          <t>B0DDTZL244</t>
        </is>
      </c>
      <c r="D373" s="54" t="inlineStr">
        <is>
          <t>SS-BAMBOO-NAVY-BLUE-QUEEN-6PCS</t>
        </is>
      </c>
      <c r="E373" s="54" t="inlineStr">
        <is>
          <t>Queen</t>
        </is>
      </c>
      <c r="F373" s="54" t="inlineStr">
        <is>
          <t>Navy Blue</t>
        </is>
      </c>
      <c r="G373" s="55" t="n">
        <v>4</v>
      </c>
      <c r="H373" s="167" t="n">
        <v>220.96</v>
      </c>
      <c r="I373" s="167" t="n">
        <v>0</v>
      </c>
      <c r="J373" s="168">
        <f>IF(AND(N(G373)&gt;0,N(H373)+N(I373)&gt;0),(H373+I373)*U373/G373,"")</f>
        <v/>
      </c>
      <c r="K373" s="167" t="n">
        <v>64.98999999999999</v>
      </c>
      <c r="L373" s="167" t="n"/>
      <c r="M373" s="54" t="inlineStr">
        <is>
          <t>Out of stock</t>
        </is>
      </c>
      <c r="N373" s="168">
        <f>IF(OR(J373="",L373=""),"",L373-J373)</f>
        <v/>
      </c>
      <c r="O373" s="169">
        <f>IF(OR(J373="",L373=""),"",L373/J373-1)</f>
        <v/>
      </c>
      <c r="P373" s="169">
        <f>IF(OR(J373="",K373=""),"",K373/J373-1)</f>
        <v/>
      </c>
      <c r="Q373" s="54">
        <f>IF(AND(ISNUMBER(J373),ISNUMBER(L373)),1,0)</f>
        <v/>
      </c>
      <c r="R373" s="69">
        <f>IF(Q373=1,G373*L373,0)</f>
        <v/>
      </c>
      <c r="S373" s="69">
        <f>IF(Q373=1,(H373+I373)*U373,0)</f>
        <v/>
      </c>
      <c r="T373" s="59">
        <f>IF(Q373=1,G373,0)</f>
        <v/>
      </c>
      <c r="U373" s="170" t="n">
        <v>1</v>
      </c>
    </row>
    <row r="374">
      <c r="A374" s="54" t="inlineStr">
        <is>
          <t>US SL B6</t>
        </is>
      </c>
      <c r="B374" s="54" t="inlineStr">
        <is>
          <t>US</t>
        </is>
      </c>
      <c r="C374" s="54" t="inlineStr">
        <is>
          <t>B0DDTXNVYK</t>
        </is>
      </c>
      <c r="D374" s="54" t="inlineStr">
        <is>
          <t>SS-BAMBOO-BURGUNDY-CALIFKING-6PCS</t>
        </is>
      </c>
      <c r="E374" s="54" t="inlineStr">
        <is>
          <t>California King</t>
        </is>
      </c>
      <c r="F374" s="54" t="inlineStr">
        <is>
          <t>Burgundy</t>
        </is>
      </c>
      <c r="G374" s="55" t="n">
        <v>3</v>
      </c>
      <c r="H374" s="167" t="n">
        <v>209.97</v>
      </c>
      <c r="I374" s="167" t="n">
        <v>0</v>
      </c>
      <c r="J374" s="168">
        <f>IF(AND(N(G374)&gt;0,N(H374)+N(I374)&gt;0),(H374+I374)*U374/G374,"")</f>
        <v/>
      </c>
      <c r="K374" s="167" t="n">
        <v>69.98999999999999</v>
      </c>
      <c r="L374" s="167" t="n"/>
      <c r="M374" s="54" t="inlineStr">
        <is>
          <t>Out of stock</t>
        </is>
      </c>
      <c r="N374" s="168">
        <f>IF(OR(J374="",L374=""),"",L374-J374)</f>
        <v/>
      </c>
      <c r="O374" s="169">
        <f>IF(OR(J374="",L374=""),"",L374/J374-1)</f>
        <v/>
      </c>
      <c r="P374" s="169">
        <f>IF(OR(J374="",K374=""),"",K374/J374-1)</f>
        <v/>
      </c>
      <c r="Q374" s="54">
        <f>IF(AND(ISNUMBER(J374),ISNUMBER(L374)),1,0)</f>
        <v/>
      </c>
      <c r="R374" s="69">
        <f>IF(Q374=1,G374*L374,0)</f>
        <v/>
      </c>
      <c r="S374" s="69">
        <f>IF(Q374=1,(H374+I374)*U374,0)</f>
        <v/>
      </c>
      <c r="T374" s="59">
        <f>IF(Q374=1,G374,0)</f>
        <v/>
      </c>
      <c r="U374" s="170" t="n">
        <v>1</v>
      </c>
    </row>
    <row r="375">
      <c r="A375" s="54" t="inlineStr">
        <is>
          <t>US SL B6</t>
        </is>
      </c>
      <c r="B375" s="54" t="inlineStr">
        <is>
          <t>US</t>
        </is>
      </c>
      <c r="C375" s="54" t="inlineStr">
        <is>
          <t>B0DDTZ6W3S</t>
        </is>
      </c>
      <c r="D375" s="54" t="inlineStr">
        <is>
          <t>SS-BAMBOO-BURGUNDY-FULL-6PCS</t>
        </is>
      </c>
      <c r="E375" s="54" t="inlineStr">
        <is>
          <t>Full</t>
        </is>
      </c>
      <c r="F375" s="54" t="inlineStr">
        <is>
          <t>Burgundy</t>
        </is>
      </c>
      <c r="G375" s="55" t="n">
        <v>3</v>
      </c>
      <c r="H375" s="167" t="n">
        <v>143.97</v>
      </c>
      <c r="I375" s="167" t="n">
        <v>0</v>
      </c>
      <c r="J375" s="168">
        <f>IF(AND(N(G375)&gt;0,N(H375)+N(I375)&gt;0),(H375+I375)*U375/G375,"")</f>
        <v/>
      </c>
      <c r="K375" s="167" t="n">
        <v>59.99</v>
      </c>
      <c r="L375" s="167" t="n"/>
      <c r="M375" s="54" t="inlineStr">
        <is>
          <t>Out of stock</t>
        </is>
      </c>
      <c r="N375" s="168">
        <f>IF(OR(J375="",L375=""),"",L375-J375)</f>
        <v/>
      </c>
      <c r="O375" s="169">
        <f>IF(OR(J375="",L375=""),"",L375/J375-1)</f>
        <v/>
      </c>
      <c r="P375" s="169">
        <f>IF(OR(J375="",K375=""),"",K375/J375-1)</f>
        <v/>
      </c>
      <c r="Q375" s="54">
        <f>IF(AND(ISNUMBER(J375),ISNUMBER(L375)),1,0)</f>
        <v/>
      </c>
      <c r="R375" s="69">
        <f>IF(Q375=1,G375*L375,0)</f>
        <v/>
      </c>
      <c r="S375" s="69">
        <f>IF(Q375=1,(H375+I375)*U375,0)</f>
        <v/>
      </c>
      <c r="T375" s="59">
        <f>IF(Q375=1,G375,0)</f>
        <v/>
      </c>
      <c r="U375" s="170" t="n">
        <v>1</v>
      </c>
    </row>
    <row r="376">
      <c r="A376" s="54" t="inlineStr">
        <is>
          <t>US SL B6</t>
        </is>
      </c>
      <c r="B376" s="54" t="inlineStr">
        <is>
          <t>US</t>
        </is>
      </c>
      <c r="C376" s="54" t="inlineStr">
        <is>
          <t>B0DDTZ9ZW9</t>
        </is>
      </c>
      <c r="D376" s="54" t="inlineStr">
        <is>
          <t>SS-BAMBOO-CREME-FULL-6PCS</t>
        </is>
      </c>
      <c r="E376" s="54" t="inlineStr">
        <is>
          <t>Full</t>
        </is>
      </c>
      <c r="F376" s="54" t="inlineStr">
        <is>
          <t>Creme</t>
        </is>
      </c>
      <c r="G376" s="55" t="n">
        <v>3</v>
      </c>
      <c r="H376" s="167" t="n">
        <v>167.97</v>
      </c>
      <c r="I376" s="167" t="n">
        <v>0</v>
      </c>
      <c r="J376" s="168">
        <f>IF(AND(N(G376)&gt;0,N(H376)+N(I376)&gt;0),(H376+I376)*U376/G376,"")</f>
        <v/>
      </c>
      <c r="K376" s="167" t="n">
        <v>59.99</v>
      </c>
      <c r="L376" s="167" t="n">
        <v>56.99</v>
      </c>
      <c r="M376" s="54" t="inlineStr">
        <is>
          <t>Eligible</t>
        </is>
      </c>
      <c r="N376" s="168">
        <f>IF(OR(J376="",L376=""),"",L376-J376)</f>
        <v/>
      </c>
      <c r="O376" s="169">
        <f>IF(OR(J376="",L376=""),"",L376/J376-1)</f>
        <v/>
      </c>
      <c r="P376" s="169">
        <f>IF(OR(J376="",K376=""),"",K376/J376-1)</f>
        <v/>
      </c>
      <c r="Q376" s="54">
        <f>IF(AND(ISNUMBER(J376),ISNUMBER(L376)),1,0)</f>
        <v/>
      </c>
      <c r="R376" s="69">
        <f>IF(Q376=1,G376*L376,0)</f>
        <v/>
      </c>
      <c r="S376" s="69">
        <f>IF(Q376=1,(H376+I376)*U376,0)</f>
        <v/>
      </c>
      <c r="T376" s="59">
        <f>IF(Q376=1,G376,0)</f>
        <v/>
      </c>
      <c r="U376" s="170" t="n">
        <v>1</v>
      </c>
    </row>
    <row r="377">
      <c r="A377" s="54" t="inlineStr">
        <is>
          <t>US SL B6</t>
        </is>
      </c>
      <c r="B377" s="54" t="inlineStr">
        <is>
          <t>US</t>
        </is>
      </c>
      <c r="C377" s="54" t="inlineStr">
        <is>
          <t>B0DDTXKT5F</t>
        </is>
      </c>
      <c r="D377" s="54" t="inlineStr">
        <is>
          <t>SS-BAMBOO-PURPLE-FULL-6PCS</t>
        </is>
      </c>
      <c r="E377" s="54" t="inlineStr">
        <is>
          <t>Full</t>
        </is>
      </c>
      <c r="F377" s="54" t="inlineStr">
        <is>
          <t>Purple</t>
        </is>
      </c>
      <c r="G377" s="55" t="n">
        <v>3</v>
      </c>
      <c r="H377" s="167" t="n">
        <v>179.97</v>
      </c>
      <c r="I377" s="167" t="n">
        <v>0</v>
      </c>
      <c r="J377" s="168">
        <f>IF(AND(N(G377)&gt;0,N(H377)+N(I377)&gt;0),(H377+I377)*U377/G377,"")</f>
        <v/>
      </c>
      <c r="K377" s="167" t="n">
        <v>59.99</v>
      </c>
      <c r="L377" s="167" t="n"/>
      <c r="M377" s="54" t="inlineStr">
        <is>
          <t>Out of stock</t>
        </is>
      </c>
      <c r="N377" s="168">
        <f>IF(OR(J377="",L377=""),"",L377-J377)</f>
        <v/>
      </c>
      <c r="O377" s="169">
        <f>IF(OR(J377="",L377=""),"",L377/J377-1)</f>
        <v/>
      </c>
      <c r="P377" s="169">
        <f>IF(OR(J377="",K377=""),"",K377/J377-1)</f>
        <v/>
      </c>
      <c r="Q377" s="54">
        <f>IF(AND(ISNUMBER(J377),ISNUMBER(L377)),1,0)</f>
        <v/>
      </c>
      <c r="R377" s="69">
        <f>IF(Q377=1,G377*L377,0)</f>
        <v/>
      </c>
      <c r="S377" s="69">
        <f>IF(Q377=1,(H377+I377)*U377,0)</f>
        <v/>
      </c>
      <c r="T377" s="59">
        <f>IF(Q377=1,G377,0)</f>
        <v/>
      </c>
      <c r="U377" s="170" t="n">
        <v>1</v>
      </c>
    </row>
    <row r="378">
      <c r="A378" s="54" t="inlineStr">
        <is>
          <t>US SL B6</t>
        </is>
      </c>
      <c r="B378" s="54" t="inlineStr">
        <is>
          <t>US</t>
        </is>
      </c>
      <c r="C378" s="54" t="inlineStr">
        <is>
          <t>B0DDTYD1RX</t>
        </is>
      </c>
      <c r="D378" s="54" t="inlineStr">
        <is>
          <t>SS-BAMBOO-LIGHT-PINK-KING-6PCS</t>
        </is>
      </c>
      <c r="E378" s="54" t="inlineStr">
        <is>
          <t>King</t>
        </is>
      </c>
      <c r="F378" s="54" t="inlineStr">
        <is>
          <t>Light Pink</t>
        </is>
      </c>
      <c r="G378" s="55" t="n">
        <v>3</v>
      </c>
      <c r="H378" s="167" t="n">
        <v>181.97</v>
      </c>
      <c r="I378" s="167" t="n">
        <v>0</v>
      </c>
      <c r="J378" s="168">
        <f>IF(AND(N(G378)&gt;0,N(H378)+N(I378)&gt;0),(H378+I378)*U378/G378,"")</f>
        <v/>
      </c>
      <c r="K378" s="167" t="n">
        <v>69.98999999999999</v>
      </c>
      <c r="L378" s="167" t="n"/>
      <c r="M378" s="54" t="inlineStr">
        <is>
          <t>Out of stock</t>
        </is>
      </c>
      <c r="N378" s="168">
        <f>IF(OR(J378="",L378=""),"",L378-J378)</f>
        <v/>
      </c>
      <c r="O378" s="169">
        <f>IF(OR(J378="",L378=""),"",L378/J378-1)</f>
        <v/>
      </c>
      <c r="P378" s="169">
        <f>IF(OR(J378="",K378=""),"",K378/J378-1)</f>
        <v/>
      </c>
      <c r="Q378" s="54">
        <f>IF(AND(ISNUMBER(J378),ISNUMBER(L378)),1,0)</f>
        <v/>
      </c>
      <c r="R378" s="69">
        <f>IF(Q378=1,G378*L378,0)</f>
        <v/>
      </c>
      <c r="S378" s="69">
        <f>IF(Q378=1,(H378+I378)*U378,0)</f>
        <v/>
      </c>
      <c r="T378" s="59">
        <f>IF(Q378=1,G378,0)</f>
        <v/>
      </c>
      <c r="U378" s="170" t="n">
        <v>1</v>
      </c>
    </row>
    <row r="379">
      <c r="A379" s="54" t="inlineStr">
        <is>
          <t>US SL B6</t>
        </is>
      </c>
      <c r="B379" s="54" t="inlineStr">
        <is>
          <t>US</t>
        </is>
      </c>
      <c r="C379" s="54" t="inlineStr">
        <is>
          <t>B0DDTVMMYW</t>
        </is>
      </c>
      <c r="D379" s="54" t="inlineStr">
        <is>
          <t>SS-BAMBOO-LIGHT-GREY-QUEEN-6PCS</t>
        </is>
      </c>
      <c r="E379" s="54" t="inlineStr">
        <is>
          <t>Queen</t>
        </is>
      </c>
      <c r="F379" s="54" t="inlineStr">
        <is>
          <t>Light Grey</t>
        </is>
      </c>
      <c r="G379" s="55" t="n">
        <v>3</v>
      </c>
      <c r="H379" s="167" t="n">
        <v>155.97</v>
      </c>
      <c r="I379" s="167" t="n">
        <v>0</v>
      </c>
      <c r="J379" s="168">
        <f>IF(AND(N(G379)&gt;0,N(H379)+N(I379)&gt;0),(H379+I379)*U379/G379,"")</f>
        <v/>
      </c>
      <c r="K379" s="167" t="n">
        <v>64.98999999999999</v>
      </c>
      <c r="L379" s="167" t="n"/>
      <c r="M379" s="54" t="inlineStr">
        <is>
          <t>Out of stock</t>
        </is>
      </c>
      <c r="N379" s="168">
        <f>IF(OR(J379="",L379=""),"",L379-J379)</f>
        <v/>
      </c>
      <c r="O379" s="169">
        <f>IF(OR(J379="",L379=""),"",L379/J379-1)</f>
        <v/>
      </c>
      <c r="P379" s="169">
        <f>IF(OR(J379="",K379=""),"",K379/J379-1)</f>
        <v/>
      </c>
      <c r="Q379" s="54">
        <f>IF(AND(ISNUMBER(J379),ISNUMBER(L379)),1,0)</f>
        <v/>
      </c>
      <c r="R379" s="69">
        <f>IF(Q379=1,G379*L379,0)</f>
        <v/>
      </c>
      <c r="S379" s="69">
        <f>IF(Q379=1,(H379+I379)*U379,0)</f>
        <v/>
      </c>
      <c r="T379" s="59">
        <f>IF(Q379=1,G379,0)</f>
        <v/>
      </c>
      <c r="U379" s="170" t="n">
        <v>1</v>
      </c>
    </row>
    <row r="380">
      <c r="A380" s="54" t="inlineStr">
        <is>
          <t>US SL B6</t>
        </is>
      </c>
      <c r="B380" s="54" t="inlineStr">
        <is>
          <t>US</t>
        </is>
      </c>
      <c r="C380" s="54" t="inlineStr">
        <is>
          <t>B0DDTXFQ29</t>
        </is>
      </c>
      <c r="D380" s="54" t="inlineStr">
        <is>
          <t>SS-BAMBOO-LIGHT-OLIVE-CALIFKING-6PCS</t>
        </is>
      </c>
      <c r="E380" s="54" t="inlineStr">
        <is>
          <t>California King</t>
        </is>
      </c>
      <c r="F380" s="54" t="inlineStr">
        <is>
          <t>Light Olive</t>
        </is>
      </c>
      <c r="G380" s="55" t="n">
        <v>2</v>
      </c>
      <c r="H380" s="167" t="n">
        <v>139.98</v>
      </c>
      <c r="I380" s="167" t="n">
        <v>0</v>
      </c>
      <c r="J380" s="168">
        <f>IF(AND(N(G380)&gt;0,N(H380)+N(I380)&gt;0),(H380+I380)*U380/G380,"")</f>
        <v/>
      </c>
      <c r="K380" s="167" t="n">
        <v>76.98999999999999</v>
      </c>
      <c r="L380" s="167" t="n">
        <v>73.14</v>
      </c>
      <c r="M380" s="54" t="inlineStr">
        <is>
          <t>Eligible</t>
        </is>
      </c>
      <c r="N380" s="168">
        <f>IF(OR(J380="",L380=""),"",L380-J380)</f>
        <v/>
      </c>
      <c r="O380" s="169">
        <f>IF(OR(J380="",L380=""),"",L380/J380-1)</f>
        <v/>
      </c>
      <c r="P380" s="169">
        <f>IF(OR(J380="",K380=""),"",K380/J380-1)</f>
        <v/>
      </c>
      <c r="Q380" s="54">
        <f>IF(AND(ISNUMBER(J380),ISNUMBER(L380)),1,0)</f>
        <v/>
      </c>
      <c r="R380" s="69">
        <f>IF(Q380=1,G380*L380,0)</f>
        <v/>
      </c>
      <c r="S380" s="69">
        <f>IF(Q380=1,(H380+I380)*U380,0)</f>
        <v/>
      </c>
      <c r="T380" s="59">
        <f>IF(Q380=1,G380,0)</f>
        <v/>
      </c>
      <c r="U380" s="170" t="n">
        <v>1</v>
      </c>
    </row>
    <row r="381">
      <c r="A381" s="54" t="inlineStr">
        <is>
          <t>US SL B6</t>
        </is>
      </c>
      <c r="B381" s="54" t="inlineStr">
        <is>
          <t>US</t>
        </is>
      </c>
      <c r="C381" s="54" t="inlineStr">
        <is>
          <t>B0DDTZ8TM1</t>
        </is>
      </c>
      <c r="D381" s="54" t="inlineStr">
        <is>
          <t>SS-BAMBOO-MIDGREY-CALIFKING-6PCS</t>
        </is>
      </c>
      <c r="E381" s="54" t="inlineStr">
        <is>
          <t>California King</t>
        </is>
      </c>
      <c r="F381" s="54" t="inlineStr">
        <is>
          <t>Midgrey</t>
        </is>
      </c>
      <c r="G381" s="55" t="n">
        <v>2</v>
      </c>
      <c r="H381" s="167" t="n">
        <v>139.98</v>
      </c>
      <c r="I381" s="167" t="n">
        <v>0</v>
      </c>
      <c r="J381" s="168">
        <f>IF(AND(N(G381)&gt;0,N(H381)+N(I381)&gt;0),(H381+I381)*U381/G381,"")</f>
        <v/>
      </c>
      <c r="K381" s="167" t="n">
        <v>69.98999999999999</v>
      </c>
      <c r="L381" s="167" t="n"/>
      <c r="M381" s="54" t="inlineStr">
        <is>
          <t>Out of stock</t>
        </is>
      </c>
      <c r="N381" s="168">
        <f>IF(OR(J381="",L381=""),"",L381-J381)</f>
        <v/>
      </c>
      <c r="O381" s="169">
        <f>IF(OR(J381="",L381=""),"",L381/J381-1)</f>
        <v/>
      </c>
      <c r="P381" s="169">
        <f>IF(OR(J381="",K381=""),"",K381/J381-1)</f>
        <v/>
      </c>
      <c r="Q381" s="54">
        <f>IF(AND(ISNUMBER(J381),ISNUMBER(L381)),1,0)</f>
        <v/>
      </c>
      <c r="R381" s="69">
        <f>IF(Q381=1,G381*L381,0)</f>
        <v/>
      </c>
      <c r="S381" s="69">
        <f>IF(Q381=1,(H381+I381)*U381,0)</f>
        <v/>
      </c>
      <c r="T381" s="59">
        <f>IF(Q381=1,G381,0)</f>
        <v/>
      </c>
      <c r="U381" s="170" t="n">
        <v>1</v>
      </c>
    </row>
    <row r="382">
      <c r="A382" s="54" t="inlineStr">
        <is>
          <t>US SL B6</t>
        </is>
      </c>
      <c r="B382" s="54" t="inlineStr">
        <is>
          <t>US</t>
        </is>
      </c>
      <c r="C382" s="54" t="inlineStr">
        <is>
          <t>B0DDTYWKG7</t>
        </is>
      </c>
      <c r="D382" s="54" t="inlineStr">
        <is>
          <t>SS-BAMBOO-GREY-FULL-6PCS</t>
        </is>
      </c>
      <c r="E382" s="54" t="inlineStr">
        <is>
          <t>Full</t>
        </is>
      </c>
      <c r="F382" s="54" t="inlineStr">
        <is>
          <t>Grey</t>
        </is>
      </c>
      <c r="G382" s="55" t="n">
        <v>2</v>
      </c>
      <c r="H382" s="167" t="n">
        <v>119.98</v>
      </c>
      <c r="I382" s="167" t="n">
        <v>0</v>
      </c>
      <c r="J382" s="168">
        <f>IF(AND(N(G382)&gt;0,N(H382)+N(I382)&gt;0),(H382+I382)*U382/G382,"")</f>
        <v/>
      </c>
      <c r="K382" s="167" t="n">
        <v>59.99</v>
      </c>
      <c r="L382" s="167" t="n">
        <v>59.99</v>
      </c>
      <c r="M382" s="54" t="inlineStr">
        <is>
          <t>Eligible</t>
        </is>
      </c>
      <c r="N382" s="168">
        <f>IF(OR(J382="",L382=""),"",L382-J382)</f>
        <v/>
      </c>
      <c r="O382" s="169">
        <f>IF(OR(J382="",L382=""),"",L382/J382-1)</f>
        <v/>
      </c>
      <c r="P382" s="169">
        <f>IF(OR(J382="",K382=""),"",K382/J382-1)</f>
        <v/>
      </c>
      <c r="Q382" s="54">
        <f>IF(AND(ISNUMBER(J382),ISNUMBER(L382)),1,0)</f>
        <v/>
      </c>
      <c r="R382" s="69">
        <f>IF(Q382=1,G382*L382,0)</f>
        <v/>
      </c>
      <c r="S382" s="69">
        <f>IF(Q382=1,(H382+I382)*U382,0)</f>
        <v/>
      </c>
      <c r="T382" s="59">
        <f>IF(Q382=1,G382,0)</f>
        <v/>
      </c>
      <c r="U382" s="170" t="n">
        <v>1</v>
      </c>
    </row>
    <row r="383">
      <c r="A383" s="54" t="inlineStr">
        <is>
          <t>US SL B6</t>
        </is>
      </c>
      <c r="B383" s="54" t="inlineStr">
        <is>
          <t>US</t>
        </is>
      </c>
      <c r="C383" s="54" t="inlineStr">
        <is>
          <t>B0DDTXJYV4</t>
        </is>
      </c>
      <c r="D383" s="54" t="inlineStr">
        <is>
          <t>SS-BAMBOO-NAVY-BLUE-FULL-6PCS</t>
        </is>
      </c>
      <c r="E383" s="54" t="inlineStr">
        <is>
          <t>Full</t>
        </is>
      </c>
      <c r="F383" s="54" t="inlineStr">
        <is>
          <t>Navy Blue</t>
        </is>
      </c>
      <c r="G383" s="55" t="n">
        <v>2</v>
      </c>
      <c r="H383" s="167" t="n">
        <v>107.98</v>
      </c>
      <c r="I383" s="167" t="n">
        <v>0</v>
      </c>
      <c r="J383" s="168">
        <f>IF(AND(N(G383)&gt;0,N(H383)+N(I383)&gt;0),(H383+I383)*U383/G383,"")</f>
        <v/>
      </c>
      <c r="K383" s="167" t="n">
        <v>59.99</v>
      </c>
      <c r="L383" s="167" t="n">
        <v>56.99</v>
      </c>
      <c r="M383" s="54" t="inlineStr">
        <is>
          <t>Eligible</t>
        </is>
      </c>
      <c r="N383" s="168">
        <f>IF(OR(J383="",L383=""),"",L383-J383)</f>
        <v/>
      </c>
      <c r="O383" s="169">
        <f>IF(OR(J383="",L383=""),"",L383/J383-1)</f>
        <v/>
      </c>
      <c r="P383" s="169">
        <f>IF(OR(J383="",K383=""),"",K383/J383-1)</f>
        <v/>
      </c>
      <c r="Q383" s="54">
        <f>IF(AND(ISNUMBER(J383),ISNUMBER(L383)),1,0)</f>
        <v/>
      </c>
      <c r="R383" s="69">
        <f>IF(Q383=1,G383*L383,0)</f>
        <v/>
      </c>
      <c r="S383" s="69">
        <f>IF(Q383=1,(H383+I383)*U383,0)</f>
        <v/>
      </c>
      <c r="T383" s="59">
        <f>IF(Q383=1,G383,0)</f>
        <v/>
      </c>
      <c r="U383" s="170" t="n">
        <v>1</v>
      </c>
    </row>
    <row r="384">
      <c r="A384" s="54" t="inlineStr">
        <is>
          <t>US SL B6</t>
        </is>
      </c>
      <c r="B384" s="54" t="inlineStr">
        <is>
          <t>US</t>
        </is>
      </c>
      <c r="C384" s="54" t="inlineStr">
        <is>
          <t>B0DDV13P1L</t>
        </is>
      </c>
      <c r="D384" s="54" t="inlineStr">
        <is>
          <t>SS-BAMBOO-LIGHT-OLIVE-KING-6PCS</t>
        </is>
      </c>
      <c r="E384" s="54" t="inlineStr">
        <is>
          <t>King</t>
        </is>
      </c>
      <c r="F384" s="54" t="inlineStr">
        <is>
          <t>Light Olive</t>
        </is>
      </c>
      <c r="G384" s="55" t="n">
        <v>2</v>
      </c>
      <c r="H384" s="167" t="n">
        <v>111.98</v>
      </c>
      <c r="I384" s="167" t="n">
        <v>0</v>
      </c>
      <c r="J384" s="168">
        <f>IF(AND(N(G384)&gt;0,N(H384)+N(I384)&gt;0),(H384+I384)*U384/G384,"")</f>
        <v/>
      </c>
      <c r="K384" s="167" t="n">
        <v>69.98999999999999</v>
      </c>
      <c r="L384" s="167" t="n">
        <v>66.48999999999999</v>
      </c>
      <c r="M384" s="54" t="inlineStr">
        <is>
          <t>Eligible</t>
        </is>
      </c>
      <c r="N384" s="168">
        <f>IF(OR(J384="",L384=""),"",L384-J384)</f>
        <v/>
      </c>
      <c r="O384" s="169">
        <f>IF(OR(J384="",L384=""),"",L384/J384-1)</f>
        <v/>
      </c>
      <c r="P384" s="169">
        <f>IF(OR(J384="",K384=""),"",K384/J384-1)</f>
        <v/>
      </c>
      <c r="Q384" s="54">
        <f>IF(AND(ISNUMBER(J384),ISNUMBER(L384)),1,0)</f>
        <v/>
      </c>
      <c r="R384" s="69">
        <f>IF(Q384=1,G384*L384,0)</f>
        <v/>
      </c>
      <c r="S384" s="69">
        <f>IF(Q384=1,(H384+I384)*U384,0)</f>
        <v/>
      </c>
      <c r="T384" s="59">
        <f>IF(Q384=1,G384,0)</f>
        <v/>
      </c>
      <c r="U384" s="170" t="n">
        <v>1</v>
      </c>
    </row>
    <row r="385">
      <c r="A385" s="54" t="inlineStr">
        <is>
          <t>US SL B6</t>
        </is>
      </c>
      <c r="B385" s="54" t="inlineStr">
        <is>
          <t>US</t>
        </is>
      </c>
      <c r="C385" s="54" t="inlineStr">
        <is>
          <t>B0DDTXJJCS</t>
        </is>
      </c>
      <c r="D385" s="54" t="inlineStr">
        <is>
          <t>SS-BAMBOO-NAVY-BLUE-KING-6PCS</t>
        </is>
      </c>
      <c r="E385" s="54" t="inlineStr">
        <is>
          <t>King</t>
        </is>
      </c>
      <c r="F385" s="54" t="inlineStr">
        <is>
          <t>Navy Blue</t>
        </is>
      </c>
      <c r="G385" s="55" t="n">
        <v>2</v>
      </c>
      <c r="H385" s="167" t="n">
        <v>111.98</v>
      </c>
      <c r="I385" s="167" t="n">
        <v>0</v>
      </c>
      <c r="J385" s="168">
        <f>IF(AND(N(G385)&gt;0,N(H385)+N(I385)&gt;0),(H385+I385)*U385/G385,"")</f>
        <v/>
      </c>
      <c r="K385" s="167" t="n">
        <v>69.98999999999999</v>
      </c>
      <c r="L385" s="167" t="n"/>
      <c r="M385" s="54" t="inlineStr">
        <is>
          <t>Out of stock</t>
        </is>
      </c>
      <c r="N385" s="168">
        <f>IF(OR(J385="",L385=""),"",L385-J385)</f>
        <v/>
      </c>
      <c r="O385" s="169">
        <f>IF(OR(J385="",L385=""),"",L385/J385-1)</f>
        <v/>
      </c>
      <c r="P385" s="169">
        <f>IF(OR(J385="",K385=""),"",K385/J385-1)</f>
        <v/>
      </c>
      <c r="Q385" s="54">
        <f>IF(AND(ISNUMBER(J385),ISNUMBER(L385)),1,0)</f>
        <v/>
      </c>
      <c r="R385" s="69">
        <f>IF(Q385=1,G385*L385,0)</f>
        <v/>
      </c>
      <c r="S385" s="69">
        <f>IF(Q385=1,(H385+I385)*U385,0)</f>
        <v/>
      </c>
      <c r="T385" s="59">
        <f>IF(Q385=1,G385,0)</f>
        <v/>
      </c>
      <c r="U385" s="170" t="n">
        <v>1</v>
      </c>
    </row>
    <row r="386">
      <c r="A386" s="54" t="inlineStr">
        <is>
          <t>US SL B6</t>
        </is>
      </c>
      <c r="B386" s="54" t="inlineStr">
        <is>
          <t>US</t>
        </is>
      </c>
      <c r="C386" s="54" t="inlineStr">
        <is>
          <t>B0DDV1G96X</t>
        </is>
      </c>
      <c r="D386" s="54" t="inlineStr">
        <is>
          <t>SS-BAMBOO-PURPLE-KING-6PCS</t>
        </is>
      </c>
      <c r="E386" s="54" t="inlineStr">
        <is>
          <t>King</t>
        </is>
      </c>
      <c r="F386" s="54" t="inlineStr">
        <is>
          <t>Purple</t>
        </is>
      </c>
      <c r="G386" s="55" t="n">
        <v>2</v>
      </c>
      <c r="H386" s="167" t="n">
        <v>111.98</v>
      </c>
      <c r="I386" s="167" t="n">
        <v>0</v>
      </c>
      <c r="J386" s="168">
        <f>IF(AND(N(G386)&gt;0,N(H386)+N(I386)&gt;0),(H386+I386)*U386/G386,"")</f>
        <v/>
      </c>
      <c r="K386" s="167" t="n">
        <v>69.98999999999999</v>
      </c>
      <c r="L386" s="167" t="n"/>
      <c r="M386" s="54" t="inlineStr">
        <is>
          <t>Out of stock</t>
        </is>
      </c>
      <c r="N386" s="168">
        <f>IF(OR(J386="",L386=""),"",L386-J386)</f>
        <v/>
      </c>
      <c r="O386" s="169">
        <f>IF(OR(J386="",L386=""),"",L386/J386-1)</f>
        <v/>
      </c>
      <c r="P386" s="169">
        <f>IF(OR(J386="",K386=""),"",K386/J386-1)</f>
        <v/>
      </c>
      <c r="Q386" s="54">
        <f>IF(AND(ISNUMBER(J386),ISNUMBER(L386)),1,0)</f>
        <v/>
      </c>
      <c r="R386" s="69">
        <f>IF(Q386=1,G386*L386,0)</f>
        <v/>
      </c>
      <c r="S386" s="69">
        <f>IF(Q386=1,(H386+I386)*U386,0)</f>
        <v/>
      </c>
      <c r="T386" s="59">
        <f>IF(Q386=1,G386,0)</f>
        <v/>
      </c>
      <c r="U386" s="170" t="n">
        <v>1</v>
      </c>
    </row>
    <row r="387">
      <c r="A387" s="54" t="inlineStr">
        <is>
          <t>US SL B6</t>
        </is>
      </c>
      <c r="B387" s="54" t="inlineStr">
        <is>
          <t>US</t>
        </is>
      </c>
      <c r="C387" s="54" t="inlineStr">
        <is>
          <t>B0DDTZ56BM</t>
        </is>
      </c>
      <c r="D387" s="54" t="inlineStr">
        <is>
          <t>SS-BAMBOO-CHARCOAL-QUEEN-6PCS</t>
        </is>
      </c>
      <c r="E387" s="54" t="inlineStr">
        <is>
          <t>Queen</t>
        </is>
      </c>
      <c r="F387" s="54" t="inlineStr">
        <is>
          <t>Charcoal</t>
        </is>
      </c>
      <c r="G387" s="55" t="n">
        <v>2</v>
      </c>
      <c r="H387" s="167" t="n">
        <v>103.98</v>
      </c>
      <c r="I387" s="167" t="n">
        <v>0</v>
      </c>
      <c r="J387" s="168">
        <f>IF(AND(N(G387)&gt;0,N(H387)+N(I387)&gt;0),(H387+I387)*U387/G387,"")</f>
        <v/>
      </c>
      <c r="K387" s="167" t="n">
        <v>64.98999999999999</v>
      </c>
      <c r="L387" s="167" t="n"/>
      <c r="M387" s="54" t="inlineStr">
        <is>
          <t>Out of stock</t>
        </is>
      </c>
      <c r="N387" s="168">
        <f>IF(OR(J387="",L387=""),"",L387-J387)</f>
        <v/>
      </c>
      <c r="O387" s="169">
        <f>IF(OR(J387="",L387=""),"",L387/J387-1)</f>
        <v/>
      </c>
      <c r="P387" s="169">
        <f>IF(OR(J387="",K387=""),"",K387/J387-1)</f>
        <v/>
      </c>
      <c r="Q387" s="54">
        <f>IF(AND(ISNUMBER(J387),ISNUMBER(L387)),1,0)</f>
        <v/>
      </c>
      <c r="R387" s="69">
        <f>IF(Q387=1,G387*L387,0)</f>
        <v/>
      </c>
      <c r="S387" s="69">
        <f>IF(Q387=1,(H387+I387)*U387,0)</f>
        <v/>
      </c>
      <c r="T387" s="59">
        <f>IF(Q387=1,G387,0)</f>
        <v/>
      </c>
      <c r="U387" s="170" t="n">
        <v>1</v>
      </c>
    </row>
    <row r="388">
      <c r="A388" s="54" t="inlineStr">
        <is>
          <t>US SL B6</t>
        </is>
      </c>
      <c r="B388" s="54" t="inlineStr">
        <is>
          <t>US</t>
        </is>
      </c>
      <c r="C388" s="54" t="inlineStr">
        <is>
          <t>B0DDTZCKGQ</t>
        </is>
      </c>
      <c r="D388" s="54" t="inlineStr">
        <is>
          <t>SS-BAMBOO-CREME-QUEEN-6PCS</t>
        </is>
      </c>
      <c r="E388" s="54" t="inlineStr">
        <is>
          <t>Queen</t>
        </is>
      </c>
      <c r="F388" s="54" t="inlineStr">
        <is>
          <t>Creme</t>
        </is>
      </c>
      <c r="G388" s="55" t="n">
        <v>2</v>
      </c>
      <c r="H388" s="167" t="n">
        <v>103.98</v>
      </c>
      <c r="I388" s="167" t="n">
        <v>0</v>
      </c>
      <c r="J388" s="168">
        <f>IF(AND(N(G388)&gt;0,N(H388)+N(I388)&gt;0),(H388+I388)*U388/G388,"")</f>
        <v/>
      </c>
      <c r="K388" s="167" t="n">
        <v>64.98999999999999</v>
      </c>
      <c r="L388" s="167" t="n"/>
      <c r="M388" s="54" t="inlineStr">
        <is>
          <t>Out of stock</t>
        </is>
      </c>
      <c r="N388" s="168">
        <f>IF(OR(J388="",L388=""),"",L388-J388)</f>
        <v/>
      </c>
      <c r="O388" s="169">
        <f>IF(OR(J388="",L388=""),"",L388/J388-1)</f>
        <v/>
      </c>
      <c r="P388" s="169">
        <f>IF(OR(J388="",K388=""),"",K388/J388-1)</f>
        <v/>
      </c>
      <c r="Q388" s="54">
        <f>IF(AND(ISNUMBER(J388),ISNUMBER(L388)),1,0)</f>
        <v/>
      </c>
      <c r="R388" s="69">
        <f>IF(Q388=1,G388*L388,0)</f>
        <v/>
      </c>
      <c r="S388" s="69">
        <f>IF(Q388=1,(H388+I388)*U388,0)</f>
        <v/>
      </c>
      <c r="T388" s="59">
        <f>IF(Q388=1,G388,0)</f>
        <v/>
      </c>
      <c r="U388" s="170" t="n">
        <v>1</v>
      </c>
    </row>
    <row r="389">
      <c r="A389" s="54" t="inlineStr">
        <is>
          <t>US SL B6</t>
        </is>
      </c>
      <c r="B389" s="54" t="inlineStr">
        <is>
          <t>US</t>
        </is>
      </c>
      <c r="C389" s="54" t="inlineStr">
        <is>
          <t>B0DDTYMBWR</t>
        </is>
      </c>
      <c r="D389" s="54" t="inlineStr">
        <is>
          <t>SS-BAMBOO-SAGE-GREEN-QUEEN-6PCS</t>
        </is>
      </c>
      <c r="E389" s="54" t="inlineStr">
        <is>
          <t>Queen</t>
        </is>
      </c>
      <c r="F389" s="54" t="inlineStr">
        <is>
          <t>Sage Green</t>
        </is>
      </c>
      <c r="G389" s="55" t="n">
        <v>2</v>
      </c>
      <c r="H389" s="167" t="n">
        <v>103.98</v>
      </c>
      <c r="I389" s="167" t="n">
        <v>0</v>
      </c>
      <c r="J389" s="168">
        <f>IF(AND(N(G389)&gt;0,N(H389)+N(I389)&gt;0),(H389+I389)*U389/G389,"")</f>
        <v/>
      </c>
      <c r="K389" s="167" t="n">
        <v>64.98999999999999</v>
      </c>
      <c r="L389" s="167" t="n"/>
      <c r="M389" s="54" t="inlineStr">
        <is>
          <t>Out of stock</t>
        </is>
      </c>
      <c r="N389" s="168">
        <f>IF(OR(J389="",L389=""),"",L389-J389)</f>
        <v/>
      </c>
      <c r="O389" s="169">
        <f>IF(OR(J389="",L389=""),"",L389/J389-1)</f>
        <v/>
      </c>
      <c r="P389" s="169">
        <f>IF(OR(J389="",K389=""),"",K389/J389-1)</f>
        <v/>
      </c>
      <c r="Q389" s="54">
        <f>IF(AND(ISNUMBER(J389),ISNUMBER(L389)),1,0)</f>
        <v/>
      </c>
      <c r="R389" s="69">
        <f>IF(Q389=1,G389*L389,0)</f>
        <v/>
      </c>
      <c r="S389" s="69">
        <f>IF(Q389=1,(H389+I389)*U389,0)</f>
        <v/>
      </c>
      <c r="T389" s="59">
        <f>IF(Q389=1,G389,0)</f>
        <v/>
      </c>
      <c r="U389" s="170" t="n">
        <v>1</v>
      </c>
    </row>
    <row r="390">
      <c r="A390" s="54" t="inlineStr">
        <is>
          <t>US SL B6</t>
        </is>
      </c>
      <c r="B390" s="54" t="inlineStr">
        <is>
          <t>US</t>
        </is>
      </c>
      <c r="C390" s="54" t="inlineStr">
        <is>
          <t>B0DDTZ2YH2</t>
        </is>
      </c>
      <c r="D390" s="54" t="inlineStr">
        <is>
          <t>SS-BAMBOO-CREME-CALIFKING-6PCS</t>
        </is>
      </c>
      <c r="E390" s="54" t="inlineStr">
        <is>
          <t>California King</t>
        </is>
      </c>
      <c r="F390" s="54" t="inlineStr">
        <is>
          <t>Creme</t>
        </is>
      </c>
      <c r="G390" s="55" t="n">
        <v>1</v>
      </c>
      <c r="H390" s="167" t="n">
        <v>69.98999999999999</v>
      </c>
      <c r="I390" s="167" t="n">
        <v>0</v>
      </c>
      <c r="J390" s="168">
        <f>IF(AND(N(G390)&gt;0,N(H390)+N(I390)&gt;0),(H390+I390)*U390/G390,"")</f>
        <v/>
      </c>
      <c r="K390" s="167" t="n">
        <v>69.98999999999999</v>
      </c>
      <c r="L390" s="167" t="n"/>
      <c r="M390" s="54" t="inlineStr">
        <is>
          <t>Out of stock</t>
        </is>
      </c>
      <c r="N390" s="168">
        <f>IF(OR(J390="",L390=""),"",L390-J390)</f>
        <v/>
      </c>
      <c r="O390" s="169">
        <f>IF(OR(J390="",L390=""),"",L390/J390-1)</f>
        <v/>
      </c>
      <c r="P390" s="169">
        <f>IF(OR(J390="",K390=""),"",K390/J390-1)</f>
        <v/>
      </c>
      <c r="Q390" s="54">
        <f>IF(AND(ISNUMBER(J390),ISNUMBER(L390)),1,0)</f>
        <v/>
      </c>
      <c r="R390" s="69">
        <f>IF(Q390=1,G390*L390,0)</f>
        <v/>
      </c>
      <c r="S390" s="69">
        <f>IF(Q390=1,(H390+I390)*U390,0)</f>
        <v/>
      </c>
      <c r="T390" s="59">
        <f>IF(Q390=1,G390,0)</f>
        <v/>
      </c>
      <c r="U390" s="170" t="n">
        <v>1</v>
      </c>
    </row>
    <row r="391">
      <c r="A391" s="54" t="inlineStr">
        <is>
          <t>US SL B6</t>
        </is>
      </c>
      <c r="B391" s="54" t="inlineStr">
        <is>
          <t>US</t>
        </is>
      </c>
      <c r="C391" s="54" t="inlineStr">
        <is>
          <t>B0DDTZ65CP</t>
        </is>
      </c>
      <c r="D391" s="54" t="inlineStr">
        <is>
          <t>SS-BAMBOO-NAVY-BLUE-CALIFKING-6PCS</t>
        </is>
      </c>
      <c r="E391" s="54" t="inlineStr">
        <is>
          <t>California King</t>
        </is>
      </c>
      <c r="F391" s="54" t="inlineStr">
        <is>
          <t>Navy Blue</t>
        </is>
      </c>
      <c r="G391" s="55" t="n">
        <v>1</v>
      </c>
      <c r="H391" s="167" t="n">
        <v>69.98999999999999</v>
      </c>
      <c r="I391" s="167" t="n">
        <v>0</v>
      </c>
      <c r="J391" s="168">
        <f>IF(AND(N(G391)&gt;0,N(H391)+N(I391)&gt;0),(H391+I391)*U391/G391,"")</f>
        <v/>
      </c>
      <c r="K391" s="167" t="n">
        <v>69.98999999999999</v>
      </c>
      <c r="L391" s="167" t="n"/>
      <c r="M391" s="54" t="inlineStr">
        <is>
          <t>Out of stock</t>
        </is>
      </c>
      <c r="N391" s="168">
        <f>IF(OR(J391="",L391=""),"",L391-J391)</f>
        <v/>
      </c>
      <c r="O391" s="169">
        <f>IF(OR(J391="",L391=""),"",L391/J391-1)</f>
        <v/>
      </c>
      <c r="P391" s="169">
        <f>IF(OR(J391="",K391=""),"",K391/J391-1)</f>
        <v/>
      </c>
      <c r="Q391" s="54">
        <f>IF(AND(ISNUMBER(J391),ISNUMBER(L391)),1,0)</f>
        <v/>
      </c>
      <c r="R391" s="69">
        <f>IF(Q391=1,G391*L391,0)</f>
        <v/>
      </c>
      <c r="S391" s="69">
        <f>IF(Q391=1,(H391+I391)*U391,0)</f>
        <v/>
      </c>
      <c r="T391" s="59">
        <f>IF(Q391=1,G391,0)</f>
        <v/>
      </c>
      <c r="U391" s="170" t="n">
        <v>1</v>
      </c>
    </row>
    <row r="392">
      <c r="A392" s="54" t="inlineStr">
        <is>
          <t>US SL B6</t>
        </is>
      </c>
      <c r="B392" s="54" t="inlineStr">
        <is>
          <t>US</t>
        </is>
      </c>
      <c r="C392" s="54" t="inlineStr">
        <is>
          <t>B0DDTZGP9X</t>
        </is>
      </c>
      <c r="D392" s="54" t="inlineStr">
        <is>
          <t>SS-BAMBOO-OLIVE-CALIFKING-6PCS</t>
        </is>
      </c>
      <c r="E392" s="54" t="inlineStr">
        <is>
          <t>California King</t>
        </is>
      </c>
      <c r="F392" s="54" t="inlineStr">
        <is>
          <t>Olive</t>
        </is>
      </c>
      <c r="G392" s="55" t="n">
        <v>1</v>
      </c>
      <c r="H392" s="167" t="n">
        <v>55.99</v>
      </c>
      <c r="I392" s="167" t="n">
        <v>0</v>
      </c>
      <c r="J392" s="168">
        <f>IF(AND(N(G392)&gt;0,N(H392)+N(I392)&gt;0),(H392+I392)*U392/G392,"")</f>
        <v/>
      </c>
      <c r="K392" s="167" t="n">
        <v>69.98999999999999</v>
      </c>
      <c r="L392" s="167" t="n">
        <v>66.48999999999999</v>
      </c>
      <c r="M392" s="54" t="inlineStr">
        <is>
          <t>Eligible</t>
        </is>
      </c>
      <c r="N392" s="168">
        <f>IF(OR(J392="",L392=""),"",L392-J392)</f>
        <v/>
      </c>
      <c r="O392" s="169">
        <f>IF(OR(J392="",L392=""),"",L392/J392-1)</f>
        <v/>
      </c>
      <c r="P392" s="169">
        <f>IF(OR(J392="",K392=""),"",K392/J392-1)</f>
        <v/>
      </c>
      <c r="Q392" s="54">
        <f>IF(AND(ISNUMBER(J392),ISNUMBER(L392)),1,0)</f>
        <v/>
      </c>
      <c r="R392" s="69">
        <f>IF(Q392=1,G392*L392,0)</f>
        <v/>
      </c>
      <c r="S392" s="69">
        <f>IF(Q392=1,(H392+I392)*U392,0)</f>
        <v/>
      </c>
      <c r="T392" s="59">
        <f>IF(Q392=1,G392,0)</f>
        <v/>
      </c>
      <c r="U392" s="170" t="n">
        <v>1</v>
      </c>
    </row>
    <row r="393">
      <c r="A393" s="54" t="inlineStr">
        <is>
          <t>US SL B6</t>
        </is>
      </c>
      <c r="B393" s="54" t="inlineStr">
        <is>
          <t>US</t>
        </is>
      </c>
      <c r="C393" s="54" t="inlineStr">
        <is>
          <t>B0DDTYHW5S</t>
        </is>
      </c>
      <c r="D393" s="54" t="inlineStr">
        <is>
          <t>SS-BAMBOO-LIGHT-BLUE-FULL-6PCS</t>
        </is>
      </c>
      <c r="E393" s="54" t="inlineStr">
        <is>
          <t>Full</t>
        </is>
      </c>
      <c r="F393" s="54" t="inlineStr">
        <is>
          <t>Light Blue</t>
        </is>
      </c>
      <c r="G393" s="55" t="n">
        <v>1</v>
      </c>
      <c r="H393" s="167" t="n">
        <v>47.99</v>
      </c>
      <c r="I393" s="167" t="n">
        <v>0</v>
      </c>
      <c r="J393" s="168">
        <f>IF(AND(N(G393)&gt;0,N(H393)+N(I393)&gt;0),(H393+I393)*U393/G393,"")</f>
        <v/>
      </c>
      <c r="K393" s="167" t="n">
        <v>59.99</v>
      </c>
      <c r="L393" s="167" t="n">
        <v>56.99</v>
      </c>
      <c r="M393" s="54" t="inlineStr">
        <is>
          <t>Eligible</t>
        </is>
      </c>
      <c r="N393" s="168">
        <f>IF(OR(J393="",L393=""),"",L393-J393)</f>
        <v/>
      </c>
      <c r="O393" s="169">
        <f>IF(OR(J393="",L393=""),"",L393/J393-1)</f>
        <v/>
      </c>
      <c r="P393" s="169">
        <f>IF(OR(J393="",K393=""),"",K393/J393-1)</f>
        <v/>
      </c>
      <c r="Q393" s="54">
        <f>IF(AND(ISNUMBER(J393),ISNUMBER(L393)),1,0)</f>
        <v/>
      </c>
      <c r="R393" s="69">
        <f>IF(Q393=1,G393*L393,0)</f>
        <v/>
      </c>
      <c r="S393" s="69">
        <f>IF(Q393=1,(H393+I393)*U393,0)</f>
        <v/>
      </c>
      <c r="T393" s="59">
        <f>IF(Q393=1,G393,0)</f>
        <v/>
      </c>
      <c r="U393" s="170" t="n">
        <v>1</v>
      </c>
    </row>
    <row r="394">
      <c r="A394" s="54" t="inlineStr">
        <is>
          <t>US SL B6</t>
        </is>
      </c>
      <c r="B394" s="54" t="inlineStr">
        <is>
          <t>US</t>
        </is>
      </c>
      <c r="C394" s="54" t="inlineStr">
        <is>
          <t>B0DDTZB4RQ</t>
        </is>
      </c>
      <c r="D394" s="54" t="inlineStr">
        <is>
          <t>SS-BAMBOO-LIGHT-GREY-FULL-6PCS</t>
        </is>
      </c>
      <c r="E394" s="54" t="inlineStr">
        <is>
          <t>Full</t>
        </is>
      </c>
      <c r="F394" s="54" t="inlineStr">
        <is>
          <t>Light Grey</t>
        </is>
      </c>
      <c r="G394" s="55" t="n">
        <v>1</v>
      </c>
      <c r="H394" s="167" t="n">
        <v>47.99</v>
      </c>
      <c r="I394" s="167" t="n">
        <v>0</v>
      </c>
      <c r="J394" s="168">
        <f>IF(AND(N(G394)&gt;0,N(H394)+N(I394)&gt;0),(H394+I394)*U394/G394,"")</f>
        <v/>
      </c>
      <c r="K394" s="167" t="n">
        <v>59.99</v>
      </c>
      <c r="L394" s="167" t="n">
        <v>56.99</v>
      </c>
      <c r="M394" s="54" t="inlineStr">
        <is>
          <t>Eligible</t>
        </is>
      </c>
      <c r="N394" s="168">
        <f>IF(OR(J394="",L394=""),"",L394-J394)</f>
        <v/>
      </c>
      <c r="O394" s="169">
        <f>IF(OR(J394="",L394=""),"",L394/J394-1)</f>
        <v/>
      </c>
      <c r="P394" s="169">
        <f>IF(OR(J394="",K394=""),"",K394/J394-1)</f>
        <v/>
      </c>
      <c r="Q394" s="54">
        <f>IF(AND(ISNUMBER(J394),ISNUMBER(L394)),1,0)</f>
        <v/>
      </c>
      <c r="R394" s="69">
        <f>IF(Q394=1,G394*L394,0)</f>
        <v/>
      </c>
      <c r="S394" s="69">
        <f>IF(Q394=1,(H394+I394)*U394,0)</f>
        <v/>
      </c>
      <c r="T394" s="59">
        <f>IF(Q394=1,G394,0)</f>
        <v/>
      </c>
      <c r="U394" s="170" t="n">
        <v>1</v>
      </c>
    </row>
    <row r="395">
      <c r="A395" s="54" t="inlineStr">
        <is>
          <t>US SL B6</t>
        </is>
      </c>
      <c r="B395" s="54" t="inlineStr">
        <is>
          <t>US</t>
        </is>
      </c>
      <c r="C395" s="54" t="inlineStr">
        <is>
          <t>B0DDTWSK28</t>
        </is>
      </c>
      <c r="D395" s="54" t="inlineStr">
        <is>
          <t>SS-BAMBOO-MIDGREY-FULL-6PCS</t>
        </is>
      </c>
      <c r="E395" s="54" t="inlineStr">
        <is>
          <t>Full</t>
        </is>
      </c>
      <c r="F395" s="54" t="inlineStr">
        <is>
          <t>Midgrey</t>
        </is>
      </c>
      <c r="G395" s="55" t="n">
        <v>1</v>
      </c>
      <c r="H395" s="167" t="n">
        <v>47.99</v>
      </c>
      <c r="I395" s="167" t="n">
        <v>0</v>
      </c>
      <c r="J395" s="168">
        <f>IF(AND(N(G395)&gt;0,N(H395)+N(I395)&gt;0),(H395+I395)*U395/G395,"")</f>
        <v/>
      </c>
      <c r="K395" s="167" t="n">
        <v>59.99</v>
      </c>
      <c r="L395" s="167" t="n">
        <v>56.99</v>
      </c>
      <c r="M395" s="54" t="inlineStr">
        <is>
          <t>Eligible</t>
        </is>
      </c>
      <c r="N395" s="168">
        <f>IF(OR(J395="",L395=""),"",L395-J395)</f>
        <v/>
      </c>
      <c r="O395" s="169">
        <f>IF(OR(J395="",L395=""),"",L395/J395-1)</f>
        <v/>
      </c>
      <c r="P395" s="169">
        <f>IF(OR(J395="",K395=""),"",K395/J395-1)</f>
        <v/>
      </c>
      <c r="Q395" s="54">
        <f>IF(AND(ISNUMBER(J395),ISNUMBER(L395)),1,0)</f>
        <v/>
      </c>
      <c r="R395" s="69">
        <f>IF(Q395=1,G395*L395,0)</f>
        <v/>
      </c>
      <c r="S395" s="69">
        <f>IF(Q395=1,(H395+I395)*U395,0)</f>
        <v/>
      </c>
      <c r="T395" s="59">
        <f>IF(Q395=1,G395,0)</f>
        <v/>
      </c>
      <c r="U395" s="170" t="n">
        <v>1</v>
      </c>
    </row>
    <row r="396">
      <c r="A396" s="54" t="inlineStr">
        <is>
          <t>US SL B6</t>
        </is>
      </c>
      <c r="B396" s="54" t="inlineStr">
        <is>
          <t>US</t>
        </is>
      </c>
      <c r="C396" s="54" t="inlineStr">
        <is>
          <t>B0DDTZ34FW</t>
        </is>
      </c>
      <c r="D396" s="54" t="inlineStr">
        <is>
          <t>SS-BAMBOO-SAGE-GREEN-FULL-6PCS</t>
        </is>
      </c>
      <c r="E396" s="54" t="inlineStr">
        <is>
          <t>Full</t>
        </is>
      </c>
      <c r="F396" s="54" t="inlineStr">
        <is>
          <t>Sage Green</t>
        </is>
      </c>
      <c r="G396" s="55" t="n">
        <v>1</v>
      </c>
      <c r="H396" s="167" t="n">
        <v>47.99</v>
      </c>
      <c r="I396" s="167" t="n">
        <v>0</v>
      </c>
      <c r="J396" s="168">
        <f>IF(AND(N(G396)&gt;0,N(H396)+N(I396)&gt;0),(H396+I396)*U396/G396,"")</f>
        <v/>
      </c>
      <c r="K396" s="167" t="n">
        <v>59.99</v>
      </c>
      <c r="L396" s="167" t="n">
        <v>56.99</v>
      </c>
      <c r="M396" s="54" t="inlineStr">
        <is>
          <t>Eligible</t>
        </is>
      </c>
      <c r="N396" s="168">
        <f>IF(OR(J396="",L396=""),"",L396-J396)</f>
        <v/>
      </c>
      <c r="O396" s="169">
        <f>IF(OR(J396="",L396=""),"",L396/J396-1)</f>
        <v/>
      </c>
      <c r="P396" s="169">
        <f>IF(OR(J396="",K396=""),"",K396/J396-1)</f>
        <v/>
      </c>
      <c r="Q396" s="54">
        <f>IF(AND(ISNUMBER(J396),ISNUMBER(L396)),1,0)</f>
        <v/>
      </c>
      <c r="R396" s="69">
        <f>IF(Q396=1,G396*L396,0)</f>
        <v/>
      </c>
      <c r="S396" s="69">
        <f>IF(Q396=1,(H396+I396)*U396,0)</f>
        <v/>
      </c>
      <c r="T396" s="59">
        <f>IF(Q396=1,G396,0)</f>
        <v/>
      </c>
      <c r="U396" s="170" t="n">
        <v>1</v>
      </c>
    </row>
    <row r="397">
      <c r="A397" s="54" t="inlineStr">
        <is>
          <t>US SL B6</t>
        </is>
      </c>
      <c r="B397" s="54" t="inlineStr">
        <is>
          <t>US</t>
        </is>
      </c>
      <c r="C397" s="54" t="inlineStr">
        <is>
          <t>B0DDTX7FF7</t>
        </is>
      </c>
      <c r="D397" s="54" t="inlineStr">
        <is>
          <t>SS-BAMBOO-TAUPE-FULL-6PCS</t>
        </is>
      </c>
      <c r="E397" s="54" t="inlineStr">
        <is>
          <t>Full</t>
        </is>
      </c>
      <c r="F397" s="54" t="inlineStr">
        <is>
          <t>Taupe</t>
        </is>
      </c>
      <c r="G397" s="55" t="n">
        <v>1</v>
      </c>
      <c r="H397" s="167" t="n">
        <v>47.99</v>
      </c>
      <c r="I397" s="167" t="n">
        <v>0</v>
      </c>
      <c r="J397" s="168">
        <f>IF(AND(N(G397)&gt;0,N(H397)+N(I397)&gt;0),(H397+I397)*U397/G397,"")</f>
        <v/>
      </c>
      <c r="K397" s="167" t="n">
        <v>59.99</v>
      </c>
      <c r="L397" s="167" t="n">
        <v>56.99</v>
      </c>
      <c r="M397" s="54" t="inlineStr">
        <is>
          <t>Eligible</t>
        </is>
      </c>
      <c r="N397" s="168">
        <f>IF(OR(J397="",L397=""),"",L397-J397)</f>
        <v/>
      </c>
      <c r="O397" s="169">
        <f>IF(OR(J397="",L397=""),"",L397/J397-1)</f>
        <v/>
      </c>
      <c r="P397" s="169">
        <f>IF(OR(J397="",K397=""),"",K397/J397-1)</f>
        <v/>
      </c>
      <c r="Q397" s="54">
        <f>IF(AND(ISNUMBER(J397),ISNUMBER(L397)),1,0)</f>
        <v/>
      </c>
      <c r="R397" s="69">
        <f>IF(Q397=1,G397*L397,0)</f>
        <v/>
      </c>
      <c r="S397" s="69">
        <f>IF(Q397=1,(H397+I397)*U397,0)</f>
        <v/>
      </c>
      <c r="T397" s="59">
        <f>IF(Q397=1,G397,0)</f>
        <v/>
      </c>
      <c r="U397" s="170" t="n">
        <v>1</v>
      </c>
    </row>
    <row r="398">
      <c r="A398" s="54" t="inlineStr">
        <is>
          <t>US SL B6</t>
        </is>
      </c>
      <c r="B398" s="54" t="inlineStr">
        <is>
          <t>US</t>
        </is>
      </c>
      <c r="C398" s="54" t="inlineStr">
        <is>
          <t>B0DDTYBVY6</t>
        </is>
      </c>
      <c r="D398" s="54" t="inlineStr">
        <is>
          <t>SS-BAMBOO-MIDGREY-QUEEN-6PCS</t>
        </is>
      </c>
      <c r="E398" s="54" t="inlineStr">
        <is>
          <t>Queen</t>
        </is>
      </c>
      <c r="F398" s="54" t="inlineStr">
        <is>
          <t>Midgrey</t>
        </is>
      </c>
      <c r="G398" s="55" t="n">
        <v>1</v>
      </c>
      <c r="H398" s="167" t="n">
        <v>51.99</v>
      </c>
      <c r="I398" s="167" t="n">
        <v>0</v>
      </c>
      <c r="J398" s="168">
        <f>IF(AND(N(G398)&gt;0,N(H398)+N(I398)&gt;0),(H398+I398)*U398/G398,"")</f>
        <v/>
      </c>
      <c r="K398" s="167" t="n">
        <v>64.98999999999999</v>
      </c>
      <c r="L398" s="167" t="n"/>
      <c r="M398" s="54" t="inlineStr">
        <is>
          <t>Out of stock</t>
        </is>
      </c>
      <c r="N398" s="168">
        <f>IF(OR(J398="",L398=""),"",L398-J398)</f>
        <v/>
      </c>
      <c r="O398" s="169">
        <f>IF(OR(J398="",L398=""),"",L398/J398-1)</f>
        <v/>
      </c>
      <c r="P398" s="169">
        <f>IF(OR(J398="",K398=""),"",K398/J398-1)</f>
        <v/>
      </c>
      <c r="Q398" s="54">
        <f>IF(AND(ISNUMBER(J398),ISNUMBER(L398)),1,0)</f>
        <v/>
      </c>
      <c r="R398" s="69">
        <f>IF(Q398=1,G398*L398,0)</f>
        <v/>
      </c>
      <c r="S398" s="69">
        <f>IF(Q398=1,(H398+I398)*U398,0)</f>
        <v/>
      </c>
      <c r="T398" s="59">
        <f>IF(Q398=1,G398,0)</f>
        <v/>
      </c>
      <c r="U398" s="170" t="n">
        <v>1</v>
      </c>
    </row>
    <row r="399">
      <c r="A399" s="54" t="inlineStr">
        <is>
          <t>US SL B6</t>
        </is>
      </c>
      <c r="B399" s="54" t="inlineStr">
        <is>
          <t>US</t>
        </is>
      </c>
      <c r="C399" s="54" t="inlineStr">
        <is>
          <t>B0DDTYXN15</t>
        </is>
      </c>
      <c r="D399" s="54" t="inlineStr">
        <is>
          <t>SS-BAMBOO-OLIVE-QUEEN-6PCS</t>
        </is>
      </c>
      <c r="E399" s="54" t="inlineStr">
        <is>
          <t>Queen</t>
        </is>
      </c>
      <c r="F399" s="54" t="inlineStr">
        <is>
          <t>Olive</t>
        </is>
      </c>
      <c r="G399" s="55" t="n">
        <v>1</v>
      </c>
      <c r="H399" s="167" t="n">
        <v>51.99</v>
      </c>
      <c r="I399" s="167" t="n">
        <v>0</v>
      </c>
      <c r="J399" s="168">
        <f>IF(AND(N(G399)&gt;0,N(H399)+N(I399)&gt;0),(H399+I399)*U399/G399,"")</f>
        <v/>
      </c>
      <c r="K399" s="167" t="n">
        <v>64.98999999999999</v>
      </c>
      <c r="L399" s="167" t="n">
        <v>61.74</v>
      </c>
      <c r="M399" s="54" t="inlineStr">
        <is>
          <t>Eligible</t>
        </is>
      </c>
      <c r="N399" s="168">
        <f>IF(OR(J399="",L399=""),"",L399-J399)</f>
        <v/>
      </c>
      <c r="O399" s="169">
        <f>IF(OR(J399="",L399=""),"",L399/J399-1)</f>
        <v/>
      </c>
      <c r="P399" s="169">
        <f>IF(OR(J399="",K399=""),"",K399/J399-1)</f>
        <v/>
      </c>
      <c r="Q399" s="54">
        <f>IF(AND(ISNUMBER(J399),ISNUMBER(L399)),1,0)</f>
        <v/>
      </c>
      <c r="R399" s="69">
        <f>IF(Q399=1,G399*L399,0)</f>
        <v/>
      </c>
      <c r="S399" s="69">
        <f>IF(Q399=1,(H399+I399)*U399,0)</f>
        <v/>
      </c>
      <c r="T399" s="59">
        <f>IF(Q399=1,G399,0)</f>
        <v/>
      </c>
      <c r="U399" s="170" t="n">
        <v>1</v>
      </c>
    </row>
    <row r="400">
      <c r="A400" s="54" t="inlineStr">
        <is>
          <t>US SL B6</t>
        </is>
      </c>
      <c r="B400" s="54" t="inlineStr">
        <is>
          <t>US</t>
        </is>
      </c>
      <c r="C400" s="54" t="inlineStr">
        <is>
          <t>B0DDTY8HFR</t>
        </is>
      </c>
      <c r="D400" s="54" t="inlineStr">
        <is>
          <t>SS-BAMBOO-BLACK-CALIFKING-6PCS</t>
        </is>
      </c>
      <c r="E400" s="54" t="inlineStr">
        <is>
          <t>California King</t>
        </is>
      </c>
      <c r="F400" s="54" t="inlineStr">
        <is>
          <t>Black</t>
        </is>
      </c>
      <c r="G400" s="55" t="n">
        <v>0</v>
      </c>
      <c r="H400" s="167" t="n"/>
      <c r="I400" s="167" t="n"/>
      <c r="J400" s="168">
        <f>IF(AND(N(G400)&gt;0,N(H400)+N(I400)&gt;0),(H400+I400)*U400/G400,"")</f>
        <v/>
      </c>
      <c r="K400" s="167" t="n">
        <v>69.98999999999999</v>
      </c>
      <c r="L400" s="167" t="n">
        <v>66.48999999999999</v>
      </c>
      <c r="M400" s="54" t="inlineStr">
        <is>
          <t>Eligible</t>
        </is>
      </c>
      <c r="N400" s="168">
        <f>IF(OR(J400="",L400=""),"",L400-J400)</f>
        <v/>
      </c>
      <c r="O400" s="169">
        <f>IF(OR(J400="",L400=""),"",L400/J400-1)</f>
        <v/>
      </c>
      <c r="P400" s="169">
        <f>IF(OR(J400="",K400=""),"",K400/J400-1)</f>
        <v/>
      </c>
      <c r="Q400" s="54">
        <f>IF(AND(ISNUMBER(J400),ISNUMBER(L400)),1,0)</f>
        <v/>
      </c>
      <c r="R400" s="69">
        <f>IF(Q400=1,G400*L400,0)</f>
        <v/>
      </c>
      <c r="S400" s="69">
        <f>IF(Q400=1,(H400+I400)*U400,0)</f>
        <v/>
      </c>
      <c r="T400" s="59">
        <f>IF(Q400=1,G400,0)</f>
        <v/>
      </c>
      <c r="U400" s="170" t="n">
        <v>1</v>
      </c>
    </row>
    <row r="401">
      <c r="A401" s="54" t="inlineStr">
        <is>
          <t>US SL B6</t>
        </is>
      </c>
      <c r="B401" s="54" t="inlineStr">
        <is>
          <t>US</t>
        </is>
      </c>
      <c r="C401" s="54" t="inlineStr">
        <is>
          <t>B0DDTXV2V8</t>
        </is>
      </c>
      <c r="D401" s="54" t="inlineStr">
        <is>
          <t>SS-BAMBOO-LIGHT-PINK-CALIFKING-6PCS</t>
        </is>
      </c>
      <c r="E401" s="54" t="inlineStr">
        <is>
          <t>California King</t>
        </is>
      </c>
      <c r="F401" s="54" t="inlineStr">
        <is>
          <t>Light Pink</t>
        </is>
      </c>
      <c r="G401" s="55" t="n">
        <v>0</v>
      </c>
      <c r="H401" s="167" t="n"/>
      <c r="I401" s="167" t="n"/>
      <c r="J401" s="168">
        <f>IF(AND(N(G401)&gt;0,N(H401)+N(I401)&gt;0),(H401+I401)*U401/G401,"")</f>
        <v/>
      </c>
      <c r="K401" s="167" t="n">
        <v>69.98999999999999</v>
      </c>
      <c r="L401" s="167" t="n">
        <v>66.48999999999999</v>
      </c>
      <c r="M401" s="54" t="inlineStr">
        <is>
          <t>Eligible</t>
        </is>
      </c>
      <c r="N401" s="168">
        <f>IF(OR(J401="",L401=""),"",L401-J401)</f>
        <v/>
      </c>
      <c r="O401" s="169">
        <f>IF(OR(J401="",L401=""),"",L401/J401-1)</f>
        <v/>
      </c>
      <c r="P401" s="169">
        <f>IF(OR(J401="",K401=""),"",K401/J401-1)</f>
        <v/>
      </c>
      <c r="Q401" s="54">
        <f>IF(AND(ISNUMBER(J401),ISNUMBER(L401)),1,0)</f>
        <v/>
      </c>
      <c r="R401" s="69">
        <f>IF(Q401=1,G401*L401,0)</f>
        <v/>
      </c>
      <c r="S401" s="69">
        <f>IF(Q401=1,(H401+I401)*U401,0)</f>
        <v/>
      </c>
      <c r="T401" s="59">
        <f>IF(Q401=1,G401,0)</f>
        <v/>
      </c>
      <c r="U401" s="170" t="n">
        <v>1</v>
      </c>
    </row>
    <row r="402">
      <c r="A402" s="54" t="inlineStr">
        <is>
          <t>US SL B6</t>
        </is>
      </c>
      <c r="B402" s="54" t="inlineStr">
        <is>
          <t>US</t>
        </is>
      </c>
      <c r="C402" s="54" t="inlineStr">
        <is>
          <t>B0DDTXTR71</t>
        </is>
      </c>
      <c r="D402" s="54" t="inlineStr">
        <is>
          <t>SS-BAMBOO-PURPLE-CALIFKING-6PCS</t>
        </is>
      </c>
      <c r="E402" s="54" t="inlineStr">
        <is>
          <t>California King</t>
        </is>
      </c>
      <c r="F402" s="54" t="inlineStr">
        <is>
          <t>Purple</t>
        </is>
      </c>
      <c r="G402" s="55" t="n">
        <v>0</v>
      </c>
      <c r="H402" s="167" t="n"/>
      <c r="I402" s="167" t="n"/>
      <c r="J402" s="168">
        <f>IF(AND(N(G402)&gt;0,N(H402)+N(I402)&gt;0),(H402+I402)*U402/G402,"")</f>
        <v/>
      </c>
      <c r="K402" s="167" t="n">
        <v>69.98999999999999</v>
      </c>
      <c r="L402" s="167" t="n">
        <v>66.48999999999999</v>
      </c>
      <c r="M402" s="54" t="inlineStr">
        <is>
          <t>Eligible</t>
        </is>
      </c>
      <c r="N402" s="168">
        <f>IF(OR(J402="",L402=""),"",L402-J402)</f>
        <v/>
      </c>
      <c r="O402" s="169">
        <f>IF(OR(J402="",L402=""),"",L402/J402-1)</f>
        <v/>
      </c>
      <c r="P402" s="169">
        <f>IF(OR(J402="",K402=""),"",K402/J402-1)</f>
        <v/>
      </c>
      <c r="Q402" s="54">
        <f>IF(AND(ISNUMBER(J402),ISNUMBER(L402)),1,0)</f>
        <v/>
      </c>
      <c r="R402" s="69">
        <f>IF(Q402=1,G402*L402,0)</f>
        <v/>
      </c>
      <c r="S402" s="69">
        <f>IF(Q402=1,(H402+I402)*U402,0)</f>
        <v/>
      </c>
      <c r="T402" s="59">
        <f>IF(Q402=1,G402,0)</f>
        <v/>
      </c>
      <c r="U402" s="170" t="n">
        <v>1</v>
      </c>
    </row>
    <row r="403">
      <c r="A403" s="54" t="inlineStr">
        <is>
          <t>US SL B6</t>
        </is>
      </c>
      <c r="B403" s="54" t="inlineStr">
        <is>
          <t>US</t>
        </is>
      </c>
      <c r="C403" s="54" t="inlineStr">
        <is>
          <t>B0DDTZ27T7</t>
        </is>
      </c>
      <c r="D403" s="54" t="inlineStr">
        <is>
          <t>SS-BAMBOO-CHARCOAL-FULL-6PCS</t>
        </is>
      </c>
      <c r="E403" s="54" t="inlineStr">
        <is>
          <t>Full</t>
        </is>
      </c>
      <c r="F403" s="54" t="inlineStr">
        <is>
          <t>Charcoal</t>
        </is>
      </c>
      <c r="G403" s="55" t="n">
        <v>0</v>
      </c>
      <c r="H403" s="167" t="n"/>
      <c r="I403" s="167" t="n"/>
      <c r="J403" s="168">
        <f>IF(AND(N(G403)&gt;0,N(H403)+N(I403)&gt;0),(H403+I403)*U403/G403,"")</f>
        <v/>
      </c>
      <c r="K403" s="167" t="n">
        <v>66.98999999999999</v>
      </c>
      <c r="L403" s="167" t="n">
        <v>63.64</v>
      </c>
      <c r="M403" s="54" t="inlineStr">
        <is>
          <t>Eligible</t>
        </is>
      </c>
      <c r="N403" s="168">
        <f>IF(OR(J403="",L403=""),"",L403-J403)</f>
        <v/>
      </c>
      <c r="O403" s="169">
        <f>IF(OR(J403="",L403=""),"",L403/J403-1)</f>
        <v/>
      </c>
      <c r="P403" s="169">
        <f>IF(OR(J403="",K403=""),"",K403/J403-1)</f>
        <v/>
      </c>
      <c r="Q403" s="54">
        <f>IF(AND(ISNUMBER(J403),ISNUMBER(L403)),1,0)</f>
        <v/>
      </c>
      <c r="R403" s="69">
        <f>IF(Q403=1,G403*L403,0)</f>
        <v/>
      </c>
      <c r="S403" s="69">
        <f>IF(Q403=1,(H403+I403)*U403,0)</f>
        <v/>
      </c>
      <c r="T403" s="59">
        <f>IF(Q403=1,G403,0)</f>
        <v/>
      </c>
      <c r="U403" s="170" t="n">
        <v>1</v>
      </c>
    </row>
    <row r="404">
      <c r="A404" s="54" t="inlineStr">
        <is>
          <t>US SL B6</t>
        </is>
      </c>
      <c r="B404" s="54" t="inlineStr">
        <is>
          <t>US</t>
        </is>
      </c>
      <c r="C404" s="54" t="inlineStr">
        <is>
          <t>B0DDTZ2Z31</t>
        </is>
      </c>
      <c r="D404" s="54" t="inlineStr">
        <is>
          <t>SS-BAMBOO-LIGHT-OLIVE-FULL-6PCS</t>
        </is>
      </c>
      <c r="E404" s="54" t="inlineStr">
        <is>
          <t>Full</t>
        </is>
      </c>
      <c r="F404" s="54" t="inlineStr">
        <is>
          <t>Light Olive</t>
        </is>
      </c>
      <c r="G404" s="55" t="n">
        <v>0</v>
      </c>
      <c r="H404" s="167" t="n"/>
      <c r="I404" s="167" t="n"/>
      <c r="J404" s="168">
        <f>IF(AND(N(G404)&gt;0,N(H404)+N(I404)&gt;0),(H404+I404)*U404/G404,"")</f>
        <v/>
      </c>
      <c r="K404" s="167" t="n">
        <v>66.98999999999999</v>
      </c>
      <c r="L404" s="167" t="n">
        <v>63.64</v>
      </c>
      <c r="M404" s="54" t="inlineStr">
        <is>
          <t>Eligible</t>
        </is>
      </c>
      <c r="N404" s="168">
        <f>IF(OR(J404="",L404=""),"",L404-J404)</f>
        <v/>
      </c>
      <c r="O404" s="169">
        <f>IF(OR(J404="",L404=""),"",L404/J404-1)</f>
        <v/>
      </c>
      <c r="P404" s="169">
        <f>IF(OR(J404="",K404=""),"",K404/J404-1)</f>
        <v/>
      </c>
      <c r="Q404" s="54">
        <f>IF(AND(ISNUMBER(J404),ISNUMBER(L404)),1,0)</f>
        <v/>
      </c>
      <c r="R404" s="69">
        <f>IF(Q404=1,G404*L404,0)</f>
        <v/>
      </c>
      <c r="S404" s="69">
        <f>IF(Q404=1,(H404+I404)*U404,0)</f>
        <v/>
      </c>
      <c r="T404" s="59">
        <f>IF(Q404=1,G404,0)</f>
        <v/>
      </c>
      <c r="U404" s="170" t="n">
        <v>1</v>
      </c>
    </row>
    <row r="405">
      <c r="A405" s="54" t="inlineStr">
        <is>
          <t>US SL B6</t>
        </is>
      </c>
      <c r="B405" s="54" t="inlineStr">
        <is>
          <t>US</t>
        </is>
      </c>
      <c r="C405" s="54" t="inlineStr">
        <is>
          <t>B0DDTY5RQX</t>
        </is>
      </c>
      <c r="D405" s="54" t="n"/>
      <c r="E405" s="54" t="inlineStr">
        <is>
          <t>Twin</t>
        </is>
      </c>
      <c r="F405" s="54" t="n"/>
      <c r="G405" s="55" t="n">
        <v>0</v>
      </c>
      <c r="H405" s="167" t="n"/>
      <c r="I405" s="167" t="n"/>
      <c r="J405" s="168">
        <f>IF(AND(N(G405)&gt;0,N(H405)+N(I405)&gt;0),(H405+I405)*U405/G405,"")</f>
        <v/>
      </c>
      <c r="K405" s="167" t="n">
        <v>61.99</v>
      </c>
      <c r="L405" s="167" t="n">
        <v>58.89</v>
      </c>
      <c r="M405" s="54" t="inlineStr">
        <is>
          <t>Eligible</t>
        </is>
      </c>
      <c r="N405" s="168">
        <f>IF(OR(J405="",L405=""),"",L405-J405)</f>
        <v/>
      </c>
      <c r="O405" s="169">
        <f>IF(OR(J405="",L405=""),"",L405/J405-1)</f>
        <v/>
      </c>
      <c r="P405" s="169">
        <f>IF(OR(J405="",K405=""),"",K405/J405-1)</f>
        <v/>
      </c>
      <c r="Q405" s="54">
        <f>IF(AND(ISNUMBER(J405),ISNUMBER(L405)),1,0)</f>
        <v/>
      </c>
      <c r="R405" s="69">
        <f>IF(Q405=1,G405*L405,0)</f>
        <v/>
      </c>
      <c r="S405" s="69">
        <f>IF(Q405=1,(H405+I405)*U405,0)</f>
        <v/>
      </c>
      <c r="T405" s="59">
        <f>IF(Q405=1,G405,0)</f>
        <v/>
      </c>
      <c r="U405" s="170" t="n">
        <v>1</v>
      </c>
    </row>
    <row r="406">
      <c r="A406" s="54" t="inlineStr">
        <is>
          <t>US SL B6</t>
        </is>
      </c>
      <c r="B406" s="54" t="inlineStr">
        <is>
          <t>US</t>
        </is>
      </c>
      <c r="C406" s="54" t="inlineStr">
        <is>
          <t>B0DDV12K7H</t>
        </is>
      </c>
      <c r="D406" s="54" t="n"/>
      <c r="E406" s="54" t="inlineStr">
        <is>
          <t>Twin</t>
        </is>
      </c>
      <c r="F406" s="54" t="n"/>
      <c r="G406" s="55" t="n">
        <v>0</v>
      </c>
      <c r="H406" s="167" t="n"/>
      <c r="I406" s="167" t="n"/>
      <c r="J406" s="168">
        <f>IF(AND(N(G406)&gt;0,N(H406)+N(I406)&gt;0),(H406+I406)*U406/G406,"")</f>
        <v/>
      </c>
      <c r="K406" s="167" t="n">
        <v>54.99</v>
      </c>
      <c r="L406" s="167" t="n">
        <v>54.99</v>
      </c>
      <c r="M406" s="54" t="inlineStr">
        <is>
          <t>Eligible</t>
        </is>
      </c>
      <c r="N406" s="168">
        <f>IF(OR(J406="",L406=""),"",L406-J406)</f>
        <v/>
      </c>
      <c r="O406" s="169">
        <f>IF(OR(J406="",L406=""),"",L406/J406-1)</f>
        <v/>
      </c>
      <c r="P406" s="169">
        <f>IF(OR(J406="",K406=""),"",K406/J406-1)</f>
        <v/>
      </c>
      <c r="Q406" s="54">
        <f>IF(AND(ISNUMBER(J406),ISNUMBER(L406)),1,0)</f>
        <v/>
      </c>
      <c r="R406" s="69">
        <f>IF(Q406=1,G406*L406,0)</f>
        <v/>
      </c>
      <c r="S406" s="69">
        <f>IF(Q406=1,(H406+I406)*U406,0)</f>
        <v/>
      </c>
      <c r="T406" s="59">
        <f>IF(Q406=1,G406,0)</f>
        <v/>
      </c>
      <c r="U406" s="170" t="n">
        <v>1</v>
      </c>
    </row>
    <row r="407">
      <c r="A407" s="54" t="inlineStr">
        <is>
          <t>US SL B6</t>
        </is>
      </c>
      <c r="B407" s="54" t="inlineStr">
        <is>
          <t>US</t>
        </is>
      </c>
      <c r="C407" s="54" t="inlineStr">
        <is>
          <t>B0DDTWR1JB</t>
        </is>
      </c>
      <c r="D407" s="54" t="n"/>
      <c r="E407" s="54" t="inlineStr">
        <is>
          <t>Twin</t>
        </is>
      </c>
      <c r="F407" s="54" t="n"/>
      <c r="G407" s="55" t="n">
        <v>0</v>
      </c>
      <c r="H407" s="167" t="n"/>
      <c r="I407" s="167" t="n"/>
      <c r="J407" s="168">
        <f>IF(AND(N(G407)&gt;0,N(H407)+N(I407)&gt;0),(H407+I407)*U407/G407,"")</f>
        <v/>
      </c>
      <c r="K407" s="167" t="n">
        <v>54.99</v>
      </c>
      <c r="L407" s="167" t="n">
        <v>54.99</v>
      </c>
      <c r="M407" s="54" t="inlineStr">
        <is>
          <t>Eligible</t>
        </is>
      </c>
      <c r="N407" s="168">
        <f>IF(OR(J407="",L407=""),"",L407-J407)</f>
        <v/>
      </c>
      <c r="O407" s="169">
        <f>IF(OR(J407="",L407=""),"",L407/J407-1)</f>
        <v/>
      </c>
      <c r="P407" s="169">
        <f>IF(OR(J407="",K407=""),"",K407/J407-1)</f>
        <v/>
      </c>
      <c r="Q407" s="54">
        <f>IF(AND(ISNUMBER(J407),ISNUMBER(L407)),1,0)</f>
        <v/>
      </c>
      <c r="R407" s="69">
        <f>IF(Q407=1,G407*L407,0)</f>
        <v/>
      </c>
      <c r="S407" s="69">
        <f>IF(Q407=1,(H407+I407)*U407,0)</f>
        <v/>
      </c>
      <c r="T407" s="59">
        <f>IF(Q407=1,G407,0)</f>
        <v/>
      </c>
      <c r="U407" s="170" t="n">
        <v>1</v>
      </c>
    </row>
    <row r="408">
      <c r="A408" s="54" t="inlineStr">
        <is>
          <t>US SL B6</t>
        </is>
      </c>
      <c r="B408" s="54" t="inlineStr">
        <is>
          <t>US</t>
        </is>
      </c>
      <c r="C408" s="54" t="inlineStr">
        <is>
          <t>B0DDTX2YF4</t>
        </is>
      </c>
      <c r="D408" s="54" t="inlineStr">
        <is>
          <t>SS-BAMBOO-LIGHT-BLUE-TWIN-4PCS</t>
        </is>
      </c>
      <c r="E408" s="54" t="inlineStr">
        <is>
          <t>Twin</t>
        </is>
      </c>
      <c r="F408" s="54" t="inlineStr">
        <is>
          <t>Light Blue</t>
        </is>
      </c>
      <c r="G408" s="55" t="n">
        <v>0</v>
      </c>
      <c r="H408" s="167" t="n"/>
      <c r="I408" s="167" t="n"/>
      <c r="J408" s="168">
        <f>IF(AND(N(G408)&gt;0,N(H408)+N(I408)&gt;0),(H408+I408)*U408/G408,"")</f>
        <v/>
      </c>
      <c r="K408" s="167" t="n">
        <v>54.99</v>
      </c>
      <c r="L408" s="167" t="n">
        <v>54.99</v>
      </c>
      <c r="M408" s="54" t="inlineStr">
        <is>
          <t>Eligible</t>
        </is>
      </c>
      <c r="N408" s="168">
        <f>IF(OR(J408="",L408=""),"",L408-J408)</f>
        <v/>
      </c>
      <c r="O408" s="169">
        <f>IF(OR(J408="",L408=""),"",L408/J408-1)</f>
        <v/>
      </c>
      <c r="P408" s="169">
        <f>IF(OR(J408="",K408=""),"",K408/J408-1)</f>
        <v/>
      </c>
      <c r="Q408" s="54">
        <f>IF(AND(ISNUMBER(J408),ISNUMBER(L408)),1,0)</f>
        <v/>
      </c>
      <c r="R408" s="69">
        <f>IF(Q408=1,G408*L408,0)</f>
        <v/>
      </c>
      <c r="S408" s="69">
        <f>IF(Q408=1,(H408+I408)*U408,0)</f>
        <v/>
      </c>
      <c r="T408" s="59">
        <f>IF(Q408=1,G408,0)</f>
        <v/>
      </c>
      <c r="U408" s="170" t="n">
        <v>1</v>
      </c>
    </row>
    <row r="409">
      <c r="A409" s="54" t="inlineStr">
        <is>
          <t>US SL B6</t>
        </is>
      </c>
      <c r="B409" s="54" t="inlineStr">
        <is>
          <t>US</t>
        </is>
      </c>
      <c r="C409" s="54" t="inlineStr">
        <is>
          <t>B0DDTZ4C2J</t>
        </is>
      </c>
      <c r="D409" s="54" t="inlineStr">
        <is>
          <t>SS-BAMBOO-NAVY-BLUE-TWIN-4PCS</t>
        </is>
      </c>
      <c r="E409" s="54" t="inlineStr">
        <is>
          <t>Twin</t>
        </is>
      </c>
      <c r="F409" s="54" t="inlineStr">
        <is>
          <t>Navy Blue</t>
        </is>
      </c>
      <c r="G409" s="55" t="n">
        <v>0</v>
      </c>
      <c r="H409" s="167" t="n"/>
      <c r="I409" s="167" t="n"/>
      <c r="J409" s="168">
        <f>IF(AND(N(G409)&gt;0,N(H409)+N(I409)&gt;0),(H409+I409)*U409/G409,"")</f>
        <v/>
      </c>
      <c r="K409" s="167" t="n">
        <v>54.99</v>
      </c>
      <c r="L409" s="167" t="n">
        <v>54.99</v>
      </c>
      <c r="M409" s="54" t="inlineStr">
        <is>
          <t>Eligible</t>
        </is>
      </c>
      <c r="N409" s="168">
        <f>IF(OR(J409="",L409=""),"",L409-J409)</f>
        <v/>
      </c>
      <c r="O409" s="169">
        <f>IF(OR(J409="",L409=""),"",L409/J409-1)</f>
        <v/>
      </c>
      <c r="P409" s="169">
        <f>IF(OR(J409="",K409=""),"",K409/J409-1)</f>
        <v/>
      </c>
      <c r="Q409" s="54">
        <f>IF(AND(ISNUMBER(J409),ISNUMBER(L409)),1,0)</f>
        <v/>
      </c>
      <c r="R409" s="69">
        <f>IF(Q409=1,G409*L409,0)</f>
        <v/>
      </c>
      <c r="S409" s="69">
        <f>IF(Q409=1,(H409+I409)*U409,0)</f>
        <v/>
      </c>
      <c r="T409" s="59">
        <f>IF(Q409=1,G409,0)</f>
        <v/>
      </c>
      <c r="U409" s="170" t="n">
        <v>1</v>
      </c>
    </row>
    <row r="410">
      <c r="A410" s="54" t="inlineStr">
        <is>
          <t>US SL B6</t>
        </is>
      </c>
      <c r="B410" s="54" t="inlineStr">
        <is>
          <t>US</t>
        </is>
      </c>
      <c r="C410" s="54" t="inlineStr">
        <is>
          <t>B0DDTZJVSL</t>
        </is>
      </c>
      <c r="D410" s="54" t="inlineStr">
        <is>
          <t>SS-BAMBOO-PURPLE-TWIN-4PCS</t>
        </is>
      </c>
      <c r="E410" s="54" t="inlineStr">
        <is>
          <t>Twin</t>
        </is>
      </c>
      <c r="F410" s="54" t="inlineStr">
        <is>
          <t>Purple</t>
        </is>
      </c>
      <c r="G410" s="55" t="n">
        <v>0</v>
      </c>
      <c r="H410" s="167" t="n"/>
      <c r="I410" s="167" t="n"/>
      <c r="J410" s="168">
        <f>IF(AND(N(G410)&gt;0,N(H410)+N(I410)&gt;0),(H410+I410)*U410/G410,"")</f>
        <v/>
      </c>
      <c r="K410" s="167" t="n">
        <v>54.99</v>
      </c>
      <c r="L410" s="167" t="n">
        <v>54.99</v>
      </c>
      <c r="M410" s="54" t="inlineStr">
        <is>
          <t>Eligible</t>
        </is>
      </c>
      <c r="N410" s="168">
        <f>IF(OR(J410="",L410=""),"",L410-J410)</f>
        <v/>
      </c>
      <c r="O410" s="169">
        <f>IF(OR(J410="",L410=""),"",L410/J410-1)</f>
        <v/>
      </c>
      <c r="P410" s="169">
        <f>IF(OR(J410="",K410=""),"",K410/J410-1)</f>
        <v/>
      </c>
      <c r="Q410" s="54">
        <f>IF(AND(ISNUMBER(J410),ISNUMBER(L410)),1,0)</f>
        <v/>
      </c>
      <c r="R410" s="69">
        <f>IF(Q410=1,G410*L410,0)</f>
        <v/>
      </c>
      <c r="S410" s="69">
        <f>IF(Q410=1,(H410+I410)*U410,0)</f>
        <v/>
      </c>
      <c r="T410" s="59">
        <f>IF(Q410=1,G410,0)</f>
        <v/>
      </c>
      <c r="U410" s="170" t="n">
        <v>1</v>
      </c>
    </row>
    <row r="411">
      <c r="A411" s="54" t="inlineStr">
        <is>
          <t>US SL B6</t>
        </is>
      </c>
      <c r="B411" s="54" t="inlineStr">
        <is>
          <t>US</t>
        </is>
      </c>
      <c r="C411" s="54" t="inlineStr">
        <is>
          <t>B0DDTZLDHH</t>
        </is>
      </c>
      <c r="D411" s="54" t="inlineStr">
        <is>
          <t>SS-BAMBOO-SAGE-GREEN-TWIN-4PCS</t>
        </is>
      </c>
      <c r="E411" s="54" t="inlineStr">
        <is>
          <t>Twin</t>
        </is>
      </c>
      <c r="F411" s="54" t="inlineStr">
        <is>
          <t>Sage Green</t>
        </is>
      </c>
      <c r="G411" s="55" t="n">
        <v>0</v>
      </c>
      <c r="H411" s="167" t="n"/>
      <c r="I411" s="167" t="n"/>
      <c r="J411" s="168">
        <f>IF(AND(N(G411)&gt;0,N(H411)+N(I411)&gt;0),(H411+I411)*U411/G411,"")</f>
        <v/>
      </c>
      <c r="K411" s="167" t="n">
        <v>54.99</v>
      </c>
      <c r="L411" s="167" t="n">
        <v>54.99</v>
      </c>
      <c r="M411" s="54" t="inlineStr">
        <is>
          <t>Eligible</t>
        </is>
      </c>
      <c r="N411" s="168">
        <f>IF(OR(J411="",L411=""),"",L411-J411)</f>
        <v/>
      </c>
      <c r="O411" s="169">
        <f>IF(OR(J411="",L411=""),"",L411/J411-1)</f>
        <v/>
      </c>
      <c r="P411" s="169">
        <f>IF(OR(J411="",K411=""),"",K411/J411-1)</f>
        <v/>
      </c>
      <c r="Q411" s="54">
        <f>IF(AND(ISNUMBER(J411),ISNUMBER(L411)),1,0)</f>
        <v/>
      </c>
      <c r="R411" s="69">
        <f>IF(Q411=1,G411*L411,0)</f>
        <v/>
      </c>
      <c r="S411" s="69">
        <f>IF(Q411=1,(H411+I411)*U411,0)</f>
        <v/>
      </c>
      <c r="T411" s="59">
        <f>IF(Q411=1,G411,0)</f>
        <v/>
      </c>
      <c r="U411" s="170" t="n">
        <v>1</v>
      </c>
    </row>
    <row r="412">
      <c r="A412" s="54" t="inlineStr">
        <is>
          <t>US SL B6</t>
        </is>
      </c>
      <c r="B412" s="54" t="inlineStr">
        <is>
          <t>US</t>
        </is>
      </c>
      <c r="C412" s="54" t="inlineStr">
        <is>
          <t>B0DDTYZ5R2</t>
        </is>
      </c>
      <c r="D412" s="54" t="inlineStr">
        <is>
          <t>SS-BAMBOO-TAUPE-TWIN-4PCS</t>
        </is>
      </c>
      <c r="E412" s="54" t="inlineStr">
        <is>
          <t>Twin</t>
        </is>
      </c>
      <c r="F412" s="54" t="inlineStr">
        <is>
          <t>Taupe</t>
        </is>
      </c>
      <c r="G412" s="55" t="n">
        <v>0</v>
      </c>
      <c r="H412" s="167" t="n"/>
      <c r="I412" s="167" t="n"/>
      <c r="J412" s="168">
        <f>IF(AND(N(G412)&gt;0,N(H412)+N(I412)&gt;0),(H412+I412)*U412/G412,"")</f>
        <v/>
      </c>
      <c r="K412" s="167" t="n">
        <v>54.99</v>
      </c>
      <c r="L412" s="167" t="n">
        <v>54.99</v>
      </c>
      <c r="M412" s="54" t="inlineStr">
        <is>
          <t>Eligible</t>
        </is>
      </c>
      <c r="N412" s="168">
        <f>IF(OR(J412="",L412=""),"",L412-J412)</f>
        <v/>
      </c>
      <c r="O412" s="169">
        <f>IF(OR(J412="",L412=""),"",L412/J412-1)</f>
        <v/>
      </c>
      <c r="P412" s="169">
        <f>IF(OR(J412="",K412=""),"",K412/J412-1)</f>
        <v/>
      </c>
      <c r="Q412" s="54">
        <f>IF(AND(ISNUMBER(J412),ISNUMBER(L412)),1,0)</f>
        <v/>
      </c>
      <c r="R412" s="69">
        <f>IF(Q412=1,G412*L412,0)</f>
        <v/>
      </c>
      <c r="S412" s="69">
        <f>IF(Q412=1,(H412+I412)*U412,0)</f>
        <v/>
      </c>
      <c r="T412" s="59">
        <f>IF(Q412=1,G412,0)</f>
        <v/>
      </c>
      <c r="U412" s="170" t="n">
        <v>1</v>
      </c>
    </row>
    <row r="413">
      <c r="A413" s="54" t="inlineStr">
        <is>
          <t>US SL B4</t>
        </is>
      </c>
      <c r="B413" s="54" t="inlineStr">
        <is>
          <t>US</t>
        </is>
      </c>
      <c r="C413" s="54" t="inlineStr">
        <is>
          <t>B0DDTWR1JB</t>
        </is>
      </c>
      <c r="D413" s="54" t="inlineStr">
        <is>
          <t>SS-BAMBOO-BLACK-TWIN-4PCS</t>
        </is>
      </c>
      <c r="E413" s="54" t="inlineStr">
        <is>
          <t>Twin</t>
        </is>
      </c>
      <c r="F413" s="54" t="inlineStr">
        <is>
          <t>Black</t>
        </is>
      </c>
      <c r="G413" s="55" t="n">
        <v>0</v>
      </c>
      <c r="H413" s="167" t="n"/>
      <c r="I413" s="167" t="n"/>
      <c r="J413" s="168">
        <f>IF(AND(N(G413)&gt;0,N(H413)+N(I413)&gt;0),(H413+I413)*U413/G413,"")</f>
        <v/>
      </c>
      <c r="K413" s="167" t="n">
        <v>54.99</v>
      </c>
      <c r="L413" s="167" t="n">
        <v>54.99</v>
      </c>
      <c r="M413" s="54" t="inlineStr">
        <is>
          <t>Eligible</t>
        </is>
      </c>
      <c r="N413" s="168">
        <f>IF(OR(J413="",L413=""),"",L413-J413)</f>
        <v/>
      </c>
      <c r="O413" s="169">
        <f>IF(OR(J413="",L413=""),"",L413/J413-1)</f>
        <v/>
      </c>
      <c r="P413" s="169">
        <f>IF(OR(J413="",K413=""),"",K413/J413-1)</f>
        <v/>
      </c>
      <c r="Q413" s="54">
        <f>IF(AND(ISNUMBER(J413),ISNUMBER(L413)),1,0)</f>
        <v/>
      </c>
      <c r="R413" s="69">
        <f>IF(Q413=1,G413*L413,0)</f>
        <v/>
      </c>
      <c r="S413" s="69">
        <f>IF(Q413=1,(H413+I413)*U413,0)</f>
        <v/>
      </c>
      <c r="T413" s="59">
        <f>IF(Q413=1,G413,0)</f>
        <v/>
      </c>
      <c r="U413" s="170" t="n">
        <v>1</v>
      </c>
    </row>
    <row r="414">
      <c r="A414" s="54" t="inlineStr">
        <is>
          <t>US SL B4</t>
        </is>
      </c>
      <c r="B414" s="54" t="inlineStr">
        <is>
          <t>US</t>
        </is>
      </c>
      <c r="C414" s="54" t="inlineStr">
        <is>
          <t>B0DDV12K7H</t>
        </is>
      </c>
      <c r="D414" s="54" t="inlineStr">
        <is>
          <t>SS-BAMBOO-BURGUNDY-TWIN-4PCS</t>
        </is>
      </c>
      <c r="E414" s="54" t="inlineStr">
        <is>
          <t>Twin</t>
        </is>
      </c>
      <c r="F414" s="54" t="inlineStr">
        <is>
          <t>Burgundy</t>
        </is>
      </c>
      <c r="G414" s="55" t="n">
        <v>0</v>
      </c>
      <c r="H414" s="167" t="n"/>
      <c r="I414" s="167" t="n"/>
      <c r="J414" s="168">
        <f>IF(AND(N(G414)&gt;0,N(H414)+N(I414)&gt;0),(H414+I414)*U414/G414,"")</f>
        <v/>
      </c>
      <c r="K414" s="167" t="n">
        <v>54.99</v>
      </c>
      <c r="L414" s="167" t="n">
        <v>54.99</v>
      </c>
      <c r="M414" s="54" t="inlineStr">
        <is>
          <t>Eligible</t>
        </is>
      </c>
      <c r="N414" s="168">
        <f>IF(OR(J414="",L414=""),"",L414-J414)</f>
        <v/>
      </c>
      <c r="O414" s="169">
        <f>IF(OR(J414="",L414=""),"",L414/J414-1)</f>
        <v/>
      </c>
      <c r="P414" s="169">
        <f>IF(OR(J414="",K414=""),"",K414/J414-1)</f>
        <v/>
      </c>
      <c r="Q414" s="54">
        <f>IF(AND(ISNUMBER(J414),ISNUMBER(L414)),1,0)</f>
        <v/>
      </c>
      <c r="R414" s="69">
        <f>IF(Q414=1,G414*L414,0)</f>
        <v/>
      </c>
      <c r="S414" s="69">
        <f>IF(Q414=1,(H414+I414)*U414,0)</f>
        <v/>
      </c>
      <c r="T414" s="59">
        <f>IF(Q414=1,G414,0)</f>
        <v/>
      </c>
      <c r="U414" s="170" t="n">
        <v>1</v>
      </c>
    </row>
    <row r="415">
      <c r="A415" s="54" t="inlineStr">
        <is>
          <t>US SL B4</t>
        </is>
      </c>
      <c r="B415" s="54" t="inlineStr">
        <is>
          <t>US</t>
        </is>
      </c>
      <c r="C415" s="54" t="inlineStr">
        <is>
          <t>B0DDTY5RQX</t>
        </is>
      </c>
      <c r="D415" s="54" t="inlineStr">
        <is>
          <t>SS-BAMBOO-CHARCOAL-TWIN-4PCS</t>
        </is>
      </c>
      <c r="E415" s="54" t="inlineStr">
        <is>
          <t>Twin</t>
        </is>
      </c>
      <c r="F415" s="54" t="inlineStr">
        <is>
          <t>Charcoal</t>
        </is>
      </c>
      <c r="G415" s="55" t="n">
        <v>0</v>
      </c>
      <c r="H415" s="167" t="n"/>
      <c r="I415" s="167" t="n"/>
      <c r="J415" s="168">
        <f>IF(AND(N(G415)&gt;0,N(H415)+N(I415)&gt;0),(H415+I415)*U415/G415,"")</f>
        <v/>
      </c>
      <c r="K415" s="167" t="n">
        <v>61.99</v>
      </c>
      <c r="L415" s="167" t="n">
        <v>58.89</v>
      </c>
      <c r="M415" s="54" t="inlineStr">
        <is>
          <t>Eligible</t>
        </is>
      </c>
      <c r="N415" s="168">
        <f>IF(OR(J415="",L415=""),"",L415-J415)</f>
        <v/>
      </c>
      <c r="O415" s="169">
        <f>IF(OR(J415="",L415=""),"",L415/J415-1)</f>
        <v/>
      </c>
      <c r="P415" s="169">
        <f>IF(OR(J415="",K415=""),"",K415/J415-1)</f>
        <v/>
      </c>
      <c r="Q415" s="54">
        <f>IF(AND(ISNUMBER(J415),ISNUMBER(L415)),1,0)</f>
        <v/>
      </c>
      <c r="R415" s="69">
        <f>IF(Q415=1,G415*L415,0)</f>
        <v/>
      </c>
      <c r="S415" s="69">
        <f>IF(Q415=1,(H415+I415)*U415,0)</f>
        <v/>
      </c>
      <c r="T415" s="59">
        <f>IF(Q415=1,G415,0)</f>
        <v/>
      </c>
      <c r="U415" s="170" t="n">
        <v>1</v>
      </c>
    </row>
    <row r="416">
      <c r="A416" s="54" t="inlineStr">
        <is>
          <t>US DC S4</t>
        </is>
      </c>
      <c r="B416" s="54" t="inlineStr">
        <is>
          <t>US</t>
        </is>
      </c>
      <c r="C416" s="54" t="inlineStr">
        <is>
          <t>B0839MKJMV</t>
        </is>
      </c>
      <c r="D416" s="54" t="inlineStr">
        <is>
          <t>SATIN-QUEEN-BLACK</t>
        </is>
      </c>
      <c r="E416" s="54" t="inlineStr">
        <is>
          <t>Queen</t>
        </is>
      </c>
      <c r="F416" s="54" t="inlineStr">
        <is>
          <t>Black</t>
        </is>
      </c>
      <c r="G416" s="55" t="n">
        <v>751</v>
      </c>
      <c r="H416" s="167" t="n">
        <v>19882.73</v>
      </c>
      <c r="I416" s="167" t="n">
        <v>0</v>
      </c>
      <c r="J416" s="168">
        <f>IF(AND(N(G416)&gt;0,N(H416)+N(I416)&gt;0),(H416+I416)*U416/G416,"")</f>
        <v/>
      </c>
      <c r="K416" s="167" t="n">
        <v>29.95</v>
      </c>
      <c r="L416" s="167" t="n">
        <v>25</v>
      </c>
      <c r="M416" s="54" t="inlineStr">
        <is>
          <t>Eligible</t>
        </is>
      </c>
      <c r="N416" s="168">
        <f>IF(OR(J416="",L416=""),"",L416-J416)</f>
        <v/>
      </c>
      <c r="O416" s="169">
        <f>IF(OR(J416="",L416=""),"",L416/J416-1)</f>
        <v/>
      </c>
      <c r="P416" s="169">
        <f>IF(OR(J416="",K416=""),"",K416/J416-1)</f>
        <v/>
      </c>
      <c r="Q416" s="54">
        <f>IF(AND(ISNUMBER(J416),ISNUMBER(L416)),1,0)</f>
        <v/>
      </c>
      <c r="R416" s="69">
        <f>IF(Q416=1,G416*L416,0)</f>
        <v/>
      </c>
      <c r="S416" s="69">
        <f>IF(Q416=1,(H416+I416)*U416,0)</f>
        <v/>
      </c>
      <c r="T416" s="59">
        <f>IF(Q416=1,G416,0)</f>
        <v/>
      </c>
      <c r="U416" s="170" t="n">
        <v>1</v>
      </c>
    </row>
    <row r="417">
      <c r="A417" s="54" t="inlineStr">
        <is>
          <t>US DC S4</t>
        </is>
      </c>
      <c r="B417" s="54" t="inlineStr">
        <is>
          <t>US</t>
        </is>
      </c>
      <c r="C417" s="54" t="inlineStr">
        <is>
          <t>B0839LQK8K</t>
        </is>
      </c>
      <c r="D417" s="54" t="inlineStr">
        <is>
          <t>SATIN-QUEEN-GREY</t>
        </is>
      </c>
      <c r="E417" s="54" t="inlineStr">
        <is>
          <t>Queen</t>
        </is>
      </c>
      <c r="F417" s="54" t="inlineStr">
        <is>
          <t>Grey</t>
        </is>
      </c>
      <c r="G417" s="55" t="n">
        <v>328</v>
      </c>
      <c r="H417" s="167" t="n">
        <v>9116.1</v>
      </c>
      <c r="I417" s="167" t="n">
        <v>0</v>
      </c>
      <c r="J417" s="168">
        <f>IF(AND(N(G417)&gt;0,N(H417)+N(I417)&gt;0),(H417+I417)*U417/G417,"")</f>
        <v/>
      </c>
      <c r="K417" s="167" t="n">
        <v>29.95</v>
      </c>
      <c r="L417" s="167" t="n">
        <v>26.96</v>
      </c>
      <c r="M417" s="54" t="inlineStr">
        <is>
          <t>Eligible</t>
        </is>
      </c>
      <c r="N417" s="168">
        <f>IF(OR(J417="",L417=""),"",L417-J417)</f>
        <v/>
      </c>
      <c r="O417" s="169">
        <f>IF(OR(J417="",L417=""),"",L417/J417-1)</f>
        <v/>
      </c>
      <c r="P417" s="169">
        <f>IF(OR(J417="",K417=""),"",K417/J417-1)</f>
        <v/>
      </c>
      <c r="Q417" s="54">
        <f>IF(AND(ISNUMBER(J417),ISNUMBER(L417)),1,0)</f>
        <v/>
      </c>
      <c r="R417" s="69">
        <f>IF(Q417=1,G417*L417,0)</f>
        <v/>
      </c>
      <c r="S417" s="69">
        <f>IF(Q417=1,(H417+I417)*U417,0)</f>
        <v/>
      </c>
      <c r="T417" s="59">
        <f>IF(Q417=1,G417,0)</f>
        <v/>
      </c>
      <c r="U417" s="170" t="n">
        <v>1</v>
      </c>
    </row>
    <row r="418">
      <c r="A418" s="54" t="inlineStr">
        <is>
          <t>US DC S4</t>
        </is>
      </c>
      <c r="B418" s="54" t="inlineStr">
        <is>
          <t>US</t>
        </is>
      </c>
      <c r="C418" s="54" t="inlineStr">
        <is>
          <t>B0839LD2WQ</t>
        </is>
      </c>
      <c r="D418" s="54" t="inlineStr">
        <is>
          <t>SATIN-KING-BLACK</t>
        </is>
      </c>
      <c r="E418" s="54" t="inlineStr">
        <is>
          <t>King</t>
        </is>
      </c>
      <c r="F418" s="54" t="inlineStr">
        <is>
          <t>Black</t>
        </is>
      </c>
      <c r="G418" s="55" t="n">
        <v>302</v>
      </c>
      <c r="H418" s="167" t="n">
        <v>9033.530000000001</v>
      </c>
      <c r="I418" s="167" t="n">
        <v>0</v>
      </c>
      <c r="J418" s="168">
        <f>IF(AND(N(G418)&gt;0,N(H418)+N(I418)&gt;0),(H418+I418)*U418/G418,"")</f>
        <v/>
      </c>
      <c r="K418" s="167" t="n">
        <v>33.95</v>
      </c>
      <c r="L418" s="167" t="n">
        <v>30.56</v>
      </c>
      <c r="M418" s="54" t="inlineStr">
        <is>
          <t>Eligible</t>
        </is>
      </c>
      <c r="N418" s="168">
        <f>IF(OR(J418="",L418=""),"",L418-J418)</f>
        <v/>
      </c>
      <c r="O418" s="169">
        <f>IF(OR(J418="",L418=""),"",L418/J418-1)</f>
        <v/>
      </c>
      <c r="P418" s="169">
        <f>IF(OR(J418="",K418=""),"",K418/J418-1)</f>
        <v/>
      </c>
      <c r="Q418" s="54">
        <f>IF(AND(ISNUMBER(J418),ISNUMBER(L418)),1,0)</f>
        <v/>
      </c>
      <c r="R418" s="69">
        <f>IF(Q418=1,G418*L418,0)</f>
        <v/>
      </c>
      <c r="S418" s="69">
        <f>IF(Q418=1,(H418+I418)*U418,0)</f>
        <v/>
      </c>
      <c r="T418" s="59">
        <f>IF(Q418=1,G418,0)</f>
        <v/>
      </c>
      <c r="U418" s="170" t="n">
        <v>1</v>
      </c>
    </row>
    <row r="419">
      <c r="A419" s="54" t="inlineStr">
        <is>
          <t>US DC S4</t>
        </is>
      </c>
      <c r="B419" s="54" t="inlineStr">
        <is>
          <t>US</t>
        </is>
      </c>
      <c r="C419" s="54" t="inlineStr">
        <is>
          <t>B0839LCXBP</t>
        </is>
      </c>
      <c r="D419" s="54" t="inlineStr">
        <is>
          <t>SATIN-FULL-BLACK</t>
        </is>
      </c>
      <c r="E419" s="54" t="inlineStr">
        <is>
          <t>Full</t>
        </is>
      </c>
      <c r="F419" s="54" t="inlineStr">
        <is>
          <t>Black</t>
        </is>
      </c>
      <c r="G419" s="55" t="n">
        <v>211</v>
      </c>
      <c r="H419" s="167" t="n">
        <v>6002.95</v>
      </c>
      <c r="I419" s="167" t="n">
        <v>0</v>
      </c>
      <c r="J419" s="168">
        <f>IF(AND(N(G419)&gt;0,N(H419)+N(I419)&gt;0),(H419+I419)*U419/G419,"")</f>
        <v/>
      </c>
      <c r="K419" s="167" t="n">
        <v>29.95</v>
      </c>
      <c r="L419" s="167" t="n">
        <v>27.95</v>
      </c>
      <c r="M419" s="54" t="inlineStr">
        <is>
          <t>Eligible</t>
        </is>
      </c>
      <c r="N419" s="168">
        <f>IF(OR(J419="",L419=""),"",L419-J419)</f>
        <v/>
      </c>
      <c r="O419" s="169">
        <f>IF(OR(J419="",L419=""),"",L419/J419-1)</f>
        <v/>
      </c>
      <c r="P419" s="169">
        <f>IF(OR(J419="",K419=""),"",K419/J419-1)</f>
        <v/>
      </c>
      <c r="Q419" s="54">
        <f>IF(AND(ISNUMBER(J419),ISNUMBER(L419)),1,0)</f>
        <v/>
      </c>
      <c r="R419" s="69">
        <f>IF(Q419=1,G419*L419,0)</f>
        <v/>
      </c>
      <c r="S419" s="69">
        <f>IF(Q419=1,(H419+I419)*U419,0)</f>
        <v/>
      </c>
      <c r="T419" s="59">
        <f>IF(Q419=1,G419,0)</f>
        <v/>
      </c>
      <c r="U419" s="170" t="n">
        <v>1</v>
      </c>
    </row>
    <row r="420">
      <c r="A420" s="54" t="inlineStr">
        <is>
          <t>US DC S4</t>
        </is>
      </c>
      <c r="B420" s="54" t="inlineStr">
        <is>
          <t>US</t>
        </is>
      </c>
      <c r="C420" s="54" t="inlineStr">
        <is>
          <t>B0CQRXDZYF</t>
        </is>
      </c>
      <c r="D420" s="54" t="inlineStr">
        <is>
          <t>SATIN-4PC-QUEEN-NAVY BLUE</t>
        </is>
      </c>
      <c r="E420" s="54" t="inlineStr">
        <is>
          <t>Queen</t>
        </is>
      </c>
      <c r="F420" s="54" t="inlineStr">
        <is>
          <t>Navy Blue</t>
        </is>
      </c>
      <c r="G420" s="55" t="n">
        <v>128</v>
      </c>
      <c r="H420" s="167" t="n">
        <v>3270.84</v>
      </c>
      <c r="I420" s="167" t="n">
        <v>0</v>
      </c>
      <c r="J420" s="168">
        <f>IF(AND(N(G420)&gt;0,N(H420)+N(I420)&gt;0),(H420+I420)*U420/G420,"")</f>
        <v/>
      </c>
      <c r="K420" s="167" t="n">
        <v>31.95</v>
      </c>
      <c r="L420" s="167" t="n">
        <v>28.76</v>
      </c>
      <c r="M420" s="54" t="inlineStr">
        <is>
          <t>Eligible</t>
        </is>
      </c>
      <c r="N420" s="168">
        <f>IF(OR(J420="",L420=""),"",L420-J420)</f>
        <v/>
      </c>
      <c r="O420" s="169">
        <f>IF(OR(J420="",L420=""),"",L420/J420-1)</f>
        <v/>
      </c>
      <c r="P420" s="169">
        <f>IF(OR(J420="",K420=""),"",K420/J420-1)</f>
        <v/>
      </c>
      <c r="Q420" s="54">
        <f>IF(AND(ISNUMBER(J420),ISNUMBER(L420)),1,0)</f>
        <v/>
      </c>
      <c r="R420" s="69">
        <f>IF(Q420=1,G420*L420,0)</f>
        <v/>
      </c>
      <c r="S420" s="69">
        <f>IF(Q420=1,(H420+I420)*U420,0)</f>
        <v/>
      </c>
      <c r="T420" s="59">
        <f>IF(Q420=1,G420,0)</f>
        <v/>
      </c>
      <c r="U420" s="170" t="n">
        <v>1</v>
      </c>
    </row>
    <row r="421">
      <c r="A421" s="54" t="inlineStr">
        <is>
          <t>US DC S4</t>
        </is>
      </c>
      <c r="B421" s="54" t="inlineStr">
        <is>
          <t>US</t>
        </is>
      </c>
      <c r="C421" s="54" t="inlineStr">
        <is>
          <t>B08KRXDWNN</t>
        </is>
      </c>
      <c r="D421" s="54" t="inlineStr">
        <is>
          <t>SATIN-WHITE-QUEEN</t>
        </is>
      </c>
      <c r="E421" s="54" t="inlineStr">
        <is>
          <t>Queen</t>
        </is>
      </c>
      <c r="F421" s="54" t="inlineStr">
        <is>
          <t>White</t>
        </is>
      </c>
      <c r="G421" s="55" t="n">
        <v>116</v>
      </c>
      <c r="H421" s="167" t="n">
        <v>3589.4</v>
      </c>
      <c r="I421" s="167" t="n">
        <v>0</v>
      </c>
      <c r="J421" s="168">
        <f>IF(AND(N(G421)&gt;0,N(H421)+N(I421)&gt;0),(H421+I421)*U421/G421,"")</f>
        <v/>
      </c>
      <c r="K421" s="167" t="n">
        <v>31.95</v>
      </c>
      <c r="L421" s="167" t="n">
        <v>28.76</v>
      </c>
      <c r="M421" s="54" t="inlineStr">
        <is>
          <t>Eligible</t>
        </is>
      </c>
      <c r="N421" s="168">
        <f>IF(OR(J421="",L421=""),"",L421-J421)</f>
        <v/>
      </c>
      <c r="O421" s="169">
        <f>IF(OR(J421="",L421=""),"",L421/J421-1)</f>
        <v/>
      </c>
      <c r="P421" s="169">
        <f>IF(OR(J421="",K421=""),"",K421/J421-1)</f>
        <v/>
      </c>
      <c r="Q421" s="54">
        <f>IF(AND(ISNUMBER(J421),ISNUMBER(L421)),1,0)</f>
        <v/>
      </c>
      <c r="R421" s="69">
        <f>IF(Q421=1,G421*L421,0)</f>
        <v/>
      </c>
      <c r="S421" s="69">
        <f>IF(Q421=1,(H421+I421)*U421,0)</f>
        <v/>
      </c>
      <c r="T421" s="59">
        <f>IF(Q421=1,G421,0)</f>
        <v/>
      </c>
      <c r="U421" s="170" t="n">
        <v>1</v>
      </c>
    </row>
    <row r="422">
      <c r="A422" s="54" t="inlineStr">
        <is>
          <t>US DC S4</t>
        </is>
      </c>
      <c r="B422" s="54" t="inlineStr">
        <is>
          <t>US</t>
        </is>
      </c>
      <c r="C422" s="54" t="inlineStr">
        <is>
          <t>B08KRW2BX3</t>
        </is>
      </c>
      <c r="D422" s="54" t="inlineStr">
        <is>
          <t>SATIN-GOLD-QUEEN</t>
        </is>
      </c>
      <c r="E422" s="54" t="inlineStr">
        <is>
          <t>Queen</t>
        </is>
      </c>
      <c r="F422" s="54" t="inlineStr">
        <is>
          <t>Gold</t>
        </is>
      </c>
      <c r="G422" s="55" t="n">
        <v>113</v>
      </c>
      <c r="H422" s="167" t="n">
        <v>3429.55</v>
      </c>
      <c r="I422" s="167" t="n">
        <v>0</v>
      </c>
      <c r="J422" s="168">
        <f>IF(AND(N(G422)&gt;0,N(H422)+N(I422)&gt;0),(H422+I422)*U422/G422,"")</f>
        <v/>
      </c>
      <c r="K422" s="167" t="n">
        <v>31.95</v>
      </c>
      <c r="L422" s="167" t="n">
        <v>30.35</v>
      </c>
      <c r="M422" s="54" t="inlineStr">
        <is>
          <t>Eligible</t>
        </is>
      </c>
      <c r="N422" s="168">
        <f>IF(OR(J422="",L422=""),"",L422-J422)</f>
        <v/>
      </c>
      <c r="O422" s="169">
        <f>IF(OR(J422="",L422=""),"",L422/J422-1)</f>
        <v/>
      </c>
      <c r="P422" s="169">
        <f>IF(OR(J422="",K422=""),"",K422/J422-1)</f>
        <v/>
      </c>
      <c r="Q422" s="54">
        <f>IF(AND(ISNUMBER(J422),ISNUMBER(L422)),1,0)</f>
        <v/>
      </c>
      <c r="R422" s="69">
        <f>IF(Q422=1,G422*L422,0)</f>
        <v/>
      </c>
      <c r="S422" s="69">
        <f>IF(Q422=1,(H422+I422)*U422,0)</f>
        <v/>
      </c>
      <c r="T422" s="59">
        <f>IF(Q422=1,G422,0)</f>
        <v/>
      </c>
      <c r="U422" s="170" t="n">
        <v>1</v>
      </c>
    </row>
    <row r="423">
      <c r="A423" s="54" t="inlineStr">
        <is>
          <t>US DC S4</t>
        </is>
      </c>
      <c r="B423" s="54" t="inlineStr">
        <is>
          <t>US</t>
        </is>
      </c>
      <c r="C423" s="54" t="inlineStr">
        <is>
          <t>B0DBQVGKTV</t>
        </is>
      </c>
      <c r="D423" s="54" t="inlineStr">
        <is>
          <t>SATIN-4PCS-KING-RED</t>
        </is>
      </c>
      <c r="E423" s="54" t="inlineStr">
        <is>
          <t>King</t>
        </is>
      </c>
      <c r="F423" s="54" t="inlineStr">
        <is>
          <t>Red</t>
        </is>
      </c>
      <c r="G423" s="55" t="n">
        <v>106</v>
      </c>
      <c r="H423" s="167" t="n">
        <v>3530.8</v>
      </c>
      <c r="I423" s="167" t="n">
        <v>0</v>
      </c>
      <c r="J423" s="168">
        <f>IF(AND(N(G423)&gt;0,N(H423)+N(I423)&gt;0),(H423+I423)*U423/G423,"")</f>
        <v/>
      </c>
      <c r="K423" s="167" t="n">
        <v>33.95</v>
      </c>
      <c r="L423" s="167" t="n">
        <v>32.25</v>
      </c>
      <c r="M423" s="54" t="inlineStr">
        <is>
          <t>Eligible</t>
        </is>
      </c>
      <c r="N423" s="168">
        <f>IF(OR(J423="",L423=""),"",L423-J423)</f>
        <v/>
      </c>
      <c r="O423" s="169">
        <f>IF(OR(J423="",L423=""),"",L423/J423-1)</f>
        <v/>
      </c>
      <c r="P423" s="169">
        <f>IF(OR(J423="",K423=""),"",K423/J423-1)</f>
        <v/>
      </c>
      <c r="Q423" s="54">
        <f>IF(AND(ISNUMBER(J423),ISNUMBER(L423)),1,0)</f>
        <v/>
      </c>
      <c r="R423" s="69">
        <f>IF(Q423=1,G423*L423,0)</f>
        <v/>
      </c>
      <c r="S423" s="69">
        <f>IF(Q423=1,(H423+I423)*U423,0)</f>
        <v/>
      </c>
      <c r="T423" s="59">
        <f>IF(Q423=1,G423,0)</f>
        <v/>
      </c>
      <c r="U423" s="170" t="n">
        <v>1</v>
      </c>
    </row>
    <row r="424">
      <c r="A424" s="54" t="inlineStr">
        <is>
          <t>US DC S4</t>
        </is>
      </c>
      <c r="B424" s="54" t="inlineStr">
        <is>
          <t>US</t>
        </is>
      </c>
      <c r="C424" s="54" t="inlineStr">
        <is>
          <t>B0839LQG4C</t>
        </is>
      </c>
      <c r="D424" s="54" t="inlineStr">
        <is>
          <t>SATIN-QUEEN-PINK</t>
        </is>
      </c>
      <c r="E424" s="54" t="inlineStr">
        <is>
          <t>Queen</t>
        </is>
      </c>
      <c r="F424" s="54" t="inlineStr">
        <is>
          <t>Pink</t>
        </is>
      </c>
      <c r="G424" s="55" t="n">
        <v>106</v>
      </c>
      <c r="H424" s="167" t="n">
        <v>3217.1</v>
      </c>
      <c r="I424" s="167" t="n">
        <v>0</v>
      </c>
      <c r="J424" s="168">
        <f>IF(AND(N(G424)&gt;0,N(H424)+N(I424)&gt;0),(H424+I424)*U424/G424,"")</f>
        <v/>
      </c>
      <c r="K424" s="167" t="n">
        <v>31.95</v>
      </c>
      <c r="L424" s="167" t="n">
        <v>28.76</v>
      </c>
      <c r="M424" s="54" t="inlineStr">
        <is>
          <t>Eligible</t>
        </is>
      </c>
      <c r="N424" s="168">
        <f>IF(OR(J424="",L424=""),"",L424-J424)</f>
        <v/>
      </c>
      <c r="O424" s="169">
        <f>IF(OR(J424="",L424=""),"",L424/J424-1)</f>
        <v/>
      </c>
      <c r="P424" s="169">
        <f>IF(OR(J424="",K424=""),"",K424/J424-1)</f>
        <v/>
      </c>
      <c r="Q424" s="54">
        <f>IF(AND(ISNUMBER(J424),ISNUMBER(L424)),1,0)</f>
        <v/>
      </c>
      <c r="R424" s="69">
        <f>IF(Q424=1,G424*L424,0)</f>
        <v/>
      </c>
      <c r="S424" s="69">
        <f>IF(Q424=1,(H424+I424)*U424,0)</f>
        <v/>
      </c>
      <c r="T424" s="59">
        <f>IF(Q424=1,G424,0)</f>
        <v/>
      </c>
      <c r="U424" s="170" t="n">
        <v>1</v>
      </c>
    </row>
    <row r="425">
      <c r="A425" s="54" t="inlineStr">
        <is>
          <t>US DC S4</t>
        </is>
      </c>
      <c r="B425" s="54" t="inlineStr">
        <is>
          <t>US</t>
        </is>
      </c>
      <c r="C425" s="54" t="inlineStr">
        <is>
          <t>B0CQRXLH6M</t>
        </is>
      </c>
      <c r="D425" s="54" t="inlineStr">
        <is>
          <t>SATIN-4PC-QUEEN-BABY BLUE</t>
        </is>
      </c>
      <c r="E425" s="54" t="inlineStr">
        <is>
          <t>Queen</t>
        </is>
      </c>
      <c r="F425" s="54" t="inlineStr">
        <is>
          <t>Baby Blue</t>
        </is>
      </c>
      <c r="G425" s="55" t="n">
        <v>101</v>
      </c>
      <c r="H425" s="167" t="n">
        <v>3103.75</v>
      </c>
      <c r="I425" s="167" t="n">
        <v>0</v>
      </c>
      <c r="J425" s="168">
        <f>IF(AND(N(G425)&gt;0,N(H425)+N(I425)&gt;0),(H425+I425)*U425/G425,"")</f>
        <v/>
      </c>
      <c r="K425" s="167" t="n">
        <v>31.95</v>
      </c>
      <c r="L425" s="167" t="n">
        <v>30.35</v>
      </c>
      <c r="M425" s="54" t="inlineStr">
        <is>
          <t>Eligible</t>
        </is>
      </c>
      <c r="N425" s="168">
        <f>IF(OR(J425="",L425=""),"",L425-J425)</f>
        <v/>
      </c>
      <c r="O425" s="169">
        <f>IF(OR(J425="",L425=""),"",L425/J425-1)</f>
        <v/>
      </c>
      <c r="P425" s="169">
        <f>IF(OR(J425="",K425=""),"",K425/J425-1)</f>
        <v/>
      </c>
      <c r="Q425" s="54">
        <f>IF(AND(ISNUMBER(J425),ISNUMBER(L425)),1,0)</f>
        <v/>
      </c>
      <c r="R425" s="69">
        <f>IF(Q425=1,G425*L425,0)</f>
        <v/>
      </c>
      <c r="S425" s="69">
        <f>IF(Q425=1,(H425+I425)*U425,0)</f>
        <v/>
      </c>
      <c r="T425" s="59">
        <f>IF(Q425=1,G425,0)</f>
        <v/>
      </c>
      <c r="U425" s="170" t="n">
        <v>1</v>
      </c>
    </row>
    <row r="426">
      <c r="A426" s="54" t="inlineStr">
        <is>
          <t>US DC S4</t>
        </is>
      </c>
      <c r="B426" s="54" t="inlineStr">
        <is>
          <t>US</t>
        </is>
      </c>
      <c r="C426" s="54" t="inlineStr">
        <is>
          <t>B0DD4JMGXN</t>
        </is>
      </c>
      <c r="D426" s="54" t="inlineStr">
        <is>
          <t>SATIN-4PCS-QUEEN-STONE-GREY</t>
        </is>
      </c>
      <c r="E426" s="54" t="inlineStr">
        <is>
          <t>Queen</t>
        </is>
      </c>
      <c r="F426" s="54" t="inlineStr">
        <is>
          <t>Stone Grey</t>
        </is>
      </c>
      <c r="G426" s="55" t="n">
        <v>97</v>
      </c>
      <c r="H426" s="167" t="n">
        <v>2943.95</v>
      </c>
      <c r="I426" s="167" t="n">
        <v>0</v>
      </c>
      <c r="J426" s="168">
        <f>IF(AND(N(G426)&gt;0,N(H426)+N(I426)&gt;0),(H426+I426)*U426/G426,"")</f>
        <v/>
      </c>
      <c r="K426" s="167" t="n">
        <v>31.95</v>
      </c>
      <c r="L426" s="167" t="n">
        <v>23.96</v>
      </c>
      <c r="M426" s="54" t="inlineStr">
        <is>
          <t>Manual price</t>
        </is>
      </c>
      <c r="N426" s="168">
        <f>IF(OR(J426="",L426=""),"",L426-J426)</f>
        <v/>
      </c>
      <c r="O426" s="169">
        <f>IF(OR(J426="",L426=""),"",L426/J426-1)</f>
        <v/>
      </c>
      <c r="P426" s="169">
        <f>IF(OR(J426="",K426=""),"",K426/J426-1)</f>
        <v/>
      </c>
      <c r="Q426" s="54">
        <f>IF(AND(ISNUMBER(J426),ISNUMBER(L426)),1,0)</f>
        <v/>
      </c>
      <c r="R426" s="69">
        <f>IF(Q426=1,G426*L426,0)</f>
        <v/>
      </c>
      <c r="S426" s="69">
        <f>IF(Q426=1,(H426+I426)*U426,0)</f>
        <v/>
      </c>
      <c r="T426" s="59">
        <f>IF(Q426=1,G426,0)</f>
        <v/>
      </c>
      <c r="U426" s="170" t="n">
        <v>1</v>
      </c>
    </row>
    <row r="427">
      <c r="A427" s="54" t="inlineStr">
        <is>
          <t>US DC S4</t>
        </is>
      </c>
      <c r="B427" s="54" t="inlineStr">
        <is>
          <t>US</t>
        </is>
      </c>
      <c r="C427" s="54" t="inlineStr">
        <is>
          <t>B0839L4HWH</t>
        </is>
      </c>
      <c r="D427" s="54" t="inlineStr">
        <is>
          <t>SATIN-QUEEN-BLUE</t>
        </is>
      </c>
      <c r="E427" s="54" t="inlineStr">
        <is>
          <t>Queen</t>
        </is>
      </c>
      <c r="F427" s="54" t="inlineStr">
        <is>
          <t>Blue</t>
        </is>
      </c>
      <c r="G427" s="55" t="n">
        <v>93</v>
      </c>
      <c r="H427" s="167" t="n">
        <v>2822.55</v>
      </c>
      <c r="I427" s="167" t="n">
        <v>0</v>
      </c>
      <c r="J427" s="168">
        <f>IF(AND(N(G427)&gt;0,N(H427)+N(I427)&gt;0),(H427+I427)*U427/G427,"")</f>
        <v/>
      </c>
      <c r="K427" s="167" t="n">
        <v>31.95</v>
      </c>
      <c r="L427" s="167" t="n">
        <v>30.35</v>
      </c>
      <c r="M427" s="54" t="inlineStr">
        <is>
          <t>Eligible</t>
        </is>
      </c>
      <c r="N427" s="168">
        <f>IF(OR(J427="",L427=""),"",L427-J427)</f>
        <v/>
      </c>
      <c r="O427" s="169">
        <f>IF(OR(J427="",L427=""),"",L427/J427-1)</f>
        <v/>
      </c>
      <c r="P427" s="169">
        <f>IF(OR(J427="",K427=""),"",K427/J427-1)</f>
        <v/>
      </c>
      <c r="Q427" s="54">
        <f>IF(AND(ISNUMBER(J427),ISNUMBER(L427)),1,0)</f>
        <v/>
      </c>
      <c r="R427" s="69">
        <f>IF(Q427=1,G427*L427,0)</f>
        <v/>
      </c>
      <c r="S427" s="69">
        <f>IF(Q427=1,(H427+I427)*U427,0)</f>
        <v/>
      </c>
      <c r="T427" s="59">
        <f>IF(Q427=1,G427,0)</f>
        <v/>
      </c>
      <c r="U427" s="170" t="n">
        <v>1</v>
      </c>
    </row>
    <row r="428">
      <c r="A428" s="54" t="inlineStr">
        <is>
          <t>US DC S4</t>
        </is>
      </c>
      <c r="B428" s="54" t="inlineStr">
        <is>
          <t>US</t>
        </is>
      </c>
      <c r="C428" s="54" t="inlineStr">
        <is>
          <t>B0CQRXKRPN</t>
        </is>
      </c>
      <c r="D428" s="54" t="inlineStr">
        <is>
          <t>SATIN-4PC-QUEEN-LAVENDER</t>
        </is>
      </c>
      <c r="E428" s="54" t="inlineStr">
        <is>
          <t>Queen</t>
        </is>
      </c>
      <c r="F428" s="54" t="inlineStr">
        <is>
          <t>Lavender</t>
        </is>
      </c>
      <c r="G428" s="55" t="n">
        <v>79</v>
      </c>
      <c r="H428" s="167" t="n">
        <v>2158.4</v>
      </c>
      <c r="I428" s="167" t="n">
        <v>0</v>
      </c>
      <c r="J428" s="168">
        <f>IF(AND(N(G428)&gt;0,N(H428)+N(I428)&gt;0),(H428+I428)*U428/G428,"")</f>
        <v/>
      </c>
      <c r="K428" s="167" t="n">
        <v>31.95</v>
      </c>
      <c r="L428" s="167" t="n"/>
      <c r="M428" s="54" t="inlineStr">
        <is>
          <t>Out of stock</t>
        </is>
      </c>
      <c r="N428" s="168">
        <f>IF(OR(J428="",L428=""),"",L428-J428)</f>
        <v/>
      </c>
      <c r="O428" s="169">
        <f>IF(OR(J428="",L428=""),"",L428/J428-1)</f>
        <v/>
      </c>
      <c r="P428" s="169">
        <f>IF(OR(J428="",K428=""),"",K428/J428-1)</f>
        <v/>
      </c>
      <c r="Q428" s="54">
        <f>IF(AND(ISNUMBER(J428),ISNUMBER(L428)),1,0)</f>
        <v/>
      </c>
      <c r="R428" s="69">
        <f>IF(Q428=1,G428*L428,0)</f>
        <v/>
      </c>
      <c r="S428" s="69">
        <f>IF(Q428=1,(H428+I428)*U428,0)</f>
        <v/>
      </c>
      <c r="T428" s="59">
        <f>IF(Q428=1,G428,0)</f>
        <v/>
      </c>
      <c r="U428" s="170" t="n">
        <v>1</v>
      </c>
    </row>
    <row r="429">
      <c r="A429" s="54" t="inlineStr">
        <is>
          <t>US DC S4</t>
        </is>
      </c>
      <c r="B429" s="54" t="inlineStr">
        <is>
          <t>US</t>
        </is>
      </c>
      <c r="C429" s="54" t="inlineStr">
        <is>
          <t>B0CV4D38W9</t>
        </is>
      </c>
      <c r="D429" s="54" t="inlineStr">
        <is>
          <t>SATIN-4PC-KING-GREY</t>
        </is>
      </c>
      <c r="E429" s="54" t="inlineStr">
        <is>
          <t>King</t>
        </is>
      </c>
      <c r="F429" s="54" t="inlineStr">
        <is>
          <t>Grey</t>
        </is>
      </c>
      <c r="G429" s="55" t="n">
        <v>77</v>
      </c>
      <c r="H429" s="167" t="n">
        <v>2451</v>
      </c>
      <c r="I429" s="167" t="n">
        <v>0</v>
      </c>
      <c r="J429" s="168">
        <f>IF(AND(N(G429)&gt;0,N(H429)+N(I429)&gt;0),(H429+I429)*U429/G429,"")</f>
        <v/>
      </c>
      <c r="K429" s="167" t="n">
        <v>33.95</v>
      </c>
      <c r="L429" s="167" t="n">
        <v>29.4</v>
      </c>
      <c r="M429" s="54" t="inlineStr">
        <is>
          <t>Eligible</t>
        </is>
      </c>
      <c r="N429" s="168">
        <f>IF(OR(J429="",L429=""),"",L429-J429)</f>
        <v/>
      </c>
      <c r="O429" s="169">
        <f>IF(OR(J429="",L429=""),"",L429/J429-1)</f>
        <v/>
      </c>
      <c r="P429" s="169">
        <f>IF(OR(J429="",K429=""),"",K429/J429-1)</f>
        <v/>
      </c>
      <c r="Q429" s="54">
        <f>IF(AND(ISNUMBER(J429),ISNUMBER(L429)),1,0)</f>
        <v/>
      </c>
      <c r="R429" s="69">
        <f>IF(Q429=1,G429*L429,0)</f>
        <v/>
      </c>
      <c r="S429" s="69">
        <f>IF(Q429=1,(H429+I429)*U429,0)</f>
        <v/>
      </c>
      <c r="T429" s="59">
        <f>IF(Q429=1,G429,0)</f>
        <v/>
      </c>
      <c r="U429" s="170" t="n">
        <v>1</v>
      </c>
    </row>
    <row r="430">
      <c r="A430" s="54" t="inlineStr">
        <is>
          <t>US DC S4</t>
        </is>
      </c>
      <c r="B430" s="54" t="inlineStr">
        <is>
          <t>US</t>
        </is>
      </c>
      <c r="C430" s="54" t="inlineStr">
        <is>
          <t>B08KRYTRHY</t>
        </is>
      </c>
      <c r="D430" s="54" t="inlineStr">
        <is>
          <t>SATIN-GOLD-KING</t>
        </is>
      </c>
      <c r="E430" s="54" t="inlineStr">
        <is>
          <t>King</t>
        </is>
      </c>
      <c r="F430" s="54" t="inlineStr">
        <is>
          <t>Gold</t>
        </is>
      </c>
      <c r="G430" s="55" t="n">
        <v>74</v>
      </c>
      <c r="H430" s="167" t="n">
        <v>2495.3</v>
      </c>
      <c r="I430" s="167" t="n">
        <v>0</v>
      </c>
      <c r="J430" s="168">
        <f>IF(AND(N(G430)&gt;0,N(H430)+N(I430)&gt;0),(H430+I430)*U430/G430,"")</f>
        <v/>
      </c>
      <c r="K430" s="167" t="n">
        <v>33.95</v>
      </c>
      <c r="L430" s="167" t="n"/>
      <c r="M430" s="54" t="inlineStr">
        <is>
          <t>Out of stock</t>
        </is>
      </c>
      <c r="N430" s="168">
        <f>IF(OR(J430="",L430=""),"",L430-J430)</f>
        <v/>
      </c>
      <c r="O430" s="169">
        <f>IF(OR(J430="",L430=""),"",L430/J430-1)</f>
        <v/>
      </c>
      <c r="P430" s="169">
        <f>IF(OR(J430="",K430=""),"",K430/J430-1)</f>
        <v/>
      </c>
      <c r="Q430" s="54">
        <f>IF(AND(ISNUMBER(J430),ISNUMBER(L430)),1,0)</f>
        <v/>
      </c>
      <c r="R430" s="69">
        <f>IF(Q430=1,G430*L430,0)</f>
        <v/>
      </c>
      <c r="S430" s="69">
        <f>IF(Q430=1,(H430+I430)*U430,0)</f>
        <v/>
      </c>
      <c r="T430" s="59">
        <f>IF(Q430=1,G430,0)</f>
        <v/>
      </c>
      <c r="U430" s="170" t="n">
        <v>1</v>
      </c>
    </row>
    <row r="431">
      <c r="A431" s="54" t="inlineStr">
        <is>
          <t>US DC S4</t>
        </is>
      </c>
      <c r="B431" s="54" t="inlineStr">
        <is>
          <t>US</t>
        </is>
      </c>
      <c r="C431" s="54" t="inlineStr">
        <is>
          <t>B0CV4D54FV</t>
        </is>
      </c>
      <c r="D431" s="54" t="inlineStr">
        <is>
          <t>SATIN-4PC-RED-QUEEN</t>
        </is>
      </c>
      <c r="E431" s="54" t="inlineStr">
        <is>
          <t>Queen</t>
        </is>
      </c>
      <c r="F431" s="54" t="inlineStr">
        <is>
          <t>Red</t>
        </is>
      </c>
      <c r="G431" s="55" t="n">
        <v>74</v>
      </c>
      <c r="H431" s="167" t="n">
        <v>2364.3</v>
      </c>
      <c r="I431" s="167" t="n">
        <v>0</v>
      </c>
      <c r="J431" s="168">
        <f>IF(AND(N(G431)&gt;0,N(H431)+N(I431)&gt;0),(H431+I431)*U431/G431,"")</f>
        <v/>
      </c>
      <c r="K431" s="167" t="n">
        <v>31.95</v>
      </c>
      <c r="L431" s="167" t="n"/>
      <c r="M431" s="54" t="inlineStr">
        <is>
          <t>Out of stock</t>
        </is>
      </c>
      <c r="N431" s="168">
        <f>IF(OR(J431="",L431=""),"",L431-J431)</f>
        <v/>
      </c>
      <c r="O431" s="169">
        <f>IF(OR(J431="",L431=""),"",L431/J431-1)</f>
        <v/>
      </c>
      <c r="P431" s="169">
        <f>IF(OR(J431="",K431=""),"",K431/J431-1)</f>
        <v/>
      </c>
      <c r="Q431" s="54">
        <f>IF(AND(ISNUMBER(J431),ISNUMBER(L431)),1,0)</f>
        <v/>
      </c>
      <c r="R431" s="69">
        <f>IF(Q431=1,G431*L431,0)</f>
        <v/>
      </c>
      <c r="S431" s="69">
        <f>IF(Q431=1,(H431+I431)*U431,0)</f>
        <v/>
      </c>
      <c r="T431" s="59">
        <f>IF(Q431=1,G431,0)</f>
        <v/>
      </c>
      <c r="U431" s="170" t="n">
        <v>1</v>
      </c>
    </row>
    <row r="432">
      <c r="A432" s="54" t="inlineStr">
        <is>
          <t>US DC S4</t>
        </is>
      </c>
      <c r="B432" s="54" t="inlineStr">
        <is>
          <t>US</t>
        </is>
      </c>
      <c r="C432" s="54" t="inlineStr">
        <is>
          <t>B0CNS8T4ZK</t>
        </is>
      </c>
      <c r="D432" s="54" t="inlineStr">
        <is>
          <t>SATIN-QUEEN-BLUSH PINK</t>
        </is>
      </c>
      <c r="E432" s="54" t="inlineStr">
        <is>
          <t>Queen</t>
        </is>
      </c>
      <c r="F432" s="54" t="inlineStr">
        <is>
          <t>Blush Pink</t>
        </is>
      </c>
      <c r="G432" s="55" t="n">
        <v>70</v>
      </c>
      <c r="H432" s="167" t="n">
        <v>2124.5</v>
      </c>
      <c r="I432" s="167" t="n">
        <v>0</v>
      </c>
      <c r="J432" s="168">
        <f>IF(AND(N(G432)&gt;0,N(H432)+N(I432)&gt;0),(H432+I432)*U432/G432,"")</f>
        <v/>
      </c>
      <c r="K432" s="167" t="n">
        <v>31.95</v>
      </c>
      <c r="L432" s="167" t="n">
        <v>28.76</v>
      </c>
      <c r="M432" s="54" t="inlineStr">
        <is>
          <t>Eligible</t>
        </is>
      </c>
      <c r="N432" s="168">
        <f>IF(OR(J432="",L432=""),"",L432-J432)</f>
        <v/>
      </c>
      <c r="O432" s="169">
        <f>IF(OR(J432="",L432=""),"",L432/J432-1)</f>
        <v/>
      </c>
      <c r="P432" s="169">
        <f>IF(OR(J432="",K432=""),"",K432/J432-1)</f>
        <v/>
      </c>
      <c r="Q432" s="54">
        <f>IF(AND(ISNUMBER(J432),ISNUMBER(L432)),1,0)</f>
        <v/>
      </c>
      <c r="R432" s="69">
        <f>IF(Q432=1,G432*L432,0)</f>
        <v/>
      </c>
      <c r="S432" s="69">
        <f>IF(Q432=1,(H432+I432)*U432,0)</f>
        <v/>
      </c>
      <c r="T432" s="59">
        <f>IF(Q432=1,G432,0)</f>
        <v/>
      </c>
      <c r="U432" s="170" t="n">
        <v>1</v>
      </c>
    </row>
    <row r="433">
      <c r="A433" s="54" t="inlineStr">
        <is>
          <t>US DC S4</t>
        </is>
      </c>
      <c r="B433" s="54" t="inlineStr">
        <is>
          <t>US</t>
        </is>
      </c>
      <c r="C433" s="54" t="inlineStr">
        <is>
          <t>B0DBR1X2XQ</t>
        </is>
      </c>
      <c r="D433" s="54" t="inlineStr">
        <is>
          <t>SATIN-4PCS-KING-STONEGREY</t>
        </is>
      </c>
      <c r="E433" s="54" t="inlineStr">
        <is>
          <t>King</t>
        </is>
      </c>
      <c r="F433" s="54" t="inlineStr">
        <is>
          <t>Stone Grey</t>
        </is>
      </c>
      <c r="G433" s="55" t="n">
        <v>65</v>
      </c>
      <c r="H433" s="167" t="n">
        <v>2096.25</v>
      </c>
      <c r="I433" s="167" t="n">
        <v>0</v>
      </c>
      <c r="J433" s="168">
        <f>IF(AND(N(G433)&gt;0,N(H433)+N(I433)&gt;0),(H433+I433)*U433/G433,"")</f>
        <v/>
      </c>
      <c r="K433" s="167" t="n">
        <v>33.95</v>
      </c>
      <c r="L433" s="167" t="n">
        <v>28.86</v>
      </c>
      <c r="M433" s="54" t="inlineStr">
        <is>
          <t>Manual price</t>
        </is>
      </c>
      <c r="N433" s="168">
        <f>IF(OR(J433="",L433=""),"",L433-J433)</f>
        <v/>
      </c>
      <c r="O433" s="169">
        <f>IF(OR(J433="",L433=""),"",L433/J433-1)</f>
        <v/>
      </c>
      <c r="P433" s="169">
        <f>IF(OR(J433="",K433=""),"",K433/J433-1)</f>
        <v/>
      </c>
      <c r="Q433" s="54">
        <f>IF(AND(ISNUMBER(J433),ISNUMBER(L433)),1,0)</f>
        <v/>
      </c>
      <c r="R433" s="69">
        <f>IF(Q433=1,G433*L433,0)</f>
        <v/>
      </c>
      <c r="S433" s="69">
        <f>IF(Q433=1,(H433+I433)*U433,0)</f>
        <v/>
      </c>
      <c r="T433" s="59">
        <f>IF(Q433=1,G433,0)</f>
        <v/>
      </c>
      <c r="U433" s="170" t="n">
        <v>1</v>
      </c>
    </row>
    <row r="434">
      <c r="A434" s="54" t="inlineStr">
        <is>
          <t>US DC S4</t>
        </is>
      </c>
      <c r="B434" s="54" t="inlineStr">
        <is>
          <t>US</t>
        </is>
      </c>
      <c r="C434" s="54" t="inlineStr">
        <is>
          <t>B0CQRWGHJN</t>
        </is>
      </c>
      <c r="D434" s="54" t="inlineStr">
        <is>
          <t>SATIN-4PC-QUEEN-DARK GREEN</t>
        </is>
      </c>
      <c r="E434" s="54" t="inlineStr">
        <is>
          <t>Queen</t>
        </is>
      </c>
      <c r="F434" s="54" t="inlineStr">
        <is>
          <t>Dark Green</t>
        </is>
      </c>
      <c r="G434" s="55" t="n">
        <v>62</v>
      </c>
      <c r="H434" s="167" t="n">
        <v>1881.7</v>
      </c>
      <c r="I434" s="167" t="n">
        <v>0</v>
      </c>
      <c r="J434" s="168">
        <f>IF(AND(N(G434)&gt;0,N(H434)+N(I434)&gt;0),(H434+I434)*U434/G434,"")</f>
        <v/>
      </c>
      <c r="K434" s="167" t="n">
        <v>31.95</v>
      </c>
      <c r="L434" s="167" t="n">
        <v>30.35</v>
      </c>
      <c r="M434" s="54" t="inlineStr">
        <is>
          <t>Eligible</t>
        </is>
      </c>
      <c r="N434" s="168">
        <f>IF(OR(J434="",L434=""),"",L434-J434)</f>
        <v/>
      </c>
      <c r="O434" s="169">
        <f>IF(OR(J434="",L434=""),"",L434/J434-1)</f>
        <v/>
      </c>
      <c r="P434" s="169">
        <f>IF(OR(J434="",K434=""),"",K434/J434-1)</f>
        <v/>
      </c>
      <c r="Q434" s="54">
        <f>IF(AND(ISNUMBER(J434),ISNUMBER(L434)),1,0)</f>
        <v/>
      </c>
      <c r="R434" s="69">
        <f>IF(Q434=1,G434*L434,0)</f>
        <v/>
      </c>
      <c r="S434" s="69">
        <f>IF(Q434=1,(H434+I434)*U434,0)</f>
        <v/>
      </c>
      <c r="T434" s="59">
        <f>IF(Q434=1,G434,0)</f>
        <v/>
      </c>
      <c r="U434" s="170" t="n">
        <v>1</v>
      </c>
    </row>
    <row r="435">
      <c r="A435" s="54" t="inlineStr">
        <is>
          <t>US DC S4</t>
        </is>
      </c>
      <c r="B435" s="54" t="inlineStr">
        <is>
          <t>US</t>
        </is>
      </c>
      <c r="C435" s="54" t="inlineStr">
        <is>
          <t>B0839L6R8Y</t>
        </is>
      </c>
      <c r="D435" s="54" t="inlineStr">
        <is>
          <t>SATIN-QUEEN-PURPLE</t>
        </is>
      </c>
      <c r="E435" s="54" t="inlineStr">
        <is>
          <t>Queen</t>
        </is>
      </c>
      <c r="F435" s="54" t="inlineStr">
        <is>
          <t>Purple</t>
        </is>
      </c>
      <c r="G435" s="55" t="n">
        <v>62</v>
      </c>
      <c r="H435" s="167" t="n">
        <v>1926.5</v>
      </c>
      <c r="I435" s="167" t="n">
        <v>0</v>
      </c>
      <c r="J435" s="168">
        <f>IF(AND(N(G435)&gt;0,N(H435)+N(I435)&gt;0),(H435+I435)*U435/G435,"")</f>
        <v/>
      </c>
      <c r="K435" s="167" t="n">
        <v>31.95</v>
      </c>
      <c r="L435" s="167" t="n">
        <v>28.76</v>
      </c>
      <c r="M435" s="54" t="inlineStr">
        <is>
          <t>Eligible</t>
        </is>
      </c>
      <c r="N435" s="168">
        <f>IF(OR(J435="",L435=""),"",L435-J435)</f>
        <v/>
      </c>
      <c r="O435" s="169">
        <f>IF(OR(J435="",L435=""),"",L435/J435-1)</f>
        <v/>
      </c>
      <c r="P435" s="169">
        <f>IF(OR(J435="",K435=""),"",K435/J435-1)</f>
        <v/>
      </c>
      <c r="Q435" s="54">
        <f>IF(AND(ISNUMBER(J435),ISNUMBER(L435)),1,0)</f>
        <v/>
      </c>
      <c r="R435" s="69">
        <f>IF(Q435=1,G435*L435,0)</f>
        <v/>
      </c>
      <c r="S435" s="69">
        <f>IF(Q435=1,(H435+I435)*U435,0)</f>
        <v/>
      </c>
      <c r="T435" s="59">
        <f>IF(Q435=1,G435,0)</f>
        <v/>
      </c>
      <c r="U435" s="170" t="n">
        <v>1</v>
      </c>
    </row>
    <row r="436">
      <c r="A436" s="54" t="inlineStr">
        <is>
          <t>US DC S4</t>
        </is>
      </c>
      <c r="B436" s="54" t="inlineStr">
        <is>
          <t>US</t>
        </is>
      </c>
      <c r="C436" s="54" t="inlineStr">
        <is>
          <t>B0BG21THPM</t>
        </is>
      </c>
      <c r="D436" s="54" t="inlineStr">
        <is>
          <t>SATIN-ROSEWOOD-QUEEN</t>
        </is>
      </c>
      <c r="E436" s="54" t="inlineStr">
        <is>
          <t>Queen</t>
        </is>
      </c>
      <c r="F436" s="54" t="inlineStr">
        <is>
          <t>Rosewood</t>
        </is>
      </c>
      <c r="G436" s="55" t="n">
        <v>58</v>
      </c>
      <c r="H436" s="167" t="n">
        <v>1838.7</v>
      </c>
      <c r="I436" s="167" t="n">
        <v>0</v>
      </c>
      <c r="J436" s="168">
        <f>IF(AND(N(G436)&gt;0,N(H436)+N(I436)&gt;0),(H436+I436)*U436/G436,"")</f>
        <v/>
      </c>
      <c r="K436" s="167" t="n">
        <v>31.95</v>
      </c>
      <c r="L436" s="167" t="n">
        <v>30.35</v>
      </c>
      <c r="M436" s="54" t="inlineStr">
        <is>
          <t>Eligible</t>
        </is>
      </c>
      <c r="N436" s="168">
        <f>IF(OR(J436="",L436=""),"",L436-J436)</f>
        <v/>
      </c>
      <c r="O436" s="169">
        <f>IF(OR(J436="",L436=""),"",L436/J436-1)</f>
        <v/>
      </c>
      <c r="P436" s="169">
        <f>IF(OR(J436="",K436=""),"",K436/J436-1)</f>
        <v/>
      </c>
      <c r="Q436" s="54">
        <f>IF(AND(ISNUMBER(J436),ISNUMBER(L436)),1,0)</f>
        <v/>
      </c>
      <c r="R436" s="69">
        <f>IF(Q436=1,G436*L436,0)</f>
        <v/>
      </c>
      <c r="S436" s="69">
        <f>IF(Q436=1,(H436+I436)*U436,0)</f>
        <v/>
      </c>
      <c r="T436" s="59">
        <f>IF(Q436=1,G436,0)</f>
        <v/>
      </c>
      <c r="U436" s="170" t="n">
        <v>1</v>
      </c>
    </row>
    <row r="437">
      <c r="A437" s="54" t="inlineStr">
        <is>
          <t>US DC S4</t>
        </is>
      </c>
      <c r="B437" s="54" t="inlineStr">
        <is>
          <t>US</t>
        </is>
      </c>
      <c r="C437" s="54" t="inlineStr">
        <is>
          <t>B0BG228RDJ</t>
        </is>
      </c>
      <c r="D437" s="54" t="inlineStr">
        <is>
          <t>SATIN-SEA-TEAL-QUEEN</t>
        </is>
      </c>
      <c r="E437" s="54" t="inlineStr">
        <is>
          <t>Queen</t>
        </is>
      </c>
      <c r="F437" s="54" t="inlineStr">
        <is>
          <t>Sea Teal</t>
        </is>
      </c>
      <c r="G437" s="55" t="n">
        <v>58</v>
      </c>
      <c r="H437" s="167" t="n">
        <v>1806.7</v>
      </c>
      <c r="I437" s="167" t="n">
        <v>0</v>
      </c>
      <c r="J437" s="168">
        <f>IF(AND(N(G437)&gt;0,N(H437)+N(I437)&gt;0),(H437+I437)*U437/G437,"")</f>
        <v/>
      </c>
      <c r="K437" s="167" t="n">
        <v>31.95</v>
      </c>
      <c r="L437" s="167" t="n">
        <v>30.35</v>
      </c>
      <c r="M437" s="54" t="inlineStr">
        <is>
          <t>Eligible</t>
        </is>
      </c>
      <c r="N437" s="168">
        <f>IF(OR(J437="",L437=""),"",L437-J437)</f>
        <v/>
      </c>
      <c r="O437" s="169">
        <f>IF(OR(J437="",L437=""),"",L437/J437-1)</f>
        <v/>
      </c>
      <c r="P437" s="169">
        <f>IF(OR(J437="",K437=""),"",K437/J437-1)</f>
        <v/>
      </c>
      <c r="Q437" s="54">
        <f>IF(AND(ISNUMBER(J437),ISNUMBER(L437)),1,0)</f>
        <v/>
      </c>
      <c r="R437" s="69">
        <f>IF(Q437=1,G437*L437,0)</f>
        <v/>
      </c>
      <c r="S437" s="69">
        <f>IF(Q437=1,(H437+I437)*U437,0)</f>
        <v/>
      </c>
      <c r="T437" s="59">
        <f>IF(Q437=1,G437,0)</f>
        <v/>
      </c>
      <c r="U437" s="170" t="n">
        <v>1</v>
      </c>
    </row>
    <row r="438">
      <c r="A438" s="54" t="inlineStr">
        <is>
          <t>US DC S4</t>
        </is>
      </c>
      <c r="B438" s="54" t="inlineStr">
        <is>
          <t>US</t>
        </is>
      </c>
      <c r="C438" s="54" t="inlineStr">
        <is>
          <t>B0CQPPJFWN</t>
        </is>
      </c>
      <c r="D438" s="54" t="inlineStr">
        <is>
          <t>SATIN-4PC-KING-DARK GREEN</t>
        </is>
      </c>
      <c r="E438" s="54" t="inlineStr">
        <is>
          <t>King</t>
        </is>
      </c>
      <c r="F438" s="54" t="inlineStr">
        <is>
          <t>Dark Green</t>
        </is>
      </c>
      <c r="G438" s="55" t="n">
        <v>57</v>
      </c>
      <c r="H438" s="167" t="n">
        <v>1622.94</v>
      </c>
      <c r="I438" s="167" t="n">
        <v>0</v>
      </c>
      <c r="J438" s="168">
        <f>IF(AND(N(G438)&gt;0,N(H438)+N(I438)&gt;0),(H438+I438)*U438/G438,"")</f>
        <v/>
      </c>
      <c r="K438" s="167" t="n">
        <v>33.95</v>
      </c>
      <c r="L438" s="167" t="n">
        <v>32.25</v>
      </c>
      <c r="M438" s="54" t="inlineStr">
        <is>
          <t>Eligible</t>
        </is>
      </c>
      <c r="N438" s="168">
        <f>IF(OR(J438="",L438=""),"",L438-J438)</f>
        <v/>
      </c>
      <c r="O438" s="169">
        <f>IF(OR(J438="",L438=""),"",L438/J438-1)</f>
        <v/>
      </c>
      <c r="P438" s="169">
        <f>IF(OR(J438="",K438=""),"",K438/J438-1)</f>
        <v/>
      </c>
      <c r="Q438" s="54">
        <f>IF(AND(ISNUMBER(J438),ISNUMBER(L438)),1,0)</f>
        <v/>
      </c>
      <c r="R438" s="69">
        <f>IF(Q438=1,G438*L438,0)</f>
        <v/>
      </c>
      <c r="S438" s="69">
        <f>IF(Q438=1,(H438+I438)*U438,0)</f>
        <v/>
      </c>
      <c r="T438" s="59">
        <f>IF(Q438=1,G438,0)</f>
        <v/>
      </c>
      <c r="U438" s="170" t="n">
        <v>1</v>
      </c>
    </row>
    <row r="439">
      <c r="A439" s="54" t="inlineStr">
        <is>
          <t>US DC S4</t>
        </is>
      </c>
      <c r="B439" s="54" t="inlineStr">
        <is>
          <t>US</t>
        </is>
      </c>
      <c r="C439" s="54" t="inlineStr">
        <is>
          <t>B0839L6QG5</t>
        </is>
      </c>
      <c r="D439" s="54" t="inlineStr">
        <is>
          <t>SATIN-FULL-PINK</t>
        </is>
      </c>
      <c r="E439" s="54" t="inlineStr">
        <is>
          <t>Full</t>
        </is>
      </c>
      <c r="F439" s="54" t="inlineStr">
        <is>
          <t>Pink</t>
        </is>
      </c>
      <c r="G439" s="55" t="n">
        <v>56</v>
      </c>
      <c r="H439" s="167" t="n">
        <v>1593.2</v>
      </c>
      <c r="I439" s="167" t="n">
        <v>0</v>
      </c>
      <c r="J439" s="168">
        <f>IF(AND(N(G439)&gt;0,N(H439)+N(I439)&gt;0),(H439+I439)*U439/G439,"")</f>
        <v/>
      </c>
      <c r="K439" s="167" t="n">
        <v>29.95</v>
      </c>
      <c r="L439" s="167" t="n">
        <v>26.96</v>
      </c>
      <c r="M439" s="54" t="inlineStr">
        <is>
          <t>Eligible</t>
        </is>
      </c>
      <c r="N439" s="168">
        <f>IF(OR(J439="",L439=""),"",L439-J439)</f>
        <v/>
      </c>
      <c r="O439" s="169">
        <f>IF(OR(J439="",L439=""),"",L439/J439-1)</f>
        <v/>
      </c>
      <c r="P439" s="169">
        <f>IF(OR(J439="",K439=""),"",K439/J439-1)</f>
        <v/>
      </c>
      <c r="Q439" s="54">
        <f>IF(AND(ISNUMBER(J439),ISNUMBER(L439)),1,0)</f>
        <v/>
      </c>
      <c r="R439" s="69">
        <f>IF(Q439=1,G439*L439,0)</f>
        <v/>
      </c>
      <c r="S439" s="69">
        <f>IF(Q439=1,(H439+I439)*U439,0)</f>
        <v/>
      </c>
      <c r="T439" s="59">
        <f>IF(Q439=1,G439,0)</f>
        <v/>
      </c>
      <c r="U439" s="170" t="n">
        <v>1</v>
      </c>
    </row>
    <row r="440">
      <c r="A440" s="54" t="inlineStr">
        <is>
          <t>US DC S4</t>
        </is>
      </c>
      <c r="B440" s="54" t="inlineStr">
        <is>
          <t>US</t>
        </is>
      </c>
      <c r="C440" s="54" t="inlineStr">
        <is>
          <t>B0CQRWSS2D</t>
        </is>
      </c>
      <c r="D440" s="54" t="inlineStr">
        <is>
          <t>SATIN-4PC-QUEEN-SAGE GREEN</t>
        </is>
      </c>
      <c r="E440" s="54" t="inlineStr">
        <is>
          <t>Queen</t>
        </is>
      </c>
      <c r="F440" s="54" t="inlineStr">
        <is>
          <t>Sage Green</t>
        </is>
      </c>
      <c r="G440" s="55" t="n">
        <v>56</v>
      </c>
      <c r="H440" s="167" t="n">
        <v>1699.6</v>
      </c>
      <c r="I440" s="167" t="n">
        <v>0</v>
      </c>
      <c r="J440" s="168">
        <f>IF(AND(N(G440)&gt;0,N(H440)+N(I440)&gt;0),(H440+I440)*U440/G440,"")</f>
        <v/>
      </c>
      <c r="K440" s="167" t="n">
        <v>31.95</v>
      </c>
      <c r="L440" s="167" t="n"/>
      <c r="M440" s="54" t="inlineStr">
        <is>
          <t>Out of stock</t>
        </is>
      </c>
      <c r="N440" s="168">
        <f>IF(OR(J440="",L440=""),"",L440-J440)</f>
        <v/>
      </c>
      <c r="O440" s="169">
        <f>IF(OR(J440="",L440=""),"",L440/J440-1)</f>
        <v/>
      </c>
      <c r="P440" s="169">
        <f>IF(OR(J440="",K440=""),"",K440/J440-1)</f>
        <v/>
      </c>
      <c r="Q440" s="54">
        <f>IF(AND(ISNUMBER(J440),ISNUMBER(L440)),1,0)</f>
        <v/>
      </c>
      <c r="R440" s="69">
        <f>IF(Q440=1,G440*L440,0)</f>
        <v/>
      </c>
      <c r="S440" s="69">
        <f>IF(Q440=1,(H440+I440)*U440,0)</f>
        <v/>
      </c>
      <c r="T440" s="59">
        <f>IF(Q440=1,G440,0)</f>
        <v/>
      </c>
      <c r="U440" s="170" t="n">
        <v>1</v>
      </c>
    </row>
    <row r="441">
      <c r="A441" s="54" t="inlineStr">
        <is>
          <t>US DC S4</t>
        </is>
      </c>
      <c r="B441" s="54" t="inlineStr">
        <is>
          <t>US</t>
        </is>
      </c>
      <c r="C441" s="54" t="inlineStr">
        <is>
          <t>B0CV4CY67M</t>
        </is>
      </c>
      <c r="D441" s="54" t="inlineStr">
        <is>
          <t>SATIN-4PC-WHITE-KING</t>
        </is>
      </c>
      <c r="E441" s="54" t="inlineStr">
        <is>
          <t>King</t>
        </is>
      </c>
      <c r="F441" s="54" t="inlineStr">
        <is>
          <t>White</t>
        </is>
      </c>
      <c r="G441" s="55" t="n">
        <v>52</v>
      </c>
      <c r="H441" s="167" t="n">
        <v>1677</v>
      </c>
      <c r="I441" s="167" t="n">
        <v>0</v>
      </c>
      <c r="J441" s="168">
        <f>IF(AND(N(G441)&gt;0,N(H441)+N(I441)&gt;0),(H441+I441)*U441/G441,"")</f>
        <v/>
      </c>
      <c r="K441" s="167" t="n">
        <v>33.95</v>
      </c>
      <c r="L441" s="167" t="n">
        <v>32.25</v>
      </c>
      <c r="M441" s="54" t="inlineStr">
        <is>
          <t>Eligible</t>
        </is>
      </c>
      <c r="N441" s="168">
        <f>IF(OR(J441="",L441=""),"",L441-J441)</f>
        <v/>
      </c>
      <c r="O441" s="169">
        <f>IF(OR(J441="",L441=""),"",L441/J441-1)</f>
        <v/>
      </c>
      <c r="P441" s="169">
        <f>IF(OR(J441="",K441=""),"",K441/J441-1)</f>
        <v/>
      </c>
      <c r="Q441" s="54">
        <f>IF(AND(ISNUMBER(J441),ISNUMBER(L441)),1,0)</f>
        <v/>
      </c>
      <c r="R441" s="69">
        <f>IF(Q441=1,G441*L441,0)</f>
        <v/>
      </c>
      <c r="S441" s="69">
        <f>IF(Q441=1,(H441+I441)*U441,0)</f>
        <v/>
      </c>
      <c r="T441" s="59">
        <f>IF(Q441=1,G441,0)</f>
        <v/>
      </c>
      <c r="U441" s="170" t="n">
        <v>1</v>
      </c>
    </row>
    <row r="442">
      <c r="A442" s="54" t="inlineStr">
        <is>
          <t>US DC S4</t>
        </is>
      </c>
      <c r="B442" s="54" t="inlineStr">
        <is>
          <t>US</t>
        </is>
      </c>
      <c r="C442" s="54" t="inlineStr">
        <is>
          <t>B0839L7PJL</t>
        </is>
      </c>
      <c r="D442" s="54" t="inlineStr">
        <is>
          <t>SATIN-TWIN-BLACK-NEW</t>
        </is>
      </c>
      <c r="E442" s="54" t="inlineStr">
        <is>
          <t>Twin</t>
        </is>
      </c>
      <c r="F442" s="54" t="inlineStr">
        <is>
          <t>Black</t>
        </is>
      </c>
      <c r="G442" s="55" t="n">
        <v>50</v>
      </c>
      <c r="H442" s="167" t="n">
        <v>1327.5</v>
      </c>
      <c r="I442" s="167" t="n">
        <v>0</v>
      </c>
      <c r="J442" s="168">
        <f>IF(AND(N(G442)&gt;0,N(H442)+N(I442)&gt;0),(H442+I442)*U442/G442,"")</f>
        <v/>
      </c>
      <c r="K442" s="167" t="n">
        <v>27.95</v>
      </c>
      <c r="L442" s="167" t="n">
        <v>25.16</v>
      </c>
      <c r="M442" s="54" t="inlineStr">
        <is>
          <t>Eligible</t>
        </is>
      </c>
      <c r="N442" s="168">
        <f>IF(OR(J442="",L442=""),"",L442-J442)</f>
        <v/>
      </c>
      <c r="O442" s="169">
        <f>IF(OR(J442="",L442=""),"",L442/J442-1)</f>
        <v/>
      </c>
      <c r="P442" s="169">
        <f>IF(OR(J442="",K442=""),"",K442/J442-1)</f>
        <v/>
      </c>
      <c r="Q442" s="54">
        <f>IF(AND(ISNUMBER(J442),ISNUMBER(L442)),1,0)</f>
        <v/>
      </c>
      <c r="R442" s="69">
        <f>IF(Q442=1,G442*L442,0)</f>
        <v/>
      </c>
      <c r="S442" s="69">
        <f>IF(Q442=1,(H442+I442)*U442,0)</f>
        <v/>
      </c>
      <c r="T442" s="59">
        <f>IF(Q442=1,G442,0)</f>
        <v/>
      </c>
      <c r="U442" s="170" t="n">
        <v>1</v>
      </c>
    </row>
    <row r="443">
      <c r="A443" s="54" t="inlineStr">
        <is>
          <t>US DC S4</t>
        </is>
      </c>
      <c r="B443" s="54" t="inlineStr">
        <is>
          <t>US</t>
        </is>
      </c>
      <c r="C443" s="54" t="inlineStr">
        <is>
          <t>B0839LMS13</t>
        </is>
      </c>
      <c r="D443" s="54" t="inlineStr">
        <is>
          <t>SATIN-FULL-GREY</t>
        </is>
      </c>
      <c r="E443" s="54" t="inlineStr">
        <is>
          <t>Full</t>
        </is>
      </c>
      <c r="F443" s="54" t="inlineStr">
        <is>
          <t>Grey</t>
        </is>
      </c>
      <c r="G443" s="55" t="n">
        <v>49</v>
      </c>
      <c r="H443" s="167" t="n">
        <v>1330.84</v>
      </c>
      <c r="I443" s="167" t="n">
        <v>0</v>
      </c>
      <c r="J443" s="168">
        <f>IF(AND(N(G443)&gt;0,N(H443)+N(I443)&gt;0),(H443+I443)*U443/G443,"")</f>
        <v/>
      </c>
      <c r="K443" s="167" t="n">
        <v>29.95</v>
      </c>
      <c r="L443" s="167" t="n">
        <v>26.95</v>
      </c>
      <c r="M443" s="54" t="inlineStr">
        <is>
          <t>Eligible</t>
        </is>
      </c>
      <c r="N443" s="168">
        <f>IF(OR(J443="",L443=""),"",L443-J443)</f>
        <v/>
      </c>
      <c r="O443" s="169">
        <f>IF(OR(J443="",L443=""),"",L443/J443-1)</f>
        <v/>
      </c>
      <c r="P443" s="169">
        <f>IF(OR(J443="",K443=""),"",K443/J443-1)</f>
        <v/>
      </c>
      <c r="Q443" s="54">
        <f>IF(AND(ISNUMBER(J443),ISNUMBER(L443)),1,0)</f>
        <v/>
      </c>
      <c r="R443" s="69">
        <f>IF(Q443=1,G443*L443,0)</f>
        <v/>
      </c>
      <c r="S443" s="69">
        <f>IF(Q443=1,(H443+I443)*U443,0)</f>
        <v/>
      </c>
      <c r="T443" s="59">
        <f>IF(Q443=1,G443,0)</f>
        <v/>
      </c>
      <c r="U443" s="170" t="n">
        <v>1</v>
      </c>
    </row>
    <row r="444">
      <c r="A444" s="54" t="inlineStr">
        <is>
          <t>US DC S4</t>
        </is>
      </c>
      <c r="B444" s="54" t="inlineStr">
        <is>
          <t>US</t>
        </is>
      </c>
      <c r="C444" s="54" t="inlineStr">
        <is>
          <t>B0CQRXNLN6</t>
        </is>
      </c>
      <c r="D444" s="54" t="inlineStr">
        <is>
          <t>SATIN-4PC-KING-NAVY BLUE</t>
        </is>
      </c>
      <c r="E444" s="54" t="inlineStr">
        <is>
          <t>King</t>
        </is>
      </c>
      <c r="F444" s="54" t="inlineStr">
        <is>
          <t>Navy Blue</t>
        </is>
      </c>
      <c r="G444" s="55" t="n">
        <v>46</v>
      </c>
      <c r="H444" s="167" t="n">
        <v>1483.5</v>
      </c>
      <c r="I444" s="167" t="n">
        <v>0</v>
      </c>
      <c r="J444" s="168">
        <f>IF(AND(N(G444)&gt;0,N(H444)+N(I444)&gt;0),(H444+I444)*U444/G444,"")</f>
        <v/>
      </c>
      <c r="K444" s="167" t="n">
        <v>33.95</v>
      </c>
      <c r="L444" s="167" t="n">
        <v>32.25</v>
      </c>
      <c r="M444" s="54" t="inlineStr">
        <is>
          <t>Eligible</t>
        </is>
      </c>
      <c r="N444" s="168">
        <f>IF(OR(J444="",L444=""),"",L444-J444)</f>
        <v/>
      </c>
      <c r="O444" s="169">
        <f>IF(OR(J444="",L444=""),"",L444/J444-1)</f>
        <v/>
      </c>
      <c r="P444" s="169">
        <f>IF(OR(J444="",K444=""),"",K444/J444-1)</f>
        <v/>
      </c>
      <c r="Q444" s="54">
        <f>IF(AND(ISNUMBER(J444),ISNUMBER(L444)),1,0)</f>
        <v/>
      </c>
      <c r="R444" s="69">
        <f>IF(Q444=1,G444*L444,0)</f>
        <v/>
      </c>
      <c r="S444" s="69">
        <f>IF(Q444=1,(H444+I444)*U444,0)</f>
        <v/>
      </c>
      <c r="T444" s="59">
        <f>IF(Q444=1,G444,0)</f>
        <v/>
      </c>
      <c r="U444" s="170" t="n">
        <v>1</v>
      </c>
    </row>
    <row r="445">
      <c r="A445" s="54" t="inlineStr">
        <is>
          <t>US DC S4</t>
        </is>
      </c>
      <c r="B445" s="54" t="inlineStr">
        <is>
          <t>US</t>
        </is>
      </c>
      <c r="C445" s="54" t="inlineStr">
        <is>
          <t>B0BZPV84V7</t>
        </is>
      </c>
      <c r="D445" s="54" t="inlineStr">
        <is>
          <t>SATIN-CHAMPAGNE-QUEEN</t>
        </is>
      </c>
      <c r="E445" s="54" t="inlineStr">
        <is>
          <t>Queen</t>
        </is>
      </c>
      <c r="F445" s="54" t="inlineStr">
        <is>
          <t>Champagne</t>
        </is>
      </c>
      <c r="G445" s="55" t="n">
        <v>46</v>
      </c>
      <c r="H445" s="167" t="n">
        <v>1396.1</v>
      </c>
      <c r="I445" s="167" t="n">
        <v>0</v>
      </c>
      <c r="J445" s="168">
        <f>IF(AND(N(G445)&gt;0,N(H445)+N(I445)&gt;0),(H445+I445)*U445/G445,"")</f>
        <v/>
      </c>
      <c r="K445" s="167" t="n">
        <v>31.95</v>
      </c>
      <c r="L445" s="167" t="n">
        <v>28.76</v>
      </c>
      <c r="M445" s="54" t="inlineStr">
        <is>
          <t>Eligible</t>
        </is>
      </c>
      <c r="N445" s="168">
        <f>IF(OR(J445="",L445=""),"",L445-J445)</f>
        <v/>
      </c>
      <c r="O445" s="169">
        <f>IF(OR(J445="",L445=""),"",L445/J445-1)</f>
        <v/>
      </c>
      <c r="P445" s="169">
        <f>IF(OR(J445="",K445=""),"",K445/J445-1)</f>
        <v/>
      </c>
      <c r="Q445" s="54">
        <f>IF(AND(ISNUMBER(J445),ISNUMBER(L445)),1,0)</f>
        <v/>
      </c>
      <c r="R445" s="69">
        <f>IF(Q445=1,G445*L445,0)</f>
        <v/>
      </c>
      <c r="S445" s="69">
        <f>IF(Q445=1,(H445+I445)*U445,0)</f>
        <v/>
      </c>
      <c r="T445" s="59">
        <f>IF(Q445=1,G445,0)</f>
        <v/>
      </c>
      <c r="U445" s="170" t="n">
        <v>1</v>
      </c>
    </row>
    <row r="446">
      <c r="A446" s="54" t="inlineStr">
        <is>
          <t>US DC S4</t>
        </is>
      </c>
      <c r="B446" s="54" t="inlineStr">
        <is>
          <t>US</t>
        </is>
      </c>
      <c r="C446" s="54" t="inlineStr">
        <is>
          <t>B09G6HZT1K</t>
        </is>
      </c>
      <c r="D446" s="54" t="inlineStr">
        <is>
          <t>SATIN-STRIPE-KING-BLACK</t>
        </is>
      </c>
      <c r="E446" s="54" t="inlineStr">
        <is>
          <t>King</t>
        </is>
      </c>
      <c r="F446" s="54" t="inlineStr">
        <is>
          <t>Striped Black</t>
        </is>
      </c>
      <c r="G446" s="55" t="n">
        <v>45</v>
      </c>
      <c r="H446" s="167" t="n">
        <v>1298.7</v>
      </c>
      <c r="I446" s="167" t="n">
        <v>0</v>
      </c>
      <c r="J446" s="168">
        <f>IF(AND(N(G446)&gt;0,N(H446)+N(I446)&gt;0),(H446+I446)*U446/G446,"")</f>
        <v/>
      </c>
      <c r="K446" s="167" t="n">
        <v>33.95</v>
      </c>
      <c r="L446" s="167" t="n"/>
      <c r="M446" s="54" t="inlineStr">
        <is>
          <t>Out of stock</t>
        </is>
      </c>
      <c r="N446" s="168">
        <f>IF(OR(J446="",L446=""),"",L446-J446)</f>
        <v/>
      </c>
      <c r="O446" s="169">
        <f>IF(OR(J446="",L446=""),"",L446/J446-1)</f>
        <v/>
      </c>
      <c r="P446" s="169">
        <f>IF(OR(J446="",K446=""),"",K446/J446-1)</f>
        <v/>
      </c>
      <c r="Q446" s="54">
        <f>IF(AND(ISNUMBER(J446),ISNUMBER(L446)),1,0)</f>
        <v/>
      </c>
      <c r="R446" s="69">
        <f>IF(Q446=1,G446*L446,0)</f>
        <v/>
      </c>
      <c r="S446" s="69">
        <f>IF(Q446=1,(H446+I446)*U446,0)</f>
        <v/>
      </c>
      <c r="T446" s="59">
        <f>IF(Q446=1,G446,0)</f>
        <v/>
      </c>
      <c r="U446" s="170" t="n">
        <v>1</v>
      </c>
    </row>
    <row r="447">
      <c r="A447" s="54" t="inlineStr">
        <is>
          <t>US DC S4</t>
        </is>
      </c>
      <c r="B447" s="54" t="inlineStr">
        <is>
          <t>US</t>
        </is>
      </c>
      <c r="C447" s="54" t="inlineStr">
        <is>
          <t>B0839L9RSB</t>
        </is>
      </c>
      <c r="D447" s="54" t="inlineStr">
        <is>
          <t>SATIN-FULL-BLUE</t>
        </is>
      </c>
      <c r="E447" s="54" t="inlineStr">
        <is>
          <t>Full</t>
        </is>
      </c>
      <c r="F447" s="54" t="inlineStr">
        <is>
          <t>Blue</t>
        </is>
      </c>
      <c r="G447" s="55" t="n">
        <v>44</v>
      </c>
      <c r="H447" s="167" t="n">
        <v>1120.24</v>
      </c>
      <c r="I447" s="167" t="n">
        <v>0</v>
      </c>
      <c r="J447" s="168">
        <f>IF(AND(N(G447)&gt;0,N(H447)+N(I447)&gt;0),(H447+I447)*U447/G447,"")</f>
        <v/>
      </c>
      <c r="K447" s="167" t="n">
        <v>29.95</v>
      </c>
      <c r="L447" s="167" t="n">
        <v>28.45</v>
      </c>
      <c r="M447" s="54" t="inlineStr">
        <is>
          <t>Eligible</t>
        </is>
      </c>
      <c r="N447" s="168">
        <f>IF(OR(J447="",L447=""),"",L447-J447)</f>
        <v/>
      </c>
      <c r="O447" s="169">
        <f>IF(OR(J447="",L447=""),"",L447/J447-1)</f>
        <v/>
      </c>
      <c r="P447" s="169">
        <f>IF(OR(J447="",K447=""),"",K447/J447-1)</f>
        <v/>
      </c>
      <c r="Q447" s="54">
        <f>IF(AND(ISNUMBER(J447),ISNUMBER(L447)),1,0)</f>
        <v/>
      </c>
      <c r="R447" s="69">
        <f>IF(Q447=1,G447*L447,0)</f>
        <v/>
      </c>
      <c r="S447" s="69">
        <f>IF(Q447=1,(H447+I447)*U447,0)</f>
        <v/>
      </c>
      <c r="T447" s="59">
        <f>IF(Q447=1,G447,0)</f>
        <v/>
      </c>
      <c r="U447" s="170" t="n">
        <v>1</v>
      </c>
    </row>
    <row r="448">
      <c r="A448" s="54" t="inlineStr">
        <is>
          <t>US DC S4</t>
        </is>
      </c>
      <c r="B448" s="54" t="inlineStr">
        <is>
          <t>US</t>
        </is>
      </c>
      <c r="C448" s="54" t="inlineStr">
        <is>
          <t>B0CNS9FHSD</t>
        </is>
      </c>
      <c r="D448" s="54" t="inlineStr">
        <is>
          <t>SATIN-FULL-BLUSH PINK</t>
        </is>
      </c>
      <c r="E448" s="54" t="inlineStr">
        <is>
          <t>Full</t>
        </is>
      </c>
      <c r="F448" s="54" t="inlineStr">
        <is>
          <t>Blush Pink</t>
        </is>
      </c>
      <c r="G448" s="55" t="n">
        <v>44</v>
      </c>
      <c r="H448" s="167" t="n">
        <v>1223.35</v>
      </c>
      <c r="I448" s="167" t="n">
        <v>0</v>
      </c>
      <c r="J448" s="168">
        <f>IF(AND(N(G448)&gt;0,N(H448)+N(I448)&gt;0),(H448+I448)*U448/G448,"")</f>
        <v/>
      </c>
      <c r="K448" s="167" t="n">
        <v>29.95</v>
      </c>
      <c r="L448" s="167" t="n"/>
      <c r="M448" s="54" t="inlineStr">
        <is>
          <t>Out of stock</t>
        </is>
      </c>
      <c r="N448" s="168">
        <f>IF(OR(J448="",L448=""),"",L448-J448)</f>
        <v/>
      </c>
      <c r="O448" s="169">
        <f>IF(OR(J448="",L448=""),"",L448/J448-1)</f>
        <v/>
      </c>
      <c r="P448" s="169">
        <f>IF(OR(J448="",K448=""),"",K448/J448-1)</f>
        <v/>
      </c>
      <c r="Q448" s="54">
        <f>IF(AND(ISNUMBER(J448),ISNUMBER(L448)),1,0)</f>
        <v/>
      </c>
      <c r="R448" s="69">
        <f>IF(Q448=1,G448*L448,0)</f>
        <v/>
      </c>
      <c r="S448" s="69">
        <f>IF(Q448=1,(H448+I448)*U448,0)</f>
        <v/>
      </c>
      <c r="T448" s="59">
        <f>IF(Q448=1,G448,0)</f>
        <v/>
      </c>
      <c r="U448" s="170" t="n">
        <v>1</v>
      </c>
    </row>
    <row r="449">
      <c r="A449" s="54" t="inlineStr">
        <is>
          <t>US DC S4</t>
        </is>
      </c>
      <c r="B449" s="54" t="inlineStr">
        <is>
          <t>US</t>
        </is>
      </c>
      <c r="C449" s="54" t="inlineStr">
        <is>
          <t>B0BG23H2QY</t>
        </is>
      </c>
      <c r="D449" s="54" t="inlineStr">
        <is>
          <t>SATIN-STONEGREY-FULL</t>
        </is>
      </c>
      <c r="E449" s="54" t="inlineStr">
        <is>
          <t>Full</t>
        </is>
      </c>
      <c r="F449" s="54" t="inlineStr">
        <is>
          <t>Stone Grey</t>
        </is>
      </c>
      <c r="G449" s="55" t="n">
        <v>44</v>
      </c>
      <c r="H449" s="167" t="n">
        <v>1272.8</v>
      </c>
      <c r="I449" s="167" t="n">
        <v>0</v>
      </c>
      <c r="J449" s="168">
        <f>IF(AND(N(G449)&gt;0,N(H449)+N(I449)&gt;0),(H449+I449)*U449/G449,"")</f>
        <v/>
      </c>
      <c r="K449" s="167" t="n">
        <v>29.95</v>
      </c>
      <c r="L449" s="167" t="n">
        <v>26.95</v>
      </c>
      <c r="M449" s="54" t="inlineStr">
        <is>
          <t>Eligible</t>
        </is>
      </c>
      <c r="N449" s="168">
        <f>IF(OR(J449="",L449=""),"",L449-J449)</f>
        <v/>
      </c>
      <c r="O449" s="169">
        <f>IF(OR(J449="",L449=""),"",L449/J449-1)</f>
        <v/>
      </c>
      <c r="P449" s="169">
        <f>IF(OR(J449="",K449=""),"",K449/J449-1)</f>
        <v/>
      </c>
      <c r="Q449" s="54">
        <f>IF(AND(ISNUMBER(J449),ISNUMBER(L449)),1,0)</f>
        <v/>
      </c>
      <c r="R449" s="69">
        <f>IF(Q449=1,G449*L449,0)</f>
        <v/>
      </c>
      <c r="S449" s="69">
        <f>IF(Q449=1,(H449+I449)*U449,0)</f>
        <v/>
      </c>
      <c r="T449" s="59">
        <f>IF(Q449=1,G449,0)</f>
        <v/>
      </c>
      <c r="U449" s="170" t="n">
        <v>1</v>
      </c>
    </row>
    <row r="450">
      <c r="A450" s="54" t="inlineStr">
        <is>
          <t>US DC S4</t>
        </is>
      </c>
      <c r="B450" s="54" t="inlineStr">
        <is>
          <t>US</t>
        </is>
      </c>
      <c r="C450" s="54" t="inlineStr">
        <is>
          <t>B08KRNYD9B</t>
        </is>
      </c>
      <c r="D450" s="54" t="inlineStr">
        <is>
          <t>SATIN-WHITE-FULL</t>
        </is>
      </c>
      <c r="E450" s="54" t="inlineStr">
        <is>
          <t>Full</t>
        </is>
      </c>
      <c r="F450" s="54" t="inlineStr">
        <is>
          <t>White</t>
        </is>
      </c>
      <c r="G450" s="55" t="n">
        <v>39</v>
      </c>
      <c r="H450" s="167" t="n">
        <v>1109.55</v>
      </c>
      <c r="I450" s="167" t="n">
        <v>0</v>
      </c>
      <c r="J450" s="168">
        <f>IF(AND(N(G450)&gt;0,N(H450)+N(I450)&gt;0),(H450+I450)*U450/G450,"")</f>
        <v/>
      </c>
      <c r="K450" s="167" t="n">
        <v>29.95</v>
      </c>
      <c r="L450" s="167" t="n">
        <v>26.95</v>
      </c>
      <c r="M450" s="54" t="inlineStr">
        <is>
          <t>Eligible</t>
        </is>
      </c>
      <c r="N450" s="168">
        <f>IF(OR(J450="",L450=""),"",L450-J450)</f>
        <v/>
      </c>
      <c r="O450" s="169">
        <f>IF(OR(J450="",L450=""),"",L450/J450-1)</f>
        <v/>
      </c>
      <c r="P450" s="169">
        <f>IF(OR(J450="",K450=""),"",K450/J450-1)</f>
        <v/>
      </c>
      <c r="Q450" s="54">
        <f>IF(AND(ISNUMBER(J450),ISNUMBER(L450)),1,0)</f>
        <v/>
      </c>
      <c r="R450" s="69">
        <f>IF(Q450=1,G450*L450,0)</f>
        <v/>
      </c>
      <c r="S450" s="69">
        <f>IF(Q450=1,(H450+I450)*U450,0)</f>
        <v/>
      </c>
      <c r="T450" s="59">
        <f>IF(Q450=1,G450,0)</f>
        <v/>
      </c>
      <c r="U450" s="170" t="n">
        <v>1</v>
      </c>
    </row>
    <row r="451">
      <c r="A451" s="54" t="inlineStr">
        <is>
          <t>US DC S4</t>
        </is>
      </c>
      <c r="B451" s="54" t="inlineStr">
        <is>
          <t>US</t>
        </is>
      </c>
      <c r="C451" s="54" t="inlineStr">
        <is>
          <t>B0839L5PDJ</t>
        </is>
      </c>
      <c r="D451" s="54" t="inlineStr">
        <is>
          <t>SATIN-KING-BLUE</t>
        </is>
      </c>
      <c r="E451" s="54" t="inlineStr">
        <is>
          <t>King</t>
        </is>
      </c>
      <c r="F451" s="54" t="inlineStr">
        <is>
          <t>Blue</t>
        </is>
      </c>
      <c r="G451" s="55" t="n">
        <v>39</v>
      </c>
      <c r="H451" s="167" t="n">
        <v>1257.75</v>
      </c>
      <c r="I451" s="167" t="n">
        <v>0</v>
      </c>
      <c r="J451" s="168">
        <f>IF(AND(N(G451)&gt;0,N(H451)+N(I451)&gt;0),(H451+I451)*U451/G451,"")</f>
        <v/>
      </c>
      <c r="K451" s="167" t="n">
        <v>33.95</v>
      </c>
      <c r="L451" s="167" t="n">
        <v>32.25</v>
      </c>
      <c r="M451" s="54" t="inlineStr">
        <is>
          <t>Eligible</t>
        </is>
      </c>
      <c r="N451" s="168">
        <f>IF(OR(J451="",L451=""),"",L451-J451)</f>
        <v/>
      </c>
      <c r="O451" s="169">
        <f>IF(OR(J451="",L451=""),"",L451/J451-1)</f>
        <v/>
      </c>
      <c r="P451" s="169">
        <f>IF(OR(J451="",K451=""),"",K451/J451-1)</f>
        <v/>
      </c>
      <c r="Q451" s="54">
        <f>IF(AND(ISNUMBER(J451),ISNUMBER(L451)),1,0)</f>
        <v/>
      </c>
      <c r="R451" s="69">
        <f>IF(Q451=1,G451*L451,0)</f>
        <v/>
      </c>
      <c r="S451" s="69">
        <f>IF(Q451=1,(H451+I451)*U451,0)</f>
        <v/>
      </c>
      <c r="T451" s="59">
        <f>IF(Q451=1,G451,0)</f>
        <v/>
      </c>
      <c r="U451" s="170" t="n">
        <v>1</v>
      </c>
    </row>
    <row r="452">
      <c r="A452" s="54" t="inlineStr">
        <is>
          <t>US DC S4</t>
        </is>
      </c>
      <c r="B452" s="54" t="inlineStr">
        <is>
          <t>US</t>
        </is>
      </c>
      <c r="C452" s="54" t="inlineStr">
        <is>
          <t>B0BG1YXQGT</t>
        </is>
      </c>
      <c r="D452" s="54" t="inlineStr">
        <is>
          <t>SATIN-IVORY-QUEEN</t>
        </is>
      </c>
      <c r="E452" s="54" t="inlineStr">
        <is>
          <t>Queen</t>
        </is>
      </c>
      <c r="F452" s="54" t="inlineStr">
        <is>
          <t>Ivory</t>
        </is>
      </c>
      <c r="G452" s="55" t="n">
        <v>39</v>
      </c>
      <c r="H452" s="167" t="n">
        <v>1185.25</v>
      </c>
      <c r="I452" s="167" t="n">
        <v>0</v>
      </c>
      <c r="J452" s="168">
        <f>IF(AND(N(G452)&gt;0,N(H452)+N(I452)&gt;0),(H452+I452)*U452/G452,"")</f>
        <v/>
      </c>
      <c r="K452" s="167" t="n">
        <v>31.95</v>
      </c>
      <c r="L452" s="167" t="n">
        <v>30.35</v>
      </c>
      <c r="M452" s="54" t="inlineStr">
        <is>
          <t>Eligible</t>
        </is>
      </c>
      <c r="N452" s="168">
        <f>IF(OR(J452="",L452=""),"",L452-J452)</f>
        <v/>
      </c>
      <c r="O452" s="169">
        <f>IF(OR(J452="",L452=""),"",L452/J452-1)</f>
        <v/>
      </c>
      <c r="P452" s="169">
        <f>IF(OR(J452="",K452=""),"",K452/J452-1)</f>
        <v/>
      </c>
      <c r="Q452" s="54">
        <f>IF(AND(ISNUMBER(J452),ISNUMBER(L452)),1,0)</f>
        <v/>
      </c>
      <c r="R452" s="69">
        <f>IF(Q452=1,G452*L452,0)</f>
        <v/>
      </c>
      <c r="S452" s="69">
        <f>IF(Q452=1,(H452+I452)*U452,0)</f>
        <v/>
      </c>
      <c r="T452" s="59">
        <f>IF(Q452=1,G452,0)</f>
        <v/>
      </c>
      <c r="U452" s="170" t="n">
        <v>1</v>
      </c>
    </row>
    <row r="453">
      <c r="A453" s="54" t="inlineStr">
        <is>
          <t>US DC S4</t>
        </is>
      </c>
      <c r="B453" s="54" t="inlineStr">
        <is>
          <t>US</t>
        </is>
      </c>
      <c r="C453" s="54" t="inlineStr">
        <is>
          <t>B0CQRY9WLD</t>
        </is>
      </c>
      <c r="D453" s="54" t="inlineStr">
        <is>
          <t>SATIN-4PC-FULL-BABY BLUE</t>
        </is>
      </c>
      <c r="E453" s="54" t="inlineStr">
        <is>
          <t>Full</t>
        </is>
      </c>
      <c r="F453" s="54" t="inlineStr">
        <is>
          <t>Baby Blue</t>
        </is>
      </c>
      <c r="G453" s="55" t="n">
        <v>35</v>
      </c>
      <c r="H453" s="167" t="n">
        <v>995.75</v>
      </c>
      <c r="I453" s="167" t="n">
        <v>0</v>
      </c>
      <c r="J453" s="168">
        <f>IF(AND(N(G453)&gt;0,N(H453)+N(I453)&gt;0),(H453+I453)*U453/G453,"")</f>
        <v/>
      </c>
      <c r="K453" s="167" t="n">
        <v>29.95</v>
      </c>
      <c r="L453" s="167" t="n">
        <v>28.45</v>
      </c>
      <c r="M453" s="54" t="inlineStr">
        <is>
          <t>Eligible</t>
        </is>
      </c>
      <c r="N453" s="168">
        <f>IF(OR(J453="",L453=""),"",L453-J453)</f>
        <v/>
      </c>
      <c r="O453" s="169">
        <f>IF(OR(J453="",L453=""),"",L453/J453-1)</f>
        <v/>
      </c>
      <c r="P453" s="169">
        <f>IF(OR(J453="",K453=""),"",K453/J453-1)</f>
        <v/>
      </c>
      <c r="Q453" s="54">
        <f>IF(AND(ISNUMBER(J453),ISNUMBER(L453)),1,0)</f>
        <v/>
      </c>
      <c r="R453" s="69">
        <f>IF(Q453=1,G453*L453,0)</f>
        <v/>
      </c>
      <c r="S453" s="69">
        <f>IF(Q453=1,(H453+I453)*U453,0)</f>
        <v/>
      </c>
      <c r="T453" s="59">
        <f>IF(Q453=1,G453,0)</f>
        <v/>
      </c>
      <c r="U453" s="170" t="n">
        <v>1</v>
      </c>
    </row>
    <row r="454">
      <c r="A454" s="54" t="inlineStr">
        <is>
          <t>US DC S4</t>
        </is>
      </c>
      <c r="B454" s="54" t="inlineStr">
        <is>
          <t>US</t>
        </is>
      </c>
      <c r="C454" s="54" t="inlineStr">
        <is>
          <t>B0CQRYGLY3</t>
        </is>
      </c>
      <c r="D454" s="54" t="inlineStr">
        <is>
          <t>SATIN-4PC-FULL-NAVY BLUE</t>
        </is>
      </c>
      <c r="E454" s="54" t="inlineStr">
        <is>
          <t>Full</t>
        </is>
      </c>
      <c r="F454" s="54" t="inlineStr">
        <is>
          <t>Navy Blue</t>
        </is>
      </c>
      <c r="G454" s="55" t="n">
        <v>35</v>
      </c>
      <c r="H454" s="167" t="n">
        <v>995.75</v>
      </c>
      <c r="I454" s="167" t="n">
        <v>0</v>
      </c>
      <c r="J454" s="168">
        <f>IF(AND(N(G454)&gt;0,N(H454)+N(I454)&gt;0),(H454+I454)*U454/G454,"")</f>
        <v/>
      </c>
      <c r="K454" s="167" t="n">
        <v>29.95</v>
      </c>
      <c r="L454" s="167" t="n">
        <v>26.96</v>
      </c>
      <c r="M454" s="54" t="inlineStr">
        <is>
          <t>Eligible</t>
        </is>
      </c>
      <c r="N454" s="168">
        <f>IF(OR(J454="",L454=""),"",L454-J454)</f>
        <v/>
      </c>
      <c r="O454" s="169">
        <f>IF(OR(J454="",L454=""),"",L454/J454-1)</f>
        <v/>
      </c>
      <c r="P454" s="169">
        <f>IF(OR(J454="",K454=""),"",K454/J454-1)</f>
        <v/>
      </c>
      <c r="Q454" s="54">
        <f>IF(AND(ISNUMBER(J454),ISNUMBER(L454)),1,0)</f>
        <v/>
      </c>
      <c r="R454" s="69">
        <f>IF(Q454=1,G454*L454,0)</f>
        <v/>
      </c>
      <c r="S454" s="69">
        <f>IF(Q454=1,(H454+I454)*U454,0)</f>
        <v/>
      </c>
      <c r="T454" s="59">
        <f>IF(Q454=1,G454,0)</f>
        <v/>
      </c>
      <c r="U454" s="170" t="n">
        <v>1</v>
      </c>
    </row>
    <row r="455">
      <c r="A455" s="54" t="inlineStr">
        <is>
          <t>US DC S4</t>
        </is>
      </c>
      <c r="B455" s="54" t="inlineStr">
        <is>
          <t>US</t>
        </is>
      </c>
      <c r="C455" s="54" t="inlineStr">
        <is>
          <t>B08KRHBD49</t>
        </is>
      </c>
      <c r="D455" s="54" t="inlineStr">
        <is>
          <t>SATIN-RED-FULL</t>
        </is>
      </c>
      <c r="E455" s="54" t="inlineStr">
        <is>
          <t>Full</t>
        </is>
      </c>
      <c r="F455" s="54" t="inlineStr">
        <is>
          <t>Red</t>
        </is>
      </c>
      <c r="G455" s="55" t="n">
        <v>32</v>
      </c>
      <c r="H455" s="167" t="n">
        <v>910.4</v>
      </c>
      <c r="I455" s="167" t="n">
        <v>0</v>
      </c>
      <c r="J455" s="168">
        <f>IF(AND(N(G455)&gt;0,N(H455)+N(I455)&gt;0),(H455+I455)*U455/G455,"")</f>
        <v/>
      </c>
      <c r="K455" s="167" t="n">
        <v>29.95</v>
      </c>
      <c r="L455" s="167" t="n">
        <v>26.96</v>
      </c>
      <c r="M455" s="54" t="inlineStr">
        <is>
          <t>Eligible</t>
        </is>
      </c>
      <c r="N455" s="168">
        <f>IF(OR(J455="",L455=""),"",L455-J455)</f>
        <v/>
      </c>
      <c r="O455" s="169">
        <f>IF(OR(J455="",L455=""),"",L455/J455-1)</f>
        <v/>
      </c>
      <c r="P455" s="169">
        <f>IF(OR(J455="",K455=""),"",K455/J455-1)</f>
        <v/>
      </c>
      <c r="Q455" s="54">
        <f>IF(AND(ISNUMBER(J455),ISNUMBER(L455)),1,0)</f>
        <v/>
      </c>
      <c r="R455" s="69">
        <f>IF(Q455=1,G455*L455,0)</f>
        <v/>
      </c>
      <c r="S455" s="69">
        <f>IF(Q455=1,(H455+I455)*U455,0)</f>
        <v/>
      </c>
      <c r="T455" s="59">
        <f>IF(Q455=1,G455,0)</f>
        <v/>
      </c>
      <c r="U455" s="170" t="n">
        <v>1</v>
      </c>
    </row>
    <row r="456">
      <c r="A456" s="54" t="inlineStr">
        <is>
          <t>US DC S4</t>
        </is>
      </c>
      <c r="B456" s="54" t="inlineStr">
        <is>
          <t>US</t>
        </is>
      </c>
      <c r="C456" s="54" t="inlineStr">
        <is>
          <t>B0CQRYDFC1</t>
        </is>
      </c>
      <c r="D456" s="54" t="inlineStr">
        <is>
          <t>SATIN-4PC-KING-BABY BLUE</t>
        </is>
      </c>
      <c r="E456" s="54" t="inlineStr">
        <is>
          <t>King</t>
        </is>
      </c>
      <c r="F456" s="54" t="inlineStr">
        <is>
          <t>Baby Blue</t>
        </is>
      </c>
      <c r="G456" s="55" t="n">
        <v>31</v>
      </c>
      <c r="H456" s="167" t="n">
        <v>1073.85</v>
      </c>
      <c r="I456" s="167" t="n">
        <v>0</v>
      </c>
      <c r="J456" s="168">
        <f>IF(AND(N(G456)&gt;0,N(H456)+N(I456)&gt;0),(H456+I456)*U456/G456,"")</f>
        <v/>
      </c>
      <c r="K456" s="167" t="n">
        <v>33.95</v>
      </c>
      <c r="L456" s="167" t="n">
        <v>32.25</v>
      </c>
      <c r="M456" s="54" t="inlineStr">
        <is>
          <t>Eligible</t>
        </is>
      </c>
      <c r="N456" s="168">
        <f>IF(OR(J456="",L456=""),"",L456-J456)</f>
        <v/>
      </c>
      <c r="O456" s="169">
        <f>IF(OR(J456="",L456=""),"",L456/J456-1)</f>
        <v/>
      </c>
      <c r="P456" s="169">
        <f>IF(OR(J456="",K456=""),"",K456/J456-1)</f>
        <v/>
      </c>
      <c r="Q456" s="54">
        <f>IF(AND(ISNUMBER(J456),ISNUMBER(L456)),1,0)</f>
        <v/>
      </c>
      <c r="R456" s="69">
        <f>IF(Q456=1,G456*L456,0)</f>
        <v/>
      </c>
      <c r="S456" s="69">
        <f>IF(Q456=1,(H456+I456)*U456,0)</f>
        <v/>
      </c>
      <c r="T456" s="59">
        <f>IF(Q456=1,G456,0)</f>
        <v/>
      </c>
      <c r="U456" s="170" t="n">
        <v>1</v>
      </c>
    </row>
    <row r="457">
      <c r="A457" s="54" t="inlineStr">
        <is>
          <t>US DC S4</t>
        </is>
      </c>
      <c r="B457" s="54" t="inlineStr">
        <is>
          <t>US</t>
        </is>
      </c>
      <c r="C457" s="54" t="inlineStr">
        <is>
          <t>B0CQRX1Q8Z</t>
        </is>
      </c>
      <c r="D457" s="54" t="inlineStr">
        <is>
          <t>SATIN-4PC-KING-LAVENDER</t>
        </is>
      </c>
      <c r="E457" s="54" t="inlineStr">
        <is>
          <t>King</t>
        </is>
      </c>
      <c r="F457" s="54" t="inlineStr">
        <is>
          <t>Lavender</t>
        </is>
      </c>
      <c r="G457" s="55" t="n">
        <v>31</v>
      </c>
      <c r="H457" s="167" t="n">
        <v>901.4400000000001</v>
      </c>
      <c r="I457" s="167" t="n">
        <v>0</v>
      </c>
      <c r="J457" s="168">
        <f>IF(AND(N(G457)&gt;0,N(H457)+N(I457)&gt;0),(H457+I457)*U457/G457,"")</f>
        <v/>
      </c>
      <c r="K457" s="167" t="n">
        <v>33.95</v>
      </c>
      <c r="L457" s="167" t="n">
        <v>32.25</v>
      </c>
      <c r="M457" s="54" t="inlineStr">
        <is>
          <t>Eligible</t>
        </is>
      </c>
      <c r="N457" s="168">
        <f>IF(OR(J457="",L457=""),"",L457-J457)</f>
        <v/>
      </c>
      <c r="O457" s="169">
        <f>IF(OR(J457="",L457=""),"",L457/J457-1)</f>
        <v/>
      </c>
      <c r="P457" s="169">
        <f>IF(OR(J457="",K457=""),"",K457/J457-1)</f>
        <v/>
      </c>
      <c r="Q457" s="54">
        <f>IF(AND(ISNUMBER(J457),ISNUMBER(L457)),1,0)</f>
        <v/>
      </c>
      <c r="R457" s="69">
        <f>IF(Q457=1,G457*L457,0)</f>
        <v/>
      </c>
      <c r="S457" s="69">
        <f>IF(Q457=1,(H457+I457)*U457,0)</f>
        <v/>
      </c>
      <c r="T457" s="59">
        <f>IF(Q457=1,G457,0)</f>
        <v/>
      </c>
      <c r="U457" s="170" t="n">
        <v>1</v>
      </c>
    </row>
    <row r="458">
      <c r="A458" s="54" t="inlineStr">
        <is>
          <t>US DC S4</t>
        </is>
      </c>
      <c r="B458" s="54" t="inlineStr">
        <is>
          <t>US</t>
        </is>
      </c>
      <c r="C458" s="54" t="inlineStr">
        <is>
          <t>B09G6LBXRX</t>
        </is>
      </c>
      <c r="D458" s="54" t="inlineStr">
        <is>
          <t>SATIN-STRIPE-QUEEN-BLACK</t>
        </is>
      </c>
      <c r="E458" s="54" t="inlineStr">
        <is>
          <t>Queen</t>
        </is>
      </c>
      <c r="F458" s="54" t="inlineStr">
        <is>
          <t>Striped Black</t>
        </is>
      </c>
      <c r="G458" s="55" t="n">
        <v>31</v>
      </c>
      <c r="H458" s="167" t="n">
        <v>956.91</v>
      </c>
      <c r="I458" s="167" t="n">
        <v>0</v>
      </c>
      <c r="J458" s="168">
        <f>IF(AND(N(G458)&gt;0,N(H458)+N(I458)&gt;0),(H458+I458)*U458/G458,"")</f>
        <v/>
      </c>
      <c r="K458" s="167" t="n">
        <v>31.95</v>
      </c>
      <c r="L458" s="167" t="n">
        <v>30.35</v>
      </c>
      <c r="M458" s="54" t="inlineStr">
        <is>
          <t>Eligible</t>
        </is>
      </c>
      <c r="N458" s="168">
        <f>IF(OR(J458="",L458=""),"",L458-J458)</f>
        <v/>
      </c>
      <c r="O458" s="169">
        <f>IF(OR(J458="",L458=""),"",L458/J458-1)</f>
        <v/>
      </c>
      <c r="P458" s="169">
        <f>IF(OR(J458="",K458=""),"",K458/J458-1)</f>
        <v/>
      </c>
      <c r="Q458" s="54">
        <f>IF(AND(ISNUMBER(J458),ISNUMBER(L458)),1,0)</f>
        <v/>
      </c>
      <c r="R458" s="69">
        <f>IF(Q458=1,G458*L458,0)</f>
        <v/>
      </c>
      <c r="S458" s="69">
        <f>IF(Q458=1,(H458+I458)*U458,0)</f>
        <v/>
      </c>
      <c r="T458" s="59">
        <f>IF(Q458=1,G458,0)</f>
        <v/>
      </c>
      <c r="U458" s="170" t="n">
        <v>1</v>
      </c>
    </row>
    <row r="459">
      <c r="A459" s="54" t="inlineStr">
        <is>
          <t>US DC S4</t>
        </is>
      </c>
      <c r="B459" s="54" t="inlineStr">
        <is>
          <t>US</t>
        </is>
      </c>
      <c r="C459" s="54" t="inlineStr">
        <is>
          <t>B0BG225D1J</t>
        </is>
      </c>
      <c r="D459" s="54" t="inlineStr">
        <is>
          <t>SATIN-IVORY-KING</t>
        </is>
      </c>
      <c r="E459" s="54" t="inlineStr">
        <is>
          <t>King</t>
        </is>
      </c>
      <c r="F459" s="54" t="inlineStr">
        <is>
          <t>Ivory</t>
        </is>
      </c>
      <c r="G459" s="55" t="n">
        <v>30</v>
      </c>
      <c r="H459" s="167" t="n">
        <v>1018.5</v>
      </c>
      <c r="I459" s="167" t="n">
        <v>0</v>
      </c>
      <c r="J459" s="168">
        <f>IF(AND(N(G459)&gt;0,N(H459)+N(I459)&gt;0),(H459+I459)*U459/G459,"")</f>
        <v/>
      </c>
      <c r="K459" s="167" t="n">
        <v>33.95</v>
      </c>
      <c r="L459" s="167" t="n">
        <v>30.56</v>
      </c>
      <c r="M459" s="54" t="inlineStr">
        <is>
          <t>Eligible</t>
        </is>
      </c>
      <c r="N459" s="168">
        <f>IF(OR(J459="",L459=""),"",L459-J459)</f>
        <v/>
      </c>
      <c r="O459" s="169">
        <f>IF(OR(J459="",L459=""),"",L459/J459-1)</f>
        <v/>
      </c>
      <c r="P459" s="169">
        <f>IF(OR(J459="",K459=""),"",K459/J459-1)</f>
        <v/>
      </c>
      <c r="Q459" s="54">
        <f>IF(AND(ISNUMBER(J459),ISNUMBER(L459)),1,0)</f>
        <v/>
      </c>
      <c r="R459" s="69">
        <f>IF(Q459=1,G459*L459,0)</f>
        <v/>
      </c>
      <c r="S459" s="69">
        <f>IF(Q459=1,(H459+I459)*U459,0)</f>
        <v/>
      </c>
      <c r="T459" s="59">
        <f>IF(Q459=1,G459,0)</f>
        <v/>
      </c>
      <c r="U459" s="170" t="n">
        <v>1</v>
      </c>
    </row>
    <row r="460">
      <c r="A460" s="54" t="inlineStr">
        <is>
          <t>US DC S4</t>
        </is>
      </c>
      <c r="B460" s="54" t="inlineStr">
        <is>
          <t>US</t>
        </is>
      </c>
      <c r="C460" s="54" t="inlineStr">
        <is>
          <t>B0CQRWY3Y7</t>
        </is>
      </c>
      <c r="D460" s="54" t="inlineStr">
        <is>
          <t>SATIN-4PC-KING-SAGE GREEN</t>
        </is>
      </c>
      <c r="E460" s="54" t="inlineStr">
        <is>
          <t>King</t>
        </is>
      </c>
      <c r="F460" s="54" t="inlineStr">
        <is>
          <t>Sage Green</t>
        </is>
      </c>
      <c r="G460" s="55" t="n">
        <v>30</v>
      </c>
      <c r="H460" s="167" t="n">
        <v>865.8</v>
      </c>
      <c r="I460" s="167" t="n">
        <v>0</v>
      </c>
      <c r="J460" s="168">
        <f>IF(AND(N(G460)&gt;0,N(H460)+N(I460)&gt;0),(H460+I460)*U460/G460,"")</f>
        <v/>
      </c>
      <c r="K460" s="167" t="n">
        <v>33.95</v>
      </c>
      <c r="L460" s="167" t="n">
        <v>32.25</v>
      </c>
      <c r="M460" s="54" t="inlineStr">
        <is>
          <t>Eligible</t>
        </is>
      </c>
      <c r="N460" s="168">
        <f>IF(OR(J460="",L460=""),"",L460-J460)</f>
        <v/>
      </c>
      <c r="O460" s="169">
        <f>IF(OR(J460="",L460=""),"",L460/J460-1)</f>
        <v/>
      </c>
      <c r="P460" s="169">
        <f>IF(OR(J460="",K460=""),"",K460/J460-1)</f>
        <v/>
      </c>
      <c r="Q460" s="54">
        <f>IF(AND(ISNUMBER(J460),ISNUMBER(L460)),1,0)</f>
        <v/>
      </c>
      <c r="R460" s="69">
        <f>IF(Q460=1,G460*L460,0)</f>
        <v/>
      </c>
      <c r="S460" s="69">
        <f>IF(Q460=1,(H460+I460)*U460,0)</f>
        <v/>
      </c>
      <c r="T460" s="59">
        <f>IF(Q460=1,G460,0)</f>
        <v/>
      </c>
      <c r="U460" s="170" t="n">
        <v>1</v>
      </c>
    </row>
    <row r="461">
      <c r="A461" s="54" t="inlineStr">
        <is>
          <t>US DC S4</t>
        </is>
      </c>
      <c r="B461" s="54" t="inlineStr">
        <is>
          <t>US</t>
        </is>
      </c>
      <c r="C461" s="54" t="inlineStr">
        <is>
          <t>B09G6JSW33</t>
        </is>
      </c>
      <c r="D461" s="54" t="inlineStr">
        <is>
          <t>SATIN-STRIPE-QUEEN-PINK</t>
        </is>
      </c>
      <c r="E461" s="54" t="inlineStr">
        <is>
          <t>Queen</t>
        </is>
      </c>
      <c r="F461" s="54" t="inlineStr">
        <is>
          <t>Striped Pink</t>
        </is>
      </c>
      <c r="G461" s="55" t="n">
        <v>30</v>
      </c>
      <c r="H461" s="167" t="n">
        <v>910.5</v>
      </c>
      <c r="I461" s="167" t="n">
        <v>0</v>
      </c>
      <c r="J461" s="168">
        <f>IF(AND(N(G461)&gt;0,N(H461)+N(I461)&gt;0),(H461+I461)*U461/G461,"")</f>
        <v/>
      </c>
      <c r="K461" s="167" t="n">
        <v>31.95</v>
      </c>
      <c r="L461" s="167" t="n">
        <v>28.76</v>
      </c>
      <c r="M461" s="54" t="inlineStr">
        <is>
          <t>Eligible</t>
        </is>
      </c>
      <c r="N461" s="168">
        <f>IF(OR(J461="",L461=""),"",L461-J461)</f>
        <v/>
      </c>
      <c r="O461" s="169">
        <f>IF(OR(J461="",L461=""),"",L461/J461-1)</f>
        <v/>
      </c>
      <c r="P461" s="169">
        <f>IF(OR(J461="",K461=""),"",K461/J461-1)</f>
        <v/>
      </c>
      <c r="Q461" s="54">
        <f>IF(AND(ISNUMBER(J461),ISNUMBER(L461)),1,0)</f>
        <v/>
      </c>
      <c r="R461" s="69">
        <f>IF(Q461=1,G461*L461,0)</f>
        <v/>
      </c>
      <c r="S461" s="69">
        <f>IF(Q461=1,(H461+I461)*U461,0)</f>
        <v/>
      </c>
      <c r="T461" s="59">
        <f>IF(Q461=1,G461,0)</f>
        <v/>
      </c>
      <c r="U461" s="170" t="n">
        <v>1</v>
      </c>
    </row>
    <row r="462">
      <c r="A462" s="54" t="inlineStr">
        <is>
          <t>US DC S4</t>
        </is>
      </c>
      <c r="B462" s="54" t="inlineStr">
        <is>
          <t>US</t>
        </is>
      </c>
      <c r="C462" s="54" t="inlineStr">
        <is>
          <t>B0CQRXZLFQ</t>
        </is>
      </c>
      <c r="D462" s="54" t="inlineStr">
        <is>
          <t>SATIN-4PC-FULL-LAVENDER</t>
        </is>
      </c>
      <c r="E462" s="54" t="inlineStr">
        <is>
          <t>Full</t>
        </is>
      </c>
      <c r="F462" s="54" t="inlineStr">
        <is>
          <t>Lavender</t>
        </is>
      </c>
      <c r="G462" s="55" t="n">
        <v>29</v>
      </c>
      <c r="H462" s="167" t="n">
        <v>825.05</v>
      </c>
      <c r="I462" s="167" t="n">
        <v>0</v>
      </c>
      <c r="J462" s="168">
        <f>IF(AND(N(G462)&gt;0,N(H462)+N(I462)&gt;0),(H462+I462)*U462/G462,"")</f>
        <v/>
      </c>
      <c r="K462" s="167" t="n">
        <v>29.95</v>
      </c>
      <c r="L462" s="167" t="n">
        <v>25.95</v>
      </c>
      <c r="M462" s="54" t="inlineStr">
        <is>
          <t>Eligible</t>
        </is>
      </c>
      <c r="N462" s="168">
        <f>IF(OR(J462="",L462=""),"",L462-J462)</f>
        <v/>
      </c>
      <c r="O462" s="169">
        <f>IF(OR(J462="",L462=""),"",L462/J462-1)</f>
        <v/>
      </c>
      <c r="P462" s="169">
        <f>IF(OR(J462="",K462=""),"",K462/J462-1)</f>
        <v/>
      </c>
      <c r="Q462" s="54">
        <f>IF(AND(ISNUMBER(J462),ISNUMBER(L462)),1,0)</f>
        <v/>
      </c>
      <c r="R462" s="69">
        <f>IF(Q462=1,G462*L462,0)</f>
        <v/>
      </c>
      <c r="S462" s="69">
        <f>IF(Q462=1,(H462+I462)*U462,0)</f>
        <v/>
      </c>
      <c r="T462" s="59">
        <f>IF(Q462=1,G462,0)</f>
        <v/>
      </c>
      <c r="U462" s="170" t="n">
        <v>1</v>
      </c>
    </row>
    <row r="463">
      <c r="A463" s="54" t="inlineStr">
        <is>
          <t>US DC S4</t>
        </is>
      </c>
      <c r="B463" s="54" t="inlineStr">
        <is>
          <t>US</t>
        </is>
      </c>
      <c r="C463" s="54" t="inlineStr">
        <is>
          <t>B0839LKZV9</t>
        </is>
      </c>
      <c r="D463" s="54" t="inlineStr">
        <is>
          <t>SATIN-KING-PURPLE</t>
        </is>
      </c>
      <c r="E463" s="54" t="inlineStr">
        <is>
          <t>King</t>
        </is>
      </c>
      <c r="F463" s="54" t="inlineStr">
        <is>
          <t>Purple</t>
        </is>
      </c>
      <c r="G463" s="55" t="n">
        <v>28</v>
      </c>
      <c r="H463" s="167" t="n">
        <v>903</v>
      </c>
      <c r="I463" s="167" t="n">
        <v>0</v>
      </c>
      <c r="J463" s="168">
        <f>IF(AND(N(G463)&gt;0,N(H463)+N(I463)&gt;0),(H463+I463)*U463/G463,"")</f>
        <v/>
      </c>
      <c r="K463" s="167" t="n">
        <v>33.95</v>
      </c>
      <c r="L463" s="167" t="n">
        <v>32.25</v>
      </c>
      <c r="M463" s="54" t="inlineStr">
        <is>
          <t>Eligible</t>
        </is>
      </c>
      <c r="N463" s="168">
        <f>IF(OR(J463="",L463=""),"",L463-J463)</f>
        <v/>
      </c>
      <c r="O463" s="169">
        <f>IF(OR(J463="",L463=""),"",L463/J463-1)</f>
        <v/>
      </c>
      <c r="P463" s="169">
        <f>IF(OR(J463="",K463=""),"",K463/J463-1)</f>
        <v/>
      </c>
      <c r="Q463" s="54">
        <f>IF(AND(ISNUMBER(J463),ISNUMBER(L463)),1,0)</f>
        <v/>
      </c>
      <c r="R463" s="69">
        <f>IF(Q463=1,G463*L463,0)</f>
        <v/>
      </c>
      <c r="S463" s="69">
        <f>IF(Q463=1,(H463+I463)*U463,0)</f>
        <v/>
      </c>
      <c r="T463" s="59">
        <f>IF(Q463=1,G463,0)</f>
        <v/>
      </c>
      <c r="U463" s="170" t="n">
        <v>1</v>
      </c>
    </row>
    <row r="464">
      <c r="A464" s="54" t="inlineStr">
        <is>
          <t>US DC S4</t>
        </is>
      </c>
      <c r="B464" s="54" t="inlineStr">
        <is>
          <t>US</t>
        </is>
      </c>
      <c r="C464" s="54" t="inlineStr">
        <is>
          <t>B0839LK8DB</t>
        </is>
      </c>
      <c r="D464" s="54" t="inlineStr">
        <is>
          <t>SATIN-KING-PINK</t>
        </is>
      </c>
      <c r="E464" s="54" t="inlineStr">
        <is>
          <t>King</t>
        </is>
      </c>
      <c r="F464" s="54" t="inlineStr">
        <is>
          <t>Pink</t>
        </is>
      </c>
      <c r="G464" s="55" t="n">
        <v>27</v>
      </c>
      <c r="H464" s="167" t="n">
        <v>782.61</v>
      </c>
      <c r="I464" s="167" t="n">
        <v>0</v>
      </c>
      <c r="J464" s="168">
        <f>IF(AND(N(G464)&gt;0,N(H464)+N(I464)&gt;0),(H464+I464)*U464/G464,"")</f>
        <v/>
      </c>
      <c r="K464" s="167" t="n">
        <v>33.95</v>
      </c>
      <c r="L464" s="167" t="n">
        <v>32.25</v>
      </c>
      <c r="M464" s="54" t="inlineStr">
        <is>
          <t>Eligible</t>
        </is>
      </c>
      <c r="N464" s="168">
        <f>IF(OR(J464="",L464=""),"",L464-J464)</f>
        <v/>
      </c>
      <c r="O464" s="169">
        <f>IF(OR(J464="",L464=""),"",L464/J464-1)</f>
        <v/>
      </c>
      <c r="P464" s="169">
        <f>IF(OR(J464="",K464=""),"",K464/J464-1)</f>
        <v/>
      </c>
      <c r="Q464" s="54">
        <f>IF(AND(ISNUMBER(J464),ISNUMBER(L464)),1,0)</f>
        <v/>
      </c>
      <c r="R464" s="69">
        <f>IF(Q464=1,G464*L464,0)</f>
        <v/>
      </c>
      <c r="S464" s="69">
        <f>IF(Q464=1,(H464+I464)*U464,0)</f>
        <v/>
      </c>
      <c r="T464" s="59">
        <f>IF(Q464=1,G464,0)</f>
        <v/>
      </c>
      <c r="U464" s="170" t="n">
        <v>1</v>
      </c>
    </row>
    <row r="465">
      <c r="A465" s="54" t="inlineStr">
        <is>
          <t>US DC S4</t>
        </is>
      </c>
      <c r="B465" s="54" t="inlineStr">
        <is>
          <t>US</t>
        </is>
      </c>
      <c r="C465" s="54" t="inlineStr">
        <is>
          <t>B0839LP6TM</t>
        </is>
      </c>
      <c r="D465" s="54" t="inlineStr">
        <is>
          <t>SATIN-FULL-PURPLE</t>
        </is>
      </c>
      <c r="E465" s="54" t="inlineStr">
        <is>
          <t>Full</t>
        </is>
      </c>
      <c r="F465" s="54" t="inlineStr">
        <is>
          <t>Purple</t>
        </is>
      </c>
      <c r="G465" s="55" t="n">
        <v>24</v>
      </c>
      <c r="H465" s="167" t="n">
        <v>682.8</v>
      </c>
      <c r="I465" s="167" t="n">
        <v>0</v>
      </c>
      <c r="J465" s="168">
        <f>IF(AND(N(G465)&gt;0,N(H465)+N(I465)&gt;0),(H465+I465)*U465/G465,"")</f>
        <v/>
      </c>
      <c r="K465" s="167" t="n">
        <v>29.95</v>
      </c>
      <c r="L465" s="167" t="n">
        <v>28.45</v>
      </c>
      <c r="M465" s="54" t="inlineStr">
        <is>
          <t>Eligible</t>
        </is>
      </c>
      <c r="N465" s="168">
        <f>IF(OR(J465="",L465=""),"",L465-J465)</f>
        <v/>
      </c>
      <c r="O465" s="169">
        <f>IF(OR(J465="",L465=""),"",L465/J465-1)</f>
        <v/>
      </c>
      <c r="P465" s="169">
        <f>IF(OR(J465="",K465=""),"",K465/J465-1)</f>
        <v/>
      </c>
      <c r="Q465" s="54">
        <f>IF(AND(ISNUMBER(J465),ISNUMBER(L465)),1,0)</f>
        <v/>
      </c>
      <c r="R465" s="69">
        <f>IF(Q465=1,G465*L465,0)</f>
        <v/>
      </c>
      <c r="S465" s="69">
        <f>IF(Q465=1,(H465+I465)*U465,0)</f>
        <v/>
      </c>
      <c r="T465" s="59">
        <f>IF(Q465=1,G465,0)</f>
        <v/>
      </c>
      <c r="U465" s="170" t="n">
        <v>1</v>
      </c>
    </row>
    <row r="466">
      <c r="A466" s="54" t="inlineStr">
        <is>
          <t>US DC S4</t>
        </is>
      </c>
      <c r="B466" s="54" t="inlineStr">
        <is>
          <t>US</t>
        </is>
      </c>
      <c r="C466" s="54" t="inlineStr">
        <is>
          <t>B0CNS9KLZR</t>
        </is>
      </c>
      <c r="D466" s="54" t="inlineStr">
        <is>
          <t>SATIN-KING-BLUSH PINK</t>
        </is>
      </c>
      <c r="E466" s="54" t="inlineStr">
        <is>
          <t>King</t>
        </is>
      </c>
      <c r="F466" s="54" t="inlineStr">
        <is>
          <t>Blush Pink</t>
        </is>
      </c>
      <c r="G466" s="55" t="n">
        <v>22</v>
      </c>
      <c r="H466" s="167" t="n">
        <v>634.92</v>
      </c>
      <c r="I466" s="167" t="n">
        <v>0</v>
      </c>
      <c r="J466" s="168">
        <f>IF(AND(N(G466)&gt;0,N(H466)+N(I466)&gt;0),(H466+I466)*U466/G466,"")</f>
        <v/>
      </c>
      <c r="K466" s="167" t="n">
        <v>33.95</v>
      </c>
      <c r="L466" s="167" t="n">
        <v>32.25</v>
      </c>
      <c r="M466" s="54" t="inlineStr">
        <is>
          <t>Eligible</t>
        </is>
      </c>
      <c r="N466" s="168">
        <f>IF(OR(J466="",L466=""),"",L466-J466)</f>
        <v/>
      </c>
      <c r="O466" s="169">
        <f>IF(OR(J466="",L466=""),"",L466/J466-1)</f>
        <v/>
      </c>
      <c r="P466" s="169">
        <f>IF(OR(J466="",K466=""),"",K466/J466-1)</f>
        <v/>
      </c>
      <c r="Q466" s="54">
        <f>IF(AND(ISNUMBER(J466),ISNUMBER(L466)),1,0)</f>
        <v/>
      </c>
      <c r="R466" s="69">
        <f>IF(Q466=1,G466*L466,0)</f>
        <v/>
      </c>
      <c r="S466" s="69">
        <f>IF(Q466=1,(H466+I466)*U466,0)</f>
        <v/>
      </c>
      <c r="T466" s="59">
        <f>IF(Q466=1,G466,0)</f>
        <v/>
      </c>
      <c r="U466" s="170" t="n">
        <v>1</v>
      </c>
    </row>
    <row r="467">
      <c r="A467" s="54" t="inlineStr">
        <is>
          <t>US DC S4</t>
        </is>
      </c>
      <c r="B467" s="54" t="inlineStr">
        <is>
          <t>US</t>
        </is>
      </c>
      <c r="C467" s="54" t="inlineStr">
        <is>
          <t>B0CQRXP69H</t>
        </is>
      </c>
      <c r="D467" s="54" t="inlineStr">
        <is>
          <t>SATIN-4PC-KING-BURNT ORANGE</t>
        </is>
      </c>
      <c r="E467" s="54" t="inlineStr">
        <is>
          <t>King</t>
        </is>
      </c>
      <c r="F467" s="54" t="inlineStr">
        <is>
          <t>Burnt Orange</t>
        </is>
      </c>
      <c r="G467" s="55" t="n">
        <v>22</v>
      </c>
      <c r="H467" s="167" t="n">
        <v>709.5</v>
      </c>
      <c r="I467" s="167" t="n">
        <v>0</v>
      </c>
      <c r="J467" s="168">
        <f>IF(AND(N(G467)&gt;0,N(H467)+N(I467)&gt;0),(H467+I467)*U467/G467,"")</f>
        <v/>
      </c>
      <c r="K467" s="167" t="n">
        <v>33.95</v>
      </c>
      <c r="L467" s="167" t="n">
        <v>32.25</v>
      </c>
      <c r="M467" s="54" t="inlineStr">
        <is>
          <t>Eligible</t>
        </is>
      </c>
      <c r="N467" s="168">
        <f>IF(OR(J467="",L467=""),"",L467-J467)</f>
        <v/>
      </c>
      <c r="O467" s="169">
        <f>IF(OR(J467="",L467=""),"",L467/J467-1)</f>
        <v/>
      </c>
      <c r="P467" s="169">
        <f>IF(OR(J467="",K467=""),"",K467/J467-1)</f>
        <v/>
      </c>
      <c r="Q467" s="54">
        <f>IF(AND(ISNUMBER(J467),ISNUMBER(L467)),1,0)</f>
        <v/>
      </c>
      <c r="R467" s="69">
        <f>IF(Q467=1,G467*L467,0)</f>
        <v/>
      </c>
      <c r="S467" s="69">
        <f>IF(Q467=1,(H467+I467)*U467,0)</f>
        <v/>
      </c>
      <c r="T467" s="59">
        <f>IF(Q467=1,G467,0)</f>
        <v/>
      </c>
      <c r="U467" s="170" t="n">
        <v>1</v>
      </c>
    </row>
    <row r="468">
      <c r="A468" s="54" t="inlineStr">
        <is>
          <t>US DC S4</t>
        </is>
      </c>
      <c r="B468" s="54" t="inlineStr">
        <is>
          <t>US</t>
        </is>
      </c>
      <c r="C468" s="54" t="inlineStr">
        <is>
          <t>B0CQRZ6JQ3</t>
        </is>
      </c>
      <c r="D468" s="54" t="inlineStr">
        <is>
          <t>SATIN-4PC-QUEEN-BURNT ORANGE</t>
        </is>
      </c>
      <c r="E468" s="54" t="inlineStr">
        <is>
          <t>Queen</t>
        </is>
      </c>
      <c r="F468" s="54" t="inlineStr">
        <is>
          <t>Burnt Orange</t>
        </is>
      </c>
      <c r="G468" s="55" t="n">
        <v>22</v>
      </c>
      <c r="H468" s="167" t="n">
        <v>667.7</v>
      </c>
      <c r="I468" s="167" t="n">
        <v>0</v>
      </c>
      <c r="J468" s="168">
        <f>IF(AND(N(G468)&gt;0,N(H468)+N(I468)&gt;0),(H468+I468)*U468/G468,"")</f>
        <v/>
      </c>
      <c r="K468" s="167" t="n">
        <v>31.95</v>
      </c>
      <c r="L468" s="167" t="n">
        <v>30.35</v>
      </c>
      <c r="M468" s="54" t="inlineStr">
        <is>
          <t>Eligible</t>
        </is>
      </c>
      <c r="N468" s="168">
        <f>IF(OR(J468="",L468=""),"",L468-J468)</f>
        <v/>
      </c>
      <c r="O468" s="169">
        <f>IF(OR(J468="",L468=""),"",L468/J468-1)</f>
        <v/>
      </c>
      <c r="P468" s="169">
        <f>IF(OR(J468="",K468=""),"",K468/J468-1)</f>
        <v/>
      </c>
      <c r="Q468" s="54">
        <f>IF(AND(ISNUMBER(J468),ISNUMBER(L468)),1,0)</f>
        <v/>
      </c>
      <c r="R468" s="69">
        <f>IF(Q468=1,G468*L468,0)</f>
        <v/>
      </c>
      <c r="S468" s="69">
        <f>IF(Q468=1,(H468+I468)*U468,0)</f>
        <v/>
      </c>
      <c r="T468" s="59">
        <f>IF(Q468=1,G468,0)</f>
        <v/>
      </c>
      <c r="U468" s="170" t="n">
        <v>1</v>
      </c>
    </row>
    <row r="469">
      <c r="A469" s="54" t="inlineStr">
        <is>
          <t>US DC S4</t>
        </is>
      </c>
      <c r="B469" s="54" t="inlineStr">
        <is>
          <t>US</t>
        </is>
      </c>
      <c r="C469" s="54" t="inlineStr">
        <is>
          <t>B08KR9PWK1</t>
        </is>
      </c>
      <c r="D469" s="54" t="inlineStr">
        <is>
          <t>SATIN-GOLD-FULL</t>
        </is>
      </c>
      <c r="E469" s="54" t="inlineStr">
        <is>
          <t>Full</t>
        </is>
      </c>
      <c r="F469" s="54" t="inlineStr">
        <is>
          <t>Gold</t>
        </is>
      </c>
      <c r="G469" s="55" t="n">
        <v>21</v>
      </c>
      <c r="H469" s="167" t="n">
        <v>597.45</v>
      </c>
      <c r="I469" s="167" t="n">
        <v>0</v>
      </c>
      <c r="J469" s="168">
        <f>IF(AND(N(G469)&gt;0,N(H469)+N(I469)&gt;0),(H469+I469)*U469/G469,"")</f>
        <v/>
      </c>
      <c r="K469" s="167" t="n">
        <v>29.95</v>
      </c>
      <c r="L469" s="167" t="n">
        <v>28.45</v>
      </c>
      <c r="M469" s="54" t="inlineStr">
        <is>
          <t>Eligible</t>
        </is>
      </c>
      <c r="N469" s="168">
        <f>IF(OR(J469="",L469=""),"",L469-J469)</f>
        <v/>
      </c>
      <c r="O469" s="169">
        <f>IF(OR(J469="",L469=""),"",L469/J469-1)</f>
        <v/>
      </c>
      <c r="P469" s="169">
        <f>IF(OR(J469="",K469=""),"",K469/J469-1)</f>
        <v/>
      </c>
      <c r="Q469" s="54">
        <f>IF(AND(ISNUMBER(J469),ISNUMBER(L469)),1,0)</f>
        <v/>
      </c>
      <c r="R469" s="69">
        <f>IF(Q469=1,G469*L469,0)</f>
        <v/>
      </c>
      <c r="S469" s="69">
        <f>IF(Q469=1,(H469+I469)*U469,0)</f>
        <v/>
      </c>
      <c r="T469" s="59">
        <f>IF(Q469=1,G469,0)</f>
        <v/>
      </c>
      <c r="U469" s="170" t="n">
        <v>1</v>
      </c>
    </row>
    <row r="470">
      <c r="A470" s="54" t="inlineStr">
        <is>
          <t>US DC S4</t>
        </is>
      </c>
      <c r="B470" s="54" t="inlineStr">
        <is>
          <t>US</t>
        </is>
      </c>
      <c r="C470" s="54" t="inlineStr">
        <is>
          <t>B0839LVHL1</t>
        </is>
      </c>
      <c r="D470" s="54" t="inlineStr">
        <is>
          <t>SATIN-TWIN-PINK</t>
        </is>
      </c>
      <c r="E470" s="54" t="inlineStr">
        <is>
          <t>Twin</t>
        </is>
      </c>
      <c r="F470" s="54" t="inlineStr">
        <is>
          <t>Pink</t>
        </is>
      </c>
      <c r="G470" s="55" t="n">
        <v>18</v>
      </c>
      <c r="H470" s="167" t="n">
        <v>477.9</v>
      </c>
      <c r="I470" s="167" t="n">
        <v>0</v>
      </c>
      <c r="J470" s="168">
        <f>IF(AND(N(G470)&gt;0,N(H470)+N(I470)&gt;0),(H470+I470)*U470/G470,"")</f>
        <v/>
      </c>
      <c r="K470" s="167" t="n">
        <v>27.95</v>
      </c>
      <c r="L470" s="167" t="n">
        <v>23.76</v>
      </c>
      <c r="M470" s="54" t="inlineStr">
        <is>
          <t>Eligible</t>
        </is>
      </c>
      <c r="N470" s="168">
        <f>IF(OR(J470="",L470=""),"",L470-J470)</f>
        <v/>
      </c>
      <c r="O470" s="169">
        <f>IF(OR(J470="",L470=""),"",L470/J470-1)</f>
        <v/>
      </c>
      <c r="P470" s="169">
        <f>IF(OR(J470="",K470=""),"",K470/J470-1)</f>
        <v/>
      </c>
      <c r="Q470" s="54">
        <f>IF(AND(ISNUMBER(J470),ISNUMBER(L470)),1,0)</f>
        <v/>
      </c>
      <c r="R470" s="69">
        <f>IF(Q470=1,G470*L470,0)</f>
        <v/>
      </c>
      <c r="S470" s="69">
        <f>IF(Q470=1,(H470+I470)*U470,0)</f>
        <v/>
      </c>
      <c r="T470" s="59">
        <f>IF(Q470=1,G470,0)</f>
        <v/>
      </c>
      <c r="U470" s="170" t="n">
        <v>1</v>
      </c>
    </row>
    <row r="471">
      <c r="A471" s="54" t="inlineStr">
        <is>
          <t>US DC S4</t>
        </is>
      </c>
      <c r="B471" s="54" t="inlineStr">
        <is>
          <t>US</t>
        </is>
      </c>
      <c r="C471" s="54" t="inlineStr">
        <is>
          <t>B0BZPYNXPB</t>
        </is>
      </c>
      <c r="D471" s="54" t="inlineStr">
        <is>
          <t>SATIN-CHAMPAGNE-FULL</t>
        </is>
      </c>
      <c r="E471" s="54" t="inlineStr">
        <is>
          <t>Full</t>
        </is>
      </c>
      <c r="F471" s="54" t="inlineStr">
        <is>
          <t>Champagne</t>
        </is>
      </c>
      <c r="G471" s="55" t="n">
        <v>17</v>
      </c>
      <c r="H471" s="167" t="n">
        <v>483.65</v>
      </c>
      <c r="I471" s="167" t="n">
        <v>0</v>
      </c>
      <c r="J471" s="168">
        <f>IF(AND(N(G471)&gt;0,N(H471)+N(I471)&gt;0),(H471+I471)*U471/G471,"")</f>
        <v/>
      </c>
      <c r="K471" s="167" t="n">
        <v>29.95</v>
      </c>
      <c r="L471" s="167" t="n">
        <v>26.95</v>
      </c>
      <c r="M471" s="54" t="inlineStr">
        <is>
          <t>Eligible</t>
        </is>
      </c>
      <c r="N471" s="168">
        <f>IF(OR(J471="",L471=""),"",L471-J471)</f>
        <v/>
      </c>
      <c r="O471" s="169">
        <f>IF(OR(J471="",L471=""),"",L471/J471-1)</f>
        <v/>
      </c>
      <c r="P471" s="169">
        <f>IF(OR(J471="",K471=""),"",K471/J471-1)</f>
        <v/>
      </c>
      <c r="Q471" s="54">
        <f>IF(AND(ISNUMBER(J471),ISNUMBER(L471)),1,0)</f>
        <v/>
      </c>
      <c r="R471" s="69">
        <f>IF(Q471=1,G471*L471,0)</f>
        <v/>
      </c>
      <c r="S471" s="69">
        <f>IF(Q471=1,(H471+I471)*U471,0)</f>
        <v/>
      </c>
      <c r="T471" s="59">
        <f>IF(Q471=1,G471,0)</f>
        <v/>
      </c>
      <c r="U471" s="170" t="n">
        <v>1</v>
      </c>
    </row>
    <row r="472">
      <c r="A472" s="54" t="inlineStr">
        <is>
          <t>US DC S4</t>
        </is>
      </c>
      <c r="B472" s="54" t="inlineStr">
        <is>
          <t>US</t>
        </is>
      </c>
      <c r="C472" s="54" t="inlineStr">
        <is>
          <t>B0BG22CYFP</t>
        </is>
      </c>
      <c r="D472" s="54" t="inlineStr">
        <is>
          <t>SATIN-IVORY-FULL</t>
        </is>
      </c>
      <c r="E472" s="54" t="inlineStr">
        <is>
          <t>Full</t>
        </is>
      </c>
      <c r="F472" s="54" t="inlineStr">
        <is>
          <t>Ivory</t>
        </is>
      </c>
      <c r="G472" s="55" t="n">
        <v>17</v>
      </c>
      <c r="H472" s="167" t="n">
        <v>483.65</v>
      </c>
      <c r="I472" s="167" t="n">
        <v>0</v>
      </c>
      <c r="J472" s="168">
        <f>IF(AND(N(G472)&gt;0,N(H472)+N(I472)&gt;0),(H472+I472)*U472/G472,"")</f>
        <v/>
      </c>
      <c r="K472" s="167" t="n">
        <v>29.95</v>
      </c>
      <c r="L472" s="167" t="n">
        <v>25.95</v>
      </c>
      <c r="M472" s="54" t="inlineStr">
        <is>
          <t>Eligible</t>
        </is>
      </c>
      <c r="N472" s="168">
        <f>IF(OR(J472="",L472=""),"",L472-J472)</f>
        <v/>
      </c>
      <c r="O472" s="169">
        <f>IF(OR(J472="",L472=""),"",L472/J472-1)</f>
        <v/>
      </c>
      <c r="P472" s="169">
        <f>IF(OR(J472="",K472=""),"",K472/J472-1)</f>
        <v/>
      </c>
      <c r="Q472" s="54">
        <f>IF(AND(ISNUMBER(J472),ISNUMBER(L472)),1,0)</f>
        <v/>
      </c>
      <c r="R472" s="69">
        <f>IF(Q472=1,G472*L472,0)</f>
        <v/>
      </c>
      <c r="S472" s="69">
        <f>IF(Q472=1,(H472+I472)*U472,0)</f>
        <v/>
      </c>
      <c r="T472" s="59">
        <f>IF(Q472=1,G472,0)</f>
        <v/>
      </c>
      <c r="U472" s="170" t="n">
        <v>1</v>
      </c>
    </row>
    <row r="473">
      <c r="A473" s="54" t="inlineStr">
        <is>
          <t>US DC S4</t>
        </is>
      </c>
      <c r="B473" s="54" t="inlineStr">
        <is>
          <t>US</t>
        </is>
      </c>
      <c r="C473" s="54" t="inlineStr">
        <is>
          <t>B09G6K53S2</t>
        </is>
      </c>
      <c r="D473" s="54" t="inlineStr">
        <is>
          <t>SATIN-STRIPE-KING-GRAY</t>
        </is>
      </c>
      <c r="E473" s="54" t="inlineStr">
        <is>
          <t>King</t>
        </is>
      </c>
      <c r="F473" s="54" t="inlineStr">
        <is>
          <t>Striped Grey</t>
        </is>
      </c>
      <c r="G473" s="55" t="n">
        <v>17</v>
      </c>
      <c r="H473" s="167" t="n">
        <v>548.25</v>
      </c>
      <c r="I473" s="167" t="n">
        <v>0</v>
      </c>
      <c r="J473" s="168">
        <f>IF(AND(N(G473)&gt;0,N(H473)+N(I473)&gt;0),(H473+I473)*U473/G473,"")</f>
        <v/>
      </c>
      <c r="K473" s="167" t="n"/>
      <c r="L473" s="167" t="n"/>
      <c r="M473" s="54" t="inlineStr">
        <is>
          <t>Not in a deal</t>
        </is>
      </c>
      <c r="N473" s="168">
        <f>IF(OR(J473="",L473=""),"",L473-J473)</f>
        <v/>
      </c>
      <c r="O473" s="169">
        <f>IF(OR(J473="",L473=""),"",L473/J473-1)</f>
        <v/>
      </c>
      <c r="P473" s="169">
        <f>IF(OR(J473="",K473=""),"",K473/J473-1)</f>
        <v/>
      </c>
      <c r="Q473" s="54">
        <f>IF(AND(ISNUMBER(J473),ISNUMBER(L473)),1,0)</f>
        <v/>
      </c>
      <c r="R473" s="69">
        <f>IF(Q473=1,G473*L473,0)</f>
        <v/>
      </c>
      <c r="S473" s="69">
        <f>IF(Q473=1,(H473+I473)*U473,0)</f>
        <v/>
      </c>
      <c r="T473" s="59">
        <f>IF(Q473=1,G473,0)</f>
        <v/>
      </c>
      <c r="U473" s="170" t="n">
        <v>1</v>
      </c>
    </row>
    <row r="474">
      <c r="A474" s="54" t="inlineStr">
        <is>
          <t>US DC S4</t>
        </is>
      </c>
      <c r="B474" s="54" t="inlineStr">
        <is>
          <t>US</t>
        </is>
      </c>
      <c r="C474" s="54" t="inlineStr">
        <is>
          <t>B0CQRXM35T</t>
        </is>
      </c>
      <c r="D474" s="54" t="inlineStr">
        <is>
          <t>SATIN-3PC-TWIN-BABY BLUE</t>
        </is>
      </c>
      <c r="E474" s="54" t="inlineStr">
        <is>
          <t>Twin</t>
        </is>
      </c>
      <c r="F474" s="54" t="inlineStr">
        <is>
          <t>Baby Blue</t>
        </is>
      </c>
      <c r="G474" s="55" t="n">
        <v>17</v>
      </c>
      <c r="H474" s="167" t="n">
        <v>451.35</v>
      </c>
      <c r="I474" s="167" t="n">
        <v>0</v>
      </c>
      <c r="J474" s="168">
        <f>IF(AND(N(G474)&gt;0,N(H474)+N(I474)&gt;0),(H474+I474)*U474/G474,"")</f>
        <v/>
      </c>
      <c r="K474" s="167" t="n">
        <v>27.95</v>
      </c>
      <c r="L474" s="167" t="n">
        <v>26.55</v>
      </c>
      <c r="M474" s="54" t="inlineStr">
        <is>
          <t>Eligible</t>
        </is>
      </c>
      <c r="N474" s="168">
        <f>IF(OR(J474="",L474=""),"",L474-J474)</f>
        <v/>
      </c>
      <c r="O474" s="169">
        <f>IF(OR(J474="",L474=""),"",L474/J474-1)</f>
        <v/>
      </c>
      <c r="P474" s="169">
        <f>IF(OR(J474="",K474=""),"",K474/J474-1)</f>
        <v/>
      </c>
      <c r="Q474" s="54">
        <f>IF(AND(ISNUMBER(J474),ISNUMBER(L474)),1,0)</f>
        <v/>
      </c>
      <c r="R474" s="69">
        <f>IF(Q474=1,G474*L474,0)</f>
        <v/>
      </c>
      <c r="S474" s="69">
        <f>IF(Q474=1,(H474+I474)*U474,0)</f>
        <v/>
      </c>
      <c r="T474" s="59">
        <f>IF(Q474=1,G474,0)</f>
        <v/>
      </c>
      <c r="U474" s="170" t="n">
        <v>1</v>
      </c>
    </row>
    <row r="475">
      <c r="A475" s="54" t="inlineStr">
        <is>
          <t>US DC S4</t>
        </is>
      </c>
      <c r="B475" s="54" t="inlineStr">
        <is>
          <t>US</t>
        </is>
      </c>
      <c r="C475" s="54" t="inlineStr">
        <is>
          <t>B0CQRZ6KRR</t>
        </is>
      </c>
      <c r="D475" s="54" t="inlineStr">
        <is>
          <t>SATIN-3PC-TWIN-NAVY BLUE</t>
        </is>
      </c>
      <c r="E475" s="54" t="inlineStr">
        <is>
          <t>Twin</t>
        </is>
      </c>
      <c r="F475" s="54" t="inlineStr">
        <is>
          <t>Navy Blue</t>
        </is>
      </c>
      <c r="G475" s="55" t="n">
        <v>16</v>
      </c>
      <c r="H475" s="167" t="n">
        <v>380.16</v>
      </c>
      <c r="I475" s="167" t="n">
        <v>0</v>
      </c>
      <c r="J475" s="168">
        <f>IF(AND(N(G475)&gt;0,N(H475)+N(I475)&gt;0),(H475+I475)*U475/G475,"")</f>
        <v/>
      </c>
      <c r="K475" s="167" t="n">
        <v>27.95</v>
      </c>
      <c r="L475" s="167" t="n">
        <v>25.95</v>
      </c>
      <c r="M475" s="54" t="inlineStr">
        <is>
          <t>Eligible</t>
        </is>
      </c>
      <c r="N475" s="168">
        <f>IF(OR(J475="",L475=""),"",L475-J475)</f>
        <v/>
      </c>
      <c r="O475" s="169">
        <f>IF(OR(J475="",L475=""),"",L475/J475-1)</f>
        <v/>
      </c>
      <c r="P475" s="169">
        <f>IF(OR(J475="",K475=""),"",K475/J475-1)</f>
        <v/>
      </c>
      <c r="Q475" s="54">
        <f>IF(AND(ISNUMBER(J475),ISNUMBER(L475)),1,0)</f>
        <v/>
      </c>
      <c r="R475" s="69">
        <f>IF(Q475=1,G475*L475,0)</f>
        <v/>
      </c>
      <c r="S475" s="69">
        <f>IF(Q475=1,(H475+I475)*U475,0)</f>
        <v/>
      </c>
      <c r="T475" s="59">
        <f>IF(Q475=1,G475,0)</f>
        <v/>
      </c>
      <c r="U475" s="170" t="n">
        <v>1</v>
      </c>
    </row>
    <row r="476">
      <c r="A476" s="54" t="inlineStr">
        <is>
          <t>US DC S4</t>
        </is>
      </c>
      <c r="B476" s="54" t="inlineStr">
        <is>
          <t>US</t>
        </is>
      </c>
      <c r="C476" s="54" t="inlineStr">
        <is>
          <t>B0DBQVFTZS</t>
        </is>
      </c>
      <c r="D476" s="54" t="inlineStr">
        <is>
          <t>SATIN-4PCS-FULL-ROSEWOOD</t>
        </is>
      </c>
      <c r="E476" s="54" t="inlineStr">
        <is>
          <t>Full</t>
        </is>
      </c>
      <c r="F476" s="54" t="inlineStr">
        <is>
          <t>Rosewood</t>
        </is>
      </c>
      <c r="G476" s="55" t="n">
        <v>15</v>
      </c>
      <c r="H476" s="167" t="n">
        <v>426.75</v>
      </c>
      <c r="I476" s="167" t="n">
        <v>0</v>
      </c>
      <c r="J476" s="168">
        <f>IF(AND(N(G476)&gt;0,N(H476)+N(I476)&gt;0),(H476+I476)*U476/G476,"")</f>
        <v/>
      </c>
      <c r="K476" s="167" t="n">
        <v>29.95</v>
      </c>
      <c r="L476" s="167" t="n">
        <v>28.45</v>
      </c>
      <c r="M476" s="54" t="inlineStr">
        <is>
          <t>Eligible</t>
        </is>
      </c>
      <c r="N476" s="168">
        <f>IF(OR(J476="",L476=""),"",L476-J476)</f>
        <v/>
      </c>
      <c r="O476" s="169">
        <f>IF(OR(J476="",L476=""),"",L476/J476-1)</f>
        <v/>
      </c>
      <c r="P476" s="169">
        <f>IF(OR(J476="",K476=""),"",K476/J476-1)</f>
        <v/>
      </c>
      <c r="Q476" s="54">
        <f>IF(AND(ISNUMBER(J476),ISNUMBER(L476)),1,0)</f>
        <v/>
      </c>
      <c r="R476" s="69">
        <f>IF(Q476=1,G476*L476,0)</f>
        <v/>
      </c>
      <c r="S476" s="69">
        <f>IF(Q476=1,(H476+I476)*U476,0)</f>
        <v/>
      </c>
      <c r="T476" s="59">
        <f>IF(Q476=1,G476,0)</f>
        <v/>
      </c>
      <c r="U476" s="170" t="n">
        <v>1</v>
      </c>
    </row>
    <row r="477">
      <c r="A477" s="54" t="inlineStr">
        <is>
          <t>US DC S4</t>
        </is>
      </c>
      <c r="B477" s="54" t="inlineStr">
        <is>
          <t>US</t>
        </is>
      </c>
      <c r="C477" s="54" t="inlineStr">
        <is>
          <t>B09G6KMXVX</t>
        </is>
      </c>
      <c r="D477" s="54" t="inlineStr">
        <is>
          <t>SATIN-STRIPE-FULL-BLACK</t>
        </is>
      </c>
      <c r="E477" s="54" t="inlineStr">
        <is>
          <t>Full</t>
        </is>
      </c>
      <c r="F477" s="54" t="inlineStr">
        <is>
          <t>Striped Black</t>
        </is>
      </c>
      <c r="G477" s="55" t="n">
        <v>15</v>
      </c>
      <c r="H477" s="167" t="n">
        <v>426.75</v>
      </c>
      <c r="I477" s="167" t="n">
        <v>0</v>
      </c>
      <c r="J477" s="168">
        <f>IF(AND(N(G477)&gt;0,N(H477)+N(I477)&gt;0),(H477+I477)*U477/G477,"")</f>
        <v/>
      </c>
      <c r="K477" s="167" t="n">
        <v>29.95</v>
      </c>
      <c r="L477" s="167" t="n"/>
      <c r="M477" s="54" t="inlineStr">
        <is>
          <t>Out of stock</t>
        </is>
      </c>
      <c r="N477" s="168">
        <f>IF(OR(J477="",L477=""),"",L477-J477)</f>
        <v/>
      </c>
      <c r="O477" s="169">
        <f>IF(OR(J477="",L477=""),"",L477/J477-1)</f>
        <v/>
      </c>
      <c r="P477" s="169">
        <f>IF(OR(J477="",K477=""),"",K477/J477-1)</f>
        <v/>
      </c>
      <c r="Q477" s="54">
        <f>IF(AND(ISNUMBER(J477),ISNUMBER(L477)),1,0)</f>
        <v/>
      </c>
      <c r="R477" s="69">
        <f>IF(Q477=1,G477*L477,0)</f>
        <v/>
      </c>
      <c r="S477" s="69">
        <f>IF(Q477=1,(H477+I477)*U477,0)</f>
        <v/>
      </c>
      <c r="T477" s="59">
        <f>IF(Q477=1,G477,0)</f>
        <v/>
      </c>
      <c r="U477" s="170" t="n">
        <v>1</v>
      </c>
    </row>
    <row r="478">
      <c r="A478" s="54" t="inlineStr">
        <is>
          <t>US DC S4</t>
        </is>
      </c>
      <c r="B478" s="54" t="inlineStr">
        <is>
          <t>US</t>
        </is>
      </c>
      <c r="C478" s="54" t="inlineStr">
        <is>
          <t>B09G6K9C65</t>
        </is>
      </c>
      <c r="D478" s="54" t="inlineStr">
        <is>
          <t>SATIN-STRIPE-QUEEN-GOLD</t>
        </is>
      </c>
      <c r="E478" s="54" t="inlineStr">
        <is>
          <t>Queen</t>
        </is>
      </c>
      <c r="F478" s="54" t="inlineStr">
        <is>
          <t>Striped Gold</t>
        </is>
      </c>
      <c r="G478" s="55" t="n">
        <v>15</v>
      </c>
      <c r="H478" s="167" t="n">
        <v>455.25</v>
      </c>
      <c r="I478" s="167" t="n">
        <v>0</v>
      </c>
      <c r="J478" s="168">
        <f>IF(AND(N(G478)&gt;0,N(H478)+N(I478)&gt;0),(H478+I478)*U478/G478,"")</f>
        <v/>
      </c>
      <c r="K478" s="167" t="n">
        <v>31.95</v>
      </c>
      <c r="L478" s="167" t="n">
        <v>30.35</v>
      </c>
      <c r="M478" s="54" t="inlineStr">
        <is>
          <t>Eligible</t>
        </is>
      </c>
      <c r="N478" s="168">
        <f>IF(OR(J478="",L478=""),"",L478-J478)</f>
        <v/>
      </c>
      <c r="O478" s="169">
        <f>IF(OR(J478="",L478=""),"",L478/J478-1)</f>
        <v/>
      </c>
      <c r="P478" s="169">
        <f>IF(OR(J478="",K478=""),"",K478/J478-1)</f>
        <v/>
      </c>
      <c r="Q478" s="54">
        <f>IF(AND(ISNUMBER(J478),ISNUMBER(L478)),1,0)</f>
        <v/>
      </c>
      <c r="R478" s="69">
        <f>IF(Q478=1,G478*L478,0)</f>
        <v/>
      </c>
      <c r="S478" s="69">
        <f>IF(Q478=1,(H478+I478)*U478,0)</f>
        <v/>
      </c>
      <c r="T478" s="59">
        <f>IF(Q478=1,G478,0)</f>
        <v/>
      </c>
      <c r="U478" s="170" t="n">
        <v>1</v>
      </c>
    </row>
    <row r="479">
      <c r="A479" s="54" t="inlineStr">
        <is>
          <t>US DC S4</t>
        </is>
      </c>
      <c r="B479" s="54" t="inlineStr">
        <is>
          <t>US</t>
        </is>
      </c>
      <c r="C479" s="54" t="inlineStr">
        <is>
          <t>B0CNS85C1K</t>
        </is>
      </c>
      <c r="D479" s="54" t="inlineStr">
        <is>
          <t>SATIN-TWIN-BLUSH PINK</t>
        </is>
      </c>
      <c r="E479" s="54" t="inlineStr">
        <is>
          <t>Twin</t>
        </is>
      </c>
      <c r="F479" s="54" t="inlineStr">
        <is>
          <t>Blush Pink</t>
        </is>
      </c>
      <c r="G479" s="55" t="n">
        <v>15</v>
      </c>
      <c r="H479" s="167" t="n">
        <v>398.25</v>
      </c>
      <c r="I479" s="167" t="n">
        <v>0</v>
      </c>
      <c r="J479" s="168">
        <f>IF(AND(N(G479)&gt;0,N(H479)+N(I479)&gt;0),(H479+I479)*U479/G479,"")</f>
        <v/>
      </c>
      <c r="K479" s="167" t="n">
        <v>27.95</v>
      </c>
      <c r="L479" s="167" t="n">
        <v>26.55</v>
      </c>
      <c r="M479" s="54" t="inlineStr">
        <is>
          <t>Eligible</t>
        </is>
      </c>
      <c r="N479" s="168">
        <f>IF(OR(J479="",L479=""),"",L479-J479)</f>
        <v/>
      </c>
      <c r="O479" s="169">
        <f>IF(OR(J479="",L479=""),"",L479/J479-1)</f>
        <v/>
      </c>
      <c r="P479" s="169">
        <f>IF(OR(J479="",K479=""),"",K479/J479-1)</f>
        <v/>
      </c>
      <c r="Q479" s="54">
        <f>IF(AND(ISNUMBER(J479),ISNUMBER(L479)),1,0)</f>
        <v/>
      </c>
      <c r="R479" s="69">
        <f>IF(Q479=1,G479*L479,0)</f>
        <v/>
      </c>
      <c r="S479" s="69">
        <f>IF(Q479=1,(H479+I479)*U479,0)</f>
        <v/>
      </c>
      <c r="T479" s="59">
        <f>IF(Q479=1,G479,0)</f>
        <v/>
      </c>
      <c r="U479" s="170" t="n">
        <v>1</v>
      </c>
    </row>
    <row r="480">
      <c r="A480" s="54" t="inlineStr">
        <is>
          <t>US DC S4</t>
        </is>
      </c>
      <c r="B480" s="54" t="inlineStr">
        <is>
          <t>US</t>
        </is>
      </c>
      <c r="C480" s="54" t="inlineStr">
        <is>
          <t>B0CQRY9WLG</t>
        </is>
      </c>
      <c r="D480" s="54" t="inlineStr">
        <is>
          <t>SATIN-4PC-FULL-SAGE GREEN</t>
        </is>
      </c>
      <c r="E480" s="54" t="inlineStr">
        <is>
          <t>Full</t>
        </is>
      </c>
      <c r="F480" s="54" t="inlineStr">
        <is>
          <t>Sage Green</t>
        </is>
      </c>
      <c r="G480" s="55" t="n">
        <v>14</v>
      </c>
      <c r="H480" s="167" t="n">
        <v>398.3</v>
      </c>
      <c r="I480" s="167" t="n">
        <v>0</v>
      </c>
      <c r="J480" s="168">
        <f>IF(AND(N(G480)&gt;0,N(H480)+N(I480)&gt;0),(H480+I480)*U480/G480,"")</f>
        <v/>
      </c>
      <c r="K480" s="167" t="n">
        <v>29.95</v>
      </c>
      <c r="L480" s="167" t="n">
        <v>28.45</v>
      </c>
      <c r="M480" s="54" t="inlineStr">
        <is>
          <t>Eligible</t>
        </is>
      </c>
      <c r="N480" s="168">
        <f>IF(OR(J480="",L480=""),"",L480-J480)</f>
        <v/>
      </c>
      <c r="O480" s="169">
        <f>IF(OR(J480="",L480=""),"",L480/J480-1)</f>
        <v/>
      </c>
      <c r="P480" s="169">
        <f>IF(OR(J480="",K480=""),"",K480/J480-1)</f>
        <v/>
      </c>
      <c r="Q480" s="54">
        <f>IF(AND(ISNUMBER(J480),ISNUMBER(L480)),1,0)</f>
        <v/>
      </c>
      <c r="R480" s="69">
        <f>IF(Q480=1,G480*L480,0)</f>
        <v/>
      </c>
      <c r="S480" s="69">
        <f>IF(Q480=1,(H480+I480)*U480,0)</f>
        <v/>
      </c>
      <c r="T480" s="59">
        <f>IF(Q480=1,G480,0)</f>
        <v/>
      </c>
      <c r="U480" s="170" t="n">
        <v>1</v>
      </c>
    </row>
    <row r="481">
      <c r="A481" s="54" t="inlineStr">
        <is>
          <t>US DC S4</t>
        </is>
      </c>
      <c r="B481" s="54" t="inlineStr">
        <is>
          <t>US</t>
        </is>
      </c>
      <c r="C481" s="54" t="inlineStr">
        <is>
          <t>B0BG1Z32KQ</t>
        </is>
      </c>
      <c r="D481" s="54" t="inlineStr">
        <is>
          <t>SATIN-SEA-TEAL-FULL</t>
        </is>
      </c>
      <c r="E481" s="54" t="inlineStr">
        <is>
          <t>Full</t>
        </is>
      </c>
      <c r="F481" s="54" t="inlineStr">
        <is>
          <t>Sea Teal</t>
        </is>
      </c>
      <c r="G481" s="55" t="n">
        <v>14</v>
      </c>
      <c r="H481" s="167" t="n">
        <v>398.3</v>
      </c>
      <c r="I481" s="167" t="n">
        <v>0</v>
      </c>
      <c r="J481" s="168">
        <f>IF(AND(N(G481)&gt;0,N(H481)+N(I481)&gt;0),(H481+I481)*U481/G481,"")</f>
        <v/>
      </c>
      <c r="K481" s="167" t="n">
        <v>29.95</v>
      </c>
      <c r="L481" s="167" t="n">
        <v>28.45</v>
      </c>
      <c r="M481" s="54" t="inlineStr">
        <is>
          <t>Eligible</t>
        </is>
      </c>
      <c r="N481" s="168">
        <f>IF(OR(J481="",L481=""),"",L481-J481)</f>
        <v/>
      </c>
      <c r="O481" s="169">
        <f>IF(OR(J481="",L481=""),"",L481/J481-1)</f>
        <v/>
      </c>
      <c r="P481" s="169">
        <f>IF(OR(J481="",K481=""),"",K481/J481-1)</f>
        <v/>
      </c>
      <c r="Q481" s="54">
        <f>IF(AND(ISNUMBER(J481),ISNUMBER(L481)),1,0)</f>
        <v/>
      </c>
      <c r="R481" s="69">
        <f>IF(Q481=1,G481*L481,0)</f>
        <v/>
      </c>
      <c r="S481" s="69">
        <f>IF(Q481=1,(H481+I481)*U481,0)</f>
        <v/>
      </c>
      <c r="T481" s="59">
        <f>IF(Q481=1,G481,0)</f>
        <v/>
      </c>
      <c r="U481" s="170" t="n">
        <v>1</v>
      </c>
    </row>
    <row r="482">
      <c r="A482" s="54" t="inlineStr">
        <is>
          <t>US DC S4</t>
        </is>
      </c>
      <c r="B482" s="54" t="inlineStr">
        <is>
          <t>US</t>
        </is>
      </c>
      <c r="C482" s="54" t="inlineStr">
        <is>
          <t>B09G6N2PNK</t>
        </is>
      </c>
      <c r="D482" s="54" t="inlineStr">
        <is>
          <t>SATIN-STRIPE-KING-WHITE</t>
        </is>
      </c>
      <c r="E482" s="54" t="inlineStr">
        <is>
          <t>King</t>
        </is>
      </c>
      <c r="F482" s="54" t="inlineStr">
        <is>
          <t>Striped White</t>
        </is>
      </c>
      <c r="G482" s="55" t="n">
        <v>14</v>
      </c>
      <c r="H482" s="167" t="n">
        <v>404.04</v>
      </c>
      <c r="I482" s="167" t="n">
        <v>0</v>
      </c>
      <c r="J482" s="168">
        <f>IF(AND(N(G482)&gt;0,N(H482)+N(I482)&gt;0),(H482+I482)*U482/G482,"")</f>
        <v/>
      </c>
      <c r="K482" s="167" t="n">
        <v>33.95</v>
      </c>
      <c r="L482" s="167" t="n">
        <v>32.25</v>
      </c>
      <c r="M482" s="54" t="inlineStr">
        <is>
          <t>Eligible</t>
        </is>
      </c>
      <c r="N482" s="168">
        <f>IF(OR(J482="",L482=""),"",L482-J482)</f>
        <v/>
      </c>
      <c r="O482" s="169">
        <f>IF(OR(J482="",L482=""),"",L482/J482-1)</f>
        <v/>
      </c>
      <c r="P482" s="169">
        <f>IF(OR(J482="",K482=""),"",K482/J482-1)</f>
        <v/>
      </c>
      <c r="Q482" s="54">
        <f>IF(AND(ISNUMBER(J482),ISNUMBER(L482)),1,0)</f>
        <v/>
      </c>
      <c r="R482" s="69">
        <f>IF(Q482=1,G482*L482,0)</f>
        <v/>
      </c>
      <c r="S482" s="69">
        <f>IF(Q482=1,(H482+I482)*U482,0)</f>
        <v/>
      </c>
      <c r="T482" s="59">
        <f>IF(Q482=1,G482,0)</f>
        <v/>
      </c>
      <c r="U482" s="170" t="n">
        <v>1</v>
      </c>
    </row>
    <row r="483">
      <c r="A483" s="54" t="inlineStr">
        <is>
          <t>US DC S4</t>
        </is>
      </c>
      <c r="B483" s="54" t="inlineStr">
        <is>
          <t>US</t>
        </is>
      </c>
      <c r="C483" s="54" t="inlineStr">
        <is>
          <t>B0CQRX2Z2G</t>
        </is>
      </c>
      <c r="D483" s="54" t="inlineStr">
        <is>
          <t>SATIN-4PC-FULL-DARK GREEN</t>
        </is>
      </c>
      <c r="E483" s="54" t="inlineStr">
        <is>
          <t>Full</t>
        </is>
      </c>
      <c r="F483" s="54" t="inlineStr">
        <is>
          <t>Dark Green</t>
        </is>
      </c>
      <c r="G483" s="55" t="n">
        <v>13</v>
      </c>
      <c r="H483" s="167" t="n">
        <v>369.85</v>
      </c>
      <c r="I483" s="167" t="n">
        <v>0</v>
      </c>
      <c r="J483" s="168">
        <f>IF(AND(N(G483)&gt;0,N(H483)+N(I483)&gt;0),(H483+I483)*U483/G483,"")</f>
        <v/>
      </c>
      <c r="K483" s="167" t="n">
        <v>29.95</v>
      </c>
      <c r="L483" s="167" t="n">
        <v>25.95</v>
      </c>
      <c r="M483" s="54" t="inlineStr">
        <is>
          <t>Eligible</t>
        </is>
      </c>
      <c r="N483" s="168">
        <f>IF(OR(J483="",L483=""),"",L483-J483)</f>
        <v/>
      </c>
      <c r="O483" s="169">
        <f>IF(OR(J483="",L483=""),"",L483/J483-1)</f>
        <v/>
      </c>
      <c r="P483" s="169">
        <f>IF(OR(J483="",K483=""),"",K483/J483-1)</f>
        <v/>
      </c>
      <c r="Q483" s="54">
        <f>IF(AND(ISNUMBER(J483),ISNUMBER(L483)),1,0)</f>
        <v/>
      </c>
      <c r="R483" s="69">
        <f>IF(Q483=1,G483*L483,0)</f>
        <v/>
      </c>
      <c r="S483" s="69">
        <f>IF(Q483=1,(H483+I483)*U483,0)</f>
        <v/>
      </c>
      <c r="T483" s="59">
        <f>IF(Q483=1,G483,0)</f>
        <v/>
      </c>
      <c r="U483" s="170" t="n">
        <v>1</v>
      </c>
    </row>
    <row r="484">
      <c r="A484" s="54" t="inlineStr">
        <is>
          <t>US DC S4</t>
        </is>
      </c>
      <c r="B484" s="54" t="inlineStr">
        <is>
          <t>US</t>
        </is>
      </c>
      <c r="C484" s="54" t="inlineStr">
        <is>
          <t>B0BZPVZKVS</t>
        </is>
      </c>
      <c r="D484" s="54" t="inlineStr">
        <is>
          <t>SATIN-TAUPE-KING</t>
        </is>
      </c>
      <c r="E484" s="54" t="inlineStr">
        <is>
          <t>King</t>
        </is>
      </c>
      <c r="F484" s="54" t="inlineStr">
        <is>
          <t>Taupe</t>
        </is>
      </c>
      <c r="G484" s="55" t="n">
        <v>13</v>
      </c>
      <c r="H484" s="167" t="n">
        <v>419.25</v>
      </c>
      <c r="I484" s="167" t="n">
        <v>0</v>
      </c>
      <c r="J484" s="168">
        <f>IF(AND(N(G484)&gt;0,N(H484)+N(I484)&gt;0),(H484+I484)*U484/G484,"")</f>
        <v/>
      </c>
      <c r="K484" s="167" t="n">
        <v>33.95</v>
      </c>
      <c r="L484" s="167" t="n"/>
      <c r="M484" s="54" t="inlineStr">
        <is>
          <t>Out of stock</t>
        </is>
      </c>
      <c r="N484" s="168">
        <f>IF(OR(J484="",L484=""),"",L484-J484)</f>
        <v/>
      </c>
      <c r="O484" s="169">
        <f>IF(OR(J484="",L484=""),"",L484/J484-1)</f>
        <v/>
      </c>
      <c r="P484" s="169">
        <f>IF(OR(J484="",K484=""),"",K484/J484-1)</f>
        <v/>
      </c>
      <c r="Q484" s="54">
        <f>IF(AND(ISNUMBER(J484),ISNUMBER(L484)),1,0)</f>
        <v/>
      </c>
      <c r="R484" s="69">
        <f>IF(Q484=1,G484*L484,0)</f>
        <v/>
      </c>
      <c r="S484" s="69">
        <f>IF(Q484=1,(H484+I484)*U484,0)</f>
        <v/>
      </c>
      <c r="T484" s="59">
        <f>IF(Q484=1,G484,0)</f>
        <v/>
      </c>
      <c r="U484" s="170" t="n">
        <v>1</v>
      </c>
    </row>
    <row r="485">
      <c r="A485" s="54" t="inlineStr">
        <is>
          <t>US DC S4</t>
        </is>
      </c>
      <c r="B485" s="54" t="inlineStr">
        <is>
          <t>US</t>
        </is>
      </c>
      <c r="C485" s="54" t="inlineStr">
        <is>
          <t>B09G6K8WYQ</t>
        </is>
      </c>
      <c r="D485" s="54" t="inlineStr">
        <is>
          <t>SATIN-STRIPE-QUEEN-BLUE</t>
        </is>
      </c>
      <c r="E485" s="54" t="inlineStr">
        <is>
          <t>Queen</t>
        </is>
      </c>
      <c r="F485" s="54" t="inlineStr">
        <is>
          <t>Striped Blue</t>
        </is>
      </c>
      <c r="G485" s="55" t="n">
        <v>13</v>
      </c>
      <c r="H485" s="167" t="n">
        <v>394.55</v>
      </c>
      <c r="I485" s="167" t="n">
        <v>0</v>
      </c>
      <c r="J485" s="168">
        <f>IF(AND(N(G485)&gt;0,N(H485)+N(I485)&gt;0),(H485+I485)*U485/G485,"")</f>
        <v/>
      </c>
      <c r="K485" s="167" t="n">
        <v>31.95</v>
      </c>
      <c r="L485" s="167" t="n"/>
      <c r="M485" s="54" t="inlineStr">
        <is>
          <t>Out of stock</t>
        </is>
      </c>
      <c r="N485" s="168">
        <f>IF(OR(J485="",L485=""),"",L485-J485)</f>
        <v/>
      </c>
      <c r="O485" s="169">
        <f>IF(OR(J485="",L485=""),"",L485/J485-1)</f>
        <v/>
      </c>
      <c r="P485" s="169">
        <f>IF(OR(J485="",K485=""),"",K485/J485-1)</f>
        <v/>
      </c>
      <c r="Q485" s="54">
        <f>IF(AND(ISNUMBER(J485),ISNUMBER(L485)),1,0)</f>
        <v/>
      </c>
      <c r="R485" s="69">
        <f>IF(Q485=1,G485*L485,0)</f>
        <v/>
      </c>
      <c r="S485" s="69">
        <f>IF(Q485=1,(H485+I485)*U485,0)</f>
        <v/>
      </c>
      <c r="T485" s="59">
        <f>IF(Q485=1,G485,0)</f>
        <v/>
      </c>
      <c r="U485" s="170" t="n">
        <v>1</v>
      </c>
    </row>
    <row r="486">
      <c r="A486" s="54" t="inlineStr">
        <is>
          <t>US DC S4</t>
        </is>
      </c>
      <c r="B486" s="54" t="inlineStr">
        <is>
          <t>US</t>
        </is>
      </c>
      <c r="C486" s="54" t="inlineStr">
        <is>
          <t>B0BG21NBG9</t>
        </is>
      </c>
      <c r="D486" s="54" t="inlineStr">
        <is>
          <t>SATIN-STONEGREY-TWIN</t>
        </is>
      </c>
      <c r="E486" s="54" t="inlineStr">
        <is>
          <t>Twin</t>
        </is>
      </c>
      <c r="F486" s="54" t="inlineStr">
        <is>
          <t>Stone Grey</t>
        </is>
      </c>
      <c r="G486" s="55" t="n">
        <v>13</v>
      </c>
      <c r="H486" s="167" t="n">
        <v>345.15</v>
      </c>
      <c r="I486" s="167" t="n">
        <v>0</v>
      </c>
      <c r="J486" s="168">
        <f>IF(AND(N(G486)&gt;0,N(H486)+N(I486)&gt;0),(H486+I486)*U486/G486,"")</f>
        <v/>
      </c>
      <c r="K486" s="167" t="n">
        <v>27.95</v>
      </c>
      <c r="L486" s="167" t="n">
        <v>24.95</v>
      </c>
      <c r="M486" s="54" t="inlineStr">
        <is>
          <t>Eligible</t>
        </is>
      </c>
      <c r="N486" s="168">
        <f>IF(OR(J486="",L486=""),"",L486-J486)</f>
        <v/>
      </c>
      <c r="O486" s="169">
        <f>IF(OR(J486="",L486=""),"",L486/J486-1)</f>
        <v/>
      </c>
      <c r="P486" s="169">
        <f>IF(OR(J486="",K486=""),"",K486/J486-1)</f>
        <v/>
      </c>
      <c r="Q486" s="54">
        <f>IF(AND(ISNUMBER(J486),ISNUMBER(L486)),1,0)</f>
        <v/>
      </c>
      <c r="R486" s="69">
        <f>IF(Q486=1,G486*L486,0)</f>
        <v/>
      </c>
      <c r="S486" s="69">
        <f>IF(Q486=1,(H486+I486)*U486,0)</f>
        <v/>
      </c>
      <c r="T486" s="59">
        <f>IF(Q486=1,G486,0)</f>
        <v/>
      </c>
      <c r="U486" s="170" t="n">
        <v>1</v>
      </c>
    </row>
    <row r="487">
      <c r="A487" s="54" t="inlineStr">
        <is>
          <t>US DC S4</t>
        </is>
      </c>
      <c r="B487" s="54" t="inlineStr">
        <is>
          <t>US</t>
        </is>
      </c>
      <c r="C487" s="54" t="inlineStr">
        <is>
          <t>B0839M8LP5</t>
        </is>
      </c>
      <c r="D487" s="54" t="inlineStr">
        <is>
          <t>SATIN-TWIN-GREY</t>
        </is>
      </c>
      <c r="E487" s="54" t="inlineStr">
        <is>
          <t>Twin</t>
        </is>
      </c>
      <c r="F487" s="54" t="inlineStr">
        <is>
          <t>Grey</t>
        </is>
      </c>
      <c r="G487" s="55" t="n">
        <v>12</v>
      </c>
      <c r="H487" s="167" t="n">
        <v>305.52</v>
      </c>
      <c r="I487" s="167" t="n">
        <v>0</v>
      </c>
      <c r="J487" s="168">
        <f>IF(AND(N(G487)&gt;0,N(H487)+N(I487)&gt;0),(H487+I487)*U487/G487,"")</f>
        <v/>
      </c>
      <c r="K487" s="167" t="n">
        <v>27.95</v>
      </c>
      <c r="L487" s="167" t="n">
        <v>20.96</v>
      </c>
      <c r="M487" s="54" t="inlineStr">
        <is>
          <t>Eligible</t>
        </is>
      </c>
      <c r="N487" s="168">
        <f>IF(OR(J487="",L487=""),"",L487-J487)</f>
        <v/>
      </c>
      <c r="O487" s="169">
        <f>IF(OR(J487="",L487=""),"",L487/J487-1)</f>
        <v/>
      </c>
      <c r="P487" s="169">
        <f>IF(OR(J487="",K487=""),"",K487/J487-1)</f>
        <v/>
      </c>
      <c r="Q487" s="54">
        <f>IF(AND(ISNUMBER(J487),ISNUMBER(L487)),1,0)</f>
        <v/>
      </c>
      <c r="R487" s="69">
        <f>IF(Q487=1,G487*L487,0)</f>
        <v/>
      </c>
      <c r="S487" s="69">
        <f>IF(Q487=1,(H487+I487)*U487,0)</f>
        <v/>
      </c>
      <c r="T487" s="59">
        <f>IF(Q487=1,G487,0)</f>
        <v/>
      </c>
      <c r="U487" s="170" t="n">
        <v>1</v>
      </c>
    </row>
    <row r="488">
      <c r="A488" s="54" t="inlineStr">
        <is>
          <t>US DC S4</t>
        </is>
      </c>
      <c r="B488" s="54" t="inlineStr">
        <is>
          <t>US</t>
        </is>
      </c>
      <c r="C488" s="54" t="inlineStr">
        <is>
          <t>B0CQRX8Q2P</t>
        </is>
      </c>
      <c r="D488" s="54" t="inlineStr">
        <is>
          <t>SATIN-3PC-TWIN-LAVENDER</t>
        </is>
      </c>
      <c r="E488" s="54" t="inlineStr">
        <is>
          <t>Twin</t>
        </is>
      </c>
      <c r="F488" s="54" t="inlineStr">
        <is>
          <t>Lavender</t>
        </is>
      </c>
      <c r="G488" s="55" t="n">
        <v>12</v>
      </c>
      <c r="H488" s="167" t="n">
        <v>292.05</v>
      </c>
      <c r="I488" s="167" t="n">
        <v>0</v>
      </c>
      <c r="J488" s="168">
        <f>IF(AND(N(G488)&gt;0,N(H488)+N(I488)&gt;0),(H488+I488)*U488/G488,"")</f>
        <v/>
      </c>
      <c r="K488" s="167" t="n">
        <v>27.95</v>
      </c>
      <c r="L488" s="167" t="n">
        <v>25.16</v>
      </c>
      <c r="M488" s="54" t="inlineStr">
        <is>
          <t>Eligible</t>
        </is>
      </c>
      <c r="N488" s="168">
        <f>IF(OR(J488="",L488=""),"",L488-J488)</f>
        <v/>
      </c>
      <c r="O488" s="169">
        <f>IF(OR(J488="",L488=""),"",L488/J488-1)</f>
        <v/>
      </c>
      <c r="P488" s="169">
        <f>IF(OR(J488="",K488=""),"",K488/J488-1)</f>
        <v/>
      </c>
      <c r="Q488" s="54">
        <f>IF(AND(ISNUMBER(J488),ISNUMBER(L488)),1,0)</f>
        <v/>
      </c>
      <c r="R488" s="69">
        <f>IF(Q488=1,G488*L488,0)</f>
        <v/>
      </c>
      <c r="S488" s="69">
        <f>IF(Q488=1,(H488+I488)*U488,0)</f>
        <v/>
      </c>
      <c r="T488" s="59">
        <f>IF(Q488=1,G488,0)</f>
        <v/>
      </c>
      <c r="U488" s="170" t="n">
        <v>1</v>
      </c>
    </row>
    <row r="489">
      <c r="A489" s="54" t="inlineStr">
        <is>
          <t>US DC S4</t>
        </is>
      </c>
      <c r="B489" s="54" t="inlineStr">
        <is>
          <t>US</t>
        </is>
      </c>
      <c r="C489" s="54" t="inlineStr">
        <is>
          <t>B09G6K4PXD</t>
        </is>
      </c>
      <c r="D489" s="54" t="inlineStr">
        <is>
          <t>SATIN-STRIPE-FULL-PURPLE</t>
        </is>
      </c>
      <c r="E489" s="54" t="inlineStr">
        <is>
          <t>Full</t>
        </is>
      </c>
      <c r="F489" s="54" t="inlineStr">
        <is>
          <t>Striped Purple</t>
        </is>
      </c>
      <c r="G489" s="55" t="n">
        <v>11</v>
      </c>
      <c r="H489" s="167" t="n">
        <v>312.95</v>
      </c>
      <c r="I489" s="167" t="n">
        <v>0</v>
      </c>
      <c r="J489" s="168">
        <f>IF(AND(N(G489)&gt;0,N(H489)+N(I489)&gt;0),(H489+I489)*U489/G489,"")</f>
        <v/>
      </c>
      <c r="K489" s="167" t="n">
        <v>29.95</v>
      </c>
      <c r="L489" s="167" t="n">
        <v>25.95</v>
      </c>
      <c r="M489" s="54" t="inlineStr">
        <is>
          <t>Eligible</t>
        </is>
      </c>
      <c r="N489" s="168">
        <f>IF(OR(J489="",L489=""),"",L489-J489)</f>
        <v/>
      </c>
      <c r="O489" s="169">
        <f>IF(OR(J489="",L489=""),"",L489/J489-1)</f>
        <v/>
      </c>
      <c r="P489" s="169">
        <f>IF(OR(J489="",K489=""),"",K489/J489-1)</f>
        <v/>
      </c>
      <c r="Q489" s="54">
        <f>IF(AND(ISNUMBER(J489),ISNUMBER(L489)),1,0)</f>
        <v/>
      </c>
      <c r="R489" s="69">
        <f>IF(Q489=1,G489*L489,0)</f>
        <v/>
      </c>
      <c r="S489" s="69">
        <f>IF(Q489=1,(H489+I489)*U489,0)</f>
        <v/>
      </c>
      <c r="T489" s="59">
        <f>IF(Q489=1,G489,0)</f>
        <v/>
      </c>
      <c r="U489" s="170" t="n">
        <v>1</v>
      </c>
    </row>
    <row r="490">
      <c r="A490" s="54" t="inlineStr">
        <is>
          <t>US DC S4</t>
        </is>
      </c>
      <c r="B490" s="54" t="inlineStr">
        <is>
          <t>US</t>
        </is>
      </c>
      <c r="C490" s="54" t="inlineStr">
        <is>
          <t>B09G6KKB4S</t>
        </is>
      </c>
      <c r="D490" s="54" t="inlineStr">
        <is>
          <t>SATIN-STRIPE-FULL-WHITE</t>
        </is>
      </c>
      <c r="E490" s="54" t="inlineStr">
        <is>
          <t>Full</t>
        </is>
      </c>
      <c r="F490" s="54" t="inlineStr">
        <is>
          <t>Striped White</t>
        </is>
      </c>
      <c r="G490" s="55" t="n">
        <v>11</v>
      </c>
      <c r="H490" s="167" t="n">
        <v>280.06</v>
      </c>
      <c r="I490" s="167" t="n">
        <v>0</v>
      </c>
      <c r="J490" s="168">
        <f>IF(AND(N(G490)&gt;0,N(H490)+N(I490)&gt;0),(H490+I490)*U490/G490,"")</f>
        <v/>
      </c>
      <c r="K490" s="167" t="n">
        <v>29.95</v>
      </c>
      <c r="L490" s="167" t="n">
        <v>26.95</v>
      </c>
      <c r="M490" s="54" t="inlineStr">
        <is>
          <t>Eligible</t>
        </is>
      </c>
      <c r="N490" s="168">
        <f>IF(OR(J490="",L490=""),"",L490-J490)</f>
        <v/>
      </c>
      <c r="O490" s="169">
        <f>IF(OR(J490="",L490=""),"",L490/J490-1)</f>
        <v/>
      </c>
      <c r="P490" s="169">
        <f>IF(OR(J490="",K490=""),"",K490/J490-1)</f>
        <v/>
      </c>
      <c r="Q490" s="54">
        <f>IF(AND(ISNUMBER(J490),ISNUMBER(L490)),1,0)</f>
        <v/>
      </c>
      <c r="R490" s="69">
        <f>IF(Q490=1,G490*L490,0)</f>
        <v/>
      </c>
      <c r="S490" s="69">
        <f>IF(Q490=1,(H490+I490)*U490,0)</f>
        <v/>
      </c>
      <c r="T490" s="59">
        <f>IF(Q490=1,G490,0)</f>
        <v/>
      </c>
      <c r="U490" s="170" t="n">
        <v>1</v>
      </c>
    </row>
    <row r="491">
      <c r="A491" s="54" t="inlineStr">
        <is>
          <t>US DC S4</t>
        </is>
      </c>
      <c r="B491" s="54" t="inlineStr">
        <is>
          <t>US</t>
        </is>
      </c>
      <c r="C491" s="54" t="inlineStr">
        <is>
          <t>B09G6JHW3F</t>
        </is>
      </c>
      <c r="D491" s="54" t="inlineStr">
        <is>
          <t>SATIN-STRIPE-KING-RED</t>
        </is>
      </c>
      <c r="E491" s="54" t="inlineStr">
        <is>
          <t>King</t>
        </is>
      </c>
      <c r="F491" s="54" t="inlineStr">
        <is>
          <t>Striped Red</t>
        </is>
      </c>
      <c r="G491" s="55" t="n">
        <v>11</v>
      </c>
      <c r="H491" s="167" t="n">
        <v>354.75</v>
      </c>
      <c r="I491" s="167" t="n">
        <v>0</v>
      </c>
      <c r="J491" s="168">
        <f>IF(AND(N(G491)&gt;0,N(H491)+N(I491)&gt;0),(H491+I491)*U491/G491,"")</f>
        <v/>
      </c>
      <c r="K491" s="167" t="n">
        <v>33.95</v>
      </c>
      <c r="L491" s="167" t="n">
        <v>32.25</v>
      </c>
      <c r="M491" s="54" t="inlineStr">
        <is>
          <t>Eligible</t>
        </is>
      </c>
      <c r="N491" s="168">
        <f>IF(OR(J491="",L491=""),"",L491-J491)</f>
        <v/>
      </c>
      <c r="O491" s="169">
        <f>IF(OR(J491="",L491=""),"",L491/J491-1)</f>
        <v/>
      </c>
      <c r="P491" s="169">
        <f>IF(OR(J491="",K491=""),"",K491/J491-1)</f>
        <v/>
      </c>
      <c r="Q491" s="54">
        <f>IF(AND(ISNUMBER(J491),ISNUMBER(L491)),1,0)</f>
        <v/>
      </c>
      <c r="R491" s="69">
        <f>IF(Q491=1,G491*L491,0)</f>
        <v/>
      </c>
      <c r="S491" s="69">
        <f>IF(Q491=1,(H491+I491)*U491,0)</f>
        <v/>
      </c>
      <c r="T491" s="59">
        <f>IF(Q491=1,G491,0)</f>
        <v/>
      </c>
      <c r="U491" s="170" t="n">
        <v>1</v>
      </c>
    </row>
    <row r="492">
      <c r="A492" s="54" t="inlineStr">
        <is>
          <t>US DC S4</t>
        </is>
      </c>
      <c r="B492" s="54" t="inlineStr">
        <is>
          <t>US</t>
        </is>
      </c>
      <c r="C492" s="54" t="inlineStr">
        <is>
          <t>B09G6L5ZW6</t>
        </is>
      </c>
      <c r="D492" s="54" t="inlineStr">
        <is>
          <t>SATIN-STRIPE-QUEEN-PURPLE</t>
        </is>
      </c>
      <c r="E492" s="54" t="inlineStr">
        <is>
          <t>Queen</t>
        </is>
      </c>
      <c r="F492" s="54" t="inlineStr">
        <is>
          <t>Striped Purple</t>
        </is>
      </c>
      <c r="G492" s="55" t="n">
        <v>11</v>
      </c>
      <c r="H492" s="167" t="n">
        <v>333.85</v>
      </c>
      <c r="I492" s="167" t="n">
        <v>0</v>
      </c>
      <c r="J492" s="168">
        <f>IF(AND(N(G492)&gt;0,N(H492)+N(I492)&gt;0),(H492+I492)*U492/G492,"")</f>
        <v/>
      </c>
      <c r="K492" s="167" t="n">
        <v>31.95</v>
      </c>
      <c r="L492" s="167" t="n">
        <v>30.35</v>
      </c>
      <c r="M492" s="54" t="inlineStr">
        <is>
          <t>Eligible</t>
        </is>
      </c>
      <c r="N492" s="168">
        <f>IF(OR(J492="",L492=""),"",L492-J492)</f>
        <v/>
      </c>
      <c r="O492" s="169">
        <f>IF(OR(J492="",L492=""),"",L492/J492-1)</f>
        <v/>
      </c>
      <c r="P492" s="169">
        <f>IF(OR(J492="",K492=""),"",K492/J492-1)</f>
        <v/>
      </c>
      <c r="Q492" s="54">
        <f>IF(AND(ISNUMBER(J492),ISNUMBER(L492)),1,0)</f>
        <v/>
      </c>
      <c r="R492" s="69">
        <f>IF(Q492=1,G492*L492,0)</f>
        <v/>
      </c>
      <c r="S492" s="69">
        <f>IF(Q492=1,(H492+I492)*U492,0)</f>
        <v/>
      </c>
      <c r="T492" s="59">
        <f>IF(Q492=1,G492,0)</f>
        <v/>
      </c>
      <c r="U492" s="170" t="n">
        <v>1</v>
      </c>
    </row>
    <row r="493">
      <c r="A493" s="54" t="inlineStr">
        <is>
          <t>US DC S4</t>
        </is>
      </c>
      <c r="B493" s="54" t="inlineStr">
        <is>
          <t>US</t>
        </is>
      </c>
      <c r="C493" s="54" t="inlineStr">
        <is>
          <t>B09G6KCTXW</t>
        </is>
      </c>
      <c r="D493" s="54" t="inlineStr">
        <is>
          <t>SATIN-STRIPE-QUEEN-RED</t>
        </is>
      </c>
      <c r="E493" s="54" t="inlineStr">
        <is>
          <t>Queen</t>
        </is>
      </c>
      <c r="F493" s="54" t="inlineStr">
        <is>
          <t>Striped Red</t>
        </is>
      </c>
      <c r="G493" s="55" t="n">
        <v>11</v>
      </c>
      <c r="H493" s="167" t="n">
        <v>333.85</v>
      </c>
      <c r="I493" s="167" t="n">
        <v>0</v>
      </c>
      <c r="J493" s="168">
        <f>IF(AND(N(G493)&gt;0,N(H493)+N(I493)&gt;0),(H493+I493)*U493/G493,"")</f>
        <v/>
      </c>
      <c r="K493" s="167" t="n">
        <v>31.95</v>
      </c>
      <c r="L493" s="167" t="n">
        <v>30.35</v>
      </c>
      <c r="M493" s="54" t="inlineStr">
        <is>
          <t>Eligible</t>
        </is>
      </c>
      <c r="N493" s="168">
        <f>IF(OR(J493="",L493=""),"",L493-J493)</f>
        <v/>
      </c>
      <c r="O493" s="169">
        <f>IF(OR(J493="",L493=""),"",L493/J493-1)</f>
        <v/>
      </c>
      <c r="P493" s="169">
        <f>IF(OR(J493="",K493=""),"",K493/J493-1)</f>
        <v/>
      </c>
      <c r="Q493" s="54">
        <f>IF(AND(ISNUMBER(J493),ISNUMBER(L493)),1,0)</f>
        <v/>
      </c>
      <c r="R493" s="69">
        <f>IF(Q493=1,G493*L493,0)</f>
        <v/>
      </c>
      <c r="S493" s="69">
        <f>IF(Q493=1,(H493+I493)*U493,0)</f>
        <v/>
      </c>
      <c r="T493" s="59">
        <f>IF(Q493=1,G493,0)</f>
        <v/>
      </c>
      <c r="U493" s="170" t="n">
        <v>1</v>
      </c>
    </row>
    <row r="494">
      <c r="A494" s="54" t="inlineStr">
        <is>
          <t>US DC S4</t>
        </is>
      </c>
      <c r="B494" s="54" t="inlineStr">
        <is>
          <t>US</t>
        </is>
      </c>
      <c r="C494" s="54" t="inlineStr">
        <is>
          <t>B09G6K4M5V</t>
        </is>
      </c>
      <c r="D494" s="54" t="inlineStr">
        <is>
          <t>SATIN-STRIPE-KING-GOLD</t>
        </is>
      </c>
      <c r="E494" s="54" t="inlineStr">
        <is>
          <t>King</t>
        </is>
      </c>
      <c r="F494" s="54" t="inlineStr">
        <is>
          <t>Striped Gold</t>
        </is>
      </c>
      <c r="G494" s="55" t="n">
        <v>10</v>
      </c>
      <c r="H494" s="167" t="n">
        <v>322.5</v>
      </c>
      <c r="I494" s="167" t="n">
        <v>0</v>
      </c>
      <c r="J494" s="168">
        <f>IF(AND(N(G494)&gt;0,N(H494)+N(I494)&gt;0),(H494+I494)*U494/G494,"")</f>
        <v/>
      </c>
      <c r="K494" s="167" t="n">
        <v>33.95</v>
      </c>
      <c r="L494" s="167" t="n"/>
      <c r="M494" s="54" t="inlineStr">
        <is>
          <t>Out of stock</t>
        </is>
      </c>
      <c r="N494" s="168">
        <f>IF(OR(J494="",L494=""),"",L494-J494)</f>
        <v/>
      </c>
      <c r="O494" s="169">
        <f>IF(OR(J494="",L494=""),"",L494/J494-1)</f>
        <v/>
      </c>
      <c r="P494" s="169">
        <f>IF(OR(J494="",K494=""),"",K494/J494-1)</f>
        <v/>
      </c>
      <c r="Q494" s="54">
        <f>IF(AND(ISNUMBER(J494),ISNUMBER(L494)),1,0)</f>
        <v/>
      </c>
      <c r="R494" s="69">
        <f>IF(Q494=1,G494*L494,0)</f>
        <v/>
      </c>
      <c r="S494" s="69">
        <f>IF(Q494=1,(H494+I494)*U494,0)</f>
        <v/>
      </c>
      <c r="T494" s="59">
        <f>IF(Q494=1,G494,0)</f>
        <v/>
      </c>
      <c r="U494" s="170" t="n">
        <v>1</v>
      </c>
    </row>
    <row r="495">
      <c r="A495" s="54" t="inlineStr">
        <is>
          <t>US DC S4</t>
        </is>
      </c>
      <c r="B495" s="54" t="inlineStr">
        <is>
          <t>US</t>
        </is>
      </c>
      <c r="C495" s="54" t="inlineStr">
        <is>
          <t>B09G6K328B</t>
        </is>
      </c>
      <c r="D495" s="54" t="inlineStr">
        <is>
          <t>SATIN-STRIPE-QUEEN-WHITE</t>
        </is>
      </c>
      <c r="E495" s="54" t="inlineStr">
        <is>
          <t>Queen</t>
        </is>
      </c>
      <c r="F495" s="54" t="inlineStr">
        <is>
          <t>Striped White</t>
        </is>
      </c>
      <c r="G495" s="55" t="n">
        <v>9</v>
      </c>
      <c r="H495" s="167" t="n">
        <v>273.15</v>
      </c>
      <c r="I495" s="167" t="n">
        <v>0</v>
      </c>
      <c r="J495" s="168">
        <f>IF(AND(N(G495)&gt;0,N(H495)+N(I495)&gt;0),(H495+I495)*U495/G495,"")</f>
        <v/>
      </c>
      <c r="K495" s="167" t="n">
        <v>31.95</v>
      </c>
      <c r="L495" s="167" t="n">
        <v>30.35</v>
      </c>
      <c r="M495" s="54" t="inlineStr">
        <is>
          <t>Eligible</t>
        </is>
      </c>
      <c r="N495" s="168">
        <f>IF(OR(J495="",L495=""),"",L495-J495)</f>
        <v/>
      </c>
      <c r="O495" s="169">
        <f>IF(OR(J495="",L495=""),"",L495/J495-1)</f>
        <v/>
      </c>
      <c r="P495" s="169">
        <f>IF(OR(J495="",K495=""),"",K495/J495-1)</f>
        <v/>
      </c>
      <c r="Q495" s="54">
        <f>IF(AND(ISNUMBER(J495),ISNUMBER(L495)),1,0)</f>
        <v/>
      </c>
      <c r="R495" s="69">
        <f>IF(Q495=1,G495*L495,0)</f>
        <v/>
      </c>
      <c r="S495" s="69">
        <f>IF(Q495=1,(H495+I495)*U495,0)</f>
        <v/>
      </c>
      <c r="T495" s="59">
        <f>IF(Q495=1,G495,0)</f>
        <v/>
      </c>
      <c r="U495" s="170" t="n">
        <v>1</v>
      </c>
    </row>
    <row r="496">
      <c r="A496" s="54" t="inlineStr">
        <is>
          <t>US DC S4</t>
        </is>
      </c>
      <c r="B496" s="54" t="inlineStr">
        <is>
          <t>US</t>
        </is>
      </c>
      <c r="C496" s="54" t="inlineStr">
        <is>
          <t>B09G6J1HVY</t>
        </is>
      </c>
      <c r="D496" s="54" t="inlineStr">
        <is>
          <t>SATIN-STRIPE-FULL-GRAY</t>
        </is>
      </c>
      <c r="E496" s="54" t="inlineStr">
        <is>
          <t>Full</t>
        </is>
      </c>
      <c r="F496" s="54" t="inlineStr">
        <is>
          <t>Striped Grey</t>
        </is>
      </c>
      <c r="G496" s="55" t="n">
        <v>8</v>
      </c>
      <c r="H496" s="167" t="n">
        <v>227.6</v>
      </c>
      <c r="I496" s="167" t="n">
        <v>0</v>
      </c>
      <c r="J496" s="168">
        <f>IF(AND(N(G496)&gt;0,N(H496)+N(I496)&gt;0),(H496+I496)*U496/G496,"")</f>
        <v/>
      </c>
      <c r="K496" s="167" t="n">
        <v>29.95</v>
      </c>
      <c r="L496" s="167" t="n">
        <v>26.95</v>
      </c>
      <c r="M496" s="54" t="inlineStr">
        <is>
          <t>Eligible</t>
        </is>
      </c>
      <c r="N496" s="168">
        <f>IF(OR(J496="",L496=""),"",L496-J496)</f>
        <v/>
      </c>
      <c r="O496" s="169">
        <f>IF(OR(J496="",L496=""),"",L496/J496-1)</f>
        <v/>
      </c>
      <c r="P496" s="169">
        <f>IF(OR(J496="",K496=""),"",K496/J496-1)</f>
        <v/>
      </c>
      <c r="Q496" s="54">
        <f>IF(AND(ISNUMBER(J496),ISNUMBER(L496)),1,0)</f>
        <v/>
      </c>
      <c r="R496" s="69">
        <f>IF(Q496=1,G496*L496,0)</f>
        <v/>
      </c>
      <c r="S496" s="69">
        <f>IF(Q496=1,(H496+I496)*U496,0)</f>
        <v/>
      </c>
      <c r="T496" s="59">
        <f>IF(Q496=1,G496,0)</f>
        <v/>
      </c>
      <c r="U496" s="170" t="n">
        <v>1</v>
      </c>
    </row>
    <row r="497">
      <c r="A497" s="54" t="inlineStr">
        <is>
          <t>US DC S4</t>
        </is>
      </c>
      <c r="B497" s="54" t="inlineStr">
        <is>
          <t>US</t>
        </is>
      </c>
      <c r="C497" s="54" t="inlineStr">
        <is>
          <t>B0DBQZ1MMF</t>
        </is>
      </c>
      <c r="D497" s="54" t="inlineStr">
        <is>
          <t>SATIN-4PCS-KING-SEA-TEAL</t>
        </is>
      </c>
      <c r="E497" s="54" t="inlineStr">
        <is>
          <t>King</t>
        </is>
      </c>
      <c r="F497" s="54" t="inlineStr">
        <is>
          <t>Sea Teal</t>
        </is>
      </c>
      <c r="G497" s="55" t="n">
        <v>8</v>
      </c>
      <c r="H497" s="167" t="n">
        <v>230.88</v>
      </c>
      <c r="I497" s="167" t="n">
        <v>0</v>
      </c>
      <c r="J497" s="168">
        <f>IF(AND(N(G497)&gt;0,N(H497)+N(I497)&gt;0),(H497+I497)*U497/G497,"")</f>
        <v/>
      </c>
      <c r="K497" s="167" t="n">
        <v>33.95</v>
      </c>
      <c r="L497" s="167" t="n"/>
      <c r="M497" s="54" t="inlineStr">
        <is>
          <t>Out of stock</t>
        </is>
      </c>
      <c r="N497" s="168">
        <f>IF(OR(J497="",L497=""),"",L497-J497)</f>
        <v/>
      </c>
      <c r="O497" s="169">
        <f>IF(OR(J497="",L497=""),"",L497/J497-1)</f>
        <v/>
      </c>
      <c r="P497" s="169">
        <f>IF(OR(J497="",K497=""),"",K497/J497-1)</f>
        <v/>
      </c>
      <c r="Q497" s="54">
        <f>IF(AND(ISNUMBER(J497),ISNUMBER(L497)),1,0)</f>
        <v/>
      </c>
      <c r="R497" s="69">
        <f>IF(Q497=1,G497*L497,0)</f>
        <v/>
      </c>
      <c r="S497" s="69">
        <f>IF(Q497=1,(H497+I497)*U497,0)</f>
        <v/>
      </c>
      <c r="T497" s="59">
        <f>IF(Q497=1,G497,0)</f>
        <v/>
      </c>
      <c r="U497" s="170" t="n">
        <v>1</v>
      </c>
    </row>
    <row r="498">
      <c r="A498" s="54" t="inlineStr">
        <is>
          <t>US DC S4</t>
        </is>
      </c>
      <c r="B498" s="54" t="inlineStr">
        <is>
          <t>US</t>
        </is>
      </c>
      <c r="C498" s="54" t="inlineStr">
        <is>
          <t>B0BG22FCVJ</t>
        </is>
      </c>
      <c r="D498" s="54" t="inlineStr">
        <is>
          <t>SATIN-ROSEWOOD-TWIN</t>
        </is>
      </c>
      <c r="E498" s="54" t="inlineStr">
        <is>
          <t>Twin</t>
        </is>
      </c>
      <c r="F498" s="54" t="inlineStr">
        <is>
          <t>Rosewood</t>
        </is>
      </c>
      <c r="G498" s="55" t="n">
        <v>8</v>
      </c>
      <c r="H498" s="167" t="n">
        <v>132.75</v>
      </c>
      <c r="I498" s="167" t="n">
        <v>0</v>
      </c>
      <c r="J498" s="168">
        <f>IF(AND(N(G498)&gt;0,N(H498)+N(I498)&gt;0),(H498+I498)*U498/G498,"")</f>
        <v/>
      </c>
      <c r="K498" s="167" t="n">
        <v>27.95</v>
      </c>
      <c r="L498" s="167" t="n">
        <v>23.76</v>
      </c>
      <c r="M498" s="54" t="inlineStr">
        <is>
          <t>Eligible</t>
        </is>
      </c>
      <c r="N498" s="168">
        <f>IF(OR(J498="",L498=""),"",L498-J498)</f>
        <v/>
      </c>
      <c r="O498" s="169">
        <f>IF(OR(J498="",L498=""),"",L498/J498-1)</f>
        <v/>
      </c>
      <c r="P498" s="169">
        <f>IF(OR(J498="",K498=""),"",K498/J498-1)</f>
        <v/>
      </c>
      <c r="Q498" s="54">
        <f>IF(AND(ISNUMBER(J498),ISNUMBER(L498)),1,0)</f>
        <v/>
      </c>
      <c r="R498" s="69">
        <f>IF(Q498=1,G498*L498,0)</f>
        <v/>
      </c>
      <c r="S498" s="69">
        <f>IF(Q498=1,(H498+I498)*U498,0)</f>
        <v/>
      </c>
      <c r="T498" s="59">
        <f>IF(Q498=1,G498,0)</f>
        <v/>
      </c>
      <c r="U498" s="170" t="n">
        <v>1</v>
      </c>
    </row>
    <row r="499">
      <c r="A499" s="54" t="inlineStr">
        <is>
          <t>US DC S4</t>
        </is>
      </c>
      <c r="B499" s="54" t="inlineStr">
        <is>
          <t>US</t>
        </is>
      </c>
      <c r="C499" s="54" t="inlineStr">
        <is>
          <t>B0CQRYL8Z4</t>
        </is>
      </c>
      <c r="D499" s="54" t="inlineStr">
        <is>
          <t>SATIN-3PC-TWIN-SAGE GREEN</t>
        </is>
      </c>
      <c r="E499" s="54" t="inlineStr">
        <is>
          <t>Twin</t>
        </is>
      </c>
      <c r="F499" s="54" t="inlineStr">
        <is>
          <t>Sage Green</t>
        </is>
      </c>
      <c r="G499" s="55" t="n">
        <v>8</v>
      </c>
      <c r="H499" s="167" t="n">
        <v>223.6</v>
      </c>
      <c r="I499" s="167" t="n">
        <v>0</v>
      </c>
      <c r="J499" s="168">
        <f>IF(AND(N(G499)&gt;0,N(H499)+N(I499)&gt;0),(H499+I499)*U499/G499,"")</f>
        <v/>
      </c>
      <c r="K499" s="167" t="n">
        <v>27.95</v>
      </c>
      <c r="L499" s="167" t="n">
        <v>25.16</v>
      </c>
      <c r="M499" s="54" t="inlineStr">
        <is>
          <t>Eligible</t>
        </is>
      </c>
      <c r="N499" s="168">
        <f>IF(OR(J499="",L499=""),"",L499-J499)</f>
        <v/>
      </c>
      <c r="O499" s="169">
        <f>IF(OR(J499="",L499=""),"",L499/J499-1)</f>
        <v/>
      </c>
      <c r="P499" s="169">
        <f>IF(OR(J499="",K499=""),"",K499/J499-1)</f>
        <v/>
      </c>
      <c r="Q499" s="54">
        <f>IF(AND(ISNUMBER(J499),ISNUMBER(L499)),1,0)</f>
        <v/>
      </c>
      <c r="R499" s="69">
        <f>IF(Q499=1,G499*L499,0)</f>
        <v/>
      </c>
      <c r="S499" s="69">
        <f>IF(Q499=1,(H499+I499)*U499,0)</f>
        <v/>
      </c>
      <c r="T499" s="59">
        <f>IF(Q499=1,G499,0)</f>
        <v/>
      </c>
      <c r="U499" s="170" t="n">
        <v>1</v>
      </c>
    </row>
    <row r="500">
      <c r="A500" s="54" t="inlineStr">
        <is>
          <t>US DC S4</t>
        </is>
      </c>
      <c r="B500" s="54" t="inlineStr">
        <is>
          <t>US</t>
        </is>
      </c>
      <c r="C500" s="54" t="inlineStr">
        <is>
          <t>B0BG21MMW9</t>
        </is>
      </c>
      <c r="D500" s="54" t="inlineStr">
        <is>
          <t>SATIN-SEA-TEAL-TWIN</t>
        </is>
      </c>
      <c r="E500" s="54" t="inlineStr">
        <is>
          <t>Twin</t>
        </is>
      </c>
      <c r="F500" s="54" t="inlineStr">
        <is>
          <t>Sea Teal</t>
        </is>
      </c>
      <c r="G500" s="55" t="n">
        <v>8</v>
      </c>
      <c r="H500" s="167" t="n">
        <v>212.4</v>
      </c>
      <c r="I500" s="167" t="n">
        <v>0</v>
      </c>
      <c r="J500" s="168">
        <f>IF(AND(N(G500)&gt;0,N(H500)+N(I500)&gt;0),(H500+I500)*U500/G500,"")</f>
        <v/>
      </c>
      <c r="K500" s="167" t="n">
        <v>27.95</v>
      </c>
      <c r="L500" s="167" t="n">
        <v>20.96</v>
      </c>
      <c r="M500" s="54" t="inlineStr">
        <is>
          <t>Eligible</t>
        </is>
      </c>
      <c r="N500" s="168">
        <f>IF(OR(J500="",L500=""),"",L500-J500)</f>
        <v/>
      </c>
      <c r="O500" s="169">
        <f>IF(OR(J500="",L500=""),"",L500/J500-1)</f>
        <v/>
      </c>
      <c r="P500" s="169">
        <f>IF(OR(J500="",K500=""),"",K500/J500-1)</f>
        <v/>
      </c>
      <c r="Q500" s="54">
        <f>IF(AND(ISNUMBER(J500),ISNUMBER(L500)),1,0)</f>
        <v/>
      </c>
      <c r="R500" s="69">
        <f>IF(Q500=1,G500*L500,0)</f>
        <v/>
      </c>
      <c r="S500" s="69">
        <f>IF(Q500=1,(H500+I500)*U500,0)</f>
        <v/>
      </c>
      <c r="T500" s="59">
        <f>IF(Q500=1,G500,0)</f>
        <v/>
      </c>
      <c r="U500" s="170" t="n">
        <v>1</v>
      </c>
    </row>
    <row r="501">
      <c r="A501" s="54" t="inlineStr">
        <is>
          <t>US DC S4</t>
        </is>
      </c>
      <c r="B501" s="54" t="inlineStr">
        <is>
          <t>US</t>
        </is>
      </c>
      <c r="C501" s="54" t="inlineStr">
        <is>
          <t>B0DBQZWWHB</t>
        </is>
      </c>
      <c r="D501" s="54" t="inlineStr">
        <is>
          <t>SATIN-4PCS-FULL-STRIPE-PINK</t>
        </is>
      </c>
      <c r="E501" s="54" t="inlineStr">
        <is>
          <t>Full</t>
        </is>
      </c>
      <c r="F501" s="54" t="inlineStr">
        <is>
          <t>Striped Pink</t>
        </is>
      </c>
      <c r="G501" s="55" t="n">
        <v>7</v>
      </c>
      <c r="H501" s="167" t="n">
        <v>178.22</v>
      </c>
      <c r="I501" s="167" t="n">
        <v>0</v>
      </c>
      <c r="J501" s="168">
        <f>IF(AND(N(G501)&gt;0,N(H501)+N(I501)&gt;0),(H501+I501)*U501/G501,"")</f>
        <v/>
      </c>
      <c r="K501" s="167" t="n">
        <v>29.95</v>
      </c>
      <c r="L501" s="167" t="n">
        <v>26.95</v>
      </c>
      <c r="M501" s="54" t="inlineStr">
        <is>
          <t>Eligible</t>
        </is>
      </c>
      <c r="N501" s="168">
        <f>IF(OR(J501="",L501=""),"",L501-J501)</f>
        <v/>
      </c>
      <c r="O501" s="169">
        <f>IF(OR(J501="",L501=""),"",L501/J501-1)</f>
        <v/>
      </c>
      <c r="P501" s="169">
        <f>IF(OR(J501="",K501=""),"",K501/J501-1)</f>
        <v/>
      </c>
      <c r="Q501" s="54">
        <f>IF(AND(ISNUMBER(J501),ISNUMBER(L501)),1,0)</f>
        <v/>
      </c>
      <c r="R501" s="69">
        <f>IF(Q501=1,G501*L501,0)</f>
        <v/>
      </c>
      <c r="S501" s="69">
        <f>IF(Q501=1,(H501+I501)*U501,0)</f>
        <v/>
      </c>
      <c r="T501" s="59">
        <f>IF(Q501=1,G501,0)</f>
        <v/>
      </c>
      <c r="U501" s="170" t="n">
        <v>1</v>
      </c>
    </row>
    <row r="502">
      <c r="A502" s="54" t="inlineStr">
        <is>
          <t>US DC S4</t>
        </is>
      </c>
      <c r="B502" s="54" t="inlineStr">
        <is>
          <t>US</t>
        </is>
      </c>
      <c r="C502" s="54" t="inlineStr">
        <is>
          <t>B0BZPV4LYC</t>
        </is>
      </c>
      <c r="D502" s="54" t="inlineStr">
        <is>
          <t>SATIN-TAUPE-FULL</t>
        </is>
      </c>
      <c r="E502" s="54" t="inlineStr">
        <is>
          <t>Full</t>
        </is>
      </c>
      <c r="F502" s="54" t="inlineStr">
        <is>
          <t>Taupe</t>
        </is>
      </c>
      <c r="G502" s="55" t="n">
        <v>7</v>
      </c>
      <c r="H502" s="167" t="n">
        <v>199.15</v>
      </c>
      <c r="I502" s="167" t="n">
        <v>0</v>
      </c>
      <c r="J502" s="168">
        <f>IF(AND(N(G502)&gt;0,N(H502)+N(I502)&gt;0),(H502+I502)*U502/G502,"")</f>
        <v/>
      </c>
      <c r="K502" s="167" t="n">
        <v>29.95</v>
      </c>
      <c r="L502" s="167" t="n">
        <v>25.45</v>
      </c>
      <c r="M502" s="54" t="inlineStr">
        <is>
          <t>Eligible</t>
        </is>
      </c>
      <c r="N502" s="168">
        <f>IF(OR(J502="",L502=""),"",L502-J502)</f>
        <v/>
      </c>
      <c r="O502" s="169">
        <f>IF(OR(J502="",L502=""),"",L502/J502-1)</f>
        <v/>
      </c>
      <c r="P502" s="169">
        <f>IF(OR(J502="",K502=""),"",K502/J502-1)</f>
        <v/>
      </c>
      <c r="Q502" s="54">
        <f>IF(AND(ISNUMBER(J502),ISNUMBER(L502)),1,0)</f>
        <v/>
      </c>
      <c r="R502" s="69">
        <f>IF(Q502=1,G502*L502,0)</f>
        <v/>
      </c>
      <c r="S502" s="69">
        <f>IF(Q502=1,(H502+I502)*U502,0)</f>
        <v/>
      </c>
      <c r="T502" s="59">
        <f>IF(Q502=1,G502,0)</f>
        <v/>
      </c>
      <c r="U502" s="170" t="n">
        <v>1</v>
      </c>
    </row>
    <row r="503">
      <c r="A503" s="54" t="inlineStr">
        <is>
          <t>US DC S4</t>
        </is>
      </c>
      <c r="B503" s="54" t="inlineStr">
        <is>
          <t>US</t>
        </is>
      </c>
      <c r="C503" s="54" t="inlineStr">
        <is>
          <t>B09G6JGMY9</t>
        </is>
      </c>
      <c r="D503" s="54" t="inlineStr">
        <is>
          <t>SATIN-STRIPE-KING-BLUE</t>
        </is>
      </c>
      <c r="E503" s="54" t="inlineStr">
        <is>
          <t>King</t>
        </is>
      </c>
      <c r="F503" s="54" t="inlineStr">
        <is>
          <t>Striped Blue</t>
        </is>
      </c>
      <c r="G503" s="55" t="n">
        <v>7</v>
      </c>
      <c r="H503" s="167" t="n">
        <v>225.75</v>
      </c>
      <c r="I503" s="167" t="n">
        <v>0</v>
      </c>
      <c r="J503" s="168">
        <f>IF(AND(N(G503)&gt;0,N(H503)+N(I503)&gt;0),(H503+I503)*U503/G503,"")</f>
        <v/>
      </c>
      <c r="K503" s="167" t="n">
        <v>33.95</v>
      </c>
      <c r="L503" s="167" t="n"/>
      <c r="M503" s="54" t="inlineStr">
        <is>
          <t>Out of stock</t>
        </is>
      </c>
      <c r="N503" s="168">
        <f>IF(OR(J503="",L503=""),"",L503-J503)</f>
        <v/>
      </c>
      <c r="O503" s="169">
        <f>IF(OR(J503="",L503=""),"",L503/J503-1)</f>
        <v/>
      </c>
      <c r="P503" s="169">
        <f>IF(OR(J503="",K503=""),"",K503/J503-1)</f>
        <v/>
      </c>
      <c r="Q503" s="54">
        <f>IF(AND(ISNUMBER(J503),ISNUMBER(L503)),1,0)</f>
        <v/>
      </c>
      <c r="R503" s="69">
        <f>IF(Q503=1,G503*L503,0)</f>
        <v/>
      </c>
      <c r="S503" s="69">
        <f>IF(Q503=1,(H503+I503)*U503,0)</f>
        <v/>
      </c>
      <c r="T503" s="59">
        <f>IF(Q503=1,G503,0)</f>
        <v/>
      </c>
      <c r="U503" s="170" t="n">
        <v>1</v>
      </c>
    </row>
    <row r="504">
      <c r="A504" s="54" t="inlineStr">
        <is>
          <t>US DC S4</t>
        </is>
      </c>
      <c r="B504" s="54" t="inlineStr">
        <is>
          <t>US</t>
        </is>
      </c>
      <c r="C504" s="54" t="inlineStr">
        <is>
          <t>B09G6JWZCZ</t>
        </is>
      </c>
      <c r="D504" s="54" t="inlineStr">
        <is>
          <t>SATIN-STRIPE-KING-PURPLE</t>
        </is>
      </c>
      <c r="E504" s="54" t="inlineStr">
        <is>
          <t>King</t>
        </is>
      </c>
      <c r="F504" s="54" t="inlineStr">
        <is>
          <t>Striped Purple</t>
        </is>
      </c>
      <c r="G504" s="55" t="n">
        <v>7</v>
      </c>
      <c r="H504" s="167" t="n">
        <v>225.75</v>
      </c>
      <c r="I504" s="167" t="n">
        <v>0</v>
      </c>
      <c r="J504" s="168">
        <f>IF(AND(N(G504)&gt;0,N(H504)+N(I504)&gt;0),(H504+I504)*U504/G504,"")</f>
        <v/>
      </c>
      <c r="K504" s="167" t="n">
        <v>33.95</v>
      </c>
      <c r="L504" s="167" t="n"/>
      <c r="M504" s="54" t="inlineStr">
        <is>
          <t>Out of stock</t>
        </is>
      </c>
      <c r="N504" s="168">
        <f>IF(OR(J504="",L504=""),"",L504-J504)</f>
        <v/>
      </c>
      <c r="O504" s="169">
        <f>IF(OR(J504="",L504=""),"",L504/J504-1)</f>
        <v/>
      </c>
      <c r="P504" s="169">
        <f>IF(OR(J504="",K504=""),"",K504/J504-1)</f>
        <v/>
      </c>
      <c r="Q504" s="54">
        <f>IF(AND(ISNUMBER(J504),ISNUMBER(L504)),1,0)</f>
        <v/>
      </c>
      <c r="R504" s="69">
        <f>IF(Q504=1,G504*L504,0)</f>
        <v/>
      </c>
      <c r="S504" s="69">
        <f>IF(Q504=1,(H504+I504)*U504,0)</f>
        <v/>
      </c>
      <c r="T504" s="59">
        <f>IF(Q504=1,G504,0)</f>
        <v/>
      </c>
      <c r="U504" s="170" t="n">
        <v>1</v>
      </c>
    </row>
    <row r="505">
      <c r="A505" s="54" t="inlineStr">
        <is>
          <t>US DC S4</t>
        </is>
      </c>
      <c r="B505" s="54" t="inlineStr">
        <is>
          <t>US</t>
        </is>
      </c>
      <c r="C505" s="54" t="inlineStr">
        <is>
          <t>B0CQRY5N4Q</t>
        </is>
      </c>
      <c r="D505" s="54" t="inlineStr">
        <is>
          <t>SATIN-3PC-TWIN-DARK GREEN</t>
        </is>
      </c>
      <c r="E505" s="54" t="inlineStr">
        <is>
          <t>Twin</t>
        </is>
      </c>
      <c r="F505" s="54" t="inlineStr">
        <is>
          <t>Dark Green</t>
        </is>
      </c>
      <c r="G505" s="55" t="n">
        <v>7</v>
      </c>
      <c r="H505" s="167" t="n">
        <v>185.85</v>
      </c>
      <c r="I505" s="167" t="n">
        <v>0</v>
      </c>
      <c r="J505" s="168">
        <f>IF(AND(N(G505)&gt;0,N(H505)+N(I505)&gt;0),(H505+I505)*U505/G505,"")</f>
        <v/>
      </c>
      <c r="K505" s="167" t="n">
        <v>27.95</v>
      </c>
      <c r="L505" s="167" t="n">
        <v>23.76</v>
      </c>
      <c r="M505" s="54" t="inlineStr">
        <is>
          <t>Eligible</t>
        </is>
      </c>
      <c r="N505" s="168">
        <f>IF(OR(J505="",L505=""),"",L505-J505)</f>
        <v/>
      </c>
      <c r="O505" s="169">
        <f>IF(OR(J505="",L505=""),"",L505/J505-1)</f>
        <v/>
      </c>
      <c r="P505" s="169">
        <f>IF(OR(J505="",K505=""),"",K505/J505-1)</f>
        <v/>
      </c>
      <c r="Q505" s="54">
        <f>IF(AND(ISNUMBER(J505),ISNUMBER(L505)),1,0)</f>
        <v/>
      </c>
      <c r="R505" s="69">
        <f>IF(Q505=1,G505*L505,0)</f>
        <v/>
      </c>
      <c r="S505" s="69">
        <f>IF(Q505=1,(H505+I505)*U505,0)</f>
        <v/>
      </c>
      <c r="T505" s="59">
        <f>IF(Q505=1,G505,0)</f>
        <v/>
      </c>
      <c r="U505" s="170" t="n">
        <v>1</v>
      </c>
    </row>
    <row r="506">
      <c r="A506" s="54" t="inlineStr">
        <is>
          <t>US DC S4</t>
        </is>
      </c>
      <c r="B506" s="54" t="inlineStr">
        <is>
          <t>US</t>
        </is>
      </c>
      <c r="C506" s="54" t="inlineStr">
        <is>
          <t>B08KR9THFG</t>
        </is>
      </c>
      <c r="D506" s="54" t="inlineStr">
        <is>
          <t>SATIN-GOLD-TWIN</t>
        </is>
      </c>
      <c r="E506" s="54" t="inlineStr">
        <is>
          <t>Twin</t>
        </is>
      </c>
      <c r="F506" s="54" t="inlineStr">
        <is>
          <t>Gold</t>
        </is>
      </c>
      <c r="G506" s="55" t="n">
        <v>7</v>
      </c>
      <c r="H506" s="167" t="n">
        <v>185.85</v>
      </c>
      <c r="I506" s="167" t="n">
        <v>0</v>
      </c>
      <c r="J506" s="168">
        <f>IF(AND(N(G506)&gt;0,N(H506)+N(I506)&gt;0),(H506+I506)*U506/G506,"")</f>
        <v/>
      </c>
      <c r="K506" s="167" t="n">
        <v>27.95</v>
      </c>
      <c r="L506" s="167" t="n">
        <v>25.16</v>
      </c>
      <c r="M506" s="54" t="inlineStr">
        <is>
          <t>Eligible</t>
        </is>
      </c>
      <c r="N506" s="168">
        <f>IF(OR(J506="",L506=""),"",L506-J506)</f>
        <v/>
      </c>
      <c r="O506" s="169">
        <f>IF(OR(J506="",L506=""),"",L506/J506-1)</f>
        <v/>
      </c>
      <c r="P506" s="169">
        <f>IF(OR(J506="",K506=""),"",K506/J506-1)</f>
        <v/>
      </c>
      <c r="Q506" s="54">
        <f>IF(AND(ISNUMBER(J506),ISNUMBER(L506)),1,0)</f>
        <v/>
      </c>
      <c r="R506" s="69">
        <f>IF(Q506=1,G506*L506,0)</f>
        <v/>
      </c>
      <c r="S506" s="69">
        <f>IF(Q506=1,(H506+I506)*U506,0)</f>
        <v/>
      </c>
      <c r="T506" s="59">
        <f>IF(Q506=1,G506,0)</f>
        <v/>
      </c>
      <c r="U506" s="170" t="n">
        <v>1</v>
      </c>
    </row>
    <row r="507">
      <c r="A507" s="54" t="inlineStr">
        <is>
          <t>US DC S4</t>
        </is>
      </c>
      <c r="B507" s="54" t="inlineStr">
        <is>
          <t>US</t>
        </is>
      </c>
      <c r="C507" s="54" t="inlineStr">
        <is>
          <t>B08KRS1K6H</t>
        </is>
      </c>
      <c r="D507" s="54" t="inlineStr">
        <is>
          <t>SATIN-WHITE-TWIN</t>
        </is>
      </c>
      <c r="E507" s="54" t="inlineStr">
        <is>
          <t>Twin</t>
        </is>
      </c>
      <c r="F507" s="54" t="inlineStr">
        <is>
          <t>White</t>
        </is>
      </c>
      <c r="G507" s="55" t="n">
        <v>7</v>
      </c>
      <c r="H507" s="167" t="n">
        <v>185.85</v>
      </c>
      <c r="I507" s="167" t="n">
        <v>0</v>
      </c>
      <c r="J507" s="168">
        <f>IF(AND(N(G507)&gt;0,N(H507)+N(I507)&gt;0),(H507+I507)*U507/G507,"")</f>
        <v/>
      </c>
      <c r="K507" s="167" t="n">
        <v>27.95</v>
      </c>
      <c r="L507" s="167" t="n">
        <v>24.95</v>
      </c>
      <c r="M507" s="54" t="inlineStr">
        <is>
          <t>Eligible</t>
        </is>
      </c>
      <c r="N507" s="168">
        <f>IF(OR(J507="",L507=""),"",L507-J507)</f>
        <v/>
      </c>
      <c r="O507" s="169">
        <f>IF(OR(J507="",L507=""),"",L507/J507-1)</f>
        <v/>
      </c>
      <c r="P507" s="169">
        <f>IF(OR(J507="",K507=""),"",K507/J507-1)</f>
        <v/>
      </c>
      <c r="Q507" s="54">
        <f>IF(AND(ISNUMBER(J507),ISNUMBER(L507)),1,0)</f>
        <v/>
      </c>
      <c r="R507" s="69">
        <f>IF(Q507=1,G507*L507,0)</f>
        <v/>
      </c>
      <c r="S507" s="69">
        <f>IF(Q507=1,(H507+I507)*U507,0)</f>
        <v/>
      </c>
      <c r="T507" s="59">
        <f>IF(Q507=1,G507,0)</f>
        <v/>
      </c>
      <c r="U507" s="170" t="n">
        <v>1</v>
      </c>
    </row>
    <row r="508">
      <c r="A508" s="54" t="inlineStr">
        <is>
          <t>US DC S4</t>
        </is>
      </c>
      <c r="B508" s="54" t="inlineStr">
        <is>
          <t>US</t>
        </is>
      </c>
      <c r="C508" s="54" t="inlineStr">
        <is>
          <t>B0CQSJZV7C</t>
        </is>
      </c>
      <c r="D508" s="54" t="inlineStr">
        <is>
          <t>SATIN-4PC-FULL-BURNT ORANGE</t>
        </is>
      </c>
      <c r="E508" s="54" t="inlineStr">
        <is>
          <t>Full</t>
        </is>
      </c>
      <c r="F508" s="54" t="inlineStr">
        <is>
          <t>Burnt Orange</t>
        </is>
      </c>
      <c r="G508" s="55" t="n">
        <v>6</v>
      </c>
      <c r="H508" s="167" t="n">
        <v>170.7</v>
      </c>
      <c r="I508" s="167" t="n">
        <v>0</v>
      </c>
      <c r="J508" s="168">
        <f>IF(AND(N(G508)&gt;0,N(H508)+N(I508)&gt;0),(H508+I508)*U508/G508,"")</f>
        <v/>
      </c>
      <c r="K508" s="167" t="n">
        <v>29.95</v>
      </c>
      <c r="L508" s="167" t="n"/>
      <c r="M508" s="54" t="inlineStr">
        <is>
          <t>Out of stock</t>
        </is>
      </c>
      <c r="N508" s="168">
        <f>IF(OR(J508="",L508=""),"",L508-J508)</f>
        <v/>
      </c>
      <c r="O508" s="169">
        <f>IF(OR(J508="",L508=""),"",L508/J508-1)</f>
        <v/>
      </c>
      <c r="P508" s="169">
        <f>IF(OR(J508="",K508=""),"",K508/J508-1)</f>
        <v/>
      </c>
      <c r="Q508" s="54">
        <f>IF(AND(ISNUMBER(J508),ISNUMBER(L508)),1,0)</f>
        <v/>
      </c>
      <c r="R508" s="69">
        <f>IF(Q508=1,G508*L508,0)</f>
        <v/>
      </c>
      <c r="S508" s="69">
        <f>IF(Q508=1,(H508+I508)*U508,0)</f>
        <v/>
      </c>
      <c r="T508" s="59">
        <f>IF(Q508=1,G508,0)</f>
        <v/>
      </c>
      <c r="U508" s="170" t="n">
        <v>1</v>
      </c>
    </row>
    <row r="509">
      <c r="A509" s="54" t="inlineStr">
        <is>
          <t>US DC S4</t>
        </is>
      </c>
      <c r="B509" s="54" t="inlineStr">
        <is>
          <t>US</t>
        </is>
      </c>
      <c r="C509" s="54" t="inlineStr">
        <is>
          <t>B0DBR1DWPP</t>
        </is>
      </c>
      <c r="D509" s="54" t="inlineStr">
        <is>
          <t>SATIN-4PCS-KING-ROSEWOOD</t>
        </is>
      </c>
      <c r="E509" s="54" t="inlineStr">
        <is>
          <t>King</t>
        </is>
      </c>
      <c r="F509" s="54" t="inlineStr">
        <is>
          <t>Rosewood</t>
        </is>
      </c>
      <c r="G509" s="55" t="n">
        <v>6</v>
      </c>
      <c r="H509" s="167" t="n">
        <v>193.5</v>
      </c>
      <c r="I509" s="167" t="n">
        <v>0</v>
      </c>
      <c r="J509" s="168">
        <f>IF(AND(N(G509)&gt;0,N(H509)+N(I509)&gt;0),(H509+I509)*U509/G509,"")</f>
        <v/>
      </c>
      <c r="K509" s="167" t="n">
        <v>33.95</v>
      </c>
      <c r="L509" s="167" t="n">
        <v>25.45</v>
      </c>
      <c r="M509" s="54" t="inlineStr">
        <is>
          <t>Manual price</t>
        </is>
      </c>
      <c r="N509" s="168">
        <f>IF(OR(J509="",L509=""),"",L509-J509)</f>
        <v/>
      </c>
      <c r="O509" s="169">
        <f>IF(OR(J509="",L509=""),"",L509/J509-1)</f>
        <v/>
      </c>
      <c r="P509" s="169">
        <f>IF(OR(J509="",K509=""),"",K509/J509-1)</f>
        <v/>
      </c>
      <c r="Q509" s="54">
        <f>IF(AND(ISNUMBER(J509),ISNUMBER(L509)),1,0)</f>
        <v/>
      </c>
      <c r="R509" s="69">
        <f>IF(Q509=1,G509*L509,0)</f>
        <v/>
      </c>
      <c r="S509" s="69">
        <f>IF(Q509=1,(H509+I509)*U509,0)</f>
        <v/>
      </c>
      <c r="T509" s="59">
        <f>IF(Q509=1,G509,0)</f>
        <v/>
      </c>
      <c r="U509" s="170" t="n">
        <v>1</v>
      </c>
    </row>
    <row r="510">
      <c r="A510" s="54" t="inlineStr">
        <is>
          <t>US DC S4</t>
        </is>
      </c>
      <c r="B510" s="54" t="inlineStr">
        <is>
          <t>US</t>
        </is>
      </c>
      <c r="C510" s="54" t="inlineStr">
        <is>
          <t>B09G6LBQHH</t>
        </is>
      </c>
      <c r="D510" s="54" t="inlineStr">
        <is>
          <t>SATIN-STRIPE-KING-PINK</t>
        </is>
      </c>
      <c r="E510" s="54" t="inlineStr">
        <is>
          <t>King</t>
        </is>
      </c>
      <c r="F510" s="54" t="inlineStr">
        <is>
          <t>Striped Pink</t>
        </is>
      </c>
      <c r="G510" s="55" t="n">
        <v>6</v>
      </c>
      <c r="H510" s="167" t="n">
        <v>193.5</v>
      </c>
      <c r="I510" s="167" t="n">
        <v>0</v>
      </c>
      <c r="J510" s="168">
        <f>IF(AND(N(G510)&gt;0,N(H510)+N(I510)&gt;0),(H510+I510)*U510/G510,"")</f>
        <v/>
      </c>
      <c r="K510" s="167" t="n">
        <v>33.95</v>
      </c>
      <c r="L510" s="167" t="n">
        <v>32.25</v>
      </c>
      <c r="M510" s="54" t="inlineStr">
        <is>
          <t>Eligible</t>
        </is>
      </c>
      <c r="N510" s="168">
        <f>IF(OR(J510="",L510=""),"",L510-J510)</f>
        <v/>
      </c>
      <c r="O510" s="169">
        <f>IF(OR(J510="",L510=""),"",L510/J510-1)</f>
        <v/>
      </c>
      <c r="P510" s="169">
        <f>IF(OR(J510="",K510=""),"",K510/J510-1)</f>
        <v/>
      </c>
      <c r="Q510" s="54">
        <f>IF(AND(ISNUMBER(J510),ISNUMBER(L510)),1,0)</f>
        <v/>
      </c>
      <c r="R510" s="69">
        <f>IF(Q510=1,G510*L510,0)</f>
        <v/>
      </c>
      <c r="S510" s="69">
        <f>IF(Q510=1,(H510+I510)*U510,0)</f>
        <v/>
      </c>
      <c r="T510" s="59">
        <f>IF(Q510=1,G510,0)</f>
        <v/>
      </c>
      <c r="U510" s="170" t="n">
        <v>1</v>
      </c>
    </row>
    <row r="511">
      <c r="A511" s="54" t="inlineStr">
        <is>
          <t>US DC S4</t>
        </is>
      </c>
      <c r="B511" s="54" t="inlineStr">
        <is>
          <t>US</t>
        </is>
      </c>
      <c r="C511" s="54" t="inlineStr">
        <is>
          <t>B0BZPVY39R</t>
        </is>
      </c>
      <c r="D511" s="54" t="inlineStr">
        <is>
          <t>SATIN-CHAMPAGNE-TWIN</t>
        </is>
      </c>
      <c r="E511" s="54" t="inlineStr">
        <is>
          <t>Twin</t>
        </is>
      </c>
      <c r="F511" s="54" t="inlineStr">
        <is>
          <t>Champagne</t>
        </is>
      </c>
      <c r="G511" s="55" t="n">
        <v>5</v>
      </c>
      <c r="H511" s="167" t="n">
        <v>132.75</v>
      </c>
      <c r="I511" s="167" t="n">
        <v>0</v>
      </c>
      <c r="J511" s="168">
        <f>IF(AND(N(G511)&gt;0,N(H511)+N(I511)&gt;0),(H511+I511)*U511/G511,"")</f>
        <v/>
      </c>
      <c r="K511" s="167" t="n">
        <v>27.95</v>
      </c>
      <c r="L511" s="167" t="n">
        <v>24.95</v>
      </c>
      <c r="M511" s="54" t="inlineStr">
        <is>
          <t>Eligible</t>
        </is>
      </c>
      <c r="N511" s="168">
        <f>IF(OR(J511="",L511=""),"",L511-J511)</f>
        <v/>
      </c>
      <c r="O511" s="169">
        <f>IF(OR(J511="",L511=""),"",L511/J511-1)</f>
        <v/>
      </c>
      <c r="P511" s="169">
        <f>IF(OR(J511="",K511=""),"",K511/J511-1)</f>
        <v/>
      </c>
      <c r="Q511" s="54">
        <f>IF(AND(ISNUMBER(J511),ISNUMBER(L511)),1,0)</f>
        <v/>
      </c>
      <c r="R511" s="69">
        <f>IF(Q511=1,G511*L511,0)</f>
        <v/>
      </c>
      <c r="S511" s="69">
        <f>IF(Q511=1,(H511+I511)*U511,0)</f>
        <v/>
      </c>
      <c r="T511" s="59">
        <f>IF(Q511=1,G511,0)</f>
        <v/>
      </c>
      <c r="U511" s="170" t="n">
        <v>1</v>
      </c>
    </row>
    <row r="512">
      <c r="A512" s="54" t="inlineStr">
        <is>
          <t>US DC S4</t>
        </is>
      </c>
      <c r="B512" s="54" t="inlineStr">
        <is>
          <t>US</t>
        </is>
      </c>
      <c r="C512" s="54" t="inlineStr">
        <is>
          <t>B08KR7V6TL</t>
        </is>
      </c>
      <c r="D512" s="54" t="inlineStr">
        <is>
          <t>SATIN-RED-TWIN</t>
        </is>
      </c>
      <c r="E512" s="54" t="inlineStr">
        <is>
          <t>Twin</t>
        </is>
      </c>
      <c r="F512" s="54" t="inlineStr">
        <is>
          <t>Red</t>
        </is>
      </c>
      <c r="G512" s="55" t="n">
        <v>5</v>
      </c>
      <c r="H512" s="167" t="n">
        <v>132.75</v>
      </c>
      <c r="I512" s="167" t="n">
        <v>0</v>
      </c>
      <c r="J512" s="168">
        <f>IF(AND(N(G512)&gt;0,N(H512)+N(I512)&gt;0),(H512+I512)*U512/G512,"")</f>
        <v/>
      </c>
      <c r="K512" s="167" t="n">
        <v>27.95</v>
      </c>
      <c r="L512" s="167" t="n">
        <v>26.55</v>
      </c>
      <c r="M512" s="54" t="inlineStr">
        <is>
          <t>Eligible</t>
        </is>
      </c>
      <c r="N512" s="168">
        <f>IF(OR(J512="",L512=""),"",L512-J512)</f>
        <v/>
      </c>
      <c r="O512" s="169">
        <f>IF(OR(J512="",L512=""),"",L512/J512-1)</f>
        <v/>
      </c>
      <c r="P512" s="169">
        <f>IF(OR(J512="",K512=""),"",K512/J512-1)</f>
        <v/>
      </c>
      <c r="Q512" s="54">
        <f>IF(AND(ISNUMBER(J512),ISNUMBER(L512)),1,0)</f>
        <v/>
      </c>
      <c r="R512" s="69">
        <f>IF(Q512=1,G512*L512,0)</f>
        <v/>
      </c>
      <c r="S512" s="69">
        <f>IF(Q512=1,(H512+I512)*U512,0)</f>
        <v/>
      </c>
      <c r="T512" s="59">
        <f>IF(Q512=1,G512,0)</f>
        <v/>
      </c>
      <c r="U512" s="170" t="n">
        <v>1</v>
      </c>
    </row>
    <row r="513">
      <c r="A513" s="54" t="inlineStr">
        <is>
          <t>US DC S4</t>
        </is>
      </c>
      <c r="B513" s="54" t="inlineStr">
        <is>
          <t>US</t>
        </is>
      </c>
      <c r="C513" s="54" t="inlineStr">
        <is>
          <t>B09G6JK5ZL</t>
        </is>
      </c>
      <c r="D513" s="54" t="inlineStr">
        <is>
          <t>SATIN-STRIPE-TWIN-WHITE</t>
        </is>
      </c>
      <c r="E513" s="54" t="inlineStr">
        <is>
          <t>Twin</t>
        </is>
      </c>
      <c r="F513" s="54" t="inlineStr">
        <is>
          <t>Striped White</t>
        </is>
      </c>
      <c r="G513" s="55" t="n">
        <v>5</v>
      </c>
      <c r="H513" s="167" t="n">
        <v>132.75</v>
      </c>
      <c r="I513" s="167" t="n">
        <v>0</v>
      </c>
      <c r="J513" s="168">
        <f>IF(AND(N(G513)&gt;0,N(H513)+N(I513)&gt;0),(H513+I513)*U513/G513,"")</f>
        <v/>
      </c>
      <c r="K513" s="167" t="n">
        <v>27.95</v>
      </c>
      <c r="L513" s="167" t="n">
        <v>27.95</v>
      </c>
      <c r="M513" s="54" t="inlineStr">
        <is>
          <t>Eligible</t>
        </is>
      </c>
      <c r="N513" s="168">
        <f>IF(OR(J513="",L513=""),"",L513-J513)</f>
        <v/>
      </c>
      <c r="O513" s="169">
        <f>IF(OR(J513="",L513=""),"",L513/J513-1)</f>
        <v/>
      </c>
      <c r="P513" s="169">
        <f>IF(OR(J513="",K513=""),"",K513/J513-1)</f>
        <v/>
      </c>
      <c r="Q513" s="54">
        <f>IF(AND(ISNUMBER(J513),ISNUMBER(L513)),1,0)</f>
        <v/>
      </c>
      <c r="R513" s="69">
        <f>IF(Q513=1,G513*L513,0)</f>
        <v/>
      </c>
      <c r="S513" s="69">
        <f>IF(Q513=1,(H513+I513)*U513,0)</f>
        <v/>
      </c>
      <c r="T513" s="59">
        <f>IF(Q513=1,G513,0)</f>
        <v/>
      </c>
      <c r="U513" s="170" t="n">
        <v>1</v>
      </c>
    </row>
    <row r="514">
      <c r="A514" s="54" t="inlineStr">
        <is>
          <t>US DC S4</t>
        </is>
      </c>
      <c r="B514" s="54" t="inlineStr">
        <is>
          <t>US</t>
        </is>
      </c>
      <c r="C514" s="54" t="inlineStr">
        <is>
          <t>B0839KG4VY</t>
        </is>
      </c>
      <c r="D514" s="54" t="inlineStr">
        <is>
          <t>SATIN-TWIN-BLUE</t>
        </is>
      </c>
      <c r="E514" s="54" t="inlineStr">
        <is>
          <t>Twin</t>
        </is>
      </c>
      <c r="F514" s="54" t="inlineStr">
        <is>
          <t>Blue</t>
        </is>
      </c>
      <c r="G514" s="55" t="n">
        <v>4</v>
      </c>
      <c r="H514" s="167" t="n">
        <v>106.2</v>
      </c>
      <c r="I514" s="167" t="n">
        <v>0</v>
      </c>
      <c r="J514" s="168">
        <f>IF(AND(N(G514)&gt;0,N(H514)+N(I514)&gt;0),(H514+I514)*U514/G514,"")</f>
        <v/>
      </c>
      <c r="K514" s="167" t="n">
        <v>27.95</v>
      </c>
      <c r="L514" s="167" t="n">
        <v>26.55</v>
      </c>
      <c r="M514" s="54" t="inlineStr">
        <is>
          <t>Eligible</t>
        </is>
      </c>
      <c r="N514" s="168">
        <f>IF(OR(J514="",L514=""),"",L514-J514)</f>
        <v/>
      </c>
      <c r="O514" s="169">
        <f>IF(OR(J514="",L514=""),"",L514/J514-1)</f>
        <v/>
      </c>
      <c r="P514" s="169">
        <f>IF(OR(J514="",K514=""),"",K514/J514-1)</f>
        <v/>
      </c>
      <c r="Q514" s="54">
        <f>IF(AND(ISNUMBER(J514),ISNUMBER(L514)),1,0)</f>
        <v/>
      </c>
      <c r="R514" s="69">
        <f>IF(Q514=1,G514*L514,0)</f>
        <v/>
      </c>
      <c r="S514" s="69">
        <f>IF(Q514=1,(H514+I514)*U514,0)</f>
        <v/>
      </c>
      <c r="T514" s="59">
        <f>IF(Q514=1,G514,0)</f>
        <v/>
      </c>
      <c r="U514" s="170" t="n">
        <v>1</v>
      </c>
    </row>
    <row r="515">
      <c r="A515" s="54" t="inlineStr">
        <is>
          <t>US DC S4</t>
        </is>
      </c>
      <c r="B515" s="54" t="inlineStr">
        <is>
          <t>US</t>
        </is>
      </c>
      <c r="C515" s="54" t="inlineStr">
        <is>
          <t>B0839M48YF</t>
        </is>
      </c>
      <c r="D515" s="54" t="inlineStr">
        <is>
          <t>SATIN-TWIN-PURPLE</t>
        </is>
      </c>
      <c r="E515" s="54" t="inlineStr">
        <is>
          <t>Twin</t>
        </is>
      </c>
      <c r="F515" s="54" t="inlineStr">
        <is>
          <t>Purple</t>
        </is>
      </c>
      <c r="G515" s="55" t="n">
        <v>4</v>
      </c>
      <c r="H515" s="167" t="n">
        <v>113.8</v>
      </c>
      <c r="I515" s="167" t="n">
        <v>0</v>
      </c>
      <c r="J515" s="168">
        <f>IF(AND(N(G515)&gt;0,N(H515)+N(I515)&gt;0),(H515+I515)*U515/G515,"")</f>
        <v/>
      </c>
      <c r="K515" s="167" t="n">
        <v>27.95</v>
      </c>
      <c r="L515" s="167" t="n">
        <v>24.95</v>
      </c>
      <c r="M515" s="54" t="inlineStr">
        <is>
          <t>Eligible</t>
        </is>
      </c>
      <c r="N515" s="168">
        <f>IF(OR(J515="",L515=""),"",L515-J515)</f>
        <v/>
      </c>
      <c r="O515" s="169">
        <f>IF(OR(J515="",L515=""),"",L515/J515-1)</f>
        <v/>
      </c>
      <c r="P515" s="169">
        <f>IF(OR(J515="",K515=""),"",K515/J515-1)</f>
        <v/>
      </c>
      <c r="Q515" s="54">
        <f>IF(AND(ISNUMBER(J515),ISNUMBER(L515)),1,0)</f>
        <v/>
      </c>
      <c r="R515" s="69">
        <f>IF(Q515=1,G515*L515,0)</f>
        <v/>
      </c>
      <c r="S515" s="69">
        <f>IF(Q515=1,(H515+I515)*U515,0)</f>
        <v/>
      </c>
      <c r="T515" s="59">
        <f>IF(Q515=1,G515,0)</f>
        <v/>
      </c>
      <c r="U515" s="170" t="n">
        <v>1</v>
      </c>
    </row>
    <row r="516">
      <c r="A516" s="54" t="inlineStr">
        <is>
          <t>US DC S4</t>
        </is>
      </c>
      <c r="B516" s="54" t="inlineStr">
        <is>
          <t>US</t>
        </is>
      </c>
      <c r="C516" s="54" t="inlineStr">
        <is>
          <t>B09G6M7WJ2</t>
        </is>
      </c>
      <c r="D516" s="54" t="inlineStr">
        <is>
          <t>SATIN-STRIPE-FULL-BLUE</t>
        </is>
      </c>
      <c r="E516" s="54" t="inlineStr">
        <is>
          <t>Full</t>
        </is>
      </c>
      <c r="F516" s="54" t="inlineStr">
        <is>
          <t>Striped Blue</t>
        </is>
      </c>
      <c r="G516" s="55" t="n">
        <v>3</v>
      </c>
      <c r="H516" s="167" t="n">
        <v>85.34999999999999</v>
      </c>
      <c r="I516" s="167" t="n">
        <v>0</v>
      </c>
      <c r="J516" s="168">
        <f>IF(AND(N(G516)&gt;0,N(H516)+N(I516)&gt;0),(H516+I516)*U516/G516,"")</f>
        <v/>
      </c>
      <c r="K516" s="167" t="n">
        <v>29.95</v>
      </c>
      <c r="L516" s="167" t="n">
        <v>22.92</v>
      </c>
      <c r="M516" s="54" t="inlineStr">
        <is>
          <t>Manual price</t>
        </is>
      </c>
      <c r="N516" s="168">
        <f>IF(OR(J516="",L516=""),"",L516-J516)</f>
        <v/>
      </c>
      <c r="O516" s="169">
        <f>IF(OR(J516="",L516=""),"",L516/J516-1)</f>
        <v/>
      </c>
      <c r="P516" s="169">
        <f>IF(OR(J516="",K516=""),"",K516/J516-1)</f>
        <v/>
      </c>
      <c r="Q516" s="54">
        <f>IF(AND(ISNUMBER(J516),ISNUMBER(L516)),1,0)</f>
        <v/>
      </c>
      <c r="R516" s="69">
        <f>IF(Q516=1,G516*L516,0)</f>
        <v/>
      </c>
      <c r="S516" s="69">
        <f>IF(Q516=1,(H516+I516)*U516,0)</f>
        <v/>
      </c>
      <c r="T516" s="59">
        <f>IF(Q516=1,G516,0)</f>
        <v/>
      </c>
      <c r="U516" s="170" t="n">
        <v>1</v>
      </c>
    </row>
    <row r="517">
      <c r="A517" s="54" t="inlineStr">
        <is>
          <t>US DC S4</t>
        </is>
      </c>
      <c r="B517" s="54" t="inlineStr">
        <is>
          <t>US</t>
        </is>
      </c>
      <c r="C517" s="54" t="inlineStr">
        <is>
          <t>B09G6LCV5J</t>
        </is>
      </c>
      <c r="D517" s="54" t="inlineStr">
        <is>
          <t>SATIN-STRIPE-FULL-GOLD</t>
        </is>
      </c>
      <c r="E517" s="54" t="inlineStr">
        <is>
          <t>Full</t>
        </is>
      </c>
      <c r="F517" s="54" t="inlineStr">
        <is>
          <t>Striped Gold</t>
        </is>
      </c>
      <c r="G517" s="55" t="n">
        <v>3</v>
      </c>
      <c r="H517" s="167" t="n">
        <v>85.34999999999999</v>
      </c>
      <c r="I517" s="167" t="n">
        <v>0</v>
      </c>
      <c r="J517" s="168">
        <f>IF(AND(N(G517)&gt;0,N(H517)+N(I517)&gt;0),(H517+I517)*U517/G517,"")</f>
        <v/>
      </c>
      <c r="K517" s="167" t="n">
        <v>29.95</v>
      </c>
      <c r="L517" s="167" t="n">
        <v>25.95</v>
      </c>
      <c r="M517" s="54" t="inlineStr">
        <is>
          <t>Eligible</t>
        </is>
      </c>
      <c r="N517" s="168">
        <f>IF(OR(J517="",L517=""),"",L517-J517)</f>
        <v/>
      </c>
      <c r="O517" s="169">
        <f>IF(OR(J517="",L517=""),"",L517/J517-1)</f>
        <v/>
      </c>
      <c r="P517" s="169">
        <f>IF(OR(J517="",K517=""),"",K517/J517-1)</f>
        <v/>
      </c>
      <c r="Q517" s="54">
        <f>IF(AND(ISNUMBER(J517),ISNUMBER(L517)),1,0)</f>
        <v/>
      </c>
      <c r="R517" s="69">
        <f>IF(Q517=1,G517*L517,0)</f>
        <v/>
      </c>
      <c r="S517" s="69">
        <f>IF(Q517=1,(H517+I517)*U517,0)</f>
        <v/>
      </c>
      <c r="T517" s="59">
        <f>IF(Q517=1,G517,0)</f>
        <v/>
      </c>
      <c r="U517" s="170" t="n">
        <v>1</v>
      </c>
    </row>
    <row r="518">
      <c r="A518" s="54" t="inlineStr">
        <is>
          <t>US DC S4</t>
        </is>
      </c>
      <c r="B518" s="54" t="inlineStr">
        <is>
          <t>US</t>
        </is>
      </c>
      <c r="C518" s="54" t="inlineStr">
        <is>
          <t>B09G6KRX7T</t>
        </is>
      </c>
      <c r="D518" s="54" t="inlineStr">
        <is>
          <t>SATIN-STRIPE-TWIN-PINK</t>
        </is>
      </c>
      <c r="E518" s="54" t="inlineStr">
        <is>
          <t>Twin</t>
        </is>
      </c>
      <c r="F518" s="54" t="inlineStr">
        <is>
          <t>Striped Pink</t>
        </is>
      </c>
      <c r="G518" s="55" t="n">
        <v>3</v>
      </c>
      <c r="H518" s="167" t="n">
        <v>79.65000000000001</v>
      </c>
      <c r="I518" s="167" t="n">
        <v>0</v>
      </c>
      <c r="J518" s="168">
        <f>IF(AND(N(G518)&gt;0,N(H518)+N(I518)&gt;0),(H518+I518)*U518/G518,"")</f>
        <v/>
      </c>
      <c r="K518" s="167" t="n">
        <v>27.95</v>
      </c>
      <c r="L518" s="167" t="n">
        <v>26.55</v>
      </c>
      <c r="M518" s="54" t="inlineStr">
        <is>
          <t>Eligible</t>
        </is>
      </c>
      <c r="N518" s="168">
        <f>IF(OR(J518="",L518=""),"",L518-J518)</f>
        <v/>
      </c>
      <c r="O518" s="169">
        <f>IF(OR(J518="",L518=""),"",L518/J518-1)</f>
        <v/>
      </c>
      <c r="P518" s="169">
        <f>IF(OR(J518="",K518=""),"",K518/J518-1)</f>
        <v/>
      </c>
      <c r="Q518" s="54">
        <f>IF(AND(ISNUMBER(J518),ISNUMBER(L518)),1,0)</f>
        <v/>
      </c>
      <c r="R518" s="69">
        <f>IF(Q518=1,G518*L518,0)</f>
        <v/>
      </c>
      <c r="S518" s="69">
        <f>IF(Q518=1,(H518+I518)*U518,0)</f>
        <v/>
      </c>
      <c r="T518" s="59">
        <f>IF(Q518=1,G518,0)</f>
        <v/>
      </c>
      <c r="U518" s="170" t="n">
        <v>1</v>
      </c>
    </row>
    <row r="519">
      <c r="A519" s="54" t="inlineStr">
        <is>
          <t>US DC S4</t>
        </is>
      </c>
      <c r="B519" s="54" t="inlineStr">
        <is>
          <t>US</t>
        </is>
      </c>
      <c r="C519" s="54" t="inlineStr">
        <is>
          <t>B09G6KKSK6</t>
        </is>
      </c>
      <c r="D519" s="54" t="inlineStr">
        <is>
          <t>SATIN-STRIPE-FULL-RED</t>
        </is>
      </c>
      <c r="E519" s="54" t="inlineStr">
        <is>
          <t>Full</t>
        </is>
      </c>
      <c r="F519" s="54" t="inlineStr">
        <is>
          <t>Striped Red</t>
        </is>
      </c>
      <c r="G519" s="55" t="n">
        <v>2</v>
      </c>
      <c r="H519" s="167" t="n">
        <v>56.9</v>
      </c>
      <c r="I519" s="167" t="n">
        <v>0</v>
      </c>
      <c r="J519" s="168">
        <f>IF(AND(N(G519)&gt;0,N(H519)+N(I519)&gt;0),(H519+I519)*U519/G519,"")</f>
        <v/>
      </c>
      <c r="K519" s="167" t="n">
        <v>29.95</v>
      </c>
      <c r="L519" s="167" t="n">
        <v>28.45</v>
      </c>
      <c r="M519" s="54" t="inlineStr">
        <is>
          <t>Eligible</t>
        </is>
      </c>
      <c r="N519" s="168">
        <f>IF(OR(J519="",L519=""),"",L519-J519)</f>
        <v/>
      </c>
      <c r="O519" s="169">
        <f>IF(OR(J519="",L519=""),"",L519/J519-1)</f>
        <v/>
      </c>
      <c r="P519" s="169">
        <f>IF(OR(J519="",K519=""),"",K519/J519-1)</f>
        <v/>
      </c>
      <c r="Q519" s="54">
        <f>IF(AND(ISNUMBER(J519),ISNUMBER(L519)),1,0)</f>
        <v/>
      </c>
      <c r="R519" s="69">
        <f>IF(Q519=1,G519*L519,0)</f>
        <v/>
      </c>
      <c r="S519" s="69">
        <f>IF(Q519=1,(H519+I519)*U519,0)</f>
        <v/>
      </c>
      <c r="T519" s="59">
        <f>IF(Q519=1,G519,0)</f>
        <v/>
      </c>
      <c r="U519" s="170" t="n">
        <v>1</v>
      </c>
    </row>
    <row r="520">
      <c r="A520" s="54" t="inlineStr">
        <is>
          <t>US DC S4</t>
        </is>
      </c>
      <c r="B520" s="54" t="inlineStr">
        <is>
          <t>US</t>
        </is>
      </c>
      <c r="C520" s="54" t="inlineStr">
        <is>
          <t>B09G6JWVWD</t>
        </is>
      </c>
      <c r="D520" s="54" t="inlineStr">
        <is>
          <t>SATIN-STRIPE-TWIN-PURPLE</t>
        </is>
      </c>
      <c r="E520" s="54" t="inlineStr">
        <is>
          <t>Twin</t>
        </is>
      </c>
      <c r="F520" s="54" t="inlineStr">
        <is>
          <t>Striped Purple</t>
        </is>
      </c>
      <c r="G520" s="55" t="n">
        <v>2</v>
      </c>
      <c r="H520" s="167" t="n">
        <v>53.1</v>
      </c>
      <c r="I520" s="167" t="n">
        <v>0</v>
      </c>
      <c r="J520" s="168">
        <f>IF(AND(N(G520)&gt;0,N(H520)+N(I520)&gt;0),(H520+I520)*U520/G520,"")</f>
        <v/>
      </c>
      <c r="K520" s="167" t="n">
        <v>27.95</v>
      </c>
      <c r="L520" s="167" t="n">
        <v>25.16</v>
      </c>
      <c r="M520" s="54" t="inlineStr">
        <is>
          <t>Eligible</t>
        </is>
      </c>
      <c r="N520" s="168">
        <f>IF(OR(J520="",L520=""),"",L520-J520)</f>
        <v/>
      </c>
      <c r="O520" s="169">
        <f>IF(OR(J520="",L520=""),"",L520/J520-1)</f>
        <v/>
      </c>
      <c r="P520" s="169">
        <f>IF(OR(J520="",K520=""),"",K520/J520-1)</f>
        <v/>
      </c>
      <c r="Q520" s="54">
        <f>IF(AND(ISNUMBER(J520),ISNUMBER(L520)),1,0)</f>
        <v/>
      </c>
      <c r="R520" s="69">
        <f>IF(Q520=1,G520*L520,0)</f>
        <v/>
      </c>
      <c r="S520" s="69">
        <f>IF(Q520=1,(H520+I520)*U520,0)</f>
        <v/>
      </c>
      <c r="T520" s="59">
        <f>IF(Q520=1,G520,0)</f>
        <v/>
      </c>
      <c r="U520" s="170" t="n">
        <v>1</v>
      </c>
    </row>
    <row r="521">
      <c r="A521" s="54" t="inlineStr">
        <is>
          <t>US DC S4</t>
        </is>
      </c>
      <c r="B521" s="54" t="inlineStr">
        <is>
          <t>US</t>
        </is>
      </c>
      <c r="C521" s="54" t="inlineStr">
        <is>
          <t>B0DBR4XYLB</t>
        </is>
      </c>
      <c r="D521" s="54" t="inlineStr">
        <is>
          <t>SATIN-4PCS-QUEEN-STRIPE-GRAY</t>
        </is>
      </c>
      <c r="E521" s="54" t="inlineStr">
        <is>
          <t>Queen</t>
        </is>
      </c>
      <c r="F521" s="54" t="inlineStr">
        <is>
          <t>Striped Grey</t>
        </is>
      </c>
      <c r="G521" s="55" t="n">
        <v>1</v>
      </c>
      <c r="H521" s="167" t="n">
        <v>31.95</v>
      </c>
      <c r="I521" s="167" t="n">
        <v>0</v>
      </c>
      <c r="J521" s="168">
        <f>IF(AND(N(G521)&gt;0,N(H521)+N(I521)&gt;0),(H521+I521)*U521/G521,"")</f>
        <v/>
      </c>
      <c r="K521" s="167" t="n">
        <v>31.95</v>
      </c>
      <c r="L521" s="167" t="n">
        <v>25.48</v>
      </c>
      <c r="M521" s="54" t="inlineStr">
        <is>
          <t>Manual price</t>
        </is>
      </c>
      <c r="N521" s="168">
        <f>IF(OR(J521="",L521=""),"",L521-J521)</f>
        <v/>
      </c>
      <c r="O521" s="169">
        <f>IF(OR(J521="",L521=""),"",L521/J521-1)</f>
        <v/>
      </c>
      <c r="P521" s="169">
        <f>IF(OR(J521="",K521=""),"",K521/J521-1)</f>
        <v/>
      </c>
      <c r="Q521" s="54">
        <f>IF(AND(ISNUMBER(J521),ISNUMBER(L521)),1,0)</f>
        <v/>
      </c>
      <c r="R521" s="69">
        <f>IF(Q521=1,G521*L521,0)</f>
        <v/>
      </c>
      <c r="S521" s="69">
        <f>IF(Q521=1,(H521+I521)*U521,0)</f>
        <v/>
      </c>
      <c r="T521" s="59">
        <f>IF(Q521=1,G521,0)</f>
        <v/>
      </c>
      <c r="U521" s="170" t="n">
        <v>1</v>
      </c>
    </row>
    <row r="522">
      <c r="A522" s="54" t="inlineStr">
        <is>
          <t>US DC S4</t>
        </is>
      </c>
      <c r="B522" s="54" t="inlineStr">
        <is>
          <t>US</t>
        </is>
      </c>
      <c r="C522" s="54" t="inlineStr">
        <is>
          <t>B0CQRXC2YT</t>
        </is>
      </c>
      <c r="D522" s="54" t="inlineStr">
        <is>
          <t>SATIN-3PC-TWIN-BURNT ORANGE</t>
        </is>
      </c>
      <c r="E522" s="54" t="inlineStr">
        <is>
          <t>Twin</t>
        </is>
      </c>
      <c r="F522" s="54" t="inlineStr">
        <is>
          <t>Burnt Orange</t>
        </is>
      </c>
      <c r="G522" s="55" t="n">
        <v>1</v>
      </c>
      <c r="H522" s="167" t="n">
        <v>23.76</v>
      </c>
      <c r="I522" s="167" t="n">
        <v>0</v>
      </c>
      <c r="J522" s="168">
        <f>IF(AND(N(G522)&gt;0,N(H522)+N(I522)&gt;0),(H522+I522)*U522/G522,"")</f>
        <v/>
      </c>
      <c r="K522" s="167" t="n">
        <v>27.95</v>
      </c>
      <c r="L522" s="167" t="n">
        <v>24.95</v>
      </c>
      <c r="M522" s="54" t="inlineStr">
        <is>
          <t>Eligible</t>
        </is>
      </c>
      <c r="N522" s="168">
        <f>IF(OR(J522="",L522=""),"",L522-J522)</f>
        <v/>
      </c>
      <c r="O522" s="169">
        <f>IF(OR(J522="",L522=""),"",L522/J522-1)</f>
        <v/>
      </c>
      <c r="P522" s="169">
        <f>IF(OR(J522="",K522=""),"",K522/J522-1)</f>
        <v/>
      </c>
      <c r="Q522" s="54">
        <f>IF(AND(ISNUMBER(J522),ISNUMBER(L522)),1,0)</f>
        <v/>
      </c>
      <c r="R522" s="69">
        <f>IF(Q522=1,G522*L522,0)</f>
        <v/>
      </c>
      <c r="S522" s="69">
        <f>IF(Q522=1,(H522+I522)*U522,0)</f>
        <v/>
      </c>
      <c r="T522" s="59">
        <f>IF(Q522=1,G522,0)</f>
        <v/>
      </c>
      <c r="U522" s="170" t="n">
        <v>1</v>
      </c>
    </row>
    <row r="523">
      <c r="A523" s="54" t="inlineStr">
        <is>
          <t>US DC S4</t>
        </is>
      </c>
      <c r="B523" s="54" t="inlineStr">
        <is>
          <t>US</t>
        </is>
      </c>
      <c r="C523" s="54" t="inlineStr">
        <is>
          <t>B09G6H23C3</t>
        </is>
      </c>
      <c r="D523" s="54" t="inlineStr">
        <is>
          <t>SATIN-STRIPE-TWIN-BLACK</t>
        </is>
      </c>
      <c r="E523" s="54" t="inlineStr">
        <is>
          <t>Twin</t>
        </is>
      </c>
      <c r="F523" s="54" t="inlineStr">
        <is>
          <t>Striped Black</t>
        </is>
      </c>
      <c r="G523" s="55" t="n">
        <v>1</v>
      </c>
      <c r="H523" s="167" t="n">
        <v>26.55</v>
      </c>
      <c r="I523" s="167" t="n">
        <v>0</v>
      </c>
      <c r="J523" s="168">
        <f>IF(AND(N(G523)&gt;0,N(H523)+N(I523)&gt;0),(H523+I523)*U523/G523,"")</f>
        <v/>
      </c>
      <c r="K523" s="167" t="n">
        <v>27.95</v>
      </c>
      <c r="L523" s="167" t="n">
        <v>25.15</v>
      </c>
      <c r="M523" s="54" t="inlineStr">
        <is>
          <t>Eligible</t>
        </is>
      </c>
      <c r="N523" s="168">
        <f>IF(OR(J523="",L523=""),"",L523-J523)</f>
        <v/>
      </c>
      <c r="O523" s="169">
        <f>IF(OR(J523="",L523=""),"",L523/J523-1)</f>
        <v/>
      </c>
      <c r="P523" s="169">
        <f>IF(OR(J523="",K523=""),"",K523/J523-1)</f>
        <v/>
      </c>
      <c r="Q523" s="54">
        <f>IF(AND(ISNUMBER(J523),ISNUMBER(L523)),1,0)</f>
        <v/>
      </c>
      <c r="R523" s="69">
        <f>IF(Q523=1,G523*L523,0)</f>
        <v/>
      </c>
      <c r="S523" s="69">
        <f>IF(Q523=1,(H523+I523)*U523,0)</f>
        <v/>
      </c>
      <c r="T523" s="59">
        <f>IF(Q523=1,G523,0)</f>
        <v/>
      </c>
      <c r="U523" s="170" t="n">
        <v>1</v>
      </c>
    </row>
    <row r="524">
      <c r="A524" s="54" t="inlineStr">
        <is>
          <t>US DC S4</t>
        </is>
      </c>
      <c r="B524" s="54" t="inlineStr">
        <is>
          <t>US</t>
        </is>
      </c>
      <c r="C524" s="54" t="inlineStr">
        <is>
          <t>B09G6K2WSF</t>
        </is>
      </c>
      <c r="D524" s="54" t="inlineStr">
        <is>
          <t>SATIN-STRIPE-TWIN-GOLD</t>
        </is>
      </c>
      <c r="E524" s="54" t="inlineStr">
        <is>
          <t>Twin</t>
        </is>
      </c>
      <c r="F524" s="54" t="inlineStr">
        <is>
          <t>Striped Gold</t>
        </is>
      </c>
      <c r="G524" s="55" t="n">
        <v>1</v>
      </c>
      <c r="H524" s="167" t="n">
        <v>26.55</v>
      </c>
      <c r="I524" s="167" t="n">
        <v>0</v>
      </c>
      <c r="J524" s="168">
        <f>IF(AND(N(G524)&gt;0,N(H524)+N(I524)&gt;0),(H524+I524)*U524/G524,"")</f>
        <v/>
      </c>
      <c r="K524" s="167" t="n">
        <v>27.95</v>
      </c>
      <c r="L524" s="167" t="n">
        <v>21.39</v>
      </c>
      <c r="M524" s="54" t="inlineStr">
        <is>
          <t>Manual price</t>
        </is>
      </c>
      <c r="N524" s="168">
        <f>IF(OR(J524="",L524=""),"",L524-J524)</f>
        <v/>
      </c>
      <c r="O524" s="169">
        <f>IF(OR(J524="",L524=""),"",L524/J524-1)</f>
        <v/>
      </c>
      <c r="P524" s="169">
        <f>IF(OR(J524="",K524=""),"",K524/J524-1)</f>
        <v/>
      </c>
      <c r="Q524" s="54">
        <f>IF(AND(ISNUMBER(J524),ISNUMBER(L524)),1,0)</f>
        <v/>
      </c>
      <c r="R524" s="69">
        <f>IF(Q524=1,G524*L524,0)</f>
        <v/>
      </c>
      <c r="S524" s="69">
        <f>IF(Q524=1,(H524+I524)*U524,0)</f>
        <v/>
      </c>
      <c r="T524" s="59">
        <f>IF(Q524=1,G524,0)</f>
        <v/>
      </c>
      <c r="U524" s="170" t="n">
        <v>1</v>
      </c>
    </row>
    <row r="525">
      <c r="A525" s="54" t="inlineStr">
        <is>
          <t>US DC S4</t>
        </is>
      </c>
      <c r="B525" s="54" t="inlineStr">
        <is>
          <t>US</t>
        </is>
      </c>
      <c r="C525" s="54" t="inlineStr">
        <is>
          <t>B09G6J7WQ8</t>
        </is>
      </c>
      <c r="D525" s="54" t="inlineStr">
        <is>
          <t>SATIN-STRIPE-TWIN-GRAY</t>
        </is>
      </c>
      <c r="E525" s="54" t="inlineStr">
        <is>
          <t>Twin</t>
        </is>
      </c>
      <c r="F525" s="54" t="inlineStr">
        <is>
          <t>Striped Grey</t>
        </is>
      </c>
      <c r="G525" s="55" t="n">
        <v>1</v>
      </c>
      <c r="H525" s="167" t="n">
        <v>25.46</v>
      </c>
      <c r="I525" s="167" t="n">
        <v>0</v>
      </c>
      <c r="J525" s="168">
        <f>IF(AND(N(G525)&gt;0,N(H525)+N(I525)&gt;0),(H525+I525)*U525/G525,"")</f>
        <v/>
      </c>
      <c r="K525" s="167" t="n">
        <v>27.95</v>
      </c>
      <c r="L525" s="167" t="n"/>
      <c r="M525" s="54" t="inlineStr">
        <is>
          <t>Out of stock</t>
        </is>
      </c>
      <c r="N525" s="168">
        <f>IF(OR(J525="",L525=""),"",L525-J525)</f>
        <v/>
      </c>
      <c r="O525" s="169">
        <f>IF(OR(J525="",L525=""),"",L525/J525-1)</f>
        <v/>
      </c>
      <c r="P525" s="169">
        <f>IF(OR(J525="",K525=""),"",K525/J525-1)</f>
        <v/>
      </c>
      <c r="Q525" s="54">
        <f>IF(AND(ISNUMBER(J525),ISNUMBER(L525)),1,0)</f>
        <v/>
      </c>
      <c r="R525" s="69">
        <f>IF(Q525=1,G525*L525,0)</f>
        <v/>
      </c>
      <c r="S525" s="69">
        <f>IF(Q525=1,(H525+I525)*U525,0)</f>
        <v/>
      </c>
      <c r="T525" s="59">
        <f>IF(Q525=1,G525,0)</f>
        <v/>
      </c>
      <c r="U525" s="170" t="n">
        <v>1</v>
      </c>
    </row>
    <row r="526">
      <c r="A526" s="54" t="inlineStr">
        <is>
          <t>US DC S4</t>
        </is>
      </c>
      <c r="B526" s="54" t="inlineStr">
        <is>
          <t>US</t>
        </is>
      </c>
      <c r="C526" s="54" t="inlineStr">
        <is>
          <t>B09G6M7WJ3</t>
        </is>
      </c>
      <c r="D526" s="54" t="inlineStr">
        <is>
          <t>SATIN-STRIPE-TWIN-RED</t>
        </is>
      </c>
      <c r="E526" s="54" t="inlineStr">
        <is>
          <t>Twin</t>
        </is>
      </c>
      <c r="F526" s="54" t="inlineStr">
        <is>
          <t>Striped Red</t>
        </is>
      </c>
      <c r="G526" s="55" t="n">
        <v>1</v>
      </c>
      <c r="H526" s="167" t="n">
        <v>23.76</v>
      </c>
      <c r="I526" s="167" t="n">
        <v>0</v>
      </c>
      <c r="J526" s="168">
        <f>IF(AND(N(G526)&gt;0,N(H526)+N(I526)&gt;0),(H526+I526)*U526/G526,"")</f>
        <v/>
      </c>
      <c r="K526" s="167" t="n">
        <v>27.95</v>
      </c>
      <c r="L526" s="167" t="n">
        <v>25.15</v>
      </c>
      <c r="M526" s="54" t="inlineStr">
        <is>
          <t>Eligible</t>
        </is>
      </c>
      <c r="N526" s="168">
        <f>IF(OR(J526="",L526=""),"",L526-J526)</f>
        <v/>
      </c>
      <c r="O526" s="169">
        <f>IF(OR(J526="",L526=""),"",L526/J526-1)</f>
        <v/>
      </c>
      <c r="P526" s="169">
        <f>IF(OR(J526="",K526=""),"",K526/J526-1)</f>
        <v/>
      </c>
      <c r="Q526" s="54">
        <f>IF(AND(ISNUMBER(J526),ISNUMBER(L526)),1,0)</f>
        <v/>
      </c>
      <c r="R526" s="69">
        <f>IF(Q526=1,G526*L526,0)</f>
        <v/>
      </c>
      <c r="S526" s="69">
        <f>IF(Q526=1,(H526+I526)*U526,0)</f>
        <v/>
      </c>
      <c r="T526" s="59">
        <f>IF(Q526=1,G526,0)</f>
        <v/>
      </c>
      <c r="U526" s="170" t="n">
        <v>1</v>
      </c>
    </row>
    <row r="527">
      <c r="A527" s="54" t="inlineStr">
        <is>
          <t>US DC S4</t>
        </is>
      </c>
      <c r="B527" s="54" t="inlineStr">
        <is>
          <t>US</t>
        </is>
      </c>
      <c r="C527" s="54" t="inlineStr">
        <is>
          <t>B0HCZKG6Q8</t>
        </is>
      </c>
      <c r="D527" s="54" t="inlineStr">
        <is>
          <t>SATIN-STRIPE-KING-GRAY-4PCS</t>
        </is>
      </c>
      <c r="E527" s="54" t="inlineStr">
        <is>
          <t>King</t>
        </is>
      </c>
      <c r="F527" s="54" t="inlineStr">
        <is>
          <t>Striped Grey</t>
        </is>
      </c>
      <c r="G527" s="55" t="n"/>
      <c r="H527" s="167" t="n"/>
      <c r="I527" s="167" t="n"/>
      <c r="J527" s="168">
        <f>IF(AND(N(G527)&gt;0,N(H527)+N(I527)&gt;0),(H527+I527)*U527/G527,"")</f>
        <v/>
      </c>
      <c r="K527" s="167" t="n">
        <v>33.95</v>
      </c>
      <c r="L527" s="167" t="n">
        <v>32.25</v>
      </c>
      <c r="M527" s="54" t="inlineStr">
        <is>
          <t>Eligible</t>
        </is>
      </c>
      <c r="N527" s="168">
        <f>IF(OR(J527="",L527=""),"",L527-J527)</f>
        <v/>
      </c>
      <c r="O527" s="169">
        <f>IF(OR(J527="",L527=""),"",L527/J527-1)</f>
        <v/>
      </c>
      <c r="P527" s="169">
        <f>IF(OR(J527="",K527=""),"",K527/J527-1)</f>
        <v/>
      </c>
      <c r="Q527" s="54">
        <f>IF(AND(ISNUMBER(J527),ISNUMBER(L527)),1,0)</f>
        <v/>
      </c>
      <c r="R527" s="69">
        <f>IF(Q527=1,G527*L527,0)</f>
        <v/>
      </c>
      <c r="S527" s="69">
        <f>IF(Q527=1,(H527+I527)*U527,0)</f>
        <v/>
      </c>
      <c r="T527" s="59">
        <f>IF(Q527=1,G527,0)</f>
        <v/>
      </c>
      <c r="U527" s="170" t="n">
        <v>1</v>
      </c>
    </row>
    <row r="528">
      <c r="A528" s="54" t="inlineStr">
        <is>
          <t>US DC S4</t>
        </is>
      </c>
      <c r="B528" s="54" t="inlineStr">
        <is>
          <t>US</t>
        </is>
      </c>
      <c r="C528" s="54" t="inlineStr">
        <is>
          <t>B0BG25XZHJ</t>
        </is>
      </c>
      <c r="D528" s="54" t="inlineStr">
        <is>
          <t>SATIN-IVORY-TWIN</t>
        </is>
      </c>
      <c r="E528" s="54" t="inlineStr">
        <is>
          <t>Twin</t>
        </is>
      </c>
      <c r="F528" s="54" t="inlineStr">
        <is>
          <t>Ivory</t>
        </is>
      </c>
      <c r="G528" s="55" t="n">
        <v>0</v>
      </c>
      <c r="H528" s="167" t="n"/>
      <c r="I528" s="167" t="n"/>
      <c r="J528" s="168">
        <f>IF(AND(N(G528)&gt;0,N(H528)+N(I528)&gt;0),(H528+I528)*U528/G528,"")</f>
        <v/>
      </c>
      <c r="K528" s="167" t="n">
        <v>27.95</v>
      </c>
      <c r="L528" s="167" t="n">
        <v>24.95</v>
      </c>
      <c r="M528" s="54" t="inlineStr">
        <is>
          <t>Eligible</t>
        </is>
      </c>
      <c r="N528" s="168">
        <f>IF(OR(J528="",L528=""),"",L528-J528)</f>
        <v/>
      </c>
      <c r="O528" s="169">
        <f>IF(OR(J528="",L528=""),"",L528/J528-1)</f>
        <v/>
      </c>
      <c r="P528" s="169">
        <f>IF(OR(J528="",K528=""),"",K528/J528-1)</f>
        <v/>
      </c>
      <c r="Q528" s="54">
        <f>IF(AND(ISNUMBER(J528),ISNUMBER(L528)),1,0)</f>
        <v/>
      </c>
      <c r="R528" s="69">
        <f>IF(Q528=1,G528*L528,0)</f>
        <v/>
      </c>
      <c r="S528" s="69">
        <f>IF(Q528=1,(H528+I528)*U528,0)</f>
        <v/>
      </c>
      <c r="T528" s="59">
        <f>IF(Q528=1,G528,0)</f>
        <v/>
      </c>
      <c r="U528" s="170" t="n">
        <v>1</v>
      </c>
    </row>
    <row r="529">
      <c r="A529" s="54" t="inlineStr">
        <is>
          <t>US DC S4</t>
        </is>
      </c>
      <c r="B529" s="54" t="inlineStr">
        <is>
          <t>US</t>
        </is>
      </c>
      <c r="C529" s="54" t="inlineStr">
        <is>
          <t>B09G6L5Z5K</t>
        </is>
      </c>
      <c r="D529" s="54" t="inlineStr">
        <is>
          <t>SATIN-STRIPE-TWIN-BLUE</t>
        </is>
      </c>
      <c r="E529" s="54" t="inlineStr">
        <is>
          <t>Twin</t>
        </is>
      </c>
      <c r="F529" s="54" t="inlineStr">
        <is>
          <t>Striped Blue</t>
        </is>
      </c>
      <c r="G529" s="55" t="n">
        <v>0</v>
      </c>
      <c r="H529" s="167" t="n"/>
      <c r="I529" s="167" t="n"/>
      <c r="J529" s="168">
        <f>IF(AND(N(G529)&gt;0,N(H529)+N(I529)&gt;0),(H529+I529)*U529/G529,"")</f>
        <v/>
      </c>
      <c r="K529" s="167" t="n">
        <v>27.95</v>
      </c>
      <c r="L529" s="167" t="n">
        <v>22.48</v>
      </c>
      <c r="M529" s="54" t="inlineStr">
        <is>
          <t>Eligible</t>
        </is>
      </c>
      <c r="N529" s="168">
        <f>IF(OR(J529="",L529=""),"",L529-J529)</f>
        <v/>
      </c>
      <c r="O529" s="169">
        <f>IF(OR(J529="",L529=""),"",L529/J529-1)</f>
        <v/>
      </c>
      <c r="P529" s="169">
        <f>IF(OR(J529="",K529=""),"",K529/J529-1)</f>
        <v/>
      </c>
      <c r="Q529" s="54">
        <f>IF(AND(ISNUMBER(J529),ISNUMBER(L529)),1,0)</f>
        <v/>
      </c>
      <c r="R529" s="69">
        <f>IF(Q529=1,G529*L529,0)</f>
        <v/>
      </c>
      <c r="S529" s="69">
        <f>IF(Q529=1,(H529+I529)*U529,0)</f>
        <v/>
      </c>
      <c r="T529" s="59">
        <f>IF(Q529=1,G529,0)</f>
        <v/>
      </c>
      <c r="U529" s="170" t="n">
        <v>1</v>
      </c>
    </row>
    <row r="530">
      <c r="A530" s="54" t="inlineStr">
        <is>
          <t>US DC S4</t>
        </is>
      </c>
      <c r="B530" s="54" t="inlineStr">
        <is>
          <t>US</t>
        </is>
      </c>
      <c r="C530" s="54" t="inlineStr">
        <is>
          <t>B0BZPVYJK4</t>
        </is>
      </c>
      <c r="D530" s="54" t="inlineStr">
        <is>
          <t>SATIN-TAUPE-TWIN</t>
        </is>
      </c>
      <c r="E530" s="54" t="inlineStr">
        <is>
          <t>Twin</t>
        </is>
      </c>
      <c r="F530" s="54" t="inlineStr">
        <is>
          <t>Taupe</t>
        </is>
      </c>
      <c r="G530" s="55" t="n">
        <v>0</v>
      </c>
      <c r="H530" s="167" t="n"/>
      <c r="I530" s="167" t="n"/>
      <c r="J530" s="168">
        <f>IF(AND(N(G530)&gt;0,N(H530)+N(I530)&gt;0),(H530+I530)*U530/G530,"")</f>
        <v/>
      </c>
      <c r="K530" s="167" t="n">
        <v>27.95</v>
      </c>
      <c r="L530" s="167" t="n">
        <v>26.55</v>
      </c>
      <c r="M530" s="54" t="inlineStr">
        <is>
          <t>Eligible</t>
        </is>
      </c>
      <c r="N530" s="168">
        <f>IF(OR(J530="",L530=""),"",L530-J530)</f>
        <v/>
      </c>
      <c r="O530" s="169">
        <f>IF(OR(J530="",L530=""),"",L530/J530-1)</f>
        <v/>
      </c>
      <c r="P530" s="169">
        <f>IF(OR(J530="",K530=""),"",K530/J530-1)</f>
        <v/>
      </c>
      <c r="Q530" s="54">
        <f>IF(AND(ISNUMBER(J530),ISNUMBER(L530)),1,0)</f>
        <v/>
      </c>
      <c r="R530" s="69">
        <f>IF(Q530=1,G530*L530,0)</f>
        <v/>
      </c>
      <c r="S530" s="69">
        <f>IF(Q530=1,(H530+I530)*U530,0)</f>
        <v/>
      </c>
      <c r="T530" s="59">
        <f>IF(Q530=1,G530,0)</f>
        <v/>
      </c>
      <c r="U530" s="170" t="n">
        <v>1</v>
      </c>
    </row>
    <row r="531">
      <c r="A531" s="54" t="inlineStr">
        <is>
          <t>CA DC S4</t>
        </is>
      </c>
      <c r="B531" s="54" t="inlineStr">
        <is>
          <t>CA</t>
        </is>
      </c>
      <c r="C531" s="54" t="inlineStr">
        <is>
          <t>B0839LD2WQ</t>
        </is>
      </c>
      <c r="D531" s="54" t="inlineStr">
        <is>
          <t>SATIN-KING-BLACK</t>
        </is>
      </c>
      <c r="E531" s="54" t="inlineStr">
        <is>
          <t>King</t>
        </is>
      </c>
      <c r="F531" s="54" t="inlineStr">
        <is>
          <t>Black</t>
        </is>
      </c>
      <c r="G531" s="55" t="n">
        <v>367</v>
      </c>
      <c r="H531" s="167" t="n">
        <v>6860.44</v>
      </c>
      <c r="I531" s="167" t="n">
        <v>0</v>
      </c>
      <c r="J531" s="171">
        <f>IF(AND(N(G531)&gt;0,N(H531)+N(I531)&gt;0),(H531+I531)*U531/G531,"")</f>
        <v/>
      </c>
      <c r="K531" s="172" t="n">
        <v>52.99</v>
      </c>
      <c r="L531" s="172" t="n">
        <v>50.34</v>
      </c>
      <c r="M531" s="54" t="inlineStr">
        <is>
          <t>Eligible</t>
        </is>
      </c>
      <c r="N531" s="171">
        <f>IF(OR(J531="",L531=""),"",L531-J531)</f>
        <v/>
      </c>
      <c r="O531" s="169">
        <f>IF(OR(J531="",L531=""),"",L531/J531-1)</f>
        <v/>
      </c>
      <c r="P531" s="169">
        <f>IF(OR(J531="",K531=""),"",K531/J531-1)</f>
        <v/>
      </c>
      <c r="Q531" s="54">
        <f>IF(AND(ISNUMBER(J531),ISNUMBER(L531)),1,0)</f>
        <v/>
      </c>
      <c r="R531" s="69">
        <f>IF(Q531=1,G531*L531,0)</f>
        <v/>
      </c>
      <c r="S531" s="69">
        <f>IF(Q531=1,(H531+I531)*U531,0)</f>
        <v/>
      </c>
      <c r="T531" s="59">
        <f>IF(Q531=1,G531,0)</f>
        <v/>
      </c>
      <c r="U531" s="170">
        <f>$G$3</f>
        <v/>
      </c>
    </row>
    <row r="532">
      <c r="A532" s="54" t="inlineStr">
        <is>
          <t>CA DC S4</t>
        </is>
      </c>
      <c r="B532" s="54" t="inlineStr">
        <is>
          <t>CA</t>
        </is>
      </c>
      <c r="C532" s="54" t="inlineStr">
        <is>
          <t>B0839LCXBP</t>
        </is>
      </c>
      <c r="D532" s="54" t="inlineStr">
        <is>
          <t>SATIN-FULL-BLACK</t>
        </is>
      </c>
      <c r="E532" s="54" t="inlineStr">
        <is>
          <t>Full</t>
        </is>
      </c>
      <c r="F532" s="54" t="inlineStr">
        <is>
          <t>Black</t>
        </is>
      </c>
      <c r="G532" s="55" t="n">
        <v>232</v>
      </c>
      <c r="H532" s="167" t="n">
        <v>4544.86</v>
      </c>
      <c r="I532" s="167" t="n">
        <v>0</v>
      </c>
      <c r="J532" s="171">
        <f>IF(AND(N(G532)&gt;0,N(H532)+N(I532)&gt;0),(H532+I532)*U532/G532,"")</f>
        <v/>
      </c>
      <c r="K532" s="172" t="n">
        <v>44.99</v>
      </c>
      <c r="L532" s="172" t="n">
        <v>38.24</v>
      </c>
      <c r="M532" s="54" t="inlineStr">
        <is>
          <t>Eligible</t>
        </is>
      </c>
      <c r="N532" s="171">
        <f>IF(OR(J532="",L532=""),"",L532-J532)</f>
        <v/>
      </c>
      <c r="O532" s="169">
        <f>IF(OR(J532="",L532=""),"",L532/J532-1)</f>
        <v/>
      </c>
      <c r="P532" s="169">
        <f>IF(OR(J532="",K532=""),"",K532/J532-1)</f>
        <v/>
      </c>
      <c r="Q532" s="54">
        <f>IF(AND(ISNUMBER(J532),ISNUMBER(L532)),1,0)</f>
        <v/>
      </c>
      <c r="R532" s="69">
        <f>IF(Q532=1,G532*L532,0)</f>
        <v/>
      </c>
      <c r="S532" s="69">
        <f>IF(Q532=1,(H532+I532)*U532,0)</f>
        <v/>
      </c>
      <c r="T532" s="59">
        <f>IF(Q532=1,G532,0)</f>
        <v/>
      </c>
      <c r="U532" s="170">
        <f>$G$3</f>
        <v/>
      </c>
    </row>
    <row r="533">
      <c r="A533" s="54" t="inlineStr">
        <is>
          <t>CA DC S4</t>
        </is>
      </c>
      <c r="B533" s="54" t="inlineStr">
        <is>
          <t>CA</t>
        </is>
      </c>
      <c r="C533" s="54" t="inlineStr">
        <is>
          <t>B0839MKJMV</t>
        </is>
      </c>
      <c r="D533" s="54" t="inlineStr">
        <is>
          <t>SATIN-QUEEN-BLACK</t>
        </is>
      </c>
      <c r="E533" s="54" t="inlineStr">
        <is>
          <t>Queen</t>
        </is>
      </c>
      <c r="F533" s="54" t="inlineStr">
        <is>
          <t>Black</t>
        </is>
      </c>
      <c r="G533" s="55" t="n">
        <v>186</v>
      </c>
      <c r="H533" s="167" t="n">
        <v>4908.48</v>
      </c>
      <c r="I533" s="167" t="n">
        <v>0</v>
      </c>
      <c r="J533" s="171">
        <f>IF(AND(N(G533)&gt;0,N(H533)+N(I533)&gt;0),(H533+I533)*U533/G533,"")</f>
        <v/>
      </c>
      <c r="K533" s="172" t="n">
        <v>47.99</v>
      </c>
      <c r="L533" s="172" t="n">
        <v>38.75</v>
      </c>
      <c r="M533" s="54" t="inlineStr">
        <is>
          <t>Eligible</t>
        </is>
      </c>
      <c r="N533" s="171">
        <f>IF(OR(J533="",L533=""),"",L533-J533)</f>
        <v/>
      </c>
      <c r="O533" s="169">
        <f>IF(OR(J533="",L533=""),"",L533/J533-1)</f>
        <v/>
      </c>
      <c r="P533" s="169">
        <f>IF(OR(J533="",K533=""),"",K533/J533-1)</f>
        <v/>
      </c>
      <c r="Q533" s="54">
        <f>IF(AND(ISNUMBER(J533),ISNUMBER(L533)),1,0)</f>
        <v/>
      </c>
      <c r="R533" s="69">
        <f>IF(Q533=1,G533*L533,0)</f>
        <v/>
      </c>
      <c r="S533" s="69">
        <f>IF(Q533=1,(H533+I533)*U533,0)</f>
        <v/>
      </c>
      <c r="T533" s="59">
        <f>IF(Q533=1,G533,0)</f>
        <v/>
      </c>
      <c r="U533" s="170">
        <f>$G$3</f>
        <v/>
      </c>
    </row>
    <row r="534">
      <c r="A534" s="54" t="inlineStr">
        <is>
          <t>CA DC S4</t>
        </is>
      </c>
      <c r="B534" s="54" t="inlineStr">
        <is>
          <t>CA</t>
        </is>
      </c>
      <c r="C534" s="54" t="inlineStr">
        <is>
          <t>B0839LQK8K</t>
        </is>
      </c>
      <c r="D534" s="54" t="inlineStr">
        <is>
          <t>SATIN-QUEEN-GREY</t>
        </is>
      </c>
      <c r="E534" s="54" t="inlineStr">
        <is>
          <t>Queen</t>
        </is>
      </c>
      <c r="F534" s="54" t="inlineStr">
        <is>
          <t>Grey</t>
        </is>
      </c>
      <c r="G534" s="55" t="n">
        <v>120</v>
      </c>
      <c r="H534" s="167" t="n">
        <v>3167.6</v>
      </c>
      <c r="I534" s="167" t="n">
        <v>0</v>
      </c>
      <c r="J534" s="171">
        <f>IF(AND(N(G534)&gt;0,N(H534)+N(I534)&gt;0),(H534+I534)*U534/G534,"")</f>
        <v/>
      </c>
      <c r="K534" s="172" t="n">
        <v>47.99</v>
      </c>
      <c r="L534" s="172" t="n">
        <v>45.59</v>
      </c>
      <c r="M534" s="54" t="inlineStr">
        <is>
          <t>Eligible</t>
        </is>
      </c>
      <c r="N534" s="171">
        <f>IF(OR(J534="",L534=""),"",L534-J534)</f>
        <v/>
      </c>
      <c r="O534" s="169">
        <f>IF(OR(J534="",L534=""),"",L534/J534-1)</f>
        <v/>
      </c>
      <c r="P534" s="169">
        <f>IF(OR(J534="",K534=""),"",K534/J534-1)</f>
        <v/>
      </c>
      <c r="Q534" s="54">
        <f>IF(AND(ISNUMBER(J534),ISNUMBER(L534)),1,0)</f>
        <v/>
      </c>
      <c r="R534" s="69">
        <f>IF(Q534=1,G534*L534,0)</f>
        <v/>
      </c>
      <c r="S534" s="69">
        <f>IF(Q534=1,(H534+I534)*U534,0)</f>
        <v/>
      </c>
      <c r="T534" s="59">
        <f>IF(Q534=1,G534,0)</f>
        <v/>
      </c>
      <c r="U534" s="170">
        <f>$G$3</f>
        <v/>
      </c>
    </row>
    <row r="535">
      <c r="A535" s="54" t="inlineStr">
        <is>
          <t>CA DC S4</t>
        </is>
      </c>
      <c r="B535" s="54" t="inlineStr">
        <is>
          <t>CA</t>
        </is>
      </c>
      <c r="C535" s="54" t="inlineStr">
        <is>
          <t>B0839L6R8Y</t>
        </is>
      </c>
      <c r="D535" s="54" t="inlineStr">
        <is>
          <t>SATIN-QUEEN-PURPLE</t>
        </is>
      </c>
      <c r="E535" s="54" t="inlineStr">
        <is>
          <t>Queen</t>
        </is>
      </c>
      <c r="F535" s="54" t="inlineStr">
        <is>
          <t>Purple</t>
        </is>
      </c>
      <c r="G535" s="55" t="n">
        <v>82</v>
      </c>
      <c r="H535" s="167" t="n">
        <v>1542.37</v>
      </c>
      <c r="I535" s="167" t="n">
        <v>0</v>
      </c>
      <c r="J535" s="171">
        <f>IF(AND(N(G535)&gt;0,N(H535)+N(I535)&gt;0),(H535+I535)*U535/G535,"")</f>
        <v/>
      </c>
      <c r="K535" s="172" t="n">
        <v>47.99</v>
      </c>
      <c r="L535" s="172" t="n">
        <v>45.59</v>
      </c>
      <c r="M535" s="54" t="inlineStr">
        <is>
          <t>Eligible</t>
        </is>
      </c>
      <c r="N535" s="171">
        <f>IF(OR(J535="",L535=""),"",L535-J535)</f>
        <v/>
      </c>
      <c r="O535" s="169">
        <f>IF(OR(J535="",L535=""),"",L535/J535-1)</f>
        <v/>
      </c>
      <c r="P535" s="169">
        <f>IF(OR(J535="",K535=""),"",K535/J535-1)</f>
        <v/>
      </c>
      <c r="Q535" s="54">
        <f>IF(AND(ISNUMBER(J535),ISNUMBER(L535)),1,0)</f>
        <v/>
      </c>
      <c r="R535" s="69">
        <f>IF(Q535=1,G535*L535,0)</f>
        <v/>
      </c>
      <c r="S535" s="69">
        <f>IF(Q535=1,(H535+I535)*U535,0)</f>
        <v/>
      </c>
      <c r="T535" s="59">
        <f>IF(Q535=1,G535,0)</f>
        <v/>
      </c>
      <c r="U535" s="170">
        <f>$G$3</f>
        <v/>
      </c>
    </row>
    <row r="536">
      <c r="A536" s="54" t="inlineStr">
        <is>
          <t>CA DC S4</t>
        </is>
      </c>
      <c r="B536" s="54" t="inlineStr">
        <is>
          <t>CA</t>
        </is>
      </c>
      <c r="C536" s="54" t="inlineStr">
        <is>
          <t>B0839LQG4C</t>
        </is>
      </c>
      <c r="D536" s="54" t="inlineStr">
        <is>
          <t>SATIN-QUEEN-PINK</t>
        </is>
      </c>
      <c r="E536" s="54" t="inlineStr">
        <is>
          <t>Queen</t>
        </is>
      </c>
      <c r="F536" s="54" t="inlineStr">
        <is>
          <t>Pink</t>
        </is>
      </c>
      <c r="G536" s="55" t="n">
        <v>74</v>
      </c>
      <c r="H536" s="167" t="n">
        <v>1951.15</v>
      </c>
      <c r="I536" s="167" t="n">
        <v>0</v>
      </c>
      <c r="J536" s="171">
        <f>IF(AND(N(G536)&gt;0,N(H536)+N(I536)&gt;0),(H536+I536)*U536/G536,"")</f>
        <v/>
      </c>
      <c r="K536" s="172" t="n">
        <v>47.99</v>
      </c>
      <c r="L536" s="172" t="n">
        <v>45.59</v>
      </c>
      <c r="M536" s="54" t="inlineStr">
        <is>
          <t>Eligible</t>
        </is>
      </c>
      <c r="N536" s="171">
        <f>IF(OR(J536="",L536=""),"",L536-J536)</f>
        <v/>
      </c>
      <c r="O536" s="169">
        <f>IF(OR(J536="",L536=""),"",L536/J536-1)</f>
        <v/>
      </c>
      <c r="P536" s="169">
        <f>IF(OR(J536="",K536=""),"",K536/J536-1)</f>
        <v/>
      </c>
      <c r="Q536" s="54">
        <f>IF(AND(ISNUMBER(J536),ISNUMBER(L536)),1,0)</f>
        <v/>
      </c>
      <c r="R536" s="69">
        <f>IF(Q536=1,G536*L536,0)</f>
        <v/>
      </c>
      <c r="S536" s="69">
        <f>IF(Q536=1,(H536+I536)*U536,0)</f>
        <v/>
      </c>
      <c r="T536" s="59">
        <f>IF(Q536=1,G536,0)</f>
        <v/>
      </c>
      <c r="U536" s="170">
        <f>$G$3</f>
        <v/>
      </c>
    </row>
    <row r="537">
      <c r="A537" s="54" t="inlineStr">
        <is>
          <t>CA DC S4</t>
        </is>
      </c>
      <c r="B537" s="54" t="inlineStr">
        <is>
          <t>CA</t>
        </is>
      </c>
      <c r="C537" s="54" t="inlineStr">
        <is>
          <t>B08KRXDWNN</t>
        </is>
      </c>
      <c r="D537" s="54" t="inlineStr">
        <is>
          <t>SATIN-WHITE-QUEEN</t>
        </is>
      </c>
      <c r="E537" s="54" t="inlineStr">
        <is>
          <t>Queen</t>
        </is>
      </c>
      <c r="F537" s="54" t="inlineStr">
        <is>
          <t>White</t>
        </is>
      </c>
      <c r="G537" s="55" t="n">
        <v>69</v>
      </c>
      <c r="H537" s="167" t="n">
        <v>1782.49</v>
      </c>
      <c r="I537" s="167" t="n">
        <v>0</v>
      </c>
      <c r="J537" s="171">
        <f>IF(AND(N(G537)&gt;0,N(H537)+N(I537)&gt;0),(H537+I537)*U537/G537,"")</f>
        <v/>
      </c>
      <c r="K537" s="172" t="n">
        <v>47.99</v>
      </c>
      <c r="L537" s="172" t="n">
        <v>45.59</v>
      </c>
      <c r="M537" s="54" t="inlineStr">
        <is>
          <t>Eligible</t>
        </is>
      </c>
      <c r="N537" s="171">
        <f>IF(OR(J537="",L537=""),"",L537-J537)</f>
        <v/>
      </c>
      <c r="O537" s="169">
        <f>IF(OR(J537="",L537=""),"",L537/J537-1)</f>
        <v/>
      </c>
      <c r="P537" s="169">
        <f>IF(OR(J537="",K537=""),"",K537/J537-1)</f>
        <v/>
      </c>
      <c r="Q537" s="54">
        <f>IF(AND(ISNUMBER(J537),ISNUMBER(L537)),1,0)</f>
        <v/>
      </c>
      <c r="R537" s="69">
        <f>IF(Q537=1,G537*L537,0)</f>
        <v/>
      </c>
      <c r="S537" s="69">
        <f>IF(Q537=1,(H537+I537)*U537,0)</f>
        <v/>
      </c>
      <c r="T537" s="59">
        <f>IF(Q537=1,G537,0)</f>
        <v/>
      </c>
      <c r="U537" s="170">
        <f>$G$3</f>
        <v/>
      </c>
    </row>
    <row r="538">
      <c r="A538" s="54" t="inlineStr">
        <is>
          <t>CA DC S4</t>
        </is>
      </c>
      <c r="B538" s="54" t="inlineStr">
        <is>
          <t>CA</t>
        </is>
      </c>
      <c r="C538" s="54" t="inlineStr">
        <is>
          <t>B0BZPV84V7</t>
        </is>
      </c>
      <c r="D538" s="54" t="inlineStr">
        <is>
          <t>SATIN-CHAMPAGNE-QUEEN</t>
        </is>
      </c>
      <c r="E538" s="54" t="inlineStr">
        <is>
          <t>Queen</t>
        </is>
      </c>
      <c r="F538" s="54" t="inlineStr">
        <is>
          <t>Champagne</t>
        </is>
      </c>
      <c r="G538" s="55" t="n">
        <v>66</v>
      </c>
      <c r="H538" s="167" t="n">
        <v>1364.79</v>
      </c>
      <c r="I538" s="167" t="n">
        <v>0</v>
      </c>
      <c r="J538" s="171">
        <f>IF(AND(N(G538)&gt;0,N(H538)+N(I538)&gt;0),(H538+I538)*U538/G538,"")</f>
        <v/>
      </c>
      <c r="K538" s="172" t="n">
        <v>47.99</v>
      </c>
      <c r="L538" s="172" t="n">
        <v>45.59</v>
      </c>
      <c r="M538" s="54" t="inlineStr">
        <is>
          <t>Eligible</t>
        </is>
      </c>
      <c r="N538" s="171">
        <f>IF(OR(J538="",L538=""),"",L538-J538)</f>
        <v/>
      </c>
      <c r="O538" s="169">
        <f>IF(OR(J538="",L538=""),"",L538/J538-1)</f>
        <v/>
      </c>
      <c r="P538" s="169">
        <f>IF(OR(J538="",K538=""),"",K538/J538-1)</f>
        <v/>
      </c>
      <c r="Q538" s="54">
        <f>IF(AND(ISNUMBER(J538),ISNUMBER(L538)),1,0)</f>
        <v/>
      </c>
      <c r="R538" s="69">
        <f>IF(Q538=1,G538*L538,0)</f>
        <v/>
      </c>
      <c r="S538" s="69">
        <f>IF(Q538=1,(H538+I538)*U538,0)</f>
        <v/>
      </c>
      <c r="T538" s="59">
        <f>IF(Q538=1,G538,0)</f>
        <v/>
      </c>
      <c r="U538" s="170">
        <f>$G$3</f>
        <v/>
      </c>
    </row>
    <row r="539">
      <c r="A539" s="54" t="inlineStr">
        <is>
          <t>CA DC S4</t>
        </is>
      </c>
      <c r="B539" s="54" t="inlineStr">
        <is>
          <t>CA</t>
        </is>
      </c>
      <c r="C539" s="54" t="inlineStr">
        <is>
          <t>B0CQRYDFC1</t>
        </is>
      </c>
      <c r="D539" s="54" t="inlineStr">
        <is>
          <t>SATIN-4PC-KING-BABY BLUE</t>
        </is>
      </c>
      <c r="E539" s="54" t="inlineStr">
        <is>
          <t>King</t>
        </is>
      </c>
      <c r="F539" s="54" t="inlineStr">
        <is>
          <t>Baby Blue</t>
        </is>
      </c>
      <c r="G539" s="55" t="n">
        <v>63</v>
      </c>
      <c r="H539" s="167" t="n">
        <v>1294.42</v>
      </c>
      <c r="I539" s="167" t="n">
        <v>0</v>
      </c>
      <c r="J539" s="171">
        <f>IF(AND(N(G539)&gt;0,N(H539)+N(I539)&gt;0),(H539+I539)*U539/G539,"")</f>
        <v/>
      </c>
      <c r="K539" s="172" t="n">
        <v>52.99</v>
      </c>
      <c r="L539" s="172" t="n">
        <v>50.34</v>
      </c>
      <c r="M539" s="54" t="inlineStr">
        <is>
          <t>Eligible</t>
        </is>
      </c>
      <c r="N539" s="171">
        <f>IF(OR(J539="",L539=""),"",L539-J539)</f>
        <v/>
      </c>
      <c r="O539" s="169">
        <f>IF(OR(J539="",L539=""),"",L539/J539-1)</f>
        <v/>
      </c>
      <c r="P539" s="169">
        <f>IF(OR(J539="",K539=""),"",K539/J539-1)</f>
        <v/>
      </c>
      <c r="Q539" s="54">
        <f>IF(AND(ISNUMBER(J539),ISNUMBER(L539)),1,0)</f>
        <v/>
      </c>
      <c r="R539" s="69">
        <f>IF(Q539=1,G539*L539,0)</f>
        <v/>
      </c>
      <c r="S539" s="69">
        <f>IF(Q539=1,(H539+I539)*U539,0)</f>
        <v/>
      </c>
      <c r="T539" s="59">
        <f>IF(Q539=1,G539,0)</f>
        <v/>
      </c>
      <c r="U539" s="170">
        <f>$G$3</f>
        <v/>
      </c>
    </row>
    <row r="540">
      <c r="A540" s="54" t="inlineStr">
        <is>
          <t>CA DC S4</t>
        </is>
      </c>
      <c r="B540" s="54" t="inlineStr">
        <is>
          <t>CA</t>
        </is>
      </c>
      <c r="C540" s="54" t="inlineStr">
        <is>
          <t>B0CNS8T4ZK</t>
        </is>
      </c>
      <c r="D540" s="54" t="inlineStr">
        <is>
          <t>SATIN-QUEEN-BLUSH PINK</t>
        </is>
      </c>
      <c r="E540" s="54" t="inlineStr">
        <is>
          <t>Queen</t>
        </is>
      </c>
      <c r="F540" s="54" t="inlineStr">
        <is>
          <t>Blush Pink</t>
        </is>
      </c>
      <c r="G540" s="55" t="n">
        <v>56</v>
      </c>
      <c r="H540" s="167" t="n">
        <v>1477.87</v>
      </c>
      <c r="I540" s="167" t="n">
        <v>0</v>
      </c>
      <c r="J540" s="171">
        <f>IF(AND(N(G540)&gt;0,N(H540)+N(I540)&gt;0),(H540+I540)*U540/G540,"")</f>
        <v/>
      </c>
      <c r="K540" s="172" t="n">
        <v>47.99</v>
      </c>
      <c r="L540" s="172" t="n">
        <v>45.59</v>
      </c>
      <c r="M540" s="54" t="inlineStr">
        <is>
          <t>Eligible</t>
        </is>
      </c>
      <c r="N540" s="171">
        <f>IF(OR(J540="",L540=""),"",L540-J540)</f>
        <v/>
      </c>
      <c r="O540" s="169">
        <f>IF(OR(J540="",L540=""),"",L540/J540-1)</f>
        <v/>
      </c>
      <c r="P540" s="169">
        <f>IF(OR(J540="",K540=""),"",K540/J540-1)</f>
        <v/>
      </c>
      <c r="Q540" s="54">
        <f>IF(AND(ISNUMBER(J540),ISNUMBER(L540)),1,0)</f>
        <v/>
      </c>
      <c r="R540" s="69">
        <f>IF(Q540=1,G540*L540,0)</f>
        <v/>
      </c>
      <c r="S540" s="69">
        <f>IF(Q540=1,(H540+I540)*U540,0)</f>
        <v/>
      </c>
      <c r="T540" s="59">
        <f>IF(Q540=1,G540,0)</f>
        <v/>
      </c>
      <c r="U540" s="170">
        <f>$G$3</f>
        <v/>
      </c>
    </row>
    <row r="541">
      <c r="A541" s="54" t="inlineStr">
        <is>
          <t>CA DC S4</t>
        </is>
      </c>
      <c r="B541" s="54" t="inlineStr">
        <is>
          <t>CA</t>
        </is>
      </c>
      <c r="C541" s="54" t="inlineStr">
        <is>
          <t>B0839LMS13</t>
        </is>
      </c>
      <c r="D541" s="54" t="inlineStr">
        <is>
          <t>SATIN-FULL-GREY</t>
        </is>
      </c>
      <c r="E541" s="54" t="inlineStr">
        <is>
          <t>Full</t>
        </is>
      </c>
      <c r="F541" s="54" t="inlineStr">
        <is>
          <t>Grey</t>
        </is>
      </c>
      <c r="G541" s="55" t="n">
        <v>55</v>
      </c>
      <c r="H541" s="167" t="n">
        <v>1240.17</v>
      </c>
      <c r="I541" s="167" t="n">
        <v>0</v>
      </c>
      <c r="J541" s="171">
        <f>IF(AND(N(G541)&gt;0,N(H541)+N(I541)&gt;0),(H541+I541)*U541/G541,"")</f>
        <v/>
      </c>
      <c r="K541" s="172" t="n">
        <v>44.99</v>
      </c>
      <c r="L541" s="172" t="n">
        <v>42.74</v>
      </c>
      <c r="M541" s="54" t="inlineStr">
        <is>
          <t>Eligible</t>
        </is>
      </c>
      <c r="N541" s="171">
        <f>IF(OR(J541="",L541=""),"",L541-J541)</f>
        <v/>
      </c>
      <c r="O541" s="169">
        <f>IF(OR(J541="",L541=""),"",L541/J541-1)</f>
        <v/>
      </c>
      <c r="P541" s="169">
        <f>IF(OR(J541="",K541=""),"",K541/J541-1)</f>
        <v/>
      </c>
      <c r="Q541" s="54">
        <f>IF(AND(ISNUMBER(J541),ISNUMBER(L541)),1,0)</f>
        <v/>
      </c>
      <c r="R541" s="69">
        <f>IF(Q541=1,G541*L541,0)</f>
        <v/>
      </c>
      <c r="S541" s="69">
        <f>IF(Q541=1,(H541+I541)*U541,0)</f>
        <v/>
      </c>
      <c r="T541" s="59">
        <f>IF(Q541=1,G541,0)</f>
        <v/>
      </c>
      <c r="U541" s="170">
        <f>$G$3</f>
        <v/>
      </c>
    </row>
    <row r="542">
      <c r="A542" s="54" t="inlineStr">
        <is>
          <t>CA DC S4</t>
        </is>
      </c>
      <c r="B542" s="54" t="inlineStr">
        <is>
          <t>CA</t>
        </is>
      </c>
      <c r="C542" s="54" t="inlineStr">
        <is>
          <t>B0839L6QG5</t>
        </is>
      </c>
      <c r="D542" s="54" t="inlineStr">
        <is>
          <t>SATIN-FULL-PINK</t>
        </is>
      </c>
      <c r="E542" s="54" t="inlineStr">
        <is>
          <t>Full</t>
        </is>
      </c>
      <c r="F542" s="54" t="inlineStr">
        <is>
          <t>Pink</t>
        </is>
      </c>
      <c r="G542" s="55" t="n">
        <v>52</v>
      </c>
      <c r="H542" s="167" t="n">
        <v>1172.72</v>
      </c>
      <c r="I542" s="167" t="n">
        <v>0</v>
      </c>
      <c r="J542" s="171">
        <f>IF(AND(N(G542)&gt;0,N(H542)+N(I542)&gt;0),(H542+I542)*U542/G542,"")</f>
        <v/>
      </c>
      <c r="K542" s="172" t="n">
        <v>44.99</v>
      </c>
      <c r="L542" s="172" t="n">
        <v>42.74</v>
      </c>
      <c r="M542" s="54" t="inlineStr">
        <is>
          <t>Eligible</t>
        </is>
      </c>
      <c r="N542" s="171">
        <f>IF(OR(J542="",L542=""),"",L542-J542)</f>
        <v/>
      </c>
      <c r="O542" s="169">
        <f>IF(OR(J542="",L542=""),"",L542/J542-1)</f>
        <v/>
      </c>
      <c r="P542" s="169">
        <f>IF(OR(J542="",K542=""),"",K542/J542-1)</f>
        <v/>
      </c>
      <c r="Q542" s="54">
        <f>IF(AND(ISNUMBER(J542),ISNUMBER(L542)),1,0)</f>
        <v/>
      </c>
      <c r="R542" s="69">
        <f>IF(Q542=1,G542*L542,0)</f>
        <v/>
      </c>
      <c r="S542" s="69">
        <f>IF(Q542=1,(H542+I542)*U542,0)</f>
        <v/>
      </c>
      <c r="T542" s="59">
        <f>IF(Q542=1,G542,0)</f>
        <v/>
      </c>
      <c r="U542" s="170">
        <f>$G$3</f>
        <v/>
      </c>
    </row>
    <row r="543">
      <c r="A543" s="54" t="inlineStr">
        <is>
          <t>CA DC S4</t>
        </is>
      </c>
      <c r="B543" s="54" t="inlineStr">
        <is>
          <t>CA</t>
        </is>
      </c>
      <c r="C543" s="54" t="inlineStr">
        <is>
          <t>B0CQRXDZYF</t>
        </is>
      </c>
      <c r="D543" s="54" t="inlineStr">
        <is>
          <t>SATIN-4PC-QUEEN-NAVY BLUE</t>
        </is>
      </c>
      <c r="E543" s="54" t="inlineStr">
        <is>
          <t>Queen</t>
        </is>
      </c>
      <c r="F543" s="54" t="inlineStr">
        <is>
          <t>Navy Blue</t>
        </is>
      </c>
      <c r="G543" s="55" t="n">
        <v>48</v>
      </c>
      <c r="H543" s="167" t="n">
        <v>1266.07</v>
      </c>
      <c r="I543" s="167" t="n">
        <v>0</v>
      </c>
      <c r="J543" s="171">
        <f>IF(AND(N(G543)&gt;0,N(H543)+N(I543)&gt;0),(H543+I543)*U543/G543,"")</f>
        <v/>
      </c>
      <c r="K543" s="172" t="n">
        <v>52.99</v>
      </c>
      <c r="L543" s="172" t="n">
        <v>52.99</v>
      </c>
      <c r="M543" s="54" t="inlineStr">
        <is>
          <t>Eligible</t>
        </is>
      </c>
      <c r="N543" s="171">
        <f>IF(OR(J543="",L543=""),"",L543-J543)</f>
        <v/>
      </c>
      <c r="O543" s="169">
        <f>IF(OR(J543="",L543=""),"",L543/J543-1)</f>
        <v/>
      </c>
      <c r="P543" s="169">
        <f>IF(OR(J543="",K543=""),"",K543/J543-1)</f>
        <v/>
      </c>
      <c r="Q543" s="54">
        <f>IF(AND(ISNUMBER(J543),ISNUMBER(L543)),1,0)</f>
        <v/>
      </c>
      <c r="R543" s="69">
        <f>IF(Q543=1,G543*L543,0)</f>
        <v/>
      </c>
      <c r="S543" s="69">
        <f>IF(Q543=1,(H543+I543)*U543,0)</f>
        <v/>
      </c>
      <c r="T543" s="59">
        <f>IF(Q543=1,G543,0)</f>
        <v/>
      </c>
      <c r="U543" s="170">
        <f>$G$3</f>
        <v/>
      </c>
    </row>
    <row r="544">
      <c r="A544" s="54" t="inlineStr">
        <is>
          <t>CA DC S4</t>
        </is>
      </c>
      <c r="B544" s="54" t="inlineStr">
        <is>
          <t>CA</t>
        </is>
      </c>
      <c r="C544" s="54" t="inlineStr">
        <is>
          <t>B0BG21THPM</t>
        </is>
      </c>
      <c r="D544" s="54" t="inlineStr">
        <is>
          <t>SATIN-ROSEWOOD-QUEEN</t>
        </is>
      </c>
      <c r="E544" s="54" t="inlineStr">
        <is>
          <t>Queen</t>
        </is>
      </c>
      <c r="F544" s="54" t="inlineStr">
        <is>
          <t>Rosewood</t>
        </is>
      </c>
      <c r="G544" s="55" t="n">
        <v>47</v>
      </c>
      <c r="H544" s="167" t="n">
        <v>1239.5</v>
      </c>
      <c r="I544" s="167" t="n">
        <v>0</v>
      </c>
      <c r="J544" s="171">
        <f>IF(AND(N(G544)&gt;0,N(H544)+N(I544)&gt;0),(H544+I544)*U544/G544,"")</f>
        <v/>
      </c>
      <c r="K544" s="172" t="n">
        <v>47.99</v>
      </c>
      <c r="L544" s="172" t="n">
        <v>45.59</v>
      </c>
      <c r="M544" s="54" t="inlineStr">
        <is>
          <t>Eligible</t>
        </is>
      </c>
      <c r="N544" s="171">
        <f>IF(OR(J544="",L544=""),"",L544-J544)</f>
        <v/>
      </c>
      <c r="O544" s="169">
        <f>IF(OR(J544="",L544=""),"",L544/J544-1)</f>
        <v/>
      </c>
      <c r="P544" s="169">
        <f>IF(OR(J544="",K544=""),"",K544/J544-1)</f>
        <v/>
      </c>
      <c r="Q544" s="54">
        <f>IF(AND(ISNUMBER(J544),ISNUMBER(L544)),1,0)</f>
        <v/>
      </c>
      <c r="R544" s="69">
        <f>IF(Q544=1,G544*L544,0)</f>
        <v/>
      </c>
      <c r="S544" s="69">
        <f>IF(Q544=1,(H544+I544)*U544,0)</f>
        <v/>
      </c>
      <c r="T544" s="59">
        <f>IF(Q544=1,G544,0)</f>
        <v/>
      </c>
      <c r="U544" s="170">
        <f>$G$3</f>
        <v/>
      </c>
    </row>
    <row r="545">
      <c r="A545" s="54" t="inlineStr">
        <is>
          <t>CA DC S4</t>
        </is>
      </c>
      <c r="B545" s="54" t="inlineStr">
        <is>
          <t>CA</t>
        </is>
      </c>
      <c r="C545" s="54" t="inlineStr">
        <is>
          <t>B0CNS9FHSD</t>
        </is>
      </c>
      <c r="D545" s="54" t="inlineStr">
        <is>
          <t>SATIN-FULL-BLUSH PINK</t>
        </is>
      </c>
      <c r="E545" s="54" t="inlineStr">
        <is>
          <t>Full</t>
        </is>
      </c>
      <c r="F545" s="54" t="inlineStr">
        <is>
          <t>Blush Pink</t>
        </is>
      </c>
      <c r="G545" s="55" t="n">
        <v>44</v>
      </c>
      <c r="H545" s="167" t="n">
        <v>1070.58</v>
      </c>
      <c r="I545" s="167" t="n">
        <v>0</v>
      </c>
      <c r="J545" s="171">
        <f>IF(AND(N(G545)&gt;0,N(H545)+N(I545)&gt;0),(H545+I545)*U545/G545,"")</f>
        <v/>
      </c>
      <c r="K545" s="172" t="n">
        <v>44.99</v>
      </c>
      <c r="L545" s="172" t="n">
        <v>36.33</v>
      </c>
      <c r="M545" s="54" t="inlineStr">
        <is>
          <t>Eligible</t>
        </is>
      </c>
      <c r="N545" s="171">
        <f>IF(OR(J545="",L545=""),"",L545-J545)</f>
        <v/>
      </c>
      <c r="O545" s="169">
        <f>IF(OR(J545="",L545=""),"",L545/J545-1)</f>
        <v/>
      </c>
      <c r="P545" s="169">
        <f>IF(OR(J545="",K545=""),"",K545/J545-1)</f>
        <v/>
      </c>
      <c r="Q545" s="54">
        <f>IF(AND(ISNUMBER(J545),ISNUMBER(L545)),1,0)</f>
        <v/>
      </c>
      <c r="R545" s="69">
        <f>IF(Q545=1,G545*L545,0)</f>
        <v/>
      </c>
      <c r="S545" s="69">
        <f>IF(Q545=1,(H545+I545)*U545,0)</f>
        <v/>
      </c>
      <c r="T545" s="59">
        <f>IF(Q545=1,G545,0)</f>
        <v/>
      </c>
      <c r="U545" s="170">
        <f>$G$3</f>
        <v/>
      </c>
    </row>
    <row r="546">
      <c r="A546" s="54" t="inlineStr">
        <is>
          <t>CA DC S4</t>
        </is>
      </c>
      <c r="B546" s="54" t="inlineStr">
        <is>
          <t>CA</t>
        </is>
      </c>
      <c r="C546" s="54" t="inlineStr">
        <is>
          <t>B0CQRXLH6M</t>
        </is>
      </c>
      <c r="D546" s="54" t="inlineStr">
        <is>
          <t>SATIN-4PC-QUEEN-BABY BLUE</t>
        </is>
      </c>
      <c r="E546" s="54" t="inlineStr">
        <is>
          <t>Queen</t>
        </is>
      </c>
      <c r="F546" s="54" t="inlineStr">
        <is>
          <t>Baby Blue</t>
        </is>
      </c>
      <c r="G546" s="55" t="n">
        <v>44</v>
      </c>
      <c r="H546" s="167" t="n">
        <v>1161.44</v>
      </c>
      <c r="I546" s="167" t="n">
        <v>0</v>
      </c>
      <c r="J546" s="171">
        <f>IF(AND(N(G546)&gt;0,N(H546)+N(I546)&gt;0),(H546+I546)*U546/G546,"")</f>
        <v/>
      </c>
      <c r="K546" s="172" t="n">
        <v>50.99</v>
      </c>
      <c r="L546" s="172" t="n">
        <v>47.87</v>
      </c>
      <c r="M546" s="54" t="inlineStr">
        <is>
          <t>Eligible</t>
        </is>
      </c>
      <c r="N546" s="171">
        <f>IF(OR(J546="",L546=""),"",L546-J546)</f>
        <v/>
      </c>
      <c r="O546" s="169">
        <f>IF(OR(J546="",L546=""),"",L546/J546-1)</f>
        <v/>
      </c>
      <c r="P546" s="169">
        <f>IF(OR(J546="",K546=""),"",K546/J546-1)</f>
        <v/>
      </c>
      <c r="Q546" s="54">
        <f>IF(AND(ISNUMBER(J546),ISNUMBER(L546)),1,0)</f>
        <v/>
      </c>
      <c r="R546" s="69">
        <f>IF(Q546=1,G546*L546,0)</f>
        <v/>
      </c>
      <c r="S546" s="69">
        <f>IF(Q546=1,(H546+I546)*U546,0)</f>
        <v/>
      </c>
      <c r="T546" s="59">
        <f>IF(Q546=1,G546,0)</f>
        <v/>
      </c>
      <c r="U546" s="170">
        <f>$G$3</f>
        <v/>
      </c>
    </row>
    <row r="547">
      <c r="A547" s="54" t="inlineStr">
        <is>
          <t>CA DC S4</t>
        </is>
      </c>
      <c r="B547" s="54" t="inlineStr">
        <is>
          <t>CA</t>
        </is>
      </c>
      <c r="C547" s="54" t="inlineStr">
        <is>
          <t>B0839L4HWH</t>
        </is>
      </c>
      <c r="D547" s="54" t="inlineStr">
        <is>
          <t>SATIN-QUEEN-BLUE</t>
        </is>
      </c>
      <c r="E547" s="54" t="inlineStr">
        <is>
          <t>Queen</t>
        </is>
      </c>
      <c r="F547" s="54" t="inlineStr">
        <is>
          <t>Blue</t>
        </is>
      </c>
      <c r="G547" s="55" t="n">
        <v>44</v>
      </c>
      <c r="H547" s="167" t="n">
        <v>1051.34</v>
      </c>
      <c r="I547" s="167" t="n">
        <v>0</v>
      </c>
      <c r="J547" s="171">
        <f>IF(AND(N(G547)&gt;0,N(H547)+N(I547)&gt;0),(H547+I547)*U547/G547,"")</f>
        <v/>
      </c>
      <c r="K547" s="172" t="n">
        <v>47.99</v>
      </c>
      <c r="L547" s="172" t="n">
        <v>45.58</v>
      </c>
      <c r="M547" s="54" t="inlineStr">
        <is>
          <t>Eligible</t>
        </is>
      </c>
      <c r="N547" s="171">
        <f>IF(OR(J547="",L547=""),"",L547-J547)</f>
        <v/>
      </c>
      <c r="O547" s="169">
        <f>IF(OR(J547="",L547=""),"",L547/J547-1)</f>
        <v/>
      </c>
      <c r="P547" s="169">
        <f>IF(OR(J547="",K547=""),"",K547/J547-1)</f>
        <v/>
      </c>
      <c r="Q547" s="54">
        <f>IF(AND(ISNUMBER(J547),ISNUMBER(L547)),1,0)</f>
        <v/>
      </c>
      <c r="R547" s="69">
        <f>IF(Q547=1,G547*L547,0)</f>
        <v/>
      </c>
      <c r="S547" s="69">
        <f>IF(Q547=1,(H547+I547)*U547,0)</f>
        <v/>
      </c>
      <c r="T547" s="59">
        <f>IF(Q547=1,G547,0)</f>
        <v/>
      </c>
      <c r="U547" s="170">
        <f>$G$3</f>
        <v/>
      </c>
    </row>
    <row r="548">
      <c r="A548" s="54" t="inlineStr">
        <is>
          <t>CA DC S4</t>
        </is>
      </c>
      <c r="B548" s="54" t="inlineStr">
        <is>
          <t>CA</t>
        </is>
      </c>
      <c r="C548" s="54" t="inlineStr">
        <is>
          <t>B0CQRWGHJN</t>
        </is>
      </c>
      <c r="D548" s="54" t="inlineStr">
        <is>
          <t>SATIN-4PC-QUEEN-DARK GREEN</t>
        </is>
      </c>
      <c r="E548" s="54" t="inlineStr">
        <is>
          <t>Queen</t>
        </is>
      </c>
      <c r="F548" s="54" t="inlineStr">
        <is>
          <t>Dark Green</t>
        </is>
      </c>
      <c r="G548" s="55" t="n">
        <v>44</v>
      </c>
      <c r="H548" s="167" t="n">
        <v>1202.9</v>
      </c>
      <c r="I548" s="167" t="n">
        <v>0</v>
      </c>
      <c r="J548" s="171">
        <f>IF(AND(N(G548)&gt;0,N(H548)+N(I548)&gt;0),(H548+I548)*U548/G548,"")</f>
        <v/>
      </c>
      <c r="K548" s="172" t="n">
        <v>47.99</v>
      </c>
      <c r="L548" s="172" t="n">
        <v>47.6</v>
      </c>
      <c r="M548" s="54" t="inlineStr">
        <is>
          <t>Eligible</t>
        </is>
      </c>
      <c r="N548" s="171">
        <f>IF(OR(J548="",L548=""),"",L548-J548)</f>
        <v/>
      </c>
      <c r="O548" s="169">
        <f>IF(OR(J548="",L548=""),"",L548/J548-1)</f>
        <v/>
      </c>
      <c r="P548" s="169">
        <f>IF(OR(J548="",K548=""),"",K548/J548-1)</f>
        <v/>
      </c>
      <c r="Q548" s="54">
        <f>IF(AND(ISNUMBER(J548),ISNUMBER(L548)),1,0)</f>
        <v/>
      </c>
      <c r="R548" s="69">
        <f>IF(Q548=1,G548*L548,0)</f>
        <v/>
      </c>
      <c r="S548" s="69">
        <f>IF(Q548=1,(H548+I548)*U548,0)</f>
        <v/>
      </c>
      <c r="T548" s="59">
        <f>IF(Q548=1,G548,0)</f>
        <v/>
      </c>
      <c r="U548" s="170">
        <f>$G$3</f>
        <v/>
      </c>
    </row>
    <row r="549">
      <c r="A549" s="54" t="inlineStr">
        <is>
          <t>CA DC S4</t>
        </is>
      </c>
      <c r="B549" s="54" t="inlineStr">
        <is>
          <t>CA</t>
        </is>
      </c>
      <c r="C549" s="54" t="inlineStr">
        <is>
          <t>B09G6JSW33</t>
        </is>
      </c>
      <c r="D549" s="54" t="inlineStr">
        <is>
          <t>SATIN-STRIPE-QUEEN-PINK</t>
        </is>
      </c>
      <c r="E549" s="54" t="inlineStr">
        <is>
          <t>Queen</t>
        </is>
      </c>
      <c r="F549" s="54" t="inlineStr">
        <is>
          <t>Striped Pink</t>
        </is>
      </c>
      <c r="G549" s="55" t="n">
        <v>39</v>
      </c>
      <c r="H549" s="167" t="n">
        <v>813.73</v>
      </c>
      <c r="I549" s="167" t="n">
        <v>0</v>
      </c>
      <c r="J549" s="171">
        <f>IF(AND(N(G549)&gt;0,N(H549)+N(I549)&gt;0),(H549+I549)*U549/G549,"")</f>
        <v/>
      </c>
      <c r="K549" s="172" t="n">
        <v>47.99</v>
      </c>
      <c r="L549" s="172" t="n">
        <v>47.99</v>
      </c>
      <c r="M549" s="54" t="inlineStr">
        <is>
          <t>Eligible</t>
        </is>
      </c>
      <c r="N549" s="171">
        <f>IF(OR(J549="",L549=""),"",L549-J549)</f>
        <v/>
      </c>
      <c r="O549" s="169">
        <f>IF(OR(J549="",L549=""),"",L549/J549-1)</f>
        <v/>
      </c>
      <c r="P549" s="169">
        <f>IF(OR(J549="",K549=""),"",K549/J549-1)</f>
        <v/>
      </c>
      <c r="Q549" s="54">
        <f>IF(AND(ISNUMBER(J549),ISNUMBER(L549)),1,0)</f>
        <v/>
      </c>
      <c r="R549" s="69">
        <f>IF(Q549=1,G549*L549,0)</f>
        <v/>
      </c>
      <c r="S549" s="69">
        <f>IF(Q549=1,(H549+I549)*U549,0)</f>
        <v/>
      </c>
      <c r="T549" s="59">
        <f>IF(Q549=1,G549,0)</f>
        <v/>
      </c>
      <c r="U549" s="170">
        <f>$G$3</f>
        <v/>
      </c>
    </row>
    <row r="550">
      <c r="A550" s="54" t="inlineStr">
        <is>
          <t>CA DC S4</t>
        </is>
      </c>
      <c r="B550" s="54" t="inlineStr">
        <is>
          <t>CA</t>
        </is>
      </c>
      <c r="C550" s="54" t="inlineStr">
        <is>
          <t>B0CQRXKRPN</t>
        </is>
      </c>
      <c r="D550" s="54" t="inlineStr">
        <is>
          <t>SATIN-4PC-QUEEN-LAVENDER</t>
        </is>
      </c>
      <c r="E550" s="54" t="inlineStr">
        <is>
          <t>Queen</t>
        </is>
      </c>
      <c r="F550" s="54" t="inlineStr">
        <is>
          <t>Lavender</t>
        </is>
      </c>
      <c r="G550" s="55" t="n">
        <v>38</v>
      </c>
      <c r="H550" s="167" t="n">
        <v>1002.78</v>
      </c>
      <c r="I550" s="167" t="n">
        <v>0</v>
      </c>
      <c r="J550" s="171">
        <f>IF(AND(N(G550)&gt;0,N(H550)+N(I550)&gt;0),(H550+I550)*U550/G550,"")</f>
        <v/>
      </c>
      <c r="K550" s="172" t="n">
        <v>47.99</v>
      </c>
      <c r="L550" s="172" t="n"/>
      <c r="M550" s="54" t="inlineStr">
        <is>
          <t>Out of stock</t>
        </is>
      </c>
      <c r="N550" s="171">
        <f>IF(OR(J550="",L550=""),"",L550-J550)</f>
        <v/>
      </c>
      <c r="O550" s="169">
        <f>IF(OR(J550="",L550=""),"",L550/J550-1)</f>
        <v/>
      </c>
      <c r="P550" s="169">
        <f>IF(OR(J550="",K550=""),"",K550/J550-1)</f>
        <v/>
      </c>
      <c r="Q550" s="54">
        <f>IF(AND(ISNUMBER(J550),ISNUMBER(L550)),1,0)</f>
        <v/>
      </c>
      <c r="R550" s="69">
        <f>IF(Q550=1,G550*L550,0)</f>
        <v/>
      </c>
      <c r="S550" s="69">
        <f>IF(Q550=1,(H550+I550)*U550,0)</f>
        <v/>
      </c>
      <c r="T550" s="59">
        <f>IF(Q550=1,G550,0)</f>
        <v/>
      </c>
      <c r="U550" s="170">
        <f>$G$3</f>
        <v/>
      </c>
    </row>
    <row r="551">
      <c r="A551" s="54" t="inlineStr">
        <is>
          <t>CA DC S4</t>
        </is>
      </c>
      <c r="B551" s="54" t="inlineStr">
        <is>
          <t>CA</t>
        </is>
      </c>
      <c r="C551" s="54" t="inlineStr">
        <is>
          <t>B0839LP6TM</t>
        </is>
      </c>
      <c r="D551" s="54" t="inlineStr">
        <is>
          <t>SATIN-FULL-PURPLE</t>
        </is>
      </c>
      <c r="E551" s="54" t="inlineStr">
        <is>
          <t>Full</t>
        </is>
      </c>
      <c r="F551" s="54" t="inlineStr">
        <is>
          <t>Purple</t>
        </is>
      </c>
      <c r="G551" s="55" t="n">
        <v>33</v>
      </c>
      <c r="H551" s="167" t="n">
        <v>599.35</v>
      </c>
      <c r="I551" s="167" t="n">
        <v>0</v>
      </c>
      <c r="J551" s="171">
        <f>IF(AND(N(G551)&gt;0,N(H551)+N(I551)&gt;0),(H551+I551)*U551/G551,"")</f>
        <v/>
      </c>
      <c r="K551" s="172" t="n">
        <v>44.99</v>
      </c>
      <c r="L551" s="172" t="n">
        <v>38.24</v>
      </c>
      <c r="M551" s="54" t="inlineStr">
        <is>
          <t>Eligible</t>
        </is>
      </c>
      <c r="N551" s="171">
        <f>IF(OR(J551="",L551=""),"",L551-J551)</f>
        <v/>
      </c>
      <c r="O551" s="169">
        <f>IF(OR(J551="",L551=""),"",L551/J551-1)</f>
        <v/>
      </c>
      <c r="P551" s="169">
        <f>IF(OR(J551="",K551=""),"",K551/J551-1)</f>
        <v/>
      </c>
      <c r="Q551" s="54">
        <f>IF(AND(ISNUMBER(J551),ISNUMBER(L551)),1,0)</f>
        <v/>
      </c>
      <c r="R551" s="69">
        <f>IF(Q551=1,G551*L551,0)</f>
        <v/>
      </c>
      <c r="S551" s="69">
        <f>IF(Q551=1,(H551+I551)*U551,0)</f>
        <v/>
      </c>
      <c r="T551" s="59">
        <f>IF(Q551=1,G551,0)</f>
        <v/>
      </c>
      <c r="U551" s="170">
        <f>$G$3</f>
        <v/>
      </c>
    </row>
    <row r="552">
      <c r="A552" s="54" t="inlineStr">
        <is>
          <t>CA DC S4</t>
        </is>
      </c>
      <c r="B552" s="54" t="inlineStr">
        <is>
          <t>CA</t>
        </is>
      </c>
      <c r="C552" s="54" t="inlineStr">
        <is>
          <t>B09G6L5ZW6</t>
        </is>
      </c>
      <c r="D552" s="54" t="inlineStr">
        <is>
          <t>SATIN-STRIPE-QUEEN-PURPLE</t>
        </is>
      </c>
      <c r="E552" s="54" t="inlineStr">
        <is>
          <t>Queen</t>
        </is>
      </c>
      <c r="F552" s="54" t="inlineStr">
        <is>
          <t>Striped Purple</t>
        </is>
      </c>
      <c r="G552" s="55" t="n">
        <v>33</v>
      </c>
      <c r="H552" s="167" t="n">
        <v>590.62</v>
      </c>
      <c r="I552" s="167" t="n">
        <v>0</v>
      </c>
      <c r="J552" s="171">
        <f>IF(AND(N(G552)&gt;0,N(H552)+N(I552)&gt;0),(H552+I552)*U552/G552,"")</f>
        <v/>
      </c>
      <c r="K552" s="172" t="n">
        <v>47.99</v>
      </c>
      <c r="L552" s="172" t="n">
        <v>38.75</v>
      </c>
      <c r="M552" s="54" t="inlineStr">
        <is>
          <t>Eligible</t>
        </is>
      </c>
      <c r="N552" s="171">
        <f>IF(OR(J552="",L552=""),"",L552-J552)</f>
        <v/>
      </c>
      <c r="O552" s="169">
        <f>IF(OR(J552="",L552=""),"",L552/J552-1)</f>
        <v/>
      </c>
      <c r="P552" s="169">
        <f>IF(OR(J552="",K552=""),"",K552/J552-1)</f>
        <v/>
      </c>
      <c r="Q552" s="54">
        <f>IF(AND(ISNUMBER(J552),ISNUMBER(L552)),1,0)</f>
        <v/>
      </c>
      <c r="R552" s="69">
        <f>IF(Q552=1,G552*L552,0)</f>
        <v/>
      </c>
      <c r="S552" s="69">
        <f>IF(Q552=1,(H552+I552)*U552,0)</f>
        <v/>
      </c>
      <c r="T552" s="59">
        <f>IF(Q552=1,G552,0)</f>
        <v/>
      </c>
      <c r="U552" s="170">
        <f>$G$3</f>
        <v/>
      </c>
    </row>
    <row r="553">
      <c r="A553" s="54" t="inlineStr">
        <is>
          <t>CA DC S4</t>
        </is>
      </c>
      <c r="B553" s="54" t="inlineStr">
        <is>
          <t>CA</t>
        </is>
      </c>
      <c r="C553" s="54" t="inlineStr">
        <is>
          <t>B0CQRX1Q8Z</t>
        </is>
      </c>
      <c r="D553" s="54" t="inlineStr">
        <is>
          <t>SATIN-4PC-KING-LAVENDER</t>
        </is>
      </c>
      <c r="E553" s="54" t="inlineStr">
        <is>
          <t>King</t>
        </is>
      </c>
      <c r="F553" s="54" t="inlineStr">
        <is>
          <t>Lavender</t>
        </is>
      </c>
      <c r="G553" s="55" t="n">
        <v>32</v>
      </c>
      <c r="H553" s="167" t="n">
        <v>639.02</v>
      </c>
      <c r="I553" s="167" t="n">
        <v>0</v>
      </c>
      <c r="J553" s="171">
        <f>IF(AND(N(G553)&gt;0,N(H553)+N(I553)&gt;0),(H553+I553)*U553/G553,"")</f>
        <v/>
      </c>
      <c r="K553" s="172" t="n">
        <v>52.99</v>
      </c>
      <c r="L553" s="172" t="n">
        <v>50.34</v>
      </c>
      <c r="M553" s="54" t="inlineStr">
        <is>
          <t>Eligible</t>
        </is>
      </c>
      <c r="N553" s="171">
        <f>IF(OR(J553="",L553=""),"",L553-J553)</f>
        <v/>
      </c>
      <c r="O553" s="169">
        <f>IF(OR(J553="",L553=""),"",L553/J553-1)</f>
        <v/>
      </c>
      <c r="P553" s="169">
        <f>IF(OR(J553="",K553=""),"",K553/J553-1)</f>
        <v/>
      </c>
      <c r="Q553" s="54">
        <f>IF(AND(ISNUMBER(J553),ISNUMBER(L553)),1,0)</f>
        <v/>
      </c>
      <c r="R553" s="69">
        <f>IF(Q553=1,G553*L553,0)</f>
        <v/>
      </c>
      <c r="S553" s="69">
        <f>IF(Q553=1,(H553+I553)*U553,0)</f>
        <v/>
      </c>
      <c r="T553" s="59">
        <f>IF(Q553=1,G553,0)</f>
        <v/>
      </c>
      <c r="U553" s="170">
        <f>$G$3</f>
        <v/>
      </c>
    </row>
    <row r="554">
      <c r="A554" s="54" t="inlineStr">
        <is>
          <t>CA DC S4</t>
        </is>
      </c>
      <c r="B554" s="54" t="inlineStr">
        <is>
          <t>CA</t>
        </is>
      </c>
      <c r="C554" s="54" t="inlineStr">
        <is>
          <t>B0CQRY9WLD</t>
        </is>
      </c>
      <c r="D554" s="54" t="inlineStr">
        <is>
          <t>SATIN-4PC-FULL-BABY BLUE</t>
        </is>
      </c>
      <c r="E554" s="54" t="inlineStr">
        <is>
          <t>Full</t>
        </is>
      </c>
      <c r="F554" s="54" t="inlineStr">
        <is>
          <t>Baby Blue</t>
        </is>
      </c>
      <c r="G554" s="55" t="n">
        <v>29</v>
      </c>
      <c r="H554" s="167" t="n">
        <v>704.58</v>
      </c>
      <c r="I554" s="167" t="n">
        <v>0</v>
      </c>
      <c r="J554" s="171">
        <f>IF(AND(N(G554)&gt;0,N(H554)+N(I554)&gt;0),(H554+I554)*U554/G554,"")</f>
        <v/>
      </c>
      <c r="K554" s="172" t="n">
        <v>44.99</v>
      </c>
      <c r="L554" s="172" t="n">
        <v>36.33</v>
      </c>
      <c r="M554" s="54" t="inlineStr">
        <is>
          <t>Eligible</t>
        </is>
      </c>
      <c r="N554" s="171">
        <f>IF(OR(J554="",L554=""),"",L554-J554)</f>
        <v/>
      </c>
      <c r="O554" s="169">
        <f>IF(OR(J554="",L554=""),"",L554/J554-1)</f>
        <v/>
      </c>
      <c r="P554" s="169">
        <f>IF(OR(J554="",K554=""),"",K554/J554-1)</f>
        <v/>
      </c>
      <c r="Q554" s="54">
        <f>IF(AND(ISNUMBER(J554),ISNUMBER(L554)),1,0)</f>
        <v/>
      </c>
      <c r="R554" s="69">
        <f>IF(Q554=1,G554*L554,0)</f>
        <v/>
      </c>
      <c r="S554" s="69">
        <f>IF(Q554=1,(H554+I554)*U554,0)</f>
        <v/>
      </c>
      <c r="T554" s="59">
        <f>IF(Q554=1,G554,0)</f>
        <v/>
      </c>
      <c r="U554" s="170">
        <f>$G$3</f>
        <v/>
      </c>
    </row>
    <row r="555">
      <c r="A555" s="54" t="inlineStr">
        <is>
          <t>CA DC S4</t>
        </is>
      </c>
      <c r="B555" s="54" t="inlineStr">
        <is>
          <t>CA</t>
        </is>
      </c>
      <c r="C555" s="54" t="inlineStr">
        <is>
          <t>B09G6LBXRX</t>
        </is>
      </c>
      <c r="D555" s="54" t="inlineStr">
        <is>
          <t>SATIN-STRIPE-QUEEN-BLACK</t>
        </is>
      </c>
      <c r="E555" s="54" t="inlineStr">
        <is>
          <t>Queen</t>
        </is>
      </c>
      <c r="F555" s="54" t="inlineStr">
        <is>
          <t>Striped Black</t>
        </is>
      </c>
      <c r="G555" s="55" t="n">
        <v>29</v>
      </c>
      <c r="H555" s="167" t="n">
        <v>765.26</v>
      </c>
      <c r="I555" s="167" t="n">
        <v>0</v>
      </c>
      <c r="J555" s="171">
        <f>IF(AND(N(G555)&gt;0,N(H555)+N(I555)&gt;0),(H555+I555)*U555/G555,"")</f>
        <v/>
      </c>
      <c r="K555" s="172" t="n">
        <v>47.99</v>
      </c>
      <c r="L555" s="172" t="n">
        <v>45.59</v>
      </c>
      <c r="M555" s="54" t="inlineStr">
        <is>
          <t>Eligible</t>
        </is>
      </c>
      <c r="N555" s="171">
        <f>IF(OR(J555="",L555=""),"",L555-J555)</f>
        <v/>
      </c>
      <c r="O555" s="169">
        <f>IF(OR(J555="",L555=""),"",L555/J555-1)</f>
        <v/>
      </c>
      <c r="P555" s="169">
        <f>IF(OR(J555="",K555=""),"",K555/J555-1)</f>
        <v/>
      </c>
      <c r="Q555" s="54">
        <f>IF(AND(ISNUMBER(J555),ISNUMBER(L555)),1,0)</f>
        <v/>
      </c>
      <c r="R555" s="69">
        <f>IF(Q555=1,G555*L555,0)</f>
        <v/>
      </c>
      <c r="S555" s="69">
        <f>IF(Q555=1,(H555+I555)*U555,0)</f>
        <v/>
      </c>
      <c r="T555" s="59">
        <f>IF(Q555=1,G555,0)</f>
        <v/>
      </c>
      <c r="U555" s="170">
        <f>$G$3</f>
        <v/>
      </c>
    </row>
    <row r="556">
      <c r="A556" s="54" t="inlineStr">
        <is>
          <t>CA DC S4</t>
        </is>
      </c>
      <c r="B556" s="54" t="inlineStr">
        <is>
          <t>CA</t>
        </is>
      </c>
      <c r="C556" s="54" t="inlineStr">
        <is>
          <t>B0839L7PJL</t>
        </is>
      </c>
      <c r="D556" s="54" t="inlineStr">
        <is>
          <t>SATIN-TWIN-BLACK-NEW</t>
        </is>
      </c>
      <c r="E556" s="54" t="inlineStr">
        <is>
          <t>Twin</t>
        </is>
      </c>
      <c r="F556" s="54" t="inlineStr">
        <is>
          <t>Black</t>
        </is>
      </c>
      <c r="G556" s="55" t="n">
        <v>29</v>
      </c>
      <c r="H556" s="167" t="n">
        <v>654.46</v>
      </c>
      <c r="I556" s="167" t="n">
        <v>0</v>
      </c>
      <c r="J556" s="171">
        <f>IF(AND(N(G556)&gt;0,N(H556)+N(I556)&gt;0),(H556+I556)*U556/G556,"")</f>
        <v/>
      </c>
      <c r="K556" s="172" t="n">
        <v>39.99</v>
      </c>
      <c r="L556" s="172" t="n">
        <v>33.99</v>
      </c>
      <c r="M556" s="54" t="inlineStr">
        <is>
          <t>Eligible</t>
        </is>
      </c>
      <c r="N556" s="171">
        <f>IF(OR(J556="",L556=""),"",L556-J556)</f>
        <v/>
      </c>
      <c r="O556" s="169">
        <f>IF(OR(J556="",L556=""),"",L556/J556-1)</f>
        <v/>
      </c>
      <c r="P556" s="169">
        <f>IF(OR(J556="",K556=""),"",K556/J556-1)</f>
        <v/>
      </c>
      <c r="Q556" s="54">
        <f>IF(AND(ISNUMBER(J556),ISNUMBER(L556)),1,0)</f>
        <v/>
      </c>
      <c r="R556" s="69">
        <f>IF(Q556=1,G556*L556,0)</f>
        <v/>
      </c>
      <c r="S556" s="69">
        <f>IF(Q556=1,(H556+I556)*U556,0)</f>
        <v/>
      </c>
      <c r="T556" s="59">
        <f>IF(Q556=1,G556,0)</f>
        <v/>
      </c>
      <c r="U556" s="170">
        <f>$G$3</f>
        <v/>
      </c>
    </row>
    <row r="557">
      <c r="A557" s="54" t="inlineStr">
        <is>
          <t>CA DC S4</t>
        </is>
      </c>
      <c r="B557" s="54" t="inlineStr">
        <is>
          <t>CA</t>
        </is>
      </c>
      <c r="C557" s="54" t="inlineStr">
        <is>
          <t>B0BG228RDJ</t>
        </is>
      </c>
      <c r="D557" s="54" t="inlineStr">
        <is>
          <t>SATIN-SEA-TEAL-QUEEN</t>
        </is>
      </c>
      <c r="E557" s="54" t="inlineStr">
        <is>
          <t>Queen</t>
        </is>
      </c>
      <c r="F557" s="54" t="inlineStr">
        <is>
          <t>Sea Teal</t>
        </is>
      </c>
      <c r="G557" s="55" t="n">
        <v>26</v>
      </c>
      <c r="H557" s="167" t="n">
        <v>685.97</v>
      </c>
      <c r="I557" s="167" t="n">
        <v>0</v>
      </c>
      <c r="J557" s="171">
        <f>IF(AND(N(G557)&gt;0,N(H557)+N(I557)&gt;0),(H557+I557)*U557/G557,"")</f>
        <v/>
      </c>
      <c r="K557" s="172" t="n">
        <v>47.99</v>
      </c>
      <c r="L557" s="172" t="n"/>
      <c r="M557" s="54" t="inlineStr">
        <is>
          <t>Out of stock</t>
        </is>
      </c>
      <c r="N557" s="171">
        <f>IF(OR(J557="",L557=""),"",L557-J557)</f>
        <v/>
      </c>
      <c r="O557" s="169">
        <f>IF(OR(J557="",L557=""),"",L557/J557-1)</f>
        <v/>
      </c>
      <c r="P557" s="169">
        <f>IF(OR(J557="",K557=""),"",K557/J557-1)</f>
        <v/>
      </c>
      <c r="Q557" s="54">
        <f>IF(AND(ISNUMBER(J557),ISNUMBER(L557)),1,0)</f>
        <v/>
      </c>
      <c r="R557" s="69">
        <f>IF(Q557=1,G557*L557,0)</f>
        <v/>
      </c>
      <c r="S557" s="69">
        <f>IF(Q557=1,(H557+I557)*U557,0)</f>
        <v/>
      </c>
      <c r="T557" s="59">
        <f>IF(Q557=1,G557,0)</f>
        <v/>
      </c>
      <c r="U557" s="170">
        <f>$G$3</f>
        <v/>
      </c>
    </row>
    <row r="558">
      <c r="A558" s="54" t="inlineStr">
        <is>
          <t>CA DC S4</t>
        </is>
      </c>
      <c r="B558" s="54" t="inlineStr">
        <is>
          <t>CA</t>
        </is>
      </c>
      <c r="C558" s="54" t="inlineStr">
        <is>
          <t>B0839LVHL1</t>
        </is>
      </c>
      <c r="D558" s="54" t="inlineStr">
        <is>
          <t>SATIN-TWIN-PINK</t>
        </is>
      </c>
      <c r="E558" s="54" t="inlineStr">
        <is>
          <t>Twin</t>
        </is>
      </c>
      <c r="F558" s="54" t="inlineStr">
        <is>
          <t>Pink</t>
        </is>
      </c>
      <c r="G558" s="55" t="n">
        <v>25</v>
      </c>
      <c r="H558" s="167" t="n">
        <v>562.6900000000001</v>
      </c>
      <c r="I558" s="167" t="n">
        <v>0</v>
      </c>
      <c r="J558" s="171">
        <f>IF(AND(N(G558)&gt;0,N(H558)+N(I558)&gt;0),(H558+I558)*U558/G558,"")</f>
        <v/>
      </c>
      <c r="K558" s="172" t="n">
        <v>44.99</v>
      </c>
      <c r="L558" s="172" t="n">
        <v>37.99</v>
      </c>
      <c r="M558" s="54" t="inlineStr">
        <is>
          <t>Eligible</t>
        </is>
      </c>
      <c r="N558" s="171">
        <f>IF(OR(J558="",L558=""),"",L558-J558)</f>
        <v/>
      </c>
      <c r="O558" s="169">
        <f>IF(OR(J558="",L558=""),"",L558/J558-1)</f>
        <v/>
      </c>
      <c r="P558" s="169">
        <f>IF(OR(J558="",K558=""),"",K558/J558-1)</f>
        <v/>
      </c>
      <c r="Q558" s="54">
        <f>IF(AND(ISNUMBER(J558),ISNUMBER(L558)),1,0)</f>
        <v/>
      </c>
      <c r="R558" s="69">
        <f>IF(Q558=1,G558*L558,0)</f>
        <v/>
      </c>
      <c r="S558" s="69">
        <f>IF(Q558=1,(H558+I558)*U558,0)</f>
        <v/>
      </c>
      <c r="T558" s="59">
        <f>IF(Q558=1,G558,0)</f>
        <v/>
      </c>
      <c r="U558" s="170">
        <f>$G$3</f>
        <v/>
      </c>
    </row>
    <row r="559">
      <c r="A559" s="54" t="inlineStr">
        <is>
          <t>CA DC S4</t>
        </is>
      </c>
      <c r="B559" s="54" t="inlineStr">
        <is>
          <t>CA</t>
        </is>
      </c>
      <c r="C559" s="54" t="inlineStr">
        <is>
          <t>B0CQRXM35T</t>
        </is>
      </c>
      <c r="D559" s="54" t="inlineStr">
        <is>
          <t>SATIN-3PC-TWIN-BABY BLUE</t>
        </is>
      </c>
      <c r="E559" s="54" t="inlineStr">
        <is>
          <t>Twin</t>
        </is>
      </c>
      <c r="F559" s="54" t="inlineStr">
        <is>
          <t>Baby Blue</t>
        </is>
      </c>
      <c r="G559" s="55" t="n">
        <v>24</v>
      </c>
      <c r="H559" s="167" t="n">
        <v>406.12</v>
      </c>
      <c r="I559" s="167" t="n">
        <v>0</v>
      </c>
      <c r="J559" s="171">
        <f>IF(AND(N(G559)&gt;0,N(H559)+N(I559)&gt;0),(H559+I559)*U559/G559,"")</f>
        <v/>
      </c>
      <c r="K559" s="172" t="n">
        <v>39.99</v>
      </c>
      <c r="L559" s="172" t="n">
        <v>37.99</v>
      </c>
      <c r="M559" s="54" t="inlineStr">
        <is>
          <t>Eligible</t>
        </is>
      </c>
      <c r="N559" s="171">
        <f>IF(OR(J559="",L559=""),"",L559-J559)</f>
        <v/>
      </c>
      <c r="O559" s="169">
        <f>IF(OR(J559="",L559=""),"",L559/J559-1)</f>
        <v/>
      </c>
      <c r="P559" s="169">
        <f>IF(OR(J559="",K559=""),"",K559/J559-1)</f>
        <v/>
      </c>
      <c r="Q559" s="54">
        <f>IF(AND(ISNUMBER(J559),ISNUMBER(L559)),1,0)</f>
        <v/>
      </c>
      <c r="R559" s="69">
        <f>IF(Q559=1,G559*L559,0)</f>
        <v/>
      </c>
      <c r="S559" s="69">
        <f>IF(Q559=1,(H559+I559)*U559,0)</f>
        <v/>
      </c>
      <c r="T559" s="59">
        <f>IF(Q559=1,G559,0)</f>
        <v/>
      </c>
      <c r="U559" s="170">
        <f>$G$3</f>
        <v/>
      </c>
    </row>
    <row r="560">
      <c r="A560" s="54" t="inlineStr">
        <is>
          <t>CA DC S4</t>
        </is>
      </c>
      <c r="B560" s="54" t="inlineStr">
        <is>
          <t>CA</t>
        </is>
      </c>
      <c r="C560" s="54" t="inlineStr">
        <is>
          <t>B0CQRXZLFQ</t>
        </is>
      </c>
      <c r="D560" s="54" t="inlineStr">
        <is>
          <t>SATIN-4PC-FULL-LAVENDER</t>
        </is>
      </c>
      <c r="E560" s="54" t="inlineStr">
        <is>
          <t>Full</t>
        </is>
      </c>
      <c r="F560" s="54" t="inlineStr">
        <is>
          <t>Lavender</t>
        </is>
      </c>
      <c r="G560" s="55" t="n">
        <v>23</v>
      </c>
      <c r="H560" s="167" t="n">
        <v>560.1</v>
      </c>
      <c r="I560" s="167" t="n">
        <v>0</v>
      </c>
      <c r="J560" s="171">
        <f>IF(AND(N(G560)&gt;0,N(H560)+N(I560)&gt;0),(H560+I560)*U560/G560,"")</f>
        <v/>
      </c>
      <c r="K560" s="172" t="n">
        <v>44.99</v>
      </c>
      <c r="L560" s="172" t="n">
        <v>42.74</v>
      </c>
      <c r="M560" s="54" t="inlineStr">
        <is>
          <t>Eligible</t>
        </is>
      </c>
      <c r="N560" s="171">
        <f>IF(OR(J560="",L560=""),"",L560-J560)</f>
        <v/>
      </c>
      <c r="O560" s="169">
        <f>IF(OR(J560="",L560=""),"",L560/J560-1)</f>
        <v/>
      </c>
      <c r="P560" s="169">
        <f>IF(OR(J560="",K560=""),"",K560/J560-1)</f>
        <v/>
      </c>
      <c r="Q560" s="54">
        <f>IF(AND(ISNUMBER(J560),ISNUMBER(L560)),1,0)</f>
        <v/>
      </c>
      <c r="R560" s="69">
        <f>IF(Q560=1,G560*L560,0)</f>
        <v/>
      </c>
      <c r="S560" s="69">
        <f>IF(Q560=1,(H560+I560)*U560,0)</f>
        <v/>
      </c>
      <c r="T560" s="59">
        <f>IF(Q560=1,G560,0)</f>
        <v/>
      </c>
      <c r="U560" s="170">
        <f>$G$3</f>
        <v/>
      </c>
    </row>
    <row r="561">
      <c r="A561" s="54" t="inlineStr">
        <is>
          <t>CA DC S4</t>
        </is>
      </c>
      <c r="B561" s="54" t="inlineStr">
        <is>
          <t>CA</t>
        </is>
      </c>
      <c r="C561" s="54" t="inlineStr">
        <is>
          <t>B0CQRYGLY3</t>
        </is>
      </c>
      <c r="D561" s="54" t="inlineStr">
        <is>
          <t>SATIN-4PC-FULL-NAVY BLUE</t>
        </is>
      </c>
      <c r="E561" s="54" t="inlineStr">
        <is>
          <t>Full</t>
        </is>
      </c>
      <c r="F561" s="54" t="inlineStr">
        <is>
          <t>Navy Blue</t>
        </is>
      </c>
      <c r="G561" s="55" t="n">
        <v>22</v>
      </c>
      <c r="H561" s="167" t="n">
        <v>564.08</v>
      </c>
      <c r="I561" s="167" t="n">
        <v>0</v>
      </c>
      <c r="J561" s="171">
        <f>IF(AND(N(G561)&gt;0,N(H561)+N(I561)&gt;0),(H561+I561)*U561/G561,"")</f>
        <v/>
      </c>
      <c r="K561" s="172" t="n">
        <v>44.99</v>
      </c>
      <c r="L561" s="172" t="n">
        <v>36.33</v>
      </c>
      <c r="M561" s="54" t="inlineStr">
        <is>
          <t>Eligible</t>
        </is>
      </c>
      <c r="N561" s="171">
        <f>IF(OR(J561="",L561=""),"",L561-J561)</f>
        <v/>
      </c>
      <c r="O561" s="169">
        <f>IF(OR(J561="",L561=""),"",L561/J561-1)</f>
        <v/>
      </c>
      <c r="P561" s="169">
        <f>IF(OR(J561="",K561=""),"",K561/J561-1)</f>
        <v/>
      </c>
      <c r="Q561" s="54">
        <f>IF(AND(ISNUMBER(J561),ISNUMBER(L561)),1,0)</f>
        <v/>
      </c>
      <c r="R561" s="69">
        <f>IF(Q561=1,G561*L561,0)</f>
        <v/>
      </c>
      <c r="S561" s="69">
        <f>IF(Q561=1,(H561+I561)*U561,0)</f>
        <v/>
      </c>
      <c r="T561" s="59">
        <f>IF(Q561=1,G561,0)</f>
        <v/>
      </c>
      <c r="U561" s="170">
        <f>$G$3</f>
        <v/>
      </c>
    </row>
    <row r="562">
      <c r="A562" s="54" t="inlineStr">
        <is>
          <t>CA DC S4</t>
        </is>
      </c>
      <c r="B562" s="54" t="inlineStr">
        <is>
          <t>CA</t>
        </is>
      </c>
      <c r="C562" s="54" t="inlineStr">
        <is>
          <t>B08KRNYD9B</t>
        </is>
      </c>
      <c r="D562" s="54" t="inlineStr">
        <is>
          <t>SATIN-WHITE-FULL</t>
        </is>
      </c>
      <c r="E562" s="54" t="inlineStr">
        <is>
          <t>Full</t>
        </is>
      </c>
      <c r="F562" s="54" t="inlineStr">
        <is>
          <t>White</t>
        </is>
      </c>
      <c r="G562" s="55" t="n">
        <v>22</v>
      </c>
      <c r="H562" s="167" t="n">
        <v>564.65</v>
      </c>
      <c r="I562" s="167" t="n">
        <v>0</v>
      </c>
      <c r="J562" s="171">
        <f>IF(AND(N(G562)&gt;0,N(H562)+N(I562)&gt;0),(H562+I562)*U562/G562,"")</f>
        <v/>
      </c>
      <c r="K562" s="172" t="n">
        <v>44.99</v>
      </c>
      <c r="L562" s="172" t="n">
        <v>42.74</v>
      </c>
      <c r="M562" s="54" t="inlineStr">
        <is>
          <t>Eligible</t>
        </is>
      </c>
      <c r="N562" s="171">
        <f>IF(OR(J562="",L562=""),"",L562-J562)</f>
        <v/>
      </c>
      <c r="O562" s="169">
        <f>IF(OR(J562="",L562=""),"",L562/J562-1)</f>
        <v/>
      </c>
      <c r="P562" s="169">
        <f>IF(OR(J562="",K562=""),"",K562/J562-1)</f>
        <v/>
      </c>
      <c r="Q562" s="54">
        <f>IF(AND(ISNUMBER(J562),ISNUMBER(L562)),1,0)</f>
        <v/>
      </c>
      <c r="R562" s="69">
        <f>IF(Q562=1,G562*L562,0)</f>
        <v/>
      </c>
      <c r="S562" s="69">
        <f>IF(Q562=1,(H562+I562)*U562,0)</f>
        <v/>
      </c>
      <c r="T562" s="59">
        <f>IF(Q562=1,G562,0)</f>
        <v/>
      </c>
      <c r="U562" s="170">
        <f>$G$3</f>
        <v/>
      </c>
    </row>
    <row r="563">
      <c r="A563" s="54" t="inlineStr">
        <is>
          <t>CA DC S4</t>
        </is>
      </c>
      <c r="B563" s="54" t="inlineStr">
        <is>
          <t>CA</t>
        </is>
      </c>
      <c r="C563" s="54" t="inlineStr">
        <is>
          <t>B0CV4D38W9</t>
        </is>
      </c>
      <c r="D563" s="54" t="inlineStr">
        <is>
          <t>SATIN-4PC-KING-GREY</t>
        </is>
      </c>
      <c r="E563" s="54" t="inlineStr">
        <is>
          <t>King</t>
        </is>
      </c>
      <c r="F563" s="54" t="inlineStr">
        <is>
          <t>Grey</t>
        </is>
      </c>
      <c r="G563" s="55" t="n">
        <v>22</v>
      </c>
      <c r="H563" s="167" t="n">
        <v>625.98</v>
      </c>
      <c r="I563" s="167" t="n">
        <v>0</v>
      </c>
      <c r="J563" s="171">
        <f>IF(AND(N(G563)&gt;0,N(H563)+N(I563)&gt;0),(H563+I563)*U563/G563,"")</f>
        <v/>
      </c>
      <c r="K563" s="172" t="n">
        <v>52.99</v>
      </c>
      <c r="L563" s="172" t="n">
        <v>45.04</v>
      </c>
      <c r="M563" s="54" t="inlineStr">
        <is>
          <t>Eligible</t>
        </is>
      </c>
      <c r="N563" s="171">
        <f>IF(OR(J563="",L563=""),"",L563-J563)</f>
        <v/>
      </c>
      <c r="O563" s="169">
        <f>IF(OR(J563="",L563=""),"",L563/J563-1)</f>
        <v/>
      </c>
      <c r="P563" s="169">
        <f>IF(OR(J563="",K563=""),"",K563/J563-1)</f>
        <v/>
      </c>
      <c r="Q563" s="54">
        <f>IF(AND(ISNUMBER(J563),ISNUMBER(L563)),1,0)</f>
        <v/>
      </c>
      <c r="R563" s="69">
        <f>IF(Q563=1,G563*L563,0)</f>
        <v/>
      </c>
      <c r="S563" s="69">
        <f>IF(Q563=1,(H563+I563)*U563,0)</f>
        <v/>
      </c>
      <c r="T563" s="59">
        <f>IF(Q563=1,G563,0)</f>
        <v/>
      </c>
      <c r="U563" s="170">
        <f>$G$3</f>
        <v/>
      </c>
    </row>
    <row r="564">
      <c r="A564" s="54" t="inlineStr">
        <is>
          <t>CA DC S4</t>
        </is>
      </c>
      <c r="B564" s="54" t="inlineStr">
        <is>
          <t>CA</t>
        </is>
      </c>
      <c r="C564" s="54" t="inlineStr">
        <is>
          <t>B09G6J1HVY</t>
        </is>
      </c>
      <c r="D564" s="54" t="inlineStr">
        <is>
          <t>SATIN-STRIPE-FULL-GRAY</t>
        </is>
      </c>
      <c r="E564" s="54" t="inlineStr">
        <is>
          <t>Full</t>
        </is>
      </c>
      <c r="F564" s="54" t="inlineStr">
        <is>
          <t>Striped Grey</t>
        </is>
      </c>
      <c r="G564" s="55" t="n">
        <v>21</v>
      </c>
      <c r="H564" s="167" t="n">
        <v>375.7</v>
      </c>
      <c r="I564" s="167" t="n">
        <v>0</v>
      </c>
      <c r="J564" s="171">
        <f>IF(AND(N(G564)&gt;0,N(H564)+N(I564)&gt;0),(H564+I564)*U564/G564,"")</f>
        <v/>
      </c>
      <c r="K564" s="172" t="n">
        <v>44.99</v>
      </c>
      <c r="L564" s="172" t="n">
        <v>44.99</v>
      </c>
      <c r="M564" s="54" t="inlineStr">
        <is>
          <t>Eligible</t>
        </is>
      </c>
      <c r="N564" s="171">
        <f>IF(OR(J564="",L564=""),"",L564-J564)</f>
        <v/>
      </c>
      <c r="O564" s="169">
        <f>IF(OR(J564="",L564=""),"",L564/J564-1)</f>
        <v/>
      </c>
      <c r="P564" s="169">
        <f>IF(OR(J564="",K564=""),"",K564/J564-1)</f>
        <v/>
      </c>
      <c r="Q564" s="54">
        <f>IF(AND(ISNUMBER(J564),ISNUMBER(L564)),1,0)</f>
        <v/>
      </c>
      <c r="R564" s="69">
        <f>IF(Q564=1,G564*L564,0)</f>
        <v/>
      </c>
      <c r="S564" s="69">
        <f>IF(Q564=1,(H564+I564)*U564,0)</f>
        <v/>
      </c>
      <c r="T564" s="59">
        <f>IF(Q564=1,G564,0)</f>
        <v/>
      </c>
      <c r="U564" s="170">
        <f>$G$3</f>
        <v/>
      </c>
    </row>
    <row r="565">
      <c r="A565" s="54" t="inlineStr">
        <is>
          <t>CA DC S4</t>
        </is>
      </c>
      <c r="B565" s="54" t="inlineStr">
        <is>
          <t>CA</t>
        </is>
      </c>
      <c r="C565" s="54" t="inlineStr">
        <is>
          <t>B0BG1YXQGT</t>
        </is>
      </c>
      <c r="D565" s="54" t="inlineStr">
        <is>
          <t>SATIN-IVORY-QUEEN</t>
        </is>
      </c>
      <c r="E565" s="54" t="inlineStr">
        <is>
          <t>Queen</t>
        </is>
      </c>
      <c r="F565" s="54" t="inlineStr">
        <is>
          <t>Ivory</t>
        </is>
      </c>
      <c r="G565" s="55" t="n">
        <v>21</v>
      </c>
      <c r="H565" s="167" t="n">
        <v>553.8099999999999</v>
      </c>
      <c r="I565" s="167" t="n">
        <v>0</v>
      </c>
      <c r="J565" s="171">
        <f>IF(AND(N(G565)&gt;0,N(H565)+N(I565)&gt;0),(H565+I565)*U565/G565,"")</f>
        <v/>
      </c>
      <c r="K565" s="172" t="n">
        <v>47.99</v>
      </c>
      <c r="L565" s="172" t="n">
        <v>45.59</v>
      </c>
      <c r="M565" s="54" t="inlineStr">
        <is>
          <t>Eligible</t>
        </is>
      </c>
      <c r="N565" s="171">
        <f>IF(OR(J565="",L565=""),"",L565-J565)</f>
        <v/>
      </c>
      <c r="O565" s="169">
        <f>IF(OR(J565="",L565=""),"",L565/J565-1)</f>
        <v/>
      </c>
      <c r="P565" s="169">
        <f>IF(OR(J565="",K565=""),"",K565/J565-1)</f>
        <v/>
      </c>
      <c r="Q565" s="54">
        <f>IF(AND(ISNUMBER(J565),ISNUMBER(L565)),1,0)</f>
        <v/>
      </c>
      <c r="R565" s="69">
        <f>IF(Q565=1,G565*L565,0)</f>
        <v/>
      </c>
      <c r="S565" s="69">
        <f>IF(Q565=1,(H565+I565)*U565,0)</f>
        <v/>
      </c>
      <c r="T565" s="59">
        <f>IF(Q565=1,G565,0)</f>
        <v/>
      </c>
      <c r="U565" s="170">
        <f>$G$3</f>
        <v/>
      </c>
    </row>
    <row r="566">
      <c r="A566" s="54" t="inlineStr">
        <is>
          <t>CA DC S4</t>
        </is>
      </c>
      <c r="B566" s="54" t="inlineStr">
        <is>
          <t>CA</t>
        </is>
      </c>
      <c r="C566" s="54" t="inlineStr">
        <is>
          <t>B0BG23H2QY</t>
        </is>
      </c>
      <c r="D566" s="54" t="inlineStr">
        <is>
          <t>SATIN-STONEGREY-FULL</t>
        </is>
      </c>
      <c r="E566" s="54" t="inlineStr">
        <is>
          <t>Full</t>
        </is>
      </c>
      <c r="F566" s="54" t="inlineStr">
        <is>
          <t>Stone Grey</t>
        </is>
      </c>
      <c r="G566" s="55" t="n">
        <v>20</v>
      </c>
      <c r="H566" s="167" t="n">
        <v>486.94</v>
      </c>
      <c r="I566" s="167" t="n">
        <v>0</v>
      </c>
      <c r="J566" s="171">
        <f>IF(AND(N(G566)&gt;0,N(H566)+N(I566)&gt;0),(H566+I566)*U566/G566,"")</f>
        <v/>
      </c>
      <c r="K566" s="172" t="n">
        <v>44.99</v>
      </c>
      <c r="L566" s="172" t="n">
        <v>44.99</v>
      </c>
      <c r="M566" s="54" t="inlineStr">
        <is>
          <t>Eligible</t>
        </is>
      </c>
      <c r="N566" s="171">
        <f>IF(OR(J566="",L566=""),"",L566-J566)</f>
        <v/>
      </c>
      <c r="O566" s="169">
        <f>IF(OR(J566="",L566=""),"",L566/J566-1)</f>
        <v/>
      </c>
      <c r="P566" s="169">
        <f>IF(OR(J566="",K566=""),"",K566/J566-1)</f>
        <v/>
      </c>
      <c r="Q566" s="54">
        <f>IF(AND(ISNUMBER(J566),ISNUMBER(L566)),1,0)</f>
        <v/>
      </c>
      <c r="R566" s="69">
        <f>IF(Q566=1,G566*L566,0)</f>
        <v/>
      </c>
      <c r="S566" s="69">
        <f>IF(Q566=1,(H566+I566)*U566,0)</f>
        <v/>
      </c>
      <c r="T566" s="59">
        <f>IF(Q566=1,G566,0)</f>
        <v/>
      </c>
      <c r="U566" s="170">
        <f>$G$3</f>
        <v/>
      </c>
    </row>
    <row r="567">
      <c r="A567" s="54" t="inlineStr">
        <is>
          <t>CA DC S4</t>
        </is>
      </c>
      <c r="B567" s="54" t="inlineStr">
        <is>
          <t>CA</t>
        </is>
      </c>
      <c r="C567" s="54" t="inlineStr">
        <is>
          <t>B0BZPXJH4Q</t>
        </is>
      </c>
      <c r="D567" s="54" t="inlineStr">
        <is>
          <t>SATIN-CHAMPAGNE-KING</t>
        </is>
      </c>
      <c r="E567" s="54" t="inlineStr">
        <is>
          <t>King</t>
        </is>
      </c>
      <c r="F567" s="54" t="inlineStr">
        <is>
          <t>Champagne-01</t>
        </is>
      </c>
      <c r="G567" s="55" t="n">
        <v>19</v>
      </c>
      <c r="H567" s="167" t="n">
        <v>502.47</v>
      </c>
      <c r="I567" s="167" t="n">
        <v>0</v>
      </c>
      <c r="J567" s="171">
        <f>IF(AND(N(G567)&gt;0,N(H567)+N(I567)&gt;0),(H567+I567)*U567/G567,"")</f>
        <v/>
      </c>
      <c r="K567" s="172" t="n">
        <v>52.99</v>
      </c>
      <c r="L567" s="172" t="n"/>
      <c r="M567" s="54" t="inlineStr">
        <is>
          <t>Out of stock</t>
        </is>
      </c>
      <c r="N567" s="171">
        <f>IF(OR(J567="",L567=""),"",L567-J567)</f>
        <v/>
      </c>
      <c r="O567" s="169">
        <f>IF(OR(J567="",L567=""),"",L567/J567-1)</f>
        <v/>
      </c>
      <c r="P567" s="169">
        <f>IF(OR(J567="",K567=""),"",K567/J567-1)</f>
        <v/>
      </c>
      <c r="Q567" s="54">
        <f>IF(AND(ISNUMBER(J567),ISNUMBER(L567)),1,0)</f>
        <v/>
      </c>
      <c r="R567" s="69">
        <f>IF(Q567=1,G567*L567,0)</f>
        <v/>
      </c>
      <c r="S567" s="69">
        <f>IF(Q567=1,(H567+I567)*U567,0)</f>
        <v/>
      </c>
      <c r="T567" s="59">
        <f>IF(Q567=1,G567,0)</f>
        <v/>
      </c>
      <c r="U567" s="170">
        <f>$G$3</f>
        <v/>
      </c>
    </row>
    <row r="568">
      <c r="A568" s="54" t="inlineStr">
        <is>
          <t>CA DC S4</t>
        </is>
      </c>
      <c r="B568" s="54" t="inlineStr">
        <is>
          <t>CA</t>
        </is>
      </c>
      <c r="C568" s="54" t="inlineStr">
        <is>
          <t>B0CQRWSS2D</t>
        </is>
      </c>
      <c r="D568" s="54" t="inlineStr">
        <is>
          <t>SATIN-4PC-QUEEN-SAGE GREEN</t>
        </is>
      </c>
      <c r="E568" s="54" t="inlineStr">
        <is>
          <t>Queen</t>
        </is>
      </c>
      <c r="F568" s="54" t="inlineStr">
        <is>
          <t>Sage Green</t>
        </is>
      </c>
      <c r="G568" s="55" t="n">
        <v>19</v>
      </c>
      <c r="H568" s="167" t="n">
        <v>501.23</v>
      </c>
      <c r="I568" s="167" t="n">
        <v>0</v>
      </c>
      <c r="J568" s="171">
        <f>IF(AND(N(G568)&gt;0,N(H568)+N(I568)&gt;0),(H568+I568)*U568/G568,"")</f>
        <v/>
      </c>
      <c r="K568" s="172" t="n">
        <v>47.99</v>
      </c>
      <c r="L568" s="172" t="n">
        <v>45.59</v>
      </c>
      <c r="M568" s="54" t="inlineStr">
        <is>
          <t>Eligible</t>
        </is>
      </c>
      <c r="N568" s="171">
        <f>IF(OR(J568="",L568=""),"",L568-J568)</f>
        <v/>
      </c>
      <c r="O568" s="169">
        <f>IF(OR(J568="",L568=""),"",L568/J568-1)</f>
        <v/>
      </c>
      <c r="P568" s="169">
        <f>IF(OR(J568="",K568=""),"",K568/J568-1)</f>
        <v/>
      </c>
      <c r="Q568" s="54">
        <f>IF(AND(ISNUMBER(J568),ISNUMBER(L568)),1,0)</f>
        <v/>
      </c>
      <c r="R568" s="69">
        <f>IF(Q568=1,G568*L568,0)</f>
        <v/>
      </c>
      <c r="S568" s="69">
        <f>IF(Q568=1,(H568+I568)*U568,0)</f>
        <v/>
      </c>
      <c r="T568" s="59">
        <f>IF(Q568=1,G568,0)</f>
        <v/>
      </c>
      <c r="U568" s="170">
        <f>$G$3</f>
        <v/>
      </c>
    </row>
    <row r="569">
      <c r="A569" s="54" t="inlineStr">
        <is>
          <t>CA DC S4</t>
        </is>
      </c>
      <c r="B569" s="54" t="inlineStr">
        <is>
          <t>CA</t>
        </is>
      </c>
      <c r="C569" s="54" t="inlineStr">
        <is>
          <t>B09G6KCTXW</t>
        </is>
      </c>
      <c r="D569" s="54" t="inlineStr">
        <is>
          <t>SATIN-STRIPE-QUEEN-RED</t>
        </is>
      </c>
      <c r="E569" s="54" t="inlineStr">
        <is>
          <t>Queen</t>
        </is>
      </c>
      <c r="F569" s="54" t="inlineStr">
        <is>
          <t>Striped Red</t>
        </is>
      </c>
      <c r="G569" s="55" t="n">
        <v>19</v>
      </c>
      <c r="H569" s="167" t="n">
        <v>501.25</v>
      </c>
      <c r="I569" s="167" t="n">
        <v>0</v>
      </c>
      <c r="J569" s="171">
        <f>IF(AND(N(G569)&gt;0,N(H569)+N(I569)&gt;0),(H569+I569)*U569/G569,"")</f>
        <v/>
      </c>
      <c r="K569" s="172" t="n">
        <v>47.99</v>
      </c>
      <c r="L569" s="172" t="n">
        <v>45.59</v>
      </c>
      <c r="M569" s="54" t="inlineStr">
        <is>
          <t>Eligible</t>
        </is>
      </c>
      <c r="N569" s="171">
        <f>IF(OR(J569="",L569=""),"",L569-J569)</f>
        <v/>
      </c>
      <c r="O569" s="169">
        <f>IF(OR(J569="",L569=""),"",L569/J569-1)</f>
        <v/>
      </c>
      <c r="P569" s="169">
        <f>IF(OR(J569="",K569=""),"",K569/J569-1)</f>
        <v/>
      </c>
      <c r="Q569" s="54">
        <f>IF(AND(ISNUMBER(J569),ISNUMBER(L569)),1,0)</f>
        <v/>
      </c>
      <c r="R569" s="69">
        <f>IF(Q569=1,G569*L569,0)</f>
        <v/>
      </c>
      <c r="S569" s="69">
        <f>IF(Q569=1,(H569+I569)*U569,0)</f>
        <v/>
      </c>
      <c r="T569" s="59">
        <f>IF(Q569=1,G569,0)</f>
        <v/>
      </c>
      <c r="U569" s="170">
        <f>$G$3</f>
        <v/>
      </c>
    </row>
    <row r="570">
      <c r="A570" s="54" t="inlineStr">
        <is>
          <t>CA DC S4</t>
        </is>
      </c>
      <c r="B570" s="54" t="inlineStr">
        <is>
          <t>CA</t>
        </is>
      </c>
      <c r="C570" s="54" t="inlineStr">
        <is>
          <t>B0CQRXNLN6</t>
        </is>
      </c>
      <c r="D570" s="54" t="inlineStr">
        <is>
          <t>SATIN-4PC-KING-NAVY BLUE</t>
        </is>
      </c>
      <c r="E570" s="54" t="inlineStr">
        <is>
          <t>King</t>
        </is>
      </c>
      <c r="F570" s="54" t="inlineStr">
        <is>
          <t>Navy Blue</t>
        </is>
      </c>
      <c r="G570" s="55" t="n">
        <v>18</v>
      </c>
      <c r="H570" s="167" t="n">
        <v>523.53</v>
      </c>
      <c r="I570" s="167" t="n">
        <v>0</v>
      </c>
      <c r="J570" s="171">
        <f>IF(AND(N(G570)&gt;0,N(H570)+N(I570)&gt;0),(H570+I570)*U570/G570,"")</f>
        <v/>
      </c>
      <c r="K570" s="172" t="n">
        <v>52.99</v>
      </c>
      <c r="L570" s="172" t="n">
        <v>50.34</v>
      </c>
      <c r="M570" s="54" t="inlineStr">
        <is>
          <t>Eligible</t>
        </is>
      </c>
      <c r="N570" s="171">
        <f>IF(OR(J570="",L570=""),"",L570-J570)</f>
        <v/>
      </c>
      <c r="O570" s="169">
        <f>IF(OR(J570="",L570=""),"",L570/J570-1)</f>
        <v/>
      </c>
      <c r="P570" s="169">
        <f>IF(OR(J570="",K570=""),"",K570/J570-1)</f>
        <v/>
      </c>
      <c r="Q570" s="54">
        <f>IF(AND(ISNUMBER(J570),ISNUMBER(L570)),1,0)</f>
        <v/>
      </c>
      <c r="R570" s="69">
        <f>IF(Q570=1,G570*L570,0)</f>
        <v/>
      </c>
      <c r="S570" s="69">
        <f>IF(Q570=1,(H570+I570)*U570,0)</f>
        <v/>
      </c>
      <c r="T570" s="59">
        <f>IF(Q570=1,G570,0)</f>
        <v/>
      </c>
      <c r="U570" s="170">
        <f>$G$3</f>
        <v/>
      </c>
    </row>
    <row r="571">
      <c r="A571" s="54" t="inlineStr">
        <is>
          <t>CA DC S4</t>
        </is>
      </c>
      <c r="B571" s="54" t="inlineStr">
        <is>
          <t>CA</t>
        </is>
      </c>
      <c r="C571" s="54" t="inlineStr">
        <is>
          <t>B09G6HNZ3C</t>
        </is>
      </c>
      <c r="D571" s="54" t="inlineStr">
        <is>
          <t>SATIN-STRIPE-FULL-PINK</t>
        </is>
      </c>
      <c r="E571" s="54" t="inlineStr">
        <is>
          <t>Full</t>
        </is>
      </c>
      <c r="F571" s="54" t="inlineStr">
        <is>
          <t>Stripe Pink-01</t>
        </is>
      </c>
      <c r="G571" s="55" t="n">
        <v>17</v>
      </c>
      <c r="H571" s="167" t="n">
        <v>383.68</v>
      </c>
      <c r="I571" s="167" t="n">
        <v>0</v>
      </c>
      <c r="J571" s="171">
        <f>IF(AND(N(G571)&gt;0,N(H571)+N(I571)&gt;0),(H571+I571)*U571/G571,"")</f>
        <v/>
      </c>
      <c r="K571" s="172" t="n">
        <v>44.99</v>
      </c>
      <c r="L571" s="172" t="n"/>
      <c r="M571" s="54" t="inlineStr">
        <is>
          <t>Out of stock</t>
        </is>
      </c>
      <c r="N571" s="171">
        <f>IF(OR(J571="",L571=""),"",L571-J571)</f>
        <v/>
      </c>
      <c r="O571" s="169">
        <f>IF(OR(J571="",L571=""),"",L571/J571-1)</f>
        <v/>
      </c>
      <c r="P571" s="169">
        <f>IF(OR(J571="",K571=""),"",K571/J571-1)</f>
        <v/>
      </c>
      <c r="Q571" s="54">
        <f>IF(AND(ISNUMBER(J571),ISNUMBER(L571)),1,0)</f>
        <v/>
      </c>
      <c r="R571" s="69">
        <f>IF(Q571=1,G571*L571,0)</f>
        <v/>
      </c>
      <c r="S571" s="69">
        <f>IF(Q571=1,(H571+I571)*U571,0)</f>
        <v/>
      </c>
      <c r="T571" s="59">
        <f>IF(Q571=1,G571,0)</f>
        <v/>
      </c>
      <c r="U571" s="170">
        <f>$G$3</f>
        <v/>
      </c>
    </row>
    <row r="572">
      <c r="A572" s="54" t="inlineStr">
        <is>
          <t>CA DC S4</t>
        </is>
      </c>
      <c r="B572" s="54" t="inlineStr">
        <is>
          <t>CA</t>
        </is>
      </c>
      <c r="C572" s="54" t="inlineStr">
        <is>
          <t>B0839L9RSB</t>
        </is>
      </c>
      <c r="D572" s="54" t="inlineStr">
        <is>
          <t>SATIN-FULL-BLUE</t>
        </is>
      </c>
      <c r="E572" s="54" t="inlineStr">
        <is>
          <t>Full</t>
        </is>
      </c>
      <c r="F572" s="54" t="inlineStr">
        <is>
          <t>Blue</t>
        </is>
      </c>
      <c r="G572" s="55" t="n">
        <v>15</v>
      </c>
      <c r="H572" s="167" t="n">
        <v>365.44</v>
      </c>
      <c r="I572" s="167" t="n">
        <v>0</v>
      </c>
      <c r="J572" s="171">
        <f>IF(AND(N(G572)&gt;0,N(H572)+N(I572)&gt;0),(H572+I572)*U572/G572,"")</f>
        <v/>
      </c>
      <c r="K572" s="172" t="n">
        <v>44.99</v>
      </c>
      <c r="L572" s="172" t="n"/>
      <c r="M572" s="54" t="inlineStr">
        <is>
          <t>Out of stock</t>
        </is>
      </c>
      <c r="N572" s="171">
        <f>IF(OR(J572="",L572=""),"",L572-J572)</f>
        <v/>
      </c>
      <c r="O572" s="169">
        <f>IF(OR(J572="",L572=""),"",L572/J572-1)</f>
        <v/>
      </c>
      <c r="P572" s="169">
        <f>IF(OR(J572="",K572=""),"",K572/J572-1)</f>
        <v/>
      </c>
      <c r="Q572" s="54">
        <f>IF(AND(ISNUMBER(J572),ISNUMBER(L572)),1,0)</f>
        <v/>
      </c>
      <c r="R572" s="69">
        <f>IF(Q572=1,G572*L572,0)</f>
        <v/>
      </c>
      <c r="S572" s="69">
        <f>IF(Q572=1,(H572+I572)*U572,0)</f>
        <v/>
      </c>
      <c r="T572" s="59">
        <f>IF(Q572=1,G572,0)</f>
        <v/>
      </c>
      <c r="U572" s="170">
        <f>$G$3</f>
        <v/>
      </c>
    </row>
    <row r="573">
      <c r="A573" s="54" t="inlineStr">
        <is>
          <t>CA DC S4</t>
        </is>
      </c>
      <c r="B573" s="54" t="inlineStr">
        <is>
          <t>CA</t>
        </is>
      </c>
      <c r="C573" s="54" t="inlineStr">
        <is>
          <t>B0CQRY9WLG</t>
        </is>
      </c>
      <c r="D573" s="54" t="inlineStr">
        <is>
          <t>SATIN-4PC-FULL-SAGE GREEN</t>
        </is>
      </c>
      <c r="E573" s="54" t="inlineStr">
        <is>
          <t>Full</t>
        </is>
      </c>
      <c r="F573" s="54" t="inlineStr">
        <is>
          <t>Sage Green</t>
        </is>
      </c>
      <c r="G573" s="55" t="n">
        <v>14</v>
      </c>
      <c r="H573" s="167" t="n">
        <v>358.96</v>
      </c>
      <c r="I573" s="167" t="n">
        <v>0</v>
      </c>
      <c r="J573" s="171">
        <f>IF(AND(N(G573)&gt;0,N(H573)+N(I573)&gt;0),(H573+I573)*U573/G573,"")</f>
        <v/>
      </c>
      <c r="K573" s="172" t="n">
        <v>44.99</v>
      </c>
      <c r="L573" s="172" t="n">
        <v>44.99</v>
      </c>
      <c r="M573" s="54" t="inlineStr">
        <is>
          <t>Eligible</t>
        </is>
      </c>
      <c r="N573" s="171">
        <f>IF(OR(J573="",L573=""),"",L573-J573)</f>
        <v/>
      </c>
      <c r="O573" s="169">
        <f>IF(OR(J573="",L573=""),"",L573/J573-1)</f>
        <v/>
      </c>
      <c r="P573" s="169">
        <f>IF(OR(J573="",K573=""),"",K573/J573-1)</f>
        <v/>
      </c>
      <c r="Q573" s="54">
        <f>IF(AND(ISNUMBER(J573),ISNUMBER(L573)),1,0)</f>
        <v/>
      </c>
      <c r="R573" s="69">
        <f>IF(Q573=1,G573*L573,0)</f>
        <v/>
      </c>
      <c r="S573" s="69">
        <f>IF(Q573=1,(H573+I573)*U573,0)</f>
        <v/>
      </c>
      <c r="T573" s="59">
        <f>IF(Q573=1,G573,0)</f>
        <v/>
      </c>
      <c r="U573" s="170">
        <f>$G$3</f>
        <v/>
      </c>
    </row>
    <row r="574">
      <c r="A574" s="54" t="inlineStr">
        <is>
          <t>CA DC S4</t>
        </is>
      </c>
      <c r="B574" s="54" t="inlineStr">
        <is>
          <t>CA</t>
        </is>
      </c>
      <c r="C574" s="54" t="inlineStr">
        <is>
          <t>B08KRS1K6H</t>
        </is>
      </c>
      <c r="D574" s="54" t="inlineStr">
        <is>
          <t>SATIN-WHITE-TWIN</t>
        </is>
      </c>
      <c r="E574" s="54" t="inlineStr">
        <is>
          <t>Twin</t>
        </is>
      </c>
      <c r="F574" s="54" t="inlineStr">
        <is>
          <t>White</t>
        </is>
      </c>
      <c r="G574" s="55" t="n">
        <v>14</v>
      </c>
      <c r="H574" s="167" t="n">
        <v>302.61</v>
      </c>
      <c r="I574" s="167" t="n">
        <v>0</v>
      </c>
      <c r="J574" s="171">
        <f>IF(AND(N(G574)&gt;0,N(H574)+N(I574)&gt;0),(H574+I574)*U574/G574,"")</f>
        <v/>
      </c>
      <c r="K574" s="172" t="n">
        <v>39.99</v>
      </c>
      <c r="L574" s="172" t="n">
        <v>37.99</v>
      </c>
      <c r="M574" s="54" t="inlineStr">
        <is>
          <t>Eligible</t>
        </is>
      </c>
      <c r="N574" s="171">
        <f>IF(OR(J574="",L574=""),"",L574-J574)</f>
        <v/>
      </c>
      <c r="O574" s="169">
        <f>IF(OR(J574="",L574=""),"",L574/J574-1)</f>
        <v/>
      </c>
      <c r="P574" s="169">
        <f>IF(OR(J574="",K574=""),"",K574/J574-1)</f>
        <v/>
      </c>
      <c r="Q574" s="54">
        <f>IF(AND(ISNUMBER(J574),ISNUMBER(L574)),1,0)</f>
        <v/>
      </c>
      <c r="R574" s="69">
        <f>IF(Q574=1,G574*L574,0)</f>
        <v/>
      </c>
      <c r="S574" s="69">
        <f>IF(Q574=1,(H574+I574)*U574,0)</f>
        <v/>
      </c>
      <c r="T574" s="59">
        <f>IF(Q574=1,G574,0)</f>
        <v/>
      </c>
      <c r="U574" s="170">
        <f>$G$3</f>
        <v/>
      </c>
    </row>
    <row r="575">
      <c r="A575" s="54" t="inlineStr">
        <is>
          <t>CA DC S4</t>
        </is>
      </c>
      <c r="B575" s="54" t="inlineStr">
        <is>
          <t>CA</t>
        </is>
      </c>
      <c r="C575" s="54" t="inlineStr">
        <is>
          <t>B0CQPPJFWN</t>
        </is>
      </c>
      <c r="D575" s="54" t="inlineStr">
        <is>
          <t>SATIN-4PC-KING-DARK GREEN</t>
        </is>
      </c>
      <c r="E575" s="54" t="inlineStr">
        <is>
          <t>King</t>
        </is>
      </c>
      <c r="F575" s="54" t="inlineStr">
        <is>
          <t>Dark Green</t>
        </is>
      </c>
      <c r="G575" s="55" t="n">
        <v>13</v>
      </c>
      <c r="H575" s="167" t="n">
        <v>377.94</v>
      </c>
      <c r="I575" s="167" t="n">
        <v>0</v>
      </c>
      <c r="J575" s="171">
        <f>IF(AND(N(G575)&gt;0,N(H575)+N(I575)&gt;0),(H575+I575)*U575/G575,"")</f>
        <v/>
      </c>
      <c r="K575" s="172" t="n">
        <v>52.99</v>
      </c>
      <c r="L575" s="172" t="n">
        <v>50.34</v>
      </c>
      <c r="M575" s="54" t="inlineStr">
        <is>
          <t>Eligible</t>
        </is>
      </c>
      <c r="N575" s="171">
        <f>IF(OR(J575="",L575=""),"",L575-J575)</f>
        <v/>
      </c>
      <c r="O575" s="169">
        <f>IF(OR(J575="",L575=""),"",L575/J575-1)</f>
        <v/>
      </c>
      <c r="P575" s="169">
        <f>IF(OR(J575="",K575=""),"",K575/J575-1)</f>
        <v/>
      </c>
      <c r="Q575" s="54">
        <f>IF(AND(ISNUMBER(J575),ISNUMBER(L575)),1,0)</f>
        <v/>
      </c>
      <c r="R575" s="69">
        <f>IF(Q575=1,G575*L575,0)</f>
        <v/>
      </c>
      <c r="S575" s="69">
        <f>IF(Q575=1,(H575+I575)*U575,0)</f>
        <v/>
      </c>
      <c r="T575" s="59">
        <f>IF(Q575=1,G575,0)</f>
        <v/>
      </c>
      <c r="U575" s="170">
        <f>$G$3</f>
        <v/>
      </c>
    </row>
    <row r="576">
      <c r="A576" s="54" t="inlineStr">
        <is>
          <t>CA DC S4</t>
        </is>
      </c>
      <c r="B576" s="54" t="inlineStr">
        <is>
          <t>CA</t>
        </is>
      </c>
      <c r="C576" s="54" t="inlineStr">
        <is>
          <t>B0BG22BZJJ</t>
        </is>
      </c>
      <c r="D576" s="54" t="inlineStr">
        <is>
          <t>SATIN-SEA-TEAL-KING</t>
        </is>
      </c>
      <c r="E576" s="54" t="inlineStr">
        <is>
          <t>King</t>
        </is>
      </c>
      <c r="F576" s="54" t="inlineStr">
        <is>
          <t>Sea Teal-01</t>
        </is>
      </c>
      <c r="G576" s="55" t="n">
        <v>13</v>
      </c>
      <c r="H576" s="167" t="n">
        <v>397.95</v>
      </c>
      <c r="I576" s="167" t="n">
        <v>0</v>
      </c>
      <c r="J576" s="171">
        <f>IF(AND(N(G576)&gt;0,N(H576)+N(I576)&gt;0),(H576+I576)*U576/G576,"")</f>
        <v/>
      </c>
      <c r="K576" s="172" t="n">
        <v>52.99</v>
      </c>
      <c r="L576" s="172" t="n"/>
      <c r="M576" s="54" t="inlineStr">
        <is>
          <t>Out of stock</t>
        </is>
      </c>
      <c r="N576" s="171">
        <f>IF(OR(J576="",L576=""),"",L576-J576)</f>
        <v/>
      </c>
      <c r="O576" s="169">
        <f>IF(OR(J576="",L576=""),"",L576/J576-1)</f>
        <v/>
      </c>
      <c r="P576" s="169">
        <f>IF(OR(J576="",K576=""),"",K576/J576-1)</f>
        <v/>
      </c>
      <c r="Q576" s="54">
        <f>IF(AND(ISNUMBER(J576),ISNUMBER(L576)),1,0)</f>
        <v/>
      </c>
      <c r="R576" s="69">
        <f>IF(Q576=1,G576*L576,0)</f>
        <v/>
      </c>
      <c r="S576" s="69">
        <f>IF(Q576=1,(H576+I576)*U576,0)</f>
        <v/>
      </c>
      <c r="T576" s="59">
        <f>IF(Q576=1,G576,0)</f>
        <v/>
      </c>
      <c r="U576" s="170">
        <f>$G$3</f>
        <v/>
      </c>
    </row>
    <row r="577">
      <c r="A577" s="54" t="inlineStr">
        <is>
          <t>CA DC S4</t>
        </is>
      </c>
      <c r="B577" s="54" t="inlineStr">
        <is>
          <t>CA</t>
        </is>
      </c>
      <c r="C577" s="54" t="inlineStr">
        <is>
          <t>B08KRW2BX3</t>
        </is>
      </c>
      <c r="D577" s="54" t="inlineStr">
        <is>
          <t>SATIN-GOLD-QUEEN</t>
        </is>
      </c>
      <c r="E577" s="54" t="inlineStr">
        <is>
          <t>Queen</t>
        </is>
      </c>
      <c r="F577" s="54" t="inlineStr">
        <is>
          <t>Gold</t>
        </is>
      </c>
      <c r="G577" s="55" t="n">
        <v>13</v>
      </c>
      <c r="H577" s="167" t="n">
        <v>342.91</v>
      </c>
      <c r="I577" s="167" t="n">
        <v>0</v>
      </c>
      <c r="J577" s="171">
        <f>IF(AND(N(G577)&gt;0,N(H577)+N(I577)&gt;0),(H577+I577)*U577/G577,"")</f>
        <v/>
      </c>
      <c r="K577" s="172" t="n">
        <v>47.99</v>
      </c>
      <c r="L577" s="172" t="n">
        <v>47.99</v>
      </c>
      <c r="M577" s="54" t="inlineStr">
        <is>
          <t>Eligible</t>
        </is>
      </c>
      <c r="N577" s="171">
        <f>IF(OR(J577="",L577=""),"",L577-J577)</f>
        <v/>
      </c>
      <c r="O577" s="169">
        <f>IF(OR(J577="",L577=""),"",L577/J577-1)</f>
        <v/>
      </c>
      <c r="P577" s="169">
        <f>IF(OR(J577="",K577=""),"",K577/J577-1)</f>
        <v/>
      </c>
      <c r="Q577" s="54">
        <f>IF(AND(ISNUMBER(J577),ISNUMBER(L577)),1,0)</f>
        <v/>
      </c>
      <c r="R577" s="69">
        <f>IF(Q577=1,G577*L577,0)</f>
        <v/>
      </c>
      <c r="S577" s="69">
        <f>IF(Q577=1,(H577+I577)*U577,0)</f>
        <v/>
      </c>
      <c r="T577" s="59">
        <f>IF(Q577=1,G577,0)</f>
        <v/>
      </c>
      <c r="U577" s="170">
        <f>$G$3</f>
        <v/>
      </c>
    </row>
    <row r="578">
      <c r="A578" s="54" t="inlineStr">
        <is>
          <t>CA DC S4</t>
        </is>
      </c>
      <c r="B578" s="54" t="inlineStr">
        <is>
          <t>CA</t>
        </is>
      </c>
      <c r="C578" s="54" t="inlineStr">
        <is>
          <t>B0BG22BFN6</t>
        </is>
      </c>
      <c r="D578" s="54" t="inlineStr">
        <is>
          <t>SATIN-STONEGREY-KING</t>
        </is>
      </c>
      <c r="E578" s="54" t="inlineStr">
        <is>
          <t>King</t>
        </is>
      </c>
      <c r="F578" s="54" t="inlineStr">
        <is>
          <t>Stone Grey</t>
        </is>
      </c>
      <c r="G578" s="55" t="n">
        <v>12</v>
      </c>
      <c r="H578" s="167" t="n">
        <v>368.03</v>
      </c>
      <c r="I578" s="167" t="n">
        <v>0</v>
      </c>
      <c r="J578" s="171">
        <f>IF(AND(N(G578)&gt;0,N(H578)+N(I578)&gt;0),(H578+I578)*U578/G578,"")</f>
        <v/>
      </c>
      <c r="K578" s="172" t="n">
        <v>52.99</v>
      </c>
      <c r="L578" s="172" t="n"/>
      <c r="M578" s="54" t="inlineStr">
        <is>
          <t>Out of stock</t>
        </is>
      </c>
      <c r="N578" s="171">
        <f>IF(OR(J578="",L578=""),"",L578-J578)</f>
        <v/>
      </c>
      <c r="O578" s="169">
        <f>IF(OR(J578="",L578=""),"",L578/J578-1)</f>
        <v/>
      </c>
      <c r="P578" s="169">
        <f>IF(OR(J578="",K578=""),"",K578/J578-1)</f>
        <v/>
      </c>
      <c r="Q578" s="54">
        <f>IF(AND(ISNUMBER(J578),ISNUMBER(L578)),1,0)</f>
        <v/>
      </c>
      <c r="R578" s="69">
        <f>IF(Q578=1,G578*L578,0)</f>
        <v/>
      </c>
      <c r="S578" s="69">
        <f>IF(Q578=1,(H578+I578)*U578,0)</f>
        <v/>
      </c>
      <c r="T578" s="59">
        <f>IF(Q578=1,G578,0)</f>
        <v/>
      </c>
      <c r="U578" s="170">
        <f>$G$3</f>
        <v/>
      </c>
    </row>
    <row r="579">
      <c r="A579" s="54" t="inlineStr">
        <is>
          <t>CA DC S4</t>
        </is>
      </c>
      <c r="B579" s="54" t="inlineStr">
        <is>
          <t>CA</t>
        </is>
      </c>
      <c r="C579" s="54" t="inlineStr">
        <is>
          <t>B0BZPYNXPB</t>
        </is>
      </c>
      <c r="D579" s="54" t="inlineStr">
        <is>
          <t>SATIN-CHAMPAGNE-FULL</t>
        </is>
      </c>
      <c r="E579" s="54" t="inlineStr">
        <is>
          <t>Full</t>
        </is>
      </c>
      <c r="F579" s="54" t="inlineStr">
        <is>
          <t>Champagne</t>
        </is>
      </c>
      <c r="G579" s="55" t="n">
        <v>11</v>
      </c>
      <c r="H579" s="167" t="n">
        <v>282.2</v>
      </c>
      <c r="I579" s="167" t="n">
        <v>0</v>
      </c>
      <c r="J579" s="171">
        <f>IF(AND(N(G579)&gt;0,N(H579)+N(I579)&gt;0),(H579+I579)*U579/G579,"")</f>
        <v/>
      </c>
      <c r="K579" s="172" t="n">
        <v>44.99</v>
      </c>
      <c r="L579" s="172" t="n">
        <v>42.74</v>
      </c>
      <c r="M579" s="54" t="inlineStr">
        <is>
          <t>Eligible</t>
        </is>
      </c>
      <c r="N579" s="171">
        <f>IF(OR(J579="",L579=""),"",L579-J579)</f>
        <v/>
      </c>
      <c r="O579" s="169">
        <f>IF(OR(J579="",L579=""),"",L579/J579-1)</f>
        <v/>
      </c>
      <c r="P579" s="169">
        <f>IF(OR(J579="",K579=""),"",K579/J579-1)</f>
        <v/>
      </c>
      <c r="Q579" s="54">
        <f>IF(AND(ISNUMBER(J579),ISNUMBER(L579)),1,0)</f>
        <v/>
      </c>
      <c r="R579" s="69">
        <f>IF(Q579=1,G579*L579,0)</f>
        <v/>
      </c>
      <c r="S579" s="69">
        <f>IF(Q579=1,(H579+I579)*U579,0)</f>
        <v/>
      </c>
      <c r="T579" s="59">
        <f>IF(Q579=1,G579,0)</f>
        <v/>
      </c>
      <c r="U579" s="170">
        <f>$G$3</f>
        <v/>
      </c>
    </row>
    <row r="580">
      <c r="A580" s="54" t="inlineStr">
        <is>
          <t>CA DC S4</t>
        </is>
      </c>
      <c r="B580" s="54" t="inlineStr">
        <is>
          <t>CA</t>
        </is>
      </c>
      <c r="C580" s="54" t="inlineStr">
        <is>
          <t>B08KRHBD49</t>
        </is>
      </c>
      <c r="D580" s="54" t="inlineStr">
        <is>
          <t>SATIN-RED-FULL</t>
        </is>
      </c>
      <c r="E580" s="54" t="inlineStr">
        <is>
          <t>Full</t>
        </is>
      </c>
      <c r="F580" s="54" t="inlineStr">
        <is>
          <t>Red</t>
        </is>
      </c>
      <c r="G580" s="55" t="n">
        <v>11</v>
      </c>
      <c r="H580" s="167" t="n">
        <v>248.03</v>
      </c>
      <c r="I580" s="167" t="n">
        <v>0</v>
      </c>
      <c r="J580" s="171">
        <f>IF(AND(N(G580)&gt;0,N(H580)+N(I580)&gt;0),(H580+I580)*U580/G580,"")</f>
        <v/>
      </c>
      <c r="K580" s="172" t="n">
        <v>44.99</v>
      </c>
      <c r="L580" s="172" t="n">
        <v>42.74</v>
      </c>
      <c r="M580" s="54" t="inlineStr">
        <is>
          <t>Eligible</t>
        </is>
      </c>
      <c r="N580" s="171">
        <f>IF(OR(J580="",L580=""),"",L580-J580)</f>
        <v/>
      </c>
      <c r="O580" s="169">
        <f>IF(OR(J580="",L580=""),"",L580/J580-1)</f>
        <v/>
      </c>
      <c r="P580" s="169">
        <f>IF(OR(J580="",K580=""),"",K580/J580-1)</f>
        <v/>
      </c>
      <c r="Q580" s="54">
        <f>IF(AND(ISNUMBER(J580),ISNUMBER(L580)),1,0)</f>
        <v/>
      </c>
      <c r="R580" s="69">
        <f>IF(Q580=1,G580*L580,0)</f>
        <v/>
      </c>
      <c r="S580" s="69">
        <f>IF(Q580=1,(H580+I580)*U580,0)</f>
        <v/>
      </c>
      <c r="T580" s="59">
        <f>IF(Q580=1,G580,0)</f>
        <v/>
      </c>
      <c r="U580" s="170">
        <f>$G$3</f>
        <v/>
      </c>
    </row>
    <row r="581">
      <c r="A581" s="54" t="inlineStr">
        <is>
          <t>CA DC S4</t>
        </is>
      </c>
      <c r="B581" s="54" t="inlineStr">
        <is>
          <t>CA</t>
        </is>
      </c>
      <c r="C581" s="54" t="inlineStr">
        <is>
          <t>B0BG1Z32KQ</t>
        </is>
      </c>
      <c r="D581" s="54" t="inlineStr">
        <is>
          <t>SATIN-SEA-TEAL-FULL</t>
        </is>
      </c>
      <c r="E581" s="54" t="inlineStr">
        <is>
          <t>Full</t>
        </is>
      </c>
      <c r="F581" s="54" t="inlineStr">
        <is>
          <t>Sea Teal</t>
        </is>
      </c>
      <c r="G581" s="55" t="n">
        <v>11</v>
      </c>
      <c r="H581" s="167" t="n">
        <v>313.27</v>
      </c>
      <c r="I581" s="167" t="n">
        <v>0</v>
      </c>
      <c r="J581" s="171">
        <f>IF(AND(N(G581)&gt;0,N(H581)+N(I581)&gt;0),(H581+I581)*U581/G581,"")</f>
        <v/>
      </c>
      <c r="K581" s="172" t="n">
        <v>44.99</v>
      </c>
      <c r="L581" s="172" t="n">
        <v>42.74</v>
      </c>
      <c r="M581" s="54" t="inlineStr">
        <is>
          <t>Eligible</t>
        </is>
      </c>
      <c r="N581" s="171">
        <f>IF(OR(J581="",L581=""),"",L581-J581)</f>
        <v/>
      </c>
      <c r="O581" s="169">
        <f>IF(OR(J581="",L581=""),"",L581/J581-1)</f>
        <v/>
      </c>
      <c r="P581" s="169">
        <f>IF(OR(J581="",K581=""),"",K581/J581-1)</f>
        <v/>
      </c>
      <c r="Q581" s="54">
        <f>IF(AND(ISNUMBER(J581),ISNUMBER(L581)),1,0)</f>
        <v/>
      </c>
      <c r="R581" s="69">
        <f>IF(Q581=1,G581*L581,0)</f>
        <v/>
      </c>
      <c r="S581" s="69">
        <f>IF(Q581=1,(H581+I581)*U581,0)</f>
        <v/>
      </c>
      <c r="T581" s="59">
        <f>IF(Q581=1,G581,0)</f>
        <v/>
      </c>
      <c r="U581" s="170">
        <f>$G$3</f>
        <v/>
      </c>
    </row>
    <row r="582">
      <c r="A582" s="54" t="inlineStr">
        <is>
          <t>CA DC S4</t>
        </is>
      </c>
      <c r="B582" s="54" t="inlineStr">
        <is>
          <t>CA</t>
        </is>
      </c>
      <c r="C582" s="54" t="inlineStr">
        <is>
          <t>B0CNS9KLZR</t>
        </is>
      </c>
      <c r="D582" s="54" t="inlineStr">
        <is>
          <t>SATIN-KING-BLUSH PINK</t>
        </is>
      </c>
      <c r="E582" s="54" t="inlineStr">
        <is>
          <t>King</t>
        </is>
      </c>
      <c r="F582" s="54" t="inlineStr">
        <is>
          <t>Blush Pink</t>
        </is>
      </c>
      <c r="G582" s="55" t="n">
        <v>11</v>
      </c>
      <c r="H582" s="167" t="n">
        <v>320.42</v>
      </c>
      <c r="I582" s="167" t="n">
        <v>0</v>
      </c>
      <c r="J582" s="171">
        <f>IF(AND(N(G582)&gt;0,N(H582)+N(I582)&gt;0),(H582+I582)*U582/G582,"")</f>
        <v/>
      </c>
      <c r="K582" s="172" t="n">
        <v>52.99</v>
      </c>
      <c r="L582" s="172" t="n">
        <v>50.34</v>
      </c>
      <c r="M582" s="54" t="inlineStr">
        <is>
          <t>Eligible</t>
        </is>
      </c>
      <c r="N582" s="171">
        <f>IF(OR(J582="",L582=""),"",L582-J582)</f>
        <v/>
      </c>
      <c r="O582" s="169">
        <f>IF(OR(J582="",L582=""),"",L582/J582-1)</f>
        <v/>
      </c>
      <c r="P582" s="169">
        <f>IF(OR(J582="",K582=""),"",K582/J582-1)</f>
        <v/>
      </c>
      <c r="Q582" s="54">
        <f>IF(AND(ISNUMBER(J582),ISNUMBER(L582)),1,0)</f>
        <v/>
      </c>
      <c r="R582" s="69">
        <f>IF(Q582=1,G582*L582,0)</f>
        <v/>
      </c>
      <c r="S582" s="69">
        <f>IF(Q582=1,(H582+I582)*U582,0)</f>
        <v/>
      </c>
      <c r="T582" s="59">
        <f>IF(Q582=1,G582,0)</f>
        <v/>
      </c>
      <c r="U582" s="170">
        <f>$G$3</f>
        <v/>
      </c>
    </row>
    <row r="583">
      <c r="A583" s="54" t="inlineStr">
        <is>
          <t>CA DC S4</t>
        </is>
      </c>
      <c r="B583" s="54" t="inlineStr">
        <is>
          <t>CA</t>
        </is>
      </c>
      <c r="C583" s="54" t="inlineStr">
        <is>
          <t>B0CQRZ6JQ3</t>
        </is>
      </c>
      <c r="D583" s="54" t="inlineStr">
        <is>
          <t>SATIN-4PC-QUEEN-BURNT ORANGE</t>
        </is>
      </c>
      <c r="E583" s="54" t="inlineStr">
        <is>
          <t>Queen</t>
        </is>
      </c>
      <c r="F583" s="54" t="inlineStr">
        <is>
          <t>Burnt Orange</t>
        </is>
      </c>
      <c r="G583" s="55" t="n">
        <v>11</v>
      </c>
      <c r="H583" s="167" t="n">
        <v>291.06</v>
      </c>
      <c r="I583" s="167" t="n">
        <v>0</v>
      </c>
      <c r="J583" s="171">
        <f>IF(AND(N(G583)&gt;0,N(H583)+N(I583)&gt;0),(H583+I583)*U583/G583,"")</f>
        <v/>
      </c>
      <c r="K583" s="172" t="n">
        <v>47.99</v>
      </c>
      <c r="L583" s="172" t="n">
        <v>45.59</v>
      </c>
      <c r="M583" s="54" t="inlineStr">
        <is>
          <t>Eligible</t>
        </is>
      </c>
      <c r="N583" s="171">
        <f>IF(OR(J583="",L583=""),"",L583-J583)</f>
        <v/>
      </c>
      <c r="O583" s="169">
        <f>IF(OR(J583="",L583=""),"",L583/J583-1)</f>
        <v/>
      </c>
      <c r="P583" s="169">
        <f>IF(OR(J583="",K583=""),"",K583/J583-1)</f>
        <v/>
      </c>
      <c r="Q583" s="54">
        <f>IF(AND(ISNUMBER(J583),ISNUMBER(L583)),1,0)</f>
        <v/>
      </c>
      <c r="R583" s="69">
        <f>IF(Q583=1,G583*L583,0)</f>
        <v/>
      </c>
      <c r="S583" s="69">
        <f>IF(Q583=1,(H583+I583)*U583,0)</f>
        <v/>
      </c>
      <c r="T583" s="59">
        <f>IF(Q583=1,G583,0)</f>
        <v/>
      </c>
      <c r="U583" s="170">
        <f>$G$3</f>
        <v/>
      </c>
    </row>
    <row r="584">
      <c r="A584" s="54" t="inlineStr">
        <is>
          <t>CA DC S4</t>
        </is>
      </c>
      <c r="B584" s="54" t="inlineStr">
        <is>
          <t>CA</t>
        </is>
      </c>
      <c r="C584" s="54" t="inlineStr">
        <is>
          <t>B09G6KMXVX</t>
        </is>
      </c>
      <c r="D584" s="54" t="inlineStr">
        <is>
          <t>SATIN-STRIPE-FULL-BLACK</t>
        </is>
      </c>
      <c r="E584" s="54" t="inlineStr">
        <is>
          <t>Full</t>
        </is>
      </c>
      <c r="F584" s="54" t="inlineStr">
        <is>
          <t>Striped Black</t>
        </is>
      </c>
      <c r="G584" s="55" t="n">
        <v>10</v>
      </c>
      <c r="H584" s="167" t="n">
        <v>225.26</v>
      </c>
      <c r="I584" s="167" t="n">
        <v>0</v>
      </c>
      <c r="J584" s="171">
        <f>IF(AND(N(G584)&gt;0,N(H584)+N(I584)&gt;0),(H584+I584)*U584/G584,"")</f>
        <v/>
      </c>
      <c r="K584" s="172" t="n">
        <v>44.99</v>
      </c>
      <c r="L584" s="172" t="n"/>
      <c r="M584" s="54" t="inlineStr">
        <is>
          <t>Out of stock</t>
        </is>
      </c>
      <c r="N584" s="171">
        <f>IF(OR(J584="",L584=""),"",L584-J584)</f>
        <v/>
      </c>
      <c r="O584" s="169">
        <f>IF(OR(J584="",L584=""),"",L584/J584-1)</f>
        <v/>
      </c>
      <c r="P584" s="169">
        <f>IF(OR(J584="",K584=""),"",K584/J584-1)</f>
        <v/>
      </c>
      <c r="Q584" s="54">
        <f>IF(AND(ISNUMBER(J584),ISNUMBER(L584)),1,0)</f>
        <v/>
      </c>
      <c r="R584" s="69">
        <f>IF(Q584=1,G584*L584,0)</f>
        <v/>
      </c>
      <c r="S584" s="69">
        <f>IF(Q584=1,(H584+I584)*U584,0)</f>
        <v/>
      </c>
      <c r="T584" s="59">
        <f>IF(Q584=1,G584,0)</f>
        <v/>
      </c>
      <c r="U584" s="170">
        <f>$G$3</f>
        <v/>
      </c>
    </row>
    <row r="585">
      <c r="A585" s="54" t="inlineStr">
        <is>
          <t>CA DC S4</t>
        </is>
      </c>
      <c r="B585" s="54" t="inlineStr">
        <is>
          <t>CA</t>
        </is>
      </c>
      <c r="C585" s="54" t="inlineStr">
        <is>
          <t>B0839LK8DB</t>
        </is>
      </c>
      <c r="D585" s="54" t="inlineStr">
        <is>
          <t>SATIN-KING-PINK</t>
        </is>
      </c>
      <c r="E585" s="54" t="inlineStr">
        <is>
          <t>King</t>
        </is>
      </c>
      <c r="F585" s="54" t="inlineStr">
        <is>
          <t>Pink</t>
        </is>
      </c>
      <c r="G585" s="55" t="n">
        <v>9</v>
      </c>
      <c r="H585" s="167" t="n">
        <v>238.11</v>
      </c>
      <c r="I585" s="167" t="n">
        <v>0</v>
      </c>
      <c r="J585" s="171">
        <f>IF(AND(N(G585)&gt;0,N(H585)+N(I585)&gt;0),(H585+I585)*U585/G585,"")</f>
        <v/>
      </c>
      <c r="K585" s="172" t="n">
        <v>52.99</v>
      </c>
      <c r="L585" s="172" t="n">
        <v>50.34</v>
      </c>
      <c r="M585" s="54" t="inlineStr">
        <is>
          <t>Eligible</t>
        </is>
      </c>
      <c r="N585" s="171">
        <f>IF(OR(J585="",L585=""),"",L585-J585)</f>
        <v/>
      </c>
      <c r="O585" s="169">
        <f>IF(OR(J585="",L585=""),"",L585/J585-1)</f>
        <v/>
      </c>
      <c r="P585" s="169">
        <f>IF(OR(J585="",K585=""),"",K585/J585-1)</f>
        <v/>
      </c>
      <c r="Q585" s="54">
        <f>IF(AND(ISNUMBER(J585),ISNUMBER(L585)),1,0)</f>
        <v/>
      </c>
      <c r="R585" s="69">
        <f>IF(Q585=1,G585*L585,0)</f>
        <v/>
      </c>
      <c r="S585" s="69">
        <f>IF(Q585=1,(H585+I585)*U585,0)</f>
        <v/>
      </c>
      <c r="T585" s="59">
        <f>IF(Q585=1,G585,0)</f>
        <v/>
      </c>
      <c r="U585" s="170">
        <f>$G$3</f>
        <v/>
      </c>
    </row>
    <row r="586">
      <c r="A586" s="54" t="inlineStr">
        <is>
          <t>CA DC S4</t>
        </is>
      </c>
      <c r="B586" s="54" t="inlineStr">
        <is>
          <t>CA</t>
        </is>
      </c>
      <c r="C586" s="54" t="inlineStr">
        <is>
          <t>B0839LKZV9</t>
        </is>
      </c>
      <c r="D586" s="54" t="inlineStr">
        <is>
          <t>SATIN-KING-PURPLE</t>
        </is>
      </c>
      <c r="E586" s="54" t="inlineStr">
        <is>
          <t>King</t>
        </is>
      </c>
      <c r="F586" s="54" t="inlineStr">
        <is>
          <t>Purple</t>
        </is>
      </c>
      <c r="G586" s="55" t="n">
        <v>9</v>
      </c>
      <c r="H586" s="167" t="n">
        <v>225.99</v>
      </c>
      <c r="I586" s="167" t="n">
        <v>0</v>
      </c>
      <c r="J586" s="171">
        <f>IF(AND(N(G586)&gt;0,N(H586)+N(I586)&gt;0),(H586+I586)*U586/G586,"")</f>
        <v/>
      </c>
      <c r="K586" s="172" t="n">
        <v>52.99</v>
      </c>
      <c r="L586" s="172" t="n">
        <v>50.34</v>
      </c>
      <c r="M586" s="54" t="inlineStr">
        <is>
          <t>Eligible</t>
        </is>
      </c>
      <c r="N586" s="171">
        <f>IF(OR(J586="",L586=""),"",L586-J586)</f>
        <v/>
      </c>
      <c r="O586" s="169">
        <f>IF(OR(J586="",L586=""),"",L586/J586-1)</f>
        <v/>
      </c>
      <c r="P586" s="169">
        <f>IF(OR(J586="",K586=""),"",K586/J586-1)</f>
        <v/>
      </c>
      <c r="Q586" s="54">
        <f>IF(AND(ISNUMBER(J586),ISNUMBER(L586)),1,0)</f>
        <v/>
      </c>
      <c r="R586" s="69">
        <f>IF(Q586=1,G586*L586,0)</f>
        <v/>
      </c>
      <c r="S586" s="69">
        <f>IF(Q586=1,(H586+I586)*U586,0)</f>
        <v/>
      </c>
      <c r="T586" s="59">
        <f>IF(Q586=1,G586,0)</f>
        <v/>
      </c>
      <c r="U586" s="170">
        <f>$G$3</f>
        <v/>
      </c>
    </row>
    <row r="587">
      <c r="A587" s="54" t="inlineStr">
        <is>
          <t>CA DC S4</t>
        </is>
      </c>
      <c r="B587" s="54" t="inlineStr">
        <is>
          <t>CA</t>
        </is>
      </c>
      <c r="C587" s="54" t="inlineStr">
        <is>
          <t>B09G6N2PNK</t>
        </is>
      </c>
      <c r="D587" s="54" t="inlineStr">
        <is>
          <t>SATIN-STRIPE-KING-WHITE</t>
        </is>
      </c>
      <c r="E587" s="54" t="inlineStr">
        <is>
          <t>King</t>
        </is>
      </c>
      <c r="F587" s="54" t="inlineStr">
        <is>
          <t>Striped White</t>
        </is>
      </c>
      <c r="G587" s="55" t="n">
        <v>9</v>
      </c>
      <c r="H587" s="167" t="n">
        <v>201.78</v>
      </c>
      <c r="I587" s="167" t="n">
        <v>0</v>
      </c>
      <c r="J587" s="171">
        <f>IF(AND(N(G587)&gt;0,N(H587)+N(I587)&gt;0),(H587+I587)*U587/G587,"")</f>
        <v/>
      </c>
      <c r="K587" s="172" t="n">
        <v>52.99</v>
      </c>
      <c r="L587" s="172" t="n">
        <v>50.34</v>
      </c>
      <c r="M587" s="54" t="inlineStr">
        <is>
          <t>Eligible</t>
        </is>
      </c>
      <c r="N587" s="171">
        <f>IF(OR(J587="",L587=""),"",L587-J587)</f>
        <v/>
      </c>
      <c r="O587" s="169">
        <f>IF(OR(J587="",L587=""),"",L587/J587-1)</f>
        <v/>
      </c>
      <c r="P587" s="169">
        <f>IF(OR(J587="",K587=""),"",K587/J587-1)</f>
        <v/>
      </c>
      <c r="Q587" s="54">
        <f>IF(AND(ISNUMBER(J587),ISNUMBER(L587)),1,0)</f>
        <v/>
      </c>
      <c r="R587" s="69">
        <f>IF(Q587=1,G587*L587,0)</f>
        <v/>
      </c>
      <c r="S587" s="69">
        <f>IF(Q587=1,(H587+I587)*U587,0)</f>
        <v/>
      </c>
      <c r="T587" s="59">
        <f>IF(Q587=1,G587,0)</f>
        <v/>
      </c>
      <c r="U587" s="170">
        <f>$G$3</f>
        <v/>
      </c>
    </row>
    <row r="588">
      <c r="A588" s="54" t="inlineStr">
        <is>
          <t>CA DC S4</t>
        </is>
      </c>
      <c r="B588" s="54" t="inlineStr">
        <is>
          <t>CA</t>
        </is>
      </c>
      <c r="C588" s="54" t="inlineStr">
        <is>
          <t>B0BZPVY39R</t>
        </is>
      </c>
      <c r="D588" s="54" t="inlineStr">
        <is>
          <t>SATIN-CHAMPAGNE-TWIN</t>
        </is>
      </c>
      <c r="E588" s="54" t="inlineStr">
        <is>
          <t>Twin</t>
        </is>
      </c>
      <c r="F588" s="54" t="inlineStr">
        <is>
          <t>Champagne</t>
        </is>
      </c>
      <c r="G588" s="55" t="n">
        <v>9</v>
      </c>
      <c r="H588" s="167" t="n">
        <v>158.13</v>
      </c>
      <c r="I588" s="167" t="n">
        <v>0</v>
      </c>
      <c r="J588" s="171">
        <f>IF(AND(N(G588)&gt;0,N(H588)+N(I588)&gt;0),(H588+I588)*U588/G588,"")</f>
        <v/>
      </c>
      <c r="K588" s="172" t="n">
        <v>39.99</v>
      </c>
      <c r="L588" s="172" t="n">
        <v>37.99</v>
      </c>
      <c r="M588" s="54" t="inlineStr">
        <is>
          <t>Eligible</t>
        </is>
      </c>
      <c r="N588" s="171">
        <f>IF(OR(J588="",L588=""),"",L588-J588)</f>
        <v/>
      </c>
      <c r="O588" s="169">
        <f>IF(OR(J588="",L588=""),"",L588/J588-1)</f>
        <v/>
      </c>
      <c r="P588" s="169">
        <f>IF(OR(J588="",K588=""),"",K588/J588-1)</f>
        <v/>
      </c>
      <c r="Q588" s="54">
        <f>IF(AND(ISNUMBER(J588),ISNUMBER(L588)),1,0)</f>
        <v/>
      </c>
      <c r="R588" s="69">
        <f>IF(Q588=1,G588*L588,0)</f>
        <v/>
      </c>
      <c r="S588" s="69">
        <f>IF(Q588=1,(H588+I588)*U588,0)</f>
        <v/>
      </c>
      <c r="T588" s="59">
        <f>IF(Q588=1,G588,0)</f>
        <v/>
      </c>
      <c r="U588" s="170">
        <f>$G$3</f>
        <v/>
      </c>
    </row>
    <row r="589">
      <c r="A589" s="54" t="inlineStr">
        <is>
          <t>CA DC S4</t>
        </is>
      </c>
      <c r="B589" s="54" t="inlineStr">
        <is>
          <t>CA</t>
        </is>
      </c>
      <c r="C589" s="54" t="inlineStr">
        <is>
          <t>B0CQRX8Q2P</t>
        </is>
      </c>
      <c r="D589" s="54" t="inlineStr">
        <is>
          <t>SATIN-3PC-TWIN-LAVENDER</t>
        </is>
      </c>
      <c r="E589" s="54" t="inlineStr">
        <is>
          <t>Twin</t>
        </is>
      </c>
      <c r="F589" s="54" t="inlineStr">
        <is>
          <t>Lavender</t>
        </is>
      </c>
      <c r="G589" s="55" t="n">
        <v>9</v>
      </c>
      <c r="H589" s="167" t="n">
        <v>204.95</v>
      </c>
      <c r="I589" s="167" t="n">
        <v>0</v>
      </c>
      <c r="J589" s="171">
        <f>IF(AND(N(G589)&gt;0,N(H589)+N(I589)&gt;0),(H589+I589)*U589/G589,"")</f>
        <v/>
      </c>
      <c r="K589" s="172" t="n">
        <v>39.99</v>
      </c>
      <c r="L589" s="172" t="n">
        <v>39.99</v>
      </c>
      <c r="M589" s="54" t="inlineStr">
        <is>
          <t>Eligible</t>
        </is>
      </c>
      <c r="N589" s="171">
        <f>IF(OR(J589="",L589=""),"",L589-J589)</f>
        <v/>
      </c>
      <c r="O589" s="169">
        <f>IF(OR(J589="",L589=""),"",L589/J589-1)</f>
        <v/>
      </c>
      <c r="P589" s="169">
        <f>IF(OR(J589="",K589=""),"",K589/J589-1)</f>
        <v/>
      </c>
      <c r="Q589" s="54">
        <f>IF(AND(ISNUMBER(J589),ISNUMBER(L589)),1,0)</f>
        <v/>
      </c>
      <c r="R589" s="69">
        <f>IF(Q589=1,G589*L589,0)</f>
        <v/>
      </c>
      <c r="S589" s="69">
        <f>IF(Q589=1,(H589+I589)*U589,0)</f>
        <v/>
      </c>
      <c r="T589" s="59">
        <f>IF(Q589=1,G589,0)</f>
        <v/>
      </c>
      <c r="U589" s="170">
        <f>$G$3</f>
        <v/>
      </c>
    </row>
    <row r="590">
      <c r="A590" s="54" t="inlineStr">
        <is>
          <t>CA DC S4</t>
        </is>
      </c>
      <c r="B590" s="54" t="inlineStr">
        <is>
          <t>CA</t>
        </is>
      </c>
      <c r="C590" s="54" t="inlineStr">
        <is>
          <t>B0CQRZ6KRR</t>
        </is>
      </c>
      <c r="D590" s="54" t="inlineStr">
        <is>
          <t>SATIN-3PC-TWIN-NAVY BLUE</t>
        </is>
      </c>
      <c r="E590" s="54" t="inlineStr">
        <is>
          <t>Twin</t>
        </is>
      </c>
      <c r="F590" s="54" t="inlineStr">
        <is>
          <t>Navy Blue</t>
        </is>
      </c>
      <c r="G590" s="55" t="n">
        <v>9</v>
      </c>
      <c r="H590" s="167" t="n">
        <v>195.33</v>
      </c>
      <c r="I590" s="167" t="n">
        <v>0</v>
      </c>
      <c r="J590" s="171">
        <f>IF(AND(N(G590)&gt;0,N(H590)+N(I590)&gt;0),(H590+I590)*U590/G590,"")</f>
        <v/>
      </c>
      <c r="K590" s="172" t="n">
        <v>39.99</v>
      </c>
      <c r="L590" s="172" t="n">
        <v>37.99</v>
      </c>
      <c r="M590" s="54" t="inlineStr">
        <is>
          <t>Eligible</t>
        </is>
      </c>
      <c r="N590" s="171">
        <f>IF(OR(J590="",L590=""),"",L590-J590)</f>
        <v/>
      </c>
      <c r="O590" s="169">
        <f>IF(OR(J590="",L590=""),"",L590/J590-1)</f>
        <v/>
      </c>
      <c r="P590" s="169">
        <f>IF(OR(J590="",K590=""),"",K590/J590-1)</f>
        <v/>
      </c>
      <c r="Q590" s="54">
        <f>IF(AND(ISNUMBER(J590),ISNUMBER(L590)),1,0)</f>
        <v/>
      </c>
      <c r="R590" s="69">
        <f>IF(Q590=1,G590*L590,0)</f>
        <v/>
      </c>
      <c r="S590" s="69">
        <f>IF(Q590=1,(H590+I590)*U590,0)</f>
        <v/>
      </c>
      <c r="T590" s="59">
        <f>IF(Q590=1,G590,0)</f>
        <v/>
      </c>
      <c r="U590" s="170">
        <f>$G$3</f>
        <v/>
      </c>
    </row>
    <row r="591">
      <c r="A591" s="54" t="inlineStr">
        <is>
          <t>CA DC S4</t>
        </is>
      </c>
      <c r="B591" s="54" t="inlineStr">
        <is>
          <t>CA</t>
        </is>
      </c>
      <c r="C591" s="54" t="inlineStr">
        <is>
          <t>B0CQSJZV7C</t>
        </is>
      </c>
      <c r="D591" s="54" t="inlineStr">
        <is>
          <t>SATIN-4PC-FULL-BURNT ORANGE</t>
        </is>
      </c>
      <c r="E591" s="54" t="inlineStr">
        <is>
          <t>Full</t>
        </is>
      </c>
      <c r="F591" s="54" t="inlineStr">
        <is>
          <t>Burnt Orange</t>
        </is>
      </c>
      <c r="G591" s="55" t="n">
        <v>8</v>
      </c>
      <c r="H591" s="167" t="n">
        <v>150.22</v>
      </c>
      <c r="I591" s="167" t="n">
        <v>0</v>
      </c>
      <c r="J591" s="171">
        <f>IF(AND(N(G591)&gt;0,N(H591)+N(I591)&gt;0),(H591+I591)*U591/G591,"")</f>
        <v/>
      </c>
      <c r="K591" s="172" t="n">
        <v>44.99</v>
      </c>
      <c r="L591" s="172" t="n">
        <v>27.33</v>
      </c>
      <c r="M591" s="54" t="inlineStr">
        <is>
          <t>Eligible</t>
        </is>
      </c>
      <c r="N591" s="171">
        <f>IF(OR(J591="",L591=""),"",L591-J591)</f>
        <v/>
      </c>
      <c r="O591" s="169">
        <f>IF(OR(J591="",L591=""),"",L591/J591-1)</f>
        <v/>
      </c>
      <c r="P591" s="169">
        <f>IF(OR(J591="",K591=""),"",K591/J591-1)</f>
        <v/>
      </c>
      <c r="Q591" s="54">
        <f>IF(AND(ISNUMBER(J591),ISNUMBER(L591)),1,0)</f>
        <v/>
      </c>
      <c r="R591" s="69">
        <f>IF(Q591=1,G591*L591,0)</f>
        <v/>
      </c>
      <c r="S591" s="69">
        <f>IF(Q591=1,(H591+I591)*U591,0)</f>
        <v/>
      </c>
      <c r="T591" s="59">
        <f>IF(Q591=1,G591,0)</f>
        <v/>
      </c>
      <c r="U591" s="170">
        <f>$G$3</f>
        <v/>
      </c>
    </row>
    <row r="592">
      <c r="A592" s="54" t="inlineStr">
        <is>
          <t>CA DC S4</t>
        </is>
      </c>
      <c r="B592" s="54" t="inlineStr">
        <is>
          <t>CA</t>
        </is>
      </c>
      <c r="C592" s="54" t="inlineStr">
        <is>
          <t>B0BG22CYFP</t>
        </is>
      </c>
      <c r="D592" s="54" t="inlineStr">
        <is>
          <t>SATIN-IVORY-FULL</t>
        </is>
      </c>
      <c r="E592" s="54" t="inlineStr">
        <is>
          <t>Full</t>
        </is>
      </c>
      <c r="F592" s="54" t="inlineStr">
        <is>
          <t>Ivory</t>
        </is>
      </c>
      <c r="G592" s="55" t="n">
        <v>8</v>
      </c>
      <c r="H592" s="167" t="n">
        <v>194.93</v>
      </c>
      <c r="I592" s="167" t="n">
        <v>0</v>
      </c>
      <c r="J592" s="171">
        <f>IF(AND(N(G592)&gt;0,N(H592)+N(I592)&gt;0),(H592+I592)*U592/G592,"")</f>
        <v/>
      </c>
      <c r="K592" s="172" t="n">
        <v>44.99</v>
      </c>
      <c r="L592" s="172" t="n">
        <v>42.74</v>
      </c>
      <c r="M592" s="54" t="inlineStr">
        <is>
          <t>Eligible</t>
        </is>
      </c>
      <c r="N592" s="171">
        <f>IF(OR(J592="",L592=""),"",L592-J592)</f>
        <v/>
      </c>
      <c r="O592" s="169">
        <f>IF(OR(J592="",L592=""),"",L592/J592-1)</f>
        <v/>
      </c>
      <c r="P592" s="169">
        <f>IF(OR(J592="",K592=""),"",K592/J592-1)</f>
        <v/>
      </c>
      <c r="Q592" s="54">
        <f>IF(AND(ISNUMBER(J592),ISNUMBER(L592)),1,0)</f>
        <v/>
      </c>
      <c r="R592" s="69">
        <f>IF(Q592=1,G592*L592,0)</f>
        <v/>
      </c>
      <c r="S592" s="69">
        <f>IF(Q592=1,(H592+I592)*U592,0)</f>
        <v/>
      </c>
      <c r="T592" s="59">
        <f>IF(Q592=1,G592,0)</f>
        <v/>
      </c>
      <c r="U592" s="170">
        <f>$G$3</f>
        <v/>
      </c>
    </row>
    <row r="593">
      <c r="A593" s="54" t="inlineStr">
        <is>
          <t>CA DC S4</t>
        </is>
      </c>
      <c r="B593" s="54" t="inlineStr">
        <is>
          <t>CA</t>
        </is>
      </c>
      <c r="C593" s="54" t="inlineStr">
        <is>
          <t>B09G6K53S2</t>
        </is>
      </c>
      <c r="D593" s="54" t="inlineStr">
        <is>
          <t>SATIN-STRIPE-KING-GRAY</t>
        </is>
      </c>
      <c r="E593" s="54" t="inlineStr">
        <is>
          <t>King</t>
        </is>
      </c>
      <c r="F593" s="54" t="inlineStr">
        <is>
          <t>Striped Grey</t>
        </is>
      </c>
      <c r="G593" s="55" t="n">
        <v>8</v>
      </c>
      <c r="H593" s="167" t="n">
        <v>211.72</v>
      </c>
      <c r="I593" s="167" t="n">
        <v>0</v>
      </c>
      <c r="J593" s="171">
        <f>IF(AND(N(G593)&gt;0,N(H593)+N(I593)&gt;0),(H593+I593)*U593/G593,"")</f>
        <v/>
      </c>
      <c r="K593" s="172" t="n">
        <v>52.99</v>
      </c>
      <c r="L593" s="172" t="n"/>
      <c r="M593" s="54" t="inlineStr">
        <is>
          <t>Out of stock</t>
        </is>
      </c>
      <c r="N593" s="171">
        <f>IF(OR(J593="",L593=""),"",L593-J593)</f>
        <v/>
      </c>
      <c r="O593" s="169">
        <f>IF(OR(J593="",L593=""),"",L593/J593-1)</f>
        <v/>
      </c>
      <c r="P593" s="169">
        <f>IF(OR(J593="",K593=""),"",K593/J593-1)</f>
        <v/>
      </c>
      <c r="Q593" s="54">
        <f>IF(AND(ISNUMBER(J593),ISNUMBER(L593)),1,0)</f>
        <v/>
      </c>
      <c r="R593" s="69">
        <f>IF(Q593=1,G593*L593,0)</f>
        <v/>
      </c>
      <c r="S593" s="69">
        <f>IF(Q593=1,(H593+I593)*U593,0)</f>
        <v/>
      </c>
      <c r="T593" s="59">
        <f>IF(Q593=1,G593,0)</f>
        <v/>
      </c>
      <c r="U593" s="170">
        <f>$G$3</f>
        <v/>
      </c>
    </row>
    <row r="594">
      <c r="A594" s="54" t="inlineStr">
        <is>
          <t>CA DC S4</t>
        </is>
      </c>
      <c r="B594" s="54" t="inlineStr">
        <is>
          <t>CA</t>
        </is>
      </c>
      <c r="C594" s="54" t="inlineStr">
        <is>
          <t>B09G6KRX7T</t>
        </is>
      </c>
      <c r="D594" s="54" t="inlineStr">
        <is>
          <t>SATIN-STRIPE-TWIN-PINK</t>
        </is>
      </c>
      <c r="E594" s="54" t="inlineStr">
        <is>
          <t>Twin</t>
        </is>
      </c>
      <c r="F594" s="54" t="inlineStr">
        <is>
          <t>Striped Pink</t>
        </is>
      </c>
      <c r="G594" s="55" t="n">
        <v>8</v>
      </c>
      <c r="H594" s="167" t="n">
        <v>175.37</v>
      </c>
      <c r="I594" s="167" t="n">
        <v>0</v>
      </c>
      <c r="J594" s="171">
        <f>IF(AND(N(G594)&gt;0,N(H594)+N(I594)&gt;0),(H594+I594)*U594/G594,"")</f>
        <v/>
      </c>
      <c r="K594" s="172" t="n">
        <v>39.99</v>
      </c>
      <c r="L594" s="172" t="n"/>
      <c r="M594" s="54" t="inlineStr">
        <is>
          <t>Out of stock</t>
        </is>
      </c>
      <c r="N594" s="171">
        <f>IF(OR(J594="",L594=""),"",L594-J594)</f>
        <v/>
      </c>
      <c r="O594" s="169">
        <f>IF(OR(J594="",L594=""),"",L594/J594-1)</f>
        <v/>
      </c>
      <c r="P594" s="169">
        <f>IF(OR(J594="",K594=""),"",K594/J594-1)</f>
        <v/>
      </c>
      <c r="Q594" s="54">
        <f>IF(AND(ISNUMBER(J594),ISNUMBER(L594)),1,0)</f>
        <v/>
      </c>
      <c r="R594" s="69">
        <f>IF(Q594=1,G594*L594,0)</f>
        <v/>
      </c>
      <c r="S594" s="69">
        <f>IF(Q594=1,(H594+I594)*U594,0)</f>
        <v/>
      </c>
      <c r="T594" s="59">
        <f>IF(Q594=1,G594,0)</f>
        <v/>
      </c>
      <c r="U594" s="170">
        <f>$G$3</f>
        <v/>
      </c>
    </row>
    <row r="595">
      <c r="A595" s="54" t="inlineStr">
        <is>
          <t>CA DC S4</t>
        </is>
      </c>
      <c r="B595" s="54" t="inlineStr">
        <is>
          <t>CA</t>
        </is>
      </c>
      <c r="C595" s="54" t="inlineStr">
        <is>
          <t>B09G6JHW3F</t>
        </is>
      </c>
      <c r="D595" s="54" t="inlineStr">
        <is>
          <t>SATIN-STRIPE-KING-RED</t>
        </is>
      </c>
      <c r="E595" s="54" t="inlineStr">
        <is>
          <t>King</t>
        </is>
      </c>
      <c r="F595" s="54" t="inlineStr">
        <is>
          <t>Striped Red</t>
        </is>
      </c>
      <c r="G595" s="55" t="n">
        <v>7</v>
      </c>
      <c r="H595" s="167" t="n">
        <v>203.65</v>
      </c>
      <c r="I595" s="167" t="n">
        <v>0</v>
      </c>
      <c r="J595" s="171">
        <f>IF(AND(N(G595)&gt;0,N(H595)+N(I595)&gt;0),(H595+I595)*U595/G595,"")</f>
        <v/>
      </c>
      <c r="K595" s="172" t="n">
        <v>52.99</v>
      </c>
      <c r="L595" s="172" t="n"/>
      <c r="M595" s="54" t="inlineStr">
        <is>
          <t>Out of stock</t>
        </is>
      </c>
      <c r="N595" s="171">
        <f>IF(OR(J595="",L595=""),"",L595-J595)</f>
        <v/>
      </c>
      <c r="O595" s="169">
        <f>IF(OR(J595="",L595=""),"",L595/J595-1)</f>
        <v/>
      </c>
      <c r="P595" s="169">
        <f>IF(OR(J595="",K595=""),"",K595/J595-1)</f>
        <v/>
      </c>
      <c r="Q595" s="54">
        <f>IF(AND(ISNUMBER(J595),ISNUMBER(L595)),1,0)</f>
        <v/>
      </c>
      <c r="R595" s="69">
        <f>IF(Q595=1,G595*L595,0)</f>
        <v/>
      </c>
      <c r="S595" s="69">
        <f>IF(Q595=1,(H595+I595)*U595,0)</f>
        <v/>
      </c>
      <c r="T595" s="59">
        <f>IF(Q595=1,G595,0)</f>
        <v/>
      </c>
      <c r="U595" s="170">
        <f>$G$3</f>
        <v/>
      </c>
    </row>
    <row r="596">
      <c r="A596" s="54" t="inlineStr">
        <is>
          <t>CA DC S4</t>
        </is>
      </c>
      <c r="B596" s="54" t="inlineStr">
        <is>
          <t>CA</t>
        </is>
      </c>
      <c r="C596" s="54" t="inlineStr">
        <is>
          <t>B0839M8LP5</t>
        </is>
      </c>
      <c r="D596" s="54" t="inlineStr">
        <is>
          <t>SATIN-TWIN-GREY</t>
        </is>
      </c>
      <c r="E596" s="54" t="inlineStr">
        <is>
          <t>Twin</t>
        </is>
      </c>
      <c r="F596" s="54" t="inlineStr">
        <is>
          <t>Grey</t>
        </is>
      </c>
      <c r="G596" s="55" t="n">
        <v>7</v>
      </c>
      <c r="H596" s="167" t="n">
        <v>159.06</v>
      </c>
      <c r="I596" s="167" t="n">
        <v>0</v>
      </c>
      <c r="J596" s="171">
        <f>IF(AND(N(G596)&gt;0,N(H596)+N(I596)&gt;0),(H596+I596)*U596/G596,"")</f>
        <v/>
      </c>
      <c r="K596" s="172" t="n">
        <v>39.99</v>
      </c>
      <c r="L596" s="172" t="n">
        <v>39.99</v>
      </c>
      <c r="M596" s="54" t="inlineStr">
        <is>
          <t>Eligible</t>
        </is>
      </c>
      <c r="N596" s="171">
        <f>IF(OR(J596="",L596=""),"",L596-J596)</f>
        <v/>
      </c>
      <c r="O596" s="169">
        <f>IF(OR(J596="",L596=""),"",L596/J596-1)</f>
        <v/>
      </c>
      <c r="P596" s="169">
        <f>IF(OR(J596="",K596=""),"",K596/J596-1)</f>
        <v/>
      </c>
      <c r="Q596" s="54">
        <f>IF(AND(ISNUMBER(J596),ISNUMBER(L596)),1,0)</f>
        <v/>
      </c>
      <c r="R596" s="69">
        <f>IF(Q596=1,G596*L596,0)</f>
        <v/>
      </c>
      <c r="S596" s="69">
        <f>IF(Q596=1,(H596+I596)*U596,0)</f>
        <v/>
      </c>
      <c r="T596" s="59">
        <f>IF(Q596=1,G596,0)</f>
        <v/>
      </c>
      <c r="U596" s="170">
        <f>$G$3</f>
        <v/>
      </c>
    </row>
    <row r="597">
      <c r="A597" s="54" t="inlineStr">
        <is>
          <t>CA DC S4</t>
        </is>
      </c>
      <c r="B597" s="54" t="inlineStr">
        <is>
          <t>CA</t>
        </is>
      </c>
      <c r="C597" s="54" t="inlineStr">
        <is>
          <t>B0839M48YF</t>
        </is>
      </c>
      <c r="D597" s="54" t="inlineStr">
        <is>
          <t>SATIN-TWIN-PURPLE</t>
        </is>
      </c>
      <c r="E597" s="54" t="inlineStr">
        <is>
          <t>Twin</t>
        </is>
      </c>
      <c r="F597" s="54" t="inlineStr">
        <is>
          <t>Purple</t>
        </is>
      </c>
      <c r="G597" s="55" t="n">
        <v>7</v>
      </c>
      <c r="H597" s="167" t="n">
        <v>143.96</v>
      </c>
      <c r="I597" s="167" t="n">
        <v>0</v>
      </c>
      <c r="J597" s="171">
        <f>IF(AND(N(G597)&gt;0,N(H597)+N(I597)&gt;0),(H597+I597)*U597/G597,"")</f>
        <v/>
      </c>
      <c r="K597" s="172" t="n">
        <v>39.99</v>
      </c>
      <c r="L597" s="172" t="n">
        <v>39.99</v>
      </c>
      <c r="M597" s="54" t="inlineStr">
        <is>
          <t>Eligible</t>
        </is>
      </c>
      <c r="N597" s="171">
        <f>IF(OR(J597="",L597=""),"",L597-J597)</f>
        <v/>
      </c>
      <c r="O597" s="169">
        <f>IF(OR(J597="",L597=""),"",L597/J597-1)</f>
        <v/>
      </c>
      <c r="P597" s="169">
        <f>IF(OR(J597="",K597=""),"",K597/J597-1)</f>
        <v/>
      </c>
      <c r="Q597" s="54">
        <f>IF(AND(ISNUMBER(J597),ISNUMBER(L597)),1,0)</f>
        <v/>
      </c>
      <c r="R597" s="69">
        <f>IF(Q597=1,G597*L597,0)</f>
        <v/>
      </c>
      <c r="S597" s="69">
        <f>IF(Q597=1,(H597+I597)*U597,0)</f>
        <v/>
      </c>
      <c r="T597" s="59">
        <f>IF(Q597=1,G597,0)</f>
        <v/>
      </c>
      <c r="U597" s="170">
        <f>$G$3</f>
        <v/>
      </c>
    </row>
    <row r="598">
      <c r="A598" s="54" t="inlineStr">
        <is>
          <t>CA DC S4</t>
        </is>
      </c>
      <c r="B598" s="54" t="inlineStr">
        <is>
          <t>CA</t>
        </is>
      </c>
      <c r="C598" s="54" t="inlineStr">
        <is>
          <t>B0BZPVYJK4</t>
        </is>
      </c>
      <c r="D598" s="54" t="inlineStr">
        <is>
          <t>SATIN-TAUPE-TWIN</t>
        </is>
      </c>
      <c r="E598" s="54" t="inlineStr">
        <is>
          <t>Twin</t>
        </is>
      </c>
      <c r="F598" s="54" t="inlineStr">
        <is>
          <t>Taupe</t>
        </is>
      </c>
      <c r="G598" s="55" t="n">
        <v>7</v>
      </c>
      <c r="H598" s="167" t="n">
        <v>102.94</v>
      </c>
      <c r="I598" s="167" t="n">
        <v>0</v>
      </c>
      <c r="J598" s="171">
        <f>IF(AND(N(G598)&gt;0,N(H598)+N(I598)&gt;0),(H598+I598)*U598/G598,"")</f>
        <v/>
      </c>
      <c r="K598" s="172" t="n">
        <v>39.99</v>
      </c>
      <c r="L598" s="172" t="n"/>
      <c r="M598" s="54" t="inlineStr">
        <is>
          <t>No reference price</t>
        </is>
      </c>
      <c r="N598" s="171">
        <f>IF(OR(J598="",L598=""),"",L598-J598)</f>
        <v/>
      </c>
      <c r="O598" s="169">
        <f>IF(OR(J598="",L598=""),"",L598/J598-1)</f>
        <v/>
      </c>
      <c r="P598" s="169">
        <f>IF(OR(J598="",K598=""),"",K598/J598-1)</f>
        <v/>
      </c>
      <c r="Q598" s="54">
        <f>IF(AND(ISNUMBER(J598),ISNUMBER(L598)),1,0)</f>
        <v/>
      </c>
      <c r="R598" s="69">
        <f>IF(Q598=1,G598*L598,0)</f>
        <v/>
      </c>
      <c r="S598" s="69">
        <f>IF(Q598=1,(H598+I598)*U598,0)</f>
        <v/>
      </c>
      <c r="T598" s="59">
        <f>IF(Q598=1,G598,0)</f>
        <v/>
      </c>
      <c r="U598" s="170">
        <f>$G$3</f>
        <v/>
      </c>
    </row>
    <row r="599">
      <c r="A599" s="54" t="inlineStr">
        <is>
          <t>CA DC S4</t>
        </is>
      </c>
      <c r="B599" s="54" t="inlineStr">
        <is>
          <t>CA</t>
        </is>
      </c>
      <c r="C599" s="54" t="inlineStr">
        <is>
          <t>B0CQRX2Z2G</t>
        </is>
      </c>
      <c r="D599" s="54" t="inlineStr">
        <is>
          <t>SATIN-4PC-FULL-DARK GREEN</t>
        </is>
      </c>
      <c r="E599" s="54" t="inlineStr">
        <is>
          <t>Full</t>
        </is>
      </c>
      <c r="F599" s="54" t="inlineStr">
        <is>
          <t>Dark Green</t>
        </is>
      </c>
      <c r="G599" s="55" t="n">
        <v>6</v>
      </c>
      <c r="H599" s="167" t="n">
        <v>145.93</v>
      </c>
      <c r="I599" s="167" t="n">
        <v>0</v>
      </c>
      <c r="J599" s="171">
        <f>IF(AND(N(G599)&gt;0,N(H599)+N(I599)&gt;0),(H599+I599)*U599/G599,"")</f>
        <v/>
      </c>
      <c r="K599" s="172" t="n">
        <v>44.99</v>
      </c>
      <c r="L599" s="172" t="n">
        <v>36.33</v>
      </c>
      <c r="M599" s="54" t="inlineStr">
        <is>
          <t>Eligible</t>
        </is>
      </c>
      <c r="N599" s="171">
        <f>IF(OR(J599="",L599=""),"",L599-J599)</f>
        <v/>
      </c>
      <c r="O599" s="169">
        <f>IF(OR(J599="",L599=""),"",L599/J599-1)</f>
        <v/>
      </c>
      <c r="P599" s="169">
        <f>IF(OR(J599="",K599=""),"",K599/J599-1)</f>
        <v/>
      </c>
      <c r="Q599" s="54">
        <f>IF(AND(ISNUMBER(J599),ISNUMBER(L599)),1,0)</f>
        <v/>
      </c>
      <c r="R599" s="69">
        <f>IF(Q599=1,G599*L599,0)</f>
        <v/>
      </c>
      <c r="S599" s="69">
        <f>IF(Q599=1,(H599+I599)*U599,0)</f>
        <v/>
      </c>
      <c r="T599" s="59">
        <f>IF(Q599=1,G599,0)</f>
        <v/>
      </c>
      <c r="U599" s="170">
        <f>$G$3</f>
        <v/>
      </c>
    </row>
    <row r="600">
      <c r="A600" s="54" t="inlineStr">
        <is>
          <t>CA DC S4</t>
        </is>
      </c>
      <c r="B600" s="54" t="inlineStr">
        <is>
          <t>CA</t>
        </is>
      </c>
      <c r="C600" s="54" t="inlineStr">
        <is>
          <t>B09G6KKB4S</t>
        </is>
      </c>
      <c r="D600" s="54" t="inlineStr">
        <is>
          <t>SATIN-STRIPE-FULL-WHITE</t>
        </is>
      </c>
      <c r="E600" s="54" t="inlineStr">
        <is>
          <t>Full</t>
        </is>
      </c>
      <c r="F600" s="54" t="inlineStr">
        <is>
          <t>Striped White</t>
        </is>
      </c>
      <c r="G600" s="55" t="n">
        <v>6</v>
      </c>
      <c r="H600" s="167" t="n">
        <v>169.44</v>
      </c>
      <c r="I600" s="167" t="n">
        <v>0</v>
      </c>
      <c r="J600" s="171">
        <f>IF(AND(N(G600)&gt;0,N(H600)+N(I600)&gt;0),(H600+I600)*U600/G600,"")</f>
        <v/>
      </c>
      <c r="K600" s="172" t="n">
        <v>44.99</v>
      </c>
      <c r="L600" s="172" t="n">
        <v>42.74</v>
      </c>
      <c r="M600" s="54" t="inlineStr">
        <is>
          <t>Eligible</t>
        </is>
      </c>
      <c r="N600" s="171">
        <f>IF(OR(J600="",L600=""),"",L600-J600)</f>
        <v/>
      </c>
      <c r="O600" s="169">
        <f>IF(OR(J600="",L600=""),"",L600/J600-1)</f>
        <v/>
      </c>
      <c r="P600" s="169">
        <f>IF(OR(J600="",K600=""),"",K600/J600-1)</f>
        <v/>
      </c>
      <c r="Q600" s="54">
        <f>IF(AND(ISNUMBER(J600),ISNUMBER(L600)),1,0)</f>
        <v/>
      </c>
      <c r="R600" s="69">
        <f>IF(Q600=1,G600*L600,0)</f>
        <v/>
      </c>
      <c r="S600" s="69">
        <f>IF(Q600=1,(H600+I600)*U600,0)</f>
        <v/>
      </c>
      <c r="T600" s="59">
        <f>IF(Q600=1,G600,0)</f>
        <v/>
      </c>
      <c r="U600" s="170">
        <f>$G$3</f>
        <v/>
      </c>
    </row>
    <row r="601">
      <c r="A601" s="54" t="inlineStr">
        <is>
          <t>CA DC S4</t>
        </is>
      </c>
      <c r="B601" s="54" t="inlineStr">
        <is>
          <t>CA</t>
        </is>
      </c>
      <c r="C601" s="54" t="inlineStr">
        <is>
          <t>B0BZQ1LTK3</t>
        </is>
      </c>
      <c r="D601" s="54" t="inlineStr">
        <is>
          <t>SATIN-TAUPE-QUEEN</t>
        </is>
      </c>
      <c r="E601" s="54" t="inlineStr">
        <is>
          <t>Queen</t>
        </is>
      </c>
      <c r="F601" s="54" t="inlineStr">
        <is>
          <t>Taupe-01</t>
        </is>
      </c>
      <c r="G601" s="55" t="n">
        <v>6</v>
      </c>
      <c r="H601" s="167" t="n">
        <v>158.55</v>
      </c>
      <c r="I601" s="167" t="n">
        <v>0</v>
      </c>
      <c r="J601" s="171">
        <f>IF(AND(N(G601)&gt;0,N(H601)+N(I601)&gt;0),(H601+I601)*U601/G601,"")</f>
        <v/>
      </c>
      <c r="K601" s="172" t="n">
        <v>47.99</v>
      </c>
      <c r="L601" s="172" t="n">
        <v>45.59</v>
      </c>
      <c r="M601" s="54" t="inlineStr">
        <is>
          <t>Eligible</t>
        </is>
      </c>
      <c r="N601" s="171">
        <f>IF(OR(J601="",L601=""),"",L601-J601)</f>
        <v/>
      </c>
      <c r="O601" s="169">
        <f>IF(OR(J601="",L601=""),"",L601/J601-1)</f>
        <v/>
      </c>
      <c r="P601" s="169">
        <f>IF(OR(J601="",K601=""),"",K601/J601-1)</f>
        <v/>
      </c>
      <c r="Q601" s="54">
        <f>IF(AND(ISNUMBER(J601),ISNUMBER(L601)),1,0)</f>
        <v/>
      </c>
      <c r="R601" s="69">
        <f>IF(Q601=1,G601*L601,0)</f>
        <v/>
      </c>
      <c r="S601" s="69">
        <f>IF(Q601=1,(H601+I601)*U601,0)</f>
        <v/>
      </c>
      <c r="T601" s="59">
        <f>IF(Q601=1,G601,0)</f>
        <v/>
      </c>
      <c r="U601" s="170">
        <f>$G$3</f>
        <v/>
      </c>
    </row>
    <row r="602">
      <c r="A602" s="54" t="inlineStr">
        <is>
          <t>CA DC S4</t>
        </is>
      </c>
      <c r="B602" s="54" t="inlineStr">
        <is>
          <t>CA</t>
        </is>
      </c>
      <c r="C602" s="54" t="inlineStr">
        <is>
          <t>B09G6M7WJ2</t>
        </is>
      </c>
      <c r="D602" s="54" t="inlineStr">
        <is>
          <t>SATIN-STRIPE-FULL-BLUE</t>
        </is>
      </c>
      <c r="E602" s="54" t="inlineStr">
        <is>
          <t>Full</t>
        </is>
      </c>
      <c r="F602" s="54" t="inlineStr">
        <is>
          <t>Striped Blue</t>
        </is>
      </c>
      <c r="G602" s="55" t="n">
        <v>5</v>
      </c>
      <c r="H602" s="167" t="n">
        <v>112.65</v>
      </c>
      <c r="I602" s="167" t="n">
        <v>0</v>
      </c>
      <c r="J602" s="171">
        <f>IF(AND(N(G602)&gt;0,N(H602)+N(I602)&gt;0),(H602+I602)*U602/G602,"")</f>
        <v/>
      </c>
      <c r="K602" s="172" t="n">
        <v>44.99</v>
      </c>
      <c r="L602" s="172" t="n"/>
      <c r="M602" s="54" t="inlineStr">
        <is>
          <t>No reference price</t>
        </is>
      </c>
      <c r="N602" s="171">
        <f>IF(OR(J602="",L602=""),"",L602-J602)</f>
        <v/>
      </c>
      <c r="O602" s="169">
        <f>IF(OR(J602="",L602=""),"",L602/J602-1)</f>
        <v/>
      </c>
      <c r="P602" s="169">
        <f>IF(OR(J602="",K602=""),"",K602/J602-1)</f>
        <v/>
      </c>
      <c r="Q602" s="54">
        <f>IF(AND(ISNUMBER(J602),ISNUMBER(L602)),1,0)</f>
        <v/>
      </c>
      <c r="R602" s="69">
        <f>IF(Q602=1,G602*L602,0)</f>
        <v/>
      </c>
      <c r="S602" s="69">
        <f>IF(Q602=1,(H602+I602)*U602,0)</f>
        <v/>
      </c>
      <c r="T602" s="59">
        <f>IF(Q602=1,G602,0)</f>
        <v/>
      </c>
      <c r="U602" s="170">
        <f>$G$3</f>
        <v/>
      </c>
    </row>
    <row r="603">
      <c r="A603" s="54" t="inlineStr">
        <is>
          <t>CA DC S4</t>
        </is>
      </c>
      <c r="B603" s="54" t="inlineStr">
        <is>
          <t>CA</t>
        </is>
      </c>
      <c r="C603" s="54" t="inlineStr">
        <is>
          <t>B08KRYTRHY</t>
        </is>
      </c>
      <c r="D603" s="54" t="inlineStr">
        <is>
          <t>SATIN-GOLD-KING</t>
        </is>
      </c>
      <c r="E603" s="54" t="inlineStr">
        <is>
          <t>King</t>
        </is>
      </c>
      <c r="F603" s="54" t="inlineStr">
        <is>
          <t>Gold</t>
        </is>
      </c>
      <c r="G603" s="55" t="n">
        <v>5</v>
      </c>
      <c r="H603" s="167" t="n">
        <v>144.91</v>
      </c>
      <c r="I603" s="167" t="n">
        <v>0</v>
      </c>
      <c r="J603" s="171">
        <f>IF(AND(N(G603)&gt;0,N(H603)+N(I603)&gt;0),(H603+I603)*U603/G603,"")</f>
        <v/>
      </c>
      <c r="K603" s="172" t="n">
        <v>52.99</v>
      </c>
      <c r="L603" s="172" t="n"/>
      <c r="M603" s="54" t="inlineStr">
        <is>
          <t>Out of stock</t>
        </is>
      </c>
      <c r="N603" s="171">
        <f>IF(OR(J603="",L603=""),"",L603-J603)</f>
        <v/>
      </c>
      <c r="O603" s="169">
        <f>IF(OR(J603="",L603=""),"",L603/J603-1)</f>
        <v/>
      </c>
      <c r="P603" s="169">
        <f>IF(OR(J603="",K603=""),"",K603/J603-1)</f>
        <v/>
      </c>
      <c r="Q603" s="54">
        <f>IF(AND(ISNUMBER(J603),ISNUMBER(L603)),1,0)</f>
        <v/>
      </c>
      <c r="R603" s="69">
        <f>IF(Q603=1,G603*L603,0)</f>
        <v/>
      </c>
      <c r="S603" s="69">
        <f>IF(Q603=1,(H603+I603)*U603,0)</f>
        <v/>
      </c>
      <c r="T603" s="59">
        <f>IF(Q603=1,G603,0)</f>
        <v/>
      </c>
      <c r="U603" s="170">
        <f>$G$3</f>
        <v/>
      </c>
    </row>
    <row r="604">
      <c r="A604" s="54" t="inlineStr">
        <is>
          <t>CA DC S4</t>
        </is>
      </c>
      <c r="B604" s="54" t="inlineStr">
        <is>
          <t>CA</t>
        </is>
      </c>
      <c r="C604" s="54" t="inlineStr">
        <is>
          <t>B0CNS85C1K</t>
        </is>
      </c>
      <c r="D604" s="54" t="inlineStr">
        <is>
          <t>SATIN-TWIN-BLUSH PINK</t>
        </is>
      </c>
      <c r="E604" s="54" t="inlineStr">
        <is>
          <t>Twin</t>
        </is>
      </c>
      <c r="F604" s="54" t="inlineStr">
        <is>
          <t>Blush Pink</t>
        </is>
      </c>
      <c r="G604" s="55" t="n">
        <v>5</v>
      </c>
      <c r="H604" s="167" t="n">
        <v>113.89</v>
      </c>
      <c r="I604" s="167" t="n">
        <v>0</v>
      </c>
      <c r="J604" s="171">
        <f>IF(AND(N(G604)&gt;0,N(H604)+N(I604)&gt;0),(H604+I604)*U604/G604,"")</f>
        <v/>
      </c>
      <c r="K604" s="172" t="n">
        <v>39.99</v>
      </c>
      <c r="L604" s="172" t="n">
        <v>39.99</v>
      </c>
      <c r="M604" s="54" t="inlineStr">
        <is>
          <t>Eligible</t>
        </is>
      </c>
      <c r="N604" s="171">
        <f>IF(OR(J604="",L604=""),"",L604-J604)</f>
        <v/>
      </c>
      <c r="O604" s="169">
        <f>IF(OR(J604="",L604=""),"",L604/J604-1)</f>
        <v/>
      </c>
      <c r="P604" s="169">
        <f>IF(OR(J604="",K604=""),"",K604/J604-1)</f>
        <v/>
      </c>
      <c r="Q604" s="54">
        <f>IF(AND(ISNUMBER(J604),ISNUMBER(L604)),1,0)</f>
        <v/>
      </c>
      <c r="R604" s="69">
        <f>IF(Q604=1,G604*L604,0)</f>
        <v/>
      </c>
      <c r="S604" s="69">
        <f>IF(Q604=1,(H604+I604)*U604,0)</f>
        <v/>
      </c>
      <c r="T604" s="59">
        <f>IF(Q604=1,G604,0)</f>
        <v/>
      </c>
      <c r="U604" s="170">
        <f>$G$3</f>
        <v/>
      </c>
    </row>
    <row r="605">
      <c r="A605" s="54" t="inlineStr">
        <is>
          <t>CA DC S4</t>
        </is>
      </c>
      <c r="B605" s="54" t="inlineStr">
        <is>
          <t>CA</t>
        </is>
      </c>
      <c r="C605" s="54" t="inlineStr">
        <is>
          <t>B0CQRXC2YT</t>
        </is>
      </c>
      <c r="D605" s="54" t="inlineStr">
        <is>
          <t>SATIN-3PC-TWIN-BURNT ORANGE</t>
        </is>
      </c>
      <c r="E605" s="54" t="inlineStr">
        <is>
          <t>Twin</t>
        </is>
      </c>
      <c r="F605" s="54" t="inlineStr">
        <is>
          <t>Burnt Orange</t>
        </is>
      </c>
      <c r="G605" s="55" t="n">
        <v>5</v>
      </c>
      <c r="H605" s="167" t="n">
        <v>85.18000000000001</v>
      </c>
      <c r="I605" s="167" t="n">
        <v>0</v>
      </c>
      <c r="J605" s="171">
        <f>IF(AND(N(G605)&gt;0,N(H605)+N(I605)&gt;0),(H605+I605)*U605/G605,"")</f>
        <v/>
      </c>
      <c r="K605" s="172" t="n">
        <v>39.99</v>
      </c>
      <c r="L605" s="172" t="n">
        <v>37.99</v>
      </c>
      <c r="M605" s="54" t="inlineStr">
        <is>
          <t>Eligible</t>
        </is>
      </c>
      <c r="N605" s="171">
        <f>IF(OR(J605="",L605=""),"",L605-J605)</f>
        <v/>
      </c>
      <c r="O605" s="169">
        <f>IF(OR(J605="",L605=""),"",L605/J605-1)</f>
        <v/>
      </c>
      <c r="P605" s="169">
        <f>IF(OR(J605="",K605=""),"",K605/J605-1)</f>
        <v/>
      </c>
      <c r="Q605" s="54">
        <f>IF(AND(ISNUMBER(J605),ISNUMBER(L605)),1,0)</f>
        <v/>
      </c>
      <c r="R605" s="69">
        <f>IF(Q605=1,G605*L605,0)</f>
        <v/>
      </c>
      <c r="S605" s="69">
        <f>IF(Q605=1,(H605+I605)*U605,0)</f>
        <v/>
      </c>
      <c r="T605" s="59">
        <f>IF(Q605=1,G605,0)</f>
        <v/>
      </c>
      <c r="U605" s="170">
        <f>$G$3</f>
        <v/>
      </c>
    </row>
    <row r="606">
      <c r="A606" s="54" t="inlineStr">
        <is>
          <t>CA DC S4</t>
        </is>
      </c>
      <c r="B606" s="54" t="inlineStr">
        <is>
          <t>CA</t>
        </is>
      </c>
      <c r="C606" s="54" t="inlineStr">
        <is>
          <t>B0CQRYL8Z4</t>
        </is>
      </c>
      <c r="D606" s="54" t="inlineStr">
        <is>
          <t>SATIN-3PC-TWIN-SAGE GREEN</t>
        </is>
      </c>
      <c r="E606" s="54" t="inlineStr">
        <is>
          <t>Twin</t>
        </is>
      </c>
      <c r="F606" s="54" t="inlineStr">
        <is>
          <t>Sage Green</t>
        </is>
      </c>
      <c r="G606" s="55" t="n">
        <v>5</v>
      </c>
      <c r="H606" s="167" t="n">
        <v>114.32</v>
      </c>
      <c r="I606" s="167" t="n">
        <v>0</v>
      </c>
      <c r="J606" s="171">
        <f>IF(AND(N(G606)&gt;0,N(H606)+N(I606)&gt;0),(H606+I606)*U606/G606,"")</f>
        <v/>
      </c>
      <c r="K606" s="172" t="n">
        <v>39.99</v>
      </c>
      <c r="L606" s="172" t="n">
        <v>39.99</v>
      </c>
      <c r="M606" s="54" t="inlineStr">
        <is>
          <t>Eligible</t>
        </is>
      </c>
      <c r="N606" s="171">
        <f>IF(OR(J606="",L606=""),"",L606-J606)</f>
        <v/>
      </c>
      <c r="O606" s="169">
        <f>IF(OR(J606="",L606=""),"",L606/J606-1)</f>
        <v/>
      </c>
      <c r="P606" s="169">
        <f>IF(OR(J606="",K606=""),"",K606/J606-1)</f>
        <v/>
      </c>
      <c r="Q606" s="54">
        <f>IF(AND(ISNUMBER(J606),ISNUMBER(L606)),1,0)</f>
        <v/>
      </c>
      <c r="R606" s="69">
        <f>IF(Q606=1,G606*L606,0)</f>
        <v/>
      </c>
      <c r="S606" s="69">
        <f>IF(Q606=1,(H606+I606)*U606,0)</f>
        <v/>
      </c>
      <c r="T606" s="59">
        <f>IF(Q606=1,G606,0)</f>
        <v/>
      </c>
      <c r="U606" s="170">
        <f>$G$3</f>
        <v/>
      </c>
    </row>
    <row r="607">
      <c r="A607" s="54" t="inlineStr">
        <is>
          <t>CA DC S4</t>
        </is>
      </c>
      <c r="B607" s="54" t="inlineStr">
        <is>
          <t>CA</t>
        </is>
      </c>
      <c r="C607" s="54" t="inlineStr">
        <is>
          <t>B0839L5PDJ</t>
        </is>
      </c>
      <c r="D607" s="54" t="inlineStr">
        <is>
          <t>SATIN-KING-BLUE</t>
        </is>
      </c>
      <c r="E607" s="54" t="inlineStr">
        <is>
          <t>King</t>
        </is>
      </c>
      <c r="F607" s="54" t="inlineStr">
        <is>
          <t>Blue</t>
        </is>
      </c>
      <c r="G607" s="55" t="n">
        <v>4</v>
      </c>
      <c r="H607" s="167" t="n">
        <v>120.46</v>
      </c>
      <c r="I607" s="167" t="n">
        <v>0</v>
      </c>
      <c r="J607" s="171">
        <f>IF(AND(N(G607)&gt;0,N(H607)+N(I607)&gt;0),(H607+I607)*U607/G607,"")</f>
        <v/>
      </c>
      <c r="K607" s="172" t="n">
        <v>52.99</v>
      </c>
      <c r="L607" s="172" t="n">
        <v>50.34</v>
      </c>
      <c r="M607" s="54" t="inlineStr">
        <is>
          <t>Eligible</t>
        </is>
      </c>
      <c r="N607" s="171">
        <f>IF(OR(J607="",L607=""),"",L607-J607)</f>
        <v/>
      </c>
      <c r="O607" s="169">
        <f>IF(OR(J607="",L607=""),"",L607/J607-1)</f>
        <v/>
      </c>
      <c r="P607" s="169">
        <f>IF(OR(J607="",K607=""),"",K607/J607-1)</f>
        <v/>
      </c>
      <c r="Q607" s="54">
        <f>IF(AND(ISNUMBER(J607),ISNUMBER(L607)),1,0)</f>
        <v/>
      </c>
      <c r="R607" s="69">
        <f>IF(Q607=1,G607*L607,0)</f>
        <v/>
      </c>
      <c r="S607" s="69">
        <f>IF(Q607=1,(H607+I607)*U607,0)</f>
        <v/>
      </c>
      <c r="T607" s="59">
        <f>IF(Q607=1,G607,0)</f>
        <v/>
      </c>
      <c r="U607" s="170">
        <f>$G$3</f>
        <v/>
      </c>
    </row>
    <row r="608">
      <c r="A608" s="54" t="inlineStr">
        <is>
          <t>CA DC S4</t>
        </is>
      </c>
      <c r="B608" s="54" t="inlineStr">
        <is>
          <t>CA</t>
        </is>
      </c>
      <c r="C608" s="54" t="inlineStr">
        <is>
          <t>B09G6HZT1K</t>
        </is>
      </c>
      <c r="D608" s="54" t="inlineStr">
        <is>
          <t>SATIN-STRIPE-KING-BLACK</t>
        </is>
      </c>
      <c r="E608" s="54" t="inlineStr">
        <is>
          <t>King</t>
        </is>
      </c>
      <c r="F608" s="54" t="inlineStr">
        <is>
          <t>Striped Black</t>
        </is>
      </c>
      <c r="G608" s="55" t="n">
        <v>4</v>
      </c>
      <c r="H608" s="167" t="n">
        <v>116.07</v>
      </c>
      <c r="I608" s="167" t="n">
        <v>0</v>
      </c>
      <c r="J608" s="171">
        <f>IF(AND(N(G608)&gt;0,N(H608)+N(I608)&gt;0),(H608+I608)*U608/G608,"")</f>
        <v/>
      </c>
      <c r="K608" s="172" t="n">
        <v>52.99</v>
      </c>
      <c r="L608" s="172" t="n">
        <v>50.34</v>
      </c>
      <c r="M608" s="54" t="inlineStr">
        <is>
          <t>Eligible</t>
        </is>
      </c>
      <c r="N608" s="171">
        <f>IF(OR(J608="",L608=""),"",L608-J608)</f>
        <v/>
      </c>
      <c r="O608" s="169">
        <f>IF(OR(J608="",L608=""),"",L608/J608-1)</f>
        <v/>
      </c>
      <c r="P608" s="169">
        <f>IF(OR(J608="",K608=""),"",K608/J608-1)</f>
        <v/>
      </c>
      <c r="Q608" s="54">
        <f>IF(AND(ISNUMBER(J608),ISNUMBER(L608)),1,0)</f>
        <v/>
      </c>
      <c r="R608" s="69">
        <f>IF(Q608=1,G608*L608,0)</f>
        <v/>
      </c>
      <c r="S608" s="69">
        <f>IF(Q608=1,(H608+I608)*U608,0)</f>
        <v/>
      </c>
      <c r="T608" s="59">
        <f>IF(Q608=1,G608,0)</f>
        <v/>
      </c>
      <c r="U608" s="170">
        <f>$G$3</f>
        <v/>
      </c>
    </row>
    <row r="609">
      <c r="A609" s="54" t="inlineStr">
        <is>
          <t>CA DC S4</t>
        </is>
      </c>
      <c r="B609" s="54" t="inlineStr">
        <is>
          <t>CA</t>
        </is>
      </c>
      <c r="C609" s="54" t="inlineStr">
        <is>
          <t>B09G6JGMY9</t>
        </is>
      </c>
      <c r="D609" s="54" t="inlineStr">
        <is>
          <t>SATIN-STRIPE-KING-BLUE</t>
        </is>
      </c>
      <c r="E609" s="54" t="inlineStr">
        <is>
          <t>King</t>
        </is>
      </c>
      <c r="F609" s="54" t="inlineStr">
        <is>
          <t>Striped Blue</t>
        </is>
      </c>
      <c r="G609" s="55" t="n">
        <v>4</v>
      </c>
      <c r="H609" s="167" t="n">
        <v>121.9</v>
      </c>
      <c r="I609" s="167" t="n">
        <v>0</v>
      </c>
      <c r="J609" s="171">
        <f>IF(AND(N(G609)&gt;0,N(H609)+N(I609)&gt;0),(H609+I609)*U609/G609,"")</f>
        <v/>
      </c>
      <c r="K609" s="172" t="n">
        <v>33.95</v>
      </c>
      <c r="L609" s="172" t="n"/>
      <c r="M609" s="54" t="inlineStr">
        <is>
          <t>Not on the deal page</t>
        </is>
      </c>
      <c r="N609" s="171">
        <f>IF(OR(J609="",L609=""),"",L609-J609)</f>
        <v/>
      </c>
      <c r="O609" s="169">
        <f>IF(OR(J609="",L609=""),"",L609/J609-1)</f>
        <v/>
      </c>
      <c r="P609" s="169">
        <f>IF(OR(J609="",K609=""),"",K609/J609-1)</f>
        <v/>
      </c>
      <c r="Q609" s="54">
        <f>IF(AND(ISNUMBER(J609),ISNUMBER(L609)),1,0)</f>
        <v/>
      </c>
      <c r="R609" s="69">
        <f>IF(Q609=1,G609*L609,0)</f>
        <v/>
      </c>
      <c r="S609" s="69">
        <f>IF(Q609=1,(H609+I609)*U609,0)</f>
        <v/>
      </c>
      <c r="T609" s="59">
        <f>IF(Q609=1,G609,0)</f>
        <v/>
      </c>
      <c r="U609" s="170">
        <f>$G$3</f>
        <v/>
      </c>
    </row>
    <row r="610">
      <c r="A610" s="54" t="inlineStr">
        <is>
          <t>CA DC S4</t>
        </is>
      </c>
      <c r="B610" s="54" t="inlineStr">
        <is>
          <t>CA</t>
        </is>
      </c>
      <c r="C610" s="54" t="inlineStr">
        <is>
          <t>B09G6LBQHH</t>
        </is>
      </c>
      <c r="D610" s="54" t="inlineStr">
        <is>
          <t>SATIN-STRIPE-KING-PINK</t>
        </is>
      </c>
      <c r="E610" s="54" t="inlineStr">
        <is>
          <t>King</t>
        </is>
      </c>
      <c r="F610" s="54" t="inlineStr">
        <is>
          <t>Striped Pink</t>
        </is>
      </c>
      <c r="G610" s="55" t="n">
        <v>4</v>
      </c>
      <c r="H610" s="167" t="n">
        <v>107.95</v>
      </c>
      <c r="I610" s="167" t="n">
        <v>0</v>
      </c>
      <c r="J610" s="171">
        <f>IF(AND(N(G610)&gt;0,N(H610)+N(I610)&gt;0),(H610+I610)*U610/G610,"")</f>
        <v/>
      </c>
      <c r="K610" s="172" t="n">
        <v>52.99</v>
      </c>
      <c r="L610" s="172" t="n">
        <v>50.34</v>
      </c>
      <c r="M610" s="54" t="inlineStr">
        <is>
          <t>Eligible</t>
        </is>
      </c>
      <c r="N610" s="171">
        <f>IF(OR(J610="",L610=""),"",L610-J610)</f>
        <v/>
      </c>
      <c r="O610" s="169">
        <f>IF(OR(J610="",L610=""),"",L610/J610-1)</f>
        <v/>
      </c>
      <c r="P610" s="169">
        <f>IF(OR(J610="",K610=""),"",K610/J610-1)</f>
        <v/>
      </c>
      <c r="Q610" s="54">
        <f>IF(AND(ISNUMBER(J610),ISNUMBER(L610)),1,0)</f>
        <v/>
      </c>
      <c r="R610" s="69">
        <f>IF(Q610=1,G610*L610,0)</f>
        <v/>
      </c>
      <c r="S610" s="69">
        <f>IF(Q610=1,(H610+I610)*U610,0)</f>
        <v/>
      </c>
      <c r="T610" s="59">
        <f>IF(Q610=1,G610,0)</f>
        <v/>
      </c>
      <c r="U610" s="170">
        <f>$G$3</f>
        <v/>
      </c>
    </row>
    <row r="611">
      <c r="A611" s="54" t="inlineStr">
        <is>
          <t>CA DC S4</t>
        </is>
      </c>
      <c r="B611" s="54" t="inlineStr">
        <is>
          <t>CA</t>
        </is>
      </c>
      <c r="C611" s="54" t="inlineStr">
        <is>
          <t>B0BZPVZKVS</t>
        </is>
      </c>
      <c r="D611" s="54" t="inlineStr">
        <is>
          <t>SATIN-TAUPE-KING</t>
        </is>
      </c>
      <c r="E611" s="54" t="inlineStr">
        <is>
          <t>King</t>
        </is>
      </c>
      <c r="F611" s="54" t="inlineStr">
        <is>
          <t>Taupe</t>
        </is>
      </c>
      <c r="G611" s="55" t="n">
        <v>4</v>
      </c>
      <c r="H611" s="167" t="n">
        <v>132.41</v>
      </c>
      <c r="I611" s="167" t="n">
        <v>0</v>
      </c>
      <c r="J611" s="171">
        <f>IF(AND(N(G611)&gt;0,N(H611)+N(I611)&gt;0),(H611+I611)*U611/G611,"")</f>
        <v/>
      </c>
      <c r="K611" s="172" t="n">
        <v>52.99</v>
      </c>
      <c r="L611" s="172" t="n"/>
      <c r="M611" s="54" t="inlineStr">
        <is>
          <t>Out of stock</t>
        </is>
      </c>
      <c r="N611" s="171">
        <f>IF(OR(J611="",L611=""),"",L611-J611)</f>
        <v/>
      </c>
      <c r="O611" s="169">
        <f>IF(OR(J611="",L611=""),"",L611/J611-1)</f>
        <v/>
      </c>
      <c r="P611" s="169">
        <f>IF(OR(J611="",K611=""),"",K611/J611-1)</f>
        <v/>
      </c>
      <c r="Q611" s="54">
        <f>IF(AND(ISNUMBER(J611),ISNUMBER(L611)),1,0)</f>
        <v/>
      </c>
      <c r="R611" s="69">
        <f>IF(Q611=1,G611*L611,0)</f>
        <v/>
      </c>
      <c r="S611" s="69">
        <f>IF(Q611=1,(H611+I611)*U611,0)</f>
        <v/>
      </c>
      <c r="T611" s="59">
        <f>IF(Q611=1,G611,0)</f>
        <v/>
      </c>
      <c r="U611" s="170">
        <f>$G$3</f>
        <v/>
      </c>
    </row>
    <row r="612">
      <c r="A612" s="54" t="inlineStr">
        <is>
          <t>CA DC S4</t>
        </is>
      </c>
      <c r="B612" s="54" t="inlineStr">
        <is>
          <t>CA</t>
        </is>
      </c>
      <c r="C612" s="54" t="inlineStr">
        <is>
          <t>B09G6K328B</t>
        </is>
      </c>
      <c r="D612" s="54" t="inlineStr">
        <is>
          <t>SATIN-STRIPE-QUEEN-WHITE</t>
        </is>
      </c>
      <c r="E612" s="54" t="inlineStr">
        <is>
          <t>Queen</t>
        </is>
      </c>
      <c r="F612" s="54" t="inlineStr">
        <is>
          <t>Striped White</t>
        </is>
      </c>
      <c r="G612" s="55" t="n">
        <v>4</v>
      </c>
      <c r="H612" s="167" t="n">
        <v>120.22</v>
      </c>
      <c r="I612" s="167" t="n">
        <v>0</v>
      </c>
      <c r="J612" s="171">
        <f>IF(AND(N(G612)&gt;0,N(H612)+N(I612)&gt;0),(H612+I612)*U612/G612,"")</f>
        <v/>
      </c>
      <c r="K612" s="172" t="n">
        <v>47.99</v>
      </c>
      <c r="L612" s="172" t="n">
        <v>45.59</v>
      </c>
      <c r="M612" s="54" t="inlineStr">
        <is>
          <t>Eligible</t>
        </is>
      </c>
      <c r="N612" s="171">
        <f>IF(OR(J612="",L612=""),"",L612-J612)</f>
        <v/>
      </c>
      <c r="O612" s="169">
        <f>IF(OR(J612="",L612=""),"",L612/J612-1)</f>
        <v/>
      </c>
      <c r="P612" s="169">
        <f>IF(OR(J612="",K612=""),"",K612/J612-1)</f>
        <v/>
      </c>
      <c r="Q612" s="54">
        <f>IF(AND(ISNUMBER(J612),ISNUMBER(L612)),1,0)</f>
        <v/>
      </c>
      <c r="R612" s="69">
        <f>IF(Q612=1,G612*L612,0)</f>
        <v/>
      </c>
      <c r="S612" s="69">
        <f>IF(Q612=1,(H612+I612)*U612,0)</f>
        <v/>
      </c>
      <c r="T612" s="59">
        <f>IF(Q612=1,G612,0)</f>
        <v/>
      </c>
      <c r="U612" s="170">
        <f>$G$3</f>
        <v/>
      </c>
    </row>
    <row r="613">
      <c r="A613" s="54" t="inlineStr">
        <is>
          <t>CA DC S4</t>
        </is>
      </c>
      <c r="B613" s="54" t="inlineStr">
        <is>
          <t>CA</t>
        </is>
      </c>
      <c r="C613" s="54" t="inlineStr">
        <is>
          <t>B08KR7V6TL</t>
        </is>
      </c>
      <c r="D613" s="54" t="inlineStr">
        <is>
          <t>SATIN-RED-TWIN</t>
        </is>
      </c>
      <c r="E613" s="54" t="inlineStr">
        <is>
          <t>Twin</t>
        </is>
      </c>
      <c r="F613" s="54" t="inlineStr">
        <is>
          <t>Red</t>
        </is>
      </c>
      <c r="G613" s="55" t="n">
        <v>4</v>
      </c>
      <c r="H613" s="167" t="n">
        <v>85.17</v>
      </c>
      <c r="I613" s="167" t="n">
        <v>0</v>
      </c>
      <c r="J613" s="171">
        <f>IF(AND(N(G613)&gt;0,N(H613)+N(I613)&gt;0),(H613+I613)*U613/G613,"")</f>
        <v/>
      </c>
      <c r="K613" s="172" t="n">
        <v>39.99</v>
      </c>
      <c r="L613" s="172" t="n">
        <v>39.99</v>
      </c>
      <c r="M613" s="54" t="inlineStr">
        <is>
          <t>Eligible</t>
        </is>
      </c>
      <c r="N613" s="171">
        <f>IF(OR(J613="",L613=""),"",L613-J613)</f>
        <v/>
      </c>
      <c r="O613" s="169">
        <f>IF(OR(J613="",L613=""),"",L613/J613-1)</f>
        <v/>
      </c>
      <c r="P613" s="169">
        <f>IF(OR(J613="",K613=""),"",K613/J613-1)</f>
        <v/>
      </c>
      <c r="Q613" s="54">
        <f>IF(AND(ISNUMBER(J613),ISNUMBER(L613)),1,0)</f>
        <v/>
      </c>
      <c r="R613" s="69">
        <f>IF(Q613=1,G613*L613,0)</f>
        <v/>
      </c>
      <c r="S613" s="69">
        <f>IF(Q613=1,(H613+I613)*U613,0)</f>
        <v/>
      </c>
      <c r="T613" s="59">
        <f>IF(Q613=1,G613,0)</f>
        <v/>
      </c>
      <c r="U613" s="170">
        <f>$G$3</f>
        <v/>
      </c>
    </row>
    <row r="614">
      <c r="A614" s="54" t="inlineStr">
        <is>
          <t>CA DC S4</t>
        </is>
      </c>
      <c r="B614" s="54" t="inlineStr">
        <is>
          <t>CA</t>
        </is>
      </c>
      <c r="C614" s="54" t="inlineStr">
        <is>
          <t>B0BG22FCVJ</t>
        </is>
      </c>
      <c r="D614" s="54" t="inlineStr">
        <is>
          <t>SATIN-ROSEWOOD-TWIN</t>
        </is>
      </c>
      <c r="E614" s="54" t="inlineStr">
        <is>
          <t>Twin</t>
        </is>
      </c>
      <c r="F614" s="54" t="inlineStr">
        <is>
          <t>Rosewood</t>
        </is>
      </c>
      <c r="G614" s="55" t="n">
        <v>4</v>
      </c>
      <c r="H614" s="167" t="n">
        <v>77.66</v>
      </c>
      <c r="I614" s="167" t="n">
        <v>0</v>
      </c>
      <c r="J614" s="171">
        <f>IF(AND(N(G614)&gt;0,N(H614)+N(I614)&gt;0),(H614+I614)*U614/G614,"")</f>
        <v/>
      </c>
      <c r="K614" s="172" t="n">
        <v>39.99</v>
      </c>
      <c r="L614" s="172" t="n">
        <v>37.99</v>
      </c>
      <c r="M614" s="54" t="inlineStr">
        <is>
          <t>Eligible</t>
        </is>
      </c>
      <c r="N614" s="171">
        <f>IF(OR(J614="",L614=""),"",L614-J614)</f>
        <v/>
      </c>
      <c r="O614" s="169">
        <f>IF(OR(J614="",L614=""),"",L614/J614-1)</f>
        <v/>
      </c>
      <c r="P614" s="169">
        <f>IF(OR(J614="",K614=""),"",K614/J614-1)</f>
        <v/>
      </c>
      <c r="Q614" s="54">
        <f>IF(AND(ISNUMBER(J614),ISNUMBER(L614)),1,0)</f>
        <v/>
      </c>
      <c r="R614" s="69">
        <f>IF(Q614=1,G614*L614,0)</f>
        <v/>
      </c>
      <c r="S614" s="69">
        <f>IF(Q614=1,(H614+I614)*U614,0)</f>
        <v/>
      </c>
      <c r="T614" s="59">
        <f>IF(Q614=1,G614,0)</f>
        <v/>
      </c>
      <c r="U614" s="170">
        <f>$G$3</f>
        <v/>
      </c>
    </row>
    <row r="615">
      <c r="A615" s="54" t="inlineStr">
        <is>
          <t>CA DC S4</t>
        </is>
      </c>
      <c r="B615" s="54" t="inlineStr">
        <is>
          <t>CA</t>
        </is>
      </c>
      <c r="C615" s="54" t="inlineStr">
        <is>
          <t>B08KR9PWK1</t>
        </is>
      </c>
      <c r="D615" s="54" t="inlineStr">
        <is>
          <t>SATIN-GOLD-FULL</t>
        </is>
      </c>
      <c r="E615" s="54" t="inlineStr">
        <is>
          <t>Full</t>
        </is>
      </c>
      <c r="F615" s="54" t="inlineStr">
        <is>
          <t>Gold</t>
        </is>
      </c>
      <c r="G615" s="55" t="n">
        <v>3</v>
      </c>
      <c r="H615" s="167" t="n">
        <v>67.3</v>
      </c>
      <c r="I615" s="167" t="n">
        <v>0</v>
      </c>
      <c r="J615" s="171">
        <f>IF(AND(N(G615)&gt;0,N(H615)+N(I615)&gt;0),(H615+I615)*U615/G615,"")</f>
        <v/>
      </c>
      <c r="K615" s="172" t="n">
        <v>44.99</v>
      </c>
      <c r="L615" s="172" t="n">
        <v>42.74</v>
      </c>
      <c r="M615" s="54" t="inlineStr">
        <is>
          <t>Eligible</t>
        </is>
      </c>
      <c r="N615" s="171">
        <f>IF(OR(J615="",L615=""),"",L615-J615)</f>
        <v/>
      </c>
      <c r="O615" s="169">
        <f>IF(OR(J615="",L615=""),"",L615/J615-1)</f>
        <v/>
      </c>
      <c r="P615" s="169">
        <f>IF(OR(J615="",K615=""),"",K615/J615-1)</f>
        <v/>
      </c>
      <c r="Q615" s="54">
        <f>IF(AND(ISNUMBER(J615),ISNUMBER(L615)),1,0)</f>
        <v/>
      </c>
      <c r="R615" s="69">
        <f>IF(Q615=1,G615*L615,0)</f>
        <v/>
      </c>
      <c r="S615" s="69">
        <f>IF(Q615=1,(H615+I615)*U615,0)</f>
        <v/>
      </c>
      <c r="T615" s="59">
        <f>IF(Q615=1,G615,0)</f>
        <v/>
      </c>
      <c r="U615" s="170">
        <f>$G$3</f>
        <v/>
      </c>
    </row>
    <row r="616">
      <c r="A616" s="54" t="inlineStr">
        <is>
          <t>CA DC S4</t>
        </is>
      </c>
      <c r="B616" s="54" t="inlineStr">
        <is>
          <t>CA</t>
        </is>
      </c>
      <c r="C616" s="54" t="inlineStr">
        <is>
          <t>B0CQRXP69H</t>
        </is>
      </c>
      <c r="D616" s="54" t="inlineStr">
        <is>
          <t>SATIN-4PC-KING-BURNT ORANGE</t>
        </is>
      </c>
      <c r="E616" s="54" t="inlineStr">
        <is>
          <t>King</t>
        </is>
      </c>
      <c r="F616" s="54" t="inlineStr">
        <is>
          <t>Burnt Orange</t>
        </is>
      </c>
      <c r="G616" s="55" t="n">
        <v>3</v>
      </c>
      <c r="H616" s="167" t="n">
        <v>90.45999999999999</v>
      </c>
      <c r="I616" s="167" t="n">
        <v>0</v>
      </c>
      <c r="J616" s="171">
        <f>IF(AND(N(G616)&gt;0,N(H616)+N(I616)&gt;0),(H616+I616)*U616/G616,"")</f>
        <v/>
      </c>
      <c r="K616" s="172" t="n">
        <v>52.99</v>
      </c>
      <c r="L616" s="172" t="n">
        <v>45.04</v>
      </c>
      <c r="M616" s="54" t="inlineStr">
        <is>
          <t>Eligible</t>
        </is>
      </c>
      <c r="N616" s="171">
        <f>IF(OR(J616="",L616=""),"",L616-J616)</f>
        <v/>
      </c>
      <c r="O616" s="169">
        <f>IF(OR(J616="",L616=""),"",L616/J616-1)</f>
        <v/>
      </c>
      <c r="P616" s="169">
        <f>IF(OR(J616="",K616=""),"",K616/J616-1)</f>
        <v/>
      </c>
      <c r="Q616" s="54">
        <f>IF(AND(ISNUMBER(J616),ISNUMBER(L616)),1,0)</f>
        <v/>
      </c>
      <c r="R616" s="69">
        <f>IF(Q616=1,G616*L616,0)</f>
        <v/>
      </c>
      <c r="S616" s="69">
        <f>IF(Q616=1,(H616+I616)*U616,0)</f>
        <v/>
      </c>
      <c r="T616" s="59">
        <f>IF(Q616=1,G616,0)</f>
        <v/>
      </c>
      <c r="U616" s="170">
        <f>$G$3</f>
        <v/>
      </c>
    </row>
    <row r="617">
      <c r="A617" s="54" t="inlineStr">
        <is>
          <t>CA DC S4</t>
        </is>
      </c>
      <c r="B617" s="54" t="inlineStr">
        <is>
          <t>CA</t>
        </is>
      </c>
      <c r="C617" s="54" t="inlineStr">
        <is>
          <t>B0BG225D1J</t>
        </is>
      </c>
      <c r="D617" s="54" t="inlineStr">
        <is>
          <t>SATIN-IVORY-KING</t>
        </is>
      </c>
      <c r="E617" s="54" t="inlineStr">
        <is>
          <t>King</t>
        </is>
      </c>
      <c r="F617" s="54" t="inlineStr">
        <is>
          <t>Ivory</t>
        </is>
      </c>
      <c r="G617" s="55" t="n">
        <v>3</v>
      </c>
      <c r="H617" s="167" t="n">
        <v>113.42</v>
      </c>
      <c r="I617" s="167" t="n">
        <v>0</v>
      </c>
      <c r="J617" s="171">
        <f>IF(AND(N(G617)&gt;0,N(H617)+N(I617)&gt;0),(H617+I617)*U617/G617,"")</f>
        <v/>
      </c>
      <c r="K617" s="172" t="n">
        <v>52.99</v>
      </c>
      <c r="L617" s="172" t="n">
        <v>42.79</v>
      </c>
      <c r="M617" s="54" t="inlineStr">
        <is>
          <t>Eligible</t>
        </is>
      </c>
      <c r="N617" s="171">
        <f>IF(OR(J617="",L617=""),"",L617-J617)</f>
        <v/>
      </c>
      <c r="O617" s="169">
        <f>IF(OR(J617="",L617=""),"",L617/J617-1)</f>
        <v/>
      </c>
      <c r="P617" s="169">
        <f>IF(OR(J617="",K617=""),"",K617/J617-1)</f>
        <v/>
      </c>
      <c r="Q617" s="54">
        <f>IF(AND(ISNUMBER(J617),ISNUMBER(L617)),1,0)</f>
        <v/>
      </c>
      <c r="R617" s="69">
        <f>IF(Q617=1,G617*L617,0)</f>
        <v/>
      </c>
      <c r="S617" s="69">
        <f>IF(Q617=1,(H617+I617)*U617,0)</f>
        <v/>
      </c>
      <c r="T617" s="59">
        <f>IF(Q617=1,G617,0)</f>
        <v/>
      </c>
      <c r="U617" s="170">
        <f>$G$3</f>
        <v/>
      </c>
    </row>
    <row r="618">
      <c r="A618" s="54" t="inlineStr">
        <is>
          <t>CA DC S4</t>
        </is>
      </c>
      <c r="B618" s="54" t="inlineStr">
        <is>
          <t>CA</t>
        </is>
      </c>
      <c r="C618" s="54" t="inlineStr">
        <is>
          <t>B0CQRWY3Y7</t>
        </is>
      </c>
      <c r="D618" s="54" t="inlineStr">
        <is>
          <t>SATIN-4PC-KING-SAGE GREEN</t>
        </is>
      </c>
      <c r="E618" s="54" t="inlineStr">
        <is>
          <t>King</t>
        </is>
      </c>
      <c r="F618" s="54" t="inlineStr">
        <is>
          <t>Sage Green</t>
        </is>
      </c>
      <c r="G618" s="55" t="n">
        <v>3</v>
      </c>
      <c r="H618" s="167" t="n">
        <v>87.23</v>
      </c>
      <c r="I618" s="167" t="n">
        <v>0</v>
      </c>
      <c r="J618" s="171">
        <f>IF(AND(N(G618)&gt;0,N(H618)+N(I618)&gt;0),(H618+I618)*U618/G618,"")</f>
        <v/>
      </c>
      <c r="K618" s="172" t="n">
        <v>52.99</v>
      </c>
      <c r="L618" s="172" t="n">
        <v>50.34</v>
      </c>
      <c r="M618" s="54" t="inlineStr">
        <is>
          <t>Eligible</t>
        </is>
      </c>
      <c r="N618" s="171">
        <f>IF(OR(J618="",L618=""),"",L618-J618)</f>
        <v/>
      </c>
      <c r="O618" s="169">
        <f>IF(OR(J618="",L618=""),"",L618/J618-1)</f>
        <v/>
      </c>
      <c r="P618" s="169">
        <f>IF(OR(J618="",K618=""),"",K618/J618-1)</f>
        <v/>
      </c>
      <c r="Q618" s="54">
        <f>IF(AND(ISNUMBER(J618),ISNUMBER(L618)),1,0)</f>
        <v/>
      </c>
      <c r="R618" s="69">
        <f>IF(Q618=1,G618*L618,0)</f>
        <v/>
      </c>
      <c r="S618" s="69">
        <f>IF(Q618=1,(H618+I618)*U618,0)</f>
        <v/>
      </c>
      <c r="T618" s="59">
        <f>IF(Q618=1,G618,0)</f>
        <v/>
      </c>
      <c r="U618" s="170">
        <f>$G$3</f>
        <v/>
      </c>
    </row>
    <row r="619">
      <c r="A619" s="54" t="inlineStr">
        <is>
          <t>CA DC S4</t>
        </is>
      </c>
      <c r="B619" s="54" t="inlineStr">
        <is>
          <t>CA</t>
        </is>
      </c>
      <c r="C619" s="54" t="inlineStr">
        <is>
          <t>B0CV4D54FV</t>
        </is>
      </c>
      <c r="D619" s="54" t="inlineStr">
        <is>
          <t>SATIN-4PC-RED-QUEEN</t>
        </is>
      </c>
      <c r="E619" s="54" t="inlineStr">
        <is>
          <t>Queen</t>
        </is>
      </c>
      <c r="F619" s="54" t="inlineStr">
        <is>
          <t>Red</t>
        </is>
      </c>
      <c r="G619" s="55" t="n">
        <v>3</v>
      </c>
      <c r="H619" s="167" t="n">
        <v>96</v>
      </c>
      <c r="I619" s="167" t="n">
        <v>0</v>
      </c>
      <c r="J619" s="171">
        <f>IF(AND(N(G619)&gt;0,N(H619)+N(I619)&gt;0),(H619+I619)*U619/G619,"")</f>
        <v/>
      </c>
      <c r="K619" s="172" t="n"/>
      <c r="L619" s="172" t="n"/>
      <c r="M619" s="54" t="inlineStr">
        <is>
          <t>Not in a deal</t>
        </is>
      </c>
      <c r="N619" s="171">
        <f>IF(OR(J619="",L619=""),"",L619-J619)</f>
        <v/>
      </c>
      <c r="O619" s="169">
        <f>IF(OR(J619="",L619=""),"",L619/J619-1)</f>
        <v/>
      </c>
      <c r="P619" s="169">
        <f>IF(OR(J619="",K619=""),"",K619/J619-1)</f>
        <v/>
      </c>
      <c r="Q619" s="54">
        <f>IF(AND(ISNUMBER(J619),ISNUMBER(L619)),1,0)</f>
        <v/>
      </c>
      <c r="R619" s="69">
        <f>IF(Q619=1,G619*L619,0)</f>
        <v/>
      </c>
      <c r="S619" s="69">
        <f>IF(Q619=1,(H619+I619)*U619,0)</f>
        <v/>
      </c>
      <c r="T619" s="59">
        <f>IF(Q619=1,G619,0)</f>
        <v/>
      </c>
      <c r="U619" s="170">
        <f>$G$3</f>
        <v/>
      </c>
    </row>
    <row r="620">
      <c r="A620" s="54" t="inlineStr">
        <is>
          <t>CA DC S4</t>
        </is>
      </c>
      <c r="B620" s="54" t="inlineStr">
        <is>
          <t>CA</t>
        </is>
      </c>
      <c r="C620" s="54" t="inlineStr">
        <is>
          <t>B09G6KWNBW</t>
        </is>
      </c>
      <c r="D620" s="54" t="inlineStr">
        <is>
          <t>SATIN-STRIPE-QUEEN-GRAY</t>
        </is>
      </c>
      <c r="E620" s="54" t="inlineStr">
        <is>
          <t>Queen</t>
        </is>
      </c>
      <c r="F620" s="54" t="inlineStr">
        <is>
          <t>Stripe Grey-01</t>
        </is>
      </c>
      <c r="G620" s="55" t="n">
        <v>3</v>
      </c>
      <c r="H620" s="167" t="n">
        <v>87.01000000000001</v>
      </c>
      <c r="I620" s="167" t="n">
        <v>0</v>
      </c>
      <c r="J620" s="171">
        <f>IF(AND(N(G620)&gt;0,N(H620)+N(I620)&gt;0),(H620+I620)*U620/G620,"")</f>
        <v/>
      </c>
      <c r="K620" s="172" t="n">
        <v>47.99</v>
      </c>
      <c r="L620" s="172" t="n"/>
      <c r="M620" s="54" t="inlineStr">
        <is>
          <t>Out of stock</t>
        </is>
      </c>
      <c r="N620" s="171">
        <f>IF(OR(J620="",L620=""),"",L620-J620)</f>
        <v/>
      </c>
      <c r="O620" s="169">
        <f>IF(OR(J620="",L620=""),"",L620/J620-1)</f>
        <v/>
      </c>
      <c r="P620" s="169">
        <f>IF(OR(J620="",K620=""),"",K620/J620-1)</f>
        <v/>
      </c>
      <c r="Q620" s="54">
        <f>IF(AND(ISNUMBER(J620),ISNUMBER(L620)),1,0)</f>
        <v/>
      </c>
      <c r="R620" s="69">
        <f>IF(Q620=1,G620*L620,0)</f>
        <v/>
      </c>
      <c r="S620" s="69">
        <f>IF(Q620=1,(H620+I620)*U620,0)</f>
        <v/>
      </c>
      <c r="T620" s="59">
        <f>IF(Q620=1,G620,0)</f>
        <v/>
      </c>
      <c r="U620" s="170">
        <f>$G$3</f>
        <v/>
      </c>
    </row>
    <row r="621">
      <c r="A621" s="54" t="inlineStr">
        <is>
          <t>CA DC S4</t>
        </is>
      </c>
      <c r="B621" s="54" t="inlineStr">
        <is>
          <t>CA</t>
        </is>
      </c>
      <c r="C621" s="54" t="inlineStr">
        <is>
          <t>B09G6K8WYQ</t>
        </is>
      </c>
      <c r="D621" s="54" t="inlineStr">
        <is>
          <t>SATIN-STRIPE-QUEEN-BLUE</t>
        </is>
      </c>
      <c r="E621" s="54" t="inlineStr">
        <is>
          <t>Queen</t>
        </is>
      </c>
      <c r="F621" s="54" t="inlineStr">
        <is>
          <t>Striped Blue</t>
        </is>
      </c>
      <c r="G621" s="55" t="n">
        <v>3</v>
      </c>
      <c r="H621" s="167" t="n">
        <v>79.05</v>
      </c>
      <c r="I621" s="167" t="n">
        <v>0</v>
      </c>
      <c r="J621" s="171">
        <f>IF(AND(N(G621)&gt;0,N(H621)+N(I621)&gt;0),(H621+I621)*U621/G621,"")</f>
        <v/>
      </c>
      <c r="K621" s="172" t="n">
        <v>47.99</v>
      </c>
      <c r="L621" s="172" t="n">
        <v>47.99</v>
      </c>
      <c r="M621" s="54" t="inlineStr">
        <is>
          <t>Eligible</t>
        </is>
      </c>
      <c r="N621" s="171">
        <f>IF(OR(J621="",L621=""),"",L621-J621)</f>
        <v/>
      </c>
      <c r="O621" s="169">
        <f>IF(OR(J621="",L621=""),"",L621/J621-1)</f>
        <v/>
      </c>
      <c r="P621" s="169">
        <f>IF(OR(J621="",K621=""),"",K621/J621-1)</f>
        <v/>
      </c>
      <c r="Q621" s="54">
        <f>IF(AND(ISNUMBER(J621),ISNUMBER(L621)),1,0)</f>
        <v/>
      </c>
      <c r="R621" s="69">
        <f>IF(Q621=1,G621*L621,0)</f>
        <v/>
      </c>
      <c r="S621" s="69">
        <f>IF(Q621=1,(H621+I621)*U621,0)</f>
        <v/>
      </c>
      <c r="T621" s="59">
        <f>IF(Q621=1,G621,0)</f>
        <v/>
      </c>
      <c r="U621" s="170">
        <f>$G$3</f>
        <v/>
      </c>
    </row>
    <row r="622">
      <c r="A622" s="54" t="inlineStr">
        <is>
          <t>CA DC S4</t>
        </is>
      </c>
      <c r="B622" s="54" t="inlineStr">
        <is>
          <t>CA</t>
        </is>
      </c>
      <c r="C622" s="54" t="inlineStr">
        <is>
          <t>B09G6K9C65</t>
        </is>
      </c>
      <c r="D622" s="54" t="inlineStr">
        <is>
          <t>SATIN-STRIPE-QUEEN-GOLD</t>
        </is>
      </c>
      <c r="E622" s="54" t="inlineStr">
        <is>
          <t>Queen</t>
        </is>
      </c>
      <c r="F622" s="54" t="inlineStr">
        <is>
          <t>Striped Gold</t>
        </is>
      </c>
      <c r="G622" s="55" t="n">
        <v>3</v>
      </c>
      <c r="H622" s="167" t="n">
        <v>83.2</v>
      </c>
      <c r="I622" s="167" t="n">
        <v>0</v>
      </c>
      <c r="J622" s="171">
        <f>IF(AND(N(G622)&gt;0,N(H622)+N(I622)&gt;0),(H622+I622)*U622/G622,"")</f>
        <v/>
      </c>
      <c r="K622" s="172" t="n">
        <v>47.99</v>
      </c>
      <c r="L622" s="172" t="n">
        <v>45.59</v>
      </c>
      <c r="M622" s="54" t="inlineStr">
        <is>
          <t>Eligible</t>
        </is>
      </c>
      <c r="N622" s="171">
        <f>IF(OR(J622="",L622=""),"",L622-J622)</f>
        <v/>
      </c>
      <c r="O622" s="169">
        <f>IF(OR(J622="",L622=""),"",L622/J622-1)</f>
        <v/>
      </c>
      <c r="P622" s="169">
        <f>IF(OR(J622="",K622=""),"",K622/J622-1)</f>
        <v/>
      </c>
      <c r="Q622" s="54">
        <f>IF(AND(ISNUMBER(J622),ISNUMBER(L622)),1,0)</f>
        <v/>
      </c>
      <c r="R622" s="69">
        <f>IF(Q622=1,G622*L622,0)</f>
        <v/>
      </c>
      <c r="S622" s="69">
        <f>IF(Q622=1,(H622+I622)*U622,0)</f>
        <v/>
      </c>
      <c r="T622" s="59">
        <f>IF(Q622=1,G622,0)</f>
        <v/>
      </c>
      <c r="U622" s="170">
        <f>$G$3</f>
        <v/>
      </c>
    </row>
    <row r="623">
      <c r="A623" s="54" t="inlineStr">
        <is>
          <t>CA DC S4</t>
        </is>
      </c>
      <c r="B623" s="54" t="inlineStr">
        <is>
          <t>CA</t>
        </is>
      </c>
      <c r="C623" s="54" t="inlineStr">
        <is>
          <t>B0CQRY5N4Q</t>
        </is>
      </c>
      <c r="D623" s="54" t="inlineStr">
        <is>
          <t>SATIN-3PC-TWIN-DARK GREEN</t>
        </is>
      </c>
      <c r="E623" s="54" t="inlineStr">
        <is>
          <t>Twin</t>
        </is>
      </c>
      <c r="F623" s="54" t="inlineStr">
        <is>
          <t>Dark Green</t>
        </is>
      </c>
      <c r="G623" s="55" t="n">
        <v>3</v>
      </c>
      <c r="H623" s="167" t="n">
        <v>75.28</v>
      </c>
      <c r="I623" s="167" t="n">
        <v>0</v>
      </c>
      <c r="J623" s="171">
        <f>IF(AND(N(G623)&gt;0,N(H623)+N(I623)&gt;0),(H623+I623)*U623/G623,"")</f>
        <v/>
      </c>
      <c r="K623" s="172" t="n">
        <v>39.99</v>
      </c>
      <c r="L623" s="172" t="n">
        <v>37.99</v>
      </c>
      <c r="M623" s="54" t="inlineStr">
        <is>
          <t>Eligible</t>
        </is>
      </c>
      <c r="N623" s="171">
        <f>IF(OR(J623="",L623=""),"",L623-J623)</f>
        <v/>
      </c>
      <c r="O623" s="169">
        <f>IF(OR(J623="",L623=""),"",L623/J623-1)</f>
        <v/>
      </c>
      <c r="P623" s="169">
        <f>IF(OR(J623="",K623=""),"",K623/J623-1)</f>
        <v/>
      </c>
      <c r="Q623" s="54">
        <f>IF(AND(ISNUMBER(J623),ISNUMBER(L623)),1,0)</f>
        <v/>
      </c>
      <c r="R623" s="69">
        <f>IF(Q623=1,G623*L623,0)</f>
        <v/>
      </c>
      <c r="S623" s="69">
        <f>IF(Q623=1,(H623+I623)*U623,0)</f>
        <v/>
      </c>
      <c r="T623" s="59">
        <f>IF(Q623=1,G623,0)</f>
        <v/>
      </c>
      <c r="U623" s="170">
        <f>$G$3</f>
        <v/>
      </c>
    </row>
    <row r="624">
      <c r="A624" s="54" t="inlineStr">
        <is>
          <t>CA DC S4</t>
        </is>
      </c>
      <c r="B624" s="54" t="inlineStr">
        <is>
          <t>CA</t>
        </is>
      </c>
      <c r="C624" s="54" t="inlineStr">
        <is>
          <t>B09G6K4PXD</t>
        </is>
      </c>
      <c r="D624" s="54" t="inlineStr">
        <is>
          <t>SATIN-STRIPE-FULL-PURPLE</t>
        </is>
      </c>
      <c r="E624" s="54" t="inlineStr">
        <is>
          <t>Full</t>
        </is>
      </c>
      <c r="F624" s="54" t="inlineStr">
        <is>
          <t>Striped Purple</t>
        </is>
      </c>
      <c r="G624" s="55" t="n">
        <v>2</v>
      </c>
      <c r="H624" s="167" t="n">
        <v>50.99</v>
      </c>
      <c r="I624" s="167" t="n">
        <v>0</v>
      </c>
      <c r="J624" s="171">
        <f>IF(AND(N(G624)&gt;0,N(H624)+N(I624)&gt;0),(H624+I624)*U624/G624,"")</f>
        <v/>
      </c>
      <c r="K624" s="172" t="n">
        <v>44.99</v>
      </c>
      <c r="L624" s="172" t="n">
        <v>42.74</v>
      </c>
      <c r="M624" s="54" t="inlineStr">
        <is>
          <t>Eligible</t>
        </is>
      </c>
      <c r="N624" s="171">
        <f>IF(OR(J624="",L624=""),"",L624-J624)</f>
        <v/>
      </c>
      <c r="O624" s="169">
        <f>IF(OR(J624="",L624=""),"",L624/J624-1)</f>
        <v/>
      </c>
      <c r="P624" s="169">
        <f>IF(OR(J624="",K624=""),"",K624/J624-1)</f>
        <v/>
      </c>
      <c r="Q624" s="54">
        <f>IF(AND(ISNUMBER(J624),ISNUMBER(L624)),1,0)</f>
        <v/>
      </c>
      <c r="R624" s="69">
        <f>IF(Q624=1,G624*L624,0)</f>
        <v/>
      </c>
      <c r="S624" s="69">
        <f>IF(Q624=1,(H624+I624)*U624,0)</f>
        <v/>
      </c>
      <c r="T624" s="59">
        <f>IF(Q624=1,G624,0)</f>
        <v/>
      </c>
      <c r="U624" s="170">
        <f>$G$3</f>
        <v/>
      </c>
    </row>
    <row r="625">
      <c r="A625" s="54" t="inlineStr">
        <is>
          <t>CA DC S4</t>
        </is>
      </c>
      <c r="B625" s="54" t="inlineStr">
        <is>
          <t>CA</t>
        </is>
      </c>
      <c r="C625" s="54" t="inlineStr">
        <is>
          <t>B09G6JWZCZ</t>
        </is>
      </c>
      <c r="D625" s="54" t="inlineStr">
        <is>
          <t>SATIN-STRIPE-KING-PURPLE</t>
        </is>
      </c>
      <c r="E625" s="54" t="inlineStr">
        <is>
          <t>King</t>
        </is>
      </c>
      <c r="F625" s="54" t="inlineStr">
        <is>
          <t>Striped Purple</t>
        </is>
      </c>
      <c r="G625" s="55" t="n">
        <v>2</v>
      </c>
      <c r="H625" s="167" t="n">
        <v>66.73</v>
      </c>
      <c r="I625" s="167" t="n">
        <v>0</v>
      </c>
      <c r="J625" s="171">
        <f>IF(AND(N(G625)&gt;0,N(H625)+N(I625)&gt;0),(H625+I625)*U625/G625,"")</f>
        <v/>
      </c>
      <c r="K625" s="172" t="n">
        <v>52.99</v>
      </c>
      <c r="L625" s="172" t="n"/>
      <c r="M625" s="54" t="inlineStr">
        <is>
          <t>Out of stock</t>
        </is>
      </c>
      <c r="N625" s="171">
        <f>IF(OR(J625="",L625=""),"",L625-J625)</f>
        <v/>
      </c>
      <c r="O625" s="169">
        <f>IF(OR(J625="",L625=""),"",L625/J625-1)</f>
        <v/>
      </c>
      <c r="P625" s="169">
        <f>IF(OR(J625="",K625=""),"",K625/J625-1)</f>
        <v/>
      </c>
      <c r="Q625" s="54">
        <f>IF(AND(ISNUMBER(J625),ISNUMBER(L625)),1,0)</f>
        <v/>
      </c>
      <c r="R625" s="69">
        <f>IF(Q625=1,G625*L625,0)</f>
        <v/>
      </c>
      <c r="S625" s="69">
        <f>IF(Q625=1,(H625+I625)*U625,0)</f>
        <v/>
      </c>
      <c r="T625" s="59">
        <f>IF(Q625=1,G625,0)</f>
        <v/>
      </c>
      <c r="U625" s="170">
        <f>$G$3</f>
        <v/>
      </c>
    </row>
    <row r="626">
      <c r="A626" s="54" t="inlineStr">
        <is>
          <t>CA DC S4</t>
        </is>
      </c>
      <c r="B626" s="54" t="inlineStr">
        <is>
          <t>CA</t>
        </is>
      </c>
      <c r="C626" s="54" t="inlineStr">
        <is>
          <t>B0BG21MMW9</t>
        </is>
      </c>
      <c r="D626" s="54" t="inlineStr">
        <is>
          <t>SATIN-SEA-TEAL-TWIN</t>
        </is>
      </c>
      <c r="E626" s="54" t="inlineStr">
        <is>
          <t>Twin</t>
        </is>
      </c>
      <c r="F626" s="54" t="inlineStr">
        <is>
          <t>Sea Teal</t>
        </is>
      </c>
      <c r="G626" s="55" t="n">
        <v>2</v>
      </c>
      <c r="H626" s="167" t="n">
        <v>43.54</v>
      </c>
      <c r="I626" s="167" t="n">
        <v>0</v>
      </c>
      <c r="J626" s="171">
        <f>IF(AND(N(G626)&gt;0,N(H626)+N(I626)&gt;0),(H626+I626)*U626/G626,"")</f>
        <v/>
      </c>
      <c r="K626" s="172" t="n">
        <v>39.99</v>
      </c>
      <c r="L626" s="172" t="n">
        <v>37.99</v>
      </c>
      <c r="M626" s="54" t="inlineStr">
        <is>
          <t>Eligible</t>
        </is>
      </c>
      <c r="N626" s="171">
        <f>IF(OR(J626="",L626=""),"",L626-J626)</f>
        <v/>
      </c>
      <c r="O626" s="169">
        <f>IF(OR(J626="",L626=""),"",L626/J626-1)</f>
        <v/>
      </c>
      <c r="P626" s="169">
        <f>IF(OR(J626="",K626=""),"",K626/J626-1)</f>
        <v/>
      </c>
      <c r="Q626" s="54">
        <f>IF(AND(ISNUMBER(J626),ISNUMBER(L626)),1,0)</f>
        <v/>
      </c>
      <c r="R626" s="69">
        <f>IF(Q626=1,G626*L626,0)</f>
        <v/>
      </c>
      <c r="S626" s="69">
        <f>IF(Q626=1,(H626+I626)*U626,0)</f>
        <v/>
      </c>
      <c r="T626" s="59">
        <f>IF(Q626=1,G626,0)</f>
        <v/>
      </c>
      <c r="U626" s="170">
        <f>$G$3</f>
        <v/>
      </c>
    </row>
    <row r="627">
      <c r="A627" s="54" t="inlineStr">
        <is>
          <t>CA DC S4</t>
        </is>
      </c>
      <c r="B627" s="54" t="inlineStr">
        <is>
          <t>CA</t>
        </is>
      </c>
      <c r="C627" s="54" t="inlineStr">
        <is>
          <t>B0BG21NBG9</t>
        </is>
      </c>
      <c r="D627" s="54" t="inlineStr">
        <is>
          <t>SATIN-STONEGREY-TWIN</t>
        </is>
      </c>
      <c r="E627" s="54" t="inlineStr">
        <is>
          <t>Twin</t>
        </is>
      </c>
      <c r="F627" s="54" t="inlineStr">
        <is>
          <t>Stone Grey</t>
        </is>
      </c>
      <c r="G627" s="55" t="n">
        <v>2</v>
      </c>
      <c r="H627" s="167" t="n">
        <v>43.31</v>
      </c>
      <c r="I627" s="167" t="n">
        <v>0</v>
      </c>
      <c r="J627" s="171">
        <f>IF(AND(N(G627)&gt;0,N(H627)+N(I627)&gt;0),(H627+I627)*U627/G627,"")</f>
        <v/>
      </c>
      <c r="K627" s="172" t="n">
        <v>39.99</v>
      </c>
      <c r="L627" s="172" t="n">
        <v>37.99</v>
      </c>
      <c r="M627" s="54" t="inlineStr">
        <is>
          <t>Eligible</t>
        </is>
      </c>
      <c r="N627" s="171">
        <f>IF(OR(J627="",L627=""),"",L627-J627)</f>
        <v/>
      </c>
      <c r="O627" s="169">
        <f>IF(OR(J627="",L627=""),"",L627/J627-1)</f>
        <v/>
      </c>
      <c r="P627" s="169">
        <f>IF(OR(J627="",K627=""),"",K627/J627-1)</f>
        <v/>
      </c>
      <c r="Q627" s="54">
        <f>IF(AND(ISNUMBER(J627),ISNUMBER(L627)),1,0)</f>
        <v/>
      </c>
      <c r="R627" s="69">
        <f>IF(Q627=1,G627*L627,0)</f>
        <v/>
      </c>
      <c r="S627" s="69">
        <f>IF(Q627=1,(H627+I627)*U627,0)</f>
        <v/>
      </c>
      <c r="T627" s="59">
        <f>IF(Q627=1,G627,0)</f>
        <v/>
      </c>
      <c r="U627" s="170">
        <f>$G$3</f>
        <v/>
      </c>
    </row>
    <row r="628">
      <c r="A628" s="54" t="inlineStr">
        <is>
          <t>CA DC S4</t>
        </is>
      </c>
      <c r="B628" s="54" t="inlineStr">
        <is>
          <t>CA</t>
        </is>
      </c>
      <c r="C628" s="54" t="inlineStr">
        <is>
          <t>B09G6LCV5J</t>
        </is>
      </c>
      <c r="D628" s="54" t="inlineStr">
        <is>
          <t>SATIN-STRIPE-FULL-GOLD</t>
        </is>
      </c>
      <c r="E628" s="54" t="inlineStr">
        <is>
          <t>Full</t>
        </is>
      </c>
      <c r="F628" s="54" t="inlineStr">
        <is>
          <t>Striped Gold</t>
        </is>
      </c>
      <c r="G628" s="55" t="n">
        <v>1</v>
      </c>
      <c r="H628" s="167" t="n">
        <v>22.65</v>
      </c>
      <c r="I628" s="167" t="n">
        <v>0</v>
      </c>
      <c r="J628" s="171">
        <f>IF(AND(N(G628)&gt;0,N(H628)+N(I628)&gt;0),(H628+I628)*U628/G628,"")</f>
        <v/>
      </c>
      <c r="K628" s="172" t="n">
        <v>44.99</v>
      </c>
      <c r="L628" s="172" t="n"/>
      <c r="M628" s="54" t="inlineStr">
        <is>
          <t>No reference price</t>
        </is>
      </c>
      <c r="N628" s="171">
        <f>IF(OR(J628="",L628=""),"",L628-J628)</f>
        <v/>
      </c>
      <c r="O628" s="169">
        <f>IF(OR(J628="",L628=""),"",L628/J628-1)</f>
        <v/>
      </c>
      <c r="P628" s="169">
        <f>IF(OR(J628="",K628=""),"",K628/J628-1)</f>
        <v/>
      </c>
      <c r="Q628" s="54">
        <f>IF(AND(ISNUMBER(J628),ISNUMBER(L628)),1,0)</f>
        <v/>
      </c>
      <c r="R628" s="69">
        <f>IF(Q628=1,G628*L628,0)</f>
        <v/>
      </c>
      <c r="S628" s="69">
        <f>IF(Q628=1,(H628+I628)*U628,0)</f>
        <v/>
      </c>
      <c r="T628" s="59">
        <f>IF(Q628=1,G628,0)</f>
        <v/>
      </c>
      <c r="U628" s="170">
        <f>$G$3</f>
        <v/>
      </c>
    </row>
    <row r="629">
      <c r="A629" s="54" t="inlineStr">
        <is>
          <t>CA DC S4</t>
        </is>
      </c>
      <c r="B629" s="54" t="inlineStr">
        <is>
          <t>CA</t>
        </is>
      </c>
      <c r="C629" s="54" t="inlineStr">
        <is>
          <t>B09G6KKSK6</t>
        </is>
      </c>
      <c r="D629" s="54" t="inlineStr">
        <is>
          <t>SATIN-STRIPE-FULL-RED</t>
        </is>
      </c>
      <c r="E629" s="54" t="inlineStr">
        <is>
          <t>Full</t>
        </is>
      </c>
      <c r="F629" s="54" t="inlineStr">
        <is>
          <t>Striped Red</t>
        </is>
      </c>
      <c r="G629" s="55" t="n">
        <v>1</v>
      </c>
      <c r="H629" s="167" t="n">
        <v>28.31</v>
      </c>
      <c r="I629" s="167" t="n">
        <v>0</v>
      </c>
      <c r="J629" s="171">
        <f>IF(AND(N(G629)&gt;0,N(H629)+N(I629)&gt;0),(H629+I629)*U629/G629,"")</f>
        <v/>
      </c>
      <c r="K629" s="172" t="n">
        <v>44.99</v>
      </c>
      <c r="L629" s="172" t="n">
        <v>42.74</v>
      </c>
      <c r="M629" s="54" t="inlineStr">
        <is>
          <t>Eligible</t>
        </is>
      </c>
      <c r="N629" s="171">
        <f>IF(OR(J629="",L629=""),"",L629-J629)</f>
        <v/>
      </c>
      <c r="O629" s="169">
        <f>IF(OR(J629="",L629=""),"",L629/J629-1)</f>
        <v/>
      </c>
      <c r="P629" s="169">
        <f>IF(OR(J629="",K629=""),"",K629/J629-1)</f>
        <v/>
      </c>
      <c r="Q629" s="54">
        <f>IF(AND(ISNUMBER(J629),ISNUMBER(L629)),1,0)</f>
        <v/>
      </c>
      <c r="R629" s="69">
        <f>IF(Q629=1,G629*L629,0)</f>
        <v/>
      </c>
      <c r="S629" s="69">
        <f>IF(Q629=1,(H629+I629)*U629,0)</f>
        <v/>
      </c>
      <c r="T629" s="59">
        <f>IF(Q629=1,G629,0)</f>
        <v/>
      </c>
      <c r="U629" s="170">
        <f>$G$3</f>
        <v/>
      </c>
    </row>
    <row r="630">
      <c r="A630" s="54" t="inlineStr">
        <is>
          <t>CA DC S4</t>
        </is>
      </c>
      <c r="B630" s="54" t="inlineStr">
        <is>
          <t>CA</t>
        </is>
      </c>
      <c r="C630" s="54" t="inlineStr">
        <is>
          <t>B0BZPV4LYC</t>
        </is>
      </c>
      <c r="D630" s="54" t="inlineStr">
        <is>
          <t>SATIN-TAUPE-FULL</t>
        </is>
      </c>
      <c r="E630" s="54" t="inlineStr">
        <is>
          <t>Full</t>
        </is>
      </c>
      <c r="F630" s="54" t="inlineStr">
        <is>
          <t>Taupe</t>
        </is>
      </c>
      <c r="G630" s="55" t="n">
        <v>1</v>
      </c>
      <c r="H630" s="167" t="n">
        <v>25.78</v>
      </c>
      <c r="I630" s="167" t="n">
        <v>0</v>
      </c>
      <c r="J630" s="171">
        <f>IF(AND(N(G630)&gt;0,N(H630)+N(I630)&gt;0),(H630+I630)*U630/G630,"")</f>
        <v/>
      </c>
      <c r="K630" s="172" t="n">
        <v>44.99</v>
      </c>
      <c r="L630" s="172" t="n">
        <v>44.99</v>
      </c>
      <c r="M630" s="54" t="inlineStr">
        <is>
          <t>Eligible</t>
        </is>
      </c>
      <c r="N630" s="171">
        <f>IF(OR(J630="",L630=""),"",L630-J630)</f>
        <v/>
      </c>
      <c r="O630" s="169">
        <f>IF(OR(J630="",L630=""),"",L630/J630-1)</f>
        <v/>
      </c>
      <c r="P630" s="169">
        <f>IF(OR(J630="",K630=""),"",K630/J630-1)</f>
        <v/>
      </c>
      <c r="Q630" s="54">
        <f>IF(AND(ISNUMBER(J630),ISNUMBER(L630)),1,0)</f>
        <v/>
      </c>
      <c r="R630" s="69">
        <f>IF(Q630=1,G630*L630,0)</f>
        <v/>
      </c>
      <c r="S630" s="69">
        <f>IF(Q630=1,(H630+I630)*U630,0)</f>
        <v/>
      </c>
      <c r="T630" s="59">
        <f>IF(Q630=1,G630,0)</f>
        <v/>
      </c>
      <c r="U630" s="170">
        <f>$G$3</f>
        <v/>
      </c>
    </row>
    <row r="631">
      <c r="A631" s="54" t="inlineStr">
        <is>
          <t>CA DC S4</t>
        </is>
      </c>
      <c r="B631" s="54" t="inlineStr">
        <is>
          <t>CA</t>
        </is>
      </c>
      <c r="C631" s="54" t="inlineStr">
        <is>
          <t>B0DBQVGKTV</t>
        </is>
      </c>
      <c r="D631" s="54" t="inlineStr">
        <is>
          <t>SATIN-4PCS-KING-RED</t>
        </is>
      </c>
      <c r="E631" s="54" t="inlineStr">
        <is>
          <t>King</t>
        </is>
      </c>
      <c r="F631" s="54" t="inlineStr">
        <is>
          <t>Red</t>
        </is>
      </c>
      <c r="G631" s="55" t="n">
        <v>1</v>
      </c>
      <c r="H631" s="167" t="n">
        <v>35.53</v>
      </c>
      <c r="I631" s="167" t="n">
        <v>0</v>
      </c>
      <c r="J631" s="171">
        <f>IF(AND(N(G631)&gt;0,N(H631)+N(I631)&gt;0),(H631+I631)*U631/G631,"")</f>
        <v/>
      </c>
      <c r="K631" s="172" t="n"/>
      <c r="L631" s="172" t="n"/>
      <c r="M631" s="54" t="inlineStr">
        <is>
          <t>Not in a deal</t>
        </is>
      </c>
      <c r="N631" s="171">
        <f>IF(OR(J631="",L631=""),"",L631-J631)</f>
        <v/>
      </c>
      <c r="O631" s="169">
        <f>IF(OR(J631="",L631=""),"",L631/J631-1)</f>
        <v/>
      </c>
      <c r="P631" s="169">
        <f>IF(OR(J631="",K631=""),"",K631/J631-1)</f>
        <v/>
      </c>
      <c r="Q631" s="54">
        <f>IF(AND(ISNUMBER(J631),ISNUMBER(L631)),1,0)</f>
        <v/>
      </c>
      <c r="R631" s="69">
        <f>IF(Q631=1,G631*L631,0)</f>
        <v/>
      </c>
      <c r="S631" s="69">
        <f>IF(Q631=1,(H631+I631)*U631,0)</f>
        <v/>
      </c>
      <c r="T631" s="59">
        <f>IF(Q631=1,G631,0)</f>
        <v/>
      </c>
      <c r="U631" s="170">
        <f>$G$3</f>
        <v/>
      </c>
    </row>
    <row r="632">
      <c r="A632" s="54" t="inlineStr">
        <is>
          <t>CA DC S4</t>
        </is>
      </c>
      <c r="B632" s="54" t="inlineStr">
        <is>
          <t>CA</t>
        </is>
      </c>
      <c r="C632" s="54" t="inlineStr">
        <is>
          <t>B09G6K4M5V</t>
        </is>
      </c>
      <c r="D632" s="54" t="inlineStr">
        <is>
          <t>SATIN-STRIPE-KING-GOLD</t>
        </is>
      </c>
      <c r="E632" s="54" t="inlineStr">
        <is>
          <t>King</t>
        </is>
      </c>
      <c r="F632" s="54" t="inlineStr">
        <is>
          <t>Striped Gold</t>
        </is>
      </c>
      <c r="G632" s="55" t="n">
        <v>1</v>
      </c>
      <c r="H632" s="167" t="n">
        <v>33.06</v>
      </c>
      <c r="I632" s="167" t="n">
        <v>0</v>
      </c>
      <c r="J632" s="171">
        <f>IF(AND(N(G632)&gt;0,N(H632)+N(I632)&gt;0),(H632+I632)*U632/G632,"")</f>
        <v/>
      </c>
      <c r="K632" s="172" t="n">
        <v>52.99</v>
      </c>
      <c r="L632" s="172" t="n">
        <v>50.34</v>
      </c>
      <c r="M632" s="54" t="inlineStr">
        <is>
          <t>Eligible</t>
        </is>
      </c>
      <c r="N632" s="171">
        <f>IF(OR(J632="",L632=""),"",L632-J632)</f>
        <v/>
      </c>
      <c r="O632" s="169">
        <f>IF(OR(J632="",L632=""),"",L632/J632-1)</f>
        <v/>
      </c>
      <c r="P632" s="169">
        <f>IF(OR(J632="",K632=""),"",K632/J632-1)</f>
        <v/>
      </c>
      <c r="Q632" s="54">
        <f>IF(AND(ISNUMBER(J632),ISNUMBER(L632)),1,0)</f>
        <v/>
      </c>
      <c r="R632" s="69">
        <f>IF(Q632=1,G632*L632,0)</f>
        <v/>
      </c>
      <c r="S632" s="69">
        <f>IF(Q632=1,(H632+I632)*U632,0)</f>
        <v/>
      </c>
      <c r="T632" s="59">
        <f>IF(Q632=1,G632,0)</f>
        <v/>
      </c>
      <c r="U632" s="170">
        <f>$G$3</f>
        <v/>
      </c>
    </row>
    <row r="633">
      <c r="A633" s="54" t="inlineStr">
        <is>
          <t>CA DC S4</t>
        </is>
      </c>
      <c r="B633" s="54" t="inlineStr">
        <is>
          <t>CA</t>
        </is>
      </c>
      <c r="C633" s="54" t="inlineStr">
        <is>
          <t>B0DBR4XYLB</t>
        </is>
      </c>
      <c r="D633" s="54" t="inlineStr">
        <is>
          <t>SATIN-4PCS-QUEEN-STRIPE-GRAY</t>
        </is>
      </c>
      <c r="E633" s="54" t="inlineStr">
        <is>
          <t>Queen</t>
        </is>
      </c>
      <c r="F633" s="54" t="inlineStr">
        <is>
          <t>Striped Grey</t>
        </is>
      </c>
      <c r="G633" s="55" t="n">
        <v>1</v>
      </c>
      <c r="H633" s="167" t="n">
        <v>32.24</v>
      </c>
      <c r="I633" s="167" t="n">
        <v>0</v>
      </c>
      <c r="J633" s="171">
        <f>IF(AND(N(G633)&gt;0,N(H633)+N(I633)&gt;0),(H633+I633)*U633/G633,"")</f>
        <v/>
      </c>
      <c r="K633" s="172" t="n"/>
      <c r="L633" s="172" t="n"/>
      <c r="M633" s="54" t="inlineStr">
        <is>
          <t>Not in a deal</t>
        </is>
      </c>
      <c r="N633" s="171">
        <f>IF(OR(J633="",L633=""),"",L633-J633)</f>
        <v/>
      </c>
      <c r="O633" s="169">
        <f>IF(OR(J633="",L633=""),"",L633/J633-1)</f>
        <v/>
      </c>
      <c r="P633" s="169">
        <f>IF(OR(J633="",K633=""),"",K633/J633-1)</f>
        <v/>
      </c>
      <c r="Q633" s="54">
        <f>IF(AND(ISNUMBER(J633),ISNUMBER(L633)),1,0)</f>
        <v/>
      </c>
      <c r="R633" s="69">
        <f>IF(Q633=1,G633*L633,0)</f>
        <v/>
      </c>
      <c r="S633" s="69">
        <f>IF(Q633=1,(H633+I633)*U633,0)</f>
        <v/>
      </c>
      <c r="T633" s="59">
        <f>IF(Q633=1,G633,0)</f>
        <v/>
      </c>
      <c r="U633" s="170">
        <f>$G$3</f>
        <v/>
      </c>
    </row>
    <row r="634">
      <c r="A634" s="54" t="inlineStr">
        <is>
          <t>CA DC S4</t>
        </is>
      </c>
      <c r="B634" s="54" t="inlineStr">
        <is>
          <t>CA</t>
        </is>
      </c>
      <c r="C634" s="54" t="inlineStr">
        <is>
          <t>B0839KG4VY</t>
        </is>
      </c>
      <c r="D634" s="54" t="inlineStr">
        <is>
          <t>SATIN-TWIN-BLUE</t>
        </is>
      </c>
      <c r="E634" s="54" t="inlineStr">
        <is>
          <t>Twin</t>
        </is>
      </c>
      <c r="F634" s="54" t="inlineStr">
        <is>
          <t>Blue</t>
        </is>
      </c>
      <c r="G634" s="55" t="n">
        <v>1</v>
      </c>
      <c r="H634" s="167" t="n">
        <v>22.65</v>
      </c>
      <c r="I634" s="167" t="n">
        <v>0</v>
      </c>
      <c r="J634" s="171">
        <f>IF(AND(N(G634)&gt;0,N(H634)+N(I634)&gt;0),(H634+I634)*U634/G634,"")</f>
        <v/>
      </c>
      <c r="K634" s="172" t="n">
        <v>39.99</v>
      </c>
      <c r="L634" s="172" t="n">
        <v>37.99</v>
      </c>
      <c r="M634" s="54" t="inlineStr">
        <is>
          <t>Eligible</t>
        </is>
      </c>
      <c r="N634" s="171">
        <f>IF(OR(J634="",L634=""),"",L634-J634)</f>
        <v/>
      </c>
      <c r="O634" s="169">
        <f>IF(OR(J634="",L634=""),"",L634/J634-1)</f>
        <v/>
      </c>
      <c r="P634" s="169">
        <f>IF(OR(J634="",K634=""),"",K634/J634-1)</f>
        <v/>
      </c>
      <c r="Q634" s="54">
        <f>IF(AND(ISNUMBER(J634),ISNUMBER(L634)),1,0)</f>
        <v/>
      </c>
      <c r="R634" s="69">
        <f>IF(Q634=1,G634*L634,0)</f>
        <v/>
      </c>
      <c r="S634" s="69">
        <f>IF(Q634=1,(H634+I634)*U634,0)</f>
        <v/>
      </c>
      <c r="T634" s="59">
        <f>IF(Q634=1,G634,0)</f>
        <v/>
      </c>
      <c r="U634" s="170">
        <f>$G$3</f>
        <v/>
      </c>
    </row>
    <row r="635">
      <c r="A635" s="54" t="inlineStr">
        <is>
          <t>CA DC S4</t>
        </is>
      </c>
      <c r="B635" s="54" t="inlineStr">
        <is>
          <t>CA</t>
        </is>
      </c>
      <c r="C635" s="54" t="inlineStr">
        <is>
          <t>B08KR9THFG</t>
        </is>
      </c>
      <c r="D635" s="54" t="inlineStr">
        <is>
          <t>SATIN-GOLD-TWIN</t>
        </is>
      </c>
      <c r="E635" s="54" t="inlineStr">
        <is>
          <t>Twin</t>
        </is>
      </c>
      <c r="F635" s="54" t="inlineStr">
        <is>
          <t>Gold</t>
        </is>
      </c>
      <c r="G635" s="55" t="n">
        <v>1</v>
      </c>
      <c r="H635" s="167" t="n">
        <v>22.49</v>
      </c>
      <c r="I635" s="167" t="n">
        <v>0</v>
      </c>
      <c r="J635" s="171">
        <f>IF(AND(N(G635)&gt;0,N(H635)+N(I635)&gt;0),(H635+I635)*U635/G635,"")</f>
        <v/>
      </c>
      <c r="K635" s="172" t="n">
        <v>39.99</v>
      </c>
      <c r="L635" s="172" t="n">
        <v>39.99</v>
      </c>
      <c r="M635" s="54" t="inlineStr">
        <is>
          <t>Eligible</t>
        </is>
      </c>
      <c r="N635" s="171">
        <f>IF(OR(J635="",L635=""),"",L635-J635)</f>
        <v/>
      </c>
      <c r="O635" s="169">
        <f>IF(OR(J635="",L635=""),"",L635/J635-1)</f>
        <v/>
      </c>
      <c r="P635" s="169">
        <f>IF(OR(J635="",K635=""),"",K635/J635-1)</f>
        <v/>
      </c>
      <c r="Q635" s="54">
        <f>IF(AND(ISNUMBER(J635),ISNUMBER(L635)),1,0)</f>
        <v/>
      </c>
      <c r="R635" s="69">
        <f>IF(Q635=1,G635*L635,0)</f>
        <v/>
      </c>
      <c r="S635" s="69">
        <f>IF(Q635=1,(H635+I635)*U635,0)</f>
        <v/>
      </c>
      <c r="T635" s="59">
        <f>IF(Q635=1,G635,0)</f>
        <v/>
      </c>
      <c r="U635" s="170">
        <f>$G$3</f>
        <v/>
      </c>
    </row>
    <row r="636">
      <c r="A636" s="54" t="inlineStr">
        <is>
          <t>CA DC S4</t>
        </is>
      </c>
      <c r="B636" s="54" t="inlineStr">
        <is>
          <t>CA</t>
        </is>
      </c>
      <c r="C636" s="54" t="inlineStr">
        <is>
          <t>B0BG25XZHJ</t>
        </is>
      </c>
      <c r="D636" s="54" t="inlineStr">
        <is>
          <t>SATIN-IVORY-TWIN</t>
        </is>
      </c>
      <c r="E636" s="54" t="inlineStr">
        <is>
          <t>Twin</t>
        </is>
      </c>
      <c r="F636" s="54" t="inlineStr">
        <is>
          <t>Ivory</t>
        </is>
      </c>
      <c r="G636" s="55" t="n">
        <v>1</v>
      </c>
      <c r="H636" s="167" t="n">
        <v>20.01</v>
      </c>
      <c r="I636" s="167" t="n">
        <v>0</v>
      </c>
      <c r="J636" s="171">
        <f>IF(AND(N(G636)&gt;0,N(H636)+N(I636)&gt;0),(H636+I636)*U636/G636,"")</f>
        <v/>
      </c>
      <c r="K636" s="172" t="n">
        <v>39.99</v>
      </c>
      <c r="L636" s="172" t="n">
        <v>37.99</v>
      </c>
      <c r="M636" s="54" t="inlineStr">
        <is>
          <t>Eligible</t>
        </is>
      </c>
      <c r="N636" s="171">
        <f>IF(OR(J636="",L636=""),"",L636-J636)</f>
        <v/>
      </c>
      <c r="O636" s="169">
        <f>IF(OR(J636="",L636=""),"",L636/J636-1)</f>
        <v/>
      </c>
      <c r="P636" s="169">
        <f>IF(OR(J636="",K636=""),"",K636/J636-1)</f>
        <v/>
      </c>
      <c r="Q636" s="54">
        <f>IF(AND(ISNUMBER(J636),ISNUMBER(L636)),1,0)</f>
        <v/>
      </c>
      <c r="R636" s="69">
        <f>IF(Q636=1,G636*L636,0)</f>
        <v/>
      </c>
      <c r="S636" s="69">
        <f>IF(Q636=1,(H636+I636)*U636,0)</f>
        <v/>
      </c>
      <c r="T636" s="59">
        <f>IF(Q636=1,G636,0)</f>
        <v/>
      </c>
      <c r="U636" s="170">
        <f>$G$3</f>
        <v/>
      </c>
    </row>
    <row r="637">
      <c r="A637" s="54" t="inlineStr">
        <is>
          <t>CA DC S4</t>
        </is>
      </c>
      <c r="B637" s="54" t="inlineStr">
        <is>
          <t>CA</t>
        </is>
      </c>
      <c r="C637" s="54" t="inlineStr">
        <is>
          <t>B09G6H23C3</t>
        </is>
      </c>
      <c r="D637" s="54" t="inlineStr">
        <is>
          <t>SATIN-STRIPE-TWIN-BLACK</t>
        </is>
      </c>
      <c r="E637" s="54" t="inlineStr">
        <is>
          <t>Twin</t>
        </is>
      </c>
      <c r="F637" s="54" t="inlineStr">
        <is>
          <t>Striped Black</t>
        </is>
      </c>
      <c r="G637" s="55" t="n">
        <v>1</v>
      </c>
      <c r="H637" s="167" t="n">
        <v>24.95</v>
      </c>
      <c r="I637" s="167" t="n">
        <v>0</v>
      </c>
      <c r="J637" s="171">
        <f>IF(AND(N(G637)&gt;0,N(H637)+N(I637)&gt;0),(H637+I637)*U637/G637,"")</f>
        <v/>
      </c>
      <c r="K637" s="172" t="n">
        <v>39.99</v>
      </c>
      <c r="L637" s="172" t="n">
        <v>37.99</v>
      </c>
      <c r="M637" s="54" t="inlineStr">
        <is>
          <t>Eligible</t>
        </is>
      </c>
      <c r="N637" s="171">
        <f>IF(OR(J637="",L637=""),"",L637-J637)</f>
        <v/>
      </c>
      <c r="O637" s="169">
        <f>IF(OR(J637="",L637=""),"",L637/J637-1)</f>
        <v/>
      </c>
      <c r="P637" s="169">
        <f>IF(OR(J637="",K637=""),"",K637/J637-1)</f>
        <v/>
      </c>
      <c r="Q637" s="54">
        <f>IF(AND(ISNUMBER(J637),ISNUMBER(L637)),1,0)</f>
        <v/>
      </c>
      <c r="R637" s="69">
        <f>IF(Q637=1,G637*L637,0)</f>
        <v/>
      </c>
      <c r="S637" s="69">
        <f>IF(Q637=1,(H637+I637)*U637,0)</f>
        <v/>
      </c>
      <c r="T637" s="59">
        <f>IF(Q637=1,G637,0)</f>
        <v/>
      </c>
      <c r="U637" s="170">
        <f>$G$3</f>
        <v/>
      </c>
    </row>
    <row r="638">
      <c r="A638" s="54" t="inlineStr">
        <is>
          <t>CA DC S4</t>
        </is>
      </c>
      <c r="B638" s="54" t="inlineStr">
        <is>
          <t>CA</t>
        </is>
      </c>
      <c r="C638" s="54" t="inlineStr">
        <is>
          <t>B09G6JK5ZL</t>
        </is>
      </c>
      <c r="D638" s="54" t="inlineStr">
        <is>
          <t>SATIN-STRIPE-TWIN-WHITE</t>
        </is>
      </c>
      <c r="E638" s="54" t="inlineStr">
        <is>
          <t>Twin</t>
        </is>
      </c>
      <c r="F638" s="54" t="inlineStr">
        <is>
          <t>Striped White</t>
        </is>
      </c>
      <c r="G638" s="55" t="n">
        <v>1</v>
      </c>
      <c r="H638" s="167" t="n">
        <v>25.21</v>
      </c>
      <c r="I638" s="167" t="n">
        <v>0</v>
      </c>
      <c r="J638" s="171">
        <f>IF(AND(N(G638)&gt;0,N(H638)+N(I638)&gt;0),(H638+I638)*U638/G638,"")</f>
        <v/>
      </c>
      <c r="K638" s="172" t="n">
        <v>39.99</v>
      </c>
      <c r="L638" s="172" t="n">
        <v>39.99</v>
      </c>
      <c r="M638" s="54" t="inlineStr">
        <is>
          <t>Eligible</t>
        </is>
      </c>
      <c r="N638" s="171">
        <f>IF(OR(J638="",L638=""),"",L638-J638)</f>
        <v/>
      </c>
      <c r="O638" s="169">
        <f>IF(OR(J638="",L638=""),"",L638/J638-1)</f>
        <v/>
      </c>
      <c r="P638" s="169">
        <f>IF(OR(J638="",K638=""),"",K638/J638-1)</f>
        <v/>
      </c>
      <c r="Q638" s="54">
        <f>IF(AND(ISNUMBER(J638),ISNUMBER(L638)),1,0)</f>
        <v/>
      </c>
      <c r="R638" s="69">
        <f>IF(Q638=1,G638*L638,0)</f>
        <v/>
      </c>
      <c r="S638" s="69">
        <f>IF(Q638=1,(H638+I638)*U638,0)</f>
        <v/>
      </c>
      <c r="T638" s="59">
        <f>IF(Q638=1,G638,0)</f>
        <v/>
      </c>
      <c r="U638" s="170">
        <f>$G$3</f>
        <v/>
      </c>
    </row>
    <row r="639">
      <c r="A639" s="54" t="inlineStr">
        <is>
          <t>CA DC S4</t>
        </is>
      </c>
      <c r="B639" s="54" t="inlineStr">
        <is>
          <t>CA</t>
        </is>
      </c>
      <c r="C639" s="54" t="inlineStr">
        <is>
          <t>B09G6K2WSF</t>
        </is>
      </c>
      <c r="D639" s="54" t="inlineStr">
        <is>
          <t>SATIN-STRIPE-TWIN-GOLD</t>
        </is>
      </c>
      <c r="E639" s="54" t="inlineStr">
        <is>
          <t>Twin</t>
        </is>
      </c>
      <c r="F639" s="54" t="inlineStr">
        <is>
          <t>Striped Gold</t>
        </is>
      </c>
      <c r="G639" s="55" t="n">
        <v>0</v>
      </c>
      <c r="H639" s="167" t="n"/>
      <c r="I639" s="167" t="n"/>
      <c r="J639" s="171">
        <f>IF(AND(N(G639)&gt;0,N(H639)+N(I639)&gt;0),(H639+I639)*U639/G639,"")</f>
        <v/>
      </c>
      <c r="K639" s="172" t="n">
        <v>39.99</v>
      </c>
      <c r="L639" s="172" t="n">
        <v>39.99</v>
      </c>
      <c r="M639" s="54" t="inlineStr">
        <is>
          <t>Eligible</t>
        </is>
      </c>
      <c r="N639" s="171">
        <f>IF(OR(J639="",L639=""),"",L639-J639)</f>
        <v/>
      </c>
      <c r="O639" s="169">
        <f>IF(OR(J639="",L639=""),"",L639/J639-1)</f>
        <v/>
      </c>
      <c r="P639" s="169">
        <f>IF(OR(J639="",K639=""),"",K639/J639-1)</f>
        <v/>
      </c>
      <c r="Q639" s="54">
        <f>IF(AND(ISNUMBER(J639),ISNUMBER(L639)),1,0)</f>
        <v/>
      </c>
      <c r="R639" s="69">
        <f>IF(Q639=1,G639*L639,0)</f>
        <v/>
      </c>
      <c r="S639" s="69">
        <f>IF(Q639=1,(H639+I639)*U639,0)</f>
        <v/>
      </c>
      <c r="T639" s="59">
        <f>IF(Q639=1,G639,0)</f>
        <v/>
      </c>
      <c r="U639" s="170">
        <f>$G$3</f>
        <v/>
      </c>
    </row>
    <row r="640">
      <c r="A640" s="54" t="inlineStr">
        <is>
          <t>CA DC S4</t>
        </is>
      </c>
      <c r="B640" s="54" t="inlineStr">
        <is>
          <t>CA</t>
        </is>
      </c>
      <c r="C640" s="54" t="inlineStr">
        <is>
          <t>B09G6JWVWD</t>
        </is>
      </c>
      <c r="D640" s="54" t="inlineStr">
        <is>
          <t>SATIN-STRIPE-TWIN-PURPLE</t>
        </is>
      </c>
      <c r="E640" s="54" t="inlineStr">
        <is>
          <t>Twin</t>
        </is>
      </c>
      <c r="F640" s="54" t="inlineStr">
        <is>
          <t>Striped Purple</t>
        </is>
      </c>
      <c r="G640" s="55" t="n">
        <v>0</v>
      </c>
      <c r="H640" s="167" t="n"/>
      <c r="I640" s="167" t="n"/>
      <c r="J640" s="171">
        <f>IF(AND(N(G640)&gt;0,N(H640)+N(I640)&gt;0),(H640+I640)*U640/G640,"")</f>
        <v/>
      </c>
      <c r="K640" s="172" t="n">
        <v>39.99</v>
      </c>
      <c r="L640" s="172" t="n">
        <v>39.99</v>
      </c>
      <c r="M640" s="54" t="inlineStr">
        <is>
          <t>Eligible</t>
        </is>
      </c>
      <c r="N640" s="171">
        <f>IF(OR(J640="",L640=""),"",L640-J640)</f>
        <v/>
      </c>
      <c r="O640" s="169">
        <f>IF(OR(J640="",L640=""),"",L640/J640-1)</f>
        <v/>
      </c>
      <c r="P640" s="169">
        <f>IF(OR(J640="",K640=""),"",K640/J640-1)</f>
        <v/>
      </c>
      <c r="Q640" s="54">
        <f>IF(AND(ISNUMBER(J640),ISNUMBER(L640)),1,0)</f>
        <v/>
      </c>
      <c r="R640" s="69">
        <f>IF(Q640=1,G640*L640,0)</f>
        <v/>
      </c>
      <c r="S640" s="69">
        <f>IF(Q640=1,(H640+I640)*U640,0)</f>
        <v/>
      </c>
      <c r="T640" s="59">
        <f>IF(Q640=1,G640,0)</f>
        <v/>
      </c>
      <c r="U640" s="170">
        <f>$G$3</f>
        <v/>
      </c>
    </row>
    <row r="641">
      <c r="A641" s="54" t="inlineStr">
        <is>
          <t>US DC S6</t>
        </is>
      </c>
      <c r="B641" s="54" t="inlineStr">
        <is>
          <t>US</t>
        </is>
      </c>
      <c r="C641" s="54" t="inlineStr">
        <is>
          <t>B0C7FX1GFS</t>
        </is>
      </c>
      <c r="D641" s="54" t="inlineStr">
        <is>
          <t>SATIN-QUEEN-BLACK-6-PCS</t>
        </is>
      </c>
      <c r="E641" s="54" t="inlineStr">
        <is>
          <t>Queen</t>
        </is>
      </c>
      <c r="F641" s="54" t="inlineStr">
        <is>
          <t>Black</t>
        </is>
      </c>
      <c r="G641" s="55" t="n">
        <v>125</v>
      </c>
      <c r="H641" s="167" t="n">
        <v>3556.25</v>
      </c>
      <c r="I641" s="167" t="n">
        <v>0</v>
      </c>
      <c r="J641" s="168">
        <f>IF(AND(N(G641)&gt;0,N(H641)+N(I641)&gt;0),(H641+I641)*U641/G641,"")</f>
        <v/>
      </c>
      <c r="K641" s="167" t="n">
        <v>29.95</v>
      </c>
      <c r="L641" s="167" t="n">
        <v>28.45</v>
      </c>
      <c r="M641" s="54" t="inlineStr">
        <is>
          <t>Eligible</t>
        </is>
      </c>
      <c r="N641" s="168">
        <f>IF(OR(J641="",L641=""),"",L641-J641)</f>
        <v/>
      </c>
      <c r="O641" s="169">
        <f>IF(OR(J641="",L641=""),"",L641/J641-1)</f>
        <v/>
      </c>
      <c r="P641" s="169">
        <f>IF(OR(J641="",K641=""),"",K641/J641-1)</f>
        <v/>
      </c>
      <c r="Q641" s="54">
        <f>IF(AND(ISNUMBER(J641),ISNUMBER(L641)),1,0)</f>
        <v/>
      </c>
      <c r="R641" s="69">
        <f>IF(Q641=1,G641*L641,0)</f>
        <v/>
      </c>
      <c r="S641" s="69">
        <f>IF(Q641=1,(H641+I641)*U641,0)</f>
        <v/>
      </c>
      <c r="T641" s="59">
        <f>IF(Q641=1,G641,0)</f>
        <v/>
      </c>
      <c r="U641" s="170" t="n">
        <v>1</v>
      </c>
    </row>
    <row r="642">
      <c r="A642" s="54" t="inlineStr">
        <is>
          <t>US DC S6</t>
        </is>
      </c>
      <c r="B642" s="54" t="inlineStr">
        <is>
          <t>US</t>
        </is>
      </c>
      <c r="C642" s="54" t="inlineStr">
        <is>
          <t>B0C7FXXS6R</t>
        </is>
      </c>
      <c r="D642" s="54" t="inlineStr">
        <is>
          <t>SATIN-KING-BLACK-6-PCS</t>
        </is>
      </c>
      <c r="E642" s="54" t="inlineStr">
        <is>
          <t>King</t>
        </is>
      </c>
      <c r="F642" s="54" t="inlineStr">
        <is>
          <t>Black</t>
        </is>
      </c>
      <c r="G642" s="55" t="n">
        <v>104</v>
      </c>
      <c r="H642" s="167" t="n">
        <v>3354</v>
      </c>
      <c r="I642" s="167" t="n">
        <v>0</v>
      </c>
      <c r="J642" s="168">
        <f>IF(AND(N(G642)&gt;0,N(H642)+N(I642)&gt;0),(H642+I642)*U642/G642,"")</f>
        <v/>
      </c>
      <c r="K642" s="167" t="n">
        <v>33.95</v>
      </c>
      <c r="L642" s="167" t="n">
        <v>32.25</v>
      </c>
      <c r="M642" s="54" t="inlineStr">
        <is>
          <t>Eligible</t>
        </is>
      </c>
      <c r="N642" s="168">
        <f>IF(OR(J642="",L642=""),"",L642-J642)</f>
        <v/>
      </c>
      <c r="O642" s="169">
        <f>IF(OR(J642="",L642=""),"",L642/J642-1)</f>
        <v/>
      </c>
      <c r="P642" s="169">
        <f>IF(OR(J642="",K642=""),"",K642/J642-1)</f>
        <v/>
      </c>
      <c r="Q642" s="54">
        <f>IF(AND(ISNUMBER(J642),ISNUMBER(L642)),1,0)</f>
        <v/>
      </c>
      <c r="R642" s="69">
        <f>IF(Q642=1,G642*L642,0)</f>
        <v/>
      </c>
      <c r="S642" s="69">
        <f>IF(Q642=1,(H642+I642)*U642,0)</f>
        <v/>
      </c>
      <c r="T642" s="59">
        <f>IF(Q642=1,G642,0)</f>
        <v/>
      </c>
      <c r="U642" s="170" t="n">
        <v>1</v>
      </c>
    </row>
    <row r="643">
      <c r="A643" s="54" t="inlineStr">
        <is>
          <t>US DC S6</t>
        </is>
      </c>
      <c r="B643" s="54" t="inlineStr">
        <is>
          <t>US</t>
        </is>
      </c>
      <c r="C643" s="54" t="inlineStr">
        <is>
          <t>B0C7FKF7J1</t>
        </is>
      </c>
      <c r="D643" s="54" t="inlineStr">
        <is>
          <t>SATIN-RED-KING-6PCS</t>
        </is>
      </c>
      <c r="E643" s="54" t="inlineStr">
        <is>
          <t>King</t>
        </is>
      </c>
      <c r="F643" s="54" t="inlineStr">
        <is>
          <t>Red</t>
        </is>
      </c>
      <c r="G643" s="55" t="n">
        <v>52</v>
      </c>
      <c r="H643" s="167" t="n">
        <v>1677</v>
      </c>
      <c r="I643" s="167" t="n">
        <v>0</v>
      </c>
      <c r="J643" s="168">
        <f>IF(AND(N(G643)&gt;0,N(H643)+N(I643)&gt;0),(H643+I643)*U643/G643,"")</f>
        <v/>
      </c>
      <c r="K643" s="167" t="n">
        <v>33.95</v>
      </c>
      <c r="L643" s="167" t="n"/>
      <c r="M643" s="54" t="inlineStr">
        <is>
          <t>Out of stock</t>
        </is>
      </c>
      <c r="N643" s="168">
        <f>IF(OR(J643="",L643=""),"",L643-J643)</f>
        <v/>
      </c>
      <c r="O643" s="169">
        <f>IF(OR(J643="",L643=""),"",L643/J643-1)</f>
        <v/>
      </c>
      <c r="P643" s="169">
        <f>IF(OR(J643="",K643=""),"",K643/J643-1)</f>
        <v/>
      </c>
      <c r="Q643" s="54">
        <f>IF(AND(ISNUMBER(J643),ISNUMBER(L643)),1,0)</f>
        <v/>
      </c>
      <c r="R643" s="69">
        <f>IF(Q643=1,G643*L643,0)</f>
        <v/>
      </c>
      <c r="S643" s="69">
        <f>IF(Q643=1,(H643+I643)*U643,0)</f>
        <v/>
      </c>
      <c r="T643" s="59">
        <f>IF(Q643=1,G643,0)</f>
        <v/>
      </c>
      <c r="U643" s="170" t="n">
        <v>1</v>
      </c>
    </row>
    <row r="644">
      <c r="A644" s="54" t="inlineStr">
        <is>
          <t>US DC S6</t>
        </is>
      </c>
      <c r="B644" s="54" t="inlineStr">
        <is>
          <t>US</t>
        </is>
      </c>
      <c r="C644" s="54" t="inlineStr">
        <is>
          <t>B0C7FMYDFC</t>
        </is>
      </c>
      <c r="D644" s="54" t="inlineStr">
        <is>
          <t>SATIN-GOLD-KING-6PCS</t>
        </is>
      </c>
      <c r="E644" s="54" t="inlineStr">
        <is>
          <t>King</t>
        </is>
      </c>
      <c r="F644" s="54" t="inlineStr">
        <is>
          <t>Gold</t>
        </is>
      </c>
      <c r="G644" s="55" t="n">
        <v>37</v>
      </c>
      <c r="H644" s="167" t="n">
        <v>1193.25</v>
      </c>
      <c r="I644" s="167" t="n">
        <v>0</v>
      </c>
      <c r="J644" s="168">
        <f>IF(AND(N(G644)&gt;0,N(H644)+N(I644)&gt;0),(H644+I644)*U644/G644,"")</f>
        <v/>
      </c>
      <c r="K644" s="167" t="n">
        <v>33.95</v>
      </c>
      <c r="L644" s="167" t="n">
        <v>32.25</v>
      </c>
      <c r="M644" s="54" t="inlineStr">
        <is>
          <t>Eligible</t>
        </is>
      </c>
      <c r="N644" s="168">
        <f>IF(OR(J644="",L644=""),"",L644-J644)</f>
        <v/>
      </c>
      <c r="O644" s="169">
        <f>IF(OR(J644="",L644=""),"",L644/J644-1)</f>
        <v/>
      </c>
      <c r="P644" s="169">
        <f>IF(OR(J644="",K644=""),"",K644/J644-1)</f>
        <v/>
      </c>
      <c r="Q644" s="54">
        <f>IF(AND(ISNUMBER(J644),ISNUMBER(L644)),1,0)</f>
        <v/>
      </c>
      <c r="R644" s="69">
        <f>IF(Q644=1,G644*L644,0)</f>
        <v/>
      </c>
      <c r="S644" s="69">
        <f>IF(Q644=1,(H644+I644)*U644,0)</f>
        <v/>
      </c>
      <c r="T644" s="59">
        <f>IF(Q644=1,G644,0)</f>
        <v/>
      </c>
      <c r="U644" s="170" t="n">
        <v>1</v>
      </c>
    </row>
    <row r="645">
      <c r="A645" s="54" t="inlineStr">
        <is>
          <t>US DC S6</t>
        </is>
      </c>
      <c r="B645" s="54" t="inlineStr">
        <is>
          <t>US</t>
        </is>
      </c>
      <c r="C645" s="54" t="inlineStr">
        <is>
          <t>B0C7FMM2QN</t>
        </is>
      </c>
      <c r="D645" s="54" t="inlineStr">
        <is>
          <t>SATIN-FULL-BLACK-6PCS</t>
        </is>
      </c>
      <c r="E645" s="54" t="inlineStr">
        <is>
          <t>Full</t>
        </is>
      </c>
      <c r="F645" s="54" t="inlineStr">
        <is>
          <t>Black</t>
        </is>
      </c>
      <c r="G645" s="55" t="n">
        <v>32</v>
      </c>
      <c r="H645" s="167" t="n">
        <v>910.4</v>
      </c>
      <c r="I645" s="167" t="n">
        <v>0</v>
      </c>
      <c r="J645" s="168">
        <f>IF(AND(N(G645)&gt;0,N(H645)+N(I645)&gt;0),(H645+I645)*U645/G645,"")</f>
        <v/>
      </c>
      <c r="K645" s="167" t="n">
        <v>29.95</v>
      </c>
      <c r="L645" s="167" t="n">
        <v>28.45</v>
      </c>
      <c r="M645" s="54" t="inlineStr">
        <is>
          <t>Eligible</t>
        </is>
      </c>
      <c r="N645" s="168">
        <f>IF(OR(J645="",L645=""),"",L645-J645)</f>
        <v/>
      </c>
      <c r="O645" s="169">
        <f>IF(OR(J645="",L645=""),"",L645/J645-1)</f>
        <v/>
      </c>
      <c r="P645" s="169">
        <f>IF(OR(J645="",K645=""),"",K645/J645-1)</f>
        <v/>
      </c>
      <c r="Q645" s="54">
        <f>IF(AND(ISNUMBER(J645),ISNUMBER(L645)),1,0)</f>
        <v/>
      </c>
      <c r="R645" s="69">
        <f>IF(Q645=1,G645*L645,0)</f>
        <v/>
      </c>
      <c r="S645" s="69">
        <f>IF(Q645=1,(H645+I645)*U645,0)</f>
        <v/>
      </c>
      <c r="T645" s="59">
        <f>IF(Q645=1,G645,0)</f>
        <v/>
      </c>
      <c r="U645" s="170" t="n">
        <v>1</v>
      </c>
    </row>
    <row r="646">
      <c r="A646" s="54" t="inlineStr">
        <is>
          <t>US DC S6</t>
        </is>
      </c>
      <c r="B646" s="54" t="inlineStr">
        <is>
          <t>US</t>
        </is>
      </c>
      <c r="C646" s="54" t="inlineStr">
        <is>
          <t>B0C7FLGJS8</t>
        </is>
      </c>
      <c r="D646" s="54" t="inlineStr">
        <is>
          <t>SATIN-STONEGREY-KING-6PCS</t>
        </is>
      </c>
      <c r="E646" s="54" t="inlineStr">
        <is>
          <t>King</t>
        </is>
      </c>
      <c r="F646" s="54" t="inlineStr">
        <is>
          <t>Stone Grey</t>
        </is>
      </c>
      <c r="G646" s="55" t="n">
        <v>30</v>
      </c>
      <c r="H646" s="167" t="n">
        <v>967.5</v>
      </c>
      <c r="I646" s="167" t="n">
        <v>0</v>
      </c>
      <c r="J646" s="168">
        <f>IF(AND(N(G646)&gt;0,N(H646)+N(I646)&gt;0),(H646+I646)*U646/G646,"")</f>
        <v/>
      </c>
      <c r="K646" s="167" t="n"/>
      <c r="L646" s="167" t="n"/>
      <c r="M646" s="54" t="inlineStr">
        <is>
          <t>Not in a deal</t>
        </is>
      </c>
      <c r="N646" s="168">
        <f>IF(OR(J646="",L646=""),"",L646-J646)</f>
        <v/>
      </c>
      <c r="O646" s="169">
        <f>IF(OR(J646="",L646=""),"",L646/J646-1)</f>
        <v/>
      </c>
      <c r="P646" s="169">
        <f>IF(OR(J646="",K646=""),"",K646/J646-1)</f>
        <v/>
      </c>
      <c r="Q646" s="54">
        <f>IF(AND(ISNUMBER(J646),ISNUMBER(L646)),1,0)</f>
        <v/>
      </c>
      <c r="R646" s="69">
        <f>IF(Q646=1,G646*L646,0)</f>
        <v/>
      </c>
      <c r="S646" s="69">
        <f>IF(Q646=1,(H646+I646)*U646,0)</f>
        <v/>
      </c>
      <c r="T646" s="59">
        <f>IF(Q646=1,G646,0)</f>
        <v/>
      </c>
      <c r="U646" s="170" t="n">
        <v>1</v>
      </c>
    </row>
    <row r="647">
      <c r="A647" s="54" t="inlineStr">
        <is>
          <t>US DC S6</t>
        </is>
      </c>
      <c r="B647" s="54" t="inlineStr">
        <is>
          <t>US</t>
        </is>
      </c>
      <c r="C647" s="54" t="inlineStr">
        <is>
          <t>B0C7F5ZR17</t>
        </is>
      </c>
      <c r="D647" s="54" t="inlineStr">
        <is>
          <t>SATIN-QUEEN-GREY-6PCS</t>
        </is>
      </c>
      <c r="E647" s="54" t="inlineStr">
        <is>
          <t>Queen</t>
        </is>
      </c>
      <c r="F647" s="54" t="inlineStr">
        <is>
          <t>Grey</t>
        </is>
      </c>
      <c r="G647" s="55" t="n">
        <v>28</v>
      </c>
      <c r="H647" s="167" t="n">
        <v>796.6</v>
      </c>
      <c r="I647" s="167" t="n">
        <v>0</v>
      </c>
      <c r="J647" s="168">
        <f>IF(AND(N(G647)&gt;0,N(H647)+N(I647)&gt;0),(H647+I647)*U647/G647,"")</f>
        <v/>
      </c>
      <c r="K647" s="167" t="n">
        <v>29.95</v>
      </c>
      <c r="L647" s="167" t="n">
        <v>28.45</v>
      </c>
      <c r="M647" s="54" t="inlineStr">
        <is>
          <t>Eligible</t>
        </is>
      </c>
      <c r="N647" s="168">
        <f>IF(OR(J647="",L647=""),"",L647-J647)</f>
        <v/>
      </c>
      <c r="O647" s="169">
        <f>IF(OR(J647="",L647=""),"",L647/J647-1)</f>
        <v/>
      </c>
      <c r="P647" s="169">
        <f>IF(OR(J647="",K647=""),"",K647/J647-1)</f>
        <v/>
      </c>
      <c r="Q647" s="54">
        <f>IF(AND(ISNUMBER(J647),ISNUMBER(L647)),1,0)</f>
        <v/>
      </c>
      <c r="R647" s="69">
        <f>IF(Q647=1,G647*L647,0)</f>
        <v/>
      </c>
      <c r="S647" s="69">
        <f>IF(Q647=1,(H647+I647)*U647,0)</f>
        <v/>
      </c>
      <c r="T647" s="59">
        <f>IF(Q647=1,G647,0)</f>
        <v/>
      </c>
      <c r="U647" s="170" t="n">
        <v>1</v>
      </c>
    </row>
    <row r="648">
      <c r="A648" s="54" t="inlineStr">
        <is>
          <t>US DC S6</t>
        </is>
      </c>
      <c r="B648" s="54" t="inlineStr">
        <is>
          <t>US</t>
        </is>
      </c>
      <c r="C648" s="54" t="inlineStr">
        <is>
          <t>B0C7FMCXBV</t>
        </is>
      </c>
      <c r="D648" s="54" t="inlineStr">
        <is>
          <t>SATIN-ROSEWOOD-QUEEN-6PCS</t>
        </is>
      </c>
      <c r="E648" s="54" t="inlineStr">
        <is>
          <t>Queen</t>
        </is>
      </c>
      <c r="F648" s="54" t="inlineStr">
        <is>
          <t>Rosewood</t>
        </is>
      </c>
      <c r="G648" s="55" t="n">
        <v>28</v>
      </c>
      <c r="H648" s="167" t="n">
        <v>849.8</v>
      </c>
      <c r="I648" s="167" t="n">
        <v>0</v>
      </c>
      <c r="J648" s="168">
        <f>IF(AND(N(G648)&gt;0,N(H648)+N(I648)&gt;0),(H648+I648)*U648/G648,"")</f>
        <v/>
      </c>
      <c r="K648" s="167" t="n">
        <v>31.95</v>
      </c>
      <c r="L648" s="167" t="n">
        <v>30.35</v>
      </c>
      <c r="M648" s="54" t="inlineStr">
        <is>
          <t>Eligible</t>
        </is>
      </c>
      <c r="N648" s="168">
        <f>IF(OR(J648="",L648=""),"",L648-J648)</f>
        <v/>
      </c>
      <c r="O648" s="169">
        <f>IF(OR(J648="",L648=""),"",L648/J648-1)</f>
        <v/>
      </c>
      <c r="P648" s="169">
        <f>IF(OR(J648="",K648=""),"",K648/J648-1)</f>
        <v/>
      </c>
      <c r="Q648" s="54">
        <f>IF(AND(ISNUMBER(J648),ISNUMBER(L648)),1,0)</f>
        <v/>
      </c>
      <c r="R648" s="69">
        <f>IF(Q648=1,G648*L648,0)</f>
        <v/>
      </c>
      <c r="S648" s="69">
        <f>IF(Q648=1,(H648+I648)*U648,0)</f>
        <v/>
      </c>
      <c r="T648" s="59">
        <f>IF(Q648=1,G648,0)</f>
        <v/>
      </c>
      <c r="U648" s="170" t="n">
        <v>1</v>
      </c>
    </row>
    <row r="649">
      <c r="A649" s="54" t="inlineStr">
        <is>
          <t>US DC S6</t>
        </is>
      </c>
      <c r="B649" s="54" t="inlineStr">
        <is>
          <t>US</t>
        </is>
      </c>
      <c r="C649" s="54" t="inlineStr">
        <is>
          <t>B0C7FD1CLN</t>
        </is>
      </c>
      <c r="D649" s="54" t="inlineStr">
        <is>
          <t>SATIN-SEA-TEAL-QUEEN-6PCS</t>
        </is>
      </c>
      <c r="E649" s="54" t="inlineStr">
        <is>
          <t>Queen</t>
        </is>
      </c>
      <c r="F649" s="54" t="inlineStr">
        <is>
          <t>Sea Teal</t>
        </is>
      </c>
      <c r="G649" s="55" t="n">
        <v>23</v>
      </c>
      <c r="H649" s="167" t="n">
        <v>667.7</v>
      </c>
      <c r="I649" s="167" t="n">
        <v>0</v>
      </c>
      <c r="J649" s="168">
        <f>IF(AND(N(G649)&gt;0,N(H649)+N(I649)&gt;0),(H649+I649)*U649/G649,"")</f>
        <v/>
      </c>
      <c r="K649" s="167" t="n">
        <v>31.95</v>
      </c>
      <c r="L649" s="167" t="n">
        <v>30.35</v>
      </c>
      <c r="M649" s="54" t="inlineStr">
        <is>
          <t>Eligible</t>
        </is>
      </c>
      <c r="N649" s="168">
        <f>IF(OR(J649="",L649=""),"",L649-J649)</f>
        <v/>
      </c>
      <c r="O649" s="169">
        <f>IF(OR(J649="",L649=""),"",L649/J649-1)</f>
        <v/>
      </c>
      <c r="P649" s="169">
        <f>IF(OR(J649="",K649=""),"",K649/J649-1)</f>
        <v/>
      </c>
      <c r="Q649" s="54">
        <f>IF(AND(ISNUMBER(J649),ISNUMBER(L649)),1,0)</f>
        <v/>
      </c>
      <c r="R649" s="69">
        <f>IF(Q649=1,G649*L649,0)</f>
        <v/>
      </c>
      <c r="S649" s="69">
        <f>IF(Q649=1,(H649+I649)*U649,0)</f>
        <v/>
      </c>
      <c r="T649" s="59">
        <f>IF(Q649=1,G649,0)</f>
        <v/>
      </c>
      <c r="U649" s="170" t="n">
        <v>1</v>
      </c>
    </row>
    <row r="650">
      <c r="A650" s="54" t="inlineStr">
        <is>
          <t>US DC S6</t>
        </is>
      </c>
      <c r="B650" s="54" t="inlineStr">
        <is>
          <t>US</t>
        </is>
      </c>
      <c r="C650" s="54" t="inlineStr">
        <is>
          <t>B0C7FTB8MQ</t>
        </is>
      </c>
      <c r="D650" s="54" t="inlineStr">
        <is>
          <t>SATIN-STONEGREY-QUEEN-6PCS</t>
        </is>
      </c>
      <c r="E650" s="54" t="inlineStr">
        <is>
          <t>Queen</t>
        </is>
      </c>
      <c r="F650" s="54" t="inlineStr">
        <is>
          <t>Stone Grey</t>
        </is>
      </c>
      <c r="G650" s="55" t="n">
        <v>23</v>
      </c>
      <c r="H650" s="167" t="n">
        <v>698.05</v>
      </c>
      <c r="I650" s="167" t="n">
        <v>0</v>
      </c>
      <c r="J650" s="168">
        <f>IF(AND(N(G650)&gt;0,N(H650)+N(I650)&gt;0),(H650+I650)*U650/G650,"")</f>
        <v/>
      </c>
      <c r="K650" s="167" t="n">
        <v>31.95</v>
      </c>
      <c r="L650" s="167" t="n">
        <v>30.35</v>
      </c>
      <c r="M650" s="54" t="inlineStr">
        <is>
          <t>Eligible</t>
        </is>
      </c>
      <c r="N650" s="168">
        <f>IF(OR(J650="",L650=""),"",L650-J650)</f>
        <v/>
      </c>
      <c r="O650" s="169">
        <f>IF(OR(J650="",L650=""),"",L650/J650-1)</f>
        <v/>
      </c>
      <c r="P650" s="169">
        <f>IF(OR(J650="",K650=""),"",K650/J650-1)</f>
        <v/>
      </c>
      <c r="Q650" s="54">
        <f>IF(AND(ISNUMBER(J650),ISNUMBER(L650)),1,0)</f>
        <v/>
      </c>
      <c r="R650" s="69">
        <f>IF(Q650=1,G650*L650,0)</f>
        <v/>
      </c>
      <c r="S650" s="69">
        <f>IF(Q650=1,(H650+I650)*U650,0)</f>
        <v/>
      </c>
      <c r="T650" s="59">
        <f>IF(Q650=1,G650,0)</f>
        <v/>
      </c>
      <c r="U650" s="170" t="n">
        <v>1</v>
      </c>
    </row>
    <row r="651">
      <c r="A651" s="54" t="inlineStr">
        <is>
          <t>US DC S6</t>
        </is>
      </c>
      <c r="B651" s="54" t="inlineStr">
        <is>
          <t>US</t>
        </is>
      </c>
      <c r="C651" s="54" t="inlineStr">
        <is>
          <t>B0C7FNQH3B</t>
        </is>
      </c>
      <c r="D651" s="54" t="inlineStr">
        <is>
          <t>SATIN-KING-GREY-6PCS</t>
        </is>
      </c>
      <c r="E651" s="54" t="inlineStr">
        <is>
          <t>King</t>
        </is>
      </c>
      <c r="F651" s="54" t="inlineStr">
        <is>
          <t>Grey</t>
        </is>
      </c>
      <c r="G651" s="55" t="n">
        <v>20</v>
      </c>
      <c r="H651" s="167" t="n">
        <v>645</v>
      </c>
      <c r="I651" s="167" t="n">
        <v>0</v>
      </c>
      <c r="J651" s="168">
        <f>IF(AND(N(G651)&gt;0,N(H651)+N(I651)&gt;0),(H651+I651)*U651/G651,"")</f>
        <v/>
      </c>
      <c r="K651" s="167" t="n">
        <v>33.95</v>
      </c>
      <c r="L651" s="167" t="n">
        <v>32.25</v>
      </c>
      <c r="M651" s="54" t="inlineStr">
        <is>
          <t>Eligible</t>
        </is>
      </c>
      <c r="N651" s="168">
        <f>IF(OR(J651="",L651=""),"",L651-J651)</f>
        <v/>
      </c>
      <c r="O651" s="169">
        <f>IF(OR(J651="",L651=""),"",L651/J651-1)</f>
        <v/>
      </c>
      <c r="P651" s="169">
        <f>IF(OR(J651="",K651=""),"",K651/J651-1)</f>
        <v/>
      </c>
      <c r="Q651" s="54">
        <f>IF(AND(ISNUMBER(J651),ISNUMBER(L651)),1,0)</f>
        <v/>
      </c>
      <c r="R651" s="69">
        <f>IF(Q651=1,G651*L651,0)</f>
        <v/>
      </c>
      <c r="S651" s="69">
        <f>IF(Q651=1,(H651+I651)*U651,0)</f>
        <v/>
      </c>
      <c r="T651" s="59">
        <f>IF(Q651=1,G651,0)</f>
        <v/>
      </c>
      <c r="U651" s="170" t="n">
        <v>1</v>
      </c>
    </row>
    <row r="652">
      <c r="A652" s="54" t="inlineStr">
        <is>
          <t>US DC S6</t>
        </is>
      </c>
      <c r="B652" s="54" t="inlineStr">
        <is>
          <t>US</t>
        </is>
      </c>
      <c r="C652" s="54" t="inlineStr">
        <is>
          <t>B0C9LSVFPR</t>
        </is>
      </c>
      <c r="D652" s="54" t="inlineStr">
        <is>
          <t>PURPLE-SATIN-SET-6PCS</t>
        </is>
      </c>
      <c r="E652" s="54" t="inlineStr">
        <is>
          <t>Queen</t>
        </is>
      </c>
      <c r="F652" s="54" t="inlineStr">
        <is>
          <t>Purple</t>
        </is>
      </c>
      <c r="G652" s="55" t="n">
        <v>20</v>
      </c>
      <c r="H652" s="167" t="n">
        <v>607</v>
      </c>
      <c r="I652" s="167" t="n">
        <v>0</v>
      </c>
      <c r="J652" s="168">
        <f>IF(AND(N(G652)&gt;0,N(H652)+N(I652)&gt;0),(H652+I652)*U652/G652,"")</f>
        <v/>
      </c>
      <c r="K652" s="167" t="n">
        <v>31.95</v>
      </c>
      <c r="L652" s="167" t="n">
        <v>30.35</v>
      </c>
      <c r="M652" s="54" t="inlineStr">
        <is>
          <t>Eligible</t>
        </is>
      </c>
      <c r="N652" s="168">
        <f>IF(OR(J652="",L652=""),"",L652-J652)</f>
        <v/>
      </c>
      <c r="O652" s="169">
        <f>IF(OR(J652="",L652=""),"",L652/J652-1)</f>
        <v/>
      </c>
      <c r="P652" s="169">
        <f>IF(OR(J652="",K652=""),"",K652/J652-1)</f>
        <v/>
      </c>
      <c r="Q652" s="54">
        <f>IF(AND(ISNUMBER(J652),ISNUMBER(L652)),1,0)</f>
        <v/>
      </c>
      <c r="R652" s="69">
        <f>IF(Q652=1,G652*L652,0)</f>
        <v/>
      </c>
      <c r="S652" s="69">
        <f>IF(Q652=1,(H652+I652)*U652,0)</f>
        <v/>
      </c>
      <c r="T652" s="59">
        <f>IF(Q652=1,G652,0)</f>
        <v/>
      </c>
      <c r="U652" s="170" t="n">
        <v>1</v>
      </c>
    </row>
    <row r="653">
      <c r="A653" s="54" t="inlineStr">
        <is>
          <t>US DC S6</t>
        </is>
      </c>
      <c r="B653" s="54" t="inlineStr">
        <is>
          <t>US</t>
        </is>
      </c>
      <c r="C653" s="54" t="inlineStr">
        <is>
          <t>B0C7FFRNMH</t>
        </is>
      </c>
      <c r="D653" s="54" t="inlineStr">
        <is>
          <t>SATIN-CHAMPAGNE-QUEEN-6PCS</t>
        </is>
      </c>
      <c r="E653" s="54" t="inlineStr">
        <is>
          <t>Queen</t>
        </is>
      </c>
      <c r="F653" s="54" t="inlineStr">
        <is>
          <t>Champagne</t>
        </is>
      </c>
      <c r="G653" s="55" t="n">
        <v>19</v>
      </c>
      <c r="H653" s="167" t="n">
        <v>576.65</v>
      </c>
      <c r="I653" s="167" t="n">
        <v>0</v>
      </c>
      <c r="J653" s="168">
        <f>IF(AND(N(G653)&gt;0,N(H653)+N(I653)&gt;0),(H653+I653)*U653/G653,"")</f>
        <v/>
      </c>
      <c r="K653" s="167" t="n">
        <v>31.95</v>
      </c>
      <c r="L653" s="167" t="n"/>
      <c r="M653" s="54" t="inlineStr">
        <is>
          <t>Out of stock</t>
        </is>
      </c>
      <c r="N653" s="168">
        <f>IF(OR(J653="",L653=""),"",L653-J653)</f>
        <v/>
      </c>
      <c r="O653" s="169">
        <f>IF(OR(J653="",L653=""),"",L653/J653-1)</f>
        <v/>
      </c>
      <c r="P653" s="169">
        <f>IF(OR(J653="",K653=""),"",K653/J653-1)</f>
        <v/>
      </c>
      <c r="Q653" s="54">
        <f>IF(AND(ISNUMBER(J653),ISNUMBER(L653)),1,0)</f>
        <v/>
      </c>
      <c r="R653" s="69">
        <f>IF(Q653=1,G653*L653,0)</f>
        <v/>
      </c>
      <c r="S653" s="69">
        <f>IF(Q653=1,(H653+I653)*U653,0)</f>
        <v/>
      </c>
      <c r="T653" s="59">
        <f>IF(Q653=1,G653,0)</f>
        <v/>
      </c>
      <c r="U653" s="170" t="n">
        <v>1</v>
      </c>
    </row>
    <row r="654">
      <c r="A654" s="54" t="inlineStr">
        <is>
          <t>US DC S6</t>
        </is>
      </c>
      <c r="B654" s="54" t="inlineStr">
        <is>
          <t>US</t>
        </is>
      </c>
      <c r="C654" s="54" t="inlineStr">
        <is>
          <t>B0C7FPM5CR</t>
        </is>
      </c>
      <c r="D654" s="54" t="inlineStr">
        <is>
          <t>SATIN-GOLD-QUEEN-6PCS</t>
        </is>
      </c>
      <c r="E654" s="54" t="inlineStr">
        <is>
          <t>Queen</t>
        </is>
      </c>
      <c r="F654" s="54" t="inlineStr">
        <is>
          <t>Gold</t>
        </is>
      </c>
      <c r="G654" s="55" t="n">
        <v>19</v>
      </c>
      <c r="H654" s="167" t="n">
        <v>576.65</v>
      </c>
      <c r="I654" s="167" t="n">
        <v>0</v>
      </c>
      <c r="J654" s="168">
        <f>IF(AND(N(G654)&gt;0,N(H654)+N(I654)&gt;0),(H654+I654)*U654/G654,"")</f>
        <v/>
      </c>
      <c r="K654" s="167" t="n">
        <v>31.95</v>
      </c>
      <c r="L654" s="167" t="n">
        <v>30.35</v>
      </c>
      <c r="M654" s="54" t="inlineStr">
        <is>
          <t>Eligible</t>
        </is>
      </c>
      <c r="N654" s="168">
        <f>IF(OR(J654="",L654=""),"",L654-J654)</f>
        <v/>
      </c>
      <c r="O654" s="169">
        <f>IF(OR(J654="",L654=""),"",L654/J654-1)</f>
        <v/>
      </c>
      <c r="P654" s="169">
        <f>IF(OR(J654="",K654=""),"",K654/J654-1)</f>
        <v/>
      </c>
      <c r="Q654" s="54">
        <f>IF(AND(ISNUMBER(J654),ISNUMBER(L654)),1,0)</f>
        <v/>
      </c>
      <c r="R654" s="69">
        <f>IF(Q654=1,G654*L654,0)</f>
        <v/>
      </c>
      <c r="S654" s="69">
        <f>IF(Q654=1,(H654+I654)*U654,0)</f>
        <v/>
      </c>
      <c r="T654" s="59">
        <f>IF(Q654=1,G654,0)</f>
        <v/>
      </c>
      <c r="U654" s="170" t="n">
        <v>1</v>
      </c>
    </row>
    <row r="655">
      <c r="A655" s="54" t="inlineStr">
        <is>
          <t>US DC S6</t>
        </is>
      </c>
      <c r="B655" s="54" t="inlineStr">
        <is>
          <t>US</t>
        </is>
      </c>
      <c r="C655" s="54" t="inlineStr">
        <is>
          <t>B0C7FJLP2F</t>
        </is>
      </c>
      <c r="D655" s="54" t="inlineStr">
        <is>
          <t>SATIN-RED-QUEEN-6PCS</t>
        </is>
      </c>
      <c r="E655" s="54" t="inlineStr">
        <is>
          <t>Queen</t>
        </is>
      </c>
      <c r="F655" s="54" t="inlineStr">
        <is>
          <t>Red</t>
        </is>
      </c>
      <c r="G655" s="55" t="n">
        <v>19</v>
      </c>
      <c r="H655" s="167" t="n">
        <v>576.65</v>
      </c>
      <c r="I655" s="167" t="n">
        <v>0</v>
      </c>
      <c r="J655" s="168">
        <f>IF(AND(N(G655)&gt;0,N(H655)+N(I655)&gt;0),(H655+I655)*U655/G655,"")</f>
        <v/>
      </c>
      <c r="K655" s="167" t="n">
        <v>31.95</v>
      </c>
      <c r="L655" s="167" t="n">
        <v>30.35</v>
      </c>
      <c r="M655" s="54" t="inlineStr">
        <is>
          <t>Eligible</t>
        </is>
      </c>
      <c r="N655" s="168">
        <f>IF(OR(J655="",L655=""),"",L655-J655)</f>
        <v/>
      </c>
      <c r="O655" s="169">
        <f>IF(OR(J655="",L655=""),"",L655/J655-1)</f>
        <v/>
      </c>
      <c r="P655" s="169">
        <f>IF(OR(J655="",K655=""),"",K655/J655-1)</f>
        <v/>
      </c>
      <c r="Q655" s="54">
        <f>IF(AND(ISNUMBER(J655),ISNUMBER(L655)),1,0)</f>
        <v/>
      </c>
      <c r="R655" s="69">
        <f>IF(Q655=1,G655*L655,0)</f>
        <v/>
      </c>
      <c r="S655" s="69">
        <f>IF(Q655=1,(H655+I655)*U655,0)</f>
        <v/>
      </c>
      <c r="T655" s="59">
        <f>IF(Q655=1,G655,0)</f>
        <v/>
      </c>
      <c r="U655" s="170" t="n">
        <v>1</v>
      </c>
    </row>
    <row r="656">
      <c r="A656" s="54" t="inlineStr">
        <is>
          <t>US DC S6</t>
        </is>
      </c>
      <c r="B656" s="54" t="inlineStr">
        <is>
          <t>US</t>
        </is>
      </c>
      <c r="C656" s="54" t="inlineStr">
        <is>
          <t>B0C7FSZHXL</t>
        </is>
      </c>
      <c r="D656" s="54" t="inlineStr">
        <is>
          <t>SATIN-SEA-TEAL-KING-6PCS</t>
        </is>
      </c>
      <c r="E656" s="54" t="inlineStr">
        <is>
          <t>King</t>
        </is>
      </c>
      <c r="F656" s="54" t="inlineStr">
        <is>
          <t>Sea Teal</t>
        </is>
      </c>
      <c r="G656" s="55" t="n">
        <v>17</v>
      </c>
      <c r="H656" s="167" t="n">
        <v>577.15</v>
      </c>
      <c r="I656" s="167" t="n">
        <v>0</v>
      </c>
      <c r="J656" s="168">
        <f>IF(AND(N(G656)&gt;0,N(H656)+N(I656)&gt;0),(H656+I656)*U656/G656,"")</f>
        <v/>
      </c>
      <c r="K656" s="167" t="n">
        <v>33.95</v>
      </c>
      <c r="L656" s="167" t="n">
        <v>32.25</v>
      </c>
      <c r="M656" s="54" t="inlineStr">
        <is>
          <t>Eligible</t>
        </is>
      </c>
      <c r="N656" s="168">
        <f>IF(OR(J656="",L656=""),"",L656-J656)</f>
        <v/>
      </c>
      <c r="O656" s="169">
        <f>IF(OR(J656="",L656=""),"",L656/J656-1)</f>
        <v/>
      </c>
      <c r="P656" s="169">
        <f>IF(OR(J656="",K656=""),"",K656/J656-1)</f>
        <v/>
      </c>
      <c r="Q656" s="54">
        <f>IF(AND(ISNUMBER(J656),ISNUMBER(L656)),1,0)</f>
        <v/>
      </c>
      <c r="R656" s="69">
        <f>IF(Q656=1,G656*L656,0)</f>
        <v/>
      </c>
      <c r="S656" s="69">
        <f>IF(Q656=1,(H656+I656)*U656,0)</f>
        <v/>
      </c>
      <c r="T656" s="59">
        <f>IF(Q656=1,G656,0)</f>
        <v/>
      </c>
      <c r="U656" s="170" t="n">
        <v>1</v>
      </c>
    </row>
    <row r="657">
      <c r="A657" s="54" t="inlineStr">
        <is>
          <t>US DC S6</t>
        </is>
      </c>
      <c r="B657" s="54" t="inlineStr">
        <is>
          <t>US</t>
        </is>
      </c>
      <c r="C657" s="54" t="inlineStr">
        <is>
          <t>B0C7FR94LJ</t>
        </is>
      </c>
      <c r="D657" s="54" t="inlineStr">
        <is>
          <t>SATIN-WHITE-QUEEN-6PCS</t>
        </is>
      </c>
      <c r="E657" s="54" t="inlineStr">
        <is>
          <t>Queen</t>
        </is>
      </c>
      <c r="F657" s="54" t="inlineStr">
        <is>
          <t>White</t>
        </is>
      </c>
      <c r="G657" s="55" t="n">
        <v>17</v>
      </c>
      <c r="H657" s="167" t="n">
        <v>515.95</v>
      </c>
      <c r="I657" s="167" t="n">
        <v>0</v>
      </c>
      <c r="J657" s="168">
        <f>IF(AND(N(G657)&gt;0,N(H657)+N(I657)&gt;0),(H657+I657)*U657/G657,"")</f>
        <v/>
      </c>
      <c r="K657" s="167" t="n">
        <v>31.95</v>
      </c>
      <c r="L657" s="167" t="n">
        <v>30.35</v>
      </c>
      <c r="M657" s="54" t="inlineStr">
        <is>
          <t>Eligible</t>
        </is>
      </c>
      <c r="N657" s="168">
        <f>IF(OR(J657="",L657=""),"",L657-J657)</f>
        <v/>
      </c>
      <c r="O657" s="169">
        <f>IF(OR(J657="",L657=""),"",L657/J657-1)</f>
        <v/>
      </c>
      <c r="P657" s="169">
        <f>IF(OR(J657="",K657=""),"",K657/J657-1)</f>
        <v/>
      </c>
      <c r="Q657" s="54">
        <f>IF(AND(ISNUMBER(J657),ISNUMBER(L657)),1,0)</f>
        <v/>
      </c>
      <c r="R657" s="69">
        <f>IF(Q657=1,G657*L657,0)</f>
        <v/>
      </c>
      <c r="S657" s="69">
        <f>IF(Q657=1,(H657+I657)*U657,0)</f>
        <v/>
      </c>
      <c r="T657" s="59">
        <f>IF(Q657=1,G657,0)</f>
        <v/>
      </c>
      <c r="U657" s="170" t="n">
        <v>1</v>
      </c>
    </row>
    <row r="658">
      <c r="A658" s="54" t="inlineStr">
        <is>
          <t>US DC S6</t>
        </is>
      </c>
      <c r="B658" s="54" t="inlineStr">
        <is>
          <t>US</t>
        </is>
      </c>
      <c r="C658" s="54" t="inlineStr">
        <is>
          <t>B0C7FP1L1V</t>
        </is>
      </c>
      <c r="D658" s="54" t="inlineStr">
        <is>
          <t>SATIN-ROSEWOOD-KING-6PCS</t>
        </is>
      </c>
      <c r="E658" s="54" t="inlineStr">
        <is>
          <t>King</t>
        </is>
      </c>
      <c r="F658" s="54" t="inlineStr">
        <is>
          <t>Rosewood</t>
        </is>
      </c>
      <c r="G658" s="55" t="n">
        <v>16</v>
      </c>
      <c r="H658" s="167" t="n">
        <v>511.2</v>
      </c>
      <c r="I658" s="167" t="n">
        <v>0</v>
      </c>
      <c r="J658" s="168">
        <f>IF(AND(N(G658)&gt;0,N(H658)+N(I658)&gt;0),(H658+I658)*U658/G658,"")</f>
        <v/>
      </c>
      <c r="K658" s="167" t="n">
        <v>33.95</v>
      </c>
      <c r="L658" s="167" t="n">
        <v>32.25</v>
      </c>
      <c r="M658" s="54" t="inlineStr">
        <is>
          <t>Eligible</t>
        </is>
      </c>
      <c r="N658" s="168">
        <f>IF(OR(J658="",L658=""),"",L658-J658)</f>
        <v/>
      </c>
      <c r="O658" s="169">
        <f>IF(OR(J658="",L658=""),"",L658/J658-1)</f>
        <v/>
      </c>
      <c r="P658" s="169">
        <f>IF(OR(J658="",K658=""),"",K658/J658-1)</f>
        <v/>
      </c>
      <c r="Q658" s="54">
        <f>IF(AND(ISNUMBER(J658),ISNUMBER(L658)),1,0)</f>
        <v/>
      </c>
      <c r="R658" s="69">
        <f>IF(Q658=1,G658*L658,0)</f>
        <v/>
      </c>
      <c r="S658" s="69">
        <f>IF(Q658=1,(H658+I658)*U658,0)</f>
        <v/>
      </c>
      <c r="T658" s="59">
        <f>IF(Q658=1,G658,0)</f>
        <v/>
      </c>
      <c r="U658" s="170" t="n">
        <v>1</v>
      </c>
    </row>
    <row r="659">
      <c r="A659" s="54" t="inlineStr">
        <is>
          <t>US DC S6</t>
        </is>
      </c>
      <c r="B659" s="54" t="inlineStr">
        <is>
          <t>US</t>
        </is>
      </c>
      <c r="C659" s="54" t="inlineStr">
        <is>
          <t>B0C7FJ461D</t>
        </is>
      </c>
      <c r="D659" s="54" t="inlineStr">
        <is>
          <t>SATIN-QUEEN-BLUE-6PCS</t>
        </is>
      </c>
      <c r="E659" s="54" t="inlineStr">
        <is>
          <t>Queen</t>
        </is>
      </c>
      <c r="F659" s="54" t="inlineStr">
        <is>
          <t>Blue</t>
        </is>
      </c>
      <c r="G659" s="55" t="n">
        <v>16</v>
      </c>
      <c r="H659" s="167" t="n">
        <v>485.6</v>
      </c>
      <c r="I659" s="167" t="n">
        <v>0</v>
      </c>
      <c r="J659" s="168">
        <f>IF(AND(N(G659)&gt;0,N(H659)+N(I659)&gt;0),(H659+I659)*U659/G659,"")</f>
        <v/>
      </c>
      <c r="K659" s="167" t="n">
        <v>31.95</v>
      </c>
      <c r="L659" s="167" t="n">
        <v>30.35</v>
      </c>
      <c r="M659" s="54" t="inlineStr">
        <is>
          <t>Eligible</t>
        </is>
      </c>
      <c r="N659" s="168">
        <f>IF(OR(J659="",L659=""),"",L659-J659)</f>
        <v/>
      </c>
      <c r="O659" s="169">
        <f>IF(OR(J659="",L659=""),"",L659/J659-1)</f>
        <v/>
      </c>
      <c r="P659" s="169">
        <f>IF(OR(J659="",K659=""),"",K659/J659-1)</f>
        <v/>
      </c>
      <c r="Q659" s="54">
        <f>IF(AND(ISNUMBER(J659),ISNUMBER(L659)),1,0)</f>
        <v/>
      </c>
      <c r="R659" s="69">
        <f>IF(Q659=1,G659*L659,0)</f>
        <v/>
      </c>
      <c r="S659" s="69">
        <f>IF(Q659=1,(H659+I659)*U659,0)</f>
        <v/>
      </c>
      <c r="T659" s="59">
        <f>IF(Q659=1,G659,0)</f>
        <v/>
      </c>
      <c r="U659" s="170" t="n">
        <v>1</v>
      </c>
    </row>
    <row r="660">
      <c r="A660" s="54" t="inlineStr">
        <is>
          <t>US DC S6</t>
        </is>
      </c>
      <c r="B660" s="54" t="inlineStr">
        <is>
          <t>US</t>
        </is>
      </c>
      <c r="C660" s="54" t="inlineStr">
        <is>
          <t>B0D9QSG8V3</t>
        </is>
      </c>
      <c r="D660" s="54" t="inlineStr">
        <is>
          <t>SATIN-6PC-KING-DARK GREEN</t>
        </is>
      </c>
      <c r="E660" s="54" t="inlineStr">
        <is>
          <t>King</t>
        </is>
      </c>
      <c r="F660" s="54" t="inlineStr">
        <is>
          <t>Dark Green</t>
        </is>
      </c>
      <c r="G660" s="55" t="n">
        <v>14</v>
      </c>
      <c r="H660" s="167" t="n">
        <v>451.5</v>
      </c>
      <c r="I660" s="167" t="n">
        <v>0</v>
      </c>
      <c r="J660" s="168">
        <f>IF(AND(N(G660)&gt;0,N(H660)+N(I660)&gt;0),(H660+I660)*U660/G660,"")</f>
        <v/>
      </c>
      <c r="K660" s="167" t="n">
        <v>33.95</v>
      </c>
      <c r="L660" s="167" t="n"/>
      <c r="M660" s="54" t="inlineStr">
        <is>
          <t>Out of stock</t>
        </is>
      </c>
      <c r="N660" s="168">
        <f>IF(OR(J660="",L660=""),"",L660-J660)</f>
        <v/>
      </c>
      <c r="O660" s="169">
        <f>IF(OR(J660="",L660=""),"",L660/J660-1)</f>
        <v/>
      </c>
      <c r="P660" s="169">
        <f>IF(OR(J660="",K660=""),"",K660/J660-1)</f>
        <v/>
      </c>
      <c r="Q660" s="54">
        <f>IF(AND(ISNUMBER(J660),ISNUMBER(L660)),1,0)</f>
        <v/>
      </c>
      <c r="R660" s="69">
        <f>IF(Q660=1,G660*L660,0)</f>
        <v/>
      </c>
      <c r="S660" s="69">
        <f>IF(Q660=1,(H660+I660)*U660,0)</f>
        <v/>
      </c>
      <c r="T660" s="59">
        <f>IF(Q660=1,G660,0)</f>
        <v/>
      </c>
      <c r="U660" s="170" t="n">
        <v>1</v>
      </c>
    </row>
    <row r="661">
      <c r="A661" s="54" t="inlineStr">
        <is>
          <t>US DC S6</t>
        </is>
      </c>
      <c r="B661" s="54" t="inlineStr">
        <is>
          <t>US</t>
        </is>
      </c>
      <c r="C661" s="54" t="inlineStr">
        <is>
          <t>B0D9QSZH1N</t>
        </is>
      </c>
      <c r="D661" s="54" t="inlineStr">
        <is>
          <t>SATIN-6PC-QUEEN-BABY BLUE</t>
        </is>
      </c>
      <c r="E661" s="54" t="inlineStr">
        <is>
          <t>Queen</t>
        </is>
      </c>
      <c r="F661" s="54" t="inlineStr">
        <is>
          <t>Baby Blue</t>
        </is>
      </c>
      <c r="G661" s="55" t="n">
        <v>14</v>
      </c>
      <c r="H661" s="167" t="n">
        <v>424.9</v>
      </c>
      <c r="I661" s="167" t="n">
        <v>0</v>
      </c>
      <c r="J661" s="168">
        <f>IF(AND(N(G661)&gt;0,N(H661)+N(I661)&gt;0),(H661+I661)*U661/G661,"")</f>
        <v/>
      </c>
      <c r="K661" s="167" t="n">
        <v>31.95</v>
      </c>
      <c r="L661" s="167" t="n">
        <v>30.35</v>
      </c>
      <c r="M661" s="54" t="inlineStr">
        <is>
          <t>Eligible</t>
        </is>
      </c>
      <c r="N661" s="168">
        <f>IF(OR(J661="",L661=""),"",L661-J661)</f>
        <v/>
      </c>
      <c r="O661" s="169">
        <f>IF(OR(J661="",L661=""),"",L661/J661-1)</f>
        <v/>
      </c>
      <c r="P661" s="169">
        <f>IF(OR(J661="",K661=""),"",K661/J661-1)</f>
        <v/>
      </c>
      <c r="Q661" s="54">
        <f>IF(AND(ISNUMBER(J661),ISNUMBER(L661)),1,0)</f>
        <v/>
      </c>
      <c r="R661" s="69">
        <f>IF(Q661=1,G661*L661,0)</f>
        <v/>
      </c>
      <c r="S661" s="69">
        <f>IF(Q661=1,(H661+I661)*U661,0)</f>
        <v/>
      </c>
      <c r="T661" s="59">
        <f>IF(Q661=1,G661,0)</f>
        <v/>
      </c>
      <c r="U661" s="170" t="n">
        <v>1</v>
      </c>
    </row>
    <row r="662">
      <c r="A662" s="54" t="inlineStr">
        <is>
          <t>US DC S6</t>
        </is>
      </c>
      <c r="B662" s="54" t="inlineStr">
        <is>
          <t>US</t>
        </is>
      </c>
      <c r="C662" s="54" t="inlineStr">
        <is>
          <t>B0D9QSYPF2</t>
        </is>
      </c>
      <c r="D662" s="54" t="inlineStr">
        <is>
          <t>SATIN-6PC-QUEEN-LAVENDER</t>
        </is>
      </c>
      <c r="E662" s="54" t="inlineStr">
        <is>
          <t>Queen</t>
        </is>
      </c>
      <c r="F662" s="54" t="inlineStr">
        <is>
          <t>Lavender</t>
        </is>
      </c>
      <c r="G662" s="55" t="n">
        <v>14</v>
      </c>
      <c r="H662" s="167" t="n">
        <v>380.24</v>
      </c>
      <c r="I662" s="167" t="n">
        <v>0</v>
      </c>
      <c r="J662" s="168">
        <f>IF(AND(N(G662)&gt;0,N(H662)+N(I662)&gt;0),(H662+I662)*U662/G662,"")</f>
        <v/>
      </c>
      <c r="K662" s="167" t="n">
        <v>31.95</v>
      </c>
      <c r="L662" s="167" t="n">
        <v>30.35</v>
      </c>
      <c r="M662" s="54" t="inlineStr">
        <is>
          <t>Eligible</t>
        </is>
      </c>
      <c r="N662" s="168">
        <f>IF(OR(J662="",L662=""),"",L662-J662)</f>
        <v/>
      </c>
      <c r="O662" s="169">
        <f>IF(OR(J662="",L662=""),"",L662/J662-1)</f>
        <v/>
      </c>
      <c r="P662" s="169">
        <f>IF(OR(J662="",K662=""),"",K662/J662-1)</f>
        <v/>
      </c>
      <c r="Q662" s="54">
        <f>IF(AND(ISNUMBER(J662),ISNUMBER(L662)),1,0)</f>
        <v/>
      </c>
      <c r="R662" s="69">
        <f>IF(Q662=1,G662*L662,0)</f>
        <v/>
      </c>
      <c r="S662" s="69">
        <f>IF(Q662=1,(H662+I662)*U662,0)</f>
        <v/>
      </c>
      <c r="T662" s="59">
        <f>IF(Q662=1,G662,0)</f>
        <v/>
      </c>
      <c r="U662" s="170" t="n">
        <v>1</v>
      </c>
    </row>
    <row r="663">
      <c r="A663" s="54" t="inlineStr">
        <is>
          <t>US DC S6</t>
        </is>
      </c>
      <c r="B663" s="54" t="inlineStr">
        <is>
          <t>US</t>
        </is>
      </c>
      <c r="C663" s="54" t="inlineStr">
        <is>
          <t>B0D9QSHBSX</t>
        </is>
      </c>
      <c r="D663" s="54" t="inlineStr">
        <is>
          <t>SATIN-6PC-KING-NAVY BLUE</t>
        </is>
      </c>
      <c r="E663" s="54" t="inlineStr">
        <is>
          <t>King</t>
        </is>
      </c>
      <c r="F663" s="54" t="inlineStr">
        <is>
          <t>Navy Blue</t>
        </is>
      </c>
      <c r="G663" s="55" t="n">
        <v>13</v>
      </c>
      <c r="H663" s="167" t="n">
        <v>419.54</v>
      </c>
      <c r="I663" s="167" t="n">
        <v>0</v>
      </c>
      <c r="J663" s="168">
        <f>IF(AND(N(G663)&gt;0,N(H663)+N(I663)&gt;0),(H663+I663)*U663/G663,"")</f>
        <v/>
      </c>
      <c r="K663" s="167" t="n">
        <v>33.95</v>
      </c>
      <c r="L663" s="167" t="n"/>
      <c r="M663" s="54" t="inlineStr">
        <is>
          <t>Out of stock</t>
        </is>
      </c>
      <c r="N663" s="168">
        <f>IF(OR(J663="",L663=""),"",L663-J663)</f>
        <v/>
      </c>
      <c r="O663" s="169">
        <f>IF(OR(J663="",L663=""),"",L663/J663-1)</f>
        <v/>
      </c>
      <c r="P663" s="169">
        <f>IF(OR(J663="",K663=""),"",K663/J663-1)</f>
        <v/>
      </c>
      <c r="Q663" s="54">
        <f>IF(AND(ISNUMBER(J663),ISNUMBER(L663)),1,0)</f>
        <v/>
      </c>
      <c r="R663" s="69">
        <f>IF(Q663=1,G663*L663,0)</f>
        <v/>
      </c>
      <c r="S663" s="69">
        <f>IF(Q663=1,(H663+I663)*U663,0)</f>
        <v/>
      </c>
      <c r="T663" s="59">
        <f>IF(Q663=1,G663,0)</f>
        <v/>
      </c>
      <c r="U663" s="170" t="n">
        <v>1</v>
      </c>
    </row>
    <row r="664">
      <c r="A664" s="54" t="inlineStr">
        <is>
          <t>US DC S6</t>
        </is>
      </c>
      <c r="B664" s="54" t="inlineStr">
        <is>
          <t>US</t>
        </is>
      </c>
      <c r="C664" s="54" t="inlineStr">
        <is>
          <t>B0C7FBBPL1</t>
        </is>
      </c>
      <c r="D664" s="54" t="inlineStr">
        <is>
          <t>SATIN-KING-BLUE-6PCS</t>
        </is>
      </c>
      <c r="E664" s="54" t="inlineStr">
        <is>
          <t>King</t>
        </is>
      </c>
      <c r="F664" s="54" t="inlineStr">
        <is>
          <t>Blue</t>
        </is>
      </c>
      <c r="G664" s="55" t="n">
        <v>12</v>
      </c>
      <c r="H664" s="167" t="n">
        <v>387</v>
      </c>
      <c r="I664" s="167" t="n">
        <v>0</v>
      </c>
      <c r="J664" s="168">
        <f>IF(AND(N(G664)&gt;0,N(H664)+N(I664)&gt;0),(H664+I664)*U664/G664,"")</f>
        <v/>
      </c>
      <c r="K664" s="167" t="n">
        <v>33.95</v>
      </c>
      <c r="L664" s="167" t="n">
        <v>32.25</v>
      </c>
      <c r="M664" s="54" t="inlineStr">
        <is>
          <t>Eligible</t>
        </is>
      </c>
      <c r="N664" s="168">
        <f>IF(OR(J664="",L664=""),"",L664-J664)</f>
        <v/>
      </c>
      <c r="O664" s="169">
        <f>IF(OR(J664="",L664=""),"",L664/J664-1)</f>
        <v/>
      </c>
      <c r="P664" s="169">
        <f>IF(OR(J664="",K664=""),"",K664/J664-1)</f>
        <v/>
      </c>
      <c r="Q664" s="54">
        <f>IF(AND(ISNUMBER(J664),ISNUMBER(L664)),1,0)</f>
        <v/>
      </c>
      <c r="R664" s="69">
        <f>IF(Q664=1,G664*L664,0)</f>
        <v/>
      </c>
      <c r="S664" s="69">
        <f>IF(Q664=1,(H664+I664)*U664,0)</f>
        <v/>
      </c>
      <c r="T664" s="59">
        <f>IF(Q664=1,G664,0)</f>
        <v/>
      </c>
      <c r="U664" s="170" t="n">
        <v>1</v>
      </c>
    </row>
    <row r="665">
      <c r="A665" s="54" t="inlineStr">
        <is>
          <t>US DC S6</t>
        </is>
      </c>
      <c r="B665" s="54" t="inlineStr">
        <is>
          <t>US</t>
        </is>
      </c>
      <c r="C665" s="54" t="inlineStr">
        <is>
          <t>B0C7F622QD</t>
        </is>
      </c>
      <c r="D665" s="54" t="inlineStr">
        <is>
          <t>SATIN-TWIN-BLACK-6PCS</t>
        </is>
      </c>
      <c r="E665" s="54" t="inlineStr">
        <is>
          <t>Twin</t>
        </is>
      </c>
      <c r="F665" s="54" t="inlineStr">
        <is>
          <t>Black</t>
        </is>
      </c>
      <c r="G665" s="55" t="n">
        <v>12</v>
      </c>
      <c r="H665" s="167" t="n">
        <v>318.6</v>
      </c>
      <c r="I665" s="167" t="n">
        <v>0</v>
      </c>
      <c r="J665" s="168">
        <f>IF(AND(N(G665)&gt;0,N(H665)+N(I665)&gt;0),(H665+I665)*U665/G665,"")</f>
        <v/>
      </c>
      <c r="K665" s="167" t="n">
        <v>27.95</v>
      </c>
      <c r="L665" s="167" t="n">
        <v>26.55</v>
      </c>
      <c r="M665" s="54" t="inlineStr">
        <is>
          <t>Eligible</t>
        </is>
      </c>
      <c r="N665" s="168">
        <f>IF(OR(J665="",L665=""),"",L665-J665)</f>
        <v/>
      </c>
      <c r="O665" s="169">
        <f>IF(OR(J665="",L665=""),"",L665/J665-1)</f>
        <v/>
      </c>
      <c r="P665" s="169">
        <f>IF(OR(J665="",K665=""),"",K665/J665-1)</f>
        <v/>
      </c>
      <c r="Q665" s="54">
        <f>IF(AND(ISNUMBER(J665),ISNUMBER(L665)),1,0)</f>
        <v/>
      </c>
      <c r="R665" s="69">
        <f>IF(Q665=1,G665*L665,0)</f>
        <v/>
      </c>
      <c r="S665" s="69">
        <f>IF(Q665=1,(H665+I665)*U665,0)</f>
        <v/>
      </c>
      <c r="T665" s="59">
        <f>IF(Q665=1,G665,0)</f>
        <v/>
      </c>
      <c r="U665" s="170" t="n">
        <v>1</v>
      </c>
    </row>
    <row r="666">
      <c r="A666" s="54" t="inlineStr">
        <is>
          <t>US DC S6</t>
        </is>
      </c>
      <c r="B666" s="54" t="inlineStr">
        <is>
          <t>US</t>
        </is>
      </c>
      <c r="C666" s="54" t="inlineStr">
        <is>
          <t>B0D9QTCGWW</t>
        </is>
      </c>
      <c r="D666" s="54" t="inlineStr">
        <is>
          <t>SATIN-6PC-KING-SAGE GREEN</t>
        </is>
      </c>
      <c r="E666" s="54" t="inlineStr">
        <is>
          <t>King</t>
        </is>
      </c>
      <c r="F666" s="54" t="inlineStr">
        <is>
          <t>Sage Green</t>
        </is>
      </c>
      <c r="G666" s="55" t="n">
        <v>11</v>
      </c>
      <c r="H666" s="167" t="n">
        <v>354.75</v>
      </c>
      <c r="I666" s="167" t="n">
        <v>0</v>
      </c>
      <c r="J666" s="168">
        <f>IF(AND(N(G666)&gt;0,N(H666)+N(I666)&gt;0),(H666+I666)*U666/G666,"")</f>
        <v/>
      </c>
      <c r="K666" s="167" t="n">
        <v>33.95</v>
      </c>
      <c r="L666" s="167" t="n">
        <v>32.25</v>
      </c>
      <c r="M666" s="54" t="inlineStr">
        <is>
          <t>Eligible</t>
        </is>
      </c>
      <c r="N666" s="168">
        <f>IF(OR(J666="",L666=""),"",L666-J666)</f>
        <v/>
      </c>
      <c r="O666" s="169">
        <f>IF(OR(J666="",L666=""),"",L666/J666-1)</f>
        <v/>
      </c>
      <c r="P666" s="169">
        <f>IF(OR(J666="",K666=""),"",K666/J666-1)</f>
        <v/>
      </c>
      <c r="Q666" s="54">
        <f>IF(AND(ISNUMBER(J666),ISNUMBER(L666)),1,0)</f>
        <v/>
      </c>
      <c r="R666" s="69">
        <f>IF(Q666=1,G666*L666,0)</f>
        <v/>
      </c>
      <c r="S666" s="69">
        <f>IF(Q666=1,(H666+I666)*U666,0)</f>
        <v/>
      </c>
      <c r="T666" s="59">
        <f>IF(Q666=1,G666,0)</f>
        <v/>
      </c>
      <c r="U666" s="170" t="n">
        <v>1</v>
      </c>
    </row>
    <row r="667">
      <c r="A667" s="54" t="inlineStr">
        <is>
          <t>US DC S6</t>
        </is>
      </c>
      <c r="B667" s="54" t="inlineStr">
        <is>
          <t>US</t>
        </is>
      </c>
      <c r="C667" s="54" t="inlineStr">
        <is>
          <t>B0C7K74SLC</t>
        </is>
      </c>
      <c r="D667" s="54" t="inlineStr">
        <is>
          <t>SATIN-STRIPE-KING-GRAY--6-PCS</t>
        </is>
      </c>
      <c r="E667" s="54" t="inlineStr">
        <is>
          <t>King</t>
        </is>
      </c>
      <c r="F667" s="54" t="inlineStr">
        <is>
          <t>Striped Grey</t>
        </is>
      </c>
      <c r="G667" s="55" t="n">
        <v>11</v>
      </c>
      <c r="H667" s="167" t="n">
        <v>354.75</v>
      </c>
      <c r="I667" s="167" t="n">
        <v>0</v>
      </c>
      <c r="J667" s="168">
        <f>IF(AND(N(G667)&gt;0,N(H667)+N(I667)&gt;0),(H667+I667)*U667/G667,"")</f>
        <v/>
      </c>
      <c r="K667" s="167" t="n">
        <v>33.95</v>
      </c>
      <c r="L667" s="167" t="n">
        <v>32.25</v>
      </c>
      <c r="M667" s="54" t="inlineStr">
        <is>
          <t>Eligible</t>
        </is>
      </c>
      <c r="N667" s="168">
        <f>IF(OR(J667="",L667=""),"",L667-J667)</f>
        <v/>
      </c>
      <c r="O667" s="169">
        <f>IF(OR(J667="",L667=""),"",L667/J667-1)</f>
        <v/>
      </c>
      <c r="P667" s="169">
        <f>IF(OR(J667="",K667=""),"",K667/J667-1)</f>
        <v/>
      </c>
      <c r="Q667" s="54">
        <f>IF(AND(ISNUMBER(J667),ISNUMBER(L667)),1,0)</f>
        <v/>
      </c>
      <c r="R667" s="69">
        <f>IF(Q667=1,G667*L667,0)</f>
        <v/>
      </c>
      <c r="S667" s="69">
        <f>IF(Q667=1,(H667+I667)*U667,0)</f>
        <v/>
      </c>
      <c r="T667" s="59">
        <f>IF(Q667=1,G667,0)</f>
        <v/>
      </c>
      <c r="U667" s="170" t="n">
        <v>1</v>
      </c>
    </row>
    <row r="668">
      <c r="A668" s="54" t="inlineStr">
        <is>
          <t>US DC S6</t>
        </is>
      </c>
      <c r="B668" s="54" t="inlineStr">
        <is>
          <t>US</t>
        </is>
      </c>
      <c r="C668" s="54" t="inlineStr">
        <is>
          <t>B0C7FMQP5L</t>
        </is>
      </c>
      <c r="D668" s="54" t="inlineStr">
        <is>
          <t>SATIN-IVORY-QUEEN-6PCS</t>
        </is>
      </c>
      <c r="E668" s="54" t="inlineStr">
        <is>
          <t>Queen</t>
        </is>
      </c>
      <c r="F668" s="54" t="inlineStr">
        <is>
          <t>Ivory</t>
        </is>
      </c>
      <c r="G668" s="55" t="n">
        <v>11</v>
      </c>
      <c r="H668" s="167" t="n">
        <v>333.85</v>
      </c>
      <c r="I668" s="167" t="n">
        <v>0</v>
      </c>
      <c r="J668" s="168">
        <f>IF(AND(N(G668)&gt;0,N(H668)+N(I668)&gt;0),(H668+I668)*U668/G668,"")</f>
        <v/>
      </c>
      <c r="K668" s="167" t="n">
        <v>31.95</v>
      </c>
      <c r="L668" s="167" t="n">
        <v>30.35</v>
      </c>
      <c r="M668" s="54" t="inlineStr">
        <is>
          <t>Eligible</t>
        </is>
      </c>
      <c r="N668" s="168">
        <f>IF(OR(J668="",L668=""),"",L668-J668)</f>
        <v/>
      </c>
      <c r="O668" s="169">
        <f>IF(OR(J668="",L668=""),"",L668/J668-1)</f>
        <v/>
      </c>
      <c r="P668" s="169">
        <f>IF(OR(J668="",K668=""),"",K668/J668-1)</f>
        <v/>
      </c>
      <c r="Q668" s="54">
        <f>IF(AND(ISNUMBER(J668),ISNUMBER(L668)),1,0)</f>
        <v/>
      </c>
      <c r="R668" s="69">
        <f>IF(Q668=1,G668*L668,0)</f>
        <v/>
      </c>
      <c r="S668" s="69">
        <f>IF(Q668=1,(H668+I668)*U668,0)</f>
        <v/>
      </c>
      <c r="T668" s="59">
        <f>IF(Q668=1,G668,0)</f>
        <v/>
      </c>
      <c r="U668" s="170" t="n">
        <v>1</v>
      </c>
    </row>
    <row r="669">
      <c r="A669" s="54" t="inlineStr">
        <is>
          <t>US DC S6</t>
        </is>
      </c>
      <c r="B669" s="54" t="inlineStr">
        <is>
          <t>US</t>
        </is>
      </c>
      <c r="C669" s="54" t="inlineStr">
        <is>
          <t>B0D9QQHLK8</t>
        </is>
      </c>
      <c r="D669" s="54" t="inlineStr">
        <is>
          <t>SATIN-6PC-QUEEN-NAVY BLUE</t>
        </is>
      </c>
      <c r="E669" s="54" t="inlineStr">
        <is>
          <t>Queen</t>
        </is>
      </c>
      <c r="F669" s="54" t="inlineStr">
        <is>
          <t>Navy Blue</t>
        </is>
      </c>
      <c r="G669" s="55" t="n">
        <v>11</v>
      </c>
      <c r="H669" s="167" t="n">
        <v>333.85</v>
      </c>
      <c r="I669" s="167" t="n">
        <v>0</v>
      </c>
      <c r="J669" s="168">
        <f>IF(AND(N(G669)&gt;0,N(H669)+N(I669)&gt;0),(H669+I669)*U669/G669,"")</f>
        <v/>
      </c>
      <c r="K669" s="167" t="n">
        <v>31.95</v>
      </c>
      <c r="L669" s="167" t="n">
        <v>25.8</v>
      </c>
      <c r="M669" s="54" t="inlineStr">
        <is>
          <t>Eligible</t>
        </is>
      </c>
      <c r="N669" s="168">
        <f>IF(OR(J669="",L669=""),"",L669-J669)</f>
        <v/>
      </c>
      <c r="O669" s="169">
        <f>IF(OR(J669="",L669=""),"",L669/J669-1)</f>
        <v/>
      </c>
      <c r="P669" s="169">
        <f>IF(OR(J669="",K669=""),"",K669/J669-1)</f>
        <v/>
      </c>
      <c r="Q669" s="54">
        <f>IF(AND(ISNUMBER(J669),ISNUMBER(L669)),1,0)</f>
        <v/>
      </c>
      <c r="R669" s="69">
        <f>IF(Q669=1,G669*L669,0)</f>
        <v/>
      </c>
      <c r="S669" s="69">
        <f>IF(Q669=1,(H669+I669)*U669,0)</f>
        <v/>
      </c>
      <c r="T669" s="59">
        <f>IF(Q669=1,G669,0)</f>
        <v/>
      </c>
      <c r="U669" s="170" t="n">
        <v>1</v>
      </c>
    </row>
    <row r="670">
      <c r="A670" s="54" t="inlineStr">
        <is>
          <t>US DC S6</t>
        </is>
      </c>
      <c r="B670" s="54" t="inlineStr">
        <is>
          <t>US</t>
        </is>
      </c>
      <c r="C670" s="54" t="inlineStr">
        <is>
          <t>B0C7FKPZNT</t>
        </is>
      </c>
      <c r="D670" s="54" t="inlineStr">
        <is>
          <t>SATIN-TWIN-PINK-6PCS</t>
        </is>
      </c>
      <c r="E670" s="54" t="inlineStr">
        <is>
          <t>Twin</t>
        </is>
      </c>
      <c r="F670" s="54" t="inlineStr">
        <is>
          <t>Pink</t>
        </is>
      </c>
      <c r="G670" s="55" t="n">
        <v>11</v>
      </c>
      <c r="H670" s="167" t="n">
        <v>261.36</v>
      </c>
      <c r="I670" s="167" t="n">
        <v>0</v>
      </c>
      <c r="J670" s="168">
        <f>IF(AND(N(G670)&gt;0,N(H670)+N(I670)&gt;0),(H670+I670)*U670/G670,"")</f>
        <v/>
      </c>
      <c r="K670" s="167" t="n">
        <v>27.95</v>
      </c>
      <c r="L670" s="167" t="n">
        <v>26.55</v>
      </c>
      <c r="M670" s="54" t="inlineStr">
        <is>
          <t>Eligible</t>
        </is>
      </c>
      <c r="N670" s="168">
        <f>IF(OR(J670="",L670=""),"",L670-J670)</f>
        <v/>
      </c>
      <c r="O670" s="169">
        <f>IF(OR(J670="",L670=""),"",L670/J670-1)</f>
        <v/>
      </c>
      <c r="P670" s="169">
        <f>IF(OR(J670="",K670=""),"",K670/J670-1)</f>
        <v/>
      </c>
      <c r="Q670" s="54">
        <f>IF(AND(ISNUMBER(J670),ISNUMBER(L670)),1,0)</f>
        <v/>
      </c>
      <c r="R670" s="69">
        <f>IF(Q670=1,G670*L670,0)</f>
        <v/>
      </c>
      <c r="S670" s="69">
        <f>IF(Q670=1,(H670+I670)*U670,0)</f>
        <v/>
      </c>
      <c r="T670" s="59">
        <f>IF(Q670=1,G670,0)</f>
        <v/>
      </c>
      <c r="U670" s="170" t="n">
        <v>1</v>
      </c>
    </row>
    <row r="671">
      <c r="A671" s="54" t="inlineStr">
        <is>
          <t>US DC S6</t>
        </is>
      </c>
      <c r="B671" s="54" t="inlineStr">
        <is>
          <t>US</t>
        </is>
      </c>
      <c r="C671" s="54" t="inlineStr">
        <is>
          <t>B0D9QWZJ4P</t>
        </is>
      </c>
      <c r="D671" s="54" t="inlineStr">
        <is>
          <t>SATIN-6PC-QUEEN-SAGE GREEN</t>
        </is>
      </c>
      <c r="E671" s="54" t="inlineStr">
        <is>
          <t>Queen</t>
        </is>
      </c>
      <c r="F671" s="54" t="inlineStr">
        <is>
          <t>Sage Green</t>
        </is>
      </c>
      <c r="G671" s="55" t="n">
        <v>10</v>
      </c>
      <c r="H671" s="167" t="n">
        <v>303.5</v>
      </c>
      <c r="I671" s="167" t="n">
        <v>0</v>
      </c>
      <c r="J671" s="168">
        <f>IF(AND(N(G671)&gt;0,N(H671)+N(I671)&gt;0),(H671+I671)*U671/G671,"")</f>
        <v/>
      </c>
      <c r="K671" s="167" t="n">
        <v>31.95</v>
      </c>
      <c r="L671" s="167" t="n">
        <v>30.35</v>
      </c>
      <c r="M671" s="54" t="inlineStr">
        <is>
          <t>Eligible</t>
        </is>
      </c>
      <c r="N671" s="168">
        <f>IF(OR(J671="",L671=""),"",L671-J671)</f>
        <v/>
      </c>
      <c r="O671" s="169">
        <f>IF(OR(J671="",L671=""),"",L671/J671-1)</f>
        <v/>
      </c>
      <c r="P671" s="169">
        <f>IF(OR(J671="",K671=""),"",K671/J671-1)</f>
        <v/>
      </c>
      <c r="Q671" s="54">
        <f>IF(AND(ISNUMBER(J671),ISNUMBER(L671)),1,0)</f>
        <v/>
      </c>
      <c r="R671" s="69">
        <f>IF(Q671=1,G671*L671,0)</f>
        <v/>
      </c>
      <c r="S671" s="69">
        <f>IF(Q671=1,(H671+I671)*U671,0)</f>
        <v/>
      </c>
      <c r="T671" s="59">
        <f>IF(Q671=1,G671,0)</f>
        <v/>
      </c>
      <c r="U671" s="170" t="n">
        <v>1</v>
      </c>
    </row>
    <row r="672">
      <c r="A672" s="54" t="inlineStr">
        <is>
          <t>US DC S6</t>
        </is>
      </c>
      <c r="B672" s="54" t="inlineStr">
        <is>
          <t>US</t>
        </is>
      </c>
      <c r="C672" s="54" t="inlineStr">
        <is>
          <t>B0C7FQTJYM</t>
        </is>
      </c>
      <c r="D672" s="54" t="inlineStr">
        <is>
          <t>SATIN-FULL-PINK-6PCS</t>
        </is>
      </c>
      <c r="E672" s="54" t="inlineStr">
        <is>
          <t>Full</t>
        </is>
      </c>
      <c r="F672" s="54" t="inlineStr">
        <is>
          <t>Pink</t>
        </is>
      </c>
      <c r="G672" s="55" t="n">
        <v>9</v>
      </c>
      <c r="H672" s="167" t="n">
        <v>256.05</v>
      </c>
      <c r="I672" s="167" t="n">
        <v>0</v>
      </c>
      <c r="J672" s="168">
        <f>IF(AND(N(G672)&gt;0,N(H672)+N(I672)&gt;0),(H672+I672)*U672/G672,"")</f>
        <v/>
      </c>
      <c r="K672" s="167" t="n">
        <v>29.95</v>
      </c>
      <c r="L672" s="167" t="n">
        <v>28.45</v>
      </c>
      <c r="M672" s="54" t="inlineStr">
        <is>
          <t>Eligible</t>
        </is>
      </c>
      <c r="N672" s="168">
        <f>IF(OR(J672="",L672=""),"",L672-J672)</f>
        <v/>
      </c>
      <c r="O672" s="169">
        <f>IF(OR(J672="",L672=""),"",L672/J672-1)</f>
        <v/>
      </c>
      <c r="P672" s="169">
        <f>IF(OR(J672="",K672=""),"",K672/J672-1)</f>
        <v/>
      </c>
      <c r="Q672" s="54">
        <f>IF(AND(ISNUMBER(J672),ISNUMBER(L672)),1,0)</f>
        <v/>
      </c>
      <c r="R672" s="69">
        <f>IF(Q672=1,G672*L672,0)</f>
        <v/>
      </c>
      <c r="S672" s="69">
        <f>IF(Q672=1,(H672+I672)*U672,0)</f>
        <v/>
      </c>
      <c r="T672" s="59">
        <f>IF(Q672=1,G672,0)</f>
        <v/>
      </c>
      <c r="U672" s="170" t="n">
        <v>1</v>
      </c>
    </row>
    <row r="673">
      <c r="A673" s="54" t="inlineStr">
        <is>
          <t>US DC S6</t>
        </is>
      </c>
      <c r="B673" s="54" t="inlineStr">
        <is>
          <t>US</t>
        </is>
      </c>
      <c r="C673" s="54" t="inlineStr">
        <is>
          <t>B0C7FFMKP8</t>
        </is>
      </c>
      <c r="D673" s="54" t="inlineStr">
        <is>
          <t>SATIN-IVORY-KING-6PCS</t>
        </is>
      </c>
      <c r="E673" s="54" t="inlineStr">
        <is>
          <t>King</t>
        </is>
      </c>
      <c r="F673" s="54" t="inlineStr">
        <is>
          <t>Ivory</t>
        </is>
      </c>
      <c r="G673" s="55" t="n">
        <v>9</v>
      </c>
      <c r="H673" s="167" t="n">
        <v>290.25</v>
      </c>
      <c r="I673" s="167" t="n">
        <v>0</v>
      </c>
      <c r="J673" s="168">
        <f>IF(AND(N(G673)&gt;0,N(H673)+N(I673)&gt;0),(H673+I673)*U673/G673,"")</f>
        <v/>
      </c>
      <c r="K673" s="167" t="n">
        <v>33.95</v>
      </c>
      <c r="L673" s="167" t="n">
        <v>32.25</v>
      </c>
      <c r="M673" s="54" t="inlineStr">
        <is>
          <t>Eligible</t>
        </is>
      </c>
      <c r="N673" s="168">
        <f>IF(OR(J673="",L673=""),"",L673-J673)</f>
        <v/>
      </c>
      <c r="O673" s="169">
        <f>IF(OR(J673="",L673=""),"",L673/J673-1)</f>
        <v/>
      </c>
      <c r="P673" s="169">
        <f>IF(OR(J673="",K673=""),"",K673/J673-1)</f>
        <v/>
      </c>
      <c r="Q673" s="54">
        <f>IF(AND(ISNUMBER(J673),ISNUMBER(L673)),1,0)</f>
        <v/>
      </c>
      <c r="R673" s="69">
        <f>IF(Q673=1,G673*L673,0)</f>
        <v/>
      </c>
      <c r="S673" s="69">
        <f>IF(Q673=1,(H673+I673)*U673,0)</f>
        <v/>
      </c>
      <c r="T673" s="59">
        <f>IF(Q673=1,G673,0)</f>
        <v/>
      </c>
      <c r="U673" s="170" t="n">
        <v>1</v>
      </c>
    </row>
    <row r="674">
      <c r="A674" s="54" t="inlineStr">
        <is>
          <t>US DC S6</t>
        </is>
      </c>
      <c r="B674" s="54" t="inlineStr">
        <is>
          <t>US</t>
        </is>
      </c>
      <c r="C674" s="54" t="inlineStr">
        <is>
          <t>B0C7KGGWS8</t>
        </is>
      </c>
      <c r="D674" s="54" t="inlineStr">
        <is>
          <t>SATIN-STRIPE-KING-PURPLE--6-PCS</t>
        </is>
      </c>
      <c r="E674" s="54" t="inlineStr">
        <is>
          <t>King</t>
        </is>
      </c>
      <c r="F674" s="54" t="inlineStr">
        <is>
          <t>Striped Purple</t>
        </is>
      </c>
      <c r="G674" s="55" t="n">
        <v>9</v>
      </c>
      <c r="H674" s="167" t="n">
        <v>290.25</v>
      </c>
      <c r="I674" s="167" t="n">
        <v>0</v>
      </c>
      <c r="J674" s="168">
        <f>IF(AND(N(G674)&gt;0,N(H674)+N(I674)&gt;0),(H674+I674)*U674/G674,"")</f>
        <v/>
      </c>
      <c r="K674" s="167" t="n">
        <v>33.95</v>
      </c>
      <c r="L674" s="167" t="n"/>
      <c r="M674" s="54" t="inlineStr">
        <is>
          <t>Out of stock</t>
        </is>
      </c>
      <c r="N674" s="168">
        <f>IF(OR(J674="",L674=""),"",L674-J674)</f>
        <v/>
      </c>
      <c r="O674" s="169">
        <f>IF(OR(J674="",L674=""),"",L674/J674-1)</f>
        <v/>
      </c>
      <c r="P674" s="169">
        <f>IF(OR(J674="",K674=""),"",K674/J674-1)</f>
        <v/>
      </c>
      <c r="Q674" s="54">
        <f>IF(AND(ISNUMBER(J674),ISNUMBER(L674)),1,0)</f>
        <v/>
      </c>
      <c r="R674" s="69">
        <f>IF(Q674=1,G674*L674,0)</f>
        <v/>
      </c>
      <c r="S674" s="69">
        <f>IF(Q674=1,(H674+I674)*U674,0)</f>
        <v/>
      </c>
      <c r="T674" s="59">
        <f>IF(Q674=1,G674,0)</f>
        <v/>
      </c>
      <c r="U674" s="170" t="n">
        <v>1</v>
      </c>
    </row>
    <row r="675">
      <c r="A675" s="54" t="inlineStr">
        <is>
          <t>US DC S6</t>
        </is>
      </c>
      <c r="B675" s="54" t="inlineStr">
        <is>
          <t>US</t>
        </is>
      </c>
      <c r="C675" s="54" t="inlineStr">
        <is>
          <t>B0D9QR66X1</t>
        </is>
      </c>
      <c r="D675" s="54" t="inlineStr">
        <is>
          <t>SATIN-6PC-QUEEN-BLUSH PINK</t>
        </is>
      </c>
      <c r="E675" s="54" t="inlineStr">
        <is>
          <t>Queen</t>
        </is>
      </c>
      <c r="F675" s="54" t="inlineStr">
        <is>
          <t>Blush Pink</t>
        </is>
      </c>
      <c r="G675" s="55" t="n">
        <v>9</v>
      </c>
      <c r="H675" s="167" t="n">
        <v>273.15</v>
      </c>
      <c r="I675" s="167" t="n">
        <v>0</v>
      </c>
      <c r="J675" s="168">
        <f>IF(AND(N(G675)&gt;0,N(H675)+N(I675)&gt;0),(H675+I675)*U675/G675,"")</f>
        <v/>
      </c>
      <c r="K675" s="167" t="n">
        <v>31.95</v>
      </c>
      <c r="L675" s="167" t="n">
        <v>30.35</v>
      </c>
      <c r="M675" s="54" t="inlineStr">
        <is>
          <t>Eligible</t>
        </is>
      </c>
      <c r="N675" s="168">
        <f>IF(OR(J675="",L675=""),"",L675-J675)</f>
        <v/>
      </c>
      <c r="O675" s="169">
        <f>IF(OR(J675="",L675=""),"",L675/J675-1)</f>
        <v/>
      </c>
      <c r="P675" s="169">
        <f>IF(OR(J675="",K675=""),"",K675/J675-1)</f>
        <v/>
      </c>
      <c r="Q675" s="54">
        <f>IF(AND(ISNUMBER(J675),ISNUMBER(L675)),1,0)</f>
        <v/>
      </c>
      <c r="R675" s="69">
        <f>IF(Q675=1,G675*L675,0)</f>
        <v/>
      </c>
      <c r="S675" s="69">
        <f>IF(Q675=1,(H675+I675)*U675,0)</f>
        <v/>
      </c>
      <c r="T675" s="59">
        <f>IF(Q675=1,G675,0)</f>
        <v/>
      </c>
      <c r="U675" s="170" t="n">
        <v>1</v>
      </c>
    </row>
    <row r="676">
      <c r="A676" s="54" t="inlineStr">
        <is>
          <t>US DC S6</t>
        </is>
      </c>
      <c r="B676" s="54" t="inlineStr">
        <is>
          <t>US</t>
        </is>
      </c>
      <c r="C676" s="54" t="inlineStr">
        <is>
          <t>B0C7K438ML</t>
        </is>
      </c>
      <c r="D676" s="54" t="inlineStr">
        <is>
          <t>SATIN-STRIPE-QUEEN-GRAY--6-PCS</t>
        </is>
      </c>
      <c r="E676" s="54" t="inlineStr">
        <is>
          <t>Queen</t>
        </is>
      </c>
      <c r="F676" s="54" t="inlineStr">
        <is>
          <t>Striped Grey</t>
        </is>
      </c>
      <c r="G676" s="55" t="n">
        <v>9</v>
      </c>
      <c r="H676" s="167" t="n">
        <v>273.15</v>
      </c>
      <c r="I676" s="167" t="n">
        <v>0</v>
      </c>
      <c r="J676" s="168">
        <f>IF(AND(N(G676)&gt;0,N(H676)+N(I676)&gt;0),(H676+I676)*U676/G676,"")</f>
        <v/>
      </c>
      <c r="K676" s="167" t="n">
        <v>31.95</v>
      </c>
      <c r="L676" s="167" t="n">
        <v>30.35</v>
      </c>
      <c r="M676" s="54" t="inlineStr">
        <is>
          <t>Eligible</t>
        </is>
      </c>
      <c r="N676" s="168">
        <f>IF(OR(J676="",L676=""),"",L676-J676)</f>
        <v/>
      </c>
      <c r="O676" s="169">
        <f>IF(OR(J676="",L676=""),"",L676/J676-1)</f>
        <v/>
      </c>
      <c r="P676" s="169">
        <f>IF(OR(J676="",K676=""),"",K676/J676-1)</f>
        <v/>
      </c>
      <c r="Q676" s="54">
        <f>IF(AND(ISNUMBER(J676),ISNUMBER(L676)),1,0)</f>
        <v/>
      </c>
      <c r="R676" s="69">
        <f>IF(Q676=1,G676*L676,0)</f>
        <v/>
      </c>
      <c r="S676" s="69">
        <f>IF(Q676=1,(H676+I676)*U676,0)</f>
        <v/>
      </c>
      <c r="T676" s="59">
        <f>IF(Q676=1,G676,0)</f>
        <v/>
      </c>
      <c r="U676" s="170" t="n">
        <v>1</v>
      </c>
    </row>
    <row r="677">
      <c r="A677" s="54" t="inlineStr">
        <is>
          <t>US DC S6</t>
        </is>
      </c>
      <c r="B677" s="54" t="inlineStr">
        <is>
          <t>US</t>
        </is>
      </c>
      <c r="C677" s="54" t="inlineStr">
        <is>
          <t>B0C7FK2H2W</t>
        </is>
      </c>
      <c r="D677" s="54" t="inlineStr">
        <is>
          <t>SATIN-RED-TWIN-6PCS</t>
        </is>
      </c>
      <c r="E677" s="54" t="inlineStr">
        <is>
          <t>Twin</t>
        </is>
      </c>
      <c r="F677" s="54" t="inlineStr">
        <is>
          <t>Red</t>
        </is>
      </c>
      <c r="G677" s="55" t="n">
        <v>9</v>
      </c>
      <c r="H677" s="167" t="n">
        <v>213.84</v>
      </c>
      <c r="I677" s="167" t="n">
        <v>0</v>
      </c>
      <c r="J677" s="168">
        <f>IF(AND(N(G677)&gt;0,N(H677)+N(I677)&gt;0),(H677+I677)*U677/G677,"")</f>
        <v/>
      </c>
      <c r="K677" s="167" t="n">
        <v>27.95</v>
      </c>
      <c r="L677" s="167" t="n">
        <v>26.55</v>
      </c>
      <c r="M677" s="54" t="inlineStr">
        <is>
          <t>Eligible</t>
        </is>
      </c>
      <c r="N677" s="168">
        <f>IF(OR(J677="",L677=""),"",L677-J677)</f>
        <v/>
      </c>
      <c r="O677" s="169">
        <f>IF(OR(J677="",L677=""),"",L677/J677-1)</f>
        <v/>
      </c>
      <c r="P677" s="169">
        <f>IF(OR(J677="",K677=""),"",K677/J677-1)</f>
        <v/>
      </c>
      <c r="Q677" s="54">
        <f>IF(AND(ISNUMBER(J677),ISNUMBER(L677)),1,0)</f>
        <v/>
      </c>
      <c r="R677" s="69">
        <f>IF(Q677=1,G677*L677,0)</f>
        <v/>
      </c>
      <c r="S677" s="69">
        <f>IF(Q677=1,(H677+I677)*U677,0)</f>
        <v/>
      </c>
      <c r="T677" s="59">
        <f>IF(Q677=1,G677,0)</f>
        <v/>
      </c>
      <c r="U677" s="170" t="n">
        <v>1</v>
      </c>
    </row>
    <row r="678">
      <c r="A678" s="54" t="inlineStr">
        <is>
          <t>US DC S6</t>
        </is>
      </c>
      <c r="B678" s="54" t="inlineStr">
        <is>
          <t>US</t>
        </is>
      </c>
      <c r="C678" s="54" t="inlineStr">
        <is>
          <t>B0C7FWSYPL</t>
        </is>
      </c>
      <c r="D678" s="54" t="inlineStr">
        <is>
          <t>SATIN-RED-FULL-6-PCS</t>
        </is>
      </c>
      <c r="E678" s="54" t="inlineStr">
        <is>
          <t>Full</t>
        </is>
      </c>
      <c r="F678" s="54" t="inlineStr">
        <is>
          <t>Red</t>
        </is>
      </c>
      <c r="G678" s="55" t="n">
        <v>8</v>
      </c>
      <c r="H678" s="167" t="n">
        <v>227.6</v>
      </c>
      <c r="I678" s="167" t="n">
        <v>0</v>
      </c>
      <c r="J678" s="168">
        <f>IF(AND(N(G678)&gt;0,N(H678)+N(I678)&gt;0),(H678+I678)*U678/G678,"")</f>
        <v/>
      </c>
      <c r="K678" s="167" t="n">
        <v>29.95</v>
      </c>
      <c r="L678" s="167" t="n">
        <v>28.45</v>
      </c>
      <c r="M678" s="54" t="inlineStr">
        <is>
          <t>Eligible</t>
        </is>
      </c>
      <c r="N678" s="168">
        <f>IF(OR(J678="",L678=""),"",L678-J678)</f>
        <v/>
      </c>
      <c r="O678" s="169">
        <f>IF(OR(J678="",L678=""),"",L678/J678-1)</f>
        <v/>
      </c>
      <c r="P678" s="169">
        <f>IF(OR(J678="",K678=""),"",K678/J678-1)</f>
        <v/>
      </c>
      <c r="Q678" s="54">
        <f>IF(AND(ISNUMBER(J678),ISNUMBER(L678)),1,0)</f>
        <v/>
      </c>
      <c r="R678" s="69">
        <f>IF(Q678=1,G678*L678,0)</f>
        <v/>
      </c>
      <c r="S678" s="69">
        <f>IF(Q678=1,(H678+I678)*U678,0)</f>
        <v/>
      </c>
      <c r="T678" s="59">
        <f>IF(Q678=1,G678,0)</f>
        <v/>
      </c>
      <c r="U678" s="170" t="n">
        <v>1</v>
      </c>
    </row>
    <row r="679">
      <c r="A679" s="54" t="inlineStr">
        <is>
          <t>US DC S6</t>
        </is>
      </c>
      <c r="B679" s="54" t="inlineStr">
        <is>
          <t>US</t>
        </is>
      </c>
      <c r="C679" s="54" t="inlineStr">
        <is>
          <t>B0C7KB5TWS</t>
        </is>
      </c>
      <c r="D679" s="54" t="inlineStr">
        <is>
          <t>SATIN-STRIPE-KING-BLACK--6-PCS</t>
        </is>
      </c>
      <c r="E679" s="54" t="inlineStr">
        <is>
          <t>King</t>
        </is>
      </c>
      <c r="F679" s="54" t="inlineStr">
        <is>
          <t>Striped Black</t>
        </is>
      </c>
      <c r="G679" s="55" t="n">
        <v>8</v>
      </c>
      <c r="H679" s="167" t="n">
        <v>258</v>
      </c>
      <c r="I679" s="167" t="n">
        <v>0</v>
      </c>
      <c r="J679" s="168">
        <f>IF(AND(N(G679)&gt;0,N(H679)+N(I679)&gt;0),(H679+I679)*U679/G679,"")</f>
        <v/>
      </c>
      <c r="K679" s="167" t="n">
        <v>33.95</v>
      </c>
      <c r="L679" s="167" t="n">
        <v>32.25</v>
      </c>
      <c r="M679" s="54" t="inlineStr">
        <is>
          <t>Eligible</t>
        </is>
      </c>
      <c r="N679" s="168">
        <f>IF(OR(J679="",L679=""),"",L679-J679)</f>
        <v/>
      </c>
      <c r="O679" s="169">
        <f>IF(OR(J679="",L679=""),"",L679/J679-1)</f>
        <v/>
      </c>
      <c r="P679" s="169">
        <f>IF(OR(J679="",K679=""),"",K679/J679-1)</f>
        <v/>
      </c>
      <c r="Q679" s="54">
        <f>IF(AND(ISNUMBER(J679),ISNUMBER(L679)),1,0)</f>
        <v/>
      </c>
      <c r="R679" s="69">
        <f>IF(Q679=1,G679*L679,0)</f>
        <v/>
      </c>
      <c r="S679" s="69">
        <f>IF(Q679=1,(H679+I679)*U679,0)</f>
        <v/>
      </c>
      <c r="T679" s="59">
        <f>IF(Q679=1,G679,0)</f>
        <v/>
      </c>
      <c r="U679" s="170" t="n">
        <v>1</v>
      </c>
    </row>
    <row r="680">
      <c r="A680" s="54" t="inlineStr">
        <is>
          <t>US DC S6</t>
        </is>
      </c>
      <c r="B680" s="54" t="inlineStr">
        <is>
          <t>US</t>
        </is>
      </c>
      <c r="C680" s="54" t="inlineStr">
        <is>
          <t>B0D9QTV7S6</t>
        </is>
      </c>
      <c r="D680" s="54" t="inlineStr">
        <is>
          <t>SATIN-6PC-QUEEN-BURNT ORANGE</t>
        </is>
      </c>
      <c r="E680" s="54" t="inlineStr">
        <is>
          <t>Queen</t>
        </is>
      </c>
      <c r="F680" s="54" t="inlineStr">
        <is>
          <t>Burnt Orange</t>
        </is>
      </c>
      <c r="G680" s="55" t="n">
        <v>8</v>
      </c>
      <c r="H680" s="167" t="n">
        <v>223.65</v>
      </c>
      <c r="I680" s="167" t="n">
        <v>0</v>
      </c>
      <c r="J680" s="168">
        <f>IF(AND(N(G680)&gt;0,N(H680)+N(I680)&gt;0),(H680+I680)*U680/G680,"")</f>
        <v/>
      </c>
      <c r="K680" s="167" t="n">
        <v>31.95</v>
      </c>
      <c r="L680" s="167" t="n">
        <v>30.35</v>
      </c>
      <c r="M680" s="54" t="inlineStr">
        <is>
          <t>Eligible</t>
        </is>
      </c>
      <c r="N680" s="168">
        <f>IF(OR(J680="",L680=""),"",L680-J680)</f>
        <v/>
      </c>
      <c r="O680" s="169">
        <f>IF(OR(J680="",L680=""),"",L680/J680-1)</f>
        <v/>
      </c>
      <c r="P680" s="169">
        <f>IF(OR(J680="",K680=""),"",K680/J680-1)</f>
        <v/>
      </c>
      <c r="Q680" s="54">
        <f>IF(AND(ISNUMBER(J680),ISNUMBER(L680)),1,0)</f>
        <v/>
      </c>
      <c r="R680" s="69">
        <f>IF(Q680=1,G680*L680,0)</f>
        <v/>
      </c>
      <c r="S680" s="69">
        <f>IF(Q680=1,(H680+I680)*U680,0)</f>
        <v/>
      </c>
      <c r="T680" s="59">
        <f>IF(Q680=1,G680,0)</f>
        <v/>
      </c>
      <c r="U680" s="170" t="n">
        <v>1</v>
      </c>
    </row>
    <row r="681">
      <c r="A681" s="54" t="inlineStr">
        <is>
          <t>US DC S6</t>
        </is>
      </c>
      <c r="B681" s="54" t="inlineStr">
        <is>
          <t>US</t>
        </is>
      </c>
      <c r="C681" s="54" t="inlineStr">
        <is>
          <t>B0C7K5GC4L</t>
        </is>
      </c>
      <c r="D681" s="54" t="inlineStr">
        <is>
          <t>SATIN-STRIPE-QUEEN-BLACK--6-PCS</t>
        </is>
      </c>
      <c r="E681" s="54" t="inlineStr">
        <is>
          <t>Queen</t>
        </is>
      </c>
      <c r="F681" s="54" t="inlineStr">
        <is>
          <t>Striped Black</t>
        </is>
      </c>
      <c r="G681" s="55" t="n">
        <v>8</v>
      </c>
      <c r="H681" s="167" t="n">
        <v>242.8</v>
      </c>
      <c r="I681" s="167" t="n">
        <v>0</v>
      </c>
      <c r="J681" s="168">
        <f>IF(AND(N(G681)&gt;0,N(H681)+N(I681)&gt;0),(H681+I681)*U681/G681,"")</f>
        <v/>
      </c>
      <c r="K681" s="167" t="n">
        <v>31.95</v>
      </c>
      <c r="L681" s="167" t="n">
        <v>30.35</v>
      </c>
      <c r="M681" s="54" t="inlineStr">
        <is>
          <t>Eligible</t>
        </is>
      </c>
      <c r="N681" s="168">
        <f>IF(OR(J681="",L681=""),"",L681-J681)</f>
        <v/>
      </c>
      <c r="O681" s="169">
        <f>IF(OR(J681="",L681=""),"",L681/J681-1)</f>
        <v/>
      </c>
      <c r="P681" s="169">
        <f>IF(OR(J681="",K681=""),"",K681/J681-1)</f>
        <v/>
      </c>
      <c r="Q681" s="54">
        <f>IF(AND(ISNUMBER(J681),ISNUMBER(L681)),1,0)</f>
        <v/>
      </c>
      <c r="R681" s="69">
        <f>IF(Q681=1,G681*L681,0)</f>
        <v/>
      </c>
      <c r="S681" s="69">
        <f>IF(Q681=1,(H681+I681)*U681,0)</f>
        <v/>
      </c>
      <c r="T681" s="59">
        <f>IF(Q681=1,G681,0)</f>
        <v/>
      </c>
      <c r="U681" s="170" t="n">
        <v>1</v>
      </c>
    </row>
    <row r="682">
      <c r="A682" s="54" t="inlineStr">
        <is>
          <t>US DC S6</t>
        </is>
      </c>
      <c r="B682" s="54" t="inlineStr">
        <is>
          <t>US</t>
        </is>
      </c>
      <c r="C682" s="54" t="inlineStr">
        <is>
          <t>B0C7F9HG21</t>
        </is>
      </c>
      <c r="D682" s="54" t="inlineStr">
        <is>
          <t>SATIN-STONEGREY-TWIN-6PCS</t>
        </is>
      </c>
      <c r="E682" s="54" t="inlineStr">
        <is>
          <t>Twin</t>
        </is>
      </c>
      <c r="F682" s="54" t="inlineStr">
        <is>
          <t>Stone Grey</t>
        </is>
      </c>
      <c r="G682" s="55" t="n">
        <v>8</v>
      </c>
      <c r="H682" s="167" t="n">
        <v>190.08</v>
      </c>
      <c r="I682" s="167" t="n">
        <v>0</v>
      </c>
      <c r="J682" s="168">
        <f>IF(AND(N(G682)&gt;0,N(H682)+N(I682)&gt;0),(H682+I682)*U682/G682,"")</f>
        <v/>
      </c>
      <c r="K682" s="167" t="n">
        <v>27.95</v>
      </c>
      <c r="L682" s="167" t="n">
        <v>26.55</v>
      </c>
      <c r="M682" s="54" t="inlineStr">
        <is>
          <t>Eligible</t>
        </is>
      </c>
      <c r="N682" s="168">
        <f>IF(OR(J682="",L682=""),"",L682-J682)</f>
        <v/>
      </c>
      <c r="O682" s="169">
        <f>IF(OR(J682="",L682=""),"",L682/J682-1)</f>
        <v/>
      </c>
      <c r="P682" s="169">
        <f>IF(OR(J682="",K682=""),"",K682/J682-1)</f>
        <v/>
      </c>
      <c r="Q682" s="54">
        <f>IF(AND(ISNUMBER(J682),ISNUMBER(L682)),1,0)</f>
        <v/>
      </c>
      <c r="R682" s="69">
        <f>IF(Q682=1,G682*L682,0)</f>
        <v/>
      </c>
      <c r="S682" s="69">
        <f>IF(Q682=1,(H682+I682)*U682,0)</f>
        <v/>
      </c>
      <c r="T682" s="59">
        <f>IF(Q682=1,G682,0)</f>
        <v/>
      </c>
      <c r="U682" s="170" t="n">
        <v>1</v>
      </c>
    </row>
    <row r="683">
      <c r="A683" s="54" t="inlineStr">
        <is>
          <t>US DC S6</t>
        </is>
      </c>
      <c r="B683" s="54" t="inlineStr">
        <is>
          <t>US</t>
        </is>
      </c>
      <c r="C683" s="54" t="inlineStr">
        <is>
          <t>B0D9QT3LWG</t>
        </is>
      </c>
      <c r="D683" s="54" t="inlineStr">
        <is>
          <t>SATIN-6PC-FULL-BLUSH PINK</t>
        </is>
      </c>
      <c r="E683" s="54" t="inlineStr">
        <is>
          <t>Full</t>
        </is>
      </c>
      <c r="F683" s="54" t="inlineStr">
        <is>
          <t>Blush Pink</t>
        </is>
      </c>
      <c r="G683" s="55" t="n">
        <v>7</v>
      </c>
      <c r="H683" s="167" t="n">
        <v>209.65</v>
      </c>
      <c r="I683" s="167" t="n">
        <v>0</v>
      </c>
      <c r="J683" s="168">
        <f>IF(AND(N(G683)&gt;0,N(H683)+N(I683)&gt;0),(H683+I683)*U683/G683,"")</f>
        <v/>
      </c>
      <c r="K683" s="167" t="n">
        <v>29.95</v>
      </c>
      <c r="L683" s="167" t="n">
        <v>28.45</v>
      </c>
      <c r="M683" s="54" t="inlineStr">
        <is>
          <t>Eligible</t>
        </is>
      </c>
      <c r="N683" s="168">
        <f>IF(OR(J683="",L683=""),"",L683-J683)</f>
        <v/>
      </c>
      <c r="O683" s="169">
        <f>IF(OR(J683="",L683=""),"",L683/J683-1)</f>
        <v/>
      </c>
      <c r="P683" s="169">
        <f>IF(OR(J683="",K683=""),"",K683/J683-1)</f>
        <v/>
      </c>
      <c r="Q683" s="54">
        <f>IF(AND(ISNUMBER(J683),ISNUMBER(L683)),1,0)</f>
        <v/>
      </c>
      <c r="R683" s="69">
        <f>IF(Q683=1,G683*L683,0)</f>
        <v/>
      </c>
      <c r="S683" s="69">
        <f>IF(Q683=1,(H683+I683)*U683,0)</f>
        <v/>
      </c>
      <c r="T683" s="59">
        <f>IF(Q683=1,G683,0)</f>
        <v/>
      </c>
      <c r="U683" s="170" t="n">
        <v>1</v>
      </c>
    </row>
    <row r="684">
      <c r="A684" s="54" t="inlineStr">
        <is>
          <t>US DC S6</t>
        </is>
      </c>
      <c r="B684" s="54" t="inlineStr">
        <is>
          <t>US</t>
        </is>
      </c>
      <c r="C684" s="54" t="inlineStr">
        <is>
          <t>B0C7FM7GXS</t>
        </is>
      </c>
      <c r="D684" s="54" t="inlineStr">
        <is>
          <t>SATIN-ROSEWOOD-FULL-6PCS</t>
        </is>
      </c>
      <c r="E684" s="54" t="inlineStr">
        <is>
          <t>Full</t>
        </is>
      </c>
      <c r="F684" s="54" t="inlineStr">
        <is>
          <t>Rosewood</t>
        </is>
      </c>
      <c r="G684" s="55" t="n">
        <v>7</v>
      </c>
      <c r="H684" s="167" t="n">
        <v>199.15</v>
      </c>
      <c r="I684" s="167" t="n">
        <v>0</v>
      </c>
      <c r="J684" s="168">
        <f>IF(AND(N(G684)&gt;0,N(H684)+N(I684)&gt;0),(H684+I684)*U684/G684,"")</f>
        <v/>
      </c>
      <c r="K684" s="167" t="n">
        <v>29.95</v>
      </c>
      <c r="L684" s="167" t="n">
        <v>28.45</v>
      </c>
      <c r="M684" s="54" t="inlineStr">
        <is>
          <t>Eligible</t>
        </is>
      </c>
      <c r="N684" s="168">
        <f>IF(OR(J684="",L684=""),"",L684-J684)</f>
        <v/>
      </c>
      <c r="O684" s="169">
        <f>IF(OR(J684="",L684=""),"",L684/J684-1)</f>
        <v/>
      </c>
      <c r="P684" s="169">
        <f>IF(OR(J684="",K684=""),"",K684/J684-1)</f>
        <v/>
      </c>
      <c r="Q684" s="54">
        <f>IF(AND(ISNUMBER(J684),ISNUMBER(L684)),1,0)</f>
        <v/>
      </c>
      <c r="R684" s="69">
        <f>IF(Q684=1,G684*L684,0)</f>
        <v/>
      </c>
      <c r="S684" s="69">
        <f>IF(Q684=1,(H684+I684)*U684,0)</f>
        <v/>
      </c>
      <c r="T684" s="59">
        <f>IF(Q684=1,G684,0)</f>
        <v/>
      </c>
      <c r="U684" s="170" t="n">
        <v>1</v>
      </c>
    </row>
    <row r="685">
      <c r="A685" s="54" t="inlineStr">
        <is>
          <t>US DC S6</t>
        </is>
      </c>
      <c r="B685" s="54" t="inlineStr">
        <is>
          <t>US</t>
        </is>
      </c>
      <c r="C685" s="54" t="inlineStr">
        <is>
          <t>B0D9QSZR2C</t>
        </is>
      </c>
      <c r="D685" s="54" t="inlineStr">
        <is>
          <t>SATIN-6PC-KING-BABY BLUE</t>
        </is>
      </c>
      <c r="E685" s="54" t="inlineStr">
        <is>
          <t>King</t>
        </is>
      </c>
      <c r="F685" s="54" t="inlineStr">
        <is>
          <t>Baby Blue</t>
        </is>
      </c>
      <c r="G685" s="55" t="n">
        <v>7</v>
      </c>
      <c r="H685" s="167" t="n">
        <v>225.75</v>
      </c>
      <c r="I685" s="167" t="n">
        <v>0</v>
      </c>
      <c r="J685" s="168">
        <f>IF(AND(N(G685)&gt;0,N(H685)+N(I685)&gt;0),(H685+I685)*U685/G685,"")</f>
        <v/>
      </c>
      <c r="K685" s="167" t="n">
        <v>33.95</v>
      </c>
      <c r="L685" s="167" t="n">
        <v>32.25</v>
      </c>
      <c r="M685" s="54" t="inlineStr">
        <is>
          <t>Eligible</t>
        </is>
      </c>
      <c r="N685" s="168">
        <f>IF(OR(J685="",L685=""),"",L685-J685)</f>
        <v/>
      </c>
      <c r="O685" s="169">
        <f>IF(OR(J685="",L685=""),"",L685/J685-1)</f>
        <v/>
      </c>
      <c r="P685" s="169">
        <f>IF(OR(J685="",K685=""),"",K685/J685-1)</f>
        <v/>
      </c>
      <c r="Q685" s="54">
        <f>IF(AND(ISNUMBER(J685),ISNUMBER(L685)),1,0)</f>
        <v/>
      </c>
      <c r="R685" s="69">
        <f>IF(Q685=1,G685*L685,0)</f>
        <v/>
      </c>
      <c r="S685" s="69">
        <f>IF(Q685=1,(H685+I685)*U685,0)</f>
        <v/>
      </c>
      <c r="T685" s="59">
        <f>IF(Q685=1,G685,0)</f>
        <v/>
      </c>
      <c r="U685" s="170" t="n">
        <v>1</v>
      </c>
    </row>
    <row r="686">
      <c r="A686" s="54" t="inlineStr">
        <is>
          <t>US DC S6</t>
        </is>
      </c>
      <c r="B686" s="54" t="inlineStr">
        <is>
          <t>US</t>
        </is>
      </c>
      <c r="C686" s="54" t="inlineStr">
        <is>
          <t>B0D9QTXKQD</t>
        </is>
      </c>
      <c r="D686" s="54" t="inlineStr">
        <is>
          <t>SATIN-6PC-KING-BURNT ORANGE</t>
        </is>
      </c>
      <c r="E686" s="54" t="inlineStr">
        <is>
          <t>King</t>
        </is>
      </c>
      <c r="F686" s="54" t="inlineStr">
        <is>
          <t>Burnt Orange</t>
        </is>
      </c>
      <c r="G686" s="55" t="n">
        <v>7</v>
      </c>
      <c r="H686" s="167" t="n">
        <v>225.75</v>
      </c>
      <c r="I686" s="167" t="n">
        <v>0</v>
      </c>
      <c r="J686" s="168">
        <f>IF(AND(N(G686)&gt;0,N(H686)+N(I686)&gt;0),(H686+I686)*U686/G686,"")</f>
        <v/>
      </c>
      <c r="K686" s="167" t="n">
        <v>33.95</v>
      </c>
      <c r="L686" s="167" t="n">
        <v>32.25</v>
      </c>
      <c r="M686" s="54" t="inlineStr">
        <is>
          <t>Eligible</t>
        </is>
      </c>
      <c r="N686" s="168">
        <f>IF(OR(J686="",L686=""),"",L686-J686)</f>
        <v/>
      </c>
      <c r="O686" s="169">
        <f>IF(OR(J686="",L686=""),"",L686/J686-1)</f>
        <v/>
      </c>
      <c r="P686" s="169">
        <f>IF(OR(J686="",K686=""),"",K686/J686-1)</f>
        <v/>
      </c>
      <c r="Q686" s="54">
        <f>IF(AND(ISNUMBER(J686),ISNUMBER(L686)),1,0)</f>
        <v/>
      </c>
      <c r="R686" s="69">
        <f>IF(Q686=1,G686*L686,0)</f>
        <v/>
      </c>
      <c r="S686" s="69">
        <f>IF(Q686=1,(H686+I686)*U686,0)</f>
        <v/>
      </c>
      <c r="T686" s="59">
        <f>IF(Q686=1,G686,0)</f>
        <v/>
      </c>
      <c r="U686" s="170" t="n">
        <v>1</v>
      </c>
    </row>
    <row r="687">
      <c r="A687" s="54" t="inlineStr">
        <is>
          <t>US DC S6</t>
        </is>
      </c>
      <c r="B687" s="54" t="inlineStr">
        <is>
          <t>US</t>
        </is>
      </c>
      <c r="C687" s="54" t="inlineStr">
        <is>
          <t>B0D9QRRTN7</t>
        </is>
      </c>
      <c r="D687" s="54" t="inlineStr">
        <is>
          <t>SATIN-6PC-KING-LAVENDER</t>
        </is>
      </c>
      <c r="E687" s="54" t="inlineStr">
        <is>
          <t>King</t>
        </is>
      </c>
      <c r="F687" s="54" t="inlineStr">
        <is>
          <t>Lavender</t>
        </is>
      </c>
      <c r="G687" s="55" t="n">
        <v>7</v>
      </c>
      <c r="H687" s="167" t="n">
        <v>225.75</v>
      </c>
      <c r="I687" s="167" t="n">
        <v>0</v>
      </c>
      <c r="J687" s="168">
        <f>IF(AND(N(G687)&gt;0,N(H687)+N(I687)&gt;0),(H687+I687)*U687/G687,"")</f>
        <v/>
      </c>
      <c r="K687" s="167" t="n">
        <v>33.95</v>
      </c>
      <c r="L687" s="167" t="n">
        <v>32.25</v>
      </c>
      <c r="M687" s="54" t="inlineStr">
        <is>
          <t>Eligible</t>
        </is>
      </c>
      <c r="N687" s="168">
        <f>IF(OR(J687="",L687=""),"",L687-J687)</f>
        <v/>
      </c>
      <c r="O687" s="169">
        <f>IF(OR(J687="",L687=""),"",L687/J687-1)</f>
        <v/>
      </c>
      <c r="P687" s="169">
        <f>IF(OR(J687="",K687=""),"",K687/J687-1)</f>
        <v/>
      </c>
      <c r="Q687" s="54">
        <f>IF(AND(ISNUMBER(J687),ISNUMBER(L687)),1,0)</f>
        <v/>
      </c>
      <c r="R687" s="69">
        <f>IF(Q687=1,G687*L687,0)</f>
        <v/>
      </c>
      <c r="S687" s="69">
        <f>IF(Q687=1,(H687+I687)*U687,0)</f>
        <v/>
      </c>
      <c r="T687" s="59">
        <f>IF(Q687=1,G687,0)</f>
        <v/>
      </c>
      <c r="U687" s="170" t="n">
        <v>1</v>
      </c>
    </row>
    <row r="688">
      <c r="A688" s="54" t="inlineStr">
        <is>
          <t>US DC S6</t>
        </is>
      </c>
      <c r="B688" s="54" t="inlineStr">
        <is>
          <t>US</t>
        </is>
      </c>
      <c r="C688" s="54" t="inlineStr">
        <is>
          <t>B0C7FQQH6V</t>
        </is>
      </c>
      <c r="D688" s="54" t="inlineStr">
        <is>
          <t>SATIN-KING-PURPLE-6PCS</t>
        </is>
      </c>
      <c r="E688" s="54" t="inlineStr">
        <is>
          <t>King</t>
        </is>
      </c>
      <c r="F688" s="54" t="inlineStr">
        <is>
          <t>Purple</t>
        </is>
      </c>
      <c r="G688" s="55" t="n">
        <v>7</v>
      </c>
      <c r="H688" s="167" t="n">
        <v>225.75</v>
      </c>
      <c r="I688" s="167" t="n">
        <v>0</v>
      </c>
      <c r="J688" s="168">
        <f>IF(AND(N(G688)&gt;0,N(H688)+N(I688)&gt;0),(H688+I688)*U688/G688,"")</f>
        <v/>
      </c>
      <c r="K688" s="167" t="n">
        <v>33.95</v>
      </c>
      <c r="L688" s="167" t="n">
        <v>32.25</v>
      </c>
      <c r="M688" s="54" t="inlineStr">
        <is>
          <t>Eligible</t>
        </is>
      </c>
      <c r="N688" s="168">
        <f>IF(OR(J688="",L688=""),"",L688-J688)</f>
        <v/>
      </c>
      <c r="O688" s="169">
        <f>IF(OR(J688="",L688=""),"",L688/J688-1)</f>
        <v/>
      </c>
      <c r="P688" s="169">
        <f>IF(OR(J688="",K688=""),"",K688/J688-1)</f>
        <v/>
      </c>
      <c r="Q688" s="54">
        <f>IF(AND(ISNUMBER(J688),ISNUMBER(L688)),1,0)</f>
        <v/>
      </c>
      <c r="R688" s="69">
        <f>IF(Q688=1,G688*L688,0)</f>
        <v/>
      </c>
      <c r="S688" s="69">
        <f>IF(Q688=1,(H688+I688)*U688,0)</f>
        <v/>
      </c>
      <c r="T688" s="59">
        <f>IF(Q688=1,G688,0)</f>
        <v/>
      </c>
      <c r="U688" s="170" t="n">
        <v>1</v>
      </c>
    </row>
    <row r="689">
      <c r="A689" s="54" t="inlineStr">
        <is>
          <t>US DC S6</t>
        </is>
      </c>
      <c r="B689" s="54" t="inlineStr">
        <is>
          <t>US</t>
        </is>
      </c>
      <c r="C689" s="54" t="inlineStr">
        <is>
          <t>B0D9QSYR9G</t>
        </is>
      </c>
      <c r="D689" s="54" t="inlineStr">
        <is>
          <t>SATIN-6PC-QUEEN-DARK GREEN</t>
        </is>
      </c>
      <c r="E689" s="54" t="inlineStr">
        <is>
          <t>Queen</t>
        </is>
      </c>
      <c r="F689" s="54" t="inlineStr">
        <is>
          <t>Dark Green</t>
        </is>
      </c>
      <c r="G689" s="55" t="n">
        <v>7</v>
      </c>
      <c r="H689" s="167" t="n">
        <v>212.45</v>
      </c>
      <c r="I689" s="167" t="n">
        <v>0</v>
      </c>
      <c r="J689" s="168">
        <f>IF(AND(N(G689)&gt;0,N(H689)+N(I689)&gt;0),(H689+I689)*U689/G689,"")</f>
        <v/>
      </c>
      <c r="K689" s="167" t="n">
        <v>31.95</v>
      </c>
      <c r="L689" s="167" t="n">
        <v>30.35</v>
      </c>
      <c r="M689" s="54" t="inlineStr">
        <is>
          <t>Eligible</t>
        </is>
      </c>
      <c r="N689" s="168">
        <f>IF(OR(J689="",L689=""),"",L689-J689)</f>
        <v/>
      </c>
      <c r="O689" s="169">
        <f>IF(OR(J689="",L689=""),"",L689/J689-1)</f>
        <v/>
      </c>
      <c r="P689" s="169">
        <f>IF(OR(J689="",K689=""),"",K689/J689-1)</f>
        <v/>
      </c>
      <c r="Q689" s="54">
        <f>IF(AND(ISNUMBER(J689),ISNUMBER(L689)),1,0)</f>
        <v/>
      </c>
      <c r="R689" s="69">
        <f>IF(Q689=1,G689*L689,0)</f>
        <v/>
      </c>
      <c r="S689" s="69">
        <f>IF(Q689=1,(H689+I689)*U689,0)</f>
        <v/>
      </c>
      <c r="T689" s="59">
        <f>IF(Q689=1,G689,0)</f>
        <v/>
      </c>
      <c r="U689" s="170" t="n">
        <v>1</v>
      </c>
    </row>
    <row r="690">
      <c r="A690" s="54" t="inlineStr">
        <is>
          <t>US DC S6</t>
        </is>
      </c>
      <c r="B690" s="54" t="inlineStr">
        <is>
          <t>US</t>
        </is>
      </c>
      <c r="C690" s="54" t="inlineStr">
        <is>
          <t>B0C7F5VMC8</t>
        </is>
      </c>
      <c r="D690" s="54" t="inlineStr">
        <is>
          <t>SATIN-WHITE-KING-6PCS</t>
        </is>
      </c>
      <c r="E690" s="54" t="inlineStr">
        <is>
          <t>King</t>
        </is>
      </c>
      <c r="F690" s="54" t="inlineStr">
        <is>
          <t>White</t>
        </is>
      </c>
      <c r="G690" s="55" t="n">
        <v>6</v>
      </c>
      <c r="H690" s="167" t="n">
        <v>193.5</v>
      </c>
      <c r="I690" s="167" t="n">
        <v>0</v>
      </c>
      <c r="J690" s="168">
        <f>IF(AND(N(G690)&gt;0,N(H690)+N(I690)&gt;0),(H690+I690)*U690/G690,"")</f>
        <v/>
      </c>
      <c r="K690" s="167" t="n">
        <v>33.95</v>
      </c>
      <c r="L690" s="167" t="n"/>
      <c r="M690" s="54" t="inlineStr">
        <is>
          <t>Not in a deal</t>
        </is>
      </c>
      <c r="N690" s="168">
        <f>IF(OR(J690="",L690=""),"",L690-J690)</f>
        <v/>
      </c>
      <c r="O690" s="169">
        <f>IF(OR(J690="",L690=""),"",L690/J690-1)</f>
        <v/>
      </c>
      <c r="P690" s="169">
        <f>IF(OR(J690="",K690=""),"",K690/J690-1)</f>
        <v/>
      </c>
      <c r="Q690" s="54">
        <f>IF(AND(ISNUMBER(J690),ISNUMBER(L690)),1,0)</f>
        <v/>
      </c>
      <c r="R690" s="69">
        <f>IF(Q690=1,G690*L690,0)</f>
        <v/>
      </c>
      <c r="S690" s="69">
        <f>IF(Q690=1,(H690+I690)*U690,0)</f>
        <v/>
      </c>
      <c r="T690" s="59">
        <f>IF(Q690=1,G690,0)</f>
        <v/>
      </c>
      <c r="U690" s="170" t="n">
        <v>1</v>
      </c>
    </row>
    <row r="691">
      <c r="A691" s="54" t="inlineStr">
        <is>
          <t>US DC S6</t>
        </is>
      </c>
      <c r="B691" s="54" t="inlineStr">
        <is>
          <t>US</t>
        </is>
      </c>
      <c r="C691" s="54" t="inlineStr">
        <is>
          <t>B0C7FNVCWM</t>
        </is>
      </c>
      <c r="D691" s="54" t="inlineStr">
        <is>
          <t>SATIN-TWIN-GREY-6PCS</t>
        </is>
      </c>
      <c r="E691" s="54" t="inlineStr">
        <is>
          <t>Twin</t>
        </is>
      </c>
      <c r="F691" s="54" t="inlineStr">
        <is>
          <t>Grey</t>
        </is>
      </c>
      <c r="G691" s="55" t="n">
        <v>6</v>
      </c>
      <c r="H691" s="167" t="n">
        <v>142.56</v>
      </c>
      <c r="I691" s="167" t="n">
        <v>0</v>
      </c>
      <c r="J691" s="168">
        <f>IF(AND(N(G691)&gt;0,N(H691)+N(I691)&gt;0),(H691+I691)*U691/G691,"")</f>
        <v/>
      </c>
      <c r="K691" s="167" t="n">
        <v>27.95</v>
      </c>
      <c r="L691" s="167" t="n">
        <v>26.55</v>
      </c>
      <c r="M691" s="54" t="inlineStr">
        <is>
          <t>Eligible</t>
        </is>
      </c>
      <c r="N691" s="168">
        <f>IF(OR(J691="",L691=""),"",L691-J691)</f>
        <v/>
      </c>
      <c r="O691" s="169">
        <f>IF(OR(J691="",L691=""),"",L691/J691-1)</f>
        <v/>
      </c>
      <c r="P691" s="169">
        <f>IF(OR(J691="",K691=""),"",K691/J691-1)</f>
        <v/>
      </c>
      <c r="Q691" s="54">
        <f>IF(AND(ISNUMBER(J691),ISNUMBER(L691)),1,0)</f>
        <v/>
      </c>
      <c r="R691" s="69">
        <f>IF(Q691=1,G691*L691,0)</f>
        <v/>
      </c>
      <c r="S691" s="69">
        <f>IF(Q691=1,(H691+I691)*U691,0)</f>
        <v/>
      </c>
      <c r="T691" s="59">
        <f>IF(Q691=1,G691,0)</f>
        <v/>
      </c>
      <c r="U691" s="170" t="n">
        <v>1</v>
      </c>
    </row>
    <row r="692">
      <c r="A692" s="54" t="inlineStr">
        <is>
          <t>US DC S6</t>
        </is>
      </c>
      <c r="B692" s="54" t="inlineStr">
        <is>
          <t>US</t>
        </is>
      </c>
      <c r="C692" s="54" t="inlineStr">
        <is>
          <t>B0C7FJFVZY</t>
        </is>
      </c>
      <c r="D692" s="54" t="inlineStr">
        <is>
          <t>SATIN-FULL-GREY-6PCS</t>
        </is>
      </c>
      <c r="E692" s="54" t="inlineStr">
        <is>
          <t>Full</t>
        </is>
      </c>
      <c r="F692" s="54" t="inlineStr">
        <is>
          <t>Grey</t>
        </is>
      </c>
      <c r="G692" s="55" t="n">
        <v>5</v>
      </c>
      <c r="H692" s="167" t="n">
        <v>135.8</v>
      </c>
      <c r="I692" s="167" t="n">
        <v>0</v>
      </c>
      <c r="J692" s="168">
        <f>IF(AND(N(G692)&gt;0,N(H692)+N(I692)&gt;0),(H692+I692)*U692/G692,"")</f>
        <v/>
      </c>
      <c r="K692" s="167" t="n">
        <v>29.95</v>
      </c>
      <c r="L692" s="167" t="n">
        <v>28.45</v>
      </c>
      <c r="M692" s="54" t="inlineStr">
        <is>
          <t>Eligible</t>
        </is>
      </c>
      <c r="N692" s="168">
        <f>IF(OR(J692="",L692=""),"",L692-J692)</f>
        <v/>
      </c>
      <c r="O692" s="169">
        <f>IF(OR(J692="",L692=""),"",L692/J692-1)</f>
        <v/>
      </c>
      <c r="P692" s="169">
        <f>IF(OR(J692="",K692=""),"",K692/J692-1)</f>
        <v/>
      </c>
      <c r="Q692" s="54">
        <f>IF(AND(ISNUMBER(J692),ISNUMBER(L692)),1,0)</f>
        <v/>
      </c>
      <c r="R692" s="69">
        <f>IF(Q692=1,G692*L692,0)</f>
        <v/>
      </c>
      <c r="S692" s="69">
        <f>IF(Q692=1,(H692+I692)*U692,0)</f>
        <v/>
      </c>
      <c r="T692" s="59">
        <f>IF(Q692=1,G692,0)</f>
        <v/>
      </c>
      <c r="U692" s="170" t="n">
        <v>1</v>
      </c>
    </row>
    <row r="693">
      <c r="A693" s="54" t="inlineStr">
        <is>
          <t>US DC S6</t>
        </is>
      </c>
      <c r="B693" s="54" t="inlineStr">
        <is>
          <t>US</t>
        </is>
      </c>
      <c r="C693" s="54" t="inlineStr">
        <is>
          <t>B0C7G4HJL5</t>
        </is>
      </c>
      <c r="D693" s="54" t="inlineStr">
        <is>
          <t>SATIN-STONEGREY-FULL-6PCS</t>
        </is>
      </c>
      <c r="E693" s="54" t="inlineStr">
        <is>
          <t>Full</t>
        </is>
      </c>
      <c r="F693" s="54" t="inlineStr">
        <is>
          <t>Stone Grey</t>
        </is>
      </c>
      <c r="G693" s="55" t="n">
        <v>5</v>
      </c>
      <c r="H693" s="167" t="n">
        <v>142.25</v>
      </c>
      <c r="I693" s="167" t="n">
        <v>0</v>
      </c>
      <c r="J693" s="168">
        <f>IF(AND(N(G693)&gt;0,N(H693)+N(I693)&gt;0),(H693+I693)*U693/G693,"")</f>
        <v/>
      </c>
      <c r="K693" s="167" t="n">
        <v>29.95</v>
      </c>
      <c r="L693" s="167" t="n">
        <v>28.45</v>
      </c>
      <c r="M693" s="54" t="inlineStr">
        <is>
          <t>Eligible</t>
        </is>
      </c>
      <c r="N693" s="168">
        <f>IF(OR(J693="",L693=""),"",L693-J693)</f>
        <v/>
      </c>
      <c r="O693" s="169">
        <f>IF(OR(J693="",L693=""),"",L693/J693-1)</f>
        <v/>
      </c>
      <c r="P693" s="169">
        <f>IF(OR(J693="",K693=""),"",K693/J693-1)</f>
        <v/>
      </c>
      <c r="Q693" s="54">
        <f>IF(AND(ISNUMBER(J693),ISNUMBER(L693)),1,0)</f>
        <v/>
      </c>
      <c r="R693" s="69">
        <f>IF(Q693=1,G693*L693,0)</f>
        <v/>
      </c>
      <c r="S693" s="69">
        <f>IF(Q693=1,(H693+I693)*U693,0)</f>
        <v/>
      </c>
      <c r="T693" s="59">
        <f>IF(Q693=1,G693,0)</f>
        <v/>
      </c>
      <c r="U693" s="170" t="n">
        <v>1</v>
      </c>
    </row>
    <row r="694">
      <c r="A694" s="54" t="inlineStr">
        <is>
          <t>US DC S6</t>
        </is>
      </c>
      <c r="B694" s="54" t="inlineStr">
        <is>
          <t>US</t>
        </is>
      </c>
      <c r="C694" s="54" t="inlineStr">
        <is>
          <t>B0D9QSG9LD</t>
        </is>
      </c>
      <c r="D694" s="54" t="inlineStr">
        <is>
          <t>SATIN-6PC-KING-BLUSH PINK</t>
        </is>
      </c>
      <c r="E694" s="54" t="inlineStr">
        <is>
          <t>King</t>
        </is>
      </c>
      <c r="F694" s="54" t="inlineStr">
        <is>
          <t>Blush Pink</t>
        </is>
      </c>
      <c r="G694" s="55" t="n">
        <v>5</v>
      </c>
      <c r="H694" s="167" t="n">
        <v>161.25</v>
      </c>
      <c r="I694" s="167" t="n">
        <v>0</v>
      </c>
      <c r="J694" s="168">
        <f>IF(AND(N(G694)&gt;0,N(H694)+N(I694)&gt;0),(H694+I694)*U694/G694,"")</f>
        <v/>
      </c>
      <c r="K694" s="167" t="n">
        <v>33.95</v>
      </c>
      <c r="L694" s="167" t="n"/>
      <c r="M694" s="54" t="inlineStr">
        <is>
          <t>Out of stock</t>
        </is>
      </c>
      <c r="N694" s="168">
        <f>IF(OR(J694="",L694=""),"",L694-J694)</f>
        <v/>
      </c>
      <c r="O694" s="169">
        <f>IF(OR(J694="",L694=""),"",L694/J694-1)</f>
        <v/>
      </c>
      <c r="P694" s="169">
        <f>IF(OR(J694="",K694=""),"",K694/J694-1)</f>
        <v/>
      </c>
      <c r="Q694" s="54">
        <f>IF(AND(ISNUMBER(J694),ISNUMBER(L694)),1,0)</f>
        <v/>
      </c>
      <c r="R694" s="69">
        <f>IF(Q694=1,G694*L694,0)</f>
        <v/>
      </c>
      <c r="S694" s="69">
        <f>IF(Q694=1,(H694+I694)*U694,0)</f>
        <v/>
      </c>
      <c r="T694" s="59">
        <f>IF(Q694=1,G694,0)</f>
        <v/>
      </c>
      <c r="U694" s="170" t="n">
        <v>1</v>
      </c>
    </row>
    <row r="695">
      <c r="A695" s="54" t="inlineStr">
        <is>
          <t>US DC S6</t>
        </is>
      </c>
      <c r="B695" s="54" t="inlineStr">
        <is>
          <t>US</t>
        </is>
      </c>
      <c r="C695" s="54" t="inlineStr">
        <is>
          <t>B0C7FKZ4VG</t>
        </is>
      </c>
      <c r="D695" s="54" t="inlineStr">
        <is>
          <t>SATIN-CHAMPAGNE-KING-6PCS</t>
        </is>
      </c>
      <c r="E695" s="54" t="inlineStr">
        <is>
          <t>King</t>
        </is>
      </c>
      <c r="F695" s="54" t="inlineStr">
        <is>
          <t>Champagne</t>
        </is>
      </c>
      <c r="G695" s="55" t="n">
        <v>5</v>
      </c>
      <c r="H695" s="167" t="n">
        <v>161.25</v>
      </c>
      <c r="I695" s="167" t="n">
        <v>0</v>
      </c>
      <c r="J695" s="168">
        <f>IF(AND(N(G695)&gt;0,N(H695)+N(I695)&gt;0),(H695+I695)*U695/G695,"")</f>
        <v/>
      </c>
      <c r="K695" s="167" t="n">
        <v>33.95</v>
      </c>
      <c r="L695" s="167" t="n">
        <v>32.25</v>
      </c>
      <c r="M695" s="54" t="inlineStr">
        <is>
          <t>Eligible</t>
        </is>
      </c>
      <c r="N695" s="168">
        <f>IF(OR(J695="",L695=""),"",L695-J695)</f>
        <v/>
      </c>
      <c r="O695" s="169">
        <f>IF(OR(J695="",L695=""),"",L695/J695-1)</f>
        <v/>
      </c>
      <c r="P695" s="169">
        <f>IF(OR(J695="",K695=""),"",K695/J695-1)</f>
        <v/>
      </c>
      <c r="Q695" s="54">
        <f>IF(AND(ISNUMBER(J695),ISNUMBER(L695)),1,0)</f>
        <v/>
      </c>
      <c r="R695" s="69">
        <f>IF(Q695=1,G695*L695,0)</f>
        <v/>
      </c>
      <c r="S695" s="69">
        <f>IF(Q695=1,(H695+I695)*U695,0)</f>
        <v/>
      </c>
      <c r="T695" s="59">
        <f>IF(Q695=1,G695,0)</f>
        <v/>
      </c>
      <c r="U695" s="170" t="n">
        <v>1</v>
      </c>
    </row>
    <row r="696">
      <c r="A696" s="54" t="inlineStr">
        <is>
          <t>US DC S6</t>
        </is>
      </c>
      <c r="B696" s="54" t="inlineStr">
        <is>
          <t>US</t>
        </is>
      </c>
      <c r="C696" s="54" t="inlineStr">
        <is>
          <t>B0C7FSZ6RY</t>
        </is>
      </c>
      <c r="D696" s="54" t="inlineStr">
        <is>
          <t>SATIN-QUEEN-PINK-6PCS</t>
        </is>
      </c>
      <c r="E696" s="54" t="inlineStr">
        <is>
          <t>Queen</t>
        </is>
      </c>
      <c r="F696" s="54" t="inlineStr">
        <is>
          <t>Pink</t>
        </is>
      </c>
      <c r="G696" s="55" t="n">
        <v>5</v>
      </c>
      <c r="H696" s="167" t="n">
        <v>151.75</v>
      </c>
      <c r="I696" s="167" t="n">
        <v>0</v>
      </c>
      <c r="J696" s="168">
        <f>IF(AND(N(G696)&gt;0,N(H696)+N(I696)&gt;0),(H696+I696)*U696/G696,"")</f>
        <v/>
      </c>
      <c r="K696" s="167" t="n">
        <v>31.95</v>
      </c>
      <c r="L696" s="167" t="n">
        <v>30.35</v>
      </c>
      <c r="M696" s="54" t="inlineStr">
        <is>
          <t>Eligible</t>
        </is>
      </c>
      <c r="N696" s="168">
        <f>IF(OR(J696="",L696=""),"",L696-J696)</f>
        <v/>
      </c>
      <c r="O696" s="169">
        <f>IF(OR(J696="",L696=""),"",L696/J696-1)</f>
        <v/>
      </c>
      <c r="P696" s="169">
        <f>IF(OR(J696="",K696=""),"",K696/J696-1)</f>
        <v/>
      </c>
      <c r="Q696" s="54">
        <f>IF(AND(ISNUMBER(J696),ISNUMBER(L696)),1,0)</f>
        <v/>
      </c>
      <c r="R696" s="69">
        <f>IF(Q696=1,G696*L696,0)</f>
        <v/>
      </c>
      <c r="S696" s="69">
        <f>IF(Q696=1,(H696+I696)*U696,0)</f>
        <v/>
      </c>
      <c r="T696" s="59">
        <f>IF(Q696=1,G696,0)</f>
        <v/>
      </c>
      <c r="U696" s="170" t="n">
        <v>1</v>
      </c>
    </row>
    <row r="697">
      <c r="A697" s="54" t="inlineStr">
        <is>
          <t>US DC S6</t>
        </is>
      </c>
      <c r="B697" s="54" t="inlineStr">
        <is>
          <t>US</t>
        </is>
      </c>
      <c r="C697" s="54" t="inlineStr">
        <is>
          <t>B0C7KD9LMR</t>
        </is>
      </c>
      <c r="D697" s="54" t="inlineStr">
        <is>
          <t>SATIN-STRIPE-QUEEN-PINK--6-PCS</t>
        </is>
      </c>
      <c r="E697" s="54" t="inlineStr">
        <is>
          <t>Queen</t>
        </is>
      </c>
      <c r="F697" s="54" t="inlineStr">
        <is>
          <t>Striped Pink</t>
        </is>
      </c>
      <c r="G697" s="55" t="n">
        <v>5</v>
      </c>
      <c r="H697" s="167" t="n">
        <v>151.75</v>
      </c>
      <c r="I697" s="167" t="n">
        <v>0</v>
      </c>
      <c r="J697" s="168">
        <f>IF(AND(N(G697)&gt;0,N(H697)+N(I697)&gt;0),(H697+I697)*U697/G697,"")</f>
        <v/>
      </c>
      <c r="K697" s="167" t="n">
        <v>31.95</v>
      </c>
      <c r="L697" s="167" t="n">
        <v>24.76</v>
      </c>
      <c r="M697" s="54" t="inlineStr">
        <is>
          <t>Manual price</t>
        </is>
      </c>
      <c r="N697" s="168">
        <f>IF(OR(J697="",L697=""),"",L697-J697)</f>
        <v/>
      </c>
      <c r="O697" s="169">
        <f>IF(OR(J697="",L697=""),"",L697/J697-1)</f>
        <v/>
      </c>
      <c r="P697" s="169">
        <f>IF(OR(J697="",K697=""),"",K697/J697-1)</f>
        <v/>
      </c>
      <c r="Q697" s="54">
        <f>IF(AND(ISNUMBER(J697),ISNUMBER(L697)),1,0)</f>
        <v/>
      </c>
      <c r="R697" s="69">
        <f>IF(Q697=1,G697*L697,0)</f>
        <v/>
      </c>
      <c r="S697" s="69">
        <f>IF(Q697=1,(H697+I697)*U697,0)</f>
        <v/>
      </c>
      <c r="T697" s="59">
        <f>IF(Q697=1,G697,0)</f>
        <v/>
      </c>
      <c r="U697" s="170" t="n">
        <v>1</v>
      </c>
    </row>
    <row r="698">
      <c r="A698" s="54" t="inlineStr">
        <is>
          <t>US DC S6</t>
        </is>
      </c>
      <c r="B698" s="54" t="inlineStr">
        <is>
          <t>US</t>
        </is>
      </c>
      <c r="C698" s="54" t="inlineStr">
        <is>
          <t>B0C7FK58RV</t>
        </is>
      </c>
      <c r="D698" s="54" t="inlineStr">
        <is>
          <t>SATIN-TAUPE-QUEEN-6PCS</t>
        </is>
      </c>
      <c r="E698" s="54" t="inlineStr">
        <is>
          <t>Queen</t>
        </is>
      </c>
      <c r="F698" s="54" t="inlineStr">
        <is>
          <t>Taupe</t>
        </is>
      </c>
      <c r="G698" s="55" t="n">
        <v>5</v>
      </c>
      <c r="H698" s="167" t="n">
        <v>151.75</v>
      </c>
      <c r="I698" s="167" t="n">
        <v>0</v>
      </c>
      <c r="J698" s="168">
        <f>IF(AND(N(G698)&gt;0,N(H698)+N(I698)&gt;0),(H698+I698)*U698/G698,"")</f>
        <v/>
      </c>
      <c r="K698" s="167" t="n">
        <v>31.95</v>
      </c>
      <c r="L698" s="167" t="n">
        <v>30.35</v>
      </c>
      <c r="M698" s="54" t="inlineStr">
        <is>
          <t>Eligible</t>
        </is>
      </c>
      <c r="N698" s="168">
        <f>IF(OR(J698="",L698=""),"",L698-J698)</f>
        <v/>
      </c>
      <c r="O698" s="169">
        <f>IF(OR(J698="",L698=""),"",L698/J698-1)</f>
        <v/>
      </c>
      <c r="P698" s="169">
        <f>IF(OR(J698="",K698=""),"",K698/J698-1)</f>
        <v/>
      </c>
      <c r="Q698" s="54">
        <f>IF(AND(ISNUMBER(J698),ISNUMBER(L698)),1,0)</f>
        <v/>
      </c>
      <c r="R698" s="69">
        <f>IF(Q698=1,G698*L698,0)</f>
        <v/>
      </c>
      <c r="S698" s="69">
        <f>IF(Q698=1,(H698+I698)*U698,0)</f>
        <v/>
      </c>
      <c r="T698" s="59">
        <f>IF(Q698=1,G698,0)</f>
        <v/>
      </c>
      <c r="U698" s="170" t="n">
        <v>1</v>
      </c>
    </row>
    <row r="699">
      <c r="A699" s="54" t="inlineStr">
        <is>
          <t>US DC S6</t>
        </is>
      </c>
      <c r="B699" s="54" t="inlineStr">
        <is>
          <t>US</t>
        </is>
      </c>
      <c r="C699" s="54" t="inlineStr">
        <is>
          <t>B0C7FXQZVG</t>
        </is>
      </c>
      <c r="D699" s="54" t="inlineStr">
        <is>
          <t>SATIN-FULL-BLUE-6PCS</t>
        </is>
      </c>
      <c r="E699" s="54" t="inlineStr">
        <is>
          <t>Full</t>
        </is>
      </c>
      <c r="F699" s="54" t="inlineStr">
        <is>
          <t>Blue</t>
        </is>
      </c>
      <c r="G699" s="55" t="n">
        <v>4</v>
      </c>
      <c r="H699" s="167" t="n">
        <v>113.8</v>
      </c>
      <c r="I699" s="167" t="n">
        <v>0</v>
      </c>
      <c r="J699" s="168">
        <f>IF(AND(N(G699)&gt;0,N(H699)+N(I699)&gt;0),(H699+I699)*U699/G699,"")</f>
        <v/>
      </c>
      <c r="K699" s="167" t="n">
        <v>29.95</v>
      </c>
      <c r="L699" s="167" t="n">
        <v>28.45</v>
      </c>
      <c r="M699" s="54" t="inlineStr">
        <is>
          <t>Eligible</t>
        </is>
      </c>
      <c r="N699" s="168">
        <f>IF(OR(J699="",L699=""),"",L699-J699)</f>
        <v/>
      </c>
      <c r="O699" s="169">
        <f>IF(OR(J699="",L699=""),"",L699/J699-1)</f>
        <v/>
      </c>
      <c r="P699" s="169">
        <f>IF(OR(J699="",K699=""),"",K699/J699-1)</f>
        <v/>
      </c>
      <c r="Q699" s="54">
        <f>IF(AND(ISNUMBER(J699),ISNUMBER(L699)),1,0)</f>
        <v/>
      </c>
      <c r="R699" s="69">
        <f>IF(Q699=1,G699*L699,0)</f>
        <v/>
      </c>
      <c r="S699" s="69">
        <f>IF(Q699=1,(H699+I699)*U699,0)</f>
        <v/>
      </c>
      <c r="T699" s="59">
        <f>IF(Q699=1,G699,0)</f>
        <v/>
      </c>
      <c r="U699" s="170" t="n">
        <v>1</v>
      </c>
    </row>
    <row r="700">
      <c r="A700" s="54" t="inlineStr">
        <is>
          <t>US DC S6</t>
        </is>
      </c>
      <c r="B700" s="54" t="inlineStr">
        <is>
          <t>US</t>
        </is>
      </c>
      <c r="C700" s="54" t="inlineStr">
        <is>
          <t>B0C7F65432</t>
        </is>
      </c>
      <c r="D700" s="54" t="inlineStr">
        <is>
          <t>SATIN-FULL-PURPLE-6PCS</t>
        </is>
      </c>
      <c r="E700" s="54" t="inlineStr">
        <is>
          <t>Full</t>
        </is>
      </c>
      <c r="F700" s="54" t="inlineStr">
        <is>
          <t>Purple</t>
        </is>
      </c>
      <c r="G700" s="55" t="n">
        <v>4</v>
      </c>
      <c r="H700" s="167" t="n">
        <v>101.84</v>
      </c>
      <c r="I700" s="167" t="n">
        <v>0</v>
      </c>
      <c r="J700" s="168">
        <f>IF(AND(N(G700)&gt;0,N(H700)+N(I700)&gt;0),(H700+I700)*U700/G700,"")</f>
        <v/>
      </c>
      <c r="K700" s="167" t="n">
        <v>29.95</v>
      </c>
      <c r="L700" s="167" t="n">
        <v>28.45</v>
      </c>
      <c r="M700" s="54" t="inlineStr">
        <is>
          <t>Eligible</t>
        </is>
      </c>
      <c r="N700" s="168">
        <f>IF(OR(J700="",L700=""),"",L700-J700)</f>
        <v/>
      </c>
      <c r="O700" s="169">
        <f>IF(OR(J700="",L700=""),"",L700/J700-1)</f>
        <v/>
      </c>
      <c r="P700" s="169">
        <f>IF(OR(J700="",K700=""),"",K700/J700-1)</f>
        <v/>
      </c>
      <c r="Q700" s="54">
        <f>IF(AND(ISNUMBER(J700),ISNUMBER(L700)),1,0)</f>
        <v/>
      </c>
      <c r="R700" s="69">
        <f>IF(Q700=1,G700*L700,0)</f>
        <v/>
      </c>
      <c r="S700" s="69">
        <f>IF(Q700=1,(H700+I700)*U700,0)</f>
        <v/>
      </c>
      <c r="T700" s="59">
        <f>IF(Q700=1,G700,0)</f>
        <v/>
      </c>
      <c r="U700" s="170" t="n">
        <v>1</v>
      </c>
    </row>
    <row r="701">
      <c r="A701" s="54" t="inlineStr">
        <is>
          <t>US DC S6</t>
        </is>
      </c>
      <c r="B701" s="54" t="inlineStr">
        <is>
          <t>US</t>
        </is>
      </c>
      <c r="C701" s="54" t="inlineStr">
        <is>
          <t>B0C7FW4Q1C</t>
        </is>
      </c>
      <c r="D701" s="54" t="inlineStr">
        <is>
          <t>SATIN-SEA-TEAL-FULL-6PCS</t>
        </is>
      </c>
      <c r="E701" s="54" t="inlineStr">
        <is>
          <t>Full</t>
        </is>
      </c>
      <c r="F701" s="54" t="inlineStr">
        <is>
          <t>Sea Teal</t>
        </is>
      </c>
      <c r="G701" s="55" t="n">
        <v>4</v>
      </c>
      <c r="H701" s="167" t="n">
        <v>101.84</v>
      </c>
      <c r="I701" s="167" t="n">
        <v>0</v>
      </c>
      <c r="J701" s="168">
        <f>IF(AND(N(G701)&gt;0,N(H701)+N(I701)&gt;0),(H701+I701)*U701/G701,"")</f>
        <v/>
      </c>
      <c r="K701" s="167" t="n">
        <v>29.95</v>
      </c>
      <c r="L701" s="167" t="n">
        <v>28.45</v>
      </c>
      <c r="M701" s="54" t="inlineStr">
        <is>
          <t>Eligible</t>
        </is>
      </c>
      <c r="N701" s="168">
        <f>IF(OR(J701="",L701=""),"",L701-J701)</f>
        <v/>
      </c>
      <c r="O701" s="169">
        <f>IF(OR(J701="",L701=""),"",L701/J701-1)</f>
        <v/>
      </c>
      <c r="P701" s="169">
        <f>IF(OR(J701="",K701=""),"",K701/J701-1)</f>
        <v/>
      </c>
      <c r="Q701" s="54">
        <f>IF(AND(ISNUMBER(J701),ISNUMBER(L701)),1,0)</f>
        <v/>
      </c>
      <c r="R701" s="69">
        <f>IF(Q701=1,G701*L701,0)</f>
        <v/>
      </c>
      <c r="S701" s="69">
        <f>IF(Q701=1,(H701+I701)*U701,0)</f>
        <v/>
      </c>
      <c r="T701" s="59">
        <f>IF(Q701=1,G701,0)</f>
        <v/>
      </c>
      <c r="U701" s="170" t="n">
        <v>1</v>
      </c>
    </row>
    <row r="702">
      <c r="A702" s="54" t="inlineStr">
        <is>
          <t>US DC S6</t>
        </is>
      </c>
      <c r="B702" s="54" t="inlineStr">
        <is>
          <t>US</t>
        </is>
      </c>
      <c r="C702" s="54" t="inlineStr">
        <is>
          <t>B0D9R9B1VT</t>
        </is>
      </c>
      <c r="D702" s="54" t="inlineStr">
        <is>
          <t>SATIN-6PC-FULL-WHITE</t>
        </is>
      </c>
      <c r="E702" s="54" t="inlineStr">
        <is>
          <t>Full</t>
        </is>
      </c>
      <c r="F702" s="54" t="inlineStr">
        <is>
          <t>White</t>
        </is>
      </c>
      <c r="G702" s="55" t="n">
        <v>4</v>
      </c>
      <c r="H702" s="167" t="n">
        <v>119.8</v>
      </c>
      <c r="I702" s="167" t="n">
        <v>0</v>
      </c>
      <c r="J702" s="168">
        <f>IF(AND(N(G702)&gt;0,N(H702)+N(I702)&gt;0),(H702+I702)*U702/G702,"")</f>
        <v/>
      </c>
      <c r="K702" s="167" t="n">
        <v>29.95</v>
      </c>
      <c r="L702" s="167" t="n">
        <v>28.45</v>
      </c>
      <c r="M702" s="54" t="inlineStr">
        <is>
          <t>Eligible</t>
        </is>
      </c>
      <c r="N702" s="168">
        <f>IF(OR(J702="",L702=""),"",L702-J702)</f>
        <v/>
      </c>
      <c r="O702" s="169">
        <f>IF(OR(J702="",L702=""),"",L702/J702-1)</f>
        <v/>
      </c>
      <c r="P702" s="169">
        <f>IF(OR(J702="",K702=""),"",K702/J702-1)</f>
        <v/>
      </c>
      <c r="Q702" s="54">
        <f>IF(AND(ISNUMBER(J702),ISNUMBER(L702)),1,0)</f>
        <v/>
      </c>
      <c r="R702" s="69">
        <f>IF(Q702=1,G702*L702,0)</f>
        <v/>
      </c>
      <c r="S702" s="69">
        <f>IF(Q702=1,(H702+I702)*U702,0)</f>
        <v/>
      </c>
      <c r="T702" s="59">
        <f>IF(Q702=1,G702,0)</f>
        <v/>
      </c>
      <c r="U702" s="170" t="n">
        <v>1</v>
      </c>
    </row>
    <row r="703">
      <c r="A703" s="54" t="inlineStr">
        <is>
          <t>US DC S6</t>
        </is>
      </c>
      <c r="B703" s="54" t="inlineStr">
        <is>
          <t>US</t>
        </is>
      </c>
      <c r="C703" s="54" t="inlineStr">
        <is>
          <t>B0C7FMDPBF</t>
        </is>
      </c>
      <c r="D703" s="54" t="inlineStr">
        <is>
          <t>SATIN-KING-PINK-6PCS</t>
        </is>
      </c>
      <c r="E703" s="54" t="inlineStr">
        <is>
          <t>King</t>
        </is>
      </c>
      <c r="F703" s="54" t="inlineStr">
        <is>
          <t>Pink</t>
        </is>
      </c>
      <c r="G703" s="55" t="n">
        <v>4</v>
      </c>
      <c r="H703" s="167" t="n">
        <v>129</v>
      </c>
      <c r="I703" s="167" t="n">
        <v>0</v>
      </c>
      <c r="J703" s="168">
        <f>IF(AND(N(G703)&gt;0,N(H703)+N(I703)&gt;0),(H703+I703)*U703/G703,"")</f>
        <v/>
      </c>
      <c r="K703" s="167" t="n">
        <v>33.95</v>
      </c>
      <c r="L703" s="167" t="n">
        <v>32.25</v>
      </c>
      <c r="M703" s="54" t="inlineStr">
        <is>
          <t>Eligible</t>
        </is>
      </c>
      <c r="N703" s="168">
        <f>IF(OR(J703="",L703=""),"",L703-J703)</f>
        <v/>
      </c>
      <c r="O703" s="169">
        <f>IF(OR(J703="",L703=""),"",L703/J703-1)</f>
        <v/>
      </c>
      <c r="P703" s="169">
        <f>IF(OR(J703="",K703=""),"",K703/J703-1)</f>
        <v/>
      </c>
      <c r="Q703" s="54">
        <f>IF(AND(ISNUMBER(J703),ISNUMBER(L703)),1,0)</f>
        <v/>
      </c>
      <c r="R703" s="69">
        <f>IF(Q703=1,G703*L703,0)</f>
        <v/>
      </c>
      <c r="S703" s="69">
        <f>IF(Q703=1,(H703+I703)*U703,0)</f>
        <v/>
      </c>
      <c r="T703" s="59">
        <f>IF(Q703=1,G703,0)</f>
        <v/>
      </c>
      <c r="U703" s="170" t="n">
        <v>1</v>
      </c>
    </row>
    <row r="704">
      <c r="A704" s="54" t="inlineStr">
        <is>
          <t>US DC S6</t>
        </is>
      </c>
      <c r="B704" s="54" t="inlineStr">
        <is>
          <t>US</t>
        </is>
      </c>
      <c r="C704" s="54" t="inlineStr">
        <is>
          <t>B0C7JYWFP8</t>
        </is>
      </c>
      <c r="D704" s="54" t="inlineStr">
        <is>
          <t>SATIN-STRIPE-KING-RED--6-PCS</t>
        </is>
      </c>
      <c r="E704" s="54" t="inlineStr">
        <is>
          <t>King</t>
        </is>
      </c>
      <c r="F704" s="54" t="inlineStr">
        <is>
          <t>Striped Red</t>
        </is>
      </c>
      <c r="G704" s="55" t="n">
        <v>4</v>
      </c>
      <c r="H704" s="167" t="n">
        <v>129</v>
      </c>
      <c r="I704" s="167" t="n">
        <v>0</v>
      </c>
      <c r="J704" s="168">
        <f>IF(AND(N(G704)&gt;0,N(H704)+N(I704)&gt;0),(H704+I704)*U704/G704,"")</f>
        <v/>
      </c>
      <c r="K704" s="167" t="n">
        <v>33.95</v>
      </c>
      <c r="L704" s="167" t="n">
        <v>32.25</v>
      </c>
      <c r="M704" s="54" t="inlineStr">
        <is>
          <t>Eligible</t>
        </is>
      </c>
      <c r="N704" s="168">
        <f>IF(OR(J704="",L704=""),"",L704-J704)</f>
        <v/>
      </c>
      <c r="O704" s="169">
        <f>IF(OR(J704="",L704=""),"",L704/J704-1)</f>
        <v/>
      </c>
      <c r="P704" s="169">
        <f>IF(OR(J704="",K704=""),"",K704/J704-1)</f>
        <v/>
      </c>
      <c r="Q704" s="54">
        <f>IF(AND(ISNUMBER(J704),ISNUMBER(L704)),1,0)</f>
        <v/>
      </c>
      <c r="R704" s="69">
        <f>IF(Q704=1,G704*L704,0)</f>
        <v/>
      </c>
      <c r="S704" s="69">
        <f>IF(Q704=1,(H704+I704)*U704,0)</f>
        <v/>
      </c>
      <c r="T704" s="59">
        <f>IF(Q704=1,G704,0)</f>
        <v/>
      </c>
      <c r="U704" s="170" t="n">
        <v>1</v>
      </c>
    </row>
    <row r="705">
      <c r="A705" s="54" t="inlineStr">
        <is>
          <t>US DC S6</t>
        </is>
      </c>
      <c r="B705" s="54" t="inlineStr">
        <is>
          <t>US</t>
        </is>
      </c>
      <c r="C705" s="54" t="inlineStr">
        <is>
          <t>B0C7FNXRJF</t>
        </is>
      </c>
      <c r="D705" s="54" t="inlineStr">
        <is>
          <t>SATIN-TAUPE-KING-6PCS</t>
        </is>
      </c>
      <c r="E705" s="54" t="inlineStr">
        <is>
          <t>King</t>
        </is>
      </c>
      <c r="F705" s="54" t="inlineStr">
        <is>
          <t>Taupe</t>
        </is>
      </c>
      <c r="G705" s="55" t="n">
        <v>4</v>
      </c>
      <c r="H705" s="167" t="n">
        <v>129</v>
      </c>
      <c r="I705" s="167" t="n">
        <v>0</v>
      </c>
      <c r="J705" s="168">
        <f>IF(AND(N(G705)&gt;0,N(H705)+N(I705)&gt;0),(H705+I705)*U705/G705,"")</f>
        <v/>
      </c>
      <c r="K705" s="167" t="n">
        <v>33.95</v>
      </c>
      <c r="L705" s="167" t="n"/>
      <c r="M705" s="54" t="inlineStr">
        <is>
          <t>Out of stock</t>
        </is>
      </c>
      <c r="N705" s="168">
        <f>IF(OR(J705="",L705=""),"",L705-J705)</f>
        <v/>
      </c>
      <c r="O705" s="169">
        <f>IF(OR(J705="",L705=""),"",L705/J705-1)</f>
        <v/>
      </c>
      <c r="P705" s="169">
        <f>IF(OR(J705="",K705=""),"",K705/J705-1)</f>
        <v/>
      </c>
      <c r="Q705" s="54">
        <f>IF(AND(ISNUMBER(J705),ISNUMBER(L705)),1,0)</f>
        <v/>
      </c>
      <c r="R705" s="69">
        <f>IF(Q705=1,G705*L705,0)</f>
        <v/>
      </c>
      <c r="S705" s="69">
        <f>IF(Q705=1,(H705+I705)*U705,0)</f>
        <v/>
      </c>
      <c r="T705" s="59">
        <f>IF(Q705=1,G705,0)</f>
        <v/>
      </c>
      <c r="U705" s="170" t="n">
        <v>1</v>
      </c>
    </row>
    <row r="706">
      <c r="A706" s="54" t="inlineStr">
        <is>
          <t>US DC S6</t>
        </is>
      </c>
      <c r="B706" s="54" t="inlineStr">
        <is>
          <t>US</t>
        </is>
      </c>
      <c r="C706" s="54" t="inlineStr">
        <is>
          <t>B0C7KJMDNG</t>
        </is>
      </c>
      <c r="D706" s="54" t="inlineStr">
        <is>
          <t>SATIN-STRIPE-QUEEN-BLUE--6-PCS</t>
        </is>
      </c>
      <c r="E706" s="54" t="inlineStr">
        <is>
          <t>Queen</t>
        </is>
      </c>
      <c r="F706" s="54" t="inlineStr">
        <is>
          <t>Striped Blue</t>
        </is>
      </c>
      <c r="G706" s="55" t="n">
        <v>4</v>
      </c>
      <c r="H706" s="167" t="n">
        <v>121.4</v>
      </c>
      <c r="I706" s="167" t="n">
        <v>0</v>
      </c>
      <c r="J706" s="168">
        <f>IF(AND(N(G706)&gt;0,N(H706)+N(I706)&gt;0),(H706+I706)*U706/G706,"")</f>
        <v/>
      </c>
      <c r="K706" s="167" t="n">
        <v>31.95</v>
      </c>
      <c r="L706" s="167" t="n">
        <v>30.35</v>
      </c>
      <c r="M706" s="54" t="inlineStr">
        <is>
          <t>Eligible</t>
        </is>
      </c>
      <c r="N706" s="168">
        <f>IF(OR(J706="",L706=""),"",L706-J706)</f>
        <v/>
      </c>
      <c r="O706" s="169">
        <f>IF(OR(J706="",L706=""),"",L706/J706-1)</f>
        <v/>
      </c>
      <c r="P706" s="169">
        <f>IF(OR(J706="",K706=""),"",K706/J706-1)</f>
        <v/>
      </c>
      <c r="Q706" s="54">
        <f>IF(AND(ISNUMBER(J706),ISNUMBER(L706)),1,0)</f>
        <v/>
      </c>
      <c r="R706" s="69">
        <f>IF(Q706=1,G706*L706,0)</f>
        <v/>
      </c>
      <c r="S706" s="69">
        <f>IF(Q706=1,(H706+I706)*U706,0)</f>
        <v/>
      </c>
      <c r="T706" s="59">
        <f>IF(Q706=1,G706,0)</f>
        <v/>
      </c>
      <c r="U706" s="170" t="n">
        <v>1</v>
      </c>
    </row>
    <row r="707">
      <c r="A707" s="54" t="inlineStr">
        <is>
          <t>US DC S6</t>
        </is>
      </c>
      <c r="B707" s="54" t="inlineStr">
        <is>
          <t>US</t>
        </is>
      </c>
      <c r="C707" s="54" t="inlineStr">
        <is>
          <t>B0D9QQWYP4</t>
        </is>
      </c>
      <c r="D707" s="54" t="inlineStr">
        <is>
          <t>SATIN-6PC-FULL-BABY BLUE</t>
        </is>
      </c>
      <c r="E707" s="54" t="inlineStr">
        <is>
          <t>Full</t>
        </is>
      </c>
      <c r="F707" s="54" t="inlineStr">
        <is>
          <t>Baby Blue</t>
        </is>
      </c>
      <c r="G707" s="55" t="n">
        <v>3</v>
      </c>
      <c r="H707" s="167" t="n">
        <v>89.84999999999999</v>
      </c>
      <c r="I707" s="167" t="n">
        <v>0</v>
      </c>
      <c r="J707" s="168">
        <f>IF(AND(N(G707)&gt;0,N(H707)+N(I707)&gt;0),(H707+I707)*U707/G707,"")</f>
        <v/>
      </c>
      <c r="K707" s="167" t="n">
        <v>29.95</v>
      </c>
      <c r="L707" s="167" t="n">
        <v>28.45</v>
      </c>
      <c r="M707" s="54" t="inlineStr">
        <is>
          <t>Eligible</t>
        </is>
      </c>
      <c r="N707" s="168">
        <f>IF(OR(J707="",L707=""),"",L707-J707)</f>
        <v/>
      </c>
      <c r="O707" s="169">
        <f>IF(OR(J707="",L707=""),"",L707/J707-1)</f>
        <v/>
      </c>
      <c r="P707" s="169">
        <f>IF(OR(J707="",K707=""),"",K707/J707-1)</f>
        <v/>
      </c>
      <c r="Q707" s="54">
        <f>IF(AND(ISNUMBER(J707),ISNUMBER(L707)),1,0)</f>
        <v/>
      </c>
      <c r="R707" s="69">
        <f>IF(Q707=1,G707*L707,0)</f>
        <v/>
      </c>
      <c r="S707" s="69">
        <f>IF(Q707=1,(H707+I707)*U707,0)</f>
        <v/>
      </c>
      <c r="T707" s="59">
        <f>IF(Q707=1,G707,0)</f>
        <v/>
      </c>
      <c r="U707" s="170" t="n">
        <v>1</v>
      </c>
    </row>
    <row r="708">
      <c r="A708" s="54" t="inlineStr">
        <is>
          <t>US DC S6</t>
        </is>
      </c>
      <c r="B708" s="54" t="inlineStr">
        <is>
          <t>US</t>
        </is>
      </c>
      <c r="C708" s="54" t="inlineStr">
        <is>
          <t>B0D9QR4PS8</t>
        </is>
      </c>
      <c r="D708" s="54" t="inlineStr">
        <is>
          <t>SATIN-6PC-FULL-DARK GREEN</t>
        </is>
      </c>
      <c r="E708" s="54" t="inlineStr">
        <is>
          <t>Full</t>
        </is>
      </c>
      <c r="F708" s="54" t="inlineStr">
        <is>
          <t>Dark Green</t>
        </is>
      </c>
      <c r="G708" s="55" t="n">
        <v>3</v>
      </c>
      <c r="H708" s="167" t="n">
        <v>89.84999999999999</v>
      </c>
      <c r="I708" s="167" t="n">
        <v>0</v>
      </c>
      <c r="J708" s="168">
        <f>IF(AND(N(G708)&gt;0,N(H708)+N(I708)&gt;0),(H708+I708)*U708/G708,"")</f>
        <v/>
      </c>
      <c r="K708" s="167" t="n">
        <v>29.95</v>
      </c>
      <c r="L708" s="167" t="n">
        <v>28.45</v>
      </c>
      <c r="M708" s="54" t="inlineStr">
        <is>
          <t>Eligible</t>
        </is>
      </c>
      <c r="N708" s="168">
        <f>IF(OR(J708="",L708=""),"",L708-J708)</f>
        <v/>
      </c>
      <c r="O708" s="169">
        <f>IF(OR(J708="",L708=""),"",L708/J708-1)</f>
        <v/>
      </c>
      <c r="P708" s="169">
        <f>IF(OR(J708="",K708=""),"",K708/J708-1)</f>
        <v/>
      </c>
      <c r="Q708" s="54">
        <f>IF(AND(ISNUMBER(J708),ISNUMBER(L708)),1,0)</f>
        <v/>
      </c>
      <c r="R708" s="69">
        <f>IF(Q708=1,G708*L708,0)</f>
        <v/>
      </c>
      <c r="S708" s="69">
        <f>IF(Q708=1,(H708+I708)*U708,0)</f>
        <v/>
      </c>
      <c r="T708" s="59">
        <f>IF(Q708=1,G708,0)</f>
        <v/>
      </c>
      <c r="U708" s="170" t="n">
        <v>1</v>
      </c>
    </row>
    <row r="709">
      <c r="A709" s="54" t="inlineStr">
        <is>
          <t>US DC S6</t>
        </is>
      </c>
      <c r="B709" s="54" t="inlineStr">
        <is>
          <t>US</t>
        </is>
      </c>
      <c r="C709" s="54" t="inlineStr">
        <is>
          <t>B0D9QR6YSH</t>
        </is>
      </c>
      <c r="D709" s="54" t="inlineStr">
        <is>
          <t>SATIN-6PC-FULL-LAVENDER</t>
        </is>
      </c>
      <c r="E709" s="54" t="inlineStr">
        <is>
          <t>Full</t>
        </is>
      </c>
      <c r="F709" s="54" t="inlineStr">
        <is>
          <t>Lavender</t>
        </is>
      </c>
      <c r="G709" s="55" t="n">
        <v>3</v>
      </c>
      <c r="H709" s="167" t="n">
        <v>76.38</v>
      </c>
      <c r="I709" s="167" t="n">
        <v>0</v>
      </c>
      <c r="J709" s="168">
        <f>IF(AND(N(G709)&gt;0,N(H709)+N(I709)&gt;0),(H709+I709)*U709/G709,"")</f>
        <v/>
      </c>
      <c r="K709" s="167" t="n">
        <v>29.95</v>
      </c>
      <c r="L709" s="167" t="n">
        <v>28.45</v>
      </c>
      <c r="M709" s="54" t="inlineStr">
        <is>
          <t>Eligible</t>
        </is>
      </c>
      <c r="N709" s="168">
        <f>IF(OR(J709="",L709=""),"",L709-J709)</f>
        <v/>
      </c>
      <c r="O709" s="169">
        <f>IF(OR(J709="",L709=""),"",L709/J709-1)</f>
        <v/>
      </c>
      <c r="P709" s="169">
        <f>IF(OR(J709="",K709=""),"",K709/J709-1)</f>
        <v/>
      </c>
      <c r="Q709" s="54">
        <f>IF(AND(ISNUMBER(J709),ISNUMBER(L709)),1,0)</f>
        <v/>
      </c>
      <c r="R709" s="69">
        <f>IF(Q709=1,G709*L709,0)</f>
        <v/>
      </c>
      <c r="S709" s="69">
        <f>IF(Q709=1,(H709+I709)*U709,0)</f>
        <v/>
      </c>
      <c r="T709" s="59">
        <f>IF(Q709=1,G709,0)</f>
        <v/>
      </c>
      <c r="U709" s="170" t="n">
        <v>1</v>
      </c>
    </row>
    <row r="710">
      <c r="A710" s="54" t="inlineStr">
        <is>
          <t>US DC S6</t>
        </is>
      </c>
      <c r="B710" s="54" t="inlineStr">
        <is>
          <t>US</t>
        </is>
      </c>
      <c r="C710" s="54" t="inlineStr">
        <is>
          <t>B0D9QRCV3S</t>
        </is>
      </c>
      <c r="D710" s="54" t="inlineStr">
        <is>
          <t>SATIN-6PC-FULL-NAVY BLUE</t>
        </is>
      </c>
      <c r="E710" s="54" t="inlineStr">
        <is>
          <t>Full</t>
        </is>
      </c>
      <c r="F710" s="54" t="inlineStr">
        <is>
          <t>Navy Blue</t>
        </is>
      </c>
      <c r="G710" s="55" t="n">
        <v>3</v>
      </c>
      <c r="H710" s="167" t="n">
        <v>89.84999999999999</v>
      </c>
      <c r="I710" s="167" t="n">
        <v>0</v>
      </c>
      <c r="J710" s="168">
        <f>IF(AND(N(G710)&gt;0,N(H710)+N(I710)&gt;0),(H710+I710)*U710/G710,"")</f>
        <v/>
      </c>
      <c r="K710" s="167" t="n">
        <v>29.95</v>
      </c>
      <c r="L710" s="167" t="n">
        <v>28.45</v>
      </c>
      <c r="M710" s="54" t="inlineStr">
        <is>
          <t>Eligible</t>
        </is>
      </c>
      <c r="N710" s="168">
        <f>IF(OR(J710="",L710=""),"",L710-J710)</f>
        <v/>
      </c>
      <c r="O710" s="169">
        <f>IF(OR(J710="",L710=""),"",L710/J710-1)</f>
        <v/>
      </c>
      <c r="P710" s="169">
        <f>IF(OR(J710="",K710=""),"",K710/J710-1)</f>
        <v/>
      </c>
      <c r="Q710" s="54">
        <f>IF(AND(ISNUMBER(J710),ISNUMBER(L710)),1,0)</f>
        <v/>
      </c>
      <c r="R710" s="69">
        <f>IF(Q710=1,G710*L710,0)</f>
        <v/>
      </c>
      <c r="S710" s="69">
        <f>IF(Q710=1,(H710+I710)*U710,0)</f>
        <v/>
      </c>
      <c r="T710" s="59">
        <f>IF(Q710=1,G710,0)</f>
        <v/>
      </c>
      <c r="U710" s="170" t="n">
        <v>1</v>
      </c>
    </row>
    <row r="711">
      <c r="A711" s="54" t="inlineStr">
        <is>
          <t>US DC S6</t>
        </is>
      </c>
      <c r="B711" s="54" t="inlineStr">
        <is>
          <t>US</t>
        </is>
      </c>
      <c r="C711" s="54" t="inlineStr">
        <is>
          <t>B0D9QVPJ4C</t>
        </is>
      </c>
      <c r="D711" s="54" t="inlineStr">
        <is>
          <t>SATIN-6PC-FULL-SAGE GREEN</t>
        </is>
      </c>
      <c r="E711" s="54" t="inlineStr">
        <is>
          <t>Full</t>
        </is>
      </c>
      <c r="F711" s="54" t="inlineStr">
        <is>
          <t>Sage Green</t>
        </is>
      </c>
      <c r="G711" s="55" t="n">
        <v>3</v>
      </c>
      <c r="H711" s="167" t="n">
        <v>89.84999999999999</v>
      </c>
      <c r="I711" s="167" t="n">
        <v>0</v>
      </c>
      <c r="J711" s="168">
        <f>IF(AND(N(G711)&gt;0,N(H711)+N(I711)&gt;0),(H711+I711)*U711/G711,"")</f>
        <v/>
      </c>
      <c r="K711" s="167" t="n">
        <v>29.95</v>
      </c>
      <c r="L711" s="167" t="n">
        <v>28.45</v>
      </c>
      <c r="M711" s="54" t="inlineStr">
        <is>
          <t>Eligible</t>
        </is>
      </c>
      <c r="N711" s="168">
        <f>IF(OR(J711="",L711=""),"",L711-J711)</f>
        <v/>
      </c>
      <c r="O711" s="169">
        <f>IF(OR(J711="",L711=""),"",L711/J711-1)</f>
        <v/>
      </c>
      <c r="P711" s="169">
        <f>IF(OR(J711="",K711=""),"",K711/J711-1)</f>
        <v/>
      </c>
      <c r="Q711" s="54">
        <f>IF(AND(ISNUMBER(J711),ISNUMBER(L711)),1,0)</f>
        <v/>
      </c>
      <c r="R711" s="69">
        <f>IF(Q711=1,G711*L711,0)</f>
        <v/>
      </c>
      <c r="S711" s="69">
        <f>IF(Q711=1,(H711+I711)*U711,0)</f>
        <v/>
      </c>
      <c r="T711" s="59">
        <f>IF(Q711=1,G711,0)</f>
        <v/>
      </c>
      <c r="U711" s="170" t="n">
        <v>1</v>
      </c>
    </row>
    <row r="712">
      <c r="A712" s="54" t="inlineStr">
        <is>
          <t>US DC S6</t>
        </is>
      </c>
      <c r="B712" s="54" t="inlineStr">
        <is>
          <t>US</t>
        </is>
      </c>
      <c r="C712" s="54" t="inlineStr">
        <is>
          <t>B0C7KB53RJ</t>
        </is>
      </c>
      <c r="D712" s="54" t="inlineStr">
        <is>
          <t>SATIN-STRIPE-FULL-BLACK--6-PCS</t>
        </is>
      </c>
      <c r="E712" s="54" t="inlineStr">
        <is>
          <t>Full</t>
        </is>
      </c>
      <c r="F712" s="54" t="inlineStr">
        <is>
          <t>Striped Black</t>
        </is>
      </c>
      <c r="G712" s="55" t="n">
        <v>3</v>
      </c>
      <c r="H712" s="167" t="n">
        <v>89.13</v>
      </c>
      <c r="I712" s="167" t="n">
        <v>0</v>
      </c>
      <c r="J712" s="168">
        <f>IF(AND(N(G712)&gt;0,N(H712)+N(I712)&gt;0),(H712+I712)*U712/G712,"")</f>
        <v/>
      </c>
      <c r="K712" s="167" t="n">
        <v>29.95</v>
      </c>
      <c r="L712" s="167" t="n">
        <v>28.45</v>
      </c>
      <c r="M712" s="54" t="inlineStr">
        <is>
          <t>Eligible</t>
        </is>
      </c>
      <c r="N712" s="168">
        <f>IF(OR(J712="",L712=""),"",L712-J712)</f>
        <v/>
      </c>
      <c r="O712" s="169">
        <f>IF(OR(J712="",L712=""),"",L712/J712-1)</f>
        <v/>
      </c>
      <c r="P712" s="169">
        <f>IF(OR(J712="",K712=""),"",K712/J712-1)</f>
        <v/>
      </c>
      <c r="Q712" s="54">
        <f>IF(AND(ISNUMBER(J712),ISNUMBER(L712)),1,0)</f>
        <v/>
      </c>
      <c r="R712" s="69">
        <f>IF(Q712=1,G712*L712,0)</f>
        <v/>
      </c>
      <c r="S712" s="69">
        <f>IF(Q712=1,(H712+I712)*U712,0)</f>
        <v/>
      </c>
      <c r="T712" s="59">
        <f>IF(Q712=1,G712,0)</f>
        <v/>
      </c>
      <c r="U712" s="170" t="n">
        <v>1</v>
      </c>
    </row>
    <row r="713">
      <c r="A713" s="54" t="inlineStr">
        <is>
          <t>US DC S6</t>
        </is>
      </c>
      <c r="B713" s="54" t="inlineStr">
        <is>
          <t>US</t>
        </is>
      </c>
      <c r="C713" s="54" t="inlineStr">
        <is>
          <t>B0C7K2B1Y3</t>
        </is>
      </c>
      <c r="D713" s="54" t="inlineStr">
        <is>
          <t>SATIN-STRIPE-FULL-WHITE--6-PCS</t>
        </is>
      </c>
      <c r="E713" s="54" t="inlineStr">
        <is>
          <t>Full</t>
        </is>
      </c>
      <c r="F713" s="54" t="inlineStr">
        <is>
          <t>Striped White</t>
        </is>
      </c>
      <c r="G713" s="55" t="n">
        <v>3</v>
      </c>
      <c r="H713" s="167" t="n">
        <v>76.38</v>
      </c>
      <c r="I713" s="167" t="n">
        <v>0</v>
      </c>
      <c r="J713" s="168">
        <f>IF(AND(N(G713)&gt;0,N(H713)+N(I713)&gt;0),(H713+I713)*U713/G713,"")</f>
        <v/>
      </c>
      <c r="K713" s="167" t="n">
        <v>29.95</v>
      </c>
      <c r="L713" s="167" t="n">
        <v>29.94</v>
      </c>
      <c r="M713" s="54" t="inlineStr">
        <is>
          <t>Eligible</t>
        </is>
      </c>
      <c r="N713" s="168">
        <f>IF(OR(J713="",L713=""),"",L713-J713)</f>
        <v/>
      </c>
      <c r="O713" s="169">
        <f>IF(OR(J713="",L713=""),"",L713/J713-1)</f>
        <v/>
      </c>
      <c r="P713" s="169">
        <f>IF(OR(J713="",K713=""),"",K713/J713-1)</f>
        <v/>
      </c>
      <c r="Q713" s="54">
        <f>IF(AND(ISNUMBER(J713),ISNUMBER(L713)),1,0)</f>
        <v/>
      </c>
      <c r="R713" s="69">
        <f>IF(Q713=1,G713*L713,0)</f>
        <v/>
      </c>
      <c r="S713" s="69">
        <f>IF(Q713=1,(H713+I713)*U713,0)</f>
        <v/>
      </c>
      <c r="T713" s="59">
        <f>IF(Q713=1,G713,0)</f>
        <v/>
      </c>
      <c r="U713" s="170" t="n">
        <v>1</v>
      </c>
    </row>
    <row r="714">
      <c r="A714" s="54" t="inlineStr">
        <is>
          <t>US DC S6</t>
        </is>
      </c>
      <c r="B714" s="54" t="inlineStr">
        <is>
          <t>US</t>
        </is>
      </c>
      <c r="C714" s="54" t="inlineStr">
        <is>
          <t>B0C7KFWRM8</t>
        </is>
      </c>
      <c r="D714" s="54" t="inlineStr">
        <is>
          <t>SATIN-STRIPE-QUEEN-PURPLE--6-PCS</t>
        </is>
      </c>
      <c r="E714" s="54" t="inlineStr">
        <is>
          <t>Queen</t>
        </is>
      </c>
      <c r="F714" s="54" t="inlineStr">
        <is>
          <t>Striped Purple</t>
        </is>
      </c>
      <c r="G714" s="55" t="n">
        <v>3</v>
      </c>
      <c r="H714" s="167" t="n">
        <v>91.05</v>
      </c>
      <c r="I714" s="167" t="n">
        <v>0</v>
      </c>
      <c r="J714" s="168">
        <f>IF(AND(N(G714)&gt;0,N(H714)+N(I714)&gt;0),(H714+I714)*U714/G714,"")</f>
        <v/>
      </c>
      <c r="K714" s="167" t="n">
        <v>31.95</v>
      </c>
      <c r="L714" s="167" t="n"/>
      <c r="M714" s="54" t="inlineStr">
        <is>
          <t>Out of stock</t>
        </is>
      </c>
      <c r="N714" s="168">
        <f>IF(OR(J714="",L714=""),"",L714-J714)</f>
        <v/>
      </c>
      <c r="O714" s="169">
        <f>IF(OR(J714="",L714=""),"",L714/J714-1)</f>
        <v/>
      </c>
      <c r="P714" s="169">
        <f>IF(OR(J714="",K714=""),"",K714/J714-1)</f>
        <v/>
      </c>
      <c r="Q714" s="54">
        <f>IF(AND(ISNUMBER(J714),ISNUMBER(L714)),1,0)</f>
        <v/>
      </c>
      <c r="R714" s="69">
        <f>IF(Q714=1,G714*L714,0)</f>
        <v/>
      </c>
      <c r="S714" s="69">
        <f>IF(Q714=1,(H714+I714)*U714,0)</f>
        <v/>
      </c>
      <c r="T714" s="59">
        <f>IF(Q714=1,G714,0)</f>
        <v/>
      </c>
      <c r="U714" s="170" t="n">
        <v>1</v>
      </c>
    </row>
    <row r="715">
      <c r="A715" s="54" t="inlineStr">
        <is>
          <t>US DC S6</t>
        </is>
      </c>
      <c r="B715" s="54" t="inlineStr">
        <is>
          <t>US</t>
        </is>
      </c>
      <c r="C715" s="54" t="inlineStr">
        <is>
          <t>B0D9QQ99HB</t>
        </is>
      </c>
      <c r="D715" s="54" t="inlineStr">
        <is>
          <t>SATIN-4PC-TWIN-BLUSH PINK</t>
        </is>
      </c>
      <c r="E715" s="54" t="inlineStr">
        <is>
          <t>Twin</t>
        </is>
      </c>
      <c r="F715" s="54" t="inlineStr">
        <is>
          <t>Blush Pink</t>
        </is>
      </c>
      <c r="G715" s="55" t="n">
        <v>3</v>
      </c>
      <c r="H715" s="167" t="n">
        <v>71.28</v>
      </c>
      <c r="I715" s="167" t="n">
        <v>0</v>
      </c>
      <c r="J715" s="168">
        <f>IF(AND(N(G715)&gt;0,N(H715)+N(I715)&gt;0),(H715+I715)*U715/G715,"")</f>
        <v/>
      </c>
      <c r="K715" s="167" t="n">
        <v>27.95</v>
      </c>
      <c r="L715" s="167" t="n">
        <v>27.94</v>
      </c>
      <c r="M715" s="54" t="inlineStr">
        <is>
          <t>Eligible</t>
        </is>
      </c>
      <c r="N715" s="168">
        <f>IF(OR(J715="",L715=""),"",L715-J715)</f>
        <v/>
      </c>
      <c r="O715" s="169">
        <f>IF(OR(J715="",L715=""),"",L715/J715-1)</f>
        <v/>
      </c>
      <c r="P715" s="169">
        <f>IF(OR(J715="",K715=""),"",K715/J715-1)</f>
        <v/>
      </c>
      <c r="Q715" s="54">
        <f>IF(AND(ISNUMBER(J715),ISNUMBER(L715)),1,0)</f>
        <v/>
      </c>
      <c r="R715" s="69">
        <f>IF(Q715=1,G715*L715,0)</f>
        <v/>
      </c>
      <c r="S715" s="69">
        <f>IF(Q715=1,(H715+I715)*U715,0)</f>
        <v/>
      </c>
      <c r="T715" s="59">
        <f>IF(Q715=1,G715,0)</f>
        <v/>
      </c>
      <c r="U715" s="170" t="n">
        <v>1</v>
      </c>
    </row>
    <row r="716">
      <c r="A716" s="54" t="inlineStr">
        <is>
          <t>US DC S6</t>
        </is>
      </c>
      <c r="B716" s="54" t="inlineStr">
        <is>
          <t>US</t>
        </is>
      </c>
      <c r="C716" s="54" t="inlineStr">
        <is>
          <t>B0C7FBCF2X</t>
        </is>
      </c>
      <c r="D716" s="54" t="inlineStr">
        <is>
          <t>SATIN-WHITE-TWIN-6PCS</t>
        </is>
      </c>
      <c r="E716" s="54" t="inlineStr">
        <is>
          <t>Twin</t>
        </is>
      </c>
      <c r="F716" s="54" t="inlineStr">
        <is>
          <t>White</t>
        </is>
      </c>
      <c r="G716" s="55" t="n">
        <v>3</v>
      </c>
      <c r="H716" s="167" t="n">
        <v>79.65000000000001</v>
      </c>
      <c r="I716" s="167" t="n">
        <v>0</v>
      </c>
      <c r="J716" s="168">
        <f>IF(AND(N(G716)&gt;0,N(H716)+N(I716)&gt;0),(H716+I716)*U716/G716,"")</f>
        <v/>
      </c>
      <c r="K716" s="167" t="n">
        <v>27.95</v>
      </c>
      <c r="L716" s="167" t="n">
        <v>26.55</v>
      </c>
      <c r="M716" s="54" t="inlineStr">
        <is>
          <t>Eligible</t>
        </is>
      </c>
      <c r="N716" s="168">
        <f>IF(OR(J716="",L716=""),"",L716-J716)</f>
        <v/>
      </c>
      <c r="O716" s="169">
        <f>IF(OR(J716="",L716=""),"",L716/J716-1)</f>
        <v/>
      </c>
      <c r="P716" s="169">
        <f>IF(OR(J716="",K716=""),"",K716/J716-1)</f>
        <v/>
      </c>
      <c r="Q716" s="54">
        <f>IF(AND(ISNUMBER(J716),ISNUMBER(L716)),1,0)</f>
        <v/>
      </c>
      <c r="R716" s="69">
        <f>IF(Q716=1,G716*L716,0)</f>
        <v/>
      </c>
      <c r="S716" s="69">
        <f>IF(Q716=1,(H716+I716)*U716,0)</f>
        <v/>
      </c>
      <c r="T716" s="59">
        <f>IF(Q716=1,G716,0)</f>
        <v/>
      </c>
      <c r="U716" s="170" t="n">
        <v>1</v>
      </c>
    </row>
    <row r="717">
      <c r="A717" s="54" t="inlineStr">
        <is>
          <t>US DC S6</t>
        </is>
      </c>
      <c r="B717" s="54" t="inlineStr">
        <is>
          <t>US</t>
        </is>
      </c>
      <c r="C717" s="54" t="inlineStr">
        <is>
          <t>B0D9QRNBSH</t>
        </is>
      </c>
      <c r="D717" s="54" t="inlineStr">
        <is>
          <t>SATIN-6PC-FULL-BURNT ORANGE</t>
        </is>
      </c>
      <c r="E717" s="54" t="inlineStr">
        <is>
          <t>Full</t>
        </is>
      </c>
      <c r="F717" s="54" t="inlineStr">
        <is>
          <t>Burnt Orange</t>
        </is>
      </c>
      <c r="G717" s="55" t="n">
        <v>2</v>
      </c>
      <c r="H717" s="167" t="n">
        <v>59.9</v>
      </c>
      <c r="I717" s="167" t="n">
        <v>0</v>
      </c>
      <c r="J717" s="168">
        <f>IF(AND(N(G717)&gt;0,N(H717)+N(I717)&gt;0),(H717+I717)*U717/G717,"")</f>
        <v/>
      </c>
      <c r="K717" s="167" t="n">
        <v>29.95</v>
      </c>
      <c r="L717" s="167" t="n">
        <v>29.94</v>
      </c>
      <c r="M717" s="54" t="inlineStr">
        <is>
          <t>Eligible</t>
        </is>
      </c>
      <c r="N717" s="168">
        <f>IF(OR(J717="",L717=""),"",L717-J717)</f>
        <v/>
      </c>
      <c r="O717" s="169">
        <f>IF(OR(J717="",L717=""),"",L717/J717-1)</f>
        <v/>
      </c>
      <c r="P717" s="169">
        <f>IF(OR(J717="",K717=""),"",K717/J717-1)</f>
        <v/>
      </c>
      <c r="Q717" s="54">
        <f>IF(AND(ISNUMBER(J717),ISNUMBER(L717)),1,0)</f>
        <v/>
      </c>
      <c r="R717" s="69">
        <f>IF(Q717=1,G717*L717,0)</f>
        <v/>
      </c>
      <c r="S717" s="69">
        <f>IF(Q717=1,(H717+I717)*U717,0)</f>
        <v/>
      </c>
      <c r="T717" s="59">
        <f>IF(Q717=1,G717,0)</f>
        <v/>
      </c>
      <c r="U717" s="170" t="n">
        <v>1</v>
      </c>
    </row>
    <row r="718">
      <c r="A718" s="54" t="inlineStr">
        <is>
          <t>US DC S6</t>
        </is>
      </c>
      <c r="B718" s="54" t="inlineStr">
        <is>
          <t>US</t>
        </is>
      </c>
      <c r="C718" s="54" t="inlineStr">
        <is>
          <t>B0C7K7YWH2</t>
        </is>
      </c>
      <c r="D718" s="54" t="inlineStr">
        <is>
          <t>SATIN-STRIPE-FULL-PINK--6--PCS</t>
        </is>
      </c>
      <c r="E718" s="54" t="inlineStr">
        <is>
          <t>Full</t>
        </is>
      </c>
      <c r="F718" s="54" t="inlineStr">
        <is>
          <t>Striped Pink</t>
        </is>
      </c>
      <c r="G718" s="55" t="n">
        <v>2</v>
      </c>
      <c r="H718" s="167" t="n">
        <v>59.9</v>
      </c>
      <c r="I718" s="167" t="n">
        <v>0</v>
      </c>
      <c r="J718" s="168">
        <f>IF(AND(N(G718)&gt;0,N(H718)+N(I718)&gt;0),(H718+I718)*U718/G718,"")</f>
        <v/>
      </c>
      <c r="K718" s="167" t="n">
        <v>29.95</v>
      </c>
      <c r="L718" s="167" t="n"/>
      <c r="M718" s="54" t="inlineStr">
        <is>
          <t>Out of stock</t>
        </is>
      </c>
      <c r="N718" s="168">
        <f>IF(OR(J718="",L718=""),"",L718-J718)</f>
        <v/>
      </c>
      <c r="O718" s="169">
        <f>IF(OR(J718="",L718=""),"",L718/J718-1)</f>
        <v/>
      </c>
      <c r="P718" s="169">
        <f>IF(OR(J718="",K718=""),"",K718/J718-1)</f>
        <v/>
      </c>
      <c r="Q718" s="54">
        <f>IF(AND(ISNUMBER(J718),ISNUMBER(L718)),1,0)</f>
        <v/>
      </c>
      <c r="R718" s="69">
        <f>IF(Q718=1,G718*L718,0)</f>
        <v/>
      </c>
      <c r="S718" s="69">
        <f>IF(Q718=1,(H718+I718)*U718,0)</f>
        <v/>
      </c>
      <c r="T718" s="59">
        <f>IF(Q718=1,G718,0)</f>
        <v/>
      </c>
      <c r="U718" s="170" t="n">
        <v>1</v>
      </c>
    </row>
    <row r="719">
      <c r="A719" s="54" t="inlineStr">
        <is>
          <t>US DC S6</t>
        </is>
      </c>
      <c r="B719" s="54" t="inlineStr">
        <is>
          <t>US</t>
        </is>
      </c>
      <c r="C719" s="54" t="inlineStr">
        <is>
          <t>B0C7KBKH28</t>
        </is>
      </c>
      <c r="D719" s="54" t="inlineStr">
        <is>
          <t>SATIN-STRIPE-KING-BLUE--6-PCS</t>
        </is>
      </c>
      <c r="E719" s="54" t="inlineStr">
        <is>
          <t>King</t>
        </is>
      </c>
      <c r="F719" s="54" t="inlineStr">
        <is>
          <t>Striped Blue</t>
        </is>
      </c>
      <c r="G719" s="55" t="n">
        <v>2</v>
      </c>
      <c r="H719" s="167" t="n">
        <v>64.5</v>
      </c>
      <c r="I719" s="167" t="n">
        <v>0</v>
      </c>
      <c r="J719" s="168">
        <f>IF(AND(N(G719)&gt;0,N(H719)+N(I719)&gt;0),(H719+I719)*U719/G719,"")</f>
        <v/>
      </c>
      <c r="K719" s="167" t="n">
        <v>33.95</v>
      </c>
      <c r="L719" s="167" t="n"/>
      <c r="M719" s="54" t="inlineStr">
        <is>
          <t>Out of stock</t>
        </is>
      </c>
      <c r="N719" s="168">
        <f>IF(OR(J719="",L719=""),"",L719-J719)</f>
        <v/>
      </c>
      <c r="O719" s="169">
        <f>IF(OR(J719="",L719=""),"",L719/J719-1)</f>
        <v/>
      </c>
      <c r="P719" s="169">
        <f>IF(OR(J719="",K719=""),"",K719/J719-1)</f>
        <v/>
      </c>
      <c r="Q719" s="54">
        <f>IF(AND(ISNUMBER(J719),ISNUMBER(L719)),1,0)</f>
        <v/>
      </c>
      <c r="R719" s="69">
        <f>IF(Q719=1,G719*L719,0)</f>
        <v/>
      </c>
      <c r="S719" s="69">
        <f>IF(Q719=1,(H719+I719)*U719,0)</f>
        <v/>
      </c>
      <c r="T719" s="59">
        <f>IF(Q719=1,G719,0)</f>
        <v/>
      </c>
      <c r="U719" s="170" t="n">
        <v>1</v>
      </c>
    </row>
    <row r="720">
      <c r="A720" s="54" t="inlineStr">
        <is>
          <t>US DC S6</t>
        </is>
      </c>
      <c r="B720" s="54" t="inlineStr">
        <is>
          <t>US</t>
        </is>
      </c>
      <c r="C720" s="54" t="inlineStr">
        <is>
          <t>B0C7KD5MPK</t>
        </is>
      </c>
      <c r="D720" s="54" t="inlineStr">
        <is>
          <t>SATIN-STRIPE-KING-WHITE--6-PCS</t>
        </is>
      </c>
      <c r="E720" s="54" t="inlineStr">
        <is>
          <t>King</t>
        </is>
      </c>
      <c r="F720" s="54" t="inlineStr">
        <is>
          <t>Striped White</t>
        </is>
      </c>
      <c r="G720" s="55" t="n">
        <v>2</v>
      </c>
      <c r="H720" s="167" t="n">
        <v>64.5</v>
      </c>
      <c r="I720" s="167" t="n">
        <v>0</v>
      </c>
      <c r="J720" s="168">
        <f>IF(AND(N(G720)&gt;0,N(H720)+N(I720)&gt;0),(H720+I720)*U720/G720,"")</f>
        <v/>
      </c>
      <c r="K720" s="167" t="n">
        <v>33.95</v>
      </c>
      <c r="L720" s="167" t="n"/>
      <c r="M720" s="54" t="inlineStr">
        <is>
          <t>Out of stock</t>
        </is>
      </c>
      <c r="N720" s="168">
        <f>IF(OR(J720="",L720=""),"",L720-J720)</f>
        <v/>
      </c>
      <c r="O720" s="169">
        <f>IF(OR(J720="",L720=""),"",L720/J720-1)</f>
        <v/>
      </c>
      <c r="P720" s="169">
        <f>IF(OR(J720="",K720=""),"",K720/J720-1)</f>
        <v/>
      </c>
      <c r="Q720" s="54">
        <f>IF(AND(ISNUMBER(J720),ISNUMBER(L720)),1,0)</f>
        <v/>
      </c>
      <c r="R720" s="69">
        <f>IF(Q720=1,G720*L720,0)</f>
        <v/>
      </c>
      <c r="S720" s="69">
        <f>IF(Q720=1,(H720+I720)*U720,0)</f>
        <v/>
      </c>
      <c r="T720" s="59">
        <f>IF(Q720=1,G720,0)</f>
        <v/>
      </c>
      <c r="U720" s="170" t="n">
        <v>1</v>
      </c>
    </row>
    <row r="721">
      <c r="A721" s="54" t="inlineStr">
        <is>
          <t>US DC S6</t>
        </is>
      </c>
      <c r="B721" s="54" t="inlineStr">
        <is>
          <t>US</t>
        </is>
      </c>
      <c r="C721" s="54" t="inlineStr">
        <is>
          <t>B0C7K92CTB</t>
        </is>
      </c>
      <c r="D721" s="54" t="inlineStr">
        <is>
          <t>SATIN-STRIPE-QUEEN-GOLD--6-PCS</t>
        </is>
      </c>
      <c r="E721" s="54" t="inlineStr">
        <is>
          <t>Queen</t>
        </is>
      </c>
      <c r="F721" s="54" t="inlineStr">
        <is>
          <t>Striped Gold</t>
        </is>
      </c>
      <c r="G721" s="55" t="n">
        <v>2</v>
      </c>
      <c r="H721" s="167" t="n">
        <v>60.7</v>
      </c>
      <c r="I721" s="167" t="n">
        <v>0</v>
      </c>
      <c r="J721" s="168">
        <f>IF(AND(N(G721)&gt;0,N(H721)+N(I721)&gt;0),(H721+I721)*U721/G721,"")</f>
        <v/>
      </c>
      <c r="K721" s="167" t="n">
        <v>31.95</v>
      </c>
      <c r="L721" s="167" t="n">
        <v>30.35</v>
      </c>
      <c r="M721" s="54" t="inlineStr">
        <is>
          <t>Eligible</t>
        </is>
      </c>
      <c r="N721" s="168">
        <f>IF(OR(J721="",L721=""),"",L721-J721)</f>
        <v/>
      </c>
      <c r="O721" s="169">
        <f>IF(OR(J721="",L721=""),"",L721/J721-1)</f>
        <v/>
      </c>
      <c r="P721" s="169">
        <f>IF(OR(J721="",K721=""),"",K721/J721-1)</f>
        <v/>
      </c>
      <c r="Q721" s="54">
        <f>IF(AND(ISNUMBER(J721),ISNUMBER(L721)),1,0)</f>
        <v/>
      </c>
      <c r="R721" s="69">
        <f>IF(Q721=1,G721*L721,0)</f>
        <v/>
      </c>
      <c r="S721" s="69">
        <f>IF(Q721=1,(H721+I721)*U721,0)</f>
        <v/>
      </c>
      <c r="T721" s="59">
        <f>IF(Q721=1,G721,0)</f>
        <v/>
      </c>
      <c r="U721" s="170" t="n">
        <v>1</v>
      </c>
    </row>
    <row r="722">
      <c r="A722" s="54" t="inlineStr">
        <is>
          <t>US DC S6</t>
        </is>
      </c>
      <c r="B722" s="54" t="inlineStr">
        <is>
          <t>US</t>
        </is>
      </c>
      <c r="C722" s="54" t="inlineStr">
        <is>
          <t>B0C7KBHV72</t>
        </is>
      </c>
      <c r="D722" s="54" t="inlineStr">
        <is>
          <t>SATIN-STRIPE-QUEEN-RED--6-PCS</t>
        </is>
      </c>
      <c r="E722" s="54" t="inlineStr">
        <is>
          <t>Queen</t>
        </is>
      </c>
      <c r="F722" s="54" t="inlineStr">
        <is>
          <t>Striped Red</t>
        </is>
      </c>
      <c r="G722" s="55" t="n">
        <v>2</v>
      </c>
      <c r="H722" s="167" t="n">
        <v>60.7</v>
      </c>
      <c r="I722" s="167" t="n">
        <v>0</v>
      </c>
      <c r="J722" s="168">
        <f>IF(AND(N(G722)&gt;0,N(H722)+N(I722)&gt;0),(H722+I722)*U722/G722,"")</f>
        <v/>
      </c>
      <c r="K722" s="167" t="n"/>
      <c r="L722" s="167" t="n"/>
      <c r="M722" s="54" t="inlineStr">
        <is>
          <t>Not in a deal</t>
        </is>
      </c>
      <c r="N722" s="168">
        <f>IF(OR(J722="",L722=""),"",L722-J722)</f>
        <v/>
      </c>
      <c r="O722" s="169">
        <f>IF(OR(J722="",L722=""),"",L722/J722-1)</f>
        <v/>
      </c>
      <c r="P722" s="169">
        <f>IF(OR(J722="",K722=""),"",K722/J722-1)</f>
        <v/>
      </c>
      <c r="Q722" s="54">
        <f>IF(AND(ISNUMBER(J722),ISNUMBER(L722)),1,0)</f>
        <v/>
      </c>
      <c r="R722" s="69">
        <f>IF(Q722=1,G722*L722,0)</f>
        <v/>
      </c>
      <c r="S722" s="69">
        <f>IF(Q722=1,(H722+I722)*U722,0)</f>
        <v/>
      </c>
      <c r="T722" s="59">
        <f>IF(Q722=1,G722,0)</f>
        <v/>
      </c>
      <c r="U722" s="170" t="n">
        <v>1</v>
      </c>
    </row>
    <row r="723">
      <c r="A723" s="54" t="inlineStr">
        <is>
          <t>US DC S6</t>
        </is>
      </c>
      <c r="B723" s="54" t="inlineStr">
        <is>
          <t>US</t>
        </is>
      </c>
      <c r="C723" s="54" t="inlineStr">
        <is>
          <t>B0C7FLZ6S8</t>
        </is>
      </c>
      <c r="D723" s="54" t="inlineStr">
        <is>
          <t>SATIN-CHAMPAGNE-TWIN-6PCS</t>
        </is>
      </c>
      <c r="E723" s="54" t="inlineStr">
        <is>
          <t>Twin</t>
        </is>
      </c>
      <c r="F723" s="54" t="inlineStr">
        <is>
          <t>Champagne</t>
        </is>
      </c>
      <c r="G723" s="55" t="n">
        <v>2</v>
      </c>
      <c r="H723" s="167" t="n">
        <v>55.9</v>
      </c>
      <c r="I723" s="167" t="n">
        <v>0</v>
      </c>
      <c r="J723" s="168">
        <f>IF(AND(N(G723)&gt;0,N(H723)+N(I723)&gt;0),(H723+I723)*U723/G723,"")</f>
        <v/>
      </c>
      <c r="K723" s="167" t="n">
        <v>27.95</v>
      </c>
      <c r="L723" s="167" t="n">
        <v>27.94</v>
      </c>
      <c r="M723" s="54" t="inlineStr">
        <is>
          <t>Eligible</t>
        </is>
      </c>
      <c r="N723" s="168">
        <f>IF(OR(J723="",L723=""),"",L723-J723)</f>
        <v/>
      </c>
      <c r="O723" s="169">
        <f>IF(OR(J723="",L723=""),"",L723/J723-1)</f>
        <v/>
      </c>
      <c r="P723" s="169">
        <f>IF(OR(J723="",K723=""),"",K723/J723-1)</f>
        <v/>
      </c>
      <c r="Q723" s="54">
        <f>IF(AND(ISNUMBER(J723),ISNUMBER(L723)),1,0)</f>
        <v/>
      </c>
      <c r="R723" s="69">
        <f>IF(Q723=1,G723*L723,0)</f>
        <v/>
      </c>
      <c r="S723" s="69">
        <f>IF(Q723=1,(H723+I723)*U723,0)</f>
        <v/>
      </c>
      <c r="T723" s="59">
        <f>IF(Q723=1,G723,0)</f>
        <v/>
      </c>
      <c r="U723" s="170" t="n">
        <v>1</v>
      </c>
    </row>
    <row r="724">
      <c r="A724" s="54" t="inlineStr">
        <is>
          <t>US DC S6</t>
        </is>
      </c>
      <c r="B724" s="54" t="inlineStr">
        <is>
          <t>US</t>
        </is>
      </c>
      <c r="C724" s="54" t="inlineStr">
        <is>
          <t>B0C7FXTXLD</t>
        </is>
      </c>
      <c r="D724" s="54" t="inlineStr">
        <is>
          <t>SATIN-GOLD-TWIN-6PCS</t>
        </is>
      </c>
      <c r="E724" s="54" t="inlineStr">
        <is>
          <t>Twin</t>
        </is>
      </c>
      <c r="F724" s="54" t="inlineStr">
        <is>
          <t>Gold</t>
        </is>
      </c>
      <c r="G724" s="55" t="n">
        <v>2</v>
      </c>
      <c r="H724" s="167" t="n">
        <v>53.1</v>
      </c>
      <c r="I724" s="167" t="n">
        <v>0</v>
      </c>
      <c r="J724" s="168">
        <f>IF(AND(N(G724)&gt;0,N(H724)+N(I724)&gt;0),(H724+I724)*U724/G724,"")</f>
        <v/>
      </c>
      <c r="K724" s="167" t="n">
        <v>27.95</v>
      </c>
      <c r="L724" s="167" t="n">
        <v>26.55</v>
      </c>
      <c r="M724" s="54" t="inlineStr">
        <is>
          <t>Eligible</t>
        </is>
      </c>
      <c r="N724" s="168">
        <f>IF(OR(J724="",L724=""),"",L724-J724)</f>
        <v/>
      </c>
      <c r="O724" s="169">
        <f>IF(OR(J724="",L724=""),"",L724/J724-1)</f>
        <v/>
      </c>
      <c r="P724" s="169">
        <f>IF(OR(J724="",K724=""),"",K724/J724-1)</f>
        <v/>
      </c>
      <c r="Q724" s="54">
        <f>IF(AND(ISNUMBER(J724),ISNUMBER(L724)),1,0)</f>
        <v/>
      </c>
      <c r="R724" s="69">
        <f>IF(Q724=1,G724*L724,0)</f>
        <v/>
      </c>
      <c r="S724" s="69">
        <f>IF(Q724=1,(H724+I724)*U724,0)</f>
        <v/>
      </c>
      <c r="T724" s="59">
        <f>IF(Q724=1,G724,0)</f>
        <v/>
      </c>
      <c r="U724" s="170" t="n">
        <v>1</v>
      </c>
    </row>
    <row r="725">
      <c r="A725" s="54" t="inlineStr">
        <is>
          <t>US DC S6</t>
        </is>
      </c>
      <c r="B725" s="54" t="inlineStr">
        <is>
          <t>US</t>
        </is>
      </c>
      <c r="C725" s="54" t="inlineStr">
        <is>
          <t>B0C7FSXPC5</t>
        </is>
      </c>
      <c r="D725" s="54" t="inlineStr">
        <is>
          <t>SATIN-CHAMPAGNE-FULL-6PCS</t>
        </is>
      </c>
      <c r="E725" s="54" t="inlineStr">
        <is>
          <t>Full</t>
        </is>
      </c>
      <c r="F725" s="54" t="inlineStr">
        <is>
          <t>Champagne</t>
        </is>
      </c>
      <c r="G725" s="55" t="n">
        <v>1</v>
      </c>
      <c r="H725" s="167" t="n">
        <v>25.46</v>
      </c>
      <c r="I725" s="167" t="n">
        <v>0</v>
      </c>
      <c r="J725" s="168">
        <f>IF(AND(N(G725)&gt;0,N(H725)+N(I725)&gt;0),(H725+I725)*U725/G725,"")</f>
        <v/>
      </c>
      <c r="K725" s="167" t="n">
        <v>29.95</v>
      </c>
      <c r="L725" s="167" t="n">
        <v>28.45</v>
      </c>
      <c r="M725" s="54" t="inlineStr">
        <is>
          <t>Eligible</t>
        </is>
      </c>
      <c r="N725" s="168">
        <f>IF(OR(J725="",L725=""),"",L725-J725)</f>
        <v/>
      </c>
      <c r="O725" s="169">
        <f>IF(OR(J725="",L725=""),"",L725/J725-1)</f>
        <v/>
      </c>
      <c r="P725" s="169">
        <f>IF(OR(J725="",K725=""),"",K725/J725-1)</f>
        <v/>
      </c>
      <c r="Q725" s="54">
        <f>IF(AND(ISNUMBER(J725),ISNUMBER(L725)),1,0)</f>
        <v/>
      </c>
      <c r="R725" s="69">
        <f>IF(Q725=1,G725*L725,0)</f>
        <v/>
      </c>
      <c r="S725" s="69">
        <f>IF(Q725=1,(H725+I725)*U725,0)</f>
        <v/>
      </c>
      <c r="T725" s="59">
        <f>IF(Q725=1,G725,0)</f>
        <v/>
      </c>
      <c r="U725" s="170" t="n">
        <v>1</v>
      </c>
    </row>
    <row r="726">
      <c r="A726" s="54" t="inlineStr">
        <is>
          <t>US DC S6</t>
        </is>
      </c>
      <c r="B726" s="54" t="inlineStr">
        <is>
          <t>US</t>
        </is>
      </c>
      <c r="C726" s="54" t="inlineStr">
        <is>
          <t>B0C7FKJWJV</t>
        </is>
      </c>
      <c r="D726" s="54" t="inlineStr">
        <is>
          <t>SATIN-IVORY-FULL-6PCS</t>
        </is>
      </c>
      <c r="E726" s="54" t="inlineStr">
        <is>
          <t>Full</t>
        </is>
      </c>
      <c r="F726" s="54" t="inlineStr">
        <is>
          <t>Ivory</t>
        </is>
      </c>
      <c r="G726" s="55" t="n">
        <v>1</v>
      </c>
      <c r="H726" s="167" t="n">
        <v>25.46</v>
      </c>
      <c r="I726" s="167" t="n">
        <v>0</v>
      </c>
      <c r="J726" s="168">
        <f>IF(AND(N(G726)&gt;0,N(H726)+N(I726)&gt;0),(H726+I726)*U726/G726,"")</f>
        <v/>
      </c>
      <c r="K726" s="167" t="n">
        <v>29.95</v>
      </c>
      <c r="L726" s="167" t="n">
        <v>28.45</v>
      </c>
      <c r="M726" s="54" t="inlineStr">
        <is>
          <t>Eligible</t>
        </is>
      </c>
      <c r="N726" s="168">
        <f>IF(OR(J726="",L726=""),"",L726-J726)</f>
        <v/>
      </c>
      <c r="O726" s="169">
        <f>IF(OR(J726="",L726=""),"",L726/J726-1)</f>
        <v/>
      </c>
      <c r="P726" s="169">
        <f>IF(OR(J726="",K726=""),"",K726/J726-1)</f>
        <v/>
      </c>
      <c r="Q726" s="54">
        <f>IF(AND(ISNUMBER(J726),ISNUMBER(L726)),1,0)</f>
        <v/>
      </c>
      <c r="R726" s="69">
        <f>IF(Q726=1,G726*L726,0)</f>
        <v/>
      </c>
      <c r="S726" s="69">
        <f>IF(Q726=1,(H726+I726)*U726,0)</f>
        <v/>
      </c>
      <c r="T726" s="59">
        <f>IF(Q726=1,G726,0)</f>
        <v/>
      </c>
      <c r="U726" s="170" t="n">
        <v>1</v>
      </c>
    </row>
    <row r="727">
      <c r="A727" s="54" t="inlineStr">
        <is>
          <t>US DC S6</t>
        </is>
      </c>
      <c r="B727" s="54" t="inlineStr">
        <is>
          <t>US</t>
        </is>
      </c>
      <c r="C727" s="54" t="inlineStr">
        <is>
          <t>B0C7K3WWDT</t>
        </is>
      </c>
      <c r="D727" s="54" t="inlineStr">
        <is>
          <t>SATIN-STRIPE-FULL-PURPLE--6-PCS</t>
        </is>
      </c>
      <c r="E727" s="54" t="inlineStr">
        <is>
          <t>Full</t>
        </is>
      </c>
      <c r="F727" s="54" t="inlineStr">
        <is>
          <t>Striped Purple</t>
        </is>
      </c>
      <c r="G727" s="55" t="n">
        <v>1</v>
      </c>
      <c r="H727" s="167" t="n">
        <v>25.46</v>
      </c>
      <c r="I727" s="167" t="n">
        <v>0</v>
      </c>
      <c r="J727" s="168">
        <f>IF(AND(N(G727)&gt;0,N(H727)+N(I727)&gt;0),(H727+I727)*U727/G727,"")</f>
        <v/>
      </c>
      <c r="K727" s="167" t="n">
        <v>29.95</v>
      </c>
      <c r="L727" s="167" t="n">
        <v>29.94</v>
      </c>
      <c r="M727" s="54" t="inlineStr">
        <is>
          <t>Eligible</t>
        </is>
      </c>
      <c r="N727" s="168">
        <f>IF(OR(J727="",L727=""),"",L727-J727)</f>
        <v/>
      </c>
      <c r="O727" s="169">
        <f>IF(OR(J727="",L727=""),"",L727/J727-1)</f>
        <v/>
      </c>
      <c r="P727" s="169">
        <f>IF(OR(J727="",K727=""),"",K727/J727-1)</f>
        <v/>
      </c>
      <c r="Q727" s="54">
        <f>IF(AND(ISNUMBER(J727),ISNUMBER(L727)),1,0)</f>
        <v/>
      </c>
      <c r="R727" s="69">
        <f>IF(Q727=1,G727*L727,0)</f>
        <v/>
      </c>
      <c r="S727" s="69">
        <f>IF(Q727=1,(H727+I727)*U727,0)</f>
        <v/>
      </c>
      <c r="T727" s="59">
        <f>IF(Q727=1,G727,0)</f>
        <v/>
      </c>
      <c r="U727" s="170" t="n">
        <v>1</v>
      </c>
    </row>
    <row r="728">
      <c r="A728" s="54" t="inlineStr">
        <is>
          <t>US DC S6</t>
        </is>
      </c>
      <c r="B728" s="54" t="inlineStr">
        <is>
          <t>US</t>
        </is>
      </c>
      <c r="C728" s="54" t="inlineStr">
        <is>
          <t>B0C7KBFK2P</t>
        </is>
      </c>
      <c r="D728" s="54" t="inlineStr">
        <is>
          <t>SATIN-STRIPE-KING-GOLD--6-PCS</t>
        </is>
      </c>
      <c r="E728" s="54" t="inlineStr">
        <is>
          <t>King</t>
        </is>
      </c>
      <c r="F728" s="54" t="inlineStr">
        <is>
          <t>Striped Gold</t>
        </is>
      </c>
      <c r="G728" s="55" t="n">
        <v>1</v>
      </c>
      <c r="H728" s="167" t="n">
        <v>32.25</v>
      </c>
      <c r="I728" s="167" t="n">
        <v>0</v>
      </c>
      <c r="J728" s="168">
        <f>IF(AND(N(G728)&gt;0,N(H728)+N(I728)&gt;0),(H728+I728)*U728/G728,"")</f>
        <v/>
      </c>
      <c r="K728" s="167" t="n">
        <v>33.95</v>
      </c>
      <c r="L728" s="167" t="n"/>
      <c r="M728" s="54" t="inlineStr">
        <is>
          <t>Out of stock</t>
        </is>
      </c>
      <c r="N728" s="168">
        <f>IF(OR(J728="",L728=""),"",L728-J728)</f>
        <v/>
      </c>
      <c r="O728" s="169">
        <f>IF(OR(J728="",L728=""),"",L728/J728-1)</f>
        <v/>
      </c>
      <c r="P728" s="169">
        <f>IF(OR(J728="",K728=""),"",K728/J728-1)</f>
        <v/>
      </c>
      <c r="Q728" s="54">
        <f>IF(AND(ISNUMBER(J728),ISNUMBER(L728)),1,0)</f>
        <v/>
      </c>
      <c r="R728" s="69">
        <f>IF(Q728=1,G728*L728,0)</f>
        <v/>
      </c>
      <c r="S728" s="69">
        <f>IF(Q728=1,(H728+I728)*U728,0)</f>
        <v/>
      </c>
      <c r="T728" s="59">
        <f>IF(Q728=1,G728,0)</f>
        <v/>
      </c>
      <c r="U728" s="170" t="n">
        <v>1</v>
      </c>
    </row>
    <row r="729">
      <c r="A729" s="54" t="inlineStr">
        <is>
          <t>US DC S6</t>
        </is>
      </c>
      <c r="B729" s="54" t="inlineStr">
        <is>
          <t>US</t>
        </is>
      </c>
      <c r="C729" s="54" t="inlineStr">
        <is>
          <t>B0C7JQ8266</t>
        </is>
      </c>
      <c r="D729" s="54" t="inlineStr">
        <is>
          <t>SATIN-STRIPE-QUEEN-WHITE--6-PCS</t>
        </is>
      </c>
      <c r="E729" s="54" t="inlineStr">
        <is>
          <t>Queen</t>
        </is>
      </c>
      <c r="F729" s="54" t="inlineStr">
        <is>
          <t>Striped White</t>
        </is>
      </c>
      <c r="G729" s="55" t="n">
        <v>1</v>
      </c>
      <c r="H729" s="167" t="n">
        <v>30.35</v>
      </c>
      <c r="I729" s="167" t="n">
        <v>0</v>
      </c>
      <c r="J729" s="168">
        <f>IF(AND(N(G729)&gt;0,N(H729)+N(I729)&gt;0),(H729+I729)*U729/G729,"")</f>
        <v/>
      </c>
      <c r="K729" s="167" t="n">
        <v>31.95</v>
      </c>
      <c r="L729" s="167" t="n">
        <v>30.35</v>
      </c>
      <c r="M729" s="54" t="inlineStr">
        <is>
          <t>Eligible</t>
        </is>
      </c>
      <c r="N729" s="168">
        <f>IF(OR(J729="",L729=""),"",L729-J729)</f>
        <v/>
      </c>
      <c r="O729" s="169">
        <f>IF(OR(J729="",L729=""),"",L729/J729-1)</f>
        <v/>
      </c>
      <c r="P729" s="169">
        <f>IF(OR(J729="",K729=""),"",K729/J729-1)</f>
        <v/>
      </c>
      <c r="Q729" s="54">
        <f>IF(AND(ISNUMBER(J729),ISNUMBER(L729)),1,0)</f>
        <v/>
      </c>
      <c r="R729" s="69">
        <f>IF(Q729=1,G729*L729,0)</f>
        <v/>
      </c>
      <c r="S729" s="69">
        <f>IF(Q729=1,(H729+I729)*U729,0)</f>
        <v/>
      </c>
      <c r="T729" s="59">
        <f>IF(Q729=1,G729,0)</f>
        <v/>
      </c>
      <c r="U729" s="170" t="n">
        <v>1</v>
      </c>
    </row>
    <row r="730">
      <c r="A730" s="54" t="inlineStr">
        <is>
          <t>US DC S6</t>
        </is>
      </c>
      <c r="B730" s="54" t="inlineStr">
        <is>
          <t>US</t>
        </is>
      </c>
      <c r="C730" s="54" t="inlineStr">
        <is>
          <t>B0C7FFM7L9</t>
        </is>
      </c>
      <c r="D730" s="54" t="inlineStr">
        <is>
          <t>SATIN-TWIN-BLUE-6PCS</t>
        </is>
      </c>
      <c r="E730" s="54" t="inlineStr">
        <is>
          <t>Twin</t>
        </is>
      </c>
      <c r="F730" s="54" t="inlineStr">
        <is>
          <t>Blue</t>
        </is>
      </c>
      <c r="G730" s="55" t="n">
        <v>1</v>
      </c>
      <c r="H730" s="167" t="n">
        <v>23.76</v>
      </c>
      <c r="I730" s="167" t="n">
        <v>0</v>
      </c>
      <c r="J730" s="168">
        <f>IF(AND(N(G730)&gt;0,N(H730)+N(I730)&gt;0),(H730+I730)*U730/G730,"")</f>
        <v/>
      </c>
      <c r="K730" s="167" t="n">
        <v>27.95</v>
      </c>
      <c r="L730" s="167" t="n">
        <v>26.55</v>
      </c>
      <c r="M730" s="54" t="inlineStr">
        <is>
          <t>Eligible</t>
        </is>
      </c>
      <c r="N730" s="168">
        <f>IF(OR(J730="",L730=""),"",L730-J730)</f>
        <v/>
      </c>
      <c r="O730" s="169">
        <f>IF(OR(J730="",L730=""),"",L730/J730-1)</f>
        <v/>
      </c>
      <c r="P730" s="169">
        <f>IF(OR(J730="",K730=""),"",K730/J730-1)</f>
        <v/>
      </c>
      <c r="Q730" s="54">
        <f>IF(AND(ISNUMBER(J730),ISNUMBER(L730)),1,0)</f>
        <v/>
      </c>
      <c r="R730" s="69">
        <f>IF(Q730=1,G730*L730,0)</f>
        <v/>
      </c>
      <c r="S730" s="69">
        <f>IF(Q730=1,(H730+I730)*U730,0)</f>
        <v/>
      </c>
      <c r="T730" s="59">
        <f>IF(Q730=1,G730,0)</f>
        <v/>
      </c>
      <c r="U730" s="170" t="n">
        <v>1</v>
      </c>
    </row>
    <row r="731">
      <c r="A731" s="54" t="inlineStr">
        <is>
          <t>US DC S6</t>
        </is>
      </c>
      <c r="B731" s="54" t="inlineStr">
        <is>
          <t>US</t>
        </is>
      </c>
      <c r="C731" s="54" t="inlineStr">
        <is>
          <t>B0C7FM1K6P</t>
        </is>
      </c>
      <c r="D731" s="54" t="inlineStr">
        <is>
          <t>SATIN-IVORY-TWIN-6PCS</t>
        </is>
      </c>
      <c r="E731" s="54" t="inlineStr">
        <is>
          <t>Twin</t>
        </is>
      </c>
      <c r="F731" s="54" t="inlineStr">
        <is>
          <t>Ivory</t>
        </is>
      </c>
      <c r="G731" s="55" t="n">
        <v>1</v>
      </c>
      <c r="H731" s="167" t="n">
        <v>23.76</v>
      </c>
      <c r="I731" s="167" t="n">
        <v>0</v>
      </c>
      <c r="J731" s="168">
        <f>IF(AND(N(G731)&gt;0,N(H731)+N(I731)&gt;0),(H731+I731)*U731/G731,"")</f>
        <v/>
      </c>
      <c r="K731" s="167" t="n">
        <v>27.95</v>
      </c>
      <c r="L731" s="167" t="n">
        <v>26.55</v>
      </c>
      <c r="M731" s="54" t="inlineStr">
        <is>
          <t>Eligible</t>
        </is>
      </c>
      <c r="N731" s="168">
        <f>IF(OR(J731="",L731=""),"",L731-J731)</f>
        <v/>
      </c>
      <c r="O731" s="169">
        <f>IF(OR(J731="",L731=""),"",L731/J731-1)</f>
        <v/>
      </c>
      <c r="P731" s="169">
        <f>IF(OR(J731="",K731=""),"",K731/J731-1)</f>
        <v/>
      </c>
      <c r="Q731" s="54">
        <f>IF(AND(ISNUMBER(J731),ISNUMBER(L731)),1,0)</f>
        <v/>
      </c>
      <c r="R731" s="69">
        <f>IF(Q731=1,G731*L731,0)</f>
        <v/>
      </c>
      <c r="S731" s="69">
        <f>IF(Q731=1,(H731+I731)*U731,0)</f>
        <v/>
      </c>
      <c r="T731" s="59">
        <f>IF(Q731=1,G731,0)</f>
        <v/>
      </c>
      <c r="U731" s="170" t="n">
        <v>1</v>
      </c>
    </row>
    <row r="732">
      <c r="A732" s="54" t="inlineStr">
        <is>
          <t>US DC S6</t>
        </is>
      </c>
      <c r="B732" s="54" t="inlineStr">
        <is>
          <t>US</t>
        </is>
      </c>
      <c r="C732" s="54" t="inlineStr">
        <is>
          <t>B0D9QTXKQ8</t>
        </is>
      </c>
      <c r="D732" s="54" t="inlineStr">
        <is>
          <t>SATIN-4PC-TWIN-LAVENDER</t>
        </is>
      </c>
      <c r="E732" s="54" t="inlineStr">
        <is>
          <t>Twin</t>
        </is>
      </c>
      <c r="F732" s="54" t="inlineStr">
        <is>
          <t>Lavender</t>
        </is>
      </c>
      <c r="G732" s="55" t="n">
        <v>1</v>
      </c>
      <c r="H732" s="167" t="n">
        <v>26.55</v>
      </c>
      <c r="I732" s="167" t="n">
        <v>0</v>
      </c>
      <c r="J732" s="168">
        <f>IF(AND(N(G732)&gt;0,N(H732)+N(I732)&gt;0),(H732+I732)*U732/G732,"")</f>
        <v/>
      </c>
      <c r="K732" s="167" t="n">
        <v>27.95</v>
      </c>
      <c r="L732" s="167" t="n">
        <v>26.55</v>
      </c>
      <c r="M732" s="54" t="inlineStr">
        <is>
          <t>Eligible</t>
        </is>
      </c>
      <c r="N732" s="168">
        <f>IF(OR(J732="",L732=""),"",L732-J732)</f>
        <v/>
      </c>
      <c r="O732" s="169">
        <f>IF(OR(J732="",L732=""),"",L732/J732-1)</f>
        <v/>
      </c>
      <c r="P732" s="169">
        <f>IF(OR(J732="",K732=""),"",K732/J732-1)</f>
        <v/>
      </c>
      <c r="Q732" s="54">
        <f>IF(AND(ISNUMBER(J732),ISNUMBER(L732)),1,0)</f>
        <v/>
      </c>
      <c r="R732" s="69">
        <f>IF(Q732=1,G732*L732,0)</f>
        <v/>
      </c>
      <c r="S732" s="69">
        <f>IF(Q732=1,(H732+I732)*U732,0)</f>
        <v/>
      </c>
      <c r="T732" s="59">
        <f>IF(Q732=1,G732,0)</f>
        <v/>
      </c>
      <c r="U732" s="170" t="n">
        <v>1</v>
      </c>
    </row>
    <row r="733">
      <c r="A733" s="54" t="inlineStr">
        <is>
          <t>US DC S6</t>
        </is>
      </c>
      <c r="B733" s="54" t="inlineStr">
        <is>
          <t>US</t>
        </is>
      </c>
      <c r="C733" s="54" t="inlineStr">
        <is>
          <t>B0D9QSYXL8</t>
        </is>
      </c>
      <c r="D733" s="54" t="inlineStr">
        <is>
          <t>SATIN-4PC-TWIN-NAVY BLUE</t>
        </is>
      </c>
      <c r="E733" s="54" t="inlineStr">
        <is>
          <t>Twin</t>
        </is>
      </c>
      <c r="F733" s="54" t="inlineStr">
        <is>
          <t>Navy Blue</t>
        </is>
      </c>
      <c r="G733" s="55" t="n">
        <v>1</v>
      </c>
      <c r="H733" s="167" t="n">
        <v>27.95</v>
      </c>
      <c r="I733" s="167" t="n">
        <v>0</v>
      </c>
      <c r="J733" s="168">
        <f>IF(AND(N(G733)&gt;0,N(H733)+N(I733)&gt;0),(H733+I733)*U733/G733,"")</f>
        <v/>
      </c>
      <c r="K733" s="167" t="n">
        <v>27.95</v>
      </c>
      <c r="L733" s="167" t="n">
        <v>26.55</v>
      </c>
      <c r="M733" s="54" t="inlineStr">
        <is>
          <t>Eligible</t>
        </is>
      </c>
      <c r="N733" s="168">
        <f>IF(OR(J733="",L733=""),"",L733-J733)</f>
        <v/>
      </c>
      <c r="O733" s="169">
        <f>IF(OR(J733="",L733=""),"",L733/J733-1)</f>
        <v/>
      </c>
      <c r="P733" s="169">
        <f>IF(OR(J733="",K733=""),"",K733/J733-1)</f>
        <v/>
      </c>
      <c r="Q733" s="54">
        <f>IF(AND(ISNUMBER(J733),ISNUMBER(L733)),1,0)</f>
        <v/>
      </c>
      <c r="R733" s="69">
        <f>IF(Q733=1,G733*L733,0)</f>
        <v/>
      </c>
      <c r="S733" s="69">
        <f>IF(Q733=1,(H733+I733)*U733,0)</f>
        <v/>
      </c>
      <c r="T733" s="59">
        <f>IF(Q733=1,G733,0)</f>
        <v/>
      </c>
      <c r="U733" s="170" t="n">
        <v>1</v>
      </c>
    </row>
    <row r="734">
      <c r="A734" s="54" t="inlineStr">
        <is>
          <t>US DC S6</t>
        </is>
      </c>
      <c r="B734" s="54" t="inlineStr">
        <is>
          <t>US</t>
        </is>
      </c>
      <c r="C734" s="54" t="inlineStr">
        <is>
          <t>B0C7FXRDSZ</t>
        </is>
      </c>
      <c r="D734" s="54" t="inlineStr">
        <is>
          <t>SATIN-TWIN-PURPLE-6PCS</t>
        </is>
      </c>
      <c r="E734" s="54" t="inlineStr">
        <is>
          <t>Twin</t>
        </is>
      </c>
      <c r="F734" s="54" t="inlineStr">
        <is>
          <t>Purple</t>
        </is>
      </c>
      <c r="G734" s="55" t="n">
        <v>1</v>
      </c>
      <c r="H734" s="167" t="n">
        <v>26.55</v>
      </c>
      <c r="I734" s="167" t="n">
        <v>0</v>
      </c>
      <c r="J734" s="168">
        <f>IF(AND(N(G734)&gt;0,N(H734)+N(I734)&gt;0),(H734+I734)*U734/G734,"")</f>
        <v/>
      </c>
      <c r="K734" s="167" t="n">
        <v>27.95</v>
      </c>
      <c r="L734" s="167" t="n">
        <v>26.55</v>
      </c>
      <c r="M734" s="54" t="inlineStr">
        <is>
          <t>Eligible</t>
        </is>
      </c>
      <c r="N734" s="168">
        <f>IF(OR(J734="",L734=""),"",L734-J734)</f>
        <v/>
      </c>
      <c r="O734" s="169">
        <f>IF(OR(J734="",L734=""),"",L734/J734-1)</f>
        <v/>
      </c>
      <c r="P734" s="169">
        <f>IF(OR(J734="",K734=""),"",K734/J734-1)</f>
        <v/>
      </c>
      <c r="Q734" s="54">
        <f>IF(AND(ISNUMBER(J734),ISNUMBER(L734)),1,0)</f>
        <v/>
      </c>
      <c r="R734" s="69">
        <f>IF(Q734=1,G734*L734,0)</f>
        <v/>
      </c>
      <c r="S734" s="69">
        <f>IF(Q734=1,(H734+I734)*U734,0)</f>
        <v/>
      </c>
      <c r="T734" s="59">
        <f>IF(Q734=1,G734,0)</f>
        <v/>
      </c>
      <c r="U734" s="170" t="n">
        <v>1</v>
      </c>
    </row>
    <row r="735">
      <c r="A735" s="54" t="inlineStr">
        <is>
          <t>US DC S6</t>
        </is>
      </c>
      <c r="B735" s="54" t="inlineStr">
        <is>
          <t>US</t>
        </is>
      </c>
      <c r="C735" s="54" t="inlineStr">
        <is>
          <t>B0D9QRVYMT</t>
        </is>
      </c>
      <c r="D735" s="54" t="inlineStr">
        <is>
          <t>SATIN-4PC-TWIN-SAGE GREEN</t>
        </is>
      </c>
      <c r="E735" s="54" t="inlineStr">
        <is>
          <t>Twin</t>
        </is>
      </c>
      <c r="F735" s="54" t="inlineStr">
        <is>
          <t>Sage Green</t>
        </is>
      </c>
      <c r="G735" s="55" t="n">
        <v>1</v>
      </c>
      <c r="H735" s="167" t="n">
        <v>26.55</v>
      </c>
      <c r="I735" s="167" t="n">
        <v>0</v>
      </c>
      <c r="J735" s="168">
        <f>IF(AND(N(G735)&gt;0,N(H735)+N(I735)&gt;0),(H735+I735)*U735/G735,"")</f>
        <v/>
      </c>
      <c r="K735" s="167" t="n">
        <v>27.95</v>
      </c>
      <c r="L735" s="167" t="n">
        <v>26.55</v>
      </c>
      <c r="M735" s="54" t="inlineStr">
        <is>
          <t>Eligible</t>
        </is>
      </c>
      <c r="N735" s="168">
        <f>IF(OR(J735="",L735=""),"",L735-J735)</f>
        <v/>
      </c>
      <c r="O735" s="169">
        <f>IF(OR(J735="",L735=""),"",L735/J735-1)</f>
        <v/>
      </c>
      <c r="P735" s="169">
        <f>IF(OR(J735="",K735=""),"",K735/J735-1)</f>
        <v/>
      </c>
      <c r="Q735" s="54">
        <f>IF(AND(ISNUMBER(J735),ISNUMBER(L735)),1,0)</f>
        <v/>
      </c>
      <c r="R735" s="69">
        <f>IF(Q735=1,G735*L735,0)</f>
        <v/>
      </c>
      <c r="S735" s="69">
        <f>IF(Q735=1,(H735+I735)*U735,0)</f>
        <v/>
      </c>
      <c r="T735" s="59">
        <f>IF(Q735=1,G735,0)</f>
        <v/>
      </c>
      <c r="U735" s="170" t="n">
        <v>1</v>
      </c>
    </row>
    <row r="736">
      <c r="A736" s="54" t="inlineStr">
        <is>
          <t>US DC S6</t>
        </is>
      </c>
      <c r="B736" s="54" t="inlineStr">
        <is>
          <t>US</t>
        </is>
      </c>
      <c r="C736" s="54" t="inlineStr">
        <is>
          <t>B0C7K6WTJ1</t>
        </is>
      </c>
      <c r="D736" s="54" t="inlineStr">
        <is>
          <t>SATIN-STRIPE-TWIN-BLACK--6-PCS</t>
        </is>
      </c>
      <c r="E736" s="54" t="inlineStr">
        <is>
          <t>Twin</t>
        </is>
      </c>
      <c r="F736" s="54" t="inlineStr">
        <is>
          <t>Striped Black</t>
        </is>
      </c>
      <c r="G736" s="55" t="n">
        <v>1</v>
      </c>
      <c r="H736" s="167" t="n">
        <v>23.76</v>
      </c>
      <c r="I736" s="167" t="n">
        <v>0</v>
      </c>
      <c r="J736" s="168">
        <f>IF(AND(N(G736)&gt;0,N(H736)+N(I736)&gt;0),(H736+I736)*U736/G736,"")</f>
        <v/>
      </c>
      <c r="K736" s="167" t="n">
        <v>27.95</v>
      </c>
      <c r="L736" s="167" t="n">
        <v>26.55</v>
      </c>
      <c r="M736" s="54" t="inlineStr">
        <is>
          <t>Eligible</t>
        </is>
      </c>
      <c r="N736" s="168">
        <f>IF(OR(J736="",L736=""),"",L736-J736)</f>
        <v/>
      </c>
      <c r="O736" s="169">
        <f>IF(OR(J736="",L736=""),"",L736/J736-1)</f>
        <v/>
      </c>
      <c r="P736" s="169">
        <f>IF(OR(J736="",K736=""),"",K736/J736-1)</f>
        <v/>
      </c>
      <c r="Q736" s="54">
        <f>IF(AND(ISNUMBER(J736),ISNUMBER(L736)),1,0)</f>
        <v/>
      </c>
      <c r="R736" s="69">
        <f>IF(Q736=1,G736*L736,0)</f>
        <v/>
      </c>
      <c r="S736" s="69">
        <f>IF(Q736=1,(H736+I736)*U736,0)</f>
        <v/>
      </c>
      <c r="T736" s="59">
        <f>IF(Q736=1,G736,0)</f>
        <v/>
      </c>
      <c r="U736" s="170" t="n">
        <v>1</v>
      </c>
    </row>
    <row r="737">
      <c r="A737" s="54" t="inlineStr">
        <is>
          <t>US DC S6</t>
        </is>
      </c>
      <c r="B737" s="54" t="inlineStr">
        <is>
          <t>US</t>
        </is>
      </c>
      <c r="C737" s="54" t="inlineStr">
        <is>
          <t>B0C7JVQWDH</t>
        </is>
      </c>
      <c r="D737" s="54" t="inlineStr">
        <is>
          <t>SATIN-STRIPE-TWIN-BLUE--6-PCS</t>
        </is>
      </c>
      <c r="E737" s="54" t="inlineStr">
        <is>
          <t>Twin</t>
        </is>
      </c>
      <c r="F737" s="54" t="inlineStr">
        <is>
          <t>Striped Blue</t>
        </is>
      </c>
      <c r="G737" s="55" t="n">
        <v>1</v>
      </c>
      <c r="H737" s="167" t="n">
        <v>27.95</v>
      </c>
      <c r="I737" s="167" t="n">
        <v>0</v>
      </c>
      <c r="J737" s="168">
        <f>IF(AND(N(G737)&gt;0,N(H737)+N(I737)&gt;0),(H737+I737)*U737/G737,"")</f>
        <v/>
      </c>
      <c r="K737" s="167" t="n">
        <v>27.95</v>
      </c>
      <c r="L737" s="167" t="n">
        <v>27.94</v>
      </c>
      <c r="M737" s="54" t="inlineStr">
        <is>
          <t>Eligible</t>
        </is>
      </c>
      <c r="N737" s="168">
        <f>IF(OR(J737="",L737=""),"",L737-J737)</f>
        <v/>
      </c>
      <c r="O737" s="169">
        <f>IF(OR(J737="",L737=""),"",L737/J737-1)</f>
        <v/>
      </c>
      <c r="P737" s="169">
        <f>IF(OR(J737="",K737=""),"",K737/J737-1)</f>
        <v/>
      </c>
      <c r="Q737" s="54">
        <f>IF(AND(ISNUMBER(J737),ISNUMBER(L737)),1,0)</f>
        <v/>
      </c>
      <c r="R737" s="69">
        <f>IF(Q737=1,G737*L737,0)</f>
        <v/>
      </c>
      <c r="S737" s="69">
        <f>IF(Q737=1,(H737+I737)*U737,0)</f>
        <v/>
      </c>
      <c r="T737" s="59">
        <f>IF(Q737=1,G737,0)</f>
        <v/>
      </c>
      <c r="U737" s="170" t="n">
        <v>1</v>
      </c>
    </row>
    <row r="738">
      <c r="A738" s="54" t="inlineStr">
        <is>
          <t>US DC S6</t>
        </is>
      </c>
      <c r="B738" s="54" t="inlineStr">
        <is>
          <t>US</t>
        </is>
      </c>
      <c r="C738" s="54" t="inlineStr">
        <is>
          <t>B0C7KB2CR6</t>
        </is>
      </c>
      <c r="D738" s="54" t="inlineStr">
        <is>
          <t>SATIN-STRIPE-TWIN-PINK--6-PCS</t>
        </is>
      </c>
      <c r="E738" s="54" t="inlineStr">
        <is>
          <t>Twin</t>
        </is>
      </c>
      <c r="F738" s="54" t="inlineStr">
        <is>
          <t>Striped Pink</t>
        </is>
      </c>
      <c r="G738" s="55" t="n">
        <v>1</v>
      </c>
      <c r="H738" s="167" t="n">
        <v>27.95</v>
      </c>
      <c r="I738" s="167" t="n">
        <v>0</v>
      </c>
      <c r="J738" s="168">
        <f>IF(AND(N(G738)&gt;0,N(H738)+N(I738)&gt;0),(H738+I738)*U738/G738,"")</f>
        <v/>
      </c>
      <c r="K738" s="167" t="n">
        <v>27.95</v>
      </c>
      <c r="L738" s="167" t="n">
        <v>27.94</v>
      </c>
      <c r="M738" s="54" t="inlineStr">
        <is>
          <t>Eligible</t>
        </is>
      </c>
      <c r="N738" s="168">
        <f>IF(OR(J738="",L738=""),"",L738-J738)</f>
        <v/>
      </c>
      <c r="O738" s="169">
        <f>IF(OR(J738="",L738=""),"",L738/J738-1)</f>
        <v/>
      </c>
      <c r="P738" s="169">
        <f>IF(OR(J738="",K738=""),"",K738/J738-1)</f>
        <v/>
      </c>
      <c r="Q738" s="54">
        <f>IF(AND(ISNUMBER(J738),ISNUMBER(L738)),1,0)</f>
        <v/>
      </c>
      <c r="R738" s="69">
        <f>IF(Q738=1,G738*L738,0)</f>
        <v/>
      </c>
      <c r="S738" s="69">
        <f>IF(Q738=1,(H738+I738)*U738,0)</f>
        <v/>
      </c>
      <c r="T738" s="59">
        <f>IF(Q738=1,G738,0)</f>
        <v/>
      </c>
      <c r="U738" s="170" t="n">
        <v>1</v>
      </c>
    </row>
    <row r="739">
      <c r="A739" s="54" t="inlineStr">
        <is>
          <t>US DC S6</t>
        </is>
      </c>
      <c r="B739" s="54" t="inlineStr">
        <is>
          <t>US</t>
        </is>
      </c>
      <c r="C739" s="54" t="inlineStr">
        <is>
          <t>B0C7JQ5MZY</t>
        </is>
      </c>
      <c r="D739" s="54" t="inlineStr">
        <is>
          <t>SATIN-STRIPE-TWIN-RED--6-PCS</t>
        </is>
      </c>
      <c r="E739" s="54" t="inlineStr">
        <is>
          <t>Twin</t>
        </is>
      </c>
      <c r="F739" s="54" t="inlineStr">
        <is>
          <t>Striped Red</t>
        </is>
      </c>
      <c r="G739" s="55" t="n">
        <v>1</v>
      </c>
      <c r="H739" s="167" t="n">
        <v>27.95</v>
      </c>
      <c r="I739" s="167" t="n">
        <v>0</v>
      </c>
      <c r="J739" s="168">
        <f>IF(AND(N(G739)&gt;0,N(H739)+N(I739)&gt;0),(H739+I739)*U739/G739,"")</f>
        <v/>
      </c>
      <c r="K739" s="167" t="n">
        <v>27.95</v>
      </c>
      <c r="L739" s="167" t="n">
        <v>26.55</v>
      </c>
      <c r="M739" s="54" t="inlineStr">
        <is>
          <t>Eligible</t>
        </is>
      </c>
      <c r="N739" s="168">
        <f>IF(OR(J739="",L739=""),"",L739-J739)</f>
        <v/>
      </c>
      <c r="O739" s="169">
        <f>IF(OR(J739="",L739=""),"",L739/J739-1)</f>
        <v/>
      </c>
      <c r="P739" s="169">
        <f>IF(OR(J739="",K739=""),"",K739/J739-1)</f>
        <v/>
      </c>
      <c r="Q739" s="54">
        <f>IF(AND(ISNUMBER(J739),ISNUMBER(L739)),1,0)</f>
        <v/>
      </c>
      <c r="R739" s="69">
        <f>IF(Q739=1,G739*L739,0)</f>
        <v/>
      </c>
      <c r="S739" s="69">
        <f>IF(Q739=1,(H739+I739)*U739,0)</f>
        <v/>
      </c>
      <c r="T739" s="59">
        <f>IF(Q739=1,G739,0)</f>
        <v/>
      </c>
      <c r="U739" s="170" t="n">
        <v>1</v>
      </c>
    </row>
    <row r="740">
      <c r="A740" s="54" t="inlineStr">
        <is>
          <t>US DC S6</t>
        </is>
      </c>
      <c r="B740" s="54" t="inlineStr">
        <is>
          <t>US</t>
        </is>
      </c>
      <c r="C740" s="54" t="inlineStr">
        <is>
          <t>B0C7FTBBQB</t>
        </is>
      </c>
      <c r="D740" s="54" t="inlineStr">
        <is>
          <t>SATIN-GOLD-FULL-6PCS</t>
        </is>
      </c>
      <c r="E740" s="54" t="inlineStr">
        <is>
          <t>Full</t>
        </is>
      </c>
      <c r="F740" s="54" t="inlineStr">
        <is>
          <t>Gold</t>
        </is>
      </c>
      <c r="G740" s="55" t="n">
        <v>0</v>
      </c>
      <c r="H740" s="167" t="n"/>
      <c r="I740" s="167" t="n"/>
      <c r="J740" s="168">
        <f>IF(AND(N(G740)&gt;0,N(H740)+N(I740)&gt;0),(H740+I740)*U740/G740,"")</f>
        <v/>
      </c>
      <c r="K740" s="167" t="n">
        <v>29.95</v>
      </c>
      <c r="L740" s="167" t="n">
        <v>28.45</v>
      </c>
      <c r="M740" s="54" t="inlineStr">
        <is>
          <t>Eligible</t>
        </is>
      </c>
      <c r="N740" s="168">
        <f>IF(OR(J740="",L740=""),"",L740-J740)</f>
        <v/>
      </c>
      <c r="O740" s="169">
        <f>IF(OR(J740="",L740=""),"",L740/J740-1)</f>
        <v/>
      </c>
      <c r="P740" s="169">
        <f>IF(OR(J740="",K740=""),"",K740/J740-1)</f>
        <v/>
      </c>
      <c r="Q740" s="54">
        <f>IF(AND(ISNUMBER(J740),ISNUMBER(L740)),1,0)</f>
        <v/>
      </c>
      <c r="R740" s="69">
        <f>IF(Q740=1,G740*L740,0)</f>
        <v/>
      </c>
      <c r="S740" s="69">
        <f>IF(Q740=1,(H740+I740)*U740,0)</f>
        <v/>
      </c>
      <c r="T740" s="59">
        <f>IF(Q740=1,G740,0)</f>
        <v/>
      </c>
      <c r="U740" s="170" t="n">
        <v>1</v>
      </c>
    </row>
    <row r="741">
      <c r="A741" s="54" t="inlineStr">
        <is>
          <t>US DC S6</t>
        </is>
      </c>
      <c r="B741" s="54" t="inlineStr">
        <is>
          <t>US</t>
        </is>
      </c>
      <c r="C741" s="54" t="inlineStr">
        <is>
          <t>B0C7K6CKLC</t>
        </is>
      </c>
      <c r="D741" s="54" t="inlineStr">
        <is>
          <t>SATIN-STRIPE-FULL-BLUE--6-PCS</t>
        </is>
      </c>
      <c r="E741" s="54" t="inlineStr">
        <is>
          <t>Full</t>
        </is>
      </c>
      <c r="F741" s="54" t="inlineStr">
        <is>
          <t>Striped Blue</t>
        </is>
      </c>
      <c r="G741" s="55" t="n">
        <v>0</v>
      </c>
      <c r="H741" s="167" t="n"/>
      <c r="I741" s="167" t="n"/>
      <c r="J741" s="168">
        <f>IF(AND(N(G741)&gt;0,N(H741)+N(I741)&gt;0),(H741+I741)*U741/G741,"")</f>
        <v/>
      </c>
      <c r="K741" s="167" t="n">
        <v>29.95</v>
      </c>
      <c r="L741" s="167" t="n">
        <v>28.45</v>
      </c>
      <c r="M741" s="54" t="inlineStr">
        <is>
          <t>Eligible</t>
        </is>
      </c>
      <c r="N741" s="168">
        <f>IF(OR(J741="",L741=""),"",L741-J741)</f>
        <v/>
      </c>
      <c r="O741" s="169">
        <f>IF(OR(J741="",L741=""),"",L741/J741-1)</f>
        <v/>
      </c>
      <c r="P741" s="169">
        <f>IF(OR(J741="",K741=""),"",K741/J741-1)</f>
        <v/>
      </c>
      <c r="Q741" s="54">
        <f>IF(AND(ISNUMBER(J741),ISNUMBER(L741)),1,0)</f>
        <v/>
      </c>
      <c r="R741" s="69">
        <f>IF(Q741=1,G741*L741,0)</f>
        <v/>
      </c>
      <c r="S741" s="69">
        <f>IF(Q741=1,(H741+I741)*U741,0)</f>
        <v/>
      </c>
      <c r="T741" s="59">
        <f>IF(Q741=1,G741,0)</f>
        <v/>
      </c>
      <c r="U741" s="170" t="n">
        <v>1</v>
      </c>
    </row>
    <row r="742">
      <c r="A742" s="54" t="inlineStr">
        <is>
          <t>US DC S6</t>
        </is>
      </c>
      <c r="B742" s="54" t="inlineStr">
        <is>
          <t>US</t>
        </is>
      </c>
      <c r="C742" s="54" t="inlineStr">
        <is>
          <t>B0C7KGFHT7</t>
        </is>
      </c>
      <c r="D742" s="54" t="inlineStr">
        <is>
          <t>SATIN-STRIPE-FULL-GOLD--6-PCS</t>
        </is>
      </c>
      <c r="E742" s="54" t="inlineStr">
        <is>
          <t>Full</t>
        </is>
      </c>
      <c r="F742" s="54" t="inlineStr">
        <is>
          <t>Striped Gold</t>
        </is>
      </c>
      <c r="G742" s="55" t="n">
        <v>0</v>
      </c>
      <c r="H742" s="167" t="n"/>
      <c r="I742" s="167" t="n"/>
      <c r="J742" s="168">
        <f>IF(AND(N(G742)&gt;0,N(H742)+N(I742)&gt;0),(H742+I742)*U742/G742,"")</f>
        <v/>
      </c>
      <c r="K742" s="167" t="n">
        <v>29.95</v>
      </c>
      <c r="L742" s="167" t="n">
        <v>28.45</v>
      </c>
      <c r="M742" s="54" t="inlineStr">
        <is>
          <t>Eligible</t>
        </is>
      </c>
      <c r="N742" s="168">
        <f>IF(OR(J742="",L742=""),"",L742-J742)</f>
        <v/>
      </c>
      <c r="O742" s="169">
        <f>IF(OR(J742="",L742=""),"",L742/J742-1)</f>
        <v/>
      </c>
      <c r="P742" s="169">
        <f>IF(OR(J742="",K742=""),"",K742/J742-1)</f>
        <v/>
      </c>
      <c r="Q742" s="54">
        <f>IF(AND(ISNUMBER(J742),ISNUMBER(L742)),1,0)</f>
        <v/>
      </c>
      <c r="R742" s="69">
        <f>IF(Q742=1,G742*L742,0)</f>
        <v/>
      </c>
      <c r="S742" s="69">
        <f>IF(Q742=1,(H742+I742)*U742,0)</f>
        <v/>
      </c>
      <c r="T742" s="59">
        <f>IF(Q742=1,G742,0)</f>
        <v/>
      </c>
      <c r="U742" s="170" t="n">
        <v>1</v>
      </c>
    </row>
    <row r="743">
      <c r="A743" s="54" t="inlineStr">
        <is>
          <t>US DC S6</t>
        </is>
      </c>
      <c r="B743" s="54" t="inlineStr">
        <is>
          <t>US</t>
        </is>
      </c>
      <c r="C743" s="54" t="inlineStr">
        <is>
          <t>B0C7K7NCKW</t>
        </is>
      </c>
      <c r="D743" s="54" t="inlineStr">
        <is>
          <t>SATIN-STRIPE-FULL-GRAY--6-PCS</t>
        </is>
      </c>
      <c r="E743" s="54" t="inlineStr">
        <is>
          <t>Full</t>
        </is>
      </c>
      <c r="F743" s="54" t="inlineStr">
        <is>
          <t>Striped Grey</t>
        </is>
      </c>
      <c r="G743" s="55" t="n">
        <v>0</v>
      </c>
      <c r="H743" s="167" t="n"/>
      <c r="I743" s="167" t="n"/>
      <c r="J743" s="168">
        <f>IF(AND(N(G743)&gt;0,N(H743)+N(I743)&gt;0),(H743+I743)*U743/G743,"")</f>
        <v/>
      </c>
      <c r="K743" s="167" t="n">
        <v>29.95</v>
      </c>
      <c r="L743" s="167" t="n">
        <v>28.45</v>
      </c>
      <c r="M743" s="54" t="inlineStr">
        <is>
          <t>Eligible</t>
        </is>
      </c>
      <c r="N743" s="168">
        <f>IF(OR(J743="",L743=""),"",L743-J743)</f>
        <v/>
      </c>
      <c r="O743" s="169">
        <f>IF(OR(J743="",L743=""),"",L743/J743-1)</f>
        <v/>
      </c>
      <c r="P743" s="169">
        <f>IF(OR(J743="",K743=""),"",K743/J743-1)</f>
        <v/>
      </c>
      <c r="Q743" s="54">
        <f>IF(AND(ISNUMBER(J743),ISNUMBER(L743)),1,0)</f>
        <v/>
      </c>
      <c r="R743" s="69">
        <f>IF(Q743=1,G743*L743,0)</f>
        <v/>
      </c>
      <c r="S743" s="69">
        <f>IF(Q743=1,(H743+I743)*U743,0)</f>
        <v/>
      </c>
      <c r="T743" s="59">
        <f>IF(Q743=1,G743,0)</f>
        <v/>
      </c>
      <c r="U743" s="170" t="n">
        <v>1</v>
      </c>
    </row>
    <row r="744">
      <c r="A744" s="54" t="inlineStr">
        <is>
          <t>US DC S6</t>
        </is>
      </c>
      <c r="B744" s="54" t="inlineStr">
        <is>
          <t>US</t>
        </is>
      </c>
      <c r="C744" s="54" t="inlineStr">
        <is>
          <t>B0C7FHXP11</t>
        </is>
      </c>
      <c r="D744" s="54" t="inlineStr">
        <is>
          <t>SATIN-TAUPE-FULL-6PCS</t>
        </is>
      </c>
      <c r="E744" s="54" t="inlineStr">
        <is>
          <t>Full</t>
        </is>
      </c>
      <c r="F744" s="54" t="inlineStr">
        <is>
          <t>Taupe</t>
        </is>
      </c>
      <c r="G744" s="55" t="n">
        <v>0</v>
      </c>
      <c r="H744" s="167" t="n"/>
      <c r="I744" s="167" t="n"/>
      <c r="J744" s="168">
        <f>IF(AND(N(G744)&gt;0,N(H744)+N(I744)&gt;0),(H744+I744)*U744/G744,"")</f>
        <v/>
      </c>
      <c r="K744" s="167" t="n">
        <v>29.95</v>
      </c>
      <c r="L744" s="167" t="n">
        <v>28.45</v>
      </c>
      <c r="M744" s="54" t="inlineStr">
        <is>
          <t>Eligible</t>
        </is>
      </c>
      <c r="N744" s="168">
        <f>IF(OR(J744="",L744=""),"",L744-J744)</f>
        <v/>
      </c>
      <c r="O744" s="169">
        <f>IF(OR(J744="",L744=""),"",L744/J744-1)</f>
        <v/>
      </c>
      <c r="P744" s="169">
        <f>IF(OR(J744="",K744=""),"",K744/J744-1)</f>
        <v/>
      </c>
      <c r="Q744" s="54">
        <f>IF(AND(ISNUMBER(J744),ISNUMBER(L744)),1,0)</f>
        <v/>
      </c>
      <c r="R744" s="69">
        <f>IF(Q744=1,G744*L744,0)</f>
        <v/>
      </c>
      <c r="S744" s="69">
        <f>IF(Q744=1,(H744+I744)*U744,0)</f>
        <v/>
      </c>
      <c r="T744" s="59">
        <f>IF(Q744=1,G744,0)</f>
        <v/>
      </c>
      <c r="U744" s="170" t="n">
        <v>1</v>
      </c>
    </row>
    <row r="745">
      <c r="A745" s="54" t="inlineStr">
        <is>
          <t>US DC S6</t>
        </is>
      </c>
      <c r="B745" s="54" t="inlineStr">
        <is>
          <t>US</t>
        </is>
      </c>
      <c r="C745" s="54" t="inlineStr">
        <is>
          <t>B0D9QTQGSJ</t>
        </is>
      </c>
      <c r="D745" s="54" t="inlineStr">
        <is>
          <t>SATIN-4PC-TWIN-BABY BLUE</t>
        </is>
      </c>
      <c r="E745" s="54" t="inlineStr">
        <is>
          <t>Twin</t>
        </is>
      </c>
      <c r="F745" s="54" t="inlineStr">
        <is>
          <t>Baby Blue</t>
        </is>
      </c>
      <c r="G745" s="55" t="n"/>
      <c r="H745" s="167" t="n"/>
      <c r="I745" s="167" t="n"/>
      <c r="J745" s="168">
        <f>IF(AND(N(G745)&gt;0,N(H745)+N(I745)&gt;0),(H745+I745)*U745/G745,"")</f>
        <v/>
      </c>
      <c r="K745" s="167" t="n">
        <v>27.95</v>
      </c>
      <c r="L745" s="167" t="n">
        <v>26.55</v>
      </c>
      <c r="M745" s="54" t="inlineStr">
        <is>
          <t>Eligible</t>
        </is>
      </c>
      <c r="N745" s="168">
        <f>IF(OR(J745="",L745=""),"",L745-J745)</f>
        <v/>
      </c>
      <c r="O745" s="169">
        <f>IF(OR(J745="",L745=""),"",L745/J745-1)</f>
        <v/>
      </c>
      <c r="P745" s="169">
        <f>IF(OR(J745="",K745=""),"",K745/J745-1)</f>
        <v/>
      </c>
      <c r="Q745" s="54">
        <f>IF(AND(ISNUMBER(J745),ISNUMBER(L745)),1,0)</f>
        <v/>
      </c>
      <c r="R745" s="69">
        <f>IF(Q745=1,G745*L745,0)</f>
        <v/>
      </c>
      <c r="S745" s="69">
        <f>IF(Q745=1,(H745+I745)*U745,0)</f>
        <v/>
      </c>
      <c r="T745" s="59">
        <f>IF(Q745=1,G745,0)</f>
        <v/>
      </c>
      <c r="U745" s="170" t="n">
        <v>1</v>
      </c>
    </row>
    <row r="746">
      <c r="A746" s="54" t="inlineStr">
        <is>
          <t>US DC S6</t>
        </is>
      </c>
      <c r="B746" s="54" t="inlineStr">
        <is>
          <t>US</t>
        </is>
      </c>
      <c r="C746" s="54" t="inlineStr">
        <is>
          <t>B0D9QSQ8W7</t>
        </is>
      </c>
      <c r="D746" s="54" t="inlineStr">
        <is>
          <t>SATIN-4PC-TWIN-BURNT ORANGE</t>
        </is>
      </c>
      <c r="E746" s="54" t="inlineStr">
        <is>
          <t>Twin</t>
        </is>
      </c>
      <c r="F746" s="54" t="inlineStr">
        <is>
          <t>Burnt Orange</t>
        </is>
      </c>
      <c r="G746" s="55" t="n">
        <v>0</v>
      </c>
      <c r="H746" s="167" t="n"/>
      <c r="I746" s="167" t="n"/>
      <c r="J746" s="168">
        <f>IF(AND(N(G746)&gt;0,N(H746)+N(I746)&gt;0),(H746+I746)*U746/G746,"")</f>
        <v/>
      </c>
      <c r="K746" s="167" t="n">
        <v>27.95</v>
      </c>
      <c r="L746" s="167" t="n">
        <v>26.55</v>
      </c>
      <c r="M746" s="54" t="inlineStr">
        <is>
          <t>Eligible</t>
        </is>
      </c>
      <c r="N746" s="168">
        <f>IF(OR(J746="",L746=""),"",L746-J746)</f>
        <v/>
      </c>
      <c r="O746" s="169">
        <f>IF(OR(J746="",L746=""),"",L746/J746-1)</f>
        <v/>
      </c>
      <c r="P746" s="169">
        <f>IF(OR(J746="",K746=""),"",K746/J746-1)</f>
        <v/>
      </c>
      <c r="Q746" s="54">
        <f>IF(AND(ISNUMBER(J746),ISNUMBER(L746)),1,0)</f>
        <v/>
      </c>
      <c r="R746" s="69">
        <f>IF(Q746=1,G746*L746,0)</f>
        <v/>
      </c>
      <c r="S746" s="69">
        <f>IF(Q746=1,(H746+I746)*U746,0)</f>
        <v/>
      </c>
      <c r="T746" s="59">
        <f>IF(Q746=1,G746,0)</f>
        <v/>
      </c>
      <c r="U746" s="170" t="n">
        <v>1</v>
      </c>
    </row>
    <row r="747">
      <c r="A747" s="54" t="inlineStr">
        <is>
          <t>US DC S6</t>
        </is>
      </c>
      <c r="B747" s="54" t="inlineStr">
        <is>
          <t>US</t>
        </is>
      </c>
      <c r="C747" s="54" t="inlineStr">
        <is>
          <t>B0D9QRPTXQ</t>
        </is>
      </c>
      <c r="D747" s="54" t="inlineStr">
        <is>
          <t>SATIN-4PC-TWIN-DARK GREEN</t>
        </is>
      </c>
      <c r="E747" s="54" t="inlineStr">
        <is>
          <t>Twin</t>
        </is>
      </c>
      <c r="F747" s="54" t="inlineStr">
        <is>
          <t>Dark Green</t>
        </is>
      </c>
      <c r="G747" s="55" t="n">
        <v>0</v>
      </c>
      <c r="H747" s="167" t="n"/>
      <c r="I747" s="167" t="n"/>
      <c r="J747" s="168">
        <f>IF(AND(N(G747)&gt;0,N(H747)+N(I747)&gt;0),(H747+I747)*U747/G747,"")</f>
        <v/>
      </c>
      <c r="K747" s="167" t="n">
        <v>27.95</v>
      </c>
      <c r="L747" s="167" t="n">
        <v>26.55</v>
      </c>
      <c r="M747" s="54" t="inlineStr">
        <is>
          <t>Eligible</t>
        </is>
      </c>
      <c r="N747" s="168">
        <f>IF(OR(J747="",L747=""),"",L747-J747)</f>
        <v/>
      </c>
      <c r="O747" s="169">
        <f>IF(OR(J747="",L747=""),"",L747/J747-1)</f>
        <v/>
      </c>
      <c r="P747" s="169">
        <f>IF(OR(J747="",K747=""),"",K747/J747-1)</f>
        <v/>
      </c>
      <c r="Q747" s="54">
        <f>IF(AND(ISNUMBER(J747),ISNUMBER(L747)),1,0)</f>
        <v/>
      </c>
      <c r="R747" s="69">
        <f>IF(Q747=1,G747*L747,0)</f>
        <v/>
      </c>
      <c r="S747" s="69">
        <f>IF(Q747=1,(H747+I747)*U747,0)</f>
        <v/>
      </c>
      <c r="T747" s="59">
        <f>IF(Q747=1,G747,0)</f>
        <v/>
      </c>
      <c r="U747" s="170" t="n">
        <v>1</v>
      </c>
    </row>
    <row r="748">
      <c r="A748" s="54" t="inlineStr">
        <is>
          <t>US DC S6</t>
        </is>
      </c>
      <c r="B748" s="54" t="inlineStr">
        <is>
          <t>US</t>
        </is>
      </c>
      <c r="C748" s="54" t="inlineStr">
        <is>
          <t>B0C7FDN7ZM</t>
        </is>
      </c>
      <c r="D748" s="54" t="inlineStr">
        <is>
          <t>SATIN-ROSEWOOD-TWIN-6PCS</t>
        </is>
      </c>
      <c r="E748" s="54" t="inlineStr">
        <is>
          <t>Twin</t>
        </is>
      </c>
      <c r="F748" s="54" t="inlineStr">
        <is>
          <t>Rosewood</t>
        </is>
      </c>
      <c r="G748" s="55" t="n">
        <v>0</v>
      </c>
      <c r="H748" s="167" t="n"/>
      <c r="I748" s="167" t="n"/>
      <c r="J748" s="168">
        <f>IF(AND(N(G748)&gt;0,N(H748)+N(I748)&gt;0),(H748+I748)*U748/G748,"")</f>
        <v/>
      </c>
      <c r="K748" s="167" t="n">
        <v>27.95</v>
      </c>
      <c r="L748" s="167" t="n">
        <v>26.55</v>
      </c>
      <c r="M748" s="54" t="inlineStr">
        <is>
          <t>Eligible</t>
        </is>
      </c>
      <c r="N748" s="168">
        <f>IF(OR(J748="",L748=""),"",L748-J748)</f>
        <v/>
      </c>
      <c r="O748" s="169">
        <f>IF(OR(J748="",L748=""),"",L748/J748-1)</f>
        <v/>
      </c>
      <c r="P748" s="169">
        <f>IF(OR(J748="",K748=""),"",K748/J748-1)</f>
        <v/>
      </c>
      <c r="Q748" s="54">
        <f>IF(AND(ISNUMBER(J748),ISNUMBER(L748)),1,0)</f>
        <v/>
      </c>
      <c r="R748" s="69">
        <f>IF(Q748=1,G748*L748,0)</f>
        <v/>
      </c>
      <c r="S748" s="69">
        <f>IF(Q748=1,(H748+I748)*U748,0)</f>
        <v/>
      </c>
      <c r="T748" s="59">
        <f>IF(Q748=1,G748,0)</f>
        <v/>
      </c>
      <c r="U748" s="170" t="n">
        <v>1</v>
      </c>
    </row>
    <row r="749">
      <c r="A749" s="54" t="inlineStr">
        <is>
          <t>US DC S6</t>
        </is>
      </c>
      <c r="B749" s="54" t="inlineStr">
        <is>
          <t>US</t>
        </is>
      </c>
      <c r="C749" s="54" t="inlineStr">
        <is>
          <t>B0C7FF3CWB</t>
        </is>
      </c>
      <c r="D749" s="54" t="inlineStr">
        <is>
          <t>SATIN-SEA-TEAL-TWIN-6PCS</t>
        </is>
      </c>
      <c r="E749" s="54" t="inlineStr">
        <is>
          <t>Twin</t>
        </is>
      </c>
      <c r="F749" s="54" t="inlineStr">
        <is>
          <t>Sea Teal</t>
        </is>
      </c>
      <c r="G749" s="55" t="n">
        <v>0</v>
      </c>
      <c r="H749" s="167" t="n"/>
      <c r="I749" s="167" t="n"/>
      <c r="J749" s="168">
        <f>IF(AND(N(G749)&gt;0,N(H749)+N(I749)&gt;0),(H749+I749)*U749/G749,"")</f>
        <v/>
      </c>
      <c r="K749" s="167" t="n">
        <v>27.95</v>
      </c>
      <c r="L749" s="167" t="n">
        <v>26.55</v>
      </c>
      <c r="M749" s="54" t="inlineStr">
        <is>
          <t>Eligible</t>
        </is>
      </c>
      <c r="N749" s="168">
        <f>IF(OR(J749="",L749=""),"",L749-J749)</f>
        <v/>
      </c>
      <c r="O749" s="169">
        <f>IF(OR(J749="",L749=""),"",L749/J749-1)</f>
        <v/>
      </c>
      <c r="P749" s="169">
        <f>IF(OR(J749="",K749=""),"",K749/J749-1)</f>
        <v/>
      </c>
      <c r="Q749" s="54">
        <f>IF(AND(ISNUMBER(J749),ISNUMBER(L749)),1,0)</f>
        <v/>
      </c>
      <c r="R749" s="69">
        <f>IF(Q749=1,G749*L749,0)</f>
        <v/>
      </c>
      <c r="S749" s="69">
        <f>IF(Q749=1,(H749+I749)*U749,0)</f>
        <v/>
      </c>
      <c r="T749" s="59">
        <f>IF(Q749=1,G749,0)</f>
        <v/>
      </c>
      <c r="U749" s="170" t="n">
        <v>1</v>
      </c>
    </row>
    <row r="750">
      <c r="A750" s="54" t="inlineStr">
        <is>
          <t>US DC S6</t>
        </is>
      </c>
      <c r="B750" s="54" t="inlineStr">
        <is>
          <t>US</t>
        </is>
      </c>
      <c r="C750" s="54" t="inlineStr">
        <is>
          <t>B0C7K5TSRR</t>
        </is>
      </c>
      <c r="D750" s="54" t="inlineStr">
        <is>
          <t>SATIN-STRIPE-TWIN-GOLD--6-PCS</t>
        </is>
      </c>
      <c r="E750" s="54" t="inlineStr">
        <is>
          <t>Twin</t>
        </is>
      </c>
      <c r="F750" s="54" t="inlineStr">
        <is>
          <t>Striped Gold</t>
        </is>
      </c>
      <c r="G750" s="55" t="n">
        <v>0</v>
      </c>
      <c r="H750" s="167" t="n"/>
      <c r="I750" s="167" t="n"/>
      <c r="J750" s="168">
        <f>IF(AND(N(G750)&gt;0,N(H750)+N(I750)&gt;0),(H750+I750)*U750/G750,"")</f>
        <v/>
      </c>
      <c r="K750" s="167" t="n">
        <v>27.95</v>
      </c>
      <c r="L750" s="167" t="n">
        <v>26.55</v>
      </c>
      <c r="M750" s="54" t="inlineStr">
        <is>
          <t>Eligible</t>
        </is>
      </c>
      <c r="N750" s="168">
        <f>IF(OR(J750="",L750=""),"",L750-J750)</f>
        <v/>
      </c>
      <c r="O750" s="169">
        <f>IF(OR(J750="",L750=""),"",L750/J750-1)</f>
        <v/>
      </c>
      <c r="P750" s="169">
        <f>IF(OR(J750="",K750=""),"",K750/J750-1)</f>
        <v/>
      </c>
      <c r="Q750" s="54">
        <f>IF(AND(ISNUMBER(J750),ISNUMBER(L750)),1,0)</f>
        <v/>
      </c>
      <c r="R750" s="69">
        <f>IF(Q750=1,G750*L750,0)</f>
        <v/>
      </c>
      <c r="S750" s="69">
        <f>IF(Q750=1,(H750+I750)*U750,0)</f>
        <v/>
      </c>
      <c r="T750" s="59">
        <f>IF(Q750=1,G750,0)</f>
        <v/>
      </c>
      <c r="U750" s="170" t="n">
        <v>1</v>
      </c>
    </row>
    <row r="751">
      <c r="A751" s="54" t="inlineStr">
        <is>
          <t>US DC S6</t>
        </is>
      </c>
      <c r="B751" s="54" t="inlineStr">
        <is>
          <t>US</t>
        </is>
      </c>
      <c r="C751" s="54" t="inlineStr">
        <is>
          <t>B0C7K62XCT</t>
        </is>
      </c>
      <c r="D751" s="54" t="inlineStr">
        <is>
          <t>SATIN-STRIPE-TWIN-GRAY--6-PCS</t>
        </is>
      </c>
      <c r="E751" s="54" t="inlineStr">
        <is>
          <t>Twin</t>
        </is>
      </c>
      <c r="F751" s="54" t="inlineStr">
        <is>
          <t>Striped Grey</t>
        </is>
      </c>
      <c r="G751" s="55" t="n">
        <v>0</v>
      </c>
      <c r="H751" s="167" t="n"/>
      <c r="I751" s="167" t="n"/>
      <c r="J751" s="168">
        <f>IF(AND(N(G751)&gt;0,N(H751)+N(I751)&gt;0),(H751+I751)*U751/G751,"")</f>
        <v/>
      </c>
      <c r="K751" s="167" t="n">
        <v>27.95</v>
      </c>
      <c r="L751" s="167" t="n">
        <v>27.94</v>
      </c>
      <c r="M751" s="54" t="inlineStr">
        <is>
          <t>Eligible</t>
        </is>
      </c>
      <c r="N751" s="168">
        <f>IF(OR(J751="",L751=""),"",L751-J751)</f>
        <v/>
      </c>
      <c r="O751" s="169">
        <f>IF(OR(J751="",L751=""),"",L751/J751-1)</f>
        <v/>
      </c>
      <c r="P751" s="169">
        <f>IF(OR(J751="",K751=""),"",K751/J751-1)</f>
        <v/>
      </c>
      <c r="Q751" s="54">
        <f>IF(AND(ISNUMBER(J751),ISNUMBER(L751)),1,0)</f>
        <v/>
      </c>
      <c r="R751" s="69">
        <f>IF(Q751=1,G751*L751,0)</f>
        <v/>
      </c>
      <c r="S751" s="69">
        <f>IF(Q751=1,(H751+I751)*U751,0)</f>
        <v/>
      </c>
      <c r="T751" s="59">
        <f>IF(Q751=1,G751,0)</f>
        <v/>
      </c>
      <c r="U751" s="170" t="n">
        <v>1</v>
      </c>
    </row>
    <row r="752">
      <c r="A752" s="54" t="inlineStr">
        <is>
          <t>US DC S6</t>
        </is>
      </c>
      <c r="B752" s="54" t="inlineStr">
        <is>
          <t>US</t>
        </is>
      </c>
      <c r="C752" s="54" t="inlineStr">
        <is>
          <t>B0C7K6YWWL</t>
        </is>
      </c>
      <c r="D752" s="54" t="inlineStr">
        <is>
          <t>SATIN-STRIPE-TWIN-PURPLE--6-PCS</t>
        </is>
      </c>
      <c r="E752" s="54" t="inlineStr">
        <is>
          <t>Twin</t>
        </is>
      </c>
      <c r="F752" s="54" t="inlineStr">
        <is>
          <t>Striped Purple</t>
        </is>
      </c>
      <c r="G752" s="55" t="n">
        <v>0</v>
      </c>
      <c r="H752" s="167" t="n"/>
      <c r="I752" s="167" t="n"/>
      <c r="J752" s="168">
        <f>IF(AND(N(G752)&gt;0,N(H752)+N(I752)&gt;0),(H752+I752)*U752/G752,"")</f>
        <v/>
      </c>
      <c r="K752" s="167" t="n">
        <v>27.95</v>
      </c>
      <c r="L752" s="167" t="n">
        <v>26.55</v>
      </c>
      <c r="M752" s="54" t="inlineStr">
        <is>
          <t>Eligible</t>
        </is>
      </c>
      <c r="N752" s="168">
        <f>IF(OR(J752="",L752=""),"",L752-J752)</f>
        <v/>
      </c>
      <c r="O752" s="169">
        <f>IF(OR(J752="",L752=""),"",L752/J752-1)</f>
        <v/>
      </c>
      <c r="P752" s="169">
        <f>IF(OR(J752="",K752=""),"",K752/J752-1)</f>
        <v/>
      </c>
      <c r="Q752" s="54">
        <f>IF(AND(ISNUMBER(J752),ISNUMBER(L752)),1,0)</f>
        <v/>
      </c>
      <c r="R752" s="69">
        <f>IF(Q752=1,G752*L752,0)</f>
        <v/>
      </c>
      <c r="S752" s="69">
        <f>IF(Q752=1,(H752+I752)*U752,0)</f>
        <v/>
      </c>
      <c r="T752" s="59">
        <f>IF(Q752=1,G752,0)</f>
        <v/>
      </c>
      <c r="U752" s="170" t="n">
        <v>1</v>
      </c>
    </row>
    <row r="753">
      <c r="A753" s="54" t="inlineStr">
        <is>
          <t>US DC S6</t>
        </is>
      </c>
      <c r="B753" s="54" t="inlineStr">
        <is>
          <t>US</t>
        </is>
      </c>
      <c r="C753" s="54" t="inlineStr">
        <is>
          <t>B0C7KGK2WK</t>
        </is>
      </c>
      <c r="D753" s="54" t="inlineStr">
        <is>
          <t>SATIN-STRIPE-TWIN-WHITE--6-PCS</t>
        </is>
      </c>
      <c r="E753" s="54" t="inlineStr">
        <is>
          <t>Twin</t>
        </is>
      </c>
      <c r="F753" s="54" t="inlineStr">
        <is>
          <t>Striped White</t>
        </is>
      </c>
      <c r="G753" s="55" t="n">
        <v>0</v>
      </c>
      <c r="H753" s="167" t="n"/>
      <c r="I753" s="167" t="n"/>
      <c r="J753" s="168">
        <f>IF(AND(N(G753)&gt;0,N(H753)+N(I753)&gt;0),(H753+I753)*U753/G753,"")</f>
        <v/>
      </c>
      <c r="K753" s="167" t="n">
        <v>27.95</v>
      </c>
      <c r="L753" s="167" t="n">
        <v>27.94</v>
      </c>
      <c r="M753" s="54" t="inlineStr">
        <is>
          <t>Eligible</t>
        </is>
      </c>
      <c r="N753" s="168">
        <f>IF(OR(J753="",L753=""),"",L753-J753)</f>
        <v/>
      </c>
      <c r="O753" s="169">
        <f>IF(OR(J753="",L753=""),"",L753/J753-1)</f>
        <v/>
      </c>
      <c r="P753" s="169">
        <f>IF(OR(J753="",K753=""),"",K753/J753-1)</f>
        <v/>
      </c>
      <c r="Q753" s="54">
        <f>IF(AND(ISNUMBER(J753),ISNUMBER(L753)),1,0)</f>
        <v/>
      </c>
      <c r="R753" s="69">
        <f>IF(Q753=1,G753*L753,0)</f>
        <v/>
      </c>
      <c r="S753" s="69">
        <f>IF(Q753=1,(H753+I753)*U753,0)</f>
        <v/>
      </c>
      <c r="T753" s="59">
        <f>IF(Q753=1,G753,0)</f>
        <v/>
      </c>
      <c r="U753" s="170" t="n">
        <v>1</v>
      </c>
    </row>
    <row r="754">
      <c r="A754" s="54" t="inlineStr">
        <is>
          <t>US DC S6</t>
        </is>
      </c>
      <c r="B754" s="54" t="inlineStr">
        <is>
          <t>US</t>
        </is>
      </c>
      <c r="C754" s="54" t="inlineStr">
        <is>
          <t>B0C7FD12CQ</t>
        </is>
      </c>
      <c r="D754" s="54" t="inlineStr">
        <is>
          <t>SATIN-TAUPE-TWIN-6PCS</t>
        </is>
      </c>
      <c r="E754" s="54" t="inlineStr">
        <is>
          <t>Twin</t>
        </is>
      </c>
      <c r="F754" s="54" t="inlineStr">
        <is>
          <t>Taupe</t>
        </is>
      </c>
      <c r="G754" s="55" t="n">
        <v>0</v>
      </c>
      <c r="H754" s="167" t="n"/>
      <c r="I754" s="167" t="n"/>
      <c r="J754" s="168">
        <f>IF(AND(N(G754)&gt;0,N(H754)+N(I754)&gt;0),(H754+I754)*U754/G754,"")</f>
        <v/>
      </c>
      <c r="K754" s="167" t="n">
        <v>27.95</v>
      </c>
      <c r="L754" s="167" t="n">
        <v>27.94</v>
      </c>
      <c r="M754" s="54" t="inlineStr">
        <is>
          <t>Eligible</t>
        </is>
      </c>
      <c r="N754" s="168">
        <f>IF(OR(J754="",L754=""),"",L754-J754)</f>
        <v/>
      </c>
      <c r="O754" s="169">
        <f>IF(OR(J754="",L754=""),"",L754/J754-1)</f>
        <v/>
      </c>
      <c r="P754" s="169">
        <f>IF(OR(J754="",K754=""),"",K754/J754-1)</f>
        <v/>
      </c>
      <c r="Q754" s="54">
        <f>IF(AND(ISNUMBER(J754),ISNUMBER(L754)),1,0)</f>
        <v/>
      </c>
      <c r="R754" s="69">
        <f>IF(Q754=1,G754*L754,0)</f>
        <v/>
      </c>
      <c r="S754" s="69">
        <f>IF(Q754=1,(H754+I754)*U754,0)</f>
        <v/>
      </c>
      <c r="T754" s="59">
        <f>IF(Q754=1,G754,0)</f>
        <v/>
      </c>
      <c r="U754" s="170" t="n">
        <v>1</v>
      </c>
    </row>
    <row r="755">
      <c r="A755" s="54" t="inlineStr">
        <is>
          <t>CA DC S6</t>
        </is>
      </c>
      <c r="B755" s="54" t="inlineStr">
        <is>
          <t>CA</t>
        </is>
      </c>
      <c r="C755" s="54" t="inlineStr">
        <is>
          <t>B0C7FX1GFS</t>
        </is>
      </c>
      <c r="D755" s="54" t="inlineStr">
        <is>
          <t>SATIN-QUEEN-BLACK-6-PCS</t>
        </is>
      </c>
      <c r="E755" s="54" t="inlineStr">
        <is>
          <t>Queen</t>
        </is>
      </c>
      <c r="F755" s="54" t="inlineStr">
        <is>
          <t>Black</t>
        </is>
      </c>
      <c r="G755" s="55" t="n">
        <v>92</v>
      </c>
      <c r="H755" s="167" t="n">
        <v>2428.86</v>
      </c>
      <c r="I755" s="167" t="n">
        <v>0</v>
      </c>
      <c r="J755" s="171">
        <f>IF(AND(N(G755)&gt;0,N(H755)+N(I755)&gt;0),(H755+I755)*U755/G755,"")</f>
        <v/>
      </c>
      <c r="K755" s="172" t="n">
        <v>47.99</v>
      </c>
      <c r="L755" s="172" t="n">
        <v>38.75</v>
      </c>
      <c r="M755" s="54" t="inlineStr">
        <is>
          <t>Eligible</t>
        </is>
      </c>
      <c r="N755" s="171">
        <f>IF(OR(J755="",L755=""),"",L755-J755)</f>
        <v/>
      </c>
      <c r="O755" s="169">
        <f>IF(OR(J755="",L755=""),"",L755/J755-1)</f>
        <v/>
      </c>
      <c r="P755" s="169">
        <f>IF(OR(J755="",K755=""),"",K755/J755-1)</f>
        <v/>
      </c>
      <c r="Q755" s="54">
        <f>IF(AND(ISNUMBER(J755),ISNUMBER(L755)),1,0)</f>
        <v/>
      </c>
      <c r="R755" s="69">
        <f>IF(Q755=1,G755*L755,0)</f>
        <v/>
      </c>
      <c r="S755" s="69">
        <f>IF(Q755=1,(H755+I755)*U755,0)</f>
        <v/>
      </c>
      <c r="T755" s="59">
        <f>IF(Q755=1,G755,0)</f>
        <v/>
      </c>
      <c r="U755" s="170">
        <f>$G$3</f>
        <v/>
      </c>
    </row>
    <row r="756">
      <c r="A756" s="54" t="inlineStr">
        <is>
          <t>CA DC S6</t>
        </is>
      </c>
      <c r="B756" s="54" t="inlineStr">
        <is>
          <t>CA</t>
        </is>
      </c>
      <c r="C756" s="54" t="inlineStr">
        <is>
          <t>B0C7FMCXBV</t>
        </is>
      </c>
      <c r="D756" s="54" t="inlineStr">
        <is>
          <t>SATIN-ROSEWOOD-QUEEN-6PCS</t>
        </is>
      </c>
      <c r="E756" s="54" t="inlineStr">
        <is>
          <t>Queen</t>
        </is>
      </c>
      <c r="F756" s="54" t="inlineStr">
        <is>
          <t>Rosewood</t>
        </is>
      </c>
      <c r="G756" s="55" t="n">
        <v>40</v>
      </c>
      <c r="H756" s="167" t="n">
        <v>1055.66</v>
      </c>
      <c r="I756" s="167" t="n">
        <v>0</v>
      </c>
      <c r="J756" s="171">
        <f>IF(AND(N(G756)&gt;0,N(H756)+N(I756)&gt;0),(H756+I756)*U756/G756,"")</f>
        <v/>
      </c>
      <c r="K756" s="172" t="n">
        <v>47.99</v>
      </c>
      <c r="L756" s="172" t="n">
        <v>38.75</v>
      </c>
      <c r="M756" s="54" t="inlineStr">
        <is>
          <t>Eligible</t>
        </is>
      </c>
      <c r="N756" s="171">
        <f>IF(OR(J756="",L756=""),"",L756-J756)</f>
        <v/>
      </c>
      <c r="O756" s="169">
        <f>IF(OR(J756="",L756=""),"",L756/J756-1)</f>
        <v/>
      </c>
      <c r="P756" s="169">
        <f>IF(OR(J756="",K756=""),"",K756/J756-1)</f>
        <v/>
      </c>
      <c r="Q756" s="54">
        <f>IF(AND(ISNUMBER(J756),ISNUMBER(L756)),1,0)</f>
        <v/>
      </c>
      <c r="R756" s="69">
        <f>IF(Q756=1,G756*L756,0)</f>
        <v/>
      </c>
      <c r="S756" s="69">
        <f>IF(Q756=1,(H756+I756)*U756,0)</f>
        <v/>
      </c>
      <c r="T756" s="59">
        <f>IF(Q756=1,G756,0)</f>
        <v/>
      </c>
      <c r="U756" s="170">
        <f>$G$3</f>
        <v/>
      </c>
    </row>
    <row r="757">
      <c r="A757" s="54" t="inlineStr">
        <is>
          <t>CA DC S6</t>
        </is>
      </c>
      <c r="B757" s="54" t="inlineStr">
        <is>
          <t>CA</t>
        </is>
      </c>
      <c r="C757" s="54" t="inlineStr">
        <is>
          <t>B0C7FMM2QN</t>
        </is>
      </c>
      <c r="D757" s="54" t="inlineStr">
        <is>
          <t>SATIN-FULL-BLACK-6PCS</t>
        </is>
      </c>
      <c r="E757" s="54" t="inlineStr">
        <is>
          <t>Full</t>
        </is>
      </c>
      <c r="F757" s="54" t="inlineStr">
        <is>
          <t>Black</t>
        </is>
      </c>
      <c r="G757" s="55" t="n">
        <v>38</v>
      </c>
      <c r="H757" s="167" t="n">
        <v>914.1799999999999</v>
      </c>
      <c r="I757" s="167" t="n">
        <v>0</v>
      </c>
      <c r="J757" s="171">
        <f>IF(AND(N(G757)&gt;0,N(H757)+N(I757)&gt;0),(H757+I757)*U757/G757,"")</f>
        <v/>
      </c>
      <c r="K757" s="172" t="n">
        <v>44.99</v>
      </c>
      <c r="L757" s="172" t="n">
        <v>38.24</v>
      </c>
      <c r="M757" s="54" t="inlineStr">
        <is>
          <t>Eligible</t>
        </is>
      </c>
      <c r="N757" s="171">
        <f>IF(OR(J757="",L757=""),"",L757-J757)</f>
        <v/>
      </c>
      <c r="O757" s="169">
        <f>IF(OR(J757="",L757=""),"",L757/J757-1)</f>
        <v/>
      </c>
      <c r="P757" s="169">
        <f>IF(OR(J757="",K757=""),"",K757/J757-1)</f>
        <v/>
      </c>
      <c r="Q757" s="54">
        <f>IF(AND(ISNUMBER(J757),ISNUMBER(L757)),1,0)</f>
        <v/>
      </c>
      <c r="R757" s="69">
        <f>IF(Q757=1,G757*L757,0)</f>
        <v/>
      </c>
      <c r="S757" s="69">
        <f>IF(Q757=1,(H757+I757)*U757,0)</f>
        <v/>
      </c>
      <c r="T757" s="59">
        <f>IF(Q757=1,G757,0)</f>
        <v/>
      </c>
      <c r="U757" s="170">
        <f>$G$3</f>
        <v/>
      </c>
    </row>
    <row r="758">
      <c r="A758" s="54" t="inlineStr">
        <is>
          <t>CA DC S6</t>
        </is>
      </c>
      <c r="B758" s="54" t="inlineStr">
        <is>
          <t>CA</t>
        </is>
      </c>
      <c r="C758" s="54" t="inlineStr">
        <is>
          <t>B0C7F622QD</t>
        </is>
      </c>
      <c r="D758" s="54" t="inlineStr">
        <is>
          <t>SATIN-TWIN-BLACK-6PCS</t>
        </is>
      </c>
      <c r="E758" s="54" t="inlineStr">
        <is>
          <t>Twin</t>
        </is>
      </c>
      <c r="F758" s="54" t="inlineStr">
        <is>
          <t>Black</t>
        </is>
      </c>
      <c r="G758" s="55" t="n">
        <v>38</v>
      </c>
      <c r="H758" s="167" t="n">
        <v>764.0700000000001</v>
      </c>
      <c r="I758" s="167" t="n">
        <v>0</v>
      </c>
      <c r="J758" s="171">
        <f>IF(AND(N(G758)&gt;0,N(H758)+N(I758)&gt;0),(H758+I758)*U758/G758,"")</f>
        <v/>
      </c>
      <c r="K758" s="172" t="n">
        <v>39.99</v>
      </c>
      <c r="L758" s="172" t="n">
        <v>34.19</v>
      </c>
      <c r="M758" s="54" t="inlineStr">
        <is>
          <t>Eligible</t>
        </is>
      </c>
      <c r="N758" s="171">
        <f>IF(OR(J758="",L758=""),"",L758-J758)</f>
        <v/>
      </c>
      <c r="O758" s="169">
        <f>IF(OR(J758="",L758=""),"",L758/J758-1)</f>
        <v/>
      </c>
      <c r="P758" s="169">
        <f>IF(OR(J758="",K758=""),"",K758/J758-1)</f>
        <v/>
      </c>
      <c r="Q758" s="54">
        <f>IF(AND(ISNUMBER(J758),ISNUMBER(L758)),1,0)</f>
        <v/>
      </c>
      <c r="R758" s="69">
        <f>IF(Q758=1,G758*L758,0)</f>
        <v/>
      </c>
      <c r="S758" s="69">
        <f>IF(Q758=1,(H758+I758)*U758,0)</f>
        <v/>
      </c>
      <c r="T758" s="59">
        <f>IF(Q758=1,G758,0)</f>
        <v/>
      </c>
      <c r="U758" s="170">
        <f>$G$3</f>
        <v/>
      </c>
    </row>
    <row r="759">
      <c r="A759" s="54" t="inlineStr">
        <is>
          <t>CA DC S6</t>
        </is>
      </c>
      <c r="B759" s="54" t="inlineStr">
        <is>
          <t>CA</t>
        </is>
      </c>
      <c r="C759" s="54" t="inlineStr">
        <is>
          <t>B0C7FXXS6R</t>
        </is>
      </c>
      <c r="D759" s="54" t="inlineStr">
        <is>
          <t>SATIN-KING-BLACK-6-PCS</t>
        </is>
      </c>
      <c r="E759" s="54" t="inlineStr">
        <is>
          <t>King</t>
        </is>
      </c>
      <c r="F759" s="54" t="inlineStr">
        <is>
          <t>Black</t>
        </is>
      </c>
      <c r="G759" s="55" t="n">
        <v>37</v>
      </c>
      <c r="H759" s="167" t="n">
        <v>1002.08</v>
      </c>
      <c r="I759" s="167" t="n">
        <v>0</v>
      </c>
      <c r="J759" s="171">
        <f>IF(AND(N(G759)&gt;0,N(H759)+N(I759)&gt;0),(H759+I759)*U759/G759,"")</f>
        <v/>
      </c>
      <c r="K759" s="172" t="n">
        <v>49.99</v>
      </c>
      <c r="L759" s="172" t="n">
        <v>47.49</v>
      </c>
      <c r="M759" s="54" t="inlineStr">
        <is>
          <t>Eligible</t>
        </is>
      </c>
      <c r="N759" s="171">
        <f>IF(OR(J759="",L759=""),"",L759-J759)</f>
        <v/>
      </c>
      <c r="O759" s="169">
        <f>IF(OR(J759="",L759=""),"",L759/J759-1)</f>
        <v/>
      </c>
      <c r="P759" s="169">
        <f>IF(OR(J759="",K759=""),"",K759/J759-1)</f>
        <v/>
      </c>
      <c r="Q759" s="54">
        <f>IF(AND(ISNUMBER(J759),ISNUMBER(L759)),1,0)</f>
        <v/>
      </c>
      <c r="R759" s="69">
        <f>IF(Q759=1,G759*L759,0)</f>
        <v/>
      </c>
      <c r="S759" s="69">
        <f>IF(Q759=1,(H759+I759)*U759,0)</f>
        <v/>
      </c>
      <c r="T759" s="59">
        <f>IF(Q759=1,G759,0)</f>
        <v/>
      </c>
      <c r="U759" s="170">
        <f>$G$3</f>
        <v/>
      </c>
    </row>
    <row r="760">
      <c r="A760" s="54" t="inlineStr">
        <is>
          <t>CA DC S6</t>
        </is>
      </c>
      <c r="B760" s="54" t="inlineStr">
        <is>
          <t>CA</t>
        </is>
      </c>
      <c r="C760" s="54" t="inlineStr">
        <is>
          <t>B0C7FTB8MQ</t>
        </is>
      </c>
      <c r="D760" s="54" t="inlineStr">
        <is>
          <t>SATIN-STONEGREY-QUEEN-6PCS</t>
        </is>
      </c>
      <c r="E760" s="54" t="inlineStr">
        <is>
          <t>Queen</t>
        </is>
      </c>
      <c r="F760" s="54" t="inlineStr">
        <is>
          <t>Stone Grey</t>
        </is>
      </c>
      <c r="G760" s="55" t="n">
        <v>33</v>
      </c>
      <c r="H760" s="167" t="n">
        <v>871.16</v>
      </c>
      <c r="I760" s="167" t="n">
        <v>0</v>
      </c>
      <c r="J760" s="171">
        <f>IF(AND(N(G760)&gt;0,N(H760)+N(I760)&gt;0),(H760+I760)*U760/G760,"")</f>
        <v/>
      </c>
      <c r="K760" s="172" t="n">
        <v>47.99</v>
      </c>
      <c r="L760" s="172" t="n">
        <v>38.75</v>
      </c>
      <c r="M760" s="54" t="inlineStr">
        <is>
          <t>Eligible</t>
        </is>
      </c>
      <c r="N760" s="171">
        <f>IF(OR(J760="",L760=""),"",L760-J760)</f>
        <v/>
      </c>
      <c r="O760" s="169">
        <f>IF(OR(J760="",L760=""),"",L760/J760-1)</f>
        <v/>
      </c>
      <c r="P760" s="169">
        <f>IF(OR(J760="",K760=""),"",K760/J760-1)</f>
        <v/>
      </c>
      <c r="Q760" s="54">
        <f>IF(AND(ISNUMBER(J760),ISNUMBER(L760)),1,0)</f>
        <v/>
      </c>
      <c r="R760" s="69">
        <f>IF(Q760=1,G760*L760,0)</f>
        <v/>
      </c>
      <c r="S760" s="69">
        <f>IF(Q760=1,(H760+I760)*U760,0)</f>
        <v/>
      </c>
      <c r="T760" s="59">
        <f>IF(Q760=1,G760,0)</f>
        <v/>
      </c>
      <c r="U760" s="170">
        <f>$G$3</f>
        <v/>
      </c>
    </row>
    <row r="761">
      <c r="A761" s="54" t="inlineStr">
        <is>
          <t>CA DC S6</t>
        </is>
      </c>
      <c r="B761" s="54" t="inlineStr">
        <is>
          <t>CA</t>
        </is>
      </c>
      <c r="C761" s="54" t="inlineStr">
        <is>
          <t>B0C7FSZ6RY</t>
        </is>
      </c>
      <c r="D761" s="54" t="inlineStr">
        <is>
          <t>SATIN-QUEEN-PINK-6PCS</t>
        </is>
      </c>
      <c r="E761" s="54" t="inlineStr">
        <is>
          <t>Queen</t>
        </is>
      </c>
      <c r="F761" s="54" t="inlineStr">
        <is>
          <t>Pink</t>
        </is>
      </c>
      <c r="G761" s="55" t="n">
        <v>32</v>
      </c>
      <c r="H761" s="167" t="n">
        <v>819.8200000000001</v>
      </c>
      <c r="I761" s="167" t="n">
        <v>0</v>
      </c>
      <c r="J761" s="171">
        <f>IF(AND(N(G761)&gt;0,N(H761)+N(I761)&gt;0),(H761+I761)*U761/G761,"")</f>
        <v/>
      </c>
      <c r="K761" s="172" t="n">
        <v>47.99</v>
      </c>
      <c r="L761" s="172" t="n">
        <v>47.99</v>
      </c>
      <c r="M761" s="54" t="inlineStr">
        <is>
          <t>Eligible</t>
        </is>
      </c>
      <c r="N761" s="171">
        <f>IF(OR(J761="",L761=""),"",L761-J761)</f>
        <v/>
      </c>
      <c r="O761" s="169">
        <f>IF(OR(J761="",L761=""),"",L761/J761-1)</f>
        <v/>
      </c>
      <c r="P761" s="169">
        <f>IF(OR(J761="",K761=""),"",K761/J761-1)</f>
        <v/>
      </c>
      <c r="Q761" s="54">
        <f>IF(AND(ISNUMBER(J761),ISNUMBER(L761)),1,0)</f>
        <v/>
      </c>
      <c r="R761" s="69">
        <f>IF(Q761=1,G761*L761,0)</f>
        <v/>
      </c>
      <c r="S761" s="69">
        <f>IF(Q761=1,(H761+I761)*U761,0)</f>
        <v/>
      </c>
      <c r="T761" s="59">
        <f>IF(Q761=1,G761,0)</f>
        <v/>
      </c>
      <c r="U761" s="170">
        <f>$G$3</f>
        <v/>
      </c>
    </row>
    <row r="762">
      <c r="A762" s="54" t="inlineStr">
        <is>
          <t>CA DC S6</t>
        </is>
      </c>
      <c r="B762" s="54" t="inlineStr">
        <is>
          <t>CA</t>
        </is>
      </c>
      <c r="C762" s="54" t="inlineStr">
        <is>
          <t>B0C7FJLP2F</t>
        </is>
      </c>
      <c r="D762" s="54" t="inlineStr">
        <is>
          <t>SATIN-RED-QUEEN-6PCS</t>
        </is>
      </c>
      <c r="E762" s="54" t="inlineStr">
        <is>
          <t>Queen</t>
        </is>
      </c>
      <c r="F762" s="54" t="inlineStr">
        <is>
          <t>Red</t>
        </is>
      </c>
      <c r="G762" s="55" t="n">
        <v>30</v>
      </c>
      <c r="H762" s="167" t="n">
        <v>801.41</v>
      </c>
      <c r="I762" s="167" t="n">
        <v>0</v>
      </c>
      <c r="J762" s="171">
        <f>IF(AND(N(G762)&gt;0,N(H762)+N(I762)&gt;0),(H762+I762)*U762/G762,"")</f>
        <v/>
      </c>
      <c r="K762" s="172" t="n">
        <v>47.99</v>
      </c>
      <c r="L762" s="172" t="n">
        <v>45.59</v>
      </c>
      <c r="M762" s="54" t="inlineStr">
        <is>
          <t>Eligible</t>
        </is>
      </c>
      <c r="N762" s="171">
        <f>IF(OR(J762="",L762=""),"",L762-J762)</f>
        <v/>
      </c>
      <c r="O762" s="169">
        <f>IF(OR(J762="",L762=""),"",L762/J762-1)</f>
        <v/>
      </c>
      <c r="P762" s="169">
        <f>IF(OR(J762="",K762=""),"",K762/J762-1)</f>
        <v/>
      </c>
      <c r="Q762" s="54">
        <f>IF(AND(ISNUMBER(J762),ISNUMBER(L762)),1,0)</f>
        <v/>
      </c>
      <c r="R762" s="69">
        <f>IF(Q762=1,G762*L762,0)</f>
        <v/>
      </c>
      <c r="S762" s="69">
        <f>IF(Q762=1,(H762+I762)*U762,0)</f>
        <v/>
      </c>
      <c r="T762" s="59">
        <f>IF(Q762=1,G762,0)</f>
        <v/>
      </c>
      <c r="U762" s="170">
        <f>$G$3</f>
        <v/>
      </c>
    </row>
    <row r="763">
      <c r="A763" s="54" t="inlineStr">
        <is>
          <t>CA DC S6</t>
        </is>
      </c>
      <c r="B763" s="54" t="inlineStr">
        <is>
          <t>CA</t>
        </is>
      </c>
      <c r="C763" s="54" t="inlineStr">
        <is>
          <t>B0C7K5GC4L</t>
        </is>
      </c>
      <c r="D763" s="54" t="inlineStr">
        <is>
          <t>SATIN-STRIPE-QUEEN-BLACK--6-PCS</t>
        </is>
      </c>
      <c r="E763" s="54" t="inlineStr">
        <is>
          <t>Queen</t>
        </is>
      </c>
      <c r="F763" s="54" t="inlineStr">
        <is>
          <t>Striped Black</t>
        </is>
      </c>
      <c r="G763" s="55" t="n">
        <v>30</v>
      </c>
      <c r="H763" s="167" t="n">
        <v>697.97</v>
      </c>
      <c r="I763" s="167" t="n">
        <v>0</v>
      </c>
      <c r="J763" s="171">
        <f>IF(AND(N(G763)&gt;0,N(H763)+N(I763)&gt;0),(H763+I763)*U763/G763,"")</f>
        <v/>
      </c>
      <c r="K763" s="172" t="n">
        <v>47.99</v>
      </c>
      <c r="L763" s="172" t="n">
        <v>47.99</v>
      </c>
      <c r="M763" s="54" t="inlineStr">
        <is>
          <t>Eligible</t>
        </is>
      </c>
      <c r="N763" s="171">
        <f>IF(OR(J763="",L763=""),"",L763-J763)</f>
        <v/>
      </c>
      <c r="O763" s="169">
        <f>IF(OR(J763="",L763=""),"",L763/J763-1)</f>
        <v/>
      </c>
      <c r="P763" s="169">
        <f>IF(OR(J763="",K763=""),"",K763/J763-1)</f>
        <v/>
      </c>
      <c r="Q763" s="54">
        <f>IF(AND(ISNUMBER(J763),ISNUMBER(L763)),1,0)</f>
        <v/>
      </c>
      <c r="R763" s="69">
        <f>IF(Q763=1,G763*L763,0)</f>
        <v/>
      </c>
      <c r="S763" s="69">
        <f>IF(Q763=1,(H763+I763)*U763,0)</f>
        <v/>
      </c>
      <c r="T763" s="59">
        <f>IF(Q763=1,G763,0)</f>
        <v/>
      </c>
      <c r="U763" s="170">
        <f>$G$3</f>
        <v/>
      </c>
    </row>
    <row r="764">
      <c r="A764" s="54" t="inlineStr">
        <is>
          <t>CA DC S6</t>
        </is>
      </c>
      <c r="B764" s="54" t="inlineStr">
        <is>
          <t>CA</t>
        </is>
      </c>
      <c r="C764" s="54" t="inlineStr">
        <is>
          <t>B0C7F5ZR17</t>
        </is>
      </c>
      <c r="D764" s="54" t="inlineStr">
        <is>
          <t>SATIN-QUEEN-GREY-6PCS</t>
        </is>
      </c>
      <c r="E764" s="54" t="inlineStr">
        <is>
          <t>Queen</t>
        </is>
      </c>
      <c r="F764" s="54" t="inlineStr">
        <is>
          <t>Grey</t>
        </is>
      </c>
      <c r="G764" s="55" t="n">
        <v>26</v>
      </c>
      <c r="H764" s="167" t="n">
        <v>666.24</v>
      </c>
      <c r="I764" s="167" t="n">
        <v>0</v>
      </c>
      <c r="J764" s="171">
        <f>IF(AND(N(G764)&gt;0,N(H764)+N(I764)&gt;0),(H764+I764)*U764/G764,"")</f>
        <v/>
      </c>
      <c r="K764" s="172" t="n">
        <v>47.99</v>
      </c>
      <c r="L764" s="172" t="n">
        <v>43.19</v>
      </c>
      <c r="M764" s="54" t="inlineStr">
        <is>
          <t>Eligible</t>
        </is>
      </c>
      <c r="N764" s="171">
        <f>IF(OR(J764="",L764=""),"",L764-J764)</f>
        <v/>
      </c>
      <c r="O764" s="169">
        <f>IF(OR(J764="",L764=""),"",L764/J764-1)</f>
        <v/>
      </c>
      <c r="P764" s="169">
        <f>IF(OR(J764="",K764=""),"",K764/J764-1)</f>
        <v/>
      </c>
      <c r="Q764" s="54">
        <f>IF(AND(ISNUMBER(J764),ISNUMBER(L764)),1,0)</f>
        <v/>
      </c>
      <c r="R764" s="69">
        <f>IF(Q764=1,G764*L764,0)</f>
        <v/>
      </c>
      <c r="S764" s="69">
        <f>IF(Q764=1,(H764+I764)*U764,0)</f>
        <v/>
      </c>
      <c r="T764" s="59">
        <f>IF(Q764=1,G764,0)</f>
        <v/>
      </c>
      <c r="U764" s="170">
        <f>$G$3</f>
        <v/>
      </c>
    </row>
    <row r="765">
      <c r="A765" s="54" t="inlineStr">
        <is>
          <t>CA DC S6</t>
        </is>
      </c>
      <c r="B765" s="54" t="inlineStr">
        <is>
          <t>CA</t>
        </is>
      </c>
      <c r="C765" s="54" t="inlineStr">
        <is>
          <t>B0C7FQTJYM</t>
        </is>
      </c>
      <c r="D765" s="54" t="inlineStr">
        <is>
          <t>SATIN-FULL-PINK-6PCS</t>
        </is>
      </c>
      <c r="E765" s="54" t="inlineStr">
        <is>
          <t>Full</t>
        </is>
      </c>
      <c r="F765" s="54" t="inlineStr">
        <is>
          <t>Pink</t>
        </is>
      </c>
      <c r="G765" s="55" t="n">
        <v>25</v>
      </c>
      <c r="H765" s="167" t="n">
        <v>564.39</v>
      </c>
      <c r="I765" s="167" t="n">
        <v>0</v>
      </c>
      <c r="J765" s="171">
        <f>IF(AND(N(G765)&gt;0,N(H765)+N(I765)&gt;0),(H765+I765)*U765/G765,"")</f>
        <v/>
      </c>
      <c r="K765" s="172" t="n">
        <v>44.99</v>
      </c>
      <c r="L765" s="172" t="n">
        <v>38.24</v>
      </c>
      <c r="M765" s="54" t="inlineStr">
        <is>
          <t>Eligible</t>
        </is>
      </c>
      <c r="N765" s="171">
        <f>IF(OR(J765="",L765=""),"",L765-J765)</f>
        <v/>
      </c>
      <c r="O765" s="169">
        <f>IF(OR(J765="",L765=""),"",L765/J765-1)</f>
        <v/>
      </c>
      <c r="P765" s="169">
        <f>IF(OR(J765="",K765=""),"",K765/J765-1)</f>
        <v/>
      </c>
      <c r="Q765" s="54">
        <f>IF(AND(ISNUMBER(J765),ISNUMBER(L765)),1,0)</f>
        <v/>
      </c>
      <c r="R765" s="69">
        <f>IF(Q765=1,G765*L765,0)</f>
        <v/>
      </c>
      <c r="S765" s="69">
        <f>IF(Q765=1,(H765+I765)*U765,0)</f>
        <v/>
      </c>
      <c r="T765" s="59">
        <f>IF(Q765=1,G765,0)</f>
        <v/>
      </c>
      <c r="U765" s="170">
        <f>$G$3</f>
        <v/>
      </c>
    </row>
    <row r="766">
      <c r="A766" s="54" t="inlineStr">
        <is>
          <t>CA DC S6</t>
        </is>
      </c>
      <c r="B766" s="54" t="inlineStr">
        <is>
          <t>CA</t>
        </is>
      </c>
      <c r="C766" s="54" t="inlineStr">
        <is>
          <t>B0C7FKF7J1</t>
        </is>
      </c>
      <c r="D766" s="54" t="inlineStr">
        <is>
          <t>SATIN-RED-KING-6PCS</t>
        </is>
      </c>
      <c r="E766" s="54" t="inlineStr">
        <is>
          <t>King</t>
        </is>
      </c>
      <c r="F766" s="54" t="inlineStr">
        <is>
          <t>Red</t>
        </is>
      </c>
      <c r="G766" s="55" t="n">
        <v>25</v>
      </c>
      <c r="H766" s="167" t="n">
        <v>667.01</v>
      </c>
      <c r="I766" s="167" t="n">
        <v>0</v>
      </c>
      <c r="J766" s="171">
        <f>IF(AND(N(G766)&gt;0,N(H766)+N(I766)&gt;0),(H766+I766)*U766/G766,"")</f>
        <v/>
      </c>
      <c r="K766" s="172" t="n">
        <v>49.99</v>
      </c>
      <c r="L766" s="172" t="n"/>
      <c r="M766" s="54" t="inlineStr">
        <is>
          <t>Out of stock</t>
        </is>
      </c>
      <c r="N766" s="171">
        <f>IF(OR(J766="",L766=""),"",L766-J766)</f>
        <v/>
      </c>
      <c r="O766" s="169">
        <f>IF(OR(J766="",L766=""),"",L766/J766-1)</f>
        <v/>
      </c>
      <c r="P766" s="169">
        <f>IF(OR(J766="",K766=""),"",K766/J766-1)</f>
        <v/>
      </c>
      <c r="Q766" s="54">
        <f>IF(AND(ISNUMBER(J766),ISNUMBER(L766)),1,0)</f>
        <v/>
      </c>
      <c r="R766" s="69">
        <f>IF(Q766=1,G766*L766,0)</f>
        <v/>
      </c>
      <c r="S766" s="69">
        <f>IF(Q766=1,(H766+I766)*U766,0)</f>
        <v/>
      </c>
      <c r="T766" s="59">
        <f>IF(Q766=1,G766,0)</f>
        <v/>
      </c>
      <c r="U766" s="170">
        <f>$G$3</f>
        <v/>
      </c>
    </row>
    <row r="767">
      <c r="A767" s="54" t="inlineStr">
        <is>
          <t>CA DC S6</t>
        </is>
      </c>
      <c r="B767" s="54" t="inlineStr">
        <is>
          <t>CA</t>
        </is>
      </c>
      <c r="C767" s="54" t="inlineStr">
        <is>
          <t>B0C7FM7GXS</t>
        </is>
      </c>
      <c r="D767" s="54" t="inlineStr">
        <is>
          <t>SATIN-ROSEWOOD-FULL-6PCS</t>
        </is>
      </c>
      <c r="E767" s="54" t="inlineStr">
        <is>
          <t>Full</t>
        </is>
      </c>
      <c r="F767" s="54" t="inlineStr">
        <is>
          <t>Rosewood</t>
        </is>
      </c>
      <c r="G767" s="55" t="n">
        <v>24</v>
      </c>
      <c r="H767" s="167" t="n">
        <v>476.08</v>
      </c>
      <c r="I767" s="167" t="n">
        <v>0</v>
      </c>
      <c r="J767" s="171">
        <f>IF(AND(N(G767)&gt;0,N(H767)+N(I767)&gt;0),(H767+I767)*U767/G767,"")</f>
        <v/>
      </c>
      <c r="K767" s="172" t="n">
        <v>44.99</v>
      </c>
      <c r="L767" s="172" t="n">
        <v>44.99</v>
      </c>
      <c r="M767" s="54" t="inlineStr">
        <is>
          <t>Eligible</t>
        </is>
      </c>
      <c r="N767" s="171">
        <f>IF(OR(J767="",L767=""),"",L767-J767)</f>
        <v/>
      </c>
      <c r="O767" s="169">
        <f>IF(OR(J767="",L767=""),"",L767/J767-1)</f>
        <v/>
      </c>
      <c r="P767" s="169">
        <f>IF(OR(J767="",K767=""),"",K767/J767-1)</f>
        <v/>
      </c>
      <c r="Q767" s="54">
        <f>IF(AND(ISNUMBER(J767),ISNUMBER(L767)),1,0)</f>
        <v/>
      </c>
      <c r="R767" s="69">
        <f>IF(Q767=1,G767*L767,0)</f>
        <v/>
      </c>
      <c r="S767" s="69">
        <f>IF(Q767=1,(H767+I767)*U767,0)</f>
        <v/>
      </c>
      <c r="T767" s="59">
        <f>IF(Q767=1,G767,0)</f>
        <v/>
      </c>
      <c r="U767" s="170">
        <f>$G$3</f>
        <v/>
      </c>
    </row>
    <row r="768">
      <c r="A768" s="54" t="inlineStr">
        <is>
          <t>CA DC S6</t>
        </is>
      </c>
      <c r="B768" s="54" t="inlineStr">
        <is>
          <t>CA</t>
        </is>
      </c>
      <c r="C768" s="54" t="inlineStr">
        <is>
          <t>B0C9LSVFPR</t>
        </is>
      </c>
      <c r="D768" s="54" t="inlineStr">
        <is>
          <t>PURPLE-SATIN-SET-6PCS</t>
        </is>
      </c>
      <c r="E768" s="54" t="inlineStr">
        <is>
          <t>Queen</t>
        </is>
      </c>
      <c r="F768" s="54" t="inlineStr">
        <is>
          <t>Purple</t>
        </is>
      </c>
      <c r="G768" s="55" t="n">
        <v>23</v>
      </c>
      <c r="H768" s="167" t="n">
        <v>563.5599999999999</v>
      </c>
      <c r="I768" s="167" t="n">
        <v>0</v>
      </c>
      <c r="J768" s="171">
        <f>IF(AND(N(G768)&gt;0,N(H768)+N(I768)&gt;0),(H768+I768)*U768/G768,"")</f>
        <v/>
      </c>
      <c r="K768" s="172" t="n">
        <v>47.99</v>
      </c>
      <c r="L768" s="172" t="n">
        <v>43.19</v>
      </c>
      <c r="M768" s="54" t="inlineStr">
        <is>
          <t>Eligible</t>
        </is>
      </c>
      <c r="N768" s="171">
        <f>IF(OR(J768="",L768=""),"",L768-J768)</f>
        <v/>
      </c>
      <c r="O768" s="169">
        <f>IF(OR(J768="",L768=""),"",L768/J768-1)</f>
        <v/>
      </c>
      <c r="P768" s="169">
        <f>IF(OR(J768="",K768=""),"",K768/J768-1)</f>
        <v/>
      </c>
      <c r="Q768" s="54">
        <f>IF(AND(ISNUMBER(J768),ISNUMBER(L768)),1,0)</f>
        <v/>
      </c>
      <c r="R768" s="69">
        <f>IF(Q768=1,G768*L768,0)</f>
        <v/>
      </c>
      <c r="S768" s="69">
        <f>IF(Q768=1,(H768+I768)*U768,0)</f>
        <v/>
      </c>
      <c r="T768" s="59">
        <f>IF(Q768=1,G768,0)</f>
        <v/>
      </c>
      <c r="U768" s="170">
        <f>$G$3</f>
        <v/>
      </c>
    </row>
    <row r="769">
      <c r="A769" s="54" t="inlineStr">
        <is>
          <t>CA DC S6</t>
        </is>
      </c>
      <c r="B769" s="54" t="inlineStr">
        <is>
          <t>CA</t>
        </is>
      </c>
      <c r="C769" s="54" t="inlineStr">
        <is>
          <t>B0D9QSYR9G</t>
        </is>
      </c>
      <c r="D769" s="54" t="inlineStr">
        <is>
          <t>SATIN-6PC-QUEEN-DARK GREEN</t>
        </is>
      </c>
      <c r="E769" s="54" t="inlineStr">
        <is>
          <t>Queen</t>
        </is>
      </c>
      <c r="F769" s="54" t="inlineStr">
        <is>
          <t>Dark Green</t>
        </is>
      </c>
      <c r="G769" s="55" t="n">
        <v>21</v>
      </c>
      <c r="H769" s="167" t="n">
        <v>539.16</v>
      </c>
      <c r="I769" s="167" t="n">
        <v>0</v>
      </c>
      <c r="J769" s="171">
        <f>IF(AND(N(G769)&gt;0,N(H769)+N(I769)&gt;0),(H769+I769)*U769/G769,"")</f>
        <v/>
      </c>
      <c r="K769" s="172" t="n">
        <v>47.99</v>
      </c>
      <c r="L769" s="172" t="n">
        <v>54.5</v>
      </c>
      <c r="M769" s="54" t="inlineStr">
        <is>
          <t>Manual price</t>
        </is>
      </c>
      <c r="N769" s="171">
        <f>IF(OR(J769="",L769=""),"",L769-J769)</f>
        <v/>
      </c>
      <c r="O769" s="169">
        <f>IF(OR(J769="",L769=""),"",L769/J769-1)</f>
        <v/>
      </c>
      <c r="P769" s="169">
        <f>IF(OR(J769="",K769=""),"",K769/J769-1)</f>
        <v/>
      </c>
      <c r="Q769" s="54">
        <f>IF(AND(ISNUMBER(J769),ISNUMBER(L769)),1,0)</f>
        <v/>
      </c>
      <c r="R769" s="69">
        <f>IF(Q769=1,G769*L769,0)</f>
        <v/>
      </c>
      <c r="S769" s="69">
        <f>IF(Q769=1,(H769+I769)*U769,0)</f>
        <v/>
      </c>
      <c r="T769" s="59">
        <f>IF(Q769=1,G769,0)</f>
        <v/>
      </c>
      <c r="U769" s="170">
        <f>$G$3</f>
        <v/>
      </c>
    </row>
    <row r="770">
      <c r="A770" s="54" t="inlineStr">
        <is>
          <t>CA DC S6</t>
        </is>
      </c>
      <c r="B770" s="54" t="inlineStr">
        <is>
          <t>CA</t>
        </is>
      </c>
      <c r="C770" s="54" t="inlineStr">
        <is>
          <t>B0C7FLGJS8</t>
        </is>
      </c>
      <c r="D770" s="54" t="inlineStr">
        <is>
          <t>SATIN-STONEGREY-KING-6PCS</t>
        </is>
      </c>
      <c r="E770" s="54" t="inlineStr">
        <is>
          <t>King</t>
        </is>
      </c>
      <c r="F770" s="54" t="inlineStr">
        <is>
          <t>Stone Grey</t>
        </is>
      </c>
      <c r="G770" s="55" t="n">
        <v>20</v>
      </c>
      <c r="H770" s="167" t="n">
        <v>533.55</v>
      </c>
      <c r="I770" s="167" t="n">
        <v>0</v>
      </c>
      <c r="J770" s="171">
        <f>IF(AND(N(G770)&gt;0,N(H770)+N(I770)&gt;0),(H770+I770)*U770/G770,"")</f>
        <v/>
      </c>
      <c r="K770" s="172" t="n">
        <v>53.99</v>
      </c>
      <c r="L770" s="172" t="n">
        <v>49.99</v>
      </c>
      <c r="M770" s="54" t="inlineStr">
        <is>
          <t>Eligible</t>
        </is>
      </c>
      <c r="N770" s="171">
        <f>IF(OR(J770="",L770=""),"",L770-J770)</f>
        <v/>
      </c>
      <c r="O770" s="169">
        <f>IF(OR(J770="",L770=""),"",L770/J770-1)</f>
        <v/>
      </c>
      <c r="P770" s="169">
        <f>IF(OR(J770="",K770=""),"",K770/J770-1)</f>
        <v/>
      </c>
      <c r="Q770" s="54">
        <f>IF(AND(ISNUMBER(J770),ISNUMBER(L770)),1,0)</f>
        <v/>
      </c>
      <c r="R770" s="69">
        <f>IF(Q770=1,G770*L770,0)</f>
        <v/>
      </c>
      <c r="S770" s="69">
        <f>IF(Q770=1,(H770+I770)*U770,0)</f>
        <v/>
      </c>
      <c r="T770" s="59">
        <f>IF(Q770=1,G770,0)</f>
        <v/>
      </c>
      <c r="U770" s="170">
        <f>$G$3</f>
        <v/>
      </c>
    </row>
    <row r="771">
      <c r="A771" s="54" t="inlineStr">
        <is>
          <t>CA DC S6</t>
        </is>
      </c>
      <c r="B771" s="54" t="inlineStr">
        <is>
          <t>CA</t>
        </is>
      </c>
      <c r="C771" s="54" t="inlineStr">
        <is>
          <t>B0D9QQHLK8</t>
        </is>
      </c>
      <c r="D771" s="54" t="inlineStr">
        <is>
          <t>SATIN-6PC-QUEEN-NAVY BLUE</t>
        </is>
      </c>
      <c r="E771" s="54" t="inlineStr">
        <is>
          <t>Queen</t>
        </is>
      </c>
      <c r="F771" s="54" t="inlineStr">
        <is>
          <t>Navy Blue</t>
        </is>
      </c>
      <c r="G771" s="55" t="n">
        <v>20</v>
      </c>
      <c r="H771" s="167" t="n">
        <v>512.5</v>
      </c>
      <c r="I771" s="167" t="n">
        <v>0</v>
      </c>
      <c r="J771" s="171">
        <f>IF(AND(N(G771)&gt;0,N(H771)+N(I771)&gt;0),(H771+I771)*U771/G771,"")</f>
        <v/>
      </c>
      <c r="K771" s="172" t="n">
        <v>47.99</v>
      </c>
      <c r="L771" s="172" t="n">
        <v>43.19</v>
      </c>
      <c r="M771" s="54" t="inlineStr">
        <is>
          <t>Eligible</t>
        </is>
      </c>
      <c r="N771" s="171">
        <f>IF(OR(J771="",L771=""),"",L771-J771)</f>
        <v/>
      </c>
      <c r="O771" s="169">
        <f>IF(OR(J771="",L771=""),"",L771/J771-1)</f>
        <v/>
      </c>
      <c r="P771" s="169">
        <f>IF(OR(J771="",K771=""),"",K771/J771-1)</f>
        <v/>
      </c>
      <c r="Q771" s="54">
        <f>IF(AND(ISNUMBER(J771),ISNUMBER(L771)),1,0)</f>
        <v/>
      </c>
      <c r="R771" s="69">
        <f>IF(Q771=1,G771*L771,0)</f>
        <v/>
      </c>
      <c r="S771" s="69">
        <f>IF(Q771=1,(H771+I771)*U771,0)</f>
        <v/>
      </c>
      <c r="T771" s="59">
        <f>IF(Q771=1,G771,0)</f>
        <v/>
      </c>
      <c r="U771" s="170">
        <f>$G$3</f>
        <v/>
      </c>
    </row>
    <row r="772">
      <c r="A772" s="54" t="inlineStr">
        <is>
          <t>CA DC S6</t>
        </is>
      </c>
      <c r="B772" s="54" t="inlineStr">
        <is>
          <t>CA</t>
        </is>
      </c>
      <c r="C772" s="54" t="inlineStr">
        <is>
          <t>B0C7FW4Q1C</t>
        </is>
      </c>
      <c r="D772" s="54" t="inlineStr">
        <is>
          <t>SATIN-SEA-TEAL-FULL-6PCS</t>
        </is>
      </c>
      <c r="E772" s="54" t="inlineStr">
        <is>
          <t>Full</t>
        </is>
      </c>
      <c r="F772" s="54" t="inlineStr">
        <is>
          <t>Sea Teal</t>
        </is>
      </c>
      <c r="G772" s="55" t="n">
        <v>19</v>
      </c>
      <c r="H772" s="167" t="n">
        <v>379.3</v>
      </c>
      <c r="I772" s="167" t="n">
        <v>0</v>
      </c>
      <c r="J772" s="171">
        <f>IF(AND(N(G772)&gt;0,N(H772)+N(I772)&gt;0),(H772+I772)*U772/G772,"")</f>
        <v/>
      </c>
      <c r="K772" s="172" t="n">
        <v>44.99</v>
      </c>
      <c r="L772" s="172" t="n">
        <v>42.74</v>
      </c>
      <c r="M772" s="54" t="inlineStr">
        <is>
          <t>Eligible</t>
        </is>
      </c>
      <c r="N772" s="171">
        <f>IF(OR(J772="",L772=""),"",L772-J772)</f>
        <v/>
      </c>
      <c r="O772" s="169">
        <f>IF(OR(J772="",L772=""),"",L772/J772-1)</f>
        <v/>
      </c>
      <c r="P772" s="169">
        <f>IF(OR(J772="",K772=""),"",K772/J772-1)</f>
        <v/>
      </c>
      <c r="Q772" s="54">
        <f>IF(AND(ISNUMBER(J772),ISNUMBER(L772)),1,0)</f>
        <v/>
      </c>
      <c r="R772" s="69">
        <f>IF(Q772=1,G772*L772,0)</f>
        <v/>
      </c>
      <c r="S772" s="69">
        <f>IF(Q772=1,(H772+I772)*U772,0)</f>
        <v/>
      </c>
      <c r="T772" s="59">
        <f>IF(Q772=1,G772,0)</f>
        <v/>
      </c>
      <c r="U772" s="170">
        <f>$G$3</f>
        <v/>
      </c>
    </row>
    <row r="773">
      <c r="A773" s="54" t="inlineStr">
        <is>
          <t>CA DC S6</t>
        </is>
      </c>
      <c r="B773" s="54" t="inlineStr">
        <is>
          <t>CA</t>
        </is>
      </c>
      <c r="C773" s="54" t="inlineStr">
        <is>
          <t>B0C7FR94LJ</t>
        </is>
      </c>
      <c r="D773" s="54" t="inlineStr">
        <is>
          <t>SATIN-WHITE-QUEEN-6PCS</t>
        </is>
      </c>
      <c r="E773" s="54" t="inlineStr">
        <is>
          <t>Queen</t>
        </is>
      </c>
      <c r="F773" s="54" t="inlineStr">
        <is>
          <t>White</t>
        </is>
      </c>
      <c r="G773" s="55" t="n">
        <v>18</v>
      </c>
      <c r="H773" s="167" t="n">
        <v>492.54</v>
      </c>
      <c r="I773" s="167" t="n">
        <v>0</v>
      </c>
      <c r="J773" s="171">
        <f>IF(AND(N(G773)&gt;0,N(H773)+N(I773)&gt;0),(H773+I773)*U773/G773,"")</f>
        <v/>
      </c>
      <c r="K773" s="172" t="n">
        <v>47.99</v>
      </c>
      <c r="L773" s="172" t="n">
        <v>38.75</v>
      </c>
      <c r="M773" s="54" t="inlineStr">
        <is>
          <t>Eligible</t>
        </is>
      </c>
      <c r="N773" s="171">
        <f>IF(OR(J773="",L773=""),"",L773-J773)</f>
        <v/>
      </c>
      <c r="O773" s="169">
        <f>IF(OR(J773="",L773=""),"",L773/J773-1)</f>
        <v/>
      </c>
      <c r="P773" s="169">
        <f>IF(OR(J773="",K773=""),"",K773/J773-1)</f>
        <v/>
      </c>
      <c r="Q773" s="54">
        <f>IF(AND(ISNUMBER(J773),ISNUMBER(L773)),1,0)</f>
        <v/>
      </c>
      <c r="R773" s="69">
        <f>IF(Q773=1,G773*L773,0)</f>
        <v/>
      </c>
      <c r="S773" s="69">
        <f>IF(Q773=1,(H773+I773)*U773,0)</f>
        <v/>
      </c>
      <c r="T773" s="59">
        <f>IF(Q773=1,G773,0)</f>
        <v/>
      </c>
      <c r="U773" s="170">
        <f>$G$3</f>
        <v/>
      </c>
    </row>
    <row r="774">
      <c r="A774" s="54" t="inlineStr">
        <is>
          <t>CA DC S6</t>
        </is>
      </c>
      <c r="B774" s="54" t="inlineStr">
        <is>
          <t>CA</t>
        </is>
      </c>
      <c r="C774" s="54" t="inlineStr">
        <is>
          <t>B0C7FJ461D</t>
        </is>
      </c>
      <c r="D774" s="54" t="inlineStr">
        <is>
          <t>SATIN-QUEEN-BLUE-6PCS</t>
        </is>
      </c>
      <c r="E774" s="54" t="inlineStr">
        <is>
          <t>Queen</t>
        </is>
      </c>
      <c r="F774" s="54" t="inlineStr">
        <is>
          <t>Blue</t>
        </is>
      </c>
      <c r="G774" s="55" t="n">
        <v>17</v>
      </c>
      <c r="H774" s="167" t="n">
        <v>436.58</v>
      </c>
      <c r="I774" s="167" t="n">
        <v>0</v>
      </c>
      <c r="J774" s="171">
        <f>IF(AND(N(G774)&gt;0,N(H774)+N(I774)&gt;0),(H774+I774)*U774/G774,"")</f>
        <v/>
      </c>
      <c r="K774" s="172" t="n">
        <v>47.99</v>
      </c>
      <c r="L774" s="172" t="n">
        <v>40.79</v>
      </c>
      <c r="M774" s="54" t="inlineStr">
        <is>
          <t>Eligible</t>
        </is>
      </c>
      <c r="N774" s="171">
        <f>IF(OR(J774="",L774=""),"",L774-J774)</f>
        <v/>
      </c>
      <c r="O774" s="169">
        <f>IF(OR(J774="",L774=""),"",L774/J774-1)</f>
        <v/>
      </c>
      <c r="P774" s="169">
        <f>IF(OR(J774="",K774=""),"",K774/J774-1)</f>
        <v/>
      </c>
      <c r="Q774" s="54">
        <f>IF(AND(ISNUMBER(J774),ISNUMBER(L774)),1,0)</f>
        <v/>
      </c>
      <c r="R774" s="69">
        <f>IF(Q774=1,G774*L774,0)</f>
        <v/>
      </c>
      <c r="S774" s="69">
        <f>IF(Q774=1,(H774+I774)*U774,0)</f>
        <v/>
      </c>
      <c r="T774" s="59">
        <f>IF(Q774=1,G774,0)</f>
        <v/>
      </c>
      <c r="U774" s="170">
        <f>$G$3</f>
        <v/>
      </c>
    </row>
    <row r="775">
      <c r="A775" s="54" t="inlineStr">
        <is>
          <t>CA DC S6</t>
        </is>
      </c>
      <c r="B775" s="54" t="inlineStr">
        <is>
          <t>CA</t>
        </is>
      </c>
      <c r="C775" s="54" t="inlineStr">
        <is>
          <t>B0C7FP1L1V</t>
        </is>
      </c>
      <c r="D775" s="54" t="inlineStr">
        <is>
          <t>SATIN-ROSEWOOD-KING-6PCS</t>
        </is>
      </c>
      <c r="E775" s="54" t="inlineStr">
        <is>
          <t>King</t>
        </is>
      </c>
      <c r="F775" s="54" t="inlineStr">
        <is>
          <t>Rosewood</t>
        </is>
      </c>
      <c r="G775" s="55" t="n">
        <v>16</v>
      </c>
      <c r="H775" s="167" t="n">
        <v>428.27</v>
      </c>
      <c r="I775" s="167" t="n">
        <v>0</v>
      </c>
      <c r="J775" s="171">
        <f>IF(AND(N(G775)&gt;0,N(H775)+N(I775)&gt;0),(H775+I775)*U775/G775,"")</f>
        <v/>
      </c>
      <c r="K775" s="172" t="n">
        <v>49.99</v>
      </c>
      <c r="L775" s="172" t="n">
        <v>49.99</v>
      </c>
      <c r="M775" s="54" t="inlineStr">
        <is>
          <t>Eligible</t>
        </is>
      </c>
      <c r="N775" s="171">
        <f>IF(OR(J775="",L775=""),"",L775-J775)</f>
        <v/>
      </c>
      <c r="O775" s="169">
        <f>IF(OR(J775="",L775=""),"",L775/J775-1)</f>
        <v/>
      </c>
      <c r="P775" s="169">
        <f>IF(OR(J775="",K775=""),"",K775/J775-1)</f>
        <v/>
      </c>
      <c r="Q775" s="54">
        <f>IF(AND(ISNUMBER(J775),ISNUMBER(L775)),1,0)</f>
        <v/>
      </c>
      <c r="R775" s="69">
        <f>IF(Q775=1,G775*L775,0)</f>
        <v/>
      </c>
      <c r="S775" s="69">
        <f>IF(Q775=1,(H775+I775)*U775,0)</f>
        <v/>
      </c>
      <c r="T775" s="59">
        <f>IF(Q775=1,G775,0)</f>
        <v/>
      </c>
      <c r="U775" s="170">
        <f>$G$3</f>
        <v/>
      </c>
    </row>
    <row r="776">
      <c r="A776" s="54" t="inlineStr">
        <is>
          <t>CA DC S6</t>
        </is>
      </c>
      <c r="B776" s="54" t="inlineStr">
        <is>
          <t>CA</t>
        </is>
      </c>
      <c r="C776" s="54" t="inlineStr">
        <is>
          <t>B0C7FKPZNT</t>
        </is>
      </c>
      <c r="D776" s="54" t="inlineStr">
        <is>
          <t>SATIN-TWIN-PINK-6PCS</t>
        </is>
      </c>
      <c r="E776" s="54" t="inlineStr">
        <is>
          <t>Twin</t>
        </is>
      </c>
      <c r="F776" s="54" t="inlineStr">
        <is>
          <t>Pink</t>
        </is>
      </c>
      <c r="G776" s="55" t="n">
        <v>16</v>
      </c>
      <c r="H776" s="167" t="n">
        <v>320.63</v>
      </c>
      <c r="I776" s="167" t="n">
        <v>0</v>
      </c>
      <c r="J776" s="171">
        <f>IF(AND(N(G776)&gt;0,N(H776)+N(I776)&gt;0),(H776+I776)*U776/G776,"")</f>
        <v/>
      </c>
      <c r="K776" s="172" t="n">
        <v>39.99</v>
      </c>
      <c r="L776" s="172" t="n">
        <v>39.99</v>
      </c>
      <c r="M776" s="54" t="inlineStr">
        <is>
          <t>Eligible</t>
        </is>
      </c>
      <c r="N776" s="171">
        <f>IF(OR(J776="",L776=""),"",L776-J776)</f>
        <v/>
      </c>
      <c r="O776" s="169">
        <f>IF(OR(J776="",L776=""),"",L776/J776-1)</f>
        <v/>
      </c>
      <c r="P776" s="169">
        <f>IF(OR(J776="",K776=""),"",K776/J776-1)</f>
        <v/>
      </c>
      <c r="Q776" s="54">
        <f>IF(AND(ISNUMBER(J776),ISNUMBER(L776)),1,0)</f>
        <v/>
      </c>
      <c r="R776" s="69">
        <f>IF(Q776=1,G776*L776,0)</f>
        <v/>
      </c>
      <c r="S776" s="69">
        <f>IF(Q776=1,(H776+I776)*U776,0)</f>
        <v/>
      </c>
      <c r="T776" s="59">
        <f>IF(Q776=1,G776,0)</f>
        <v/>
      </c>
      <c r="U776" s="170">
        <f>$G$3</f>
        <v/>
      </c>
    </row>
    <row r="777">
      <c r="A777" s="54" t="inlineStr">
        <is>
          <t>CA DC S6</t>
        </is>
      </c>
      <c r="B777" s="54" t="inlineStr">
        <is>
          <t>CA</t>
        </is>
      </c>
      <c r="C777" s="54" t="inlineStr">
        <is>
          <t>B0C7FWSYPL</t>
        </is>
      </c>
      <c r="D777" s="54" t="inlineStr">
        <is>
          <t>SATIN-RED-FULL-6-PCS</t>
        </is>
      </c>
      <c r="E777" s="54" t="inlineStr">
        <is>
          <t>Full</t>
        </is>
      </c>
      <c r="F777" s="54" t="inlineStr">
        <is>
          <t>Red</t>
        </is>
      </c>
      <c r="G777" s="55" t="n">
        <v>15</v>
      </c>
      <c r="H777" s="167" t="n">
        <v>359.9</v>
      </c>
      <c r="I777" s="167" t="n">
        <v>0</v>
      </c>
      <c r="J777" s="171">
        <f>IF(AND(N(G777)&gt;0,N(H777)+N(I777)&gt;0),(H777+I777)*U777/G777,"")</f>
        <v/>
      </c>
      <c r="K777" s="172" t="n">
        <v>44.99</v>
      </c>
      <c r="L777" s="172" t="n">
        <v>42.74</v>
      </c>
      <c r="M777" s="54" t="inlineStr">
        <is>
          <t>Eligible</t>
        </is>
      </c>
      <c r="N777" s="171">
        <f>IF(OR(J777="",L777=""),"",L777-J777)</f>
        <v/>
      </c>
      <c r="O777" s="169">
        <f>IF(OR(J777="",L777=""),"",L777/J777-1)</f>
        <v/>
      </c>
      <c r="P777" s="169">
        <f>IF(OR(J777="",K777=""),"",K777/J777-1)</f>
        <v/>
      </c>
      <c r="Q777" s="54">
        <f>IF(AND(ISNUMBER(J777),ISNUMBER(L777)),1,0)</f>
        <v/>
      </c>
      <c r="R777" s="69">
        <f>IF(Q777=1,G777*L777,0)</f>
        <v/>
      </c>
      <c r="S777" s="69">
        <f>IF(Q777=1,(H777+I777)*U777,0)</f>
        <v/>
      </c>
      <c r="T777" s="59">
        <f>IF(Q777=1,G777,0)</f>
        <v/>
      </c>
      <c r="U777" s="170">
        <f>$G$3</f>
        <v/>
      </c>
    </row>
    <row r="778">
      <c r="A778" s="54" t="inlineStr">
        <is>
          <t>CA DC S6</t>
        </is>
      </c>
      <c r="B778" s="54" t="inlineStr">
        <is>
          <t>CA</t>
        </is>
      </c>
      <c r="C778" s="54" t="inlineStr">
        <is>
          <t>B0D9R9B1VT</t>
        </is>
      </c>
      <c r="D778" s="54" t="inlineStr">
        <is>
          <t>SATIN-6PC-FULL-WHITE</t>
        </is>
      </c>
      <c r="E778" s="54" t="inlineStr">
        <is>
          <t>Full</t>
        </is>
      </c>
      <c r="F778" s="54" t="inlineStr">
        <is>
          <t>White</t>
        </is>
      </c>
      <c r="G778" s="55" t="n">
        <v>15</v>
      </c>
      <c r="H778" s="167" t="n">
        <v>362.15</v>
      </c>
      <c r="I778" s="167" t="n">
        <v>0</v>
      </c>
      <c r="J778" s="171">
        <f>IF(AND(N(G778)&gt;0,N(H778)+N(I778)&gt;0),(H778+I778)*U778/G778,"")</f>
        <v/>
      </c>
      <c r="K778" s="172" t="n">
        <v>44.99</v>
      </c>
      <c r="L778" s="172" t="n">
        <v>42.74</v>
      </c>
      <c r="M778" s="54" t="inlineStr">
        <is>
          <t>Eligible</t>
        </is>
      </c>
      <c r="N778" s="171">
        <f>IF(OR(J778="",L778=""),"",L778-J778)</f>
        <v/>
      </c>
      <c r="O778" s="169">
        <f>IF(OR(J778="",L778=""),"",L778/J778-1)</f>
        <v/>
      </c>
      <c r="P778" s="169">
        <f>IF(OR(J778="",K778=""),"",K778/J778-1)</f>
        <v/>
      </c>
      <c r="Q778" s="54">
        <f>IF(AND(ISNUMBER(J778),ISNUMBER(L778)),1,0)</f>
        <v/>
      </c>
      <c r="R778" s="69">
        <f>IF(Q778=1,G778*L778,0)</f>
        <v/>
      </c>
      <c r="S778" s="69">
        <f>IF(Q778=1,(H778+I778)*U778,0)</f>
        <v/>
      </c>
      <c r="T778" s="59">
        <f>IF(Q778=1,G778,0)</f>
        <v/>
      </c>
      <c r="U778" s="170">
        <f>$G$3</f>
        <v/>
      </c>
    </row>
    <row r="779">
      <c r="A779" s="54" t="inlineStr">
        <is>
          <t>CA DC S6</t>
        </is>
      </c>
      <c r="B779" s="54" t="inlineStr">
        <is>
          <t>CA</t>
        </is>
      </c>
      <c r="C779" s="54" t="inlineStr">
        <is>
          <t>B0C7FQQH6V</t>
        </is>
      </c>
      <c r="D779" s="54" t="inlineStr">
        <is>
          <t>SATIN-KING-PURPLE-6PCS</t>
        </is>
      </c>
      <c r="E779" s="54" t="inlineStr">
        <is>
          <t>King</t>
        </is>
      </c>
      <c r="F779" s="54" t="inlineStr">
        <is>
          <t>Purple</t>
        </is>
      </c>
      <c r="G779" s="55" t="n">
        <v>14</v>
      </c>
      <c r="H779" s="167" t="n">
        <v>373.53</v>
      </c>
      <c r="I779" s="167" t="n">
        <v>0</v>
      </c>
      <c r="J779" s="171">
        <f>IF(AND(N(G779)&gt;0,N(H779)+N(I779)&gt;0),(H779+I779)*U779/G779,"")</f>
        <v/>
      </c>
      <c r="K779" s="172" t="n">
        <v>49.99</v>
      </c>
      <c r="L779" s="172" t="n">
        <v>47.49</v>
      </c>
      <c r="M779" s="54" t="inlineStr">
        <is>
          <t>Eligible</t>
        </is>
      </c>
      <c r="N779" s="171">
        <f>IF(OR(J779="",L779=""),"",L779-J779)</f>
        <v/>
      </c>
      <c r="O779" s="169">
        <f>IF(OR(J779="",L779=""),"",L779/J779-1)</f>
        <v/>
      </c>
      <c r="P779" s="169">
        <f>IF(OR(J779="",K779=""),"",K779/J779-1)</f>
        <v/>
      </c>
      <c r="Q779" s="54">
        <f>IF(AND(ISNUMBER(J779),ISNUMBER(L779)),1,0)</f>
        <v/>
      </c>
      <c r="R779" s="69">
        <f>IF(Q779=1,G779*L779,0)</f>
        <v/>
      </c>
      <c r="S779" s="69">
        <f>IF(Q779=1,(H779+I779)*U779,0)</f>
        <v/>
      </c>
      <c r="T779" s="59">
        <f>IF(Q779=1,G779,0)</f>
        <v/>
      </c>
      <c r="U779" s="170">
        <f>$G$3</f>
        <v/>
      </c>
    </row>
    <row r="780">
      <c r="A780" s="54" t="inlineStr">
        <is>
          <t>CA DC S6</t>
        </is>
      </c>
      <c r="B780" s="54" t="inlineStr">
        <is>
          <t>CA</t>
        </is>
      </c>
      <c r="C780" s="54" t="inlineStr">
        <is>
          <t>B0C7FSZHXL</t>
        </is>
      </c>
      <c r="D780" s="54" t="inlineStr">
        <is>
          <t>SATIN-SEA-TEAL-KING-6PCS</t>
        </is>
      </c>
      <c r="E780" s="54" t="inlineStr">
        <is>
          <t>King</t>
        </is>
      </c>
      <c r="F780" s="54" t="inlineStr">
        <is>
          <t>Sea Teal</t>
        </is>
      </c>
      <c r="G780" s="55" t="n">
        <v>14</v>
      </c>
      <c r="H780" s="167" t="n">
        <v>374.06</v>
      </c>
      <c r="I780" s="167" t="n">
        <v>0</v>
      </c>
      <c r="J780" s="171">
        <f>IF(AND(N(G780)&gt;0,N(H780)+N(I780)&gt;0),(H780+I780)*U780/G780,"")</f>
        <v/>
      </c>
      <c r="K780" s="172" t="n">
        <v>49.99</v>
      </c>
      <c r="L780" s="172" t="n">
        <v>44.99</v>
      </c>
      <c r="M780" s="54" t="inlineStr">
        <is>
          <t>Eligible</t>
        </is>
      </c>
      <c r="N780" s="171">
        <f>IF(OR(J780="",L780=""),"",L780-J780)</f>
        <v/>
      </c>
      <c r="O780" s="169">
        <f>IF(OR(J780="",L780=""),"",L780/J780-1)</f>
        <v/>
      </c>
      <c r="P780" s="169">
        <f>IF(OR(J780="",K780=""),"",K780/J780-1)</f>
        <v/>
      </c>
      <c r="Q780" s="54">
        <f>IF(AND(ISNUMBER(J780),ISNUMBER(L780)),1,0)</f>
        <v/>
      </c>
      <c r="R780" s="69">
        <f>IF(Q780=1,G780*L780,0)</f>
        <v/>
      </c>
      <c r="S780" s="69">
        <f>IF(Q780=1,(H780+I780)*U780,0)</f>
        <v/>
      </c>
      <c r="T780" s="59">
        <f>IF(Q780=1,G780,0)</f>
        <v/>
      </c>
      <c r="U780" s="170">
        <f>$G$3</f>
        <v/>
      </c>
    </row>
    <row r="781">
      <c r="A781" s="54" t="inlineStr">
        <is>
          <t>CA DC S6</t>
        </is>
      </c>
      <c r="B781" s="54" t="inlineStr">
        <is>
          <t>CA</t>
        </is>
      </c>
      <c r="C781" s="54" t="inlineStr">
        <is>
          <t>B0C7FMQP5L</t>
        </is>
      </c>
      <c r="D781" s="54" t="inlineStr">
        <is>
          <t>SATIN-IVORY-QUEEN-6PCS</t>
        </is>
      </c>
      <c r="E781" s="54" t="inlineStr">
        <is>
          <t>Queen</t>
        </is>
      </c>
      <c r="F781" s="54" t="inlineStr">
        <is>
          <t>Ivory</t>
        </is>
      </c>
      <c r="G781" s="55" t="n">
        <v>14</v>
      </c>
      <c r="H781" s="167" t="n">
        <v>359.36</v>
      </c>
      <c r="I781" s="167" t="n">
        <v>0</v>
      </c>
      <c r="J781" s="171">
        <f>IF(AND(N(G781)&gt;0,N(H781)+N(I781)&gt;0),(H781+I781)*U781/G781,"")</f>
        <v/>
      </c>
      <c r="K781" s="172" t="n">
        <v>47.99</v>
      </c>
      <c r="L781" s="172" t="n">
        <v>43.19</v>
      </c>
      <c r="M781" s="54" t="inlineStr">
        <is>
          <t>Eligible</t>
        </is>
      </c>
      <c r="N781" s="171">
        <f>IF(OR(J781="",L781=""),"",L781-J781)</f>
        <v/>
      </c>
      <c r="O781" s="169">
        <f>IF(OR(J781="",L781=""),"",L781/J781-1)</f>
        <v/>
      </c>
      <c r="P781" s="169">
        <f>IF(OR(J781="",K781=""),"",K781/J781-1)</f>
        <v/>
      </c>
      <c r="Q781" s="54">
        <f>IF(AND(ISNUMBER(J781),ISNUMBER(L781)),1,0)</f>
        <v/>
      </c>
      <c r="R781" s="69">
        <f>IF(Q781=1,G781*L781,0)</f>
        <v/>
      </c>
      <c r="S781" s="69">
        <f>IF(Q781=1,(H781+I781)*U781,0)</f>
        <v/>
      </c>
      <c r="T781" s="59">
        <f>IF(Q781=1,G781,0)</f>
        <v/>
      </c>
      <c r="U781" s="170">
        <f>$G$3</f>
        <v/>
      </c>
    </row>
    <row r="782">
      <c r="A782" s="54" t="inlineStr">
        <is>
          <t>CA DC S6</t>
        </is>
      </c>
      <c r="B782" s="54" t="inlineStr">
        <is>
          <t>CA</t>
        </is>
      </c>
      <c r="C782" s="54" t="inlineStr">
        <is>
          <t>B0C7FD1CLN</t>
        </is>
      </c>
      <c r="D782" s="54" t="inlineStr">
        <is>
          <t>SATIN-SEA-TEAL-QUEEN-6PCS</t>
        </is>
      </c>
      <c r="E782" s="54" t="inlineStr">
        <is>
          <t>Queen</t>
        </is>
      </c>
      <c r="F782" s="54" t="inlineStr">
        <is>
          <t>Sea Teal</t>
        </is>
      </c>
      <c r="G782" s="55" t="n">
        <v>14</v>
      </c>
      <c r="H782" s="167" t="n">
        <v>359.52</v>
      </c>
      <c r="I782" s="167" t="n">
        <v>0</v>
      </c>
      <c r="J782" s="171">
        <f>IF(AND(N(G782)&gt;0,N(H782)+N(I782)&gt;0),(H782+I782)*U782/G782,"")</f>
        <v/>
      </c>
      <c r="K782" s="172" t="n">
        <v>47.99</v>
      </c>
      <c r="L782" s="172" t="n">
        <v>40.79</v>
      </c>
      <c r="M782" s="54" t="inlineStr">
        <is>
          <t>Eligible</t>
        </is>
      </c>
      <c r="N782" s="171">
        <f>IF(OR(J782="",L782=""),"",L782-J782)</f>
        <v/>
      </c>
      <c r="O782" s="169">
        <f>IF(OR(J782="",L782=""),"",L782/J782-1)</f>
        <v/>
      </c>
      <c r="P782" s="169">
        <f>IF(OR(J782="",K782=""),"",K782/J782-1)</f>
        <v/>
      </c>
      <c r="Q782" s="54">
        <f>IF(AND(ISNUMBER(J782),ISNUMBER(L782)),1,0)</f>
        <v/>
      </c>
      <c r="R782" s="69">
        <f>IF(Q782=1,G782*L782,0)</f>
        <v/>
      </c>
      <c r="S782" s="69">
        <f>IF(Q782=1,(H782+I782)*U782,0)</f>
        <v/>
      </c>
      <c r="T782" s="59">
        <f>IF(Q782=1,G782,0)</f>
        <v/>
      </c>
      <c r="U782" s="170">
        <f>$G$3</f>
        <v/>
      </c>
    </row>
    <row r="783">
      <c r="A783" s="54" t="inlineStr">
        <is>
          <t>CA DC S6</t>
        </is>
      </c>
      <c r="B783" s="54" t="inlineStr">
        <is>
          <t>CA</t>
        </is>
      </c>
      <c r="C783" s="54" t="inlineStr">
        <is>
          <t>B0C7FXRDSZ</t>
        </is>
      </c>
      <c r="D783" s="54" t="inlineStr">
        <is>
          <t>SATIN-TWIN-PURPLE-6PCS</t>
        </is>
      </c>
      <c r="E783" s="54" t="inlineStr">
        <is>
          <t>Twin</t>
        </is>
      </c>
      <c r="F783" s="54" t="inlineStr">
        <is>
          <t>Purple</t>
        </is>
      </c>
      <c r="G783" s="55" t="n">
        <v>14</v>
      </c>
      <c r="H783" s="167" t="n">
        <v>281.21</v>
      </c>
      <c r="I783" s="167" t="n">
        <v>0</v>
      </c>
      <c r="J783" s="171">
        <f>IF(AND(N(G783)&gt;0,N(H783)+N(I783)&gt;0),(H783+I783)*U783/G783,"")</f>
        <v/>
      </c>
      <c r="K783" s="172" t="n">
        <v>39.99</v>
      </c>
      <c r="L783" s="172" t="n">
        <v>39.99</v>
      </c>
      <c r="M783" s="54" t="inlineStr">
        <is>
          <t>Eligible</t>
        </is>
      </c>
      <c r="N783" s="171">
        <f>IF(OR(J783="",L783=""),"",L783-J783)</f>
        <v/>
      </c>
      <c r="O783" s="169">
        <f>IF(OR(J783="",L783=""),"",L783/J783-1)</f>
        <v/>
      </c>
      <c r="P783" s="169">
        <f>IF(OR(J783="",K783=""),"",K783/J783-1)</f>
        <v/>
      </c>
      <c r="Q783" s="54">
        <f>IF(AND(ISNUMBER(J783),ISNUMBER(L783)),1,0)</f>
        <v/>
      </c>
      <c r="R783" s="69">
        <f>IF(Q783=1,G783*L783,0)</f>
        <v/>
      </c>
      <c r="S783" s="69">
        <f>IF(Q783=1,(H783+I783)*U783,0)</f>
        <v/>
      </c>
      <c r="T783" s="59">
        <f>IF(Q783=1,G783,0)</f>
        <v/>
      </c>
      <c r="U783" s="170">
        <f>$G$3</f>
        <v/>
      </c>
    </row>
    <row r="784">
      <c r="A784" s="54" t="inlineStr">
        <is>
          <t>CA DC S6</t>
        </is>
      </c>
      <c r="B784" s="54" t="inlineStr">
        <is>
          <t>CA</t>
        </is>
      </c>
      <c r="C784" s="54" t="inlineStr">
        <is>
          <t>B0C7FPM5CR</t>
        </is>
      </c>
      <c r="D784" s="54" t="inlineStr">
        <is>
          <t>SATIN-GOLD-QUEEN-6PCS</t>
        </is>
      </c>
      <c r="E784" s="54" t="inlineStr">
        <is>
          <t>Queen</t>
        </is>
      </c>
      <c r="F784" s="54" t="inlineStr">
        <is>
          <t>Gold</t>
        </is>
      </c>
      <c r="G784" s="55" t="n">
        <v>13</v>
      </c>
      <c r="H784" s="167" t="n">
        <v>296.02</v>
      </c>
      <c r="I784" s="167" t="n">
        <v>0</v>
      </c>
      <c r="J784" s="171">
        <f>IF(AND(N(G784)&gt;0,N(H784)+N(I784)&gt;0),(H784+I784)*U784/G784,"")</f>
        <v/>
      </c>
      <c r="K784" s="172" t="n">
        <v>47.99</v>
      </c>
      <c r="L784" s="172" t="n">
        <v>45.59</v>
      </c>
      <c r="M784" s="54" t="inlineStr">
        <is>
          <t>Eligible</t>
        </is>
      </c>
      <c r="N784" s="171">
        <f>IF(OR(J784="",L784=""),"",L784-J784)</f>
        <v/>
      </c>
      <c r="O784" s="169">
        <f>IF(OR(J784="",L784=""),"",L784/J784-1)</f>
        <v/>
      </c>
      <c r="P784" s="169">
        <f>IF(OR(J784="",K784=""),"",K784/J784-1)</f>
        <v/>
      </c>
      <c r="Q784" s="54">
        <f>IF(AND(ISNUMBER(J784),ISNUMBER(L784)),1,0)</f>
        <v/>
      </c>
      <c r="R784" s="69">
        <f>IF(Q784=1,G784*L784,0)</f>
        <v/>
      </c>
      <c r="S784" s="69">
        <f>IF(Q784=1,(H784+I784)*U784,0)</f>
        <v/>
      </c>
      <c r="T784" s="59">
        <f>IF(Q784=1,G784,0)</f>
        <v/>
      </c>
      <c r="U784" s="170">
        <f>$G$3</f>
        <v/>
      </c>
    </row>
    <row r="785">
      <c r="A785" s="54" t="inlineStr">
        <is>
          <t>CA DC S6</t>
        </is>
      </c>
      <c r="B785" s="54" t="inlineStr">
        <is>
          <t>CA</t>
        </is>
      </c>
      <c r="C785" s="54" t="inlineStr">
        <is>
          <t>B0D9QSYPF2</t>
        </is>
      </c>
      <c r="D785" s="54" t="inlineStr">
        <is>
          <t>SATIN-6PC-QUEEN-LAVENDER</t>
        </is>
      </c>
      <c r="E785" s="54" t="inlineStr">
        <is>
          <t>Queen</t>
        </is>
      </c>
      <c r="F785" s="54" t="inlineStr">
        <is>
          <t>Lavender</t>
        </is>
      </c>
      <c r="G785" s="55" t="n">
        <v>13</v>
      </c>
      <c r="H785" s="167" t="n">
        <v>333.18</v>
      </c>
      <c r="I785" s="167" t="n">
        <v>0</v>
      </c>
      <c r="J785" s="171">
        <f>IF(AND(N(G785)&gt;0,N(H785)+N(I785)&gt;0),(H785+I785)*U785/G785,"")</f>
        <v/>
      </c>
      <c r="K785" s="172" t="n">
        <v>47.99</v>
      </c>
      <c r="L785" s="172" t="n">
        <v>38.75</v>
      </c>
      <c r="M785" s="54" t="inlineStr">
        <is>
          <t>Eligible</t>
        </is>
      </c>
      <c r="N785" s="171">
        <f>IF(OR(J785="",L785=""),"",L785-J785)</f>
        <v/>
      </c>
      <c r="O785" s="169">
        <f>IF(OR(J785="",L785=""),"",L785/J785-1)</f>
        <v/>
      </c>
      <c r="P785" s="169">
        <f>IF(OR(J785="",K785=""),"",K785/J785-1)</f>
        <v/>
      </c>
      <c r="Q785" s="54">
        <f>IF(AND(ISNUMBER(J785),ISNUMBER(L785)),1,0)</f>
        <v/>
      </c>
      <c r="R785" s="69">
        <f>IF(Q785=1,G785*L785,0)</f>
        <v/>
      </c>
      <c r="S785" s="69">
        <f>IF(Q785=1,(H785+I785)*U785,0)</f>
        <v/>
      </c>
      <c r="T785" s="59">
        <f>IF(Q785=1,G785,0)</f>
        <v/>
      </c>
      <c r="U785" s="170">
        <f>$G$3</f>
        <v/>
      </c>
    </row>
    <row r="786">
      <c r="A786" s="54" t="inlineStr">
        <is>
          <t>CA DC S6</t>
        </is>
      </c>
      <c r="B786" s="54" t="inlineStr">
        <is>
          <t>CA</t>
        </is>
      </c>
      <c r="C786" s="54" t="inlineStr">
        <is>
          <t>B0C7K438ML</t>
        </is>
      </c>
      <c r="D786" s="54" t="inlineStr">
        <is>
          <t>SATIN-STRIPE-QUEEN-GRAY--6-PCS</t>
        </is>
      </c>
      <c r="E786" s="54" t="inlineStr">
        <is>
          <t>Queen</t>
        </is>
      </c>
      <c r="F786" s="54" t="inlineStr">
        <is>
          <t>Striped Grey</t>
        </is>
      </c>
      <c r="G786" s="55" t="n">
        <v>13</v>
      </c>
      <c r="H786" s="167" t="n">
        <v>302.81</v>
      </c>
      <c r="I786" s="167" t="n">
        <v>0</v>
      </c>
      <c r="J786" s="171">
        <f>IF(AND(N(G786)&gt;0,N(H786)+N(I786)&gt;0),(H786+I786)*U786/G786,"")</f>
        <v/>
      </c>
      <c r="K786" s="172" t="n">
        <v>47.99</v>
      </c>
      <c r="L786" s="172" t="n">
        <v>43.19</v>
      </c>
      <c r="M786" s="54" t="inlineStr">
        <is>
          <t>Eligible</t>
        </is>
      </c>
      <c r="N786" s="171">
        <f>IF(OR(J786="",L786=""),"",L786-J786)</f>
        <v/>
      </c>
      <c r="O786" s="169">
        <f>IF(OR(J786="",L786=""),"",L786/J786-1)</f>
        <v/>
      </c>
      <c r="P786" s="169">
        <f>IF(OR(J786="",K786=""),"",K786/J786-1)</f>
        <v/>
      </c>
      <c r="Q786" s="54">
        <f>IF(AND(ISNUMBER(J786),ISNUMBER(L786)),1,0)</f>
        <v/>
      </c>
      <c r="R786" s="69">
        <f>IF(Q786=1,G786*L786,0)</f>
        <v/>
      </c>
      <c r="S786" s="69">
        <f>IF(Q786=1,(H786+I786)*U786,0)</f>
        <v/>
      </c>
      <c r="T786" s="59">
        <f>IF(Q786=1,G786,0)</f>
        <v/>
      </c>
      <c r="U786" s="170">
        <f>$G$3</f>
        <v/>
      </c>
    </row>
    <row r="787">
      <c r="A787" s="54" t="inlineStr">
        <is>
          <t>CA DC S6</t>
        </is>
      </c>
      <c r="B787" s="54" t="inlineStr">
        <is>
          <t>CA</t>
        </is>
      </c>
      <c r="C787" s="54" t="inlineStr">
        <is>
          <t>B0C7FNQH3B</t>
        </is>
      </c>
      <c r="D787" s="54" t="inlineStr">
        <is>
          <t>SATIN-KING-GREY-6PCS</t>
        </is>
      </c>
      <c r="E787" s="54" t="inlineStr">
        <is>
          <t>King</t>
        </is>
      </c>
      <c r="F787" s="54" t="inlineStr">
        <is>
          <t>Grey</t>
        </is>
      </c>
      <c r="G787" s="55" t="n">
        <v>12</v>
      </c>
      <c r="H787" s="167" t="n">
        <v>320.55</v>
      </c>
      <c r="I787" s="167" t="n">
        <v>0</v>
      </c>
      <c r="J787" s="171">
        <f>IF(AND(N(G787)&gt;0,N(H787)+N(I787)&gt;0),(H787+I787)*U787/G787,"")</f>
        <v/>
      </c>
      <c r="K787" s="172" t="n">
        <v>49.99</v>
      </c>
      <c r="L787" s="172" t="n">
        <v>47.49</v>
      </c>
      <c r="M787" s="54" t="inlineStr">
        <is>
          <t>Eligible</t>
        </is>
      </c>
      <c r="N787" s="171">
        <f>IF(OR(J787="",L787=""),"",L787-J787)</f>
        <v/>
      </c>
      <c r="O787" s="169">
        <f>IF(OR(J787="",L787=""),"",L787/J787-1)</f>
        <v/>
      </c>
      <c r="P787" s="169">
        <f>IF(OR(J787="",K787=""),"",K787/J787-1)</f>
        <v/>
      </c>
      <c r="Q787" s="54">
        <f>IF(AND(ISNUMBER(J787),ISNUMBER(L787)),1,0)</f>
        <v/>
      </c>
      <c r="R787" s="69">
        <f>IF(Q787=1,G787*L787,0)</f>
        <v/>
      </c>
      <c r="S787" s="69">
        <f>IF(Q787=1,(H787+I787)*U787,0)</f>
        <v/>
      </c>
      <c r="T787" s="59">
        <f>IF(Q787=1,G787,0)</f>
        <v/>
      </c>
      <c r="U787" s="170">
        <f>$G$3</f>
        <v/>
      </c>
    </row>
    <row r="788">
      <c r="A788" s="54" t="inlineStr">
        <is>
          <t>CA DC S6</t>
        </is>
      </c>
      <c r="B788" s="54" t="inlineStr">
        <is>
          <t>CA</t>
        </is>
      </c>
      <c r="C788" s="54" t="inlineStr">
        <is>
          <t>B0C7KD5MPK</t>
        </is>
      </c>
      <c r="D788" s="54" t="inlineStr">
        <is>
          <t>SATIN-STRIPE-KING-WHITE--6-PCS</t>
        </is>
      </c>
      <c r="E788" s="54" t="inlineStr">
        <is>
          <t>King</t>
        </is>
      </c>
      <c r="F788" s="54" t="inlineStr">
        <is>
          <t>Striped White</t>
        </is>
      </c>
      <c r="G788" s="55" t="n">
        <v>12</v>
      </c>
      <c r="H788" s="167" t="n">
        <v>300.22</v>
      </c>
      <c r="I788" s="167" t="n">
        <v>0</v>
      </c>
      <c r="J788" s="171">
        <f>IF(AND(N(G788)&gt;0,N(H788)+N(I788)&gt;0),(H788+I788)*U788/G788,"")</f>
        <v/>
      </c>
      <c r="K788" s="172" t="n">
        <v>49.99</v>
      </c>
      <c r="L788" s="172" t="n">
        <v>47.49</v>
      </c>
      <c r="M788" s="54" t="inlineStr">
        <is>
          <t>Eligible</t>
        </is>
      </c>
      <c r="N788" s="171">
        <f>IF(OR(J788="",L788=""),"",L788-J788)</f>
        <v/>
      </c>
      <c r="O788" s="169">
        <f>IF(OR(J788="",L788=""),"",L788/J788-1)</f>
        <v/>
      </c>
      <c r="P788" s="169">
        <f>IF(OR(J788="",K788=""),"",K788/J788-1)</f>
        <v/>
      </c>
      <c r="Q788" s="54">
        <f>IF(AND(ISNUMBER(J788),ISNUMBER(L788)),1,0)</f>
        <v/>
      </c>
      <c r="R788" s="69">
        <f>IF(Q788=1,G788*L788,0)</f>
        <v/>
      </c>
      <c r="S788" s="69">
        <f>IF(Q788=1,(H788+I788)*U788,0)</f>
        <v/>
      </c>
      <c r="T788" s="59">
        <f>IF(Q788=1,G788,0)</f>
        <v/>
      </c>
      <c r="U788" s="170">
        <f>$G$3</f>
        <v/>
      </c>
    </row>
    <row r="789">
      <c r="A789" s="54" t="inlineStr">
        <is>
          <t>CA DC S6</t>
        </is>
      </c>
      <c r="B789" s="54" t="inlineStr">
        <is>
          <t>CA</t>
        </is>
      </c>
      <c r="C789" s="54" t="inlineStr">
        <is>
          <t>B0C7K74SLC</t>
        </is>
      </c>
      <c r="D789" s="54" t="inlineStr">
        <is>
          <t>SATIN-STRIPE-KING-GRAY--6-PCS</t>
        </is>
      </c>
      <c r="E789" s="54" t="inlineStr">
        <is>
          <t>King</t>
        </is>
      </c>
      <c r="F789" s="54" t="inlineStr">
        <is>
          <t>Striped Grey</t>
        </is>
      </c>
      <c r="G789" s="55" t="n">
        <v>11</v>
      </c>
      <c r="H789" s="167" t="n">
        <v>279.31</v>
      </c>
      <c r="I789" s="167" t="n">
        <v>0</v>
      </c>
      <c r="J789" s="171">
        <f>IF(AND(N(G789)&gt;0,N(H789)+N(I789)&gt;0),(H789+I789)*U789/G789,"")</f>
        <v/>
      </c>
      <c r="K789" s="172" t="n">
        <v>49.99</v>
      </c>
      <c r="L789" s="172" t="n">
        <v>44.99</v>
      </c>
      <c r="M789" s="54" t="inlineStr">
        <is>
          <t>Eligible</t>
        </is>
      </c>
      <c r="N789" s="171">
        <f>IF(OR(J789="",L789=""),"",L789-J789)</f>
        <v/>
      </c>
      <c r="O789" s="169">
        <f>IF(OR(J789="",L789=""),"",L789/J789-1)</f>
        <v/>
      </c>
      <c r="P789" s="169">
        <f>IF(OR(J789="",K789=""),"",K789/J789-1)</f>
        <v/>
      </c>
      <c r="Q789" s="54">
        <f>IF(AND(ISNUMBER(J789),ISNUMBER(L789)),1,0)</f>
        <v/>
      </c>
      <c r="R789" s="69">
        <f>IF(Q789=1,G789*L789,0)</f>
        <v/>
      </c>
      <c r="S789" s="69">
        <f>IF(Q789=1,(H789+I789)*U789,0)</f>
        <v/>
      </c>
      <c r="T789" s="59">
        <f>IF(Q789=1,G789,0)</f>
        <v/>
      </c>
      <c r="U789" s="170">
        <f>$G$3</f>
        <v/>
      </c>
    </row>
    <row r="790">
      <c r="A790" s="54" t="inlineStr">
        <is>
          <t>CA DC S6</t>
        </is>
      </c>
      <c r="B790" s="54" t="inlineStr">
        <is>
          <t>CA</t>
        </is>
      </c>
      <c r="C790" s="54" t="inlineStr">
        <is>
          <t>B0C7KBHV72</t>
        </is>
      </c>
      <c r="D790" s="54" t="inlineStr">
        <is>
          <t>SATIN-STRIPE-QUEEN-RED--6-PCS</t>
        </is>
      </c>
      <c r="E790" s="54" t="inlineStr">
        <is>
          <t>Queen</t>
        </is>
      </c>
      <c r="F790" s="54" t="inlineStr">
        <is>
          <t>Red</t>
        </is>
      </c>
      <c r="G790" s="55" t="n">
        <v>11</v>
      </c>
      <c r="H790" s="167" t="n">
        <v>268.8</v>
      </c>
      <c r="I790" s="167" t="n">
        <v>0</v>
      </c>
      <c r="J790" s="171">
        <f>IF(AND(N(G790)&gt;0,N(H790)+N(I790)&gt;0),(H790+I790)*U790/G790,"")</f>
        <v/>
      </c>
      <c r="K790" s="172" t="n">
        <v>47.99</v>
      </c>
      <c r="L790" s="172" t="n">
        <v>45.59</v>
      </c>
      <c r="M790" s="54" t="inlineStr">
        <is>
          <t>Eligible</t>
        </is>
      </c>
      <c r="N790" s="171">
        <f>IF(OR(J790="",L790=""),"",L790-J790)</f>
        <v/>
      </c>
      <c r="O790" s="169">
        <f>IF(OR(J790="",L790=""),"",L790/J790-1)</f>
        <v/>
      </c>
      <c r="P790" s="169">
        <f>IF(OR(J790="",K790=""),"",K790/J790-1)</f>
        <v/>
      </c>
      <c r="Q790" s="54">
        <f>IF(AND(ISNUMBER(J790),ISNUMBER(L790)),1,0)</f>
        <v/>
      </c>
      <c r="R790" s="69">
        <f>IF(Q790=1,G790*L790,0)</f>
        <v/>
      </c>
      <c r="S790" s="69">
        <f>IF(Q790=1,(H790+I790)*U790,0)</f>
        <v/>
      </c>
      <c r="T790" s="59">
        <f>IF(Q790=1,G790,0)</f>
        <v/>
      </c>
      <c r="U790" s="170">
        <f>$G$3</f>
        <v/>
      </c>
    </row>
    <row r="791">
      <c r="A791" s="54" t="inlineStr">
        <is>
          <t>CA DC S6</t>
        </is>
      </c>
      <c r="B791" s="54" t="inlineStr">
        <is>
          <t>CA</t>
        </is>
      </c>
      <c r="C791" s="54" t="inlineStr">
        <is>
          <t>B0D9QRCV3S</t>
        </is>
      </c>
      <c r="D791" s="54" t="inlineStr">
        <is>
          <t>SATIN-6PC-FULL-NAVY BLUE</t>
        </is>
      </c>
      <c r="E791" s="54" t="inlineStr">
        <is>
          <t>Full</t>
        </is>
      </c>
      <c r="F791" s="54" t="inlineStr">
        <is>
          <t>Navy Blue</t>
        </is>
      </c>
      <c r="G791" s="55" t="n">
        <v>10</v>
      </c>
      <c r="H791" s="167" t="n">
        <v>256.14</v>
      </c>
      <c r="I791" s="167" t="n">
        <v>0</v>
      </c>
      <c r="J791" s="171">
        <f>IF(AND(N(G791)&gt;0,N(H791)+N(I791)&gt;0),(H791+I791)*U791/G791,"")</f>
        <v/>
      </c>
      <c r="K791" s="172" t="n">
        <v>44.99</v>
      </c>
      <c r="L791" s="172" t="n">
        <v>40.49</v>
      </c>
      <c r="M791" s="54" t="inlineStr">
        <is>
          <t>Eligible</t>
        </is>
      </c>
      <c r="N791" s="171">
        <f>IF(OR(J791="",L791=""),"",L791-J791)</f>
        <v/>
      </c>
      <c r="O791" s="169">
        <f>IF(OR(J791="",L791=""),"",L791/J791-1)</f>
        <v/>
      </c>
      <c r="P791" s="169">
        <f>IF(OR(J791="",K791=""),"",K791/J791-1)</f>
        <v/>
      </c>
      <c r="Q791" s="54">
        <f>IF(AND(ISNUMBER(J791),ISNUMBER(L791)),1,0)</f>
        <v/>
      </c>
      <c r="R791" s="69">
        <f>IF(Q791=1,G791*L791,0)</f>
        <v/>
      </c>
      <c r="S791" s="69">
        <f>IF(Q791=1,(H791+I791)*U791,0)</f>
        <v/>
      </c>
      <c r="T791" s="59">
        <f>IF(Q791=1,G791,0)</f>
        <v/>
      </c>
      <c r="U791" s="170">
        <f>$G$3</f>
        <v/>
      </c>
    </row>
    <row r="792">
      <c r="A792" s="54" t="inlineStr">
        <is>
          <t>CA DC S6</t>
        </is>
      </c>
      <c r="B792" s="54" t="inlineStr">
        <is>
          <t>CA</t>
        </is>
      </c>
      <c r="C792" s="54" t="inlineStr">
        <is>
          <t>B0C7FFMKP8</t>
        </is>
      </c>
      <c r="D792" s="54" t="inlineStr">
        <is>
          <t>SATIN-IVORY-KING-6PCS</t>
        </is>
      </c>
      <c r="E792" s="54" t="inlineStr">
        <is>
          <t>King</t>
        </is>
      </c>
      <c r="F792" s="54" t="inlineStr">
        <is>
          <t>Ivory</t>
        </is>
      </c>
      <c r="G792" s="55" t="n">
        <v>10</v>
      </c>
      <c r="H792" s="167" t="n">
        <v>242.43</v>
      </c>
      <c r="I792" s="167" t="n">
        <v>0</v>
      </c>
      <c r="J792" s="171">
        <f>IF(AND(N(G792)&gt;0,N(H792)+N(I792)&gt;0),(H792+I792)*U792/G792,"")</f>
        <v/>
      </c>
      <c r="K792" s="172" t="n">
        <v>49.99</v>
      </c>
      <c r="L792" s="172" t="n">
        <v>49.99</v>
      </c>
      <c r="M792" s="54" t="inlineStr">
        <is>
          <t>Eligible</t>
        </is>
      </c>
      <c r="N792" s="171">
        <f>IF(OR(J792="",L792=""),"",L792-J792)</f>
        <v/>
      </c>
      <c r="O792" s="169">
        <f>IF(OR(J792="",L792=""),"",L792/J792-1)</f>
        <v/>
      </c>
      <c r="P792" s="169">
        <f>IF(OR(J792="",K792=""),"",K792/J792-1)</f>
        <v/>
      </c>
      <c r="Q792" s="54">
        <f>IF(AND(ISNUMBER(J792),ISNUMBER(L792)),1,0)</f>
        <v/>
      </c>
      <c r="R792" s="69">
        <f>IF(Q792=1,G792*L792,0)</f>
        <v/>
      </c>
      <c r="S792" s="69">
        <f>IF(Q792=1,(H792+I792)*U792,0)</f>
        <v/>
      </c>
      <c r="T792" s="59">
        <f>IF(Q792=1,G792,0)</f>
        <v/>
      </c>
      <c r="U792" s="170">
        <f>$G$3</f>
        <v/>
      </c>
    </row>
    <row r="793">
      <c r="A793" s="54" t="inlineStr">
        <is>
          <t>CA DC S6</t>
        </is>
      </c>
      <c r="B793" s="54" t="inlineStr">
        <is>
          <t>CA</t>
        </is>
      </c>
      <c r="C793" s="54" t="inlineStr">
        <is>
          <t>B0C7KGGWS8</t>
        </is>
      </c>
      <c r="D793" s="54" t="inlineStr">
        <is>
          <t>SATIN-STRIPE-KING-PURPLE--6-PCS</t>
        </is>
      </c>
      <c r="E793" s="54" t="inlineStr">
        <is>
          <t>King</t>
        </is>
      </c>
      <c r="F793" s="54" t="inlineStr">
        <is>
          <t>Striped Purple</t>
        </is>
      </c>
      <c r="G793" s="55" t="n">
        <v>10</v>
      </c>
      <c r="H793" s="167" t="n">
        <v>250.42</v>
      </c>
      <c r="I793" s="167" t="n">
        <v>0</v>
      </c>
      <c r="J793" s="171">
        <f>IF(AND(N(G793)&gt;0,N(H793)+N(I793)&gt;0),(H793+I793)*U793/G793,"")</f>
        <v/>
      </c>
      <c r="K793" s="172" t="n">
        <v>49.99</v>
      </c>
      <c r="L793" s="172" t="n"/>
      <c r="M793" s="54" t="inlineStr">
        <is>
          <t>Out of stock</t>
        </is>
      </c>
      <c r="N793" s="171">
        <f>IF(OR(J793="",L793=""),"",L793-J793)</f>
        <v/>
      </c>
      <c r="O793" s="169">
        <f>IF(OR(J793="",L793=""),"",L793/J793-1)</f>
        <v/>
      </c>
      <c r="P793" s="169">
        <f>IF(OR(J793="",K793=""),"",K793/J793-1)</f>
        <v/>
      </c>
      <c r="Q793" s="54">
        <f>IF(AND(ISNUMBER(J793),ISNUMBER(L793)),1,0)</f>
        <v/>
      </c>
      <c r="R793" s="69">
        <f>IF(Q793=1,G793*L793,0)</f>
        <v/>
      </c>
      <c r="S793" s="69">
        <f>IF(Q793=1,(H793+I793)*U793,0)</f>
        <v/>
      </c>
      <c r="T793" s="59">
        <f>IF(Q793=1,G793,0)</f>
        <v/>
      </c>
      <c r="U793" s="170">
        <f>$G$3</f>
        <v/>
      </c>
    </row>
    <row r="794">
      <c r="A794" s="54" t="inlineStr">
        <is>
          <t>CA DC S6</t>
        </is>
      </c>
      <c r="B794" s="54" t="inlineStr">
        <is>
          <t>CA</t>
        </is>
      </c>
      <c r="C794" s="54" t="inlineStr">
        <is>
          <t>B0C7FFRNMH</t>
        </is>
      </c>
      <c r="D794" s="54" t="inlineStr">
        <is>
          <t>SATIN-CHAMPAGNE-QUEEN-6PCS</t>
        </is>
      </c>
      <c r="E794" s="54" t="inlineStr">
        <is>
          <t>Queen</t>
        </is>
      </c>
      <c r="F794" s="54" t="inlineStr">
        <is>
          <t>Champagne</t>
        </is>
      </c>
      <c r="G794" s="55" t="n">
        <v>10</v>
      </c>
      <c r="H794" s="167" t="n">
        <v>256.88</v>
      </c>
      <c r="I794" s="167" t="n">
        <v>0</v>
      </c>
      <c r="J794" s="171">
        <f>IF(AND(N(G794)&gt;0,N(H794)+N(I794)&gt;0),(H794+I794)*U794/G794,"")</f>
        <v/>
      </c>
      <c r="K794" s="172" t="n">
        <v>47.99</v>
      </c>
      <c r="L794" s="172" t="n"/>
      <c r="M794" s="54" t="inlineStr">
        <is>
          <t>Out of stock</t>
        </is>
      </c>
      <c r="N794" s="171">
        <f>IF(OR(J794="",L794=""),"",L794-J794)</f>
        <v/>
      </c>
      <c r="O794" s="169">
        <f>IF(OR(J794="",L794=""),"",L794/J794-1)</f>
        <v/>
      </c>
      <c r="P794" s="169">
        <f>IF(OR(J794="",K794=""),"",K794/J794-1)</f>
        <v/>
      </c>
      <c r="Q794" s="54">
        <f>IF(AND(ISNUMBER(J794),ISNUMBER(L794)),1,0)</f>
        <v/>
      </c>
      <c r="R794" s="69">
        <f>IF(Q794=1,G794*L794,0)</f>
        <v/>
      </c>
      <c r="S794" s="69">
        <f>IF(Q794=1,(H794+I794)*U794,0)</f>
        <v/>
      </c>
      <c r="T794" s="59">
        <f>IF(Q794=1,G794,0)</f>
        <v/>
      </c>
      <c r="U794" s="170">
        <f>$G$3</f>
        <v/>
      </c>
    </row>
    <row r="795">
      <c r="A795" s="54" t="inlineStr">
        <is>
          <t>CA DC S6</t>
        </is>
      </c>
      <c r="B795" s="54" t="inlineStr">
        <is>
          <t>CA</t>
        </is>
      </c>
      <c r="C795" s="54" t="inlineStr">
        <is>
          <t>B0C7FJFVZY</t>
        </is>
      </c>
      <c r="D795" s="54" t="inlineStr">
        <is>
          <t>SATIN-FULL-GREY-6PCS</t>
        </is>
      </c>
      <c r="E795" s="54" t="inlineStr">
        <is>
          <t>Full</t>
        </is>
      </c>
      <c r="F795" s="54" t="inlineStr">
        <is>
          <t>Grey</t>
        </is>
      </c>
      <c r="G795" s="55" t="n">
        <v>9</v>
      </c>
      <c r="H795" s="167" t="n">
        <v>202.66</v>
      </c>
      <c r="I795" s="167" t="n">
        <v>0</v>
      </c>
      <c r="J795" s="171">
        <f>IF(AND(N(G795)&gt;0,N(H795)+N(I795)&gt;0),(H795+I795)*U795/G795,"")</f>
        <v/>
      </c>
      <c r="K795" s="172" t="n">
        <v>44.99</v>
      </c>
      <c r="L795" s="172" t="n">
        <v>42.74</v>
      </c>
      <c r="M795" s="54" t="inlineStr">
        <is>
          <t>Eligible</t>
        </is>
      </c>
      <c r="N795" s="171">
        <f>IF(OR(J795="",L795=""),"",L795-J795)</f>
        <v/>
      </c>
      <c r="O795" s="169">
        <f>IF(OR(J795="",L795=""),"",L795/J795-1)</f>
        <v/>
      </c>
      <c r="P795" s="169">
        <f>IF(OR(J795="",K795=""),"",K795/J795-1)</f>
        <v/>
      </c>
      <c r="Q795" s="54">
        <f>IF(AND(ISNUMBER(J795),ISNUMBER(L795)),1,0)</f>
        <v/>
      </c>
      <c r="R795" s="69">
        <f>IF(Q795=1,G795*L795,0)</f>
        <v/>
      </c>
      <c r="S795" s="69">
        <f>IF(Q795=1,(H795+I795)*U795,0)</f>
        <v/>
      </c>
      <c r="T795" s="59">
        <f>IF(Q795=1,G795,0)</f>
        <v/>
      </c>
      <c r="U795" s="170">
        <f>$G$3</f>
        <v/>
      </c>
    </row>
    <row r="796">
      <c r="A796" s="54" t="inlineStr">
        <is>
          <t>CA DC S6</t>
        </is>
      </c>
      <c r="B796" s="54" t="inlineStr">
        <is>
          <t>CA</t>
        </is>
      </c>
      <c r="C796" s="54" t="inlineStr">
        <is>
          <t>B0C7F65432</t>
        </is>
      </c>
      <c r="D796" s="54" t="inlineStr">
        <is>
          <t>SATIN-FULL-PURPLE-6PCS</t>
        </is>
      </c>
      <c r="E796" s="54" t="inlineStr">
        <is>
          <t>Full</t>
        </is>
      </c>
      <c r="F796" s="54" t="inlineStr">
        <is>
          <t>Purple</t>
        </is>
      </c>
      <c r="G796" s="55" t="n">
        <v>9</v>
      </c>
      <c r="H796" s="167" t="n">
        <v>195.69</v>
      </c>
      <c r="I796" s="167" t="n">
        <v>0</v>
      </c>
      <c r="J796" s="171">
        <f>IF(AND(N(G796)&gt;0,N(H796)+N(I796)&gt;0),(H796+I796)*U796/G796,"")</f>
        <v/>
      </c>
      <c r="K796" s="172" t="n">
        <v>44.99</v>
      </c>
      <c r="L796" s="172" t="n">
        <v>44.88</v>
      </c>
      <c r="M796" s="54" t="inlineStr">
        <is>
          <t>Eligible</t>
        </is>
      </c>
      <c r="N796" s="171">
        <f>IF(OR(J796="",L796=""),"",L796-J796)</f>
        <v/>
      </c>
      <c r="O796" s="169">
        <f>IF(OR(J796="",L796=""),"",L796/J796-1)</f>
        <v/>
      </c>
      <c r="P796" s="169">
        <f>IF(OR(J796="",K796=""),"",K796/J796-1)</f>
        <v/>
      </c>
      <c r="Q796" s="54">
        <f>IF(AND(ISNUMBER(J796),ISNUMBER(L796)),1,0)</f>
        <v/>
      </c>
      <c r="R796" s="69">
        <f>IF(Q796=1,G796*L796,0)</f>
        <v/>
      </c>
      <c r="S796" s="69">
        <f>IF(Q796=1,(H796+I796)*U796,0)</f>
        <v/>
      </c>
      <c r="T796" s="59">
        <f>IF(Q796=1,G796,0)</f>
        <v/>
      </c>
      <c r="U796" s="170">
        <f>$G$3</f>
        <v/>
      </c>
    </row>
    <row r="797">
      <c r="A797" s="54" t="inlineStr">
        <is>
          <t>CA DC S6</t>
        </is>
      </c>
      <c r="B797" s="54" t="inlineStr">
        <is>
          <t>CA</t>
        </is>
      </c>
      <c r="C797" s="54" t="inlineStr">
        <is>
          <t>B0D9QTCGWW</t>
        </is>
      </c>
      <c r="D797" s="54" t="inlineStr">
        <is>
          <t>SATIN-6PC-KING-SAGE GREEN</t>
        </is>
      </c>
      <c r="E797" s="54" t="inlineStr">
        <is>
          <t>King</t>
        </is>
      </c>
      <c r="F797" s="54" t="inlineStr">
        <is>
          <t>Sage Green</t>
        </is>
      </c>
      <c r="G797" s="55" t="n">
        <v>9</v>
      </c>
      <c r="H797" s="167" t="n">
        <v>225.51</v>
      </c>
      <c r="I797" s="167" t="n">
        <v>0</v>
      </c>
      <c r="J797" s="171">
        <f>IF(AND(N(G797)&gt;0,N(H797)+N(I797)&gt;0),(H797+I797)*U797/G797,"")</f>
        <v/>
      </c>
      <c r="K797" s="172" t="n">
        <v>49.99</v>
      </c>
      <c r="L797" s="172" t="n">
        <v>47.49</v>
      </c>
      <c r="M797" s="54" t="inlineStr">
        <is>
          <t>Eligible</t>
        </is>
      </c>
      <c r="N797" s="171">
        <f>IF(OR(J797="",L797=""),"",L797-J797)</f>
        <v/>
      </c>
      <c r="O797" s="169">
        <f>IF(OR(J797="",L797=""),"",L797/J797-1)</f>
        <v/>
      </c>
      <c r="P797" s="169">
        <f>IF(OR(J797="",K797=""),"",K797/J797-1)</f>
        <v/>
      </c>
      <c r="Q797" s="54">
        <f>IF(AND(ISNUMBER(J797),ISNUMBER(L797)),1,0)</f>
        <v/>
      </c>
      <c r="R797" s="69">
        <f>IF(Q797=1,G797*L797,0)</f>
        <v/>
      </c>
      <c r="S797" s="69">
        <f>IF(Q797=1,(H797+I797)*U797,0)</f>
        <v/>
      </c>
      <c r="T797" s="59">
        <f>IF(Q797=1,G797,0)</f>
        <v/>
      </c>
      <c r="U797" s="170">
        <f>$G$3</f>
        <v/>
      </c>
    </row>
    <row r="798">
      <c r="A798" s="54" t="inlineStr">
        <is>
          <t>CA DC S6</t>
        </is>
      </c>
      <c r="B798" s="54" t="inlineStr">
        <is>
          <t>CA</t>
        </is>
      </c>
      <c r="C798" s="54" t="inlineStr">
        <is>
          <t>B0C7KB5TWS</t>
        </is>
      </c>
      <c r="D798" s="54" t="inlineStr">
        <is>
          <t>SATIN-STRIPE-KING-BLACK--6-PCS</t>
        </is>
      </c>
      <c r="E798" s="54" t="inlineStr">
        <is>
          <t>King</t>
        </is>
      </c>
      <c r="F798" s="54" t="inlineStr">
        <is>
          <t>Striped Black</t>
        </is>
      </c>
      <c r="G798" s="55" t="n">
        <v>9</v>
      </c>
      <c r="H798" s="167" t="n">
        <v>225.77</v>
      </c>
      <c r="I798" s="167" t="n">
        <v>0</v>
      </c>
      <c r="J798" s="171">
        <f>IF(AND(N(G798)&gt;0,N(H798)+N(I798)&gt;0),(H798+I798)*U798/G798,"")</f>
        <v/>
      </c>
      <c r="K798" s="172" t="n">
        <v>49.99</v>
      </c>
      <c r="L798" s="172" t="n">
        <v>49.87</v>
      </c>
      <c r="M798" s="54" t="inlineStr">
        <is>
          <t>Eligible</t>
        </is>
      </c>
      <c r="N798" s="171">
        <f>IF(OR(J798="",L798=""),"",L798-J798)</f>
        <v/>
      </c>
      <c r="O798" s="169">
        <f>IF(OR(J798="",L798=""),"",L798/J798-1)</f>
        <v/>
      </c>
      <c r="P798" s="169">
        <f>IF(OR(J798="",K798=""),"",K798/J798-1)</f>
        <v/>
      </c>
      <c r="Q798" s="54">
        <f>IF(AND(ISNUMBER(J798),ISNUMBER(L798)),1,0)</f>
        <v/>
      </c>
      <c r="R798" s="69">
        <f>IF(Q798=1,G798*L798,0)</f>
        <v/>
      </c>
      <c r="S798" s="69">
        <f>IF(Q798=1,(H798+I798)*U798,0)</f>
        <v/>
      </c>
      <c r="T798" s="59">
        <f>IF(Q798=1,G798,0)</f>
        <v/>
      </c>
      <c r="U798" s="170">
        <f>$G$3</f>
        <v/>
      </c>
    </row>
    <row r="799">
      <c r="A799" s="54" t="inlineStr">
        <is>
          <t>CA DC S6</t>
        </is>
      </c>
      <c r="B799" s="54" t="inlineStr">
        <is>
          <t>CA</t>
        </is>
      </c>
      <c r="C799" s="54" t="inlineStr">
        <is>
          <t>B0C7F5VMC8</t>
        </is>
      </c>
      <c r="D799" s="54" t="inlineStr">
        <is>
          <t>SATIN-WHITE-KING-6PCS</t>
        </is>
      </c>
      <c r="E799" s="54" t="inlineStr">
        <is>
          <t>King</t>
        </is>
      </c>
      <c r="F799" s="54" t="inlineStr">
        <is>
          <t>White</t>
        </is>
      </c>
      <c r="G799" s="55" t="n">
        <v>9</v>
      </c>
      <c r="H799" s="167" t="n">
        <v>240.54</v>
      </c>
      <c r="I799" s="167" t="n">
        <v>0</v>
      </c>
      <c r="J799" s="171">
        <f>IF(AND(N(G799)&gt;0,N(H799)+N(I799)&gt;0),(H799+I799)*U799/G799,"")</f>
        <v/>
      </c>
      <c r="K799" s="172" t="n">
        <v>49.99</v>
      </c>
      <c r="L799" s="172" t="n">
        <v>42.49</v>
      </c>
      <c r="M799" s="54" t="inlineStr">
        <is>
          <t>Eligible</t>
        </is>
      </c>
      <c r="N799" s="171">
        <f>IF(OR(J799="",L799=""),"",L799-J799)</f>
        <v/>
      </c>
      <c r="O799" s="169">
        <f>IF(OR(J799="",L799=""),"",L799/J799-1)</f>
        <v/>
      </c>
      <c r="P799" s="169">
        <f>IF(OR(J799="",K799=""),"",K799/J799-1)</f>
        <v/>
      </c>
      <c r="Q799" s="54">
        <f>IF(AND(ISNUMBER(J799),ISNUMBER(L799)),1,0)</f>
        <v/>
      </c>
      <c r="R799" s="69">
        <f>IF(Q799=1,G799*L799,0)</f>
        <v/>
      </c>
      <c r="S799" s="69">
        <f>IF(Q799=1,(H799+I799)*U799,0)</f>
        <v/>
      </c>
      <c r="T799" s="59">
        <f>IF(Q799=1,G799,0)</f>
        <v/>
      </c>
      <c r="U799" s="170">
        <f>$G$3</f>
        <v/>
      </c>
    </row>
    <row r="800">
      <c r="A800" s="54" t="inlineStr">
        <is>
          <t>CA DC S6</t>
        </is>
      </c>
      <c r="B800" s="54" t="inlineStr">
        <is>
          <t>CA</t>
        </is>
      </c>
      <c r="C800" s="54" t="inlineStr">
        <is>
          <t>B0D9QQ99HB</t>
        </is>
      </c>
      <c r="D800" s="54" t="n"/>
      <c r="E800" s="54" t="inlineStr">
        <is>
          <t>Twin</t>
        </is>
      </c>
      <c r="F800" s="54" t="inlineStr">
        <is>
          <t>Blush Pink</t>
        </is>
      </c>
      <c r="G800" s="55" t="n">
        <v>9</v>
      </c>
      <c r="H800" s="167" t="n">
        <v>205.16</v>
      </c>
      <c r="I800" s="167" t="n">
        <v>0</v>
      </c>
      <c r="J800" s="171">
        <f>IF(AND(N(G800)&gt;0,N(H800)+N(I800)&gt;0),(H800+I800)*U800/G800,"")</f>
        <v/>
      </c>
      <c r="K800" s="172" t="n">
        <v>39.99</v>
      </c>
      <c r="L800" s="172" t="n">
        <v>37.99</v>
      </c>
      <c r="M800" s="54" t="inlineStr">
        <is>
          <t>Eligible</t>
        </is>
      </c>
      <c r="N800" s="171">
        <f>IF(OR(J800="",L800=""),"",L800-J800)</f>
        <v/>
      </c>
      <c r="O800" s="169">
        <f>IF(OR(J800="",L800=""),"",L800/J800-1)</f>
        <v/>
      </c>
      <c r="P800" s="169">
        <f>IF(OR(J800="",K800=""),"",K800/J800-1)</f>
        <v/>
      </c>
      <c r="Q800" s="54">
        <f>IF(AND(ISNUMBER(J800),ISNUMBER(L800)),1,0)</f>
        <v/>
      </c>
      <c r="R800" s="69">
        <f>IF(Q800=1,G800*L800,0)</f>
        <v/>
      </c>
      <c r="S800" s="69">
        <f>IF(Q800=1,(H800+I800)*U800,0)</f>
        <v/>
      </c>
      <c r="T800" s="59">
        <f>IF(Q800=1,G800,0)</f>
        <v/>
      </c>
      <c r="U800" s="170">
        <f>$G$3</f>
        <v/>
      </c>
    </row>
    <row r="801">
      <c r="A801" s="54" t="inlineStr">
        <is>
          <t>CA DC S6</t>
        </is>
      </c>
      <c r="B801" s="54" t="inlineStr">
        <is>
          <t>CA</t>
        </is>
      </c>
      <c r="C801" s="54" t="inlineStr">
        <is>
          <t>B0C7FXQZVG</t>
        </is>
      </c>
      <c r="D801" s="54" t="inlineStr">
        <is>
          <t>SATIN-FULL-BLUE-6PCS</t>
        </is>
      </c>
      <c r="E801" s="54" t="inlineStr">
        <is>
          <t>Full</t>
        </is>
      </c>
      <c r="F801" s="54" t="inlineStr">
        <is>
          <t>Blue</t>
        </is>
      </c>
      <c r="G801" s="55" t="n">
        <v>8</v>
      </c>
      <c r="H801" s="167" t="n">
        <v>192.16</v>
      </c>
      <c r="I801" s="167" t="n">
        <v>0</v>
      </c>
      <c r="J801" s="171">
        <f>IF(AND(N(G801)&gt;0,N(H801)+N(I801)&gt;0),(H801+I801)*U801/G801,"")</f>
        <v/>
      </c>
      <c r="K801" s="172" t="n">
        <v>44.99</v>
      </c>
      <c r="L801" s="172" t="n">
        <v>42.74</v>
      </c>
      <c r="M801" s="54" t="inlineStr">
        <is>
          <t>Eligible</t>
        </is>
      </c>
      <c r="N801" s="171">
        <f>IF(OR(J801="",L801=""),"",L801-J801)</f>
        <v/>
      </c>
      <c r="O801" s="169">
        <f>IF(OR(J801="",L801=""),"",L801/J801-1)</f>
        <v/>
      </c>
      <c r="P801" s="169">
        <f>IF(OR(J801="",K801=""),"",K801/J801-1)</f>
        <v/>
      </c>
      <c r="Q801" s="54">
        <f>IF(AND(ISNUMBER(J801),ISNUMBER(L801)),1,0)</f>
        <v/>
      </c>
      <c r="R801" s="69">
        <f>IF(Q801=1,G801*L801,0)</f>
        <v/>
      </c>
      <c r="S801" s="69">
        <f>IF(Q801=1,(H801+I801)*U801,0)</f>
        <v/>
      </c>
      <c r="T801" s="59">
        <f>IF(Q801=1,G801,0)</f>
        <v/>
      </c>
      <c r="U801" s="170">
        <f>$G$3</f>
        <v/>
      </c>
    </row>
    <row r="802">
      <c r="A802" s="54" t="inlineStr">
        <is>
          <t>CA DC S6</t>
        </is>
      </c>
      <c r="B802" s="54" t="inlineStr">
        <is>
          <t>CA</t>
        </is>
      </c>
      <c r="C802" s="54" t="inlineStr">
        <is>
          <t>B0C7G4HJL5</t>
        </is>
      </c>
      <c r="D802" s="54" t="inlineStr">
        <is>
          <t>SATIN-STONEGREY-FULL-6PCS</t>
        </is>
      </c>
      <c r="E802" s="54" t="inlineStr">
        <is>
          <t>Full</t>
        </is>
      </c>
      <c r="F802" s="54" t="inlineStr">
        <is>
          <t>Stone Grey</t>
        </is>
      </c>
      <c r="G802" s="55" t="n">
        <v>8</v>
      </c>
      <c r="H802" s="167" t="n">
        <v>180.02</v>
      </c>
      <c r="I802" s="167" t="n">
        <v>0</v>
      </c>
      <c r="J802" s="171">
        <f>IF(AND(N(G802)&gt;0,N(H802)+N(I802)&gt;0),(H802+I802)*U802/G802,"")</f>
        <v/>
      </c>
      <c r="K802" s="172" t="n">
        <v>44.99</v>
      </c>
      <c r="L802" s="172" t="n">
        <v>38.24</v>
      </c>
      <c r="M802" s="54" t="inlineStr">
        <is>
          <t>Eligible</t>
        </is>
      </c>
      <c r="N802" s="171">
        <f>IF(OR(J802="",L802=""),"",L802-J802)</f>
        <v/>
      </c>
      <c r="O802" s="169">
        <f>IF(OR(J802="",L802=""),"",L802/J802-1)</f>
        <v/>
      </c>
      <c r="P802" s="169">
        <f>IF(OR(J802="",K802=""),"",K802/J802-1)</f>
        <v/>
      </c>
      <c r="Q802" s="54">
        <f>IF(AND(ISNUMBER(J802),ISNUMBER(L802)),1,0)</f>
        <v/>
      </c>
      <c r="R802" s="69">
        <f>IF(Q802=1,G802*L802,0)</f>
        <v/>
      </c>
      <c r="S802" s="69">
        <f>IF(Q802=1,(H802+I802)*U802,0)</f>
        <v/>
      </c>
      <c r="T802" s="59">
        <f>IF(Q802=1,G802,0)</f>
        <v/>
      </c>
      <c r="U802" s="170">
        <f>$G$3</f>
        <v/>
      </c>
    </row>
    <row r="803">
      <c r="A803" s="54" t="inlineStr">
        <is>
          <t>CA DC S6</t>
        </is>
      </c>
      <c r="B803" s="54" t="inlineStr">
        <is>
          <t>CA</t>
        </is>
      </c>
      <c r="C803" s="54" t="inlineStr">
        <is>
          <t>B0C7KB53RJ</t>
        </is>
      </c>
      <c r="D803" s="54" t="inlineStr">
        <is>
          <t>SATIN-STRIPE-FULL-BLACK--6-PCS</t>
        </is>
      </c>
      <c r="E803" s="54" t="inlineStr">
        <is>
          <t>Full</t>
        </is>
      </c>
      <c r="F803" s="54" t="inlineStr">
        <is>
          <t>Striped Black</t>
        </is>
      </c>
      <c r="G803" s="55" t="n">
        <v>8</v>
      </c>
      <c r="H803" s="167" t="n">
        <v>180.71</v>
      </c>
      <c r="I803" s="167" t="n">
        <v>0</v>
      </c>
      <c r="J803" s="171">
        <f>IF(AND(N(G803)&gt;0,N(H803)+N(I803)&gt;0),(H803+I803)*U803/G803,"")</f>
        <v/>
      </c>
      <c r="K803" s="172" t="n">
        <v>44.99</v>
      </c>
      <c r="L803" s="172" t="n">
        <v>42.74</v>
      </c>
      <c r="M803" s="54" t="inlineStr">
        <is>
          <t>Eligible</t>
        </is>
      </c>
      <c r="N803" s="171">
        <f>IF(OR(J803="",L803=""),"",L803-J803)</f>
        <v/>
      </c>
      <c r="O803" s="169">
        <f>IF(OR(J803="",L803=""),"",L803/J803-1)</f>
        <v/>
      </c>
      <c r="P803" s="169">
        <f>IF(OR(J803="",K803=""),"",K803/J803-1)</f>
        <v/>
      </c>
      <c r="Q803" s="54">
        <f>IF(AND(ISNUMBER(J803),ISNUMBER(L803)),1,0)</f>
        <v/>
      </c>
      <c r="R803" s="69">
        <f>IF(Q803=1,G803*L803,0)</f>
        <v/>
      </c>
      <c r="S803" s="69">
        <f>IF(Q803=1,(H803+I803)*U803,0)</f>
        <v/>
      </c>
      <c r="T803" s="59">
        <f>IF(Q803=1,G803,0)</f>
        <v/>
      </c>
      <c r="U803" s="170">
        <f>$G$3</f>
        <v/>
      </c>
    </row>
    <row r="804">
      <c r="A804" s="54" t="inlineStr">
        <is>
          <t>CA DC S6</t>
        </is>
      </c>
      <c r="B804" s="54" t="inlineStr">
        <is>
          <t>CA</t>
        </is>
      </c>
      <c r="C804" s="54" t="inlineStr">
        <is>
          <t>B0C7FMDPBF</t>
        </is>
      </c>
      <c r="D804" s="54" t="inlineStr">
        <is>
          <t>SATIN-KING-PINK-6PCS</t>
        </is>
      </c>
      <c r="E804" s="54" t="inlineStr">
        <is>
          <t>King</t>
        </is>
      </c>
      <c r="F804" s="54" t="inlineStr">
        <is>
          <t>Pink</t>
        </is>
      </c>
      <c r="G804" s="55" t="n">
        <v>8</v>
      </c>
      <c r="H804" s="167" t="n">
        <v>225.53</v>
      </c>
      <c r="I804" s="167" t="n">
        <v>0</v>
      </c>
      <c r="J804" s="171">
        <f>IF(AND(N(G804)&gt;0,N(H804)+N(I804)&gt;0),(H804+I804)*U804/G804,"")</f>
        <v/>
      </c>
      <c r="K804" s="172" t="n">
        <v>49.99</v>
      </c>
      <c r="L804" s="172" t="n">
        <v>44.99</v>
      </c>
      <c r="M804" s="54" t="inlineStr">
        <is>
          <t>Eligible</t>
        </is>
      </c>
      <c r="N804" s="171">
        <f>IF(OR(J804="",L804=""),"",L804-J804)</f>
        <v/>
      </c>
      <c r="O804" s="169">
        <f>IF(OR(J804="",L804=""),"",L804/J804-1)</f>
        <v/>
      </c>
      <c r="P804" s="169">
        <f>IF(OR(J804="",K804=""),"",K804/J804-1)</f>
        <v/>
      </c>
      <c r="Q804" s="54">
        <f>IF(AND(ISNUMBER(J804),ISNUMBER(L804)),1,0)</f>
        <v/>
      </c>
      <c r="R804" s="69">
        <f>IF(Q804=1,G804*L804,0)</f>
        <v/>
      </c>
      <c r="S804" s="69">
        <f>IF(Q804=1,(H804+I804)*U804,0)</f>
        <v/>
      </c>
      <c r="T804" s="59">
        <f>IF(Q804=1,G804,0)</f>
        <v/>
      </c>
      <c r="U804" s="170">
        <f>$G$3</f>
        <v/>
      </c>
    </row>
    <row r="805">
      <c r="A805" s="54" t="inlineStr">
        <is>
          <t>CA DC S6</t>
        </is>
      </c>
      <c r="B805" s="54" t="inlineStr">
        <is>
          <t>CA</t>
        </is>
      </c>
      <c r="C805" s="54" t="inlineStr">
        <is>
          <t>B0C7K2LV1N</t>
        </is>
      </c>
      <c r="D805" s="54" t="inlineStr">
        <is>
          <t>SATIN-STRIPE-KING-PINK--6-PCS</t>
        </is>
      </c>
      <c r="E805" s="54" t="inlineStr">
        <is>
          <t>King</t>
        </is>
      </c>
      <c r="F805" s="54" t="inlineStr">
        <is>
          <t>Striped Pink</t>
        </is>
      </c>
      <c r="G805" s="55" t="n">
        <v>8</v>
      </c>
      <c r="H805" s="167" t="n">
        <v>227.67</v>
      </c>
      <c r="I805" s="167" t="n">
        <v>0</v>
      </c>
      <c r="J805" s="171">
        <f>IF(AND(N(G805)&gt;0,N(H805)+N(I805)&gt;0),(H805+I805)*U805/G805,"")</f>
        <v/>
      </c>
      <c r="K805" s="172" t="n">
        <v>49.99</v>
      </c>
      <c r="L805" s="172" t="n"/>
      <c r="M805" s="54" t="inlineStr">
        <is>
          <t>Out of stock</t>
        </is>
      </c>
      <c r="N805" s="171">
        <f>IF(OR(J805="",L805=""),"",L805-J805)</f>
        <v/>
      </c>
      <c r="O805" s="169">
        <f>IF(OR(J805="",L805=""),"",L805/J805-1)</f>
        <v/>
      </c>
      <c r="P805" s="169">
        <f>IF(OR(J805="",K805=""),"",K805/J805-1)</f>
        <v/>
      </c>
      <c r="Q805" s="54">
        <f>IF(AND(ISNUMBER(J805),ISNUMBER(L805)),1,0)</f>
        <v/>
      </c>
      <c r="R805" s="69">
        <f>IF(Q805=1,G805*L805,0)</f>
        <v/>
      </c>
      <c r="S805" s="69">
        <f>IF(Q805=1,(H805+I805)*U805,0)</f>
        <v/>
      </c>
      <c r="T805" s="59">
        <f>IF(Q805=1,G805,0)</f>
        <v/>
      </c>
      <c r="U805" s="170">
        <f>$G$3</f>
        <v/>
      </c>
    </row>
    <row r="806">
      <c r="A806" s="54" t="inlineStr">
        <is>
          <t>CA DC S6</t>
        </is>
      </c>
      <c r="B806" s="54" t="inlineStr">
        <is>
          <t>CA</t>
        </is>
      </c>
      <c r="C806" s="54" t="inlineStr">
        <is>
          <t>B0C7JYWFP8</t>
        </is>
      </c>
      <c r="D806" s="54" t="inlineStr">
        <is>
          <t>SATIN-STRIPE-KING-RED--6-PCS</t>
        </is>
      </c>
      <c r="E806" s="54" t="inlineStr">
        <is>
          <t>King</t>
        </is>
      </c>
      <c r="F806" s="54" t="inlineStr">
        <is>
          <t>Striped Red</t>
        </is>
      </c>
      <c r="G806" s="55" t="n">
        <v>8</v>
      </c>
      <c r="H806" s="167" t="n">
        <v>213.55</v>
      </c>
      <c r="I806" s="167" t="n">
        <v>0</v>
      </c>
      <c r="J806" s="171">
        <f>IF(AND(N(G806)&gt;0,N(H806)+N(I806)&gt;0),(H806+I806)*U806/G806,"")</f>
        <v/>
      </c>
      <c r="K806" s="172" t="n">
        <v>49.99</v>
      </c>
      <c r="L806" s="172" t="n">
        <v>47.49</v>
      </c>
      <c r="M806" s="54" t="inlineStr">
        <is>
          <t>Eligible</t>
        </is>
      </c>
      <c r="N806" s="171">
        <f>IF(OR(J806="",L806=""),"",L806-J806)</f>
        <v/>
      </c>
      <c r="O806" s="169">
        <f>IF(OR(J806="",L806=""),"",L806/J806-1)</f>
        <v/>
      </c>
      <c r="P806" s="169">
        <f>IF(OR(J806="",K806=""),"",K806/J806-1)</f>
        <v/>
      </c>
      <c r="Q806" s="54">
        <f>IF(AND(ISNUMBER(J806),ISNUMBER(L806)),1,0)</f>
        <v/>
      </c>
      <c r="R806" s="69">
        <f>IF(Q806=1,G806*L806,0)</f>
        <v/>
      </c>
      <c r="S806" s="69">
        <f>IF(Q806=1,(H806+I806)*U806,0)</f>
        <v/>
      </c>
      <c r="T806" s="59">
        <f>IF(Q806=1,G806,0)</f>
        <v/>
      </c>
      <c r="U806" s="170">
        <f>$G$3</f>
        <v/>
      </c>
    </row>
    <row r="807">
      <c r="A807" s="54" t="inlineStr">
        <is>
          <t>CA DC S6</t>
        </is>
      </c>
      <c r="B807" s="54" t="inlineStr">
        <is>
          <t>CA</t>
        </is>
      </c>
      <c r="C807" s="54" t="inlineStr">
        <is>
          <t>B0D9QR66X1</t>
        </is>
      </c>
      <c r="D807" s="54" t="inlineStr">
        <is>
          <t>SATIN-6PC-QUEEN-BLUSH PINK</t>
        </is>
      </c>
      <c r="E807" s="54" t="inlineStr">
        <is>
          <t>Queen</t>
        </is>
      </c>
      <c r="F807" s="54" t="inlineStr">
        <is>
          <t>Blush Pink</t>
        </is>
      </c>
      <c r="G807" s="55" t="n">
        <v>8</v>
      </c>
      <c r="H807" s="167" t="n">
        <v>222.01</v>
      </c>
      <c r="I807" s="167" t="n">
        <v>0</v>
      </c>
      <c r="J807" s="171">
        <f>IF(AND(N(G807)&gt;0,N(H807)+N(I807)&gt;0),(H807+I807)*U807/G807,"")</f>
        <v/>
      </c>
      <c r="K807" s="172" t="n">
        <v>47.99</v>
      </c>
      <c r="L807" s="172" t="n">
        <v>43.19</v>
      </c>
      <c r="M807" s="54" t="inlineStr">
        <is>
          <t>Eligible</t>
        </is>
      </c>
      <c r="N807" s="171">
        <f>IF(OR(J807="",L807=""),"",L807-J807)</f>
        <v/>
      </c>
      <c r="O807" s="169">
        <f>IF(OR(J807="",L807=""),"",L807/J807-1)</f>
        <v/>
      </c>
      <c r="P807" s="169">
        <f>IF(OR(J807="",K807=""),"",K807/J807-1)</f>
        <v/>
      </c>
      <c r="Q807" s="54">
        <f>IF(AND(ISNUMBER(J807),ISNUMBER(L807)),1,0)</f>
        <v/>
      </c>
      <c r="R807" s="69">
        <f>IF(Q807=1,G807*L807,0)</f>
        <v/>
      </c>
      <c r="S807" s="69">
        <f>IF(Q807=1,(H807+I807)*U807,0)</f>
        <v/>
      </c>
      <c r="T807" s="59">
        <f>IF(Q807=1,G807,0)</f>
        <v/>
      </c>
      <c r="U807" s="170">
        <f>$G$3</f>
        <v/>
      </c>
    </row>
    <row r="808">
      <c r="A808" s="54" t="inlineStr">
        <is>
          <t>CA DC S6</t>
        </is>
      </c>
      <c r="B808" s="54" t="inlineStr">
        <is>
          <t>CA</t>
        </is>
      </c>
      <c r="C808" s="54" t="inlineStr">
        <is>
          <t>B0D9QWZJ4P</t>
        </is>
      </c>
      <c r="D808" s="54" t="inlineStr">
        <is>
          <t>SATIN-6PC-QUEEN-SAGE GREEN</t>
        </is>
      </c>
      <c r="E808" s="54" t="inlineStr">
        <is>
          <t>Queen</t>
        </is>
      </c>
      <c r="F808" s="54" t="inlineStr">
        <is>
          <t>Sage Green</t>
        </is>
      </c>
      <c r="G808" s="55" t="n">
        <v>8</v>
      </c>
      <c r="H808" s="167" t="n">
        <v>222.58</v>
      </c>
      <c r="I808" s="167" t="n">
        <v>0</v>
      </c>
      <c r="J808" s="171">
        <f>IF(AND(N(G808)&gt;0,N(H808)+N(I808)&gt;0),(H808+I808)*U808/G808,"")</f>
        <v/>
      </c>
      <c r="K808" s="172" t="n">
        <v>47.99</v>
      </c>
      <c r="L808" s="172" t="n">
        <v>45.59</v>
      </c>
      <c r="M808" s="54" t="inlineStr">
        <is>
          <t>Eligible</t>
        </is>
      </c>
      <c r="N808" s="171">
        <f>IF(OR(J808="",L808=""),"",L808-J808)</f>
        <v/>
      </c>
      <c r="O808" s="169">
        <f>IF(OR(J808="",L808=""),"",L808/J808-1)</f>
        <v/>
      </c>
      <c r="P808" s="169">
        <f>IF(OR(J808="",K808=""),"",K808/J808-1)</f>
        <v/>
      </c>
      <c r="Q808" s="54">
        <f>IF(AND(ISNUMBER(J808),ISNUMBER(L808)),1,0)</f>
        <v/>
      </c>
      <c r="R808" s="69">
        <f>IF(Q808=1,G808*L808,0)</f>
        <v/>
      </c>
      <c r="S808" s="69">
        <f>IF(Q808=1,(H808+I808)*U808,0)</f>
        <v/>
      </c>
      <c r="T808" s="59">
        <f>IF(Q808=1,G808,0)</f>
        <v/>
      </c>
      <c r="U808" s="170">
        <f>$G$3</f>
        <v/>
      </c>
    </row>
    <row r="809">
      <c r="A809" s="54" t="inlineStr">
        <is>
          <t>CA DC S6</t>
        </is>
      </c>
      <c r="B809" s="54" t="inlineStr">
        <is>
          <t>CA</t>
        </is>
      </c>
      <c r="C809" s="54" t="inlineStr">
        <is>
          <t>B0C7KD9LMR</t>
        </is>
      </c>
      <c r="D809" s="54" t="inlineStr">
        <is>
          <t>SATIN-STRIPE-QUEEN-PINK--6-PCS</t>
        </is>
      </c>
      <c r="E809" s="54" t="inlineStr">
        <is>
          <t>Queen</t>
        </is>
      </c>
      <c r="F809" s="54" t="inlineStr">
        <is>
          <t>Striped Pink</t>
        </is>
      </c>
      <c r="G809" s="55" t="n">
        <v>8</v>
      </c>
      <c r="H809" s="167" t="n">
        <v>222.35</v>
      </c>
      <c r="I809" s="167" t="n">
        <v>0</v>
      </c>
      <c r="J809" s="171">
        <f>IF(AND(N(G809)&gt;0,N(H809)+N(I809)&gt;0),(H809+I809)*U809/G809,"")</f>
        <v/>
      </c>
      <c r="K809" s="172" t="n">
        <v>47.99</v>
      </c>
      <c r="L809" s="172" t="n">
        <v>38.75</v>
      </c>
      <c r="M809" s="54" t="inlineStr">
        <is>
          <t>Eligible</t>
        </is>
      </c>
      <c r="N809" s="171">
        <f>IF(OR(J809="",L809=""),"",L809-J809)</f>
        <v/>
      </c>
      <c r="O809" s="169">
        <f>IF(OR(J809="",L809=""),"",L809/J809-1)</f>
        <v/>
      </c>
      <c r="P809" s="169">
        <f>IF(OR(J809="",K809=""),"",K809/J809-1)</f>
        <v/>
      </c>
      <c r="Q809" s="54">
        <f>IF(AND(ISNUMBER(J809),ISNUMBER(L809)),1,0)</f>
        <v/>
      </c>
      <c r="R809" s="69">
        <f>IF(Q809=1,G809*L809,0)</f>
        <v/>
      </c>
      <c r="S809" s="69">
        <f>IF(Q809=1,(H809+I809)*U809,0)</f>
        <v/>
      </c>
      <c r="T809" s="59">
        <f>IF(Q809=1,G809,0)</f>
        <v/>
      </c>
      <c r="U809" s="170">
        <f>$G$3</f>
        <v/>
      </c>
    </row>
    <row r="810">
      <c r="A810" s="54" t="inlineStr">
        <is>
          <t>CA DC S6</t>
        </is>
      </c>
      <c r="B810" s="54" t="inlineStr">
        <is>
          <t>CA</t>
        </is>
      </c>
      <c r="C810" s="54" t="inlineStr">
        <is>
          <t>B0C7KFWRM8</t>
        </is>
      </c>
      <c r="D810" s="54" t="inlineStr">
        <is>
          <t>SATIN-STRIPE-QUEEN-PURPLE--6-PCS</t>
        </is>
      </c>
      <c r="E810" s="54" t="inlineStr">
        <is>
          <t>Queen</t>
        </is>
      </c>
      <c r="F810" s="54" t="inlineStr">
        <is>
          <t>Striped Purple</t>
        </is>
      </c>
      <c r="G810" s="55" t="n">
        <v>8</v>
      </c>
      <c r="H810" s="167" t="n">
        <v>205.4</v>
      </c>
      <c r="I810" s="167" t="n">
        <v>0</v>
      </c>
      <c r="J810" s="171">
        <f>IF(AND(N(G810)&gt;0,N(H810)+N(I810)&gt;0),(H810+I810)*U810/G810,"")</f>
        <v/>
      </c>
      <c r="K810" s="172" t="n">
        <v>47.99</v>
      </c>
      <c r="L810" s="172" t="n"/>
      <c r="M810" s="54" t="inlineStr">
        <is>
          <t>Out of stock</t>
        </is>
      </c>
      <c r="N810" s="171">
        <f>IF(OR(J810="",L810=""),"",L810-J810)</f>
        <v/>
      </c>
      <c r="O810" s="169">
        <f>IF(OR(J810="",L810=""),"",L810/J810-1)</f>
        <v/>
      </c>
      <c r="P810" s="169">
        <f>IF(OR(J810="",K810=""),"",K810/J810-1)</f>
        <v/>
      </c>
      <c r="Q810" s="54">
        <f>IF(AND(ISNUMBER(J810),ISNUMBER(L810)),1,0)</f>
        <v/>
      </c>
      <c r="R810" s="69">
        <f>IF(Q810=1,G810*L810,0)</f>
        <v/>
      </c>
      <c r="S810" s="69">
        <f>IF(Q810=1,(H810+I810)*U810,0)</f>
        <v/>
      </c>
      <c r="T810" s="59">
        <f>IF(Q810=1,G810,0)</f>
        <v/>
      </c>
      <c r="U810" s="170">
        <f>$G$3</f>
        <v/>
      </c>
    </row>
    <row r="811">
      <c r="A811" s="54" t="inlineStr">
        <is>
          <t>CA DC S6</t>
        </is>
      </c>
      <c r="B811" s="54" t="inlineStr">
        <is>
          <t>CA</t>
        </is>
      </c>
      <c r="C811" s="54" t="inlineStr">
        <is>
          <t>B0D9QTQGSJ</t>
        </is>
      </c>
      <c r="D811" s="54" t="n"/>
      <c r="E811" s="54" t="inlineStr">
        <is>
          <t>Twin</t>
        </is>
      </c>
      <c r="F811" s="54" t="inlineStr">
        <is>
          <t>Baby Blue</t>
        </is>
      </c>
      <c r="G811" s="55" t="n">
        <v>8</v>
      </c>
      <c r="H811" s="167" t="n">
        <v>182.67</v>
      </c>
      <c r="I811" s="167" t="n">
        <v>0</v>
      </c>
      <c r="J811" s="171">
        <f>IF(AND(N(G811)&gt;0,N(H811)+N(I811)&gt;0),(H811+I811)*U811/G811,"")</f>
        <v/>
      </c>
      <c r="K811" s="172" t="n">
        <v>39.99</v>
      </c>
      <c r="L811" s="172" t="n">
        <v>39.99</v>
      </c>
      <c r="M811" s="54" t="inlineStr">
        <is>
          <t>Eligible</t>
        </is>
      </c>
      <c r="N811" s="171">
        <f>IF(OR(J811="",L811=""),"",L811-J811)</f>
        <v/>
      </c>
      <c r="O811" s="169">
        <f>IF(OR(J811="",L811=""),"",L811/J811-1)</f>
        <v/>
      </c>
      <c r="P811" s="169">
        <f>IF(OR(J811="",K811=""),"",K811/J811-1)</f>
        <v/>
      </c>
      <c r="Q811" s="54">
        <f>IF(AND(ISNUMBER(J811),ISNUMBER(L811)),1,0)</f>
        <v/>
      </c>
      <c r="R811" s="69">
        <f>IF(Q811=1,G811*L811,0)</f>
        <v/>
      </c>
      <c r="S811" s="69">
        <f>IF(Q811=1,(H811+I811)*U811,0)</f>
        <v/>
      </c>
      <c r="T811" s="59">
        <f>IF(Q811=1,G811,0)</f>
        <v/>
      </c>
      <c r="U811" s="170">
        <f>$G$3</f>
        <v/>
      </c>
    </row>
    <row r="812">
      <c r="A812" s="54" t="inlineStr">
        <is>
          <t>CA DC S6</t>
        </is>
      </c>
      <c r="B812" s="54" t="inlineStr">
        <is>
          <t>CA</t>
        </is>
      </c>
      <c r="C812" s="54" t="inlineStr">
        <is>
          <t>B0C7FDN7ZM</t>
        </is>
      </c>
      <c r="D812" s="54" t="inlineStr">
        <is>
          <t>SATIN-ROSEWOOD-TWIN-6PCS</t>
        </is>
      </c>
      <c r="E812" s="54" t="inlineStr">
        <is>
          <t>Twin</t>
        </is>
      </c>
      <c r="F812" s="54" t="inlineStr">
        <is>
          <t>Rosewood</t>
        </is>
      </c>
      <c r="G812" s="55" t="n">
        <v>8</v>
      </c>
      <c r="H812" s="167" t="n">
        <v>182.37</v>
      </c>
      <c r="I812" s="167" t="n">
        <v>0</v>
      </c>
      <c r="J812" s="171">
        <f>IF(AND(N(G812)&gt;0,N(H812)+N(I812)&gt;0),(H812+I812)*U812/G812,"")</f>
        <v/>
      </c>
      <c r="K812" s="172" t="n">
        <v>39.99</v>
      </c>
      <c r="L812" s="172" t="n">
        <v>35.99</v>
      </c>
      <c r="M812" s="54" t="inlineStr">
        <is>
          <t>Eligible</t>
        </is>
      </c>
      <c r="N812" s="171">
        <f>IF(OR(J812="",L812=""),"",L812-J812)</f>
        <v/>
      </c>
      <c r="O812" s="169">
        <f>IF(OR(J812="",L812=""),"",L812/J812-1)</f>
        <v/>
      </c>
      <c r="P812" s="169">
        <f>IF(OR(J812="",K812=""),"",K812/J812-1)</f>
        <v/>
      </c>
      <c r="Q812" s="54">
        <f>IF(AND(ISNUMBER(J812),ISNUMBER(L812)),1,0)</f>
        <v/>
      </c>
      <c r="R812" s="69">
        <f>IF(Q812=1,G812*L812,0)</f>
        <v/>
      </c>
      <c r="S812" s="69">
        <f>IF(Q812=1,(H812+I812)*U812,0)</f>
        <v/>
      </c>
      <c r="T812" s="59">
        <f>IF(Q812=1,G812,0)</f>
        <v/>
      </c>
      <c r="U812" s="170">
        <f>$G$3</f>
        <v/>
      </c>
    </row>
    <row r="813">
      <c r="A813" s="54" t="inlineStr">
        <is>
          <t>CA DC S6</t>
        </is>
      </c>
      <c r="B813" s="54" t="inlineStr">
        <is>
          <t>CA</t>
        </is>
      </c>
      <c r="C813" s="54" t="inlineStr">
        <is>
          <t>B0D9QT3LWG</t>
        </is>
      </c>
      <c r="D813" s="54" t="inlineStr">
        <is>
          <t>SATIN-6PC-FULL-BLUSH PINK</t>
        </is>
      </c>
      <c r="E813" s="54" t="inlineStr">
        <is>
          <t>Full</t>
        </is>
      </c>
      <c r="F813" s="54" t="inlineStr">
        <is>
          <t>Blush Pink</t>
        </is>
      </c>
      <c r="G813" s="55" t="n">
        <v>7</v>
      </c>
      <c r="H813" s="167" t="n">
        <v>179.76</v>
      </c>
      <c r="I813" s="167" t="n">
        <v>0</v>
      </c>
      <c r="J813" s="171">
        <f>IF(AND(N(G813)&gt;0,N(H813)+N(I813)&gt;0),(H813+I813)*U813/G813,"")</f>
        <v/>
      </c>
      <c r="K813" s="172" t="n">
        <v>44.99</v>
      </c>
      <c r="L813" s="172" t="n">
        <v>42.74</v>
      </c>
      <c r="M813" s="54" t="inlineStr">
        <is>
          <t>Eligible</t>
        </is>
      </c>
      <c r="N813" s="171">
        <f>IF(OR(J813="",L813=""),"",L813-J813)</f>
        <v/>
      </c>
      <c r="O813" s="169">
        <f>IF(OR(J813="",L813=""),"",L813/J813-1)</f>
        <v/>
      </c>
      <c r="P813" s="169">
        <f>IF(OR(J813="",K813=""),"",K813/J813-1)</f>
        <v/>
      </c>
      <c r="Q813" s="54">
        <f>IF(AND(ISNUMBER(J813),ISNUMBER(L813)),1,0)</f>
        <v/>
      </c>
      <c r="R813" s="69">
        <f>IF(Q813=1,G813*L813,0)</f>
        <v/>
      </c>
      <c r="S813" s="69">
        <f>IF(Q813=1,(H813+I813)*U813,0)</f>
        <v/>
      </c>
      <c r="T813" s="59">
        <f>IF(Q813=1,G813,0)</f>
        <v/>
      </c>
      <c r="U813" s="170">
        <f>$G$3</f>
        <v/>
      </c>
    </row>
    <row r="814">
      <c r="A814" s="54" t="inlineStr">
        <is>
          <t>CA DC S6</t>
        </is>
      </c>
      <c r="B814" s="54" t="inlineStr">
        <is>
          <t>CA</t>
        </is>
      </c>
      <c r="C814" s="54" t="inlineStr">
        <is>
          <t>B0D9QR6YSH</t>
        </is>
      </c>
      <c r="D814" s="54" t="inlineStr">
        <is>
          <t>SATIN-6PC-FULL-LAVENDER</t>
        </is>
      </c>
      <c r="E814" s="54" t="inlineStr">
        <is>
          <t>Full</t>
        </is>
      </c>
      <c r="F814" s="54" t="inlineStr">
        <is>
          <t>Lavender</t>
        </is>
      </c>
      <c r="G814" s="55" t="n">
        <v>7</v>
      </c>
      <c r="H814" s="167" t="n">
        <v>170.77</v>
      </c>
      <c r="I814" s="167" t="n">
        <v>0</v>
      </c>
      <c r="J814" s="171">
        <f>IF(AND(N(G814)&gt;0,N(H814)+N(I814)&gt;0),(H814+I814)*U814/G814,"")</f>
        <v/>
      </c>
      <c r="K814" s="172" t="n">
        <v>44.99</v>
      </c>
      <c r="L814" s="172" t="n">
        <v>42.74</v>
      </c>
      <c r="M814" s="54" t="inlineStr">
        <is>
          <t>Eligible</t>
        </is>
      </c>
      <c r="N814" s="171">
        <f>IF(OR(J814="",L814=""),"",L814-J814)</f>
        <v/>
      </c>
      <c r="O814" s="169">
        <f>IF(OR(J814="",L814=""),"",L814/J814-1)</f>
        <v/>
      </c>
      <c r="P814" s="169">
        <f>IF(OR(J814="",K814=""),"",K814/J814-1)</f>
        <v/>
      </c>
      <c r="Q814" s="54">
        <f>IF(AND(ISNUMBER(J814),ISNUMBER(L814)),1,0)</f>
        <v/>
      </c>
      <c r="R814" s="69">
        <f>IF(Q814=1,G814*L814,0)</f>
        <v/>
      </c>
      <c r="S814" s="69">
        <f>IF(Q814=1,(H814+I814)*U814,0)</f>
        <v/>
      </c>
      <c r="T814" s="59">
        <f>IF(Q814=1,G814,0)</f>
        <v/>
      </c>
      <c r="U814" s="170">
        <f>$G$3</f>
        <v/>
      </c>
    </row>
    <row r="815">
      <c r="A815" s="54" t="inlineStr">
        <is>
          <t>CA DC S6</t>
        </is>
      </c>
      <c r="B815" s="54" t="inlineStr">
        <is>
          <t>CA</t>
        </is>
      </c>
      <c r="C815" s="54" t="inlineStr">
        <is>
          <t>B0D9QSHBSX</t>
        </is>
      </c>
      <c r="D815" s="54" t="inlineStr">
        <is>
          <t>SATIN-6PC-KING-NAVY BLUE</t>
        </is>
      </c>
      <c r="E815" s="54" t="inlineStr">
        <is>
          <t>King</t>
        </is>
      </c>
      <c r="F815" s="54" t="inlineStr">
        <is>
          <t>Navy Blue</t>
        </is>
      </c>
      <c r="G815" s="55" t="n">
        <v>7</v>
      </c>
      <c r="H815" s="167" t="n">
        <v>199.32</v>
      </c>
      <c r="I815" s="167" t="n">
        <v>0</v>
      </c>
      <c r="J815" s="171">
        <f>IF(AND(N(G815)&gt;0,N(H815)+N(I815)&gt;0),(H815+I815)*U815/G815,"")</f>
        <v/>
      </c>
      <c r="K815" s="172" t="n">
        <v>49.99</v>
      </c>
      <c r="L815" s="172" t="n"/>
      <c r="M815" s="54" t="inlineStr">
        <is>
          <t>Out of stock</t>
        </is>
      </c>
      <c r="N815" s="171">
        <f>IF(OR(J815="",L815=""),"",L815-J815)</f>
        <v/>
      </c>
      <c r="O815" s="169">
        <f>IF(OR(J815="",L815=""),"",L815/J815-1)</f>
        <v/>
      </c>
      <c r="P815" s="169">
        <f>IF(OR(J815="",K815=""),"",K815/J815-1)</f>
        <v/>
      </c>
      <c r="Q815" s="54">
        <f>IF(AND(ISNUMBER(J815),ISNUMBER(L815)),1,0)</f>
        <v/>
      </c>
      <c r="R815" s="69">
        <f>IF(Q815=1,G815*L815,0)</f>
        <v/>
      </c>
      <c r="S815" s="69">
        <f>IF(Q815=1,(H815+I815)*U815,0)</f>
        <v/>
      </c>
      <c r="T815" s="59">
        <f>IF(Q815=1,G815,0)</f>
        <v/>
      </c>
      <c r="U815" s="170">
        <f>$G$3</f>
        <v/>
      </c>
    </row>
    <row r="816">
      <c r="A816" s="54" t="inlineStr">
        <is>
          <t>CA DC S6</t>
        </is>
      </c>
      <c r="B816" s="54" t="inlineStr">
        <is>
          <t>CA</t>
        </is>
      </c>
      <c r="C816" s="54" t="inlineStr">
        <is>
          <t>B0D9QTV7S6</t>
        </is>
      </c>
      <c r="D816" s="54" t="inlineStr">
        <is>
          <t>SATIN-6PC-QUEEN-BURNT ORANGE</t>
        </is>
      </c>
      <c r="E816" s="54" t="inlineStr">
        <is>
          <t>Queen</t>
        </is>
      </c>
      <c r="F816" s="54" t="inlineStr">
        <is>
          <t>Burnt Orange</t>
        </is>
      </c>
      <c r="G816" s="55" t="n">
        <v>7</v>
      </c>
      <c r="H816" s="167" t="n">
        <v>179.13</v>
      </c>
      <c r="I816" s="167" t="n">
        <v>0</v>
      </c>
      <c r="J816" s="171">
        <f>IF(AND(N(G816)&gt;0,N(H816)+N(I816)&gt;0),(H816+I816)*U816/G816,"")</f>
        <v/>
      </c>
      <c r="K816" s="172" t="n">
        <v>47.99</v>
      </c>
      <c r="L816" s="172" t="n">
        <v>43.19</v>
      </c>
      <c r="M816" s="54" t="inlineStr">
        <is>
          <t>Eligible</t>
        </is>
      </c>
      <c r="N816" s="171">
        <f>IF(OR(J816="",L816=""),"",L816-J816)</f>
        <v/>
      </c>
      <c r="O816" s="169">
        <f>IF(OR(J816="",L816=""),"",L816/J816-1)</f>
        <v/>
      </c>
      <c r="P816" s="169">
        <f>IF(OR(J816="",K816=""),"",K816/J816-1)</f>
        <v/>
      </c>
      <c r="Q816" s="54">
        <f>IF(AND(ISNUMBER(J816),ISNUMBER(L816)),1,0)</f>
        <v/>
      </c>
      <c r="R816" s="69">
        <f>IF(Q816=1,G816*L816,0)</f>
        <v/>
      </c>
      <c r="S816" s="69">
        <f>IF(Q816=1,(H816+I816)*U816,0)</f>
        <v/>
      </c>
      <c r="T816" s="59">
        <f>IF(Q816=1,G816,0)</f>
        <v/>
      </c>
      <c r="U816" s="170">
        <f>$G$3</f>
        <v/>
      </c>
    </row>
    <row r="817">
      <c r="A817" s="54" t="inlineStr">
        <is>
          <t>CA DC S6</t>
        </is>
      </c>
      <c r="B817" s="54" t="inlineStr">
        <is>
          <t>CA</t>
        </is>
      </c>
      <c r="C817" s="54" t="inlineStr">
        <is>
          <t>B0D9QSYXL8</t>
        </is>
      </c>
      <c r="D817" s="54" t="n"/>
      <c r="E817" s="54" t="inlineStr">
        <is>
          <t>Twin</t>
        </is>
      </c>
      <c r="F817" s="54" t="inlineStr">
        <is>
          <t>Navy Blue</t>
        </is>
      </c>
      <c r="G817" s="55" t="n">
        <v>7</v>
      </c>
      <c r="H817" s="167" t="n">
        <v>140.69</v>
      </c>
      <c r="I817" s="167" t="n">
        <v>0</v>
      </c>
      <c r="J817" s="171">
        <f>IF(AND(N(G817)&gt;0,N(H817)+N(I817)&gt;0),(H817+I817)*U817/G817,"")</f>
        <v/>
      </c>
      <c r="K817" s="172" t="n">
        <v>39.99</v>
      </c>
      <c r="L817" s="172" t="n">
        <v>39.99</v>
      </c>
      <c r="M817" s="54" t="inlineStr">
        <is>
          <t>Eligible</t>
        </is>
      </c>
      <c r="N817" s="171">
        <f>IF(OR(J817="",L817=""),"",L817-J817)</f>
        <v/>
      </c>
      <c r="O817" s="169">
        <f>IF(OR(J817="",L817=""),"",L817/J817-1)</f>
        <v/>
      </c>
      <c r="P817" s="169">
        <f>IF(OR(J817="",K817=""),"",K817/J817-1)</f>
        <v/>
      </c>
      <c r="Q817" s="54">
        <f>IF(AND(ISNUMBER(J817),ISNUMBER(L817)),1,0)</f>
        <v/>
      </c>
      <c r="R817" s="69">
        <f>IF(Q817=1,G817*L817,0)</f>
        <v/>
      </c>
      <c r="S817" s="69">
        <f>IF(Q817=1,(H817+I817)*U817,0)</f>
        <v/>
      </c>
      <c r="T817" s="59">
        <f>IF(Q817=1,G817,0)</f>
        <v/>
      </c>
      <c r="U817" s="170">
        <f>$G$3</f>
        <v/>
      </c>
    </row>
    <row r="818">
      <c r="A818" s="54" t="inlineStr">
        <is>
          <t>CA DC S6</t>
        </is>
      </c>
      <c r="B818" s="54" t="inlineStr">
        <is>
          <t>CA</t>
        </is>
      </c>
      <c r="C818" s="54" t="inlineStr">
        <is>
          <t>B0C7FF3CWB</t>
        </is>
      </c>
      <c r="D818" s="54" t="inlineStr">
        <is>
          <t>SATIN-SEA-TEAL-TWIN-6PCS</t>
        </is>
      </c>
      <c r="E818" s="54" t="inlineStr">
        <is>
          <t>Twin</t>
        </is>
      </c>
      <c r="F818" s="54" t="inlineStr">
        <is>
          <t>Sea Teal</t>
        </is>
      </c>
      <c r="G818" s="55" t="n">
        <v>7</v>
      </c>
      <c r="H818" s="167" t="n">
        <v>159.65</v>
      </c>
      <c r="I818" s="167" t="n">
        <v>0</v>
      </c>
      <c r="J818" s="171">
        <f>IF(AND(N(G818)&gt;0,N(H818)+N(I818)&gt;0),(H818+I818)*U818/G818,"")</f>
        <v/>
      </c>
      <c r="K818" s="172" t="n">
        <v>39.99</v>
      </c>
      <c r="L818" s="172" t="n">
        <v>39.99</v>
      </c>
      <c r="M818" s="54" t="inlineStr">
        <is>
          <t>Eligible</t>
        </is>
      </c>
      <c r="N818" s="171">
        <f>IF(OR(J818="",L818=""),"",L818-J818)</f>
        <v/>
      </c>
      <c r="O818" s="169">
        <f>IF(OR(J818="",L818=""),"",L818/J818-1)</f>
        <v/>
      </c>
      <c r="P818" s="169">
        <f>IF(OR(J818="",K818=""),"",K818/J818-1)</f>
        <v/>
      </c>
      <c r="Q818" s="54">
        <f>IF(AND(ISNUMBER(J818),ISNUMBER(L818)),1,0)</f>
        <v/>
      </c>
      <c r="R818" s="69">
        <f>IF(Q818=1,G818*L818,0)</f>
        <v/>
      </c>
      <c r="S818" s="69">
        <f>IF(Q818=1,(H818+I818)*U818,0)</f>
        <v/>
      </c>
      <c r="T818" s="59">
        <f>IF(Q818=1,G818,0)</f>
        <v/>
      </c>
      <c r="U818" s="170">
        <f>$G$3</f>
        <v/>
      </c>
    </row>
    <row r="819">
      <c r="A819" s="54" t="inlineStr">
        <is>
          <t>CA DC S6</t>
        </is>
      </c>
      <c r="B819" s="54" t="inlineStr">
        <is>
          <t>CA</t>
        </is>
      </c>
      <c r="C819" s="54" t="inlineStr">
        <is>
          <t>B0C7F9HG21</t>
        </is>
      </c>
      <c r="D819" s="54" t="inlineStr">
        <is>
          <t>SATIN-STONEGREY-TWIN-6PCS</t>
        </is>
      </c>
      <c r="E819" s="54" t="inlineStr">
        <is>
          <t>Twin</t>
        </is>
      </c>
      <c r="F819" s="54" t="inlineStr">
        <is>
          <t>Stone Grey</t>
        </is>
      </c>
      <c r="G819" s="55" t="n">
        <v>7</v>
      </c>
      <c r="H819" s="167" t="n">
        <v>159.79</v>
      </c>
      <c r="I819" s="167" t="n">
        <v>0</v>
      </c>
      <c r="J819" s="171">
        <f>IF(AND(N(G819)&gt;0,N(H819)+N(I819)&gt;0),(H819+I819)*U819/G819,"")</f>
        <v/>
      </c>
      <c r="K819" s="172" t="n">
        <v>39.99</v>
      </c>
      <c r="L819" s="172" t="n">
        <v>35.99</v>
      </c>
      <c r="M819" s="54" t="inlineStr">
        <is>
          <t>Eligible</t>
        </is>
      </c>
      <c r="N819" s="171">
        <f>IF(OR(J819="",L819=""),"",L819-J819)</f>
        <v/>
      </c>
      <c r="O819" s="169">
        <f>IF(OR(J819="",L819=""),"",L819/J819-1)</f>
        <v/>
      </c>
      <c r="P819" s="169">
        <f>IF(OR(J819="",K819=""),"",K819/J819-1)</f>
        <v/>
      </c>
      <c r="Q819" s="54">
        <f>IF(AND(ISNUMBER(J819),ISNUMBER(L819)),1,0)</f>
        <v/>
      </c>
      <c r="R819" s="69">
        <f>IF(Q819=1,G819*L819,0)</f>
        <v/>
      </c>
      <c r="S819" s="69">
        <f>IF(Q819=1,(H819+I819)*U819,0)</f>
        <v/>
      </c>
      <c r="T819" s="59">
        <f>IF(Q819=1,G819,0)</f>
        <v/>
      </c>
      <c r="U819" s="170">
        <f>$G$3</f>
        <v/>
      </c>
    </row>
    <row r="820">
      <c r="A820" s="54" t="inlineStr">
        <is>
          <t>CA DC S6</t>
        </is>
      </c>
      <c r="B820" s="54" t="inlineStr">
        <is>
          <t>CA</t>
        </is>
      </c>
      <c r="C820" s="54" t="inlineStr">
        <is>
          <t>B0C7FKJWJV</t>
        </is>
      </c>
      <c r="D820" s="54" t="inlineStr">
        <is>
          <t>SATIN-IVORY-FULL-6PCS</t>
        </is>
      </c>
      <c r="E820" s="54" t="inlineStr">
        <is>
          <t>Full</t>
        </is>
      </c>
      <c r="F820" s="54" t="inlineStr">
        <is>
          <t>Ivory</t>
        </is>
      </c>
      <c r="G820" s="55" t="n">
        <v>6</v>
      </c>
      <c r="H820" s="167" t="n">
        <v>153.84</v>
      </c>
      <c r="I820" s="167" t="n">
        <v>0</v>
      </c>
      <c r="J820" s="171">
        <f>IF(AND(N(G820)&gt;0,N(H820)+N(I820)&gt;0),(H820+I820)*U820/G820,"")</f>
        <v/>
      </c>
      <c r="K820" s="172" t="n">
        <v>44.99</v>
      </c>
      <c r="L820" s="172" t="n">
        <v>44.99</v>
      </c>
      <c r="M820" s="54" t="inlineStr">
        <is>
          <t>Eligible</t>
        </is>
      </c>
      <c r="N820" s="171">
        <f>IF(OR(J820="",L820=""),"",L820-J820)</f>
        <v/>
      </c>
      <c r="O820" s="169">
        <f>IF(OR(J820="",L820=""),"",L820/J820-1)</f>
        <v/>
      </c>
      <c r="P820" s="169">
        <f>IF(OR(J820="",K820=""),"",K820/J820-1)</f>
        <v/>
      </c>
      <c r="Q820" s="54">
        <f>IF(AND(ISNUMBER(J820),ISNUMBER(L820)),1,0)</f>
        <v/>
      </c>
      <c r="R820" s="69">
        <f>IF(Q820=1,G820*L820,0)</f>
        <v/>
      </c>
      <c r="S820" s="69">
        <f>IF(Q820=1,(H820+I820)*U820,0)</f>
        <v/>
      </c>
      <c r="T820" s="59">
        <f>IF(Q820=1,G820,0)</f>
        <v/>
      </c>
      <c r="U820" s="170">
        <f>$G$3</f>
        <v/>
      </c>
    </row>
    <row r="821">
      <c r="A821" s="54" t="inlineStr">
        <is>
          <t>CA DC S6</t>
        </is>
      </c>
      <c r="B821" s="54" t="inlineStr">
        <is>
          <t>CA</t>
        </is>
      </c>
      <c r="C821" s="54" t="inlineStr">
        <is>
          <t>B0D9QSZR2C</t>
        </is>
      </c>
      <c r="D821" s="54" t="inlineStr">
        <is>
          <t>SATIN-6PC-KING-BABY BLUE</t>
        </is>
      </c>
      <c r="E821" s="54" t="inlineStr">
        <is>
          <t>King</t>
        </is>
      </c>
      <c r="F821" s="54" t="inlineStr">
        <is>
          <t>Baby Blue</t>
        </is>
      </c>
      <c r="G821" s="55" t="n">
        <v>6</v>
      </c>
      <c r="H821" s="167" t="n">
        <v>160.5</v>
      </c>
      <c r="I821" s="167" t="n">
        <v>0</v>
      </c>
      <c r="J821" s="171">
        <f>IF(AND(N(G821)&gt;0,N(H821)+N(I821)&gt;0),(H821+I821)*U821/G821,"")</f>
        <v/>
      </c>
      <c r="K821" s="172" t="n">
        <v>49.99</v>
      </c>
      <c r="L821" s="172" t="n">
        <v>49.87</v>
      </c>
      <c r="M821" s="54" t="inlineStr">
        <is>
          <t>Eligible</t>
        </is>
      </c>
      <c r="N821" s="171">
        <f>IF(OR(J821="",L821=""),"",L821-J821)</f>
        <v/>
      </c>
      <c r="O821" s="169">
        <f>IF(OR(J821="",L821=""),"",L821/J821-1)</f>
        <v/>
      </c>
      <c r="P821" s="169">
        <f>IF(OR(J821="",K821=""),"",K821/J821-1)</f>
        <v/>
      </c>
      <c r="Q821" s="54">
        <f>IF(AND(ISNUMBER(J821),ISNUMBER(L821)),1,0)</f>
        <v/>
      </c>
      <c r="R821" s="69">
        <f>IF(Q821=1,G821*L821,0)</f>
        <v/>
      </c>
      <c r="S821" s="69">
        <f>IF(Q821=1,(H821+I821)*U821,0)</f>
        <v/>
      </c>
      <c r="T821" s="59">
        <f>IF(Q821=1,G821,0)</f>
        <v/>
      </c>
      <c r="U821" s="170">
        <f>$G$3</f>
        <v/>
      </c>
    </row>
    <row r="822">
      <c r="A822" s="54" t="inlineStr">
        <is>
          <t>CA DC S6</t>
        </is>
      </c>
      <c r="B822" s="54" t="inlineStr">
        <is>
          <t>CA</t>
        </is>
      </c>
      <c r="C822" s="54" t="inlineStr">
        <is>
          <t>B0C7FBBPL1</t>
        </is>
      </c>
      <c r="D822" s="54" t="inlineStr">
        <is>
          <t>SATIN-KING-BLUE-6PCS</t>
        </is>
      </c>
      <c r="E822" s="54" t="inlineStr">
        <is>
          <t>King</t>
        </is>
      </c>
      <c r="F822" s="54" t="inlineStr">
        <is>
          <t>Blue</t>
        </is>
      </c>
      <c r="G822" s="55" t="n">
        <v>6</v>
      </c>
      <c r="H822" s="167" t="n">
        <v>169.24</v>
      </c>
      <c r="I822" s="167" t="n">
        <v>0</v>
      </c>
      <c r="J822" s="171">
        <f>IF(AND(N(G822)&gt;0,N(H822)+N(I822)&gt;0),(H822+I822)*U822/G822,"")</f>
        <v/>
      </c>
      <c r="K822" s="172" t="n">
        <v>49.99</v>
      </c>
      <c r="L822" s="172" t="n">
        <v>44.99</v>
      </c>
      <c r="M822" s="54" t="inlineStr">
        <is>
          <t>Eligible</t>
        </is>
      </c>
      <c r="N822" s="171">
        <f>IF(OR(J822="",L822=""),"",L822-J822)</f>
        <v/>
      </c>
      <c r="O822" s="169">
        <f>IF(OR(J822="",L822=""),"",L822/J822-1)</f>
        <v/>
      </c>
      <c r="P822" s="169">
        <f>IF(OR(J822="",K822=""),"",K822/J822-1)</f>
        <v/>
      </c>
      <c r="Q822" s="54">
        <f>IF(AND(ISNUMBER(J822),ISNUMBER(L822)),1,0)</f>
        <v/>
      </c>
      <c r="R822" s="69">
        <f>IF(Q822=1,G822*L822,0)</f>
        <v/>
      </c>
      <c r="S822" s="69">
        <f>IF(Q822=1,(H822+I822)*U822,0)</f>
        <v/>
      </c>
      <c r="T822" s="59">
        <f>IF(Q822=1,G822,0)</f>
        <v/>
      </c>
      <c r="U822" s="170">
        <f>$G$3</f>
        <v/>
      </c>
    </row>
    <row r="823">
      <c r="A823" s="54" t="inlineStr">
        <is>
          <t>CA DC S6</t>
        </is>
      </c>
      <c r="B823" s="54" t="inlineStr">
        <is>
          <t>CA</t>
        </is>
      </c>
      <c r="C823" s="54" t="inlineStr">
        <is>
          <t>B0C7FMYDFC</t>
        </is>
      </c>
      <c r="D823" s="54" t="inlineStr">
        <is>
          <t>SATIN-GOLD-KING-6PCS</t>
        </is>
      </c>
      <c r="E823" s="54" t="inlineStr">
        <is>
          <t>King</t>
        </is>
      </c>
      <c r="F823" s="54" t="inlineStr">
        <is>
          <t>Gold</t>
        </is>
      </c>
      <c r="G823" s="55" t="n">
        <v>6</v>
      </c>
      <c r="H823" s="167" t="n">
        <v>169.22</v>
      </c>
      <c r="I823" s="167" t="n">
        <v>0</v>
      </c>
      <c r="J823" s="171">
        <f>IF(AND(N(G823)&gt;0,N(H823)+N(I823)&gt;0),(H823+I823)*U823/G823,"")</f>
        <v/>
      </c>
      <c r="K823" s="172" t="n">
        <v>49.99</v>
      </c>
      <c r="L823" s="172" t="n">
        <v>40.37</v>
      </c>
      <c r="M823" s="54" t="inlineStr">
        <is>
          <t>Eligible</t>
        </is>
      </c>
      <c r="N823" s="171">
        <f>IF(OR(J823="",L823=""),"",L823-J823)</f>
        <v/>
      </c>
      <c r="O823" s="169">
        <f>IF(OR(J823="",L823=""),"",L823/J823-1)</f>
        <v/>
      </c>
      <c r="P823" s="169">
        <f>IF(OR(J823="",K823=""),"",K823/J823-1)</f>
        <v/>
      </c>
      <c r="Q823" s="54">
        <f>IF(AND(ISNUMBER(J823),ISNUMBER(L823)),1,0)</f>
        <v/>
      </c>
      <c r="R823" s="69">
        <f>IF(Q823=1,G823*L823,0)</f>
        <v/>
      </c>
      <c r="S823" s="69">
        <f>IF(Q823=1,(H823+I823)*U823,0)</f>
        <v/>
      </c>
      <c r="T823" s="59">
        <f>IF(Q823=1,G823,0)</f>
        <v/>
      </c>
      <c r="U823" s="170">
        <f>$G$3</f>
        <v/>
      </c>
    </row>
    <row r="824">
      <c r="A824" s="54" t="inlineStr">
        <is>
          <t>CA DC S6</t>
        </is>
      </c>
      <c r="B824" s="54" t="inlineStr">
        <is>
          <t>CA</t>
        </is>
      </c>
      <c r="C824" s="54" t="inlineStr">
        <is>
          <t>B0D9QSZH1N</t>
        </is>
      </c>
      <c r="D824" s="54" t="inlineStr">
        <is>
          <t>SATIN-6PC-QUEEN-BABY BLUE</t>
        </is>
      </c>
      <c r="E824" s="54" t="inlineStr">
        <is>
          <t>Queen</t>
        </is>
      </c>
      <c r="F824" s="54" t="inlineStr">
        <is>
          <t>Baby Blue</t>
        </is>
      </c>
      <c r="G824" s="55" t="n">
        <v>6</v>
      </c>
      <c r="H824" s="167" t="n">
        <v>166.38</v>
      </c>
      <c r="I824" s="167" t="n">
        <v>0</v>
      </c>
      <c r="J824" s="171">
        <f>IF(AND(N(G824)&gt;0,N(H824)+N(I824)&gt;0),(H824+I824)*U824/G824,"")</f>
        <v/>
      </c>
      <c r="K824" s="172" t="n">
        <v>47.99</v>
      </c>
      <c r="L824" s="172" t="n">
        <v>43.19</v>
      </c>
      <c r="M824" s="54" t="inlineStr">
        <is>
          <t>Eligible</t>
        </is>
      </c>
      <c r="N824" s="171">
        <f>IF(OR(J824="",L824=""),"",L824-J824)</f>
        <v/>
      </c>
      <c r="O824" s="169">
        <f>IF(OR(J824="",L824=""),"",L824/J824-1)</f>
        <v/>
      </c>
      <c r="P824" s="169">
        <f>IF(OR(J824="",K824=""),"",K824/J824-1)</f>
        <v/>
      </c>
      <c r="Q824" s="54">
        <f>IF(AND(ISNUMBER(J824),ISNUMBER(L824)),1,0)</f>
        <v/>
      </c>
      <c r="R824" s="69">
        <f>IF(Q824=1,G824*L824,0)</f>
        <v/>
      </c>
      <c r="S824" s="69">
        <f>IF(Q824=1,(H824+I824)*U824,0)</f>
        <v/>
      </c>
      <c r="T824" s="59">
        <f>IF(Q824=1,G824,0)</f>
        <v/>
      </c>
      <c r="U824" s="170">
        <f>$G$3</f>
        <v/>
      </c>
    </row>
    <row r="825">
      <c r="A825" s="54" t="inlineStr">
        <is>
          <t>CA DC S6</t>
        </is>
      </c>
      <c r="B825" s="54" t="inlineStr">
        <is>
          <t>CA</t>
        </is>
      </c>
      <c r="C825" s="54" t="inlineStr">
        <is>
          <t>B0C7KJMDNG</t>
        </is>
      </c>
      <c r="D825" s="54" t="inlineStr">
        <is>
          <t>SATIN-STRIPE-QUEEN-BLUE--6-PCS</t>
        </is>
      </c>
      <c r="E825" s="54" t="inlineStr">
        <is>
          <t>Queen</t>
        </is>
      </c>
      <c r="F825" s="54" t="inlineStr">
        <is>
          <t>Striped Blue</t>
        </is>
      </c>
      <c r="G825" s="55" t="n">
        <v>6</v>
      </c>
      <c r="H825" s="167" t="n">
        <v>149.77</v>
      </c>
      <c r="I825" s="167" t="n">
        <v>0</v>
      </c>
      <c r="J825" s="171">
        <f>IF(AND(N(G825)&gt;0,N(H825)+N(I825)&gt;0),(H825+I825)*U825/G825,"")</f>
        <v/>
      </c>
      <c r="K825" s="172" t="n">
        <v>47.99</v>
      </c>
      <c r="L825" s="172" t="n">
        <v>47.99</v>
      </c>
      <c r="M825" s="54" t="inlineStr">
        <is>
          <t>Eligible</t>
        </is>
      </c>
      <c r="N825" s="171">
        <f>IF(OR(J825="",L825=""),"",L825-J825)</f>
        <v/>
      </c>
      <c r="O825" s="169">
        <f>IF(OR(J825="",L825=""),"",L825/J825-1)</f>
        <v/>
      </c>
      <c r="P825" s="169">
        <f>IF(OR(J825="",K825=""),"",K825/J825-1)</f>
        <v/>
      </c>
      <c r="Q825" s="54">
        <f>IF(AND(ISNUMBER(J825),ISNUMBER(L825)),1,0)</f>
        <v/>
      </c>
      <c r="R825" s="69">
        <f>IF(Q825=1,G825*L825,0)</f>
        <v/>
      </c>
      <c r="S825" s="69">
        <f>IF(Q825=1,(H825+I825)*U825,0)</f>
        <v/>
      </c>
      <c r="T825" s="59">
        <f>IF(Q825=1,G825,0)</f>
        <v/>
      </c>
      <c r="U825" s="170">
        <f>$G$3</f>
        <v/>
      </c>
    </row>
    <row r="826">
      <c r="A826" s="54" t="inlineStr">
        <is>
          <t>CA DC S6</t>
        </is>
      </c>
      <c r="B826" s="54" t="inlineStr">
        <is>
          <t>CA</t>
        </is>
      </c>
      <c r="C826" s="54" t="inlineStr">
        <is>
          <t>B0C7FBCF2X</t>
        </is>
      </c>
      <c r="D826" s="54" t="inlineStr">
        <is>
          <t>SATIN-WHITE-TWIN-6PCS</t>
        </is>
      </c>
      <c r="E826" s="54" t="inlineStr">
        <is>
          <t>Twin</t>
        </is>
      </c>
      <c r="F826" s="54" t="inlineStr">
        <is>
          <t>White</t>
        </is>
      </c>
      <c r="G826" s="55" t="n">
        <v>6</v>
      </c>
      <c r="H826" s="167" t="n">
        <v>137.15</v>
      </c>
      <c r="I826" s="167" t="n">
        <v>0</v>
      </c>
      <c r="J826" s="171">
        <f>IF(AND(N(G826)&gt;0,N(H826)+N(I826)&gt;0),(H826+I826)*U826/G826,"")</f>
        <v/>
      </c>
      <c r="K826" s="172" t="n">
        <v>39.99</v>
      </c>
      <c r="L826" s="172" t="n">
        <v>35.99</v>
      </c>
      <c r="M826" s="54" t="inlineStr">
        <is>
          <t>Eligible</t>
        </is>
      </c>
      <c r="N826" s="171">
        <f>IF(OR(J826="",L826=""),"",L826-J826)</f>
        <v/>
      </c>
      <c r="O826" s="169">
        <f>IF(OR(J826="",L826=""),"",L826/J826-1)</f>
        <v/>
      </c>
      <c r="P826" s="169">
        <f>IF(OR(J826="",K826=""),"",K826/J826-1)</f>
        <v/>
      </c>
      <c r="Q826" s="54">
        <f>IF(AND(ISNUMBER(J826),ISNUMBER(L826)),1,0)</f>
        <v/>
      </c>
      <c r="R826" s="69">
        <f>IF(Q826=1,G826*L826,0)</f>
        <v/>
      </c>
      <c r="S826" s="69">
        <f>IF(Q826=1,(H826+I826)*U826,0)</f>
        <v/>
      </c>
      <c r="T826" s="59">
        <f>IF(Q826=1,G826,0)</f>
        <v/>
      </c>
      <c r="U826" s="170">
        <f>$G$3</f>
        <v/>
      </c>
    </row>
    <row r="827">
      <c r="A827" s="54" t="inlineStr">
        <is>
          <t>CA DC S6</t>
        </is>
      </c>
      <c r="B827" s="54" t="inlineStr">
        <is>
          <t>CA</t>
        </is>
      </c>
      <c r="C827" s="54" t="inlineStr">
        <is>
          <t>B0D9QQWYP4</t>
        </is>
      </c>
      <c r="D827" s="54" t="inlineStr">
        <is>
          <t>SATIN-6PC-FULL-BABY BLUE</t>
        </is>
      </c>
      <c r="E827" s="54" t="inlineStr">
        <is>
          <t>Full</t>
        </is>
      </c>
      <c r="F827" s="54" t="inlineStr">
        <is>
          <t>Baby Blue</t>
        </is>
      </c>
      <c r="G827" s="55" t="n">
        <v>5</v>
      </c>
      <c r="H827" s="167" t="n">
        <v>128.3</v>
      </c>
      <c r="I827" s="167" t="n">
        <v>0</v>
      </c>
      <c r="J827" s="171">
        <f>IF(AND(N(G827)&gt;0,N(H827)+N(I827)&gt;0),(H827+I827)*U827/G827,"")</f>
        <v/>
      </c>
      <c r="K827" s="172" t="n">
        <v>44.99</v>
      </c>
      <c r="L827" s="172" t="n">
        <v>42.74</v>
      </c>
      <c r="M827" s="54" t="inlineStr">
        <is>
          <t>Eligible</t>
        </is>
      </c>
      <c r="N827" s="171">
        <f>IF(OR(J827="",L827=""),"",L827-J827)</f>
        <v/>
      </c>
      <c r="O827" s="169">
        <f>IF(OR(J827="",L827=""),"",L827/J827-1)</f>
        <v/>
      </c>
      <c r="P827" s="169">
        <f>IF(OR(J827="",K827=""),"",K827/J827-1)</f>
        <v/>
      </c>
      <c r="Q827" s="54">
        <f>IF(AND(ISNUMBER(J827),ISNUMBER(L827)),1,0)</f>
        <v/>
      </c>
      <c r="R827" s="69">
        <f>IF(Q827=1,G827*L827,0)</f>
        <v/>
      </c>
      <c r="S827" s="69">
        <f>IF(Q827=1,(H827+I827)*U827,0)</f>
        <v/>
      </c>
      <c r="T827" s="59">
        <f>IF(Q827=1,G827,0)</f>
        <v/>
      </c>
      <c r="U827" s="170">
        <f>$G$3</f>
        <v/>
      </c>
    </row>
    <row r="828">
      <c r="A828" s="54" t="inlineStr">
        <is>
          <t>CA DC S6</t>
        </is>
      </c>
      <c r="B828" s="54" t="inlineStr">
        <is>
          <t>CA</t>
        </is>
      </c>
      <c r="C828" s="54" t="inlineStr">
        <is>
          <t>B0C7FKZ4VG</t>
        </is>
      </c>
      <c r="D828" s="54" t="inlineStr">
        <is>
          <t>SATIN-CHAMPAGNE-KING-6PCS</t>
        </is>
      </c>
      <c r="E828" s="54" t="inlineStr">
        <is>
          <t>King</t>
        </is>
      </c>
      <c r="F828" s="54" t="inlineStr">
        <is>
          <t>Champagne</t>
        </is>
      </c>
      <c r="G828" s="55" t="n">
        <v>5</v>
      </c>
      <c r="H828" s="167" t="n">
        <v>126.95</v>
      </c>
      <c r="I828" s="167" t="n">
        <v>0</v>
      </c>
      <c r="J828" s="171">
        <f>IF(AND(N(G828)&gt;0,N(H828)+N(I828)&gt;0),(H828+I828)*U828/G828,"")</f>
        <v/>
      </c>
      <c r="K828" s="172" t="n">
        <v>49.99</v>
      </c>
      <c r="L828" s="172" t="n">
        <v>49.99</v>
      </c>
      <c r="M828" s="54" t="inlineStr">
        <is>
          <t>Eligible</t>
        </is>
      </c>
      <c r="N828" s="171">
        <f>IF(OR(J828="",L828=""),"",L828-J828)</f>
        <v/>
      </c>
      <c r="O828" s="169">
        <f>IF(OR(J828="",L828=""),"",L828/J828-1)</f>
        <v/>
      </c>
      <c r="P828" s="169">
        <f>IF(OR(J828="",K828=""),"",K828/J828-1)</f>
        <v/>
      </c>
      <c r="Q828" s="54">
        <f>IF(AND(ISNUMBER(J828),ISNUMBER(L828)),1,0)</f>
        <v/>
      </c>
      <c r="R828" s="69">
        <f>IF(Q828=1,G828*L828,0)</f>
        <v/>
      </c>
      <c r="S828" s="69">
        <f>IF(Q828=1,(H828+I828)*U828,0)</f>
        <v/>
      </c>
      <c r="T828" s="59">
        <f>IF(Q828=1,G828,0)</f>
        <v/>
      </c>
      <c r="U828" s="170">
        <f>$G$3</f>
        <v/>
      </c>
    </row>
    <row r="829">
      <c r="A829" s="54" t="inlineStr">
        <is>
          <t>CA DC S6</t>
        </is>
      </c>
      <c r="B829" s="54" t="inlineStr">
        <is>
          <t>CA</t>
        </is>
      </c>
      <c r="C829" s="54" t="inlineStr">
        <is>
          <t>B0D9QRRTN7</t>
        </is>
      </c>
      <c r="D829" s="54" t="inlineStr">
        <is>
          <t>SATIN-6PC-KING-LAVENDER</t>
        </is>
      </c>
      <c r="E829" s="54" t="inlineStr">
        <is>
          <t>King</t>
        </is>
      </c>
      <c r="F829" s="54" t="inlineStr">
        <is>
          <t>Lavender</t>
        </is>
      </c>
      <c r="G829" s="55" t="n">
        <v>5</v>
      </c>
      <c r="H829" s="167" t="n">
        <v>142.16</v>
      </c>
      <c r="I829" s="167" t="n">
        <v>0</v>
      </c>
      <c r="J829" s="171">
        <f>IF(AND(N(G829)&gt;0,N(H829)+N(I829)&gt;0),(H829+I829)*U829/G829,"")</f>
        <v/>
      </c>
      <c r="K829" s="172" t="n">
        <v>49.99</v>
      </c>
      <c r="L829" s="172" t="n">
        <v>47.49</v>
      </c>
      <c r="M829" s="54" t="inlineStr">
        <is>
          <t>Eligible</t>
        </is>
      </c>
      <c r="N829" s="171">
        <f>IF(OR(J829="",L829=""),"",L829-J829)</f>
        <v/>
      </c>
      <c r="O829" s="169">
        <f>IF(OR(J829="",L829=""),"",L829/J829-1)</f>
        <v/>
      </c>
      <c r="P829" s="169">
        <f>IF(OR(J829="",K829=""),"",K829/J829-1)</f>
        <v/>
      </c>
      <c r="Q829" s="54">
        <f>IF(AND(ISNUMBER(J829),ISNUMBER(L829)),1,0)</f>
        <v/>
      </c>
      <c r="R829" s="69">
        <f>IF(Q829=1,G829*L829,0)</f>
        <v/>
      </c>
      <c r="S829" s="69">
        <f>IF(Q829=1,(H829+I829)*U829,0)</f>
        <v/>
      </c>
      <c r="T829" s="59">
        <f>IF(Q829=1,G829,0)</f>
        <v/>
      </c>
      <c r="U829" s="170">
        <f>$G$3</f>
        <v/>
      </c>
    </row>
    <row r="830">
      <c r="A830" s="54" t="inlineStr">
        <is>
          <t>CA DC S6</t>
        </is>
      </c>
      <c r="B830" s="54" t="inlineStr">
        <is>
          <t>CA</t>
        </is>
      </c>
      <c r="C830" s="54" t="inlineStr">
        <is>
          <t>B0D9QTXKQ8</t>
        </is>
      </c>
      <c r="D830" s="54" t="n"/>
      <c r="E830" s="54" t="inlineStr">
        <is>
          <t>Twin</t>
        </is>
      </c>
      <c r="F830" s="54" t="inlineStr">
        <is>
          <t>Lavender</t>
        </is>
      </c>
      <c r="G830" s="55" t="n">
        <v>5</v>
      </c>
      <c r="H830" s="167" t="n">
        <v>114.06</v>
      </c>
      <c r="I830" s="167" t="n">
        <v>0</v>
      </c>
      <c r="J830" s="171">
        <f>IF(AND(N(G830)&gt;0,N(H830)+N(I830)&gt;0),(H830+I830)*U830/G830,"")</f>
        <v/>
      </c>
      <c r="K830" s="172" t="n">
        <v>39.99</v>
      </c>
      <c r="L830" s="172" t="n">
        <v>35.99</v>
      </c>
      <c r="M830" s="54" t="inlineStr">
        <is>
          <t>Eligible</t>
        </is>
      </c>
      <c r="N830" s="171">
        <f>IF(OR(J830="",L830=""),"",L830-J830)</f>
        <v/>
      </c>
      <c r="O830" s="169">
        <f>IF(OR(J830="",L830=""),"",L830/J830-1)</f>
        <v/>
      </c>
      <c r="P830" s="169">
        <f>IF(OR(J830="",K830=""),"",K830/J830-1)</f>
        <v/>
      </c>
      <c r="Q830" s="54">
        <f>IF(AND(ISNUMBER(J830),ISNUMBER(L830)),1,0)</f>
        <v/>
      </c>
      <c r="R830" s="69">
        <f>IF(Q830=1,G830*L830,0)</f>
        <v/>
      </c>
      <c r="S830" s="69">
        <f>IF(Q830=1,(H830+I830)*U830,0)</f>
        <v/>
      </c>
      <c r="T830" s="59">
        <f>IF(Q830=1,G830,0)</f>
        <v/>
      </c>
      <c r="U830" s="170">
        <f>$G$3</f>
        <v/>
      </c>
    </row>
    <row r="831">
      <c r="A831" s="54" t="inlineStr">
        <is>
          <t>CA DC S6</t>
        </is>
      </c>
      <c r="B831" s="54" t="inlineStr">
        <is>
          <t>CA</t>
        </is>
      </c>
      <c r="C831" s="54" t="inlineStr">
        <is>
          <t>B0C7FK2H2W</t>
        </is>
      </c>
      <c r="D831" s="54" t="inlineStr">
        <is>
          <t>SATIN-RED-TWIN-6PCS</t>
        </is>
      </c>
      <c r="E831" s="54" t="inlineStr">
        <is>
          <t>Twin</t>
        </is>
      </c>
      <c r="F831" s="54" t="inlineStr">
        <is>
          <t>Red</t>
        </is>
      </c>
      <c r="G831" s="55" t="n">
        <v>5</v>
      </c>
      <c r="H831" s="167" t="n">
        <v>100.17</v>
      </c>
      <c r="I831" s="167" t="n">
        <v>0</v>
      </c>
      <c r="J831" s="171">
        <f>IF(AND(N(G831)&gt;0,N(H831)+N(I831)&gt;0),(H831+I831)*U831/G831,"")</f>
        <v/>
      </c>
      <c r="K831" s="172" t="n">
        <v>39.99</v>
      </c>
      <c r="L831" s="172" t="n">
        <v>39.99</v>
      </c>
      <c r="M831" s="54" t="inlineStr">
        <is>
          <t>Eligible</t>
        </is>
      </c>
      <c r="N831" s="171">
        <f>IF(OR(J831="",L831=""),"",L831-J831)</f>
        <v/>
      </c>
      <c r="O831" s="169">
        <f>IF(OR(J831="",L831=""),"",L831/J831-1)</f>
        <v/>
      </c>
      <c r="P831" s="169">
        <f>IF(OR(J831="",K831=""),"",K831/J831-1)</f>
        <v/>
      </c>
      <c r="Q831" s="54">
        <f>IF(AND(ISNUMBER(J831),ISNUMBER(L831)),1,0)</f>
        <v/>
      </c>
      <c r="R831" s="69">
        <f>IF(Q831=1,G831*L831,0)</f>
        <v/>
      </c>
      <c r="S831" s="69">
        <f>IF(Q831=1,(H831+I831)*U831,0)</f>
        <v/>
      </c>
      <c r="T831" s="59">
        <f>IF(Q831=1,G831,0)</f>
        <v/>
      </c>
      <c r="U831" s="170">
        <f>$G$3</f>
        <v/>
      </c>
    </row>
    <row r="832">
      <c r="A832" s="54" t="inlineStr">
        <is>
          <t>CA DC S6</t>
        </is>
      </c>
      <c r="B832" s="54" t="inlineStr">
        <is>
          <t>CA</t>
        </is>
      </c>
      <c r="C832" s="54" t="inlineStr">
        <is>
          <t>B0C7K6WTJ1</t>
        </is>
      </c>
      <c r="D832" s="54" t="inlineStr">
        <is>
          <t>SATIN-STRIPE-TWIN-BLACK--6-PCS</t>
        </is>
      </c>
      <c r="E832" s="54" t="inlineStr">
        <is>
          <t>Twin</t>
        </is>
      </c>
      <c r="F832" s="54" t="inlineStr">
        <is>
          <t>Striped Black</t>
        </is>
      </c>
      <c r="G832" s="55" t="n">
        <v>5</v>
      </c>
      <c r="H832" s="167" t="n">
        <v>100.32</v>
      </c>
      <c r="I832" s="167" t="n">
        <v>0</v>
      </c>
      <c r="J832" s="171">
        <f>IF(AND(N(G832)&gt;0,N(H832)+N(I832)&gt;0),(H832+I832)*U832/G832,"")</f>
        <v/>
      </c>
      <c r="K832" s="172" t="n">
        <v>39.99</v>
      </c>
      <c r="L832" s="172" t="n">
        <v>34.18</v>
      </c>
      <c r="M832" s="54" t="inlineStr">
        <is>
          <t>Eligible</t>
        </is>
      </c>
      <c r="N832" s="171">
        <f>IF(OR(J832="",L832=""),"",L832-J832)</f>
        <v/>
      </c>
      <c r="O832" s="169">
        <f>IF(OR(J832="",L832=""),"",L832/J832-1)</f>
        <v/>
      </c>
      <c r="P832" s="169">
        <f>IF(OR(J832="",K832=""),"",K832/J832-1)</f>
        <v/>
      </c>
      <c r="Q832" s="54">
        <f>IF(AND(ISNUMBER(J832),ISNUMBER(L832)),1,0)</f>
        <v/>
      </c>
      <c r="R832" s="69">
        <f>IF(Q832=1,G832*L832,0)</f>
        <v/>
      </c>
      <c r="S832" s="69">
        <f>IF(Q832=1,(H832+I832)*U832,0)</f>
        <v/>
      </c>
      <c r="T832" s="59">
        <f>IF(Q832=1,G832,0)</f>
        <v/>
      </c>
      <c r="U832" s="170">
        <f>$G$3</f>
        <v/>
      </c>
    </row>
    <row r="833">
      <c r="A833" s="54" t="inlineStr">
        <is>
          <t>CA DC S6</t>
        </is>
      </c>
      <c r="B833" s="54" t="inlineStr">
        <is>
          <t>CA</t>
        </is>
      </c>
      <c r="C833" s="54" t="inlineStr">
        <is>
          <t>B0D9QSG9LD</t>
        </is>
      </c>
      <c r="D833" s="54" t="inlineStr">
        <is>
          <t>SATIN-6PC-KING-BLUSH PINK</t>
        </is>
      </c>
      <c r="E833" s="54" t="inlineStr">
        <is>
          <t>King</t>
        </is>
      </c>
      <c r="F833" s="54" t="inlineStr">
        <is>
          <t>Blush Pink</t>
        </is>
      </c>
      <c r="G833" s="55" t="n">
        <v>4</v>
      </c>
      <c r="H833" s="167" t="n">
        <v>113.62</v>
      </c>
      <c r="I833" s="167" t="n">
        <v>0</v>
      </c>
      <c r="J833" s="171">
        <f>IF(AND(N(G833)&gt;0,N(H833)+N(I833)&gt;0),(H833+I833)*U833/G833,"")</f>
        <v/>
      </c>
      <c r="K833" s="172" t="n">
        <v>49.99</v>
      </c>
      <c r="L833" s="172" t="n">
        <v>44.99</v>
      </c>
      <c r="M833" s="54" t="inlineStr">
        <is>
          <t>Eligible</t>
        </is>
      </c>
      <c r="N833" s="171">
        <f>IF(OR(J833="",L833=""),"",L833-J833)</f>
        <v/>
      </c>
      <c r="O833" s="169">
        <f>IF(OR(J833="",L833=""),"",L833/J833-1)</f>
        <v/>
      </c>
      <c r="P833" s="169">
        <f>IF(OR(J833="",K833=""),"",K833/J833-1)</f>
        <v/>
      </c>
      <c r="Q833" s="54">
        <f>IF(AND(ISNUMBER(J833),ISNUMBER(L833)),1,0)</f>
        <v/>
      </c>
      <c r="R833" s="69">
        <f>IF(Q833=1,G833*L833,0)</f>
        <v/>
      </c>
      <c r="S833" s="69">
        <f>IF(Q833=1,(H833+I833)*U833,0)</f>
        <v/>
      </c>
      <c r="T833" s="59">
        <f>IF(Q833=1,G833,0)</f>
        <v/>
      </c>
      <c r="U833" s="170">
        <f>$G$3</f>
        <v/>
      </c>
    </row>
    <row r="834">
      <c r="A834" s="54" t="inlineStr">
        <is>
          <t>CA DC S6</t>
        </is>
      </c>
      <c r="B834" s="54" t="inlineStr">
        <is>
          <t>CA</t>
        </is>
      </c>
      <c r="C834" s="54" t="inlineStr">
        <is>
          <t>B0D9QSG8V3</t>
        </is>
      </c>
      <c r="D834" s="54" t="inlineStr">
        <is>
          <t>SATIN-6PC-KING-DARK GREEN</t>
        </is>
      </c>
      <c r="E834" s="54" t="inlineStr">
        <is>
          <t>King</t>
        </is>
      </c>
      <c r="F834" s="54" t="inlineStr">
        <is>
          <t>Dark Green</t>
        </is>
      </c>
      <c r="G834" s="55" t="n">
        <v>4</v>
      </c>
      <c r="H834" s="167" t="n">
        <v>113.8</v>
      </c>
      <c r="I834" s="167" t="n">
        <v>0</v>
      </c>
      <c r="J834" s="171">
        <f>IF(AND(N(G834)&gt;0,N(H834)+N(I834)&gt;0),(H834+I834)*U834/G834,"")</f>
        <v/>
      </c>
      <c r="K834" s="172" t="n">
        <v>49.99</v>
      </c>
      <c r="L834" s="172" t="n"/>
      <c r="M834" s="54" t="inlineStr">
        <is>
          <t>Out of stock</t>
        </is>
      </c>
      <c r="N834" s="171">
        <f>IF(OR(J834="",L834=""),"",L834-J834)</f>
        <v/>
      </c>
      <c r="O834" s="169">
        <f>IF(OR(J834="",L834=""),"",L834/J834-1)</f>
        <v/>
      </c>
      <c r="P834" s="169">
        <f>IF(OR(J834="",K834=""),"",K834/J834-1)</f>
        <v/>
      </c>
      <c r="Q834" s="54">
        <f>IF(AND(ISNUMBER(J834),ISNUMBER(L834)),1,0)</f>
        <v/>
      </c>
      <c r="R834" s="69">
        <f>IF(Q834=1,G834*L834,0)</f>
        <v/>
      </c>
      <c r="S834" s="69">
        <f>IF(Q834=1,(H834+I834)*U834,0)</f>
        <v/>
      </c>
      <c r="T834" s="59">
        <f>IF(Q834=1,G834,0)</f>
        <v/>
      </c>
      <c r="U834" s="170">
        <f>$G$3</f>
        <v/>
      </c>
    </row>
    <row r="835">
      <c r="A835" s="54" t="inlineStr">
        <is>
          <t>CA DC S6</t>
        </is>
      </c>
      <c r="B835" s="54" t="inlineStr">
        <is>
          <t>CA</t>
        </is>
      </c>
      <c r="C835" s="54" t="inlineStr">
        <is>
          <t>B0C7FFM7L9</t>
        </is>
      </c>
      <c r="D835" s="54" t="inlineStr">
        <is>
          <t>SATIN-TWIN-BLUE-6PCS</t>
        </is>
      </c>
      <c r="E835" s="54" t="inlineStr">
        <is>
          <t>Twin</t>
        </is>
      </c>
      <c r="F835" s="54" t="inlineStr">
        <is>
          <t>Blue</t>
        </is>
      </c>
      <c r="G835" s="55" t="n">
        <v>4</v>
      </c>
      <c r="H835" s="167" t="n">
        <v>80.05</v>
      </c>
      <c r="I835" s="167" t="n">
        <v>0</v>
      </c>
      <c r="J835" s="171">
        <f>IF(AND(N(G835)&gt;0,N(H835)+N(I835)&gt;0),(H835+I835)*U835/G835,"")</f>
        <v/>
      </c>
      <c r="K835" s="172" t="n">
        <v>39.99</v>
      </c>
      <c r="L835" s="172" t="n">
        <v>39.99</v>
      </c>
      <c r="M835" s="54" t="inlineStr">
        <is>
          <t>Eligible</t>
        </is>
      </c>
      <c r="N835" s="171">
        <f>IF(OR(J835="",L835=""),"",L835-J835)</f>
        <v/>
      </c>
      <c r="O835" s="169">
        <f>IF(OR(J835="",L835=""),"",L835/J835-1)</f>
        <v/>
      </c>
      <c r="P835" s="169">
        <f>IF(OR(J835="",K835=""),"",K835/J835-1)</f>
        <v/>
      </c>
      <c r="Q835" s="54">
        <f>IF(AND(ISNUMBER(J835),ISNUMBER(L835)),1,0)</f>
        <v/>
      </c>
      <c r="R835" s="69">
        <f>IF(Q835=1,G835*L835,0)</f>
        <v/>
      </c>
      <c r="S835" s="69">
        <f>IF(Q835=1,(H835+I835)*U835,0)</f>
        <v/>
      </c>
      <c r="T835" s="59">
        <f>IF(Q835=1,G835,0)</f>
        <v/>
      </c>
      <c r="U835" s="170">
        <f>$G$3</f>
        <v/>
      </c>
    </row>
    <row r="836">
      <c r="A836" s="54" t="inlineStr">
        <is>
          <t>CA DC S6</t>
        </is>
      </c>
      <c r="B836" s="54" t="inlineStr">
        <is>
          <t>CA</t>
        </is>
      </c>
      <c r="C836" s="54" t="inlineStr">
        <is>
          <t>B0D9QRPTXQ</t>
        </is>
      </c>
      <c r="D836" s="54" t="n"/>
      <c r="E836" s="54" t="inlineStr">
        <is>
          <t>Twin</t>
        </is>
      </c>
      <c r="F836" s="54" t="inlineStr">
        <is>
          <t>Dark Green</t>
        </is>
      </c>
      <c r="G836" s="55" t="n">
        <v>4</v>
      </c>
      <c r="H836" s="167" t="n">
        <v>90.86</v>
      </c>
      <c r="I836" s="167" t="n">
        <v>0</v>
      </c>
      <c r="J836" s="171">
        <f>IF(AND(N(G836)&gt;0,N(H836)+N(I836)&gt;0),(H836+I836)*U836/G836,"")</f>
        <v/>
      </c>
      <c r="K836" s="172" t="n">
        <v>39.99</v>
      </c>
      <c r="L836" s="172" t="n">
        <v>37.99</v>
      </c>
      <c r="M836" s="54" t="inlineStr">
        <is>
          <t>Eligible</t>
        </is>
      </c>
      <c r="N836" s="171">
        <f>IF(OR(J836="",L836=""),"",L836-J836)</f>
        <v/>
      </c>
      <c r="O836" s="169">
        <f>IF(OR(J836="",L836=""),"",L836/J836-1)</f>
        <v/>
      </c>
      <c r="P836" s="169">
        <f>IF(OR(J836="",K836=""),"",K836/J836-1)</f>
        <v/>
      </c>
      <c r="Q836" s="54">
        <f>IF(AND(ISNUMBER(J836),ISNUMBER(L836)),1,0)</f>
        <v/>
      </c>
      <c r="R836" s="69">
        <f>IF(Q836=1,G836*L836,0)</f>
        <v/>
      </c>
      <c r="S836" s="69">
        <f>IF(Q836=1,(H836+I836)*U836,0)</f>
        <v/>
      </c>
      <c r="T836" s="59">
        <f>IF(Q836=1,G836,0)</f>
        <v/>
      </c>
      <c r="U836" s="170">
        <f>$G$3</f>
        <v/>
      </c>
    </row>
    <row r="837">
      <c r="A837" s="54" t="inlineStr">
        <is>
          <t>CA DC S6</t>
        </is>
      </c>
      <c r="B837" s="54" t="inlineStr">
        <is>
          <t>CA</t>
        </is>
      </c>
      <c r="C837" s="54" t="inlineStr">
        <is>
          <t>B0D9QRNBSH</t>
        </is>
      </c>
      <c r="D837" s="54" t="inlineStr">
        <is>
          <t>SATIN-6PC-FULL-BURNT ORANGE</t>
        </is>
      </c>
      <c r="E837" s="54" t="inlineStr">
        <is>
          <t>Full</t>
        </is>
      </c>
      <c r="F837" s="54" t="inlineStr">
        <is>
          <t>Burnt Orange</t>
        </is>
      </c>
      <c r="G837" s="55" t="n">
        <v>3</v>
      </c>
      <c r="H837" s="167" t="n">
        <v>76.78</v>
      </c>
      <c r="I837" s="167" t="n">
        <v>0</v>
      </c>
      <c r="J837" s="171">
        <f>IF(AND(N(G837)&gt;0,N(H837)+N(I837)&gt;0),(H837+I837)*U837/G837,"")</f>
        <v/>
      </c>
      <c r="K837" s="172" t="n">
        <v>44.99</v>
      </c>
      <c r="L837" s="172" t="n">
        <v>42.74</v>
      </c>
      <c r="M837" s="54" t="inlineStr">
        <is>
          <t>Eligible</t>
        </is>
      </c>
      <c r="N837" s="171">
        <f>IF(OR(J837="",L837=""),"",L837-J837)</f>
        <v/>
      </c>
      <c r="O837" s="169">
        <f>IF(OR(J837="",L837=""),"",L837/J837-1)</f>
        <v/>
      </c>
      <c r="P837" s="169">
        <f>IF(OR(J837="",K837=""),"",K837/J837-1)</f>
        <v/>
      </c>
      <c r="Q837" s="54">
        <f>IF(AND(ISNUMBER(J837),ISNUMBER(L837)),1,0)</f>
        <v/>
      </c>
      <c r="R837" s="69">
        <f>IF(Q837=1,G837*L837,0)</f>
        <v/>
      </c>
      <c r="S837" s="69">
        <f>IF(Q837=1,(H837+I837)*U837,0)</f>
        <v/>
      </c>
      <c r="T837" s="59">
        <f>IF(Q837=1,G837,0)</f>
        <v/>
      </c>
      <c r="U837" s="170">
        <f>$G$3</f>
        <v/>
      </c>
    </row>
    <row r="838">
      <c r="A838" s="54" t="inlineStr">
        <is>
          <t>CA DC S6</t>
        </is>
      </c>
      <c r="B838" s="54" t="inlineStr">
        <is>
          <t>CA</t>
        </is>
      </c>
      <c r="C838" s="54" t="inlineStr">
        <is>
          <t>B0C7FSXPC5</t>
        </is>
      </c>
      <c r="D838" s="54" t="inlineStr">
        <is>
          <t>SATIN-CHAMPAGNE-FULL-6PCS</t>
        </is>
      </c>
      <c r="E838" s="54" t="inlineStr">
        <is>
          <t>Full</t>
        </is>
      </c>
      <c r="F838" s="54" t="inlineStr">
        <is>
          <t>Champagne</t>
        </is>
      </c>
      <c r="G838" s="55" t="n">
        <v>3</v>
      </c>
      <c r="H838" s="167" t="n">
        <v>76.78</v>
      </c>
      <c r="I838" s="167" t="n">
        <v>0</v>
      </c>
      <c r="J838" s="171">
        <f>IF(AND(N(G838)&gt;0,N(H838)+N(I838)&gt;0),(H838+I838)*U838/G838,"")</f>
        <v/>
      </c>
      <c r="K838" s="172" t="n">
        <v>44.99</v>
      </c>
      <c r="L838" s="172" t="n">
        <v>40.49</v>
      </c>
      <c r="M838" s="54" t="inlineStr">
        <is>
          <t>Eligible</t>
        </is>
      </c>
      <c r="N838" s="171">
        <f>IF(OR(J838="",L838=""),"",L838-J838)</f>
        <v/>
      </c>
      <c r="O838" s="169">
        <f>IF(OR(J838="",L838=""),"",L838/J838-1)</f>
        <v/>
      </c>
      <c r="P838" s="169">
        <f>IF(OR(J838="",K838=""),"",K838/J838-1)</f>
        <v/>
      </c>
      <c r="Q838" s="54">
        <f>IF(AND(ISNUMBER(J838),ISNUMBER(L838)),1,0)</f>
        <v/>
      </c>
      <c r="R838" s="69">
        <f>IF(Q838=1,G838*L838,0)</f>
        <v/>
      </c>
      <c r="S838" s="69">
        <f>IF(Q838=1,(H838+I838)*U838,0)</f>
        <v/>
      </c>
      <c r="T838" s="59">
        <f>IF(Q838=1,G838,0)</f>
        <v/>
      </c>
      <c r="U838" s="170">
        <f>$G$3</f>
        <v/>
      </c>
    </row>
    <row r="839">
      <c r="A839" s="54" t="inlineStr">
        <is>
          <t>CA DC S6</t>
        </is>
      </c>
      <c r="B839" s="54" t="inlineStr">
        <is>
          <t>CA</t>
        </is>
      </c>
      <c r="C839" s="54" t="inlineStr">
        <is>
          <t>B0C7K7YWH2</t>
        </is>
      </c>
      <c r="D839" s="54" t="inlineStr">
        <is>
          <t>SATIN-STRIPE-FULL-PINK--6--PCS</t>
        </is>
      </c>
      <c r="E839" s="54" t="inlineStr">
        <is>
          <t>Full</t>
        </is>
      </c>
      <c r="F839" s="54" t="inlineStr">
        <is>
          <t>Striped Pink</t>
        </is>
      </c>
      <c r="G839" s="55" t="n">
        <v>3</v>
      </c>
      <c r="H839" s="167" t="n">
        <v>76.63</v>
      </c>
      <c r="I839" s="167" t="n">
        <v>0</v>
      </c>
      <c r="J839" s="171">
        <f>IF(AND(N(G839)&gt;0,N(H839)+N(I839)&gt;0),(H839+I839)*U839/G839,"")</f>
        <v/>
      </c>
      <c r="K839" s="172" t="n">
        <v>44.99</v>
      </c>
      <c r="L839" s="172" t="n"/>
      <c r="M839" s="54" t="inlineStr">
        <is>
          <t>Out of stock</t>
        </is>
      </c>
      <c r="N839" s="171">
        <f>IF(OR(J839="",L839=""),"",L839-J839)</f>
        <v/>
      </c>
      <c r="O839" s="169">
        <f>IF(OR(J839="",L839=""),"",L839/J839-1)</f>
        <v/>
      </c>
      <c r="P839" s="169">
        <f>IF(OR(J839="",K839=""),"",K839/J839-1)</f>
        <v/>
      </c>
      <c r="Q839" s="54">
        <f>IF(AND(ISNUMBER(J839),ISNUMBER(L839)),1,0)</f>
        <v/>
      </c>
      <c r="R839" s="69">
        <f>IF(Q839=1,G839*L839,0)</f>
        <v/>
      </c>
      <c r="S839" s="69">
        <f>IF(Q839=1,(H839+I839)*U839,0)</f>
        <v/>
      </c>
      <c r="T839" s="59">
        <f>IF(Q839=1,G839,0)</f>
        <v/>
      </c>
      <c r="U839" s="170">
        <f>$G$3</f>
        <v/>
      </c>
    </row>
    <row r="840">
      <c r="A840" s="54" t="inlineStr">
        <is>
          <t>CA DC S6</t>
        </is>
      </c>
      <c r="B840" s="54" t="inlineStr">
        <is>
          <t>CA</t>
        </is>
      </c>
      <c r="C840" s="54" t="inlineStr">
        <is>
          <t>B0C7K2B1Y3</t>
        </is>
      </c>
      <c r="D840" s="54" t="inlineStr">
        <is>
          <t>SATIN-STRIPE-FULL-WHITE--6-PCS</t>
        </is>
      </c>
      <c r="E840" s="54" t="inlineStr">
        <is>
          <t>Full</t>
        </is>
      </c>
      <c r="F840" s="54" t="inlineStr">
        <is>
          <t>Striped White</t>
        </is>
      </c>
      <c r="G840" s="55" t="n">
        <v>3</v>
      </c>
      <c r="H840" s="167" t="n">
        <v>76.84</v>
      </c>
      <c r="I840" s="167" t="n">
        <v>0</v>
      </c>
      <c r="J840" s="171">
        <f>IF(AND(N(G840)&gt;0,N(H840)+N(I840)&gt;0),(H840+I840)*U840/G840,"")</f>
        <v/>
      </c>
      <c r="K840" s="172" t="n">
        <v>44.99</v>
      </c>
      <c r="L840" s="172" t="n"/>
      <c r="M840" s="54" t="inlineStr">
        <is>
          <t>No reference price</t>
        </is>
      </c>
      <c r="N840" s="171">
        <f>IF(OR(J840="",L840=""),"",L840-J840)</f>
        <v/>
      </c>
      <c r="O840" s="169">
        <f>IF(OR(J840="",L840=""),"",L840/J840-1)</f>
        <v/>
      </c>
      <c r="P840" s="169">
        <f>IF(OR(J840="",K840=""),"",K840/J840-1)</f>
        <v/>
      </c>
      <c r="Q840" s="54">
        <f>IF(AND(ISNUMBER(J840),ISNUMBER(L840)),1,0)</f>
        <v/>
      </c>
      <c r="R840" s="69">
        <f>IF(Q840=1,G840*L840,0)</f>
        <v/>
      </c>
      <c r="S840" s="69">
        <f>IF(Q840=1,(H840+I840)*U840,0)</f>
        <v/>
      </c>
      <c r="T840" s="59">
        <f>IF(Q840=1,G840,0)</f>
        <v/>
      </c>
      <c r="U840" s="170">
        <f>$G$3</f>
        <v/>
      </c>
    </row>
    <row r="841">
      <c r="A841" s="54" t="inlineStr">
        <is>
          <t>CA DC S6</t>
        </is>
      </c>
      <c r="B841" s="54" t="inlineStr">
        <is>
          <t>CA</t>
        </is>
      </c>
      <c r="C841" s="54" t="inlineStr">
        <is>
          <t>B0D9QTXKQD</t>
        </is>
      </c>
      <c r="D841" s="54" t="inlineStr">
        <is>
          <t>SATIN-6PC-KING-BURNT ORANGE</t>
        </is>
      </c>
      <c r="E841" s="54" t="inlineStr">
        <is>
          <t>King</t>
        </is>
      </c>
      <c r="F841" s="54" t="inlineStr">
        <is>
          <t>Burnt Orange</t>
        </is>
      </c>
      <c r="G841" s="55" t="n">
        <v>3</v>
      </c>
      <c r="H841" s="167" t="n">
        <v>85.42</v>
      </c>
      <c r="I841" s="167" t="n">
        <v>0</v>
      </c>
      <c r="J841" s="171">
        <f>IF(AND(N(G841)&gt;0,N(H841)+N(I841)&gt;0),(H841+I841)*U841/G841,"")</f>
        <v/>
      </c>
      <c r="K841" s="172" t="n">
        <v>49.99</v>
      </c>
      <c r="L841" s="172" t="n">
        <v>47.49</v>
      </c>
      <c r="M841" s="54" t="inlineStr">
        <is>
          <t>Eligible</t>
        </is>
      </c>
      <c r="N841" s="171">
        <f>IF(OR(J841="",L841=""),"",L841-J841)</f>
        <v/>
      </c>
      <c r="O841" s="169">
        <f>IF(OR(J841="",L841=""),"",L841/J841-1)</f>
        <v/>
      </c>
      <c r="P841" s="169">
        <f>IF(OR(J841="",K841=""),"",K841/J841-1)</f>
        <v/>
      </c>
      <c r="Q841" s="54">
        <f>IF(AND(ISNUMBER(J841),ISNUMBER(L841)),1,0)</f>
        <v/>
      </c>
      <c r="R841" s="69">
        <f>IF(Q841=1,G841*L841,0)</f>
        <v/>
      </c>
      <c r="S841" s="69">
        <f>IF(Q841=1,(H841+I841)*U841,0)</f>
        <v/>
      </c>
      <c r="T841" s="59">
        <f>IF(Q841=1,G841,0)</f>
        <v/>
      </c>
      <c r="U841" s="170">
        <f>$G$3</f>
        <v/>
      </c>
    </row>
    <row r="842">
      <c r="A842" s="54" t="inlineStr">
        <is>
          <t>CA DC S6</t>
        </is>
      </c>
      <c r="B842" s="54" t="inlineStr">
        <is>
          <t>CA</t>
        </is>
      </c>
      <c r="C842" s="54" t="inlineStr">
        <is>
          <t>B0C7KBKH28</t>
        </is>
      </c>
      <c r="D842" s="54" t="inlineStr">
        <is>
          <t>SATIN-STRIPE-KING-BLUE--6-PCS</t>
        </is>
      </c>
      <c r="E842" s="54" t="inlineStr">
        <is>
          <t>King</t>
        </is>
      </c>
      <c r="F842" s="54" t="inlineStr">
        <is>
          <t>Striped Blue</t>
        </is>
      </c>
      <c r="G842" s="55" t="n">
        <v>3</v>
      </c>
      <c r="H842" s="167" t="n">
        <v>85.01000000000001</v>
      </c>
      <c r="I842" s="167" t="n">
        <v>0</v>
      </c>
      <c r="J842" s="171">
        <f>IF(AND(N(G842)&gt;0,N(H842)+N(I842)&gt;0),(H842+I842)*U842/G842,"")</f>
        <v/>
      </c>
      <c r="K842" s="172" t="n">
        <v>49.99</v>
      </c>
      <c r="L842" s="172" t="n"/>
      <c r="M842" s="54" t="inlineStr">
        <is>
          <t>Out of stock</t>
        </is>
      </c>
      <c r="N842" s="171">
        <f>IF(OR(J842="",L842=""),"",L842-J842)</f>
        <v/>
      </c>
      <c r="O842" s="169">
        <f>IF(OR(J842="",L842=""),"",L842/J842-1)</f>
        <v/>
      </c>
      <c r="P842" s="169">
        <f>IF(OR(J842="",K842=""),"",K842/J842-1)</f>
        <v/>
      </c>
      <c r="Q842" s="54">
        <f>IF(AND(ISNUMBER(J842),ISNUMBER(L842)),1,0)</f>
        <v/>
      </c>
      <c r="R842" s="69">
        <f>IF(Q842=1,G842*L842,0)</f>
        <v/>
      </c>
      <c r="S842" s="69">
        <f>IF(Q842=1,(H842+I842)*U842,0)</f>
        <v/>
      </c>
      <c r="T842" s="59">
        <f>IF(Q842=1,G842,0)</f>
        <v/>
      </c>
      <c r="U842" s="170">
        <f>$G$3</f>
        <v/>
      </c>
    </row>
    <row r="843">
      <c r="A843" s="54" t="inlineStr">
        <is>
          <t>CA DC S6</t>
        </is>
      </c>
      <c r="B843" s="54" t="inlineStr">
        <is>
          <t>CA</t>
        </is>
      </c>
      <c r="C843" s="54" t="inlineStr">
        <is>
          <t>B0C7FNXRJF</t>
        </is>
      </c>
      <c r="D843" s="54" t="inlineStr">
        <is>
          <t>SATIN-TAUPE-KING-6PCS</t>
        </is>
      </c>
      <c r="E843" s="54" t="inlineStr">
        <is>
          <t>King</t>
        </is>
      </c>
      <c r="F843" s="54" t="inlineStr">
        <is>
          <t>Taupe</t>
        </is>
      </c>
      <c r="G843" s="55" t="n">
        <v>3</v>
      </c>
      <c r="H843" s="167" t="n">
        <v>85.83</v>
      </c>
      <c r="I843" s="167" t="n">
        <v>0</v>
      </c>
      <c r="J843" s="171">
        <f>IF(AND(N(G843)&gt;0,N(H843)+N(I843)&gt;0),(H843+I843)*U843/G843,"")</f>
        <v/>
      </c>
      <c r="K843" s="172" t="n">
        <v>49.99</v>
      </c>
      <c r="L843" s="172" t="n">
        <v>47.49</v>
      </c>
      <c r="M843" s="54" t="inlineStr">
        <is>
          <t>Eligible</t>
        </is>
      </c>
      <c r="N843" s="171">
        <f>IF(OR(J843="",L843=""),"",L843-J843)</f>
        <v/>
      </c>
      <c r="O843" s="169">
        <f>IF(OR(J843="",L843=""),"",L843/J843-1)</f>
        <v/>
      </c>
      <c r="P843" s="169">
        <f>IF(OR(J843="",K843=""),"",K843/J843-1)</f>
        <v/>
      </c>
      <c r="Q843" s="54">
        <f>IF(AND(ISNUMBER(J843),ISNUMBER(L843)),1,0)</f>
        <v/>
      </c>
      <c r="R843" s="69">
        <f>IF(Q843=1,G843*L843,0)</f>
        <v/>
      </c>
      <c r="S843" s="69">
        <f>IF(Q843=1,(H843+I843)*U843,0)</f>
        <v/>
      </c>
      <c r="T843" s="59">
        <f>IF(Q843=1,G843,0)</f>
        <v/>
      </c>
      <c r="U843" s="170">
        <f>$G$3</f>
        <v/>
      </c>
    </row>
    <row r="844">
      <c r="A844" s="54" t="inlineStr">
        <is>
          <t>CA DC S6</t>
        </is>
      </c>
      <c r="B844" s="54" t="inlineStr">
        <is>
          <t>CA</t>
        </is>
      </c>
      <c r="C844" s="54" t="inlineStr">
        <is>
          <t>B0C7FM1K6P</t>
        </is>
      </c>
      <c r="D844" s="54" t="inlineStr">
        <is>
          <t>SATIN-IVORY-TWIN-6PCS</t>
        </is>
      </c>
      <c r="E844" s="54" t="inlineStr">
        <is>
          <t>Twin</t>
        </is>
      </c>
      <c r="F844" s="54" t="inlineStr">
        <is>
          <t>Ivory</t>
        </is>
      </c>
      <c r="G844" s="55" t="n">
        <v>3</v>
      </c>
      <c r="H844" s="167" t="n">
        <v>68.52</v>
      </c>
      <c r="I844" s="167" t="n">
        <v>0</v>
      </c>
      <c r="J844" s="171">
        <f>IF(AND(N(G844)&gt;0,N(H844)+N(I844)&gt;0),(H844+I844)*U844/G844,"")</f>
        <v/>
      </c>
      <c r="K844" s="172" t="n">
        <v>39.99</v>
      </c>
      <c r="L844" s="172" t="n">
        <v>39.99</v>
      </c>
      <c r="M844" s="54" t="inlineStr">
        <is>
          <t>Eligible</t>
        </is>
      </c>
      <c r="N844" s="171">
        <f>IF(OR(J844="",L844=""),"",L844-J844)</f>
        <v/>
      </c>
      <c r="O844" s="169">
        <f>IF(OR(J844="",L844=""),"",L844/J844-1)</f>
        <v/>
      </c>
      <c r="P844" s="169">
        <f>IF(OR(J844="",K844=""),"",K844/J844-1)</f>
        <v/>
      </c>
      <c r="Q844" s="54">
        <f>IF(AND(ISNUMBER(J844),ISNUMBER(L844)),1,0)</f>
        <v/>
      </c>
      <c r="R844" s="69">
        <f>IF(Q844=1,G844*L844,0)</f>
        <v/>
      </c>
      <c r="S844" s="69">
        <f>IF(Q844=1,(H844+I844)*U844,0)</f>
        <v/>
      </c>
      <c r="T844" s="59">
        <f>IF(Q844=1,G844,0)</f>
        <v/>
      </c>
      <c r="U844" s="170">
        <f>$G$3</f>
        <v/>
      </c>
    </row>
    <row r="845">
      <c r="A845" s="54" t="inlineStr">
        <is>
          <t>CA DC S6</t>
        </is>
      </c>
      <c r="B845" s="54" t="inlineStr">
        <is>
          <t>CA</t>
        </is>
      </c>
      <c r="C845" s="54" t="inlineStr">
        <is>
          <t>B0C7K6YWWL</t>
        </is>
      </c>
      <c r="D845" s="54" t="inlineStr">
        <is>
          <t>SATIN-STRIPE-TWIN-PURPLE--6-PCS</t>
        </is>
      </c>
      <c r="E845" s="54" t="inlineStr">
        <is>
          <t>Twin</t>
        </is>
      </c>
      <c r="F845" s="54" t="inlineStr">
        <is>
          <t>Striped Purple</t>
        </is>
      </c>
      <c r="G845" s="55" t="n">
        <v>3</v>
      </c>
      <c r="H845" s="167" t="n">
        <v>68.44</v>
      </c>
      <c r="I845" s="167" t="n">
        <v>0</v>
      </c>
      <c r="J845" s="171">
        <f>IF(AND(N(G845)&gt;0,N(H845)+N(I845)&gt;0),(H845+I845)*U845/G845,"")</f>
        <v/>
      </c>
      <c r="K845" s="172" t="n">
        <v>39.99</v>
      </c>
      <c r="L845" s="172" t="n">
        <v>37.99</v>
      </c>
      <c r="M845" s="54" t="inlineStr">
        <is>
          <t>Eligible</t>
        </is>
      </c>
      <c r="N845" s="171">
        <f>IF(OR(J845="",L845=""),"",L845-J845)</f>
        <v/>
      </c>
      <c r="O845" s="169">
        <f>IF(OR(J845="",L845=""),"",L845/J845-1)</f>
        <v/>
      </c>
      <c r="P845" s="169">
        <f>IF(OR(J845="",K845=""),"",K845/J845-1)</f>
        <v/>
      </c>
      <c r="Q845" s="54">
        <f>IF(AND(ISNUMBER(J845),ISNUMBER(L845)),1,0)</f>
        <v/>
      </c>
      <c r="R845" s="69">
        <f>IF(Q845=1,G845*L845,0)</f>
        <v/>
      </c>
      <c r="S845" s="69">
        <f>IF(Q845=1,(H845+I845)*U845,0)</f>
        <v/>
      </c>
      <c r="T845" s="59">
        <f>IF(Q845=1,G845,0)</f>
        <v/>
      </c>
      <c r="U845" s="170">
        <f>$G$3</f>
        <v/>
      </c>
    </row>
    <row r="846">
      <c r="A846" s="54" t="inlineStr">
        <is>
          <t>CA DC S6</t>
        </is>
      </c>
      <c r="B846" s="54" t="inlineStr">
        <is>
          <t>CA</t>
        </is>
      </c>
      <c r="C846" s="54" t="inlineStr">
        <is>
          <t>B0C7FTBBQB</t>
        </is>
      </c>
      <c r="D846" s="54" t="inlineStr">
        <is>
          <t>SATIN-GOLD-FULL-6PCS</t>
        </is>
      </c>
      <c r="E846" s="54" t="inlineStr">
        <is>
          <t>Full</t>
        </is>
      </c>
      <c r="F846" s="54" t="inlineStr">
        <is>
          <t>Gold</t>
        </is>
      </c>
      <c r="G846" s="55" t="n">
        <v>2</v>
      </c>
      <c r="H846" s="167" t="n">
        <v>51.29</v>
      </c>
      <c r="I846" s="167" t="n">
        <v>0</v>
      </c>
      <c r="J846" s="171">
        <f>IF(AND(N(G846)&gt;0,N(H846)+N(I846)&gt;0),(H846+I846)*U846/G846,"")</f>
        <v/>
      </c>
      <c r="K846" s="172" t="n">
        <v>44.99</v>
      </c>
      <c r="L846" s="172" t="n">
        <v>44.99</v>
      </c>
      <c r="M846" s="54" t="inlineStr">
        <is>
          <t>Eligible</t>
        </is>
      </c>
      <c r="N846" s="171">
        <f>IF(OR(J846="",L846=""),"",L846-J846)</f>
        <v/>
      </c>
      <c r="O846" s="169">
        <f>IF(OR(J846="",L846=""),"",L846/J846-1)</f>
        <v/>
      </c>
      <c r="P846" s="169">
        <f>IF(OR(J846="",K846=""),"",K846/J846-1)</f>
        <v/>
      </c>
      <c r="Q846" s="54">
        <f>IF(AND(ISNUMBER(J846),ISNUMBER(L846)),1,0)</f>
        <v/>
      </c>
      <c r="R846" s="69">
        <f>IF(Q846=1,G846*L846,0)</f>
        <v/>
      </c>
      <c r="S846" s="69">
        <f>IF(Q846=1,(H846+I846)*U846,0)</f>
        <v/>
      </c>
      <c r="T846" s="59">
        <f>IF(Q846=1,G846,0)</f>
        <v/>
      </c>
      <c r="U846" s="170">
        <f>$G$3</f>
        <v/>
      </c>
    </row>
    <row r="847">
      <c r="A847" s="54" t="inlineStr">
        <is>
          <t>CA DC S6</t>
        </is>
      </c>
      <c r="B847" s="54" t="inlineStr">
        <is>
          <t>CA</t>
        </is>
      </c>
      <c r="C847" s="54" t="inlineStr">
        <is>
          <t>B0C7K3WWDT</t>
        </is>
      </c>
      <c r="D847" s="54" t="inlineStr">
        <is>
          <t>SATIN-STRIPE-FULL-PURPLE--6-PCS</t>
        </is>
      </c>
      <c r="E847" s="54" t="inlineStr">
        <is>
          <t>Full</t>
        </is>
      </c>
      <c r="F847" s="54" t="inlineStr">
        <is>
          <t>Striped Purple</t>
        </is>
      </c>
      <c r="G847" s="55" t="n">
        <v>2</v>
      </c>
      <c r="H847" s="167" t="n">
        <v>51.48</v>
      </c>
      <c r="I847" s="167" t="n">
        <v>0</v>
      </c>
      <c r="J847" s="171">
        <f>IF(AND(N(G847)&gt;0,N(H847)+N(I847)&gt;0),(H847+I847)*U847/G847,"")</f>
        <v/>
      </c>
      <c r="K847" s="172" t="n">
        <v>44.99</v>
      </c>
      <c r="L847" s="172" t="n">
        <v>42.74</v>
      </c>
      <c r="M847" s="54" t="inlineStr">
        <is>
          <t>Eligible</t>
        </is>
      </c>
      <c r="N847" s="171">
        <f>IF(OR(J847="",L847=""),"",L847-J847)</f>
        <v/>
      </c>
      <c r="O847" s="169">
        <f>IF(OR(J847="",L847=""),"",L847/J847-1)</f>
        <v/>
      </c>
      <c r="P847" s="169">
        <f>IF(OR(J847="",K847=""),"",K847/J847-1)</f>
        <v/>
      </c>
      <c r="Q847" s="54">
        <f>IF(AND(ISNUMBER(J847),ISNUMBER(L847)),1,0)</f>
        <v/>
      </c>
      <c r="R847" s="69">
        <f>IF(Q847=1,G847*L847,0)</f>
        <v/>
      </c>
      <c r="S847" s="69">
        <f>IF(Q847=1,(H847+I847)*U847,0)</f>
        <v/>
      </c>
      <c r="T847" s="59">
        <f>IF(Q847=1,G847,0)</f>
        <v/>
      </c>
      <c r="U847" s="170">
        <f>$G$3</f>
        <v/>
      </c>
    </row>
    <row r="848">
      <c r="A848" s="54" t="inlineStr">
        <is>
          <t>CA DC S6</t>
        </is>
      </c>
      <c r="B848" s="54" t="inlineStr">
        <is>
          <t>CA</t>
        </is>
      </c>
      <c r="C848" s="54" t="inlineStr">
        <is>
          <t>B0C7KBFK2P</t>
        </is>
      </c>
      <c r="D848" s="54" t="inlineStr">
        <is>
          <t>SATIN-STRIPE-KING-GOLD--6-PCS</t>
        </is>
      </c>
      <c r="E848" s="54" t="inlineStr">
        <is>
          <t>King</t>
        </is>
      </c>
      <c r="F848" s="54" t="inlineStr">
        <is>
          <t>Striped Gold</t>
        </is>
      </c>
      <c r="G848" s="55" t="n">
        <v>2</v>
      </c>
      <c r="H848" s="167" t="n">
        <v>56.71</v>
      </c>
      <c r="I848" s="167" t="n">
        <v>0</v>
      </c>
      <c r="J848" s="171">
        <f>IF(AND(N(G848)&gt;0,N(H848)+N(I848)&gt;0),(H848+I848)*U848/G848,"")</f>
        <v/>
      </c>
      <c r="K848" s="172" t="n">
        <v>49.99</v>
      </c>
      <c r="L848" s="172" t="n"/>
      <c r="M848" s="54" t="inlineStr">
        <is>
          <t>Out of stock</t>
        </is>
      </c>
      <c r="N848" s="171">
        <f>IF(OR(J848="",L848=""),"",L848-J848)</f>
        <v/>
      </c>
      <c r="O848" s="169">
        <f>IF(OR(J848="",L848=""),"",L848/J848-1)</f>
        <v/>
      </c>
      <c r="P848" s="169">
        <f>IF(OR(J848="",K848=""),"",K848/J848-1)</f>
        <v/>
      </c>
      <c r="Q848" s="54">
        <f>IF(AND(ISNUMBER(J848),ISNUMBER(L848)),1,0)</f>
        <v/>
      </c>
      <c r="R848" s="69">
        <f>IF(Q848=1,G848*L848,0)</f>
        <v/>
      </c>
      <c r="S848" s="69">
        <f>IF(Q848=1,(H848+I848)*U848,0)</f>
        <v/>
      </c>
      <c r="T848" s="59">
        <f>IF(Q848=1,G848,0)</f>
        <v/>
      </c>
      <c r="U848" s="170">
        <f>$G$3</f>
        <v/>
      </c>
    </row>
    <row r="849">
      <c r="A849" s="54" t="inlineStr">
        <is>
          <t>CA DC S6</t>
        </is>
      </c>
      <c r="B849" s="54" t="inlineStr">
        <is>
          <t>CA</t>
        </is>
      </c>
      <c r="C849" s="54" t="inlineStr">
        <is>
          <t>B0C7K92CTB</t>
        </is>
      </c>
      <c r="D849" s="54" t="inlineStr">
        <is>
          <t>SATIN-STRIPE-QUEEN-GOLD--6-PCS</t>
        </is>
      </c>
      <c r="E849" s="54" t="inlineStr">
        <is>
          <t>Queen</t>
        </is>
      </c>
      <c r="F849" s="54" t="inlineStr">
        <is>
          <t>Striped Gold</t>
        </is>
      </c>
      <c r="G849" s="55" t="n">
        <v>2</v>
      </c>
      <c r="H849" s="167" t="n">
        <v>55.79</v>
      </c>
      <c r="I849" s="167" t="n">
        <v>0</v>
      </c>
      <c r="J849" s="171">
        <f>IF(AND(N(G849)&gt;0,N(H849)+N(I849)&gt;0),(H849+I849)*U849/G849,"")</f>
        <v/>
      </c>
      <c r="K849" s="172" t="n">
        <v>47.99</v>
      </c>
      <c r="L849" s="172" t="n"/>
      <c r="M849" s="54" t="inlineStr">
        <is>
          <t>No reference price</t>
        </is>
      </c>
      <c r="N849" s="171">
        <f>IF(OR(J849="",L849=""),"",L849-J849)</f>
        <v/>
      </c>
      <c r="O849" s="169">
        <f>IF(OR(J849="",L849=""),"",L849/J849-1)</f>
        <v/>
      </c>
      <c r="P849" s="169">
        <f>IF(OR(J849="",K849=""),"",K849/J849-1)</f>
        <v/>
      </c>
      <c r="Q849" s="54">
        <f>IF(AND(ISNUMBER(J849),ISNUMBER(L849)),1,0)</f>
        <v/>
      </c>
      <c r="R849" s="69">
        <f>IF(Q849=1,G849*L849,0)</f>
        <v/>
      </c>
      <c r="S849" s="69">
        <f>IF(Q849=1,(H849+I849)*U849,0)</f>
        <v/>
      </c>
      <c r="T849" s="59">
        <f>IF(Q849=1,G849,0)</f>
        <v/>
      </c>
      <c r="U849" s="170">
        <f>$G$3</f>
        <v/>
      </c>
    </row>
    <row r="850">
      <c r="A850" s="54" t="inlineStr">
        <is>
          <t>CA DC S6</t>
        </is>
      </c>
      <c r="B850" s="54" t="inlineStr">
        <is>
          <t>CA</t>
        </is>
      </c>
      <c r="C850" s="54" t="inlineStr">
        <is>
          <t>B0C7JQ8266</t>
        </is>
      </c>
      <c r="D850" s="54" t="inlineStr">
        <is>
          <t>SATIN-STRIPE-QUEEN-WHITE--6-PCS</t>
        </is>
      </c>
      <c r="E850" s="54" t="inlineStr">
        <is>
          <t>Queen</t>
        </is>
      </c>
      <c r="F850" s="54" t="inlineStr">
        <is>
          <t>Striped White</t>
        </is>
      </c>
      <c r="G850" s="55" t="n">
        <v>2</v>
      </c>
      <c r="H850" s="167" t="n">
        <v>48.95</v>
      </c>
      <c r="I850" s="167" t="n">
        <v>0</v>
      </c>
      <c r="J850" s="171">
        <f>IF(AND(N(G850)&gt;0,N(H850)+N(I850)&gt;0),(H850+I850)*U850/G850,"")</f>
        <v/>
      </c>
      <c r="K850" s="172" t="n">
        <v>47.99</v>
      </c>
      <c r="L850" s="172" t="n">
        <v>47.99</v>
      </c>
      <c r="M850" s="54" t="inlineStr">
        <is>
          <t>Eligible</t>
        </is>
      </c>
      <c r="N850" s="171">
        <f>IF(OR(J850="",L850=""),"",L850-J850)</f>
        <v/>
      </c>
      <c r="O850" s="169">
        <f>IF(OR(J850="",L850=""),"",L850/J850-1)</f>
        <v/>
      </c>
      <c r="P850" s="169">
        <f>IF(OR(J850="",K850=""),"",K850/J850-1)</f>
        <v/>
      </c>
      <c r="Q850" s="54">
        <f>IF(AND(ISNUMBER(J850),ISNUMBER(L850)),1,0)</f>
        <v/>
      </c>
      <c r="R850" s="69">
        <f>IF(Q850=1,G850*L850,0)</f>
        <v/>
      </c>
      <c r="S850" s="69">
        <f>IF(Q850=1,(H850+I850)*U850,0)</f>
        <v/>
      </c>
      <c r="T850" s="59">
        <f>IF(Q850=1,G850,0)</f>
        <v/>
      </c>
      <c r="U850" s="170">
        <f>$G$3</f>
        <v/>
      </c>
    </row>
    <row r="851">
      <c r="A851" s="54" t="inlineStr">
        <is>
          <t>CA DC S6</t>
        </is>
      </c>
      <c r="B851" s="54" t="inlineStr">
        <is>
          <t>CA</t>
        </is>
      </c>
      <c r="C851" s="54" t="inlineStr">
        <is>
          <t>B0C7FNVCWM</t>
        </is>
      </c>
      <c r="D851" s="54" t="inlineStr">
        <is>
          <t>SATIN-TWIN-GREY-6PCS</t>
        </is>
      </c>
      <c r="E851" s="54" t="inlineStr">
        <is>
          <t>Twin</t>
        </is>
      </c>
      <c r="F851" s="54" t="inlineStr">
        <is>
          <t>Grey</t>
        </is>
      </c>
      <c r="G851" s="55" t="n">
        <v>2</v>
      </c>
      <c r="H851" s="167" t="n">
        <v>45.68</v>
      </c>
      <c r="I851" s="167" t="n">
        <v>0</v>
      </c>
      <c r="J851" s="171">
        <f>IF(AND(N(G851)&gt;0,N(H851)+N(I851)&gt;0),(H851+I851)*U851/G851,"")</f>
        <v/>
      </c>
      <c r="K851" s="172" t="n">
        <v>39.99</v>
      </c>
      <c r="L851" s="172" t="n">
        <v>37.99</v>
      </c>
      <c r="M851" s="54" t="inlineStr">
        <is>
          <t>Eligible</t>
        </is>
      </c>
      <c r="N851" s="171">
        <f>IF(OR(J851="",L851=""),"",L851-J851)</f>
        <v/>
      </c>
      <c r="O851" s="169">
        <f>IF(OR(J851="",L851=""),"",L851/J851-1)</f>
        <v/>
      </c>
      <c r="P851" s="169">
        <f>IF(OR(J851="",K851=""),"",K851/J851-1)</f>
        <v/>
      </c>
      <c r="Q851" s="54">
        <f>IF(AND(ISNUMBER(J851),ISNUMBER(L851)),1,0)</f>
        <v/>
      </c>
      <c r="R851" s="69">
        <f>IF(Q851=1,G851*L851,0)</f>
        <v/>
      </c>
      <c r="S851" s="69">
        <f>IF(Q851=1,(H851+I851)*U851,0)</f>
        <v/>
      </c>
      <c r="T851" s="59">
        <f>IF(Q851=1,G851,0)</f>
        <v/>
      </c>
      <c r="U851" s="170">
        <f>$G$3</f>
        <v/>
      </c>
    </row>
    <row r="852">
      <c r="A852" s="54" t="inlineStr">
        <is>
          <t>CA DC S6</t>
        </is>
      </c>
      <c r="B852" s="54" t="inlineStr">
        <is>
          <t>CA</t>
        </is>
      </c>
      <c r="C852" s="54" t="inlineStr">
        <is>
          <t>B0D9QRVYMT</t>
        </is>
      </c>
      <c r="D852" s="54" t="n"/>
      <c r="E852" s="54" t="inlineStr">
        <is>
          <t>Twin</t>
        </is>
      </c>
      <c r="F852" s="54" t="inlineStr">
        <is>
          <t>Sage Green</t>
        </is>
      </c>
      <c r="G852" s="55" t="n">
        <v>2</v>
      </c>
      <c r="H852" s="167" t="n">
        <v>45.55</v>
      </c>
      <c r="I852" s="167" t="n">
        <v>0</v>
      </c>
      <c r="J852" s="171">
        <f>IF(AND(N(G852)&gt;0,N(H852)+N(I852)&gt;0),(H852+I852)*U852/G852,"")</f>
        <v/>
      </c>
      <c r="K852" s="172" t="n">
        <v>39.99</v>
      </c>
      <c r="L852" s="172" t="n">
        <v>39.99</v>
      </c>
      <c r="M852" s="54" t="inlineStr">
        <is>
          <t>Eligible</t>
        </is>
      </c>
      <c r="N852" s="171">
        <f>IF(OR(J852="",L852=""),"",L852-J852)</f>
        <v/>
      </c>
      <c r="O852" s="169">
        <f>IF(OR(J852="",L852=""),"",L852/J852-1)</f>
        <v/>
      </c>
      <c r="P852" s="169">
        <f>IF(OR(J852="",K852=""),"",K852/J852-1)</f>
        <v/>
      </c>
      <c r="Q852" s="54">
        <f>IF(AND(ISNUMBER(J852),ISNUMBER(L852)),1,0)</f>
        <v/>
      </c>
      <c r="R852" s="69">
        <f>IF(Q852=1,G852*L852,0)</f>
        <v/>
      </c>
      <c r="S852" s="69">
        <f>IF(Q852=1,(H852+I852)*U852,0)</f>
        <v/>
      </c>
      <c r="T852" s="59">
        <f>IF(Q852=1,G852,0)</f>
        <v/>
      </c>
      <c r="U852" s="170">
        <f>$G$3</f>
        <v/>
      </c>
    </row>
    <row r="853">
      <c r="A853" s="54" t="inlineStr">
        <is>
          <t>CA DC S6</t>
        </is>
      </c>
      <c r="B853" s="54" t="inlineStr">
        <is>
          <t>CA</t>
        </is>
      </c>
      <c r="C853" s="54" t="inlineStr">
        <is>
          <t>B0D9QR4PS8</t>
        </is>
      </c>
      <c r="D853" s="54" t="inlineStr">
        <is>
          <t>SATIN-6PC-FULL-DARK GREEN</t>
        </is>
      </c>
      <c r="E853" s="54" t="inlineStr">
        <is>
          <t>Full</t>
        </is>
      </c>
      <c r="F853" s="54" t="inlineStr">
        <is>
          <t>Dark Green</t>
        </is>
      </c>
      <c r="G853" s="55" t="n">
        <v>1</v>
      </c>
      <c r="H853" s="167" t="n">
        <v>25.78</v>
      </c>
      <c r="I853" s="167" t="n">
        <v>0</v>
      </c>
      <c r="J853" s="171">
        <f>IF(AND(N(G853)&gt;0,N(H853)+N(I853)&gt;0),(H853+I853)*U853/G853,"")</f>
        <v/>
      </c>
      <c r="K853" s="172" t="n">
        <v>44.99</v>
      </c>
      <c r="L853" s="172" t="n">
        <v>42.74</v>
      </c>
      <c r="M853" s="54" t="inlineStr">
        <is>
          <t>Eligible</t>
        </is>
      </c>
      <c r="N853" s="171">
        <f>IF(OR(J853="",L853=""),"",L853-J853)</f>
        <v/>
      </c>
      <c r="O853" s="169">
        <f>IF(OR(J853="",L853=""),"",L853/J853-1)</f>
        <v/>
      </c>
      <c r="P853" s="169">
        <f>IF(OR(J853="",K853=""),"",K853/J853-1)</f>
        <v/>
      </c>
      <c r="Q853" s="54">
        <f>IF(AND(ISNUMBER(J853),ISNUMBER(L853)),1,0)</f>
        <v/>
      </c>
      <c r="R853" s="69">
        <f>IF(Q853=1,G853*L853,0)</f>
        <v/>
      </c>
      <c r="S853" s="69">
        <f>IF(Q853=1,(H853+I853)*U853,0)</f>
        <v/>
      </c>
      <c r="T853" s="59">
        <f>IF(Q853=1,G853,0)</f>
        <v/>
      </c>
      <c r="U853" s="170">
        <f>$G$3</f>
        <v/>
      </c>
    </row>
    <row r="854">
      <c r="A854" s="54" t="inlineStr">
        <is>
          <t>CA DC S6</t>
        </is>
      </c>
      <c r="B854" s="54" t="inlineStr">
        <is>
          <t>CA</t>
        </is>
      </c>
      <c r="C854" s="54" t="inlineStr">
        <is>
          <t>B0C7K7NCKW</t>
        </is>
      </c>
      <c r="D854" s="54" t="inlineStr">
        <is>
          <t>SATIN-STRIPE-FULL-GRAY--6-PCS</t>
        </is>
      </c>
      <c r="E854" s="54" t="inlineStr">
        <is>
          <t>Full</t>
        </is>
      </c>
      <c r="F854" s="54" t="inlineStr">
        <is>
          <t>Striped Grey</t>
        </is>
      </c>
      <c r="G854" s="55" t="n">
        <v>1</v>
      </c>
      <c r="H854" s="167" t="n">
        <v>25.74</v>
      </c>
      <c r="I854" s="167" t="n">
        <v>0</v>
      </c>
      <c r="J854" s="171">
        <f>IF(AND(N(G854)&gt;0,N(H854)+N(I854)&gt;0),(H854+I854)*U854/G854,"")</f>
        <v/>
      </c>
      <c r="K854" s="172" t="n">
        <v>44.99</v>
      </c>
      <c r="L854" s="172" t="n">
        <v>42.74</v>
      </c>
      <c r="M854" s="54" t="inlineStr">
        <is>
          <t>Eligible</t>
        </is>
      </c>
      <c r="N854" s="171">
        <f>IF(OR(J854="",L854=""),"",L854-J854)</f>
        <v/>
      </c>
      <c r="O854" s="169">
        <f>IF(OR(J854="",L854=""),"",L854/J854-1)</f>
        <v/>
      </c>
      <c r="P854" s="169">
        <f>IF(OR(J854="",K854=""),"",K854/J854-1)</f>
        <v/>
      </c>
      <c r="Q854" s="54">
        <f>IF(AND(ISNUMBER(J854),ISNUMBER(L854)),1,0)</f>
        <v/>
      </c>
      <c r="R854" s="69">
        <f>IF(Q854=1,G854*L854,0)</f>
        <v/>
      </c>
      <c r="S854" s="69">
        <f>IF(Q854=1,(H854+I854)*U854,0)</f>
        <v/>
      </c>
      <c r="T854" s="59">
        <f>IF(Q854=1,G854,0)</f>
        <v/>
      </c>
      <c r="U854" s="170">
        <f>$G$3</f>
        <v/>
      </c>
    </row>
    <row r="855">
      <c r="A855" s="54" t="inlineStr">
        <is>
          <t>CA DC S6</t>
        </is>
      </c>
      <c r="B855" s="54" t="inlineStr">
        <is>
          <t>CA</t>
        </is>
      </c>
      <c r="C855" s="54" t="inlineStr">
        <is>
          <t>B0C7JYS2K4</t>
        </is>
      </c>
      <c r="D855" s="54" t="inlineStr">
        <is>
          <t>SATIN-STRIPE-FULL-RED--6-PCS</t>
        </is>
      </c>
      <c r="E855" s="54" t="inlineStr">
        <is>
          <t>Full</t>
        </is>
      </c>
      <c r="F855" s="54" t="inlineStr">
        <is>
          <t>Striped Red</t>
        </is>
      </c>
      <c r="G855" s="55" t="n">
        <v>1</v>
      </c>
      <c r="H855" s="167" t="n">
        <v>25.51</v>
      </c>
      <c r="I855" s="167" t="n">
        <v>0</v>
      </c>
      <c r="J855" s="171">
        <f>IF(AND(N(G855)&gt;0,N(H855)+N(I855)&gt;0),(H855+I855)*U855/G855,"")</f>
        <v/>
      </c>
      <c r="K855" s="172" t="n">
        <v>44.99</v>
      </c>
      <c r="L855" s="172" t="n">
        <v>42.74</v>
      </c>
      <c r="M855" s="54" t="inlineStr">
        <is>
          <t>Eligible</t>
        </is>
      </c>
      <c r="N855" s="171">
        <f>IF(OR(J855="",L855=""),"",L855-J855)</f>
        <v/>
      </c>
      <c r="O855" s="169">
        <f>IF(OR(J855="",L855=""),"",L855/J855-1)</f>
        <v/>
      </c>
      <c r="P855" s="169">
        <f>IF(OR(J855="",K855=""),"",K855/J855-1)</f>
        <v/>
      </c>
      <c r="Q855" s="54">
        <f>IF(AND(ISNUMBER(J855),ISNUMBER(L855)),1,0)</f>
        <v/>
      </c>
      <c r="R855" s="69">
        <f>IF(Q855=1,G855*L855,0)</f>
        <v/>
      </c>
      <c r="S855" s="69">
        <f>IF(Q855=1,(H855+I855)*U855,0)</f>
        <v/>
      </c>
      <c r="T855" s="59">
        <f>IF(Q855=1,G855,0)</f>
        <v/>
      </c>
      <c r="U855" s="170">
        <f>$G$3</f>
        <v/>
      </c>
    </row>
    <row r="856">
      <c r="A856" s="54" t="inlineStr">
        <is>
          <t>CA DC S6</t>
        </is>
      </c>
      <c r="B856" s="54" t="inlineStr">
        <is>
          <t>CA</t>
        </is>
      </c>
      <c r="C856" s="54" t="inlineStr">
        <is>
          <t>B0C7FHXP11</t>
        </is>
      </c>
      <c r="D856" s="54" t="inlineStr">
        <is>
          <t>SATIN-TAUPE-FULL-6PCS</t>
        </is>
      </c>
      <c r="E856" s="54" t="inlineStr">
        <is>
          <t>Full</t>
        </is>
      </c>
      <c r="F856" s="54" t="inlineStr">
        <is>
          <t>Taupe</t>
        </is>
      </c>
      <c r="G856" s="55" t="n">
        <v>1</v>
      </c>
      <c r="H856" s="167" t="n">
        <v>25.51</v>
      </c>
      <c r="I856" s="167" t="n">
        <v>0</v>
      </c>
      <c r="J856" s="171">
        <f>IF(AND(N(G856)&gt;0,N(H856)+N(I856)&gt;0),(H856+I856)*U856/G856,"")</f>
        <v/>
      </c>
      <c r="K856" s="172" t="n">
        <v>44.99</v>
      </c>
      <c r="L856" s="172" t="n"/>
      <c r="M856" s="54" t="inlineStr">
        <is>
          <t>No reference price</t>
        </is>
      </c>
      <c r="N856" s="171">
        <f>IF(OR(J856="",L856=""),"",L856-J856)</f>
        <v/>
      </c>
      <c r="O856" s="169">
        <f>IF(OR(J856="",L856=""),"",L856/J856-1)</f>
        <v/>
      </c>
      <c r="P856" s="169">
        <f>IF(OR(J856="",K856=""),"",K856/J856-1)</f>
        <v/>
      </c>
      <c r="Q856" s="54">
        <f>IF(AND(ISNUMBER(J856),ISNUMBER(L856)),1,0)</f>
        <v/>
      </c>
      <c r="R856" s="69">
        <f>IF(Q856=1,G856*L856,0)</f>
        <v/>
      </c>
      <c r="S856" s="69">
        <f>IF(Q856=1,(H856+I856)*U856,0)</f>
        <v/>
      </c>
      <c r="T856" s="59">
        <f>IF(Q856=1,G856,0)</f>
        <v/>
      </c>
      <c r="U856" s="170">
        <f>$G$3</f>
        <v/>
      </c>
    </row>
    <row r="857">
      <c r="A857" s="54" t="inlineStr">
        <is>
          <t>CA DC S6</t>
        </is>
      </c>
      <c r="B857" s="54" t="inlineStr">
        <is>
          <t>CA</t>
        </is>
      </c>
      <c r="C857" s="54" t="inlineStr">
        <is>
          <t>B0D9QSQ8W7</t>
        </is>
      </c>
      <c r="D857" s="54" t="n"/>
      <c r="E857" s="54" t="inlineStr">
        <is>
          <t>Twin</t>
        </is>
      </c>
      <c r="F857" s="54" t="inlineStr">
        <is>
          <t>Burnt Orange</t>
        </is>
      </c>
      <c r="G857" s="55" t="n">
        <v>1</v>
      </c>
      <c r="H857" s="167" t="n">
        <v>22.69</v>
      </c>
      <c r="I857" s="167" t="n">
        <v>0</v>
      </c>
      <c r="J857" s="171">
        <f>IF(AND(N(G857)&gt;0,N(H857)+N(I857)&gt;0),(H857+I857)*U857/G857,"")</f>
        <v/>
      </c>
      <c r="K857" s="172" t="n">
        <v>39.99</v>
      </c>
      <c r="L857" s="172" t="n"/>
      <c r="M857" s="54" t="inlineStr">
        <is>
          <t>No reference price</t>
        </is>
      </c>
      <c r="N857" s="171">
        <f>IF(OR(J857="",L857=""),"",L857-J857)</f>
        <v/>
      </c>
      <c r="O857" s="169">
        <f>IF(OR(J857="",L857=""),"",L857/J857-1)</f>
        <v/>
      </c>
      <c r="P857" s="169">
        <f>IF(OR(J857="",K857=""),"",K857/J857-1)</f>
        <v/>
      </c>
      <c r="Q857" s="54">
        <f>IF(AND(ISNUMBER(J857),ISNUMBER(L857)),1,0)</f>
        <v/>
      </c>
      <c r="R857" s="69">
        <f>IF(Q857=1,G857*L857,0)</f>
        <v/>
      </c>
      <c r="S857" s="69">
        <f>IF(Q857=1,(H857+I857)*U857,0)</f>
        <v/>
      </c>
      <c r="T857" s="59">
        <f>IF(Q857=1,G857,0)</f>
        <v/>
      </c>
      <c r="U857" s="170">
        <f>$G$3</f>
        <v/>
      </c>
    </row>
    <row r="858">
      <c r="A858" s="54" t="inlineStr">
        <is>
          <t>CA DC S6</t>
        </is>
      </c>
      <c r="B858" s="54" t="inlineStr">
        <is>
          <t>CA</t>
        </is>
      </c>
      <c r="C858" s="54" t="inlineStr">
        <is>
          <t>B0C7FXTXLD</t>
        </is>
      </c>
      <c r="D858" s="54" t="inlineStr">
        <is>
          <t>SATIN-GOLD-TWIN-6PCS</t>
        </is>
      </c>
      <c r="E858" s="54" t="inlineStr">
        <is>
          <t>Twin</t>
        </is>
      </c>
      <c r="F858" s="54" t="inlineStr">
        <is>
          <t>Gold</t>
        </is>
      </c>
      <c r="G858" s="55" t="n">
        <v>1</v>
      </c>
      <c r="H858" s="167" t="n">
        <v>22.91</v>
      </c>
      <c r="I858" s="167" t="n">
        <v>0</v>
      </c>
      <c r="J858" s="171">
        <f>IF(AND(N(G858)&gt;0,N(H858)+N(I858)&gt;0),(H858+I858)*U858/G858,"")</f>
        <v/>
      </c>
      <c r="K858" s="172" t="n">
        <v>39.99</v>
      </c>
      <c r="L858" s="172" t="n">
        <v>35.99</v>
      </c>
      <c r="M858" s="54" t="inlineStr">
        <is>
          <t>Eligible</t>
        </is>
      </c>
      <c r="N858" s="171">
        <f>IF(OR(J858="",L858=""),"",L858-J858)</f>
        <v/>
      </c>
      <c r="O858" s="169">
        <f>IF(OR(J858="",L858=""),"",L858/J858-1)</f>
        <v/>
      </c>
      <c r="P858" s="169">
        <f>IF(OR(J858="",K858=""),"",K858/J858-1)</f>
        <v/>
      </c>
      <c r="Q858" s="54">
        <f>IF(AND(ISNUMBER(J858),ISNUMBER(L858)),1,0)</f>
        <v/>
      </c>
      <c r="R858" s="69">
        <f>IF(Q858=1,G858*L858,0)</f>
        <v/>
      </c>
      <c r="S858" s="69">
        <f>IF(Q858=1,(H858+I858)*U858,0)</f>
        <v/>
      </c>
      <c r="T858" s="59">
        <f>IF(Q858=1,G858,0)</f>
        <v/>
      </c>
      <c r="U858" s="170">
        <f>$G$3</f>
        <v/>
      </c>
    </row>
    <row r="859">
      <c r="A859" s="54" t="inlineStr">
        <is>
          <t>CA DC S6</t>
        </is>
      </c>
      <c r="B859" s="54" t="inlineStr">
        <is>
          <t>CA</t>
        </is>
      </c>
      <c r="C859" s="54" t="inlineStr">
        <is>
          <t>B0C7KB2CR6</t>
        </is>
      </c>
      <c r="D859" s="54" t="inlineStr">
        <is>
          <t>SATIN-STRIPE-TWIN-PINK--6-PCS</t>
        </is>
      </c>
      <c r="E859" s="54" t="inlineStr">
        <is>
          <t>Twin</t>
        </is>
      </c>
      <c r="F859" s="54" t="inlineStr">
        <is>
          <t>Striped Pink</t>
        </is>
      </c>
      <c r="G859" s="55" t="n">
        <v>1</v>
      </c>
      <c r="H859" s="167" t="n">
        <v>22.74</v>
      </c>
      <c r="I859" s="167" t="n">
        <v>0</v>
      </c>
      <c r="J859" s="171">
        <f>IF(AND(N(G859)&gt;0,N(H859)+N(I859)&gt;0),(H859+I859)*U859/G859,"")</f>
        <v/>
      </c>
      <c r="K859" s="172" t="n">
        <v>39.99</v>
      </c>
      <c r="L859" s="172" t="n">
        <v>39.99</v>
      </c>
      <c r="M859" s="54" t="inlineStr">
        <is>
          <t>Eligible</t>
        </is>
      </c>
      <c r="N859" s="171">
        <f>IF(OR(J859="",L859=""),"",L859-J859)</f>
        <v/>
      </c>
      <c r="O859" s="169">
        <f>IF(OR(J859="",L859=""),"",L859/J859-1)</f>
        <v/>
      </c>
      <c r="P859" s="169">
        <f>IF(OR(J859="",K859=""),"",K859/J859-1)</f>
        <v/>
      </c>
      <c r="Q859" s="54">
        <f>IF(AND(ISNUMBER(J859),ISNUMBER(L859)),1,0)</f>
        <v/>
      </c>
      <c r="R859" s="69">
        <f>IF(Q859=1,G859*L859,0)</f>
        <v/>
      </c>
      <c r="S859" s="69">
        <f>IF(Q859=1,(H859+I859)*U859,0)</f>
        <v/>
      </c>
      <c r="T859" s="59">
        <f>IF(Q859=1,G859,0)</f>
        <v/>
      </c>
      <c r="U859" s="170">
        <f>$G$3</f>
        <v/>
      </c>
    </row>
    <row r="860">
      <c r="A860" s="54" t="inlineStr">
        <is>
          <t>CA DC S6</t>
        </is>
      </c>
      <c r="B860" s="54" t="inlineStr">
        <is>
          <t>CA</t>
        </is>
      </c>
      <c r="C860" s="54" t="inlineStr">
        <is>
          <t>B0C7JQ5MZY</t>
        </is>
      </c>
      <c r="D860" s="54" t="inlineStr">
        <is>
          <t>SATIN-STRIPE-TWIN-RED--6-PCS</t>
        </is>
      </c>
      <c r="E860" s="54" t="inlineStr">
        <is>
          <t>Twin</t>
        </is>
      </c>
      <c r="F860" s="54" t="inlineStr">
        <is>
          <t>Striped Red</t>
        </is>
      </c>
      <c r="G860" s="55" t="n">
        <v>1</v>
      </c>
      <c r="H860" s="167" t="n">
        <v>22.68</v>
      </c>
      <c r="I860" s="167" t="n">
        <v>0</v>
      </c>
      <c r="J860" s="171">
        <f>IF(AND(N(G860)&gt;0,N(H860)+N(I860)&gt;0),(H860+I860)*U860/G860,"")</f>
        <v/>
      </c>
      <c r="K860" s="172" t="n">
        <v>39.99</v>
      </c>
      <c r="L860" s="172" t="n"/>
      <c r="M860" s="54" t="inlineStr">
        <is>
          <t>No reference price</t>
        </is>
      </c>
      <c r="N860" s="171">
        <f>IF(OR(J860="",L860=""),"",L860-J860)</f>
        <v/>
      </c>
      <c r="O860" s="169">
        <f>IF(OR(J860="",L860=""),"",L860/J860-1)</f>
        <v/>
      </c>
      <c r="P860" s="169">
        <f>IF(OR(J860="",K860=""),"",K860/J860-1)</f>
        <v/>
      </c>
      <c r="Q860" s="54">
        <f>IF(AND(ISNUMBER(J860),ISNUMBER(L860)),1,0)</f>
        <v/>
      </c>
      <c r="R860" s="69">
        <f>IF(Q860=1,G860*L860,0)</f>
        <v/>
      </c>
      <c r="S860" s="69">
        <f>IF(Q860=1,(H860+I860)*U860,0)</f>
        <v/>
      </c>
      <c r="T860" s="59">
        <f>IF(Q860=1,G860,0)</f>
        <v/>
      </c>
      <c r="U860" s="170">
        <f>$G$3</f>
        <v/>
      </c>
    </row>
    <row r="861">
      <c r="A861" s="54" t="inlineStr">
        <is>
          <t>CA DC S6</t>
        </is>
      </c>
      <c r="B861" s="54" t="inlineStr">
        <is>
          <t>CA</t>
        </is>
      </c>
      <c r="C861" s="54" t="inlineStr">
        <is>
          <t>B0D9QVPJ4C</t>
        </is>
      </c>
      <c r="D861" s="54" t="inlineStr">
        <is>
          <t>SATIN-6PC-FULL-SAGE GREEN</t>
        </is>
      </c>
      <c r="E861" s="54" t="inlineStr">
        <is>
          <t>Full</t>
        </is>
      </c>
      <c r="F861" s="54" t="inlineStr">
        <is>
          <t>Sage Green</t>
        </is>
      </c>
      <c r="G861" s="55" t="n">
        <v>0</v>
      </c>
      <c r="H861" s="167" t="n"/>
      <c r="I861" s="167" t="n"/>
      <c r="J861" s="171">
        <f>IF(AND(N(G861)&gt;0,N(H861)+N(I861)&gt;0),(H861+I861)*U861/G861,"")</f>
        <v/>
      </c>
      <c r="K861" s="172" t="n">
        <v>44.99</v>
      </c>
      <c r="L861" s="172" t="n">
        <v>42.74</v>
      </c>
      <c r="M861" s="54" t="inlineStr">
        <is>
          <t>Eligible</t>
        </is>
      </c>
      <c r="N861" s="171">
        <f>IF(OR(J861="",L861=""),"",L861-J861)</f>
        <v/>
      </c>
      <c r="O861" s="169">
        <f>IF(OR(J861="",L861=""),"",L861/J861-1)</f>
        <v/>
      </c>
      <c r="P861" s="169">
        <f>IF(OR(J861="",K861=""),"",K861/J861-1)</f>
        <v/>
      </c>
      <c r="Q861" s="54">
        <f>IF(AND(ISNUMBER(J861),ISNUMBER(L861)),1,0)</f>
        <v/>
      </c>
      <c r="R861" s="69">
        <f>IF(Q861=1,G861*L861,0)</f>
        <v/>
      </c>
      <c r="S861" s="69">
        <f>IF(Q861=1,(H861+I861)*U861,0)</f>
        <v/>
      </c>
      <c r="T861" s="59">
        <f>IF(Q861=1,G861,0)</f>
        <v/>
      </c>
      <c r="U861" s="170">
        <f>$G$3</f>
        <v/>
      </c>
    </row>
    <row r="862">
      <c r="A862" s="54" t="inlineStr">
        <is>
          <t>CA DC S6</t>
        </is>
      </c>
      <c r="B862" s="54" t="inlineStr">
        <is>
          <t>CA</t>
        </is>
      </c>
      <c r="C862" s="54" t="inlineStr">
        <is>
          <t>B0C7FK58RV</t>
        </is>
      </c>
      <c r="D862" s="54" t="inlineStr">
        <is>
          <t>SATIN-TAUPE-QUEEN-6PCS</t>
        </is>
      </c>
      <c r="E862" s="54" t="inlineStr">
        <is>
          <t>Queen</t>
        </is>
      </c>
      <c r="F862" s="54" t="inlineStr">
        <is>
          <t>Taupe</t>
        </is>
      </c>
      <c r="G862" s="55" t="n">
        <v>0</v>
      </c>
      <c r="H862" s="167" t="n"/>
      <c r="I862" s="167" t="n"/>
      <c r="J862" s="171">
        <f>IF(AND(N(G862)&gt;0,N(H862)+N(I862)&gt;0),(H862+I862)*U862/G862,"")</f>
        <v/>
      </c>
      <c r="K862" s="172" t="n">
        <v>47.99</v>
      </c>
      <c r="L862" s="172" t="n">
        <v>45.59</v>
      </c>
      <c r="M862" s="54" t="inlineStr">
        <is>
          <t>Eligible</t>
        </is>
      </c>
      <c r="N862" s="171">
        <f>IF(OR(J862="",L862=""),"",L862-J862)</f>
        <v/>
      </c>
      <c r="O862" s="169">
        <f>IF(OR(J862="",L862=""),"",L862/J862-1)</f>
        <v/>
      </c>
      <c r="P862" s="169">
        <f>IF(OR(J862="",K862=""),"",K862/J862-1)</f>
        <v/>
      </c>
      <c r="Q862" s="54">
        <f>IF(AND(ISNUMBER(J862),ISNUMBER(L862)),1,0)</f>
        <v/>
      </c>
      <c r="R862" s="69">
        <f>IF(Q862=1,G862*L862,0)</f>
        <v/>
      </c>
      <c r="S862" s="69">
        <f>IF(Q862=1,(H862+I862)*U862,0)</f>
        <v/>
      </c>
      <c r="T862" s="59">
        <f>IF(Q862=1,G862,0)</f>
        <v/>
      </c>
      <c r="U862" s="170">
        <f>$G$3</f>
        <v/>
      </c>
    </row>
    <row r="863">
      <c r="A863" s="54" t="inlineStr">
        <is>
          <t>CA DC S6</t>
        </is>
      </c>
      <c r="B863" s="54" t="inlineStr">
        <is>
          <t>CA</t>
        </is>
      </c>
      <c r="C863" s="54" t="inlineStr">
        <is>
          <t>B0C7FLZ6S8</t>
        </is>
      </c>
      <c r="D863" s="54" t="inlineStr">
        <is>
          <t>SATIN-CHAMPAGNE-TWIN-6PCS</t>
        </is>
      </c>
      <c r="E863" s="54" t="inlineStr">
        <is>
          <t>Twin</t>
        </is>
      </c>
      <c r="F863" s="54" t="inlineStr">
        <is>
          <t>Champagne</t>
        </is>
      </c>
      <c r="G863" s="55" t="n">
        <v>0</v>
      </c>
      <c r="H863" s="167" t="n"/>
      <c r="I863" s="167" t="n"/>
      <c r="J863" s="171">
        <f>IF(AND(N(G863)&gt;0,N(H863)+N(I863)&gt;0),(H863+I863)*U863/G863,"")</f>
        <v/>
      </c>
      <c r="K863" s="172" t="n">
        <v>39.99</v>
      </c>
      <c r="L863" s="172" t="n">
        <v>39.99</v>
      </c>
      <c r="M863" s="54" t="inlineStr">
        <is>
          <t>Eligible</t>
        </is>
      </c>
      <c r="N863" s="171">
        <f>IF(OR(J863="",L863=""),"",L863-J863)</f>
        <v/>
      </c>
      <c r="O863" s="169">
        <f>IF(OR(J863="",L863=""),"",L863/J863-1)</f>
        <v/>
      </c>
      <c r="P863" s="169">
        <f>IF(OR(J863="",K863=""),"",K863/J863-1)</f>
        <v/>
      </c>
      <c r="Q863" s="54">
        <f>IF(AND(ISNUMBER(J863),ISNUMBER(L863)),1,0)</f>
        <v/>
      </c>
      <c r="R863" s="69">
        <f>IF(Q863=1,G863*L863,0)</f>
        <v/>
      </c>
      <c r="S863" s="69">
        <f>IF(Q863=1,(H863+I863)*U863,0)</f>
        <v/>
      </c>
      <c r="T863" s="59">
        <f>IF(Q863=1,G863,0)</f>
        <v/>
      </c>
      <c r="U863" s="170">
        <f>$G$3</f>
        <v/>
      </c>
    </row>
    <row r="864">
      <c r="A864" s="54" t="inlineStr">
        <is>
          <t>CA DC S6</t>
        </is>
      </c>
      <c r="B864" s="54" t="inlineStr">
        <is>
          <t>CA</t>
        </is>
      </c>
      <c r="C864" s="54" t="inlineStr">
        <is>
          <t>B0C7JVQWDH</t>
        </is>
      </c>
      <c r="D864" s="54" t="inlineStr">
        <is>
          <t>SATIN-STRIPE-TWIN-BLUE--6-PCS</t>
        </is>
      </c>
      <c r="E864" s="54" t="inlineStr">
        <is>
          <t>Twin</t>
        </is>
      </c>
      <c r="F864" s="54" t="inlineStr">
        <is>
          <t>Striped Blue</t>
        </is>
      </c>
      <c r="G864" s="55" t="n">
        <v>0</v>
      </c>
      <c r="H864" s="167" t="n"/>
      <c r="I864" s="167" t="n"/>
      <c r="J864" s="171">
        <f>IF(AND(N(G864)&gt;0,N(H864)+N(I864)&gt;0),(H864+I864)*U864/G864,"")</f>
        <v/>
      </c>
      <c r="K864" s="172" t="n">
        <v>39.99</v>
      </c>
      <c r="L864" s="172" t="n">
        <v>37.99</v>
      </c>
      <c r="M864" s="54" t="inlineStr">
        <is>
          <t>Eligible</t>
        </is>
      </c>
      <c r="N864" s="171">
        <f>IF(OR(J864="",L864=""),"",L864-J864)</f>
        <v/>
      </c>
      <c r="O864" s="169">
        <f>IF(OR(J864="",L864=""),"",L864/J864-1)</f>
        <v/>
      </c>
      <c r="P864" s="169">
        <f>IF(OR(J864="",K864=""),"",K864/J864-1)</f>
        <v/>
      </c>
      <c r="Q864" s="54">
        <f>IF(AND(ISNUMBER(J864),ISNUMBER(L864)),1,0)</f>
        <v/>
      </c>
      <c r="R864" s="69">
        <f>IF(Q864=1,G864*L864,0)</f>
        <v/>
      </c>
      <c r="S864" s="69">
        <f>IF(Q864=1,(H864+I864)*U864,0)</f>
        <v/>
      </c>
      <c r="T864" s="59">
        <f>IF(Q864=1,G864,0)</f>
        <v/>
      </c>
      <c r="U864" s="170">
        <f>$G$3</f>
        <v/>
      </c>
    </row>
    <row r="865">
      <c r="A865" s="54" t="inlineStr">
        <is>
          <t>CA DC S6</t>
        </is>
      </c>
      <c r="B865" s="54" t="inlineStr">
        <is>
          <t>CA</t>
        </is>
      </c>
      <c r="C865" s="54" t="inlineStr">
        <is>
          <t>B0C7K62XCT</t>
        </is>
      </c>
      <c r="D865" s="54" t="inlineStr">
        <is>
          <t>SATIN-STRIPE-TWIN-GRAY--6-PCS</t>
        </is>
      </c>
      <c r="E865" s="54" t="inlineStr">
        <is>
          <t>Twin</t>
        </is>
      </c>
      <c r="F865" s="54" t="inlineStr">
        <is>
          <t>Striped Grey</t>
        </is>
      </c>
      <c r="G865" s="55" t="n">
        <v>0</v>
      </c>
      <c r="H865" s="167" t="n"/>
      <c r="I865" s="167" t="n"/>
      <c r="J865" s="171">
        <f>IF(AND(N(G865)&gt;0,N(H865)+N(I865)&gt;0),(H865+I865)*U865/G865,"")</f>
        <v/>
      </c>
      <c r="K865" s="172" t="n">
        <v>39.99</v>
      </c>
      <c r="L865" s="172" t="n">
        <v>35.99</v>
      </c>
      <c r="M865" s="54" t="inlineStr">
        <is>
          <t>Eligible</t>
        </is>
      </c>
      <c r="N865" s="171">
        <f>IF(OR(J865="",L865=""),"",L865-J865)</f>
        <v/>
      </c>
      <c r="O865" s="169">
        <f>IF(OR(J865="",L865=""),"",L865/J865-1)</f>
        <v/>
      </c>
      <c r="P865" s="169">
        <f>IF(OR(J865="",K865=""),"",K865/J865-1)</f>
        <v/>
      </c>
      <c r="Q865" s="54">
        <f>IF(AND(ISNUMBER(J865),ISNUMBER(L865)),1,0)</f>
        <v/>
      </c>
      <c r="R865" s="69">
        <f>IF(Q865=1,G865*L865,0)</f>
        <v/>
      </c>
      <c r="S865" s="69">
        <f>IF(Q865=1,(H865+I865)*U865,0)</f>
        <v/>
      </c>
      <c r="T865" s="59">
        <f>IF(Q865=1,G865,0)</f>
        <v/>
      </c>
      <c r="U865" s="170">
        <f>$G$3</f>
        <v/>
      </c>
    </row>
    <row r="866">
      <c r="A866" s="54" t="inlineStr">
        <is>
          <t>CA DC S6</t>
        </is>
      </c>
      <c r="B866" s="54" t="inlineStr">
        <is>
          <t>CA</t>
        </is>
      </c>
      <c r="C866" s="54" t="inlineStr">
        <is>
          <t>B0C7KGK2WK</t>
        </is>
      </c>
      <c r="D866" s="54" t="inlineStr">
        <is>
          <t>SATIN-STRIPE-TWIN-WHITE--6-PCS</t>
        </is>
      </c>
      <c r="E866" s="54" t="inlineStr">
        <is>
          <t>Twin</t>
        </is>
      </c>
      <c r="F866" s="54" t="inlineStr">
        <is>
          <t>Striped White</t>
        </is>
      </c>
      <c r="G866" s="55" t="n">
        <v>0</v>
      </c>
      <c r="H866" s="167" t="n"/>
      <c r="I866" s="167" t="n"/>
      <c r="J866" s="171">
        <f>IF(AND(N(G866)&gt;0,N(H866)+N(I866)&gt;0),(H866+I866)*U866/G866,"")</f>
        <v/>
      </c>
      <c r="K866" s="172" t="n">
        <v>39.99</v>
      </c>
      <c r="L866" s="172" t="n">
        <v>39.99</v>
      </c>
      <c r="M866" s="54" t="inlineStr">
        <is>
          <t>Eligible</t>
        </is>
      </c>
      <c r="N866" s="171">
        <f>IF(OR(J866="",L866=""),"",L866-J866)</f>
        <v/>
      </c>
      <c r="O866" s="169">
        <f>IF(OR(J866="",L866=""),"",L866/J866-1)</f>
        <v/>
      </c>
      <c r="P866" s="169">
        <f>IF(OR(J866="",K866=""),"",K866/J866-1)</f>
        <v/>
      </c>
      <c r="Q866" s="54">
        <f>IF(AND(ISNUMBER(J866),ISNUMBER(L866)),1,0)</f>
        <v/>
      </c>
      <c r="R866" s="69">
        <f>IF(Q866=1,G866*L866,0)</f>
        <v/>
      </c>
      <c r="S866" s="69">
        <f>IF(Q866=1,(H866+I866)*U866,0)</f>
        <v/>
      </c>
      <c r="T866" s="59">
        <f>IF(Q866=1,G866,0)</f>
        <v/>
      </c>
      <c r="U866" s="170">
        <f>$G$3</f>
        <v/>
      </c>
    </row>
    <row r="867">
      <c r="A867" s="54" t="inlineStr">
        <is>
          <t>CA DC S6</t>
        </is>
      </c>
      <c r="B867" s="54" t="inlineStr">
        <is>
          <t>CA</t>
        </is>
      </c>
      <c r="C867" s="54" t="inlineStr">
        <is>
          <t>B0C7FD12CQ</t>
        </is>
      </c>
      <c r="D867" s="54" t="inlineStr">
        <is>
          <t>SATIN-TAUPE-TWIN-6PCS</t>
        </is>
      </c>
      <c r="E867" s="54" t="inlineStr">
        <is>
          <t>Twin</t>
        </is>
      </c>
      <c r="F867" s="54" t="inlineStr">
        <is>
          <t>Taupe</t>
        </is>
      </c>
      <c r="G867" s="55" t="n">
        <v>0</v>
      </c>
      <c r="H867" s="167" t="n"/>
      <c r="I867" s="167" t="n"/>
      <c r="J867" s="171">
        <f>IF(AND(N(G867)&gt;0,N(H867)+N(I867)&gt;0),(H867+I867)*U867/G867,"")</f>
        <v/>
      </c>
      <c r="K867" s="172" t="n">
        <v>39.99</v>
      </c>
      <c r="L867" s="172" t="n">
        <v>25.9</v>
      </c>
      <c r="M867" s="54" t="inlineStr">
        <is>
          <t>Eligible</t>
        </is>
      </c>
      <c r="N867" s="171">
        <f>IF(OR(J867="",L867=""),"",L867-J867)</f>
        <v/>
      </c>
      <c r="O867" s="169">
        <f>IF(OR(J867="",L867=""),"",L867/J867-1)</f>
        <v/>
      </c>
      <c r="P867" s="169">
        <f>IF(OR(J867="",K867=""),"",K867/J867-1)</f>
        <v/>
      </c>
      <c r="Q867" s="54">
        <f>IF(AND(ISNUMBER(J867),ISNUMBER(L867)),1,0)</f>
        <v/>
      </c>
      <c r="R867" s="69">
        <f>IF(Q867=1,G867*L867,0)</f>
        <v/>
      </c>
      <c r="S867" s="69">
        <f>IF(Q867=1,(H867+I867)*U867,0)</f>
        <v/>
      </c>
      <c r="T867" s="59">
        <f>IF(Q867=1,G867,0)</f>
        <v/>
      </c>
      <c r="U867" s="170">
        <f>$G$3</f>
        <v/>
      </c>
    </row>
    <row r="868">
      <c r="A868" s="54" t="inlineStr">
        <is>
          <t>US SSS4</t>
        </is>
      </c>
      <c r="B868" s="54" t="inlineStr">
        <is>
          <t>US</t>
        </is>
      </c>
      <c r="C868" s="54" t="inlineStr">
        <is>
          <t>B0DDR6C74S</t>
        </is>
      </c>
      <c r="D868" s="54" t="inlineStr">
        <is>
          <t>SS-SATIN-BLACK-QUEEN-4PCS</t>
        </is>
      </c>
      <c r="E868" s="54" t="inlineStr">
        <is>
          <t>Queen</t>
        </is>
      </c>
      <c r="F868" s="54" t="inlineStr">
        <is>
          <t>Black</t>
        </is>
      </c>
      <c r="G868" s="55" t="n">
        <v>163</v>
      </c>
      <c r="H868" s="167" t="n">
        <v>4301.1</v>
      </c>
      <c r="I868" s="167" t="n">
        <v>0</v>
      </c>
      <c r="J868" s="168">
        <f>IF(AND(N(G868)&gt;0,N(H868)+N(I868)&gt;0),(H868+I868)*U868/G868,"")</f>
        <v/>
      </c>
      <c r="K868" s="167" t="n">
        <v>33.95</v>
      </c>
      <c r="L868" s="167" t="n"/>
      <c r="M868" s="54" t="inlineStr">
        <is>
          <t>Out of stock</t>
        </is>
      </c>
      <c r="N868" s="168">
        <f>IF(OR(J868="",L868=""),"",L868-J868)</f>
        <v/>
      </c>
      <c r="O868" s="169">
        <f>IF(OR(J868="",L868=""),"",L868/J868-1)</f>
        <v/>
      </c>
      <c r="P868" s="169">
        <f>IF(OR(J868="",K868=""),"",K868/J868-1)</f>
        <v/>
      </c>
      <c r="Q868" s="54">
        <f>IF(AND(ISNUMBER(J868),ISNUMBER(L868)),1,0)</f>
        <v/>
      </c>
      <c r="R868" s="69">
        <f>IF(Q868=1,G868*L868,0)</f>
        <v/>
      </c>
      <c r="S868" s="69">
        <f>IF(Q868=1,(H868+I868)*U868,0)</f>
        <v/>
      </c>
      <c r="T868" s="59">
        <f>IF(Q868=1,G868,0)</f>
        <v/>
      </c>
      <c r="U868" s="170" t="n">
        <v>1</v>
      </c>
    </row>
    <row r="869">
      <c r="A869" s="54" t="inlineStr">
        <is>
          <t>US SSS4</t>
        </is>
      </c>
      <c r="B869" s="54" t="inlineStr">
        <is>
          <t>US</t>
        </is>
      </c>
      <c r="C869" s="54" t="inlineStr">
        <is>
          <t>B0DDR1DYR6</t>
        </is>
      </c>
      <c r="D869" s="54" t="inlineStr">
        <is>
          <t>SS-SATIN-WHITE-QUEEN-4PCS</t>
        </is>
      </c>
      <c r="E869" s="54" t="inlineStr">
        <is>
          <t>Queen</t>
        </is>
      </c>
      <c r="F869" s="54" t="inlineStr">
        <is>
          <t>White</t>
        </is>
      </c>
      <c r="G869" s="55" t="n">
        <v>98</v>
      </c>
      <c r="H869" s="167" t="n">
        <v>3160.5</v>
      </c>
      <c r="I869" s="167" t="n">
        <v>0</v>
      </c>
      <c r="J869" s="168">
        <f>IF(AND(N(G869)&gt;0,N(H869)+N(I869)&gt;0),(H869+I869)*U869/G869,"")</f>
        <v/>
      </c>
      <c r="K869" s="167" t="n">
        <v>45.95</v>
      </c>
      <c r="L869" s="167" t="n"/>
      <c r="M869" s="54" t="inlineStr">
        <is>
          <t>Out of stock</t>
        </is>
      </c>
      <c r="N869" s="168">
        <f>IF(OR(J869="",L869=""),"",L869-J869)</f>
        <v/>
      </c>
      <c r="O869" s="169">
        <f>IF(OR(J869="",L869=""),"",L869/J869-1)</f>
        <v/>
      </c>
      <c r="P869" s="169">
        <f>IF(OR(J869="",K869=""),"",K869/J869-1)</f>
        <v/>
      </c>
      <c r="Q869" s="54">
        <f>IF(AND(ISNUMBER(J869),ISNUMBER(L869)),1,0)</f>
        <v/>
      </c>
      <c r="R869" s="69">
        <f>IF(Q869=1,G869*L869,0)</f>
        <v/>
      </c>
      <c r="S869" s="69">
        <f>IF(Q869=1,(H869+I869)*U869,0)</f>
        <v/>
      </c>
      <c r="T869" s="59">
        <f>IF(Q869=1,G869,0)</f>
        <v/>
      </c>
      <c r="U869" s="170" t="n">
        <v>1</v>
      </c>
    </row>
    <row r="870">
      <c r="A870" s="54" t="inlineStr">
        <is>
          <t>US SSS4</t>
        </is>
      </c>
      <c r="B870" s="54" t="inlineStr">
        <is>
          <t>US</t>
        </is>
      </c>
      <c r="C870" s="54" t="inlineStr">
        <is>
          <t>B0DDRKVH9Q</t>
        </is>
      </c>
      <c r="D870" s="54" t="inlineStr">
        <is>
          <t>SS-SATIN-BLACK-KING-4PCS</t>
        </is>
      </c>
      <c r="E870" s="54" t="inlineStr">
        <is>
          <t>King</t>
        </is>
      </c>
      <c r="F870" s="54" t="inlineStr">
        <is>
          <t>Black</t>
        </is>
      </c>
      <c r="G870" s="55" t="n">
        <v>76</v>
      </c>
      <c r="H870" s="167" t="n">
        <v>2595.4</v>
      </c>
      <c r="I870" s="167" t="n">
        <v>0</v>
      </c>
      <c r="J870" s="168">
        <f>IF(AND(N(G870)&gt;0,N(H870)+N(I870)&gt;0),(H870+I870)*U870/G870,"")</f>
        <v/>
      </c>
      <c r="K870" s="167" t="n">
        <v>35.95</v>
      </c>
      <c r="L870" s="167" t="n"/>
      <c r="M870" s="54" t="inlineStr">
        <is>
          <t>Out of stock</t>
        </is>
      </c>
      <c r="N870" s="168">
        <f>IF(OR(J870="",L870=""),"",L870-J870)</f>
        <v/>
      </c>
      <c r="O870" s="169">
        <f>IF(OR(J870="",L870=""),"",L870/J870-1)</f>
        <v/>
      </c>
      <c r="P870" s="169">
        <f>IF(OR(J870="",K870=""),"",K870/J870-1)</f>
        <v/>
      </c>
      <c r="Q870" s="54">
        <f>IF(AND(ISNUMBER(J870),ISNUMBER(L870)),1,0)</f>
        <v/>
      </c>
      <c r="R870" s="69">
        <f>IF(Q870=1,G870*L870,0)</f>
        <v/>
      </c>
      <c r="S870" s="69">
        <f>IF(Q870=1,(H870+I870)*U870,0)</f>
        <v/>
      </c>
      <c r="T870" s="59">
        <f>IF(Q870=1,G870,0)</f>
        <v/>
      </c>
      <c r="U870" s="170" t="n">
        <v>1</v>
      </c>
    </row>
    <row r="871">
      <c r="A871" s="54" t="inlineStr">
        <is>
          <t>US SSS4</t>
        </is>
      </c>
      <c r="B871" s="54" t="inlineStr">
        <is>
          <t>US</t>
        </is>
      </c>
      <c r="C871" s="54" t="inlineStr">
        <is>
          <t>B0DDRP3R3F</t>
        </is>
      </c>
      <c r="D871" s="54" t="inlineStr">
        <is>
          <t>SS-SATIN-RED-KING-4PCS</t>
        </is>
      </c>
      <c r="E871" s="54" t="inlineStr">
        <is>
          <t>King</t>
        </is>
      </c>
      <c r="F871" s="54" t="inlineStr">
        <is>
          <t>Red</t>
        </is>
      </c>
      <c r="G871" s="55" t="n">
        <v>71</v>
      </c>
      <c r="H871" s="167" t="n">
        <v>2290.46</v>
      </c>
      <c r="I871" s="167" t="n">
        <v>0</v>
      </c>
      <c r="J871" s="168">
        <f>IF(AND(N(G871)&gt;0,N(H871)+N(I871)&gt;0),(H871+I871)*U871/G871,"")</f>
        <v/>
      </c>
      <c r="K871" s="167" t="n">
        <v>35.95</v>
      </c>
      <c r="L871" s="167" t="n">
        <v>33.95</v>
      </c>
      <c r="M871" s="54" t="inlineStr">
        <is>
          <t>Eligible</t>
        </is>
      </c>
      <c r="N871" s="168">
        <f>IF(OR(J871="",L871=""),"",L871-J871)</f>
        <v/>
      </c>
      <c r="O871" s="169">
        <f>IF(OR(J871="",L871=""),"",L871/J871-1)</f>
        <v/>
      </c>
      <c r="P871" s="169">
        <f>IF(OR(J871="",K871=""),"",K871/J871-1)</f>
        <v/>
      </c>
      <c r="Q871" s="54">
        <f>IF(AND(ISNUMBER(J871),ISNUMBER(L871)),1,0)</f>
        <v/>
      </c>
      <c r="R871" s="69">
        <f>IF(Q871=1,G871*L871,0)</f>
        <v/>
      </c>
      <c r="S871" s="69">
        <f>IF(Q871=1,(H871+I871)*U871,0)</f>
        <v/>
      </c>
      <c r="T871" s="59">
        <f>IF(Q871=1,G871,0)</f>
        <v/>
      </c>
      <c r="U871" s="170" t="n">
        <v>1</v>
      </c>
    </row>
    <row r="872">
      <c r="A872" s="54" t="inlineStr">
        <is>
          <t>US SSS4</t>
        </is>
      </c>
      <c r="B872" s="54" t="inlineStr">
        <is>
          <t>US</t>
        </is>
      </c>
      <c r="C872" s="54" t="inlineStr">
        <is>
          <t>B0DDRD7JM2</t>
        </is>
      </c>
      <c r="D872" s="54" t="inlineStr">
        <is>
          <t>SS-SATIN-RED-QUEEN-4PCS</t>
        </is>
      </c>
      <c r="E872" s="54" t="inlineStr">
        <is>
          <t>Queen</t>
        </is>
      </c>
      <c r="F872" s="54" t="inlineStr">
        <is>
          <t>Red</t>
        </is>
      </c>
      <c r="G872" s="55" t="n">
        <v>61</v>
      </c>
      <c r="H872" s="167" t="n">
        <v>2055.65</v>
      </c>
      <c r="I872" s="167" t="n">
        <v>0</v>
      </c>
      <c r="J872" s="168">
        <f>IF(AND(N(G872)&gt;0,N(H872)+N(I872)&gt;0),(H872+I872)*U872/G872,"")</f>
        <v/>
      </c>
      <c r="K872" s="167" t="n">
        <v>45.95</v>
      </c>
      <c r="L872" s="167" t="n"/>
      <c r="M872" s="54" t="inlineStr">
        <is>
          <t>Out of stock</t>
        </is>
      </c>
      <c r="N872" s="168">
        <f>IF(OR(J872="",L872=""),"",L872-J872)</f>
        <v/>
      </c>
      <c r="O872" s="169">
        <f>IF(OR(J872="",L872=""),"",L872/J872-1)</f>
        <v/>
      </c>
      <c r="P872" s="169">
        <f>IF(OR(J872="",K872=""),"",K872/J872-1)</f>
        <v/>
      </c>
      <c r="Q872" s="54">
        <f>IF(AND(ISNUMBER(J872),ISNUMBER(L872)),1,0)</f>
        <v/>
      </c>
      <c r="R872" s="69">
        <f>IF(Q872=1,G872*L872,0)</f>
        <v/>
      </c>
      <c r="S872" s="69">
        <f>IF(Q872=1,(H872+I872)*U872,0)</f>
        <v/>
      </c>
      <c r="T872" s="59">
        <f>IF(Q872=1,G872,0)</f>
        <v/>
      </c>
      <c r="U872" s="170" t="n">
        <v>1</v>
      </c>
    </row>
    <row r="873">
      <c r="A873" s="54" t="inlineStr">
        <is>
          <t>US SSS4</t>
        </is>
      </c>
      <c r="B873" s="54" t="inlineStr">
        <is>
          <t>US</t>
        </is>
      </c>
      <c r="C873" s="54" t="inlineStr">
        <is>
          <t>B0DDQX824T</t>
        </is>
      </c>
      <c r="D873" s="54" t="inlineStr">
        <is>
          <t>SS-SATIN-BLACK-FULL-4PCS</t>
        </is>
      </c>
      <c r="E873" s="54" t="inlineStr">
        <is>
          <t>Full</t>
        </is>
      </c>
      <c r="F873" s="54" t="inlineStr">
        <is>
          <t>Black</t>
        </is>
      </c>
      <c r="G873" s="55" t="n">
        <v>46</v>
      </c>
      <c r="H873" s="167" t="n">
        <v>1327.56</v>
      </c>
      <c r="I873" s="167" t="n">
        <v>0</v>
      </c>
      <c r="J873" s="168">
        <f>IF(AND(N(G873)&gt;0,N(H873)+N(I873)&gt;0),(H873+I873)*U873/G873,"")</f>
        <v/>
      </c>
      <c r="K873" s="167" t="n">
        <v>38.95</v>
      </c>
      <c r="L873" s="167" t="n"/>
      <c r="M873" s="54" t="inlineStr">
        <is>
          <t>Out of stock</t>
        </is>
      </c>
      <c r="N873" s="168">
        <f>IF(OR(J873="",L873=""),"",L873-J873)</f>
        <v/>
      </c>
      <c r="O873" s="169">
        <f>IF(OR(J873="",L873=""),"",L873/J873-1)</f>
        <v/>
      </c>
      <c r="P873" s="169">
        <f>IF(OR(J873="",K873=""),"",K873/J873-1)</f>
        <v/>
      </c>
      <c r="Q873" s="54">
        <f>IF(AND(ISNUMBER(J873),ISNUMBER(L873)),1,0)</f>
        <v/>
      </c>
      <c r="R873" s="69">
        <f>IF(Q873=1,G873*L873,0)</f>
        <v/>
      </c>
      <c r="S873" s="69">
        <f>IF(Q873=1,(H873+I873)*U873,0)</f>
        <v/>
      </c>
      <c r="T873" s="59">
        <f>IF(Q873=1,G873,0)</f>
        <v/>
      </c>
      <c r="U873" s="170" t="n">
        <v>1</v>
      </c>
    </row>
    <row r="874">
      <c r="A874" s="54" t="inlineStr">
        <is>
          <t>US SSS4</t>
        </is>
      </c>
      <c r="B874" s="54" t="inlineStr">
        <is>
          <t>US</t>
        </is>
      </c>
      <c r="C874" s="54" t="inlineStr">
        <is>
          <t>B0DDRF591L</t>
        </is>
      </c>
      <c r="D874" s="54" t="inlineStr">
        <is>
          <t>SS-SATIN-GREY-QUEEN-4PCS</t>
        </is>
      </c>
      <c r="E874" s="54" t="inlineStr">
        <is>
          <t>Queen</t>
        </is>
      </c>
      <c r="F874" s="54" t="inlineStr">
        <is>
          <t>Grey</t>
        </is>
      </c>
      <c r="G874" s="55" t="n">
        <v>36</v>
      </c>
      <c r="H874" s="167" t="n">
        <v>955.8</v>
      </c>
      <c r="I874" s="167" t="n">
        <v>0</v>
      </c>
      <c r="J874" s="168">
        <f>IF(AND(N(G874)&gt;0,N(H874)+N(I874)&gt;0),(H874+I874)*U874/G874,"")</f>
        <v/>
      </c>
      <c r="K874" s="167" t="n"/>
      <c r="L874" s="167" t="n"/>
      <c r="M874" s="54" t="inlineStr">
        <is>
          <t>Not in a deal</t>
        </is>
      </c>
      <c r="N874" s="168">
        <f>IF(OR(J874="",L874=""),"",L874-J874)</f>
        <v/>
      </c>
      <c r="O874" s="169">
        <f>IF(OR(J874="",L874=""),"",L874/J874-1)</f>
        <v/>
      </c>
      <c r="P874" s="169">
        <f>IF(OR(J874="",K874=""),"",K874/J874-1)</f>
        <v/>
      </c>
      <c r="Q874" s="54">
        <f>IF(AND(ISNUMBER(J874),ISNUMBER(L874)),1,0)</f>
        <v/>
      </c>
      <c r="R874" s="69">
        <f>IF(Q874=1,G874*L874,0)</f>
        <v/>
      </c>
      <c r="S874" s="69">
        <f>IF(Q874=1,(H874+I874)*U874,0)</f>
        <v/>
      </c>
      <c r="T874" s="59">
        <f>IF(Q874=1,G874,0)</f>
        <v/>
      </c>
      <c r="U874" s="170" t="n">
        <v>1</v>
      </c>
    </row>
    <row r="875">
      <c r="A875" s="54" t="inlineStr">
        <is>
          <t>US SSS4</t>
        </is>
      </c>
      <c r="B875" s="54" t="inlineStr">
        <is>
          <t>US</t>
        </is>
      </c>
      <c r="C875" s="54" t="inlineStr">
        <is>
          <t>B0DDQX4176</t>
        </is>
      </c>
      <c r="D875" s="54" t="inlineStr">
        <is>
          <t>SS-SATIN-STONE-GREY-QUEEN-4PCS</t>
        </is>
      </c>
      <c r="E875" s="54" t="inlineStr">
        <is>
          <t>Queen</t>
        </is>
      </c>
      <c r="F875" s="54" t="inlineStr">
        <is>
          <t>Stone Grey</t>
        </is>
      </c>
      <c r="G875" s="55" t="n">
        <v>32</v>
      </c>
      <c r="H875" s="167" t="n">
        <v>1005.12</v>
      </c>
      <c r="I875" s="167" t="n">
        <v>0</v>
      </c>
      <c r="J875" s="168">
        <f>IF(AND(N(G875)&gt;0,N(H875)+N(I875)&gt;0),(H875+I875)*U875/G875,"")</f>
        <v/>
      </c>
      <c r="K875" s="167" t="n">
        <v>33.95</v>
      </c>
      <c r="L875" s="167" t="n"/>
      <c r="M875" s="54" t="inlineStr">
        <is>
          <t>Out of stock</t>
        </is>
      </c>
      <c r="N875" s="168">
        <f>IF(OR(J875="",L875=""),"",L875-J875)</f>
        <v/>
      </c>
      <c r="O875" s="169">
        <f>IF(OR(J875="",L875=""),"",L875/J875-1)</f>
        <v/>
      </c>
      <c r="P875" s="169">
        <f>IF(OR(J875="",K875=""),"",K875/J875-1)</f>
        <v/>
      </c>
      <c r="Q875" s="54">
        <f>IF(AND(ISNUMBER(J875),ISNUMBER(L875)),1,0)</f>
        <v/>
      </c>
      <c r="R875" s="69">
        <f>IF(Q875=1,G875*L875,0)</f>
        <v/>
      </c>
      <c r="S875" s="69">
        <f>IF(Q875=1,(H875+I875)*U875,0)</f>
        <v/>
      </c>
      <c r="T875" s="59">
        <f>IF(Q875=1,G875,0)</f>
        <v/>
      </c>
      <c r="U875" s="170" t="n">
        <v>1</v>
      </c>
    </row>
    <row r="876">
      <c r="A876" s="54" t="inlineStr">
        <is>
          <t>US SSS4</t>
        </is>
      </c>
      <c r="B876" s="54" t="inlineStr">
        <is>
          <t>US</t>
        </is>
      </c>
      <c r="C876" s="54" t="inlineStr">
        <is>
          <t>B0DDRH9RD7</t>
        </is>
      </c>
      <c r="D876" s="54" t="inlineStr">
        <is>
          <t>SS-SATIN-NAVY-BLUE-QUEEN-4PCS</t>
        </is>
      </c>
      <c r="E876" s="54" t="inlineStr">
        <is>
          <t>Queen</t>
        </is>
      </c>
      <c r="F876" s="54" t="inlineStr">
        <is>
          <t>Navy Blue</t>
        </is>
      </c>
      <c r="G876" s="55" t="n">
        <v>28</v>
      </c>
      <c r="H876" s="167" t="n">
        <v>879.48</v>
      </c>
      <c r="I876" s="167" t="n">
        <v>0</v>
      </c>
      <c r="J876" s="168">
        <f>IF(AND(N(G876)&gt;0,N(H876)+N(I876)&gt;0),(H876+I876)*U876/G876,"")</f>
        <v/>
      </c>
      <c r="K876" s="167" t="n">
        <v>33.95</v>
      </c>
      <c r="L876" s="167" t="n">
        <v>27.56</v>
      </c>
      <c r="M876" s="54" t="inlineStr">
        <is>
          <t>Eligible</t>
        </is>
      </c>
      <c r="N876" s="168">
        <f>IF(OR(J876="",L876=""),"",L876-J876)</f>
        <v/>
      </c>
      <c r="O876" s="169">
        <f>IF(OR(J876="",L876=""),"",L876/J876-1)</f>
        <v/>
      </c>
      <c r="P876" s="169">
        <f>IF(OR(J876="",K876=""),"",K876/J876-1)</f>
        <v/>
      </c>
      <c r="Q876" s="54">
        <f>IF(AND(ISNUMBER(J876),ISNUMBER(L876)),1,0)</f>
        <v/>
      </c>
      <c r="R876" s="69">
        <f>IF(Q876=1,G876*L876,0)</f>
        <v/>
      </c>
      <c r="S876" s="69">
        <f>IF(Q876=1,(H876+I876)*U876,0)</f>
        <v/>
      </c>
      <c r="T876" s="59">
        <f>IF(Q876=1,G876,0)</f>
        <v/>
      </c>
      <c r="U876" s="170" t="n">
        <v>1</v>
      </c>
    </row>
    <row r="877">
      <c r="A877" s="54" t="inlineStr">
        <is>
          <t>US SSS4</t>
        </is>
      </c>
      <c r="B877" s="54" t="inlineStr">
        <is>
          <t>US</t>
        </is>
      </c>
      <c r="C877" s="54" t="inlineStr">
        <is>
          <t>B0DDRCZN9J</t>
        </is>
      </c>
      <c r="D877" s="54" t="inlineStr">
        <is>
          <t>SS-SATIN-RED-FULL-4PCS</t>
        </is>
      </c>
      <c r="E877" s="54" t="inlineStr">
        <is>
          <t>Full</t>
        </is>
      </c>
      <c r="F877" s="54" t="inlineStr">
        <is>
          <t>Red</t>
        </is>
      </c>
      <c r="G877" s="55" t="n">
        <v>24</v>
      </c>
      <c r="H877" s="167" t="n">
        <v>692.64</v>
      </c>
      <c r="I877" s="167" t="n">
        <v>0</v>
      </c>
      <c r="J877" s="168">
        <f>IF(AND(N(G877)&gt;0,N(H877)+N(I877)&gt;0),(H877+I877)*U877/G877,"")</f>
        <v/>
      </c>
      <c r="K877" s="167" t="n">
        <v>31.95</v>
      </c>
      <c r="L877" s="167" t="n">
        <v>29.95</v>
      </c>
      <c r="M877" s="54" t="inlineStr">
        <is>
          <t>Eligible</t>
        </is>
      </c>
      <c r="N877" s="168">
        <f>IF(OR(J877="",L877=""),"",L877-J877)</f>
        <v/>
      </c>
      <c r="O877" s="169">
        <f>IF(OR(J877="",L877=""),"",L877/J877-1)</f>
        <v/>
      </c>
      <c r="P877" s="169">
        <f>IF(OR(J877="",K877=""),"",K877/J877-1)</f>
        <v/>
      </c>
      <c r="Q877" s="54">
        <f>IF(AND(ISNUMBER(J877),ISNUMBER(L877)),1,0)</f>
        <v/>
      </c>
      <c r="R877" s="69">
        <f>IF(Q877=1,G877*L877,0)</f>
        <v/>
      </c>
      <c r="S877" s="69">
        <f>IF(Q877=1,(H877+I877)*U877,0)</f>
        <v/>
      </c>
      <c r="T877" s="59">
        <f>IF(Q877=1,G877,0)</f>
        <v/>
      </c>
      <c r="U877" s="170" t="n">
        <v>1</v>
      </c>
    </row>
    <row r="878">
      <c r="A878" s="54" t="inlineStr">
        <is>
          <t>US SSS4</t>
        </is>
      </c>
      <c r="B878" s="54" t="inlineStr">
        <is>
          <t>US</t>
        </is>
      </c>
      <c r="C878" s="54" t="inlineStr">
        <is>
          <t>B0DDR4FVH1</t>
        </is>
      </c>
      <c r="D878" s="54" t="inlineStr">
        <is>
          <t>SS-SATIN-PURPLE-QUEEN-4PCS</t>
        </is>
      </c>
      <c r="E878" s="54" t="inlineStr">
        <is>
          <t>Queen</t>
        </is>
      </c>
      <c r="F878" s="54" t="inlineStr">
        <is>
          <t>Purple</t>
        </is>
      </c>
      <c r="G878" s="55" t="n">
        <v>22</v>
      </c>
      <c r="H878" s="167" t="n">
        <v>672.3200000000001</v>
      </c>
      <c r="I878" s="167" t="n">
        <v>0</v>
      </c>
      <c r="J878" s="168">
        <f>IF(AND(N(G878)&gt;0,N(H878)+N(I878)&gt;0),(H878+I878)*U878/G878,"")</f>
        <v/>
      </c>
      <c r="K878" s="167" t="n">
        <v>33.95</v>
      </c>
      <c r="L878" s="167" t="n">
        <v>31.95</v>
      </c>
      <c r="M878" s="54" t="inlineStr">
        <is>
          <t>Eligible</t>
        </is>
      </c>
      <c r="N878" s="168">
        <f>IF(OR(J878="",L878=""),"",L878-J878)</f>
        <v/>
      </c>
      <c r="O878" s="169">
        <f>IF(OR(J878="",L878=""),"",L878/J878-1)</f>
        <v/>
      </c>
      <c r="P878" s="169">
        <f>IF(OR(J878="",K878=""),"",K878/J878-1)</f>
        <v/>
      </c>
      <c r="Q878" s="54">
        <f>IF(AND(ISNUMBER(J878),ISNUMBER(L878)),1,0)</f>
        <v/>
      </c>
      <c r="R878" s="69">
        <f>IF(Q878=1,G878*L878,0)</f>
        <v/>
      </c>
      <c r="S878" s="69">
        <f>IF(Q878=1,(H878+I878)*U878,0)</f>
        <v/>
      </c>
      <c r="T878" s="59">
        <f>IF(Q878=1,G878,0)</f>
        <v/>
      </c>
      <c r="U878" s="170" t="n">
        <v>1</v>
      </c>
    </row>
    <row r="879">
      <c r="A879" s="54" t="inlineStr">
        <is>
          <t>US SSS4</t>
        </is>
      </c>
      <c r="B879" s="54" t="inlineStr">
        <is>
          <t>US</t>
        </is>
      </c>
      <c r="C879" s="54" t="inlineStr">
        <is>
          <t>B0DDRFM554</t>
        </is>
      </c>
      <c r="D879" s="54" t="inlineStr">
        <is>
          <t>SS-SATIN-BABY-BLUE-QUEEN-4PCS</t>
        </is>
      </c>
      <c r="E879" s="54" t="inlineStr">
        <is>
          <t>Queen</t>
        </is>
      </c>
      <c r="F879" s="54" t="inlineStr">
        <is>
          <t>Baby Blue</t>
        </is>
      </c>
      <c r="G879" s="55" t="n">
        <v>21</v>
      </c>
      <c r="H879" s="167" t="n">
        <v>677.25</v>
      </c>
      <c r="I879" s="167" t="n">
        <v>0</v>
      </c>
      <c r="J879" s="168">
        <f>IF(AND(N(G879)&gt;0,N(H879)+N(I879)&gt;0),(H879+I879)*U879/G879,"")</f>
        <v/>
      </c>
      <c r="K879" s="167" t="n">
        <v>33.95</v>
      </c>
      <c r="L879" s="167" t="n"/>
      <c r="M879" s="54" t="inlineStr">
        <is>
          <t>Out of stock</t>
        </is>
      </c>
      <c r="N879" s="168">
        <f>IF(OR(J879="",L879=""),"",L879-J879)</f>
        <v/>
      </c>
      <c r="O879" s="169">
        <f>IF(OR(J879="",L879=""),"",L879/J879-1)</f>
        <v/>
      </c>
      <c r="P879" s="169">
        <f>IF(OR(J879="",K879=""),"",K879/J879-1)</f>
        <v/>
      </c>
      <c r="Q879" s="54">
        <f>IF(AND(ISNUMBER(J879),ISNUMBER(L879)),1,0)</f>
        <v/>
      </c>
      <c r="R879" s="69">
        <f>IF(Q879=1,G879*L879,0)</f>
        <v/>
      </c>
      <c r="S879" s="69">
        <f>IF(Q879=1,(H879+I879)*U879,0)</f>
        <v/>
      </c>
      <c r="T879" s="59">
        <f>IF(Q879=1,G879,0)</f>
        <v/>
      </c>
      <c r="U879" s="170" t="n">
        <v>1</v>
      </c>
    </row>
    <row r="880">
      <c r="A880" s="54" t="inlineStr">
        <is>
          <t>US SSS4</t>
        </is>
      </c>
      <c r="B880" s="54" t="inlineStr">
        <is>
          <t>US</t>
        </is>
      </c>
      <c r="C880" s="54" t="inlineStr">
        <is>
          <t>B0DDRBTG9J</t>
        </is>
      </c>
      <c r="D880" s="54" t="inlineStr">
        <is>
          <t>SS-SATIN-PINK-QUEEN-4PCS</t>
        </is>
      </c>
      <c r="E880" s="54" t="inlineStr">
        <is>
          <t>Queen</t>
        </is>
      </c>
      <c r="F880" s="54" t="inlineStr">
        <is>
          <t>Pink</t>
        </is>
      </c>
      <c r="G880" s="55" t="n">
        <v>20</v>
      </c>
      <c r="H880" s="167" t="n">
        <v>611.2</v>
      </c>
      <c r="I880" s="167" t="n">
        <v>0</v>
      </c>
      <c r="J880" s="168">
        <f>IF(AND(N(G880)&gt;0,N(H880)+N(I880)&gt;0),(H880+I880)*U880/G880,"")</f>
        <v/>
      </c>
      <c r="K880" s="167" t="n">
        <v>31.95</v>
      </c>
      <c r="L880" s="167" t="n">
        <v>30.35</v>
      </c>
      <c r="M880" s="54" t="inlineStr">
        <is>
          <t>Eligible</t>
        </is>
      </c>
      <c r="N880" s="168">
        <f>IF(OR(J880="",L880=""),"",L880-J880)</f>
        <v/>
      </c>
      <c r="O880" s="169">
        <f>IF(OR(J880="",L880=""),"",L880/J880-1)</f>
        <v/>
      </c>
      <c r="P880" s="169">
        <f>IF(OR(J880="",K880=""),"",K880/J880-1)</f>
        <v/>
      </c>
      <c r="Q880" s="54">
        <f>IF(AND(ISNUMBER(J880),ISNUMBER(L880)),1,0)</f>
        <v/>
      </c>
      <c r="R880" s="69">
        <f>IF(Q880=1,G880*L880,0)</f>
        <v/>
      </c>
      <c r="S880" s="69">
        <f>IF(Q880=1,(H880+I880)*U880,0)</f>
        <v/>
      </c>
      <c r="T880" s="59">
        <f>IF(Q880=1,G880,0)</f>
        <v/>
      </c>
      <c r="U880" s="170" t="n">
        <v>1</v>
      </c>
    </row>
    <row r="881">
      <c r="A881" s="54" t="inlineStr">
        <is>
          <t>US SSS4</t>
        </is>
      </c>
      <c r="B881" s="54" t="inlineStr">
        <is>
          <t>US</t>
        </is>
      </c>
      <c r="C881" s="54" t="inlineStr">
        <is>
          <t>B0DDR1ZPRZ</t>
        </is>
      </c>
      <c r="D881" s="54" t="inlineStr">
        <is>
          <t>SS-SATIN-STONE-GREY-KING-4PCS</t>
        </is>
      </c>
      <c r="E881" s="54" t="inlineStr">
        <is>
          <t>King</t>
        </is>
      </c>
      <c r="F881" s="54" t="inlineStr">
        <is>
          <t>Stone Grey</t>
        </is>
      </c>
      <c r="G881" s="55" t="n">
        <v>19</v>
      </c>
      <c r="H881" s="167" t="n">
        <v>648.85</v>
      </c>
      <c r="I881" s="167" t="n">
        <v>0</v>
      </c>
      <c r="J881" s="168">
        <f>IF(AND(N(G881)&gt;0,N(H881)+N(I881)&gt;0),(H881+I881)*U881/G881,"")</f>
        <v/>
      </c>
      <c r="K881" s="167" t="n">
        <v>35.95</v>
      </c>
      <c r="L881" s="167" t="n">
        <v>32.25</v>
      </c>
      <c r="M881" s="54" t="inlineStr">
        <is>
          <t>Eligible</t>
        </is>
      </c>
      <c r="N881" s="168">
        <f>IF(OR(J881="",L881=""),"",L881-J881)</f>
        <v/>
      </c>
      <c r="O881" s="169">
        <f>IF(OR(J881="",L881=""),"",L881/J881-1)</f>
        <v/>
      </c>
      <c r="P881" s="169">
        <f>IF(OR(J881="",K881=""),"",K881/J881-1)</f>
        <v/>
      </c>
      <c r="Q881" s="54">
        <f>IF(AND(ISNUMBER(J881),ISNUMBER(L881)),1,0)</f>
        <v/>
      </c>
      <c r="R881" s="69">
        <f>IF(Q881=1,G881*L881,0)</f>
        <v/>
      </c>
      <c r="S881" s="69">
        <f>IF(Q881=1,(H881+I881)*U881,0)</f>
        <v/>
      </c>
      <c r="T881" s="59">
        <f>IF(Q881=1,G881,0)</f>
        <v/>
      </c>
      <c r="U881" s="170" t="n">
        <v>1</v>
      </c>
    </row>
    <row r="882">
      <c r="A882" s="54" t="inlineStr">
        <is>
          <t>US SSS4</t>
        </is>
      </c>
      <c r="B882" s="54" t="inlineStr">
        <is>
          <t>US</t>
        </is>
      </c>
      <c r="C882" s="54" t="inlineStr">
        <is>
          <t>B0DDRM5YW5</t>
        </is>
      </c>
      <c r="D882" s="54" t="inlineStr">
        <is>
          <t>SS-SATIN-ROSEWOOD-KING-4PCS</t>
        </is>
      </c>
      <c r="E882" s="54" t="inlineStr">
        <is>
          <t>King</t>
        </is>
      </c>
      <c r="F882" s="54" t="inlineStr">
        <is>
          <t>Rosewood</t>
        </is>
      </c>
      <c r="G882" s="55" t="n">
        <v>18</v>
      </c>
      <c r="H882" s="167" t="n">
        <v>495</v>
      </c>
      <c r="I882" s="167" t="n">
        <v>0</v>
      </c>
      <c r="J882" s="168">
        <f>IF(AND(N(G882)&gt;0,N(H882)+N(I882)&gt;0),(H882+I882)*U882/G882,"")</f>
        <v/>
      </c>
      <c r="K882" s="167" t="n">
        <v>35.95</v>
      </c>
      <c r="L882" s="167" t="n"/>
      <c r="M882" s="54" t="inlineStr">
        <is>
          <t>Out of stock</t>
        </is>
      </c>
      <c r="N882" s="168">
        <f>IF(OR(J882="",L882=""),"",L882-J882)</f>
        <v/>
      </c>
      <c r="O882" s="169">
        <f>IF(OR(J882="",L882=""),"",L882/J882-1)</f>
        <v/>
      </c>
      <c r="P882" s="169">
        <f>IF(OR(J882="",K882=""),"",K882/J882-1)</f>
        <v/>
      </c>
      <c r="Q882" s="54">
        <f>IF(AND(ISNUMBER(J882),ISNUMBER(L882)),1,0)</f>
        <v/>
      </c>
      <c r="R882" s="69">
        <f>IF(Q882=1,G882*L882,0)</f>
        <v/>
      </c>
      <c r="S882" s="69">
        <f>IF(Q882=1,(H882+I882)*U882,0)</f>
        <v/>
      </c>
      <c r="T882" s="59">
        <f>IF(Q882=1,G882,0)</f>
        <v/>
      </c>
      <c r="U882" s="170" t="n">
        <v>1</v>
      </c>
    </row>
    <row r="883">
      <c r="A883" s="54" t="inlineStr">
        <is>
          <t>US SSS4</t>
        </is>
      </c>
      <c r="B883" s="54" t="inlineStr">
        <is>
          <t>US</t>
        </is>
      </c>
      <c r="C883" s="54" t="inlineStr">
        <is>
          <t>B0DDQZ6VT4</t>
        </is>
      </c>
      <c r="D883" s="54" t="inlineStr">
        <is>
          <t>SS-SATIN-WHITE-KING-4PCS</t>
        </is>
      </c>
      <c r="E883" s="54" t="inlineStr">
        <is>
          <t>King</t>
        </is>
      </c>
      <c r="F883" s="54" t="inlineStr">
        <is>
          <t>White</t>
        </is>
      </c>
      <c r="G883" s="55" t="n">
        <v>18</v>
      </c>
      <c r="H883" s="167" t="n">
        <v>580.6799999999999</v>
      </c>
      <c r="I883" s="167" t="n">
        <v>0</v>
      </c>
      <c r="J883" s="168">
        <f>IF(AND(N(G883)&gt;0,N(H883)+N(I883)&gt;0),(H883+I883)*U883/G883,"")</f>
        <v/>
      </c>
      <c r="K883" s="167" t="n">
        <v>35.95</v>
      </c>
      <c r="L883" s="167" t="n">
        <v>34.15</v>
      </c>
      <c r="M883" s="54" t="inlineStr">
        <is>
          <t>Eligible</t>
        </is>
      </c>
      <c r="N883" s="168">
        <f>IF(OR(J883="",L883=""),"",L883-J883)</f>
        <v/>
      </c>
      <c r="O883" s="169">
        <f>IF(OR(J883="",L883=""),"",L883/J883-1)</f>
        <v/>
      </c>
      <c r="P883" s="169">
        <f>IF(OR(J883="",K883=""),"",K883/J883-1)</f>
        <v/>
      </c>
      <c r="Q883" s="54">
        <f>IF(AND(ISNUMBER(J883),ISNUMBER(L883)),1,0)</f>
        <v/>
      </c>
      <c r="R883" s="69">
        <f>IF(Q883=1,G883*L883,0)</f>
        <v/>
      </c>
      <c r="S883" s="69">
        <f>IF(Q883=1,(H883+I883)*U883,0)</f>
        <v/>
      </c>
      <c r="T883" s="59">
        <f>IF(Q883=1,G883,0)</f>
        <v/>
      </c>
      <c r="U883" s="170" t="n">
        <v>1</v>
      </c>
    </row>
    <row r="884">
      <c r="A884" s="54" t="inlineStr">
        <is>
          <t>US SSS4</t>
        </is>
      </c>
      <c r="B884" s="54" t="inlineStr">
        <is>
          <t>US</t>
        </is>
      </c>
      <c r="C884" s="54" t="inlineStr">
        <is>
          <t>B0DDQZG4MQ</t>
        </is>
      </c>
      <c r="D884" s="54" t="inlineStr">
        <is>
          <t>SS-SATIN-PINK-FULL-4PCS</t>
        </is>
      </c>
      <c r="E884" s="54" t="inlineStr">
        <is>
          <t>Full</t>
        </is>
      </c>
      <c r="F884" s="54" t="inlineStr">
        <is>
          <t>Pink</t>
        </is>
      </c>
      <c r="G884" s="55" t="n">
        <v>16</v>
      </c>
      <c r="H884" s="167" t="n">
        <v>461.76</v>
      </c>
      <c r="I884" s="167" t="n">
        <v>0</v>
      </c>
      <c r="J884" s="168">
        <f>IF(AND(N(G884)&gt;0,N(H884)+N(I884)&gt;0),(H884+I884)*U884/G884,"")</f>
        <v/>
      </c>
      <c r="K884" s="167" t="n">
        <v>31.95</v>
      </c>
      <c r="L884" s="167" t="n">
        <v>28.45</v>
      </c>
      <c r="M884" s="54" t="inlineStr">
        <is>
          <t>Eligible</t>
        </is>
      </c>
      <c r="N884" s="168">
        <f>IF(OR(J884="",L884=""),"",L884-J884)</f>
        <v/>
      </c>
      <c r="O884" s="169">
        <f>IF(OR(J884="",L884=""),"",L884/J884-1)</f>
        <v/>
      </c>
      <c r="P884" s="169">
        <f>IF(OR(J884="",K884=""),"",K884/J884-1)</f>
        <v/>
      </c>
      <c r="Q884" s="54">
        <f>IF(AND(ISNUMBER(J884),ISNUMBER(L884)),1,0)</f>
        <v/>
      </c>
      <c r="R884" s="69">
        <f>IF(Q884=1,G884*L884,0)</f>
        <v/>
      </c>
      <c r="S884" s="69">
        <f>IF(Q884=1,(H884+I884)*U884,0)</f>
        <v/>
      </c>
      <c r="T884" s="59">
        <f>IF(Q884=1,G884,0)</f>
        <v/>
      </c>
      <c r="U884" s="170" t="n">
        <v>1</v>
      </c>
    </row>
    <row r="885">
      <c r="A885" s="54" t="inlineStr">
        <is>
          <t>US SSS4</t>
        </is>
      </c>
      <c r="B885" s="54" t="inlineStr">
        <is>
          <t>US</t>
        </is>
      </c>
      <c r="C885" s="54" t="inlineStr">
        <is>
          <t>B0DDRCQZ7G</t>
        </is>
      </c>
      <c r="D885" s="54" t="inlineStr">
        <is>
          <t>SS-SATIN-PURPLE-KING-4PCS</t>
        </is>
      </c>
      <c r="E885" s="54" t="inlineStr">
        <is>
          <t>King</t>
        </is>
      </c>
      <c r="F885" s="54" t="inlineStr">
        <is>
          <t>Purple</t>
        </is>
      </c>
      <c r="G885" s="55" t="n">
        <v>16</v>
      </c>
      <c r="H885" s="167" t="n">
        <v>516.16</v>
      </c>
      <c r="I885" s="167" t="n">
        <v>0</v>
      </c>
      <c r="J885" s="168">
        <f>IF(AND(N(G885)&gt;0,N(H885)+N(I885)&gt;0),(H885+I885)*U885/G885,"")</f>
        <v/>
      </c>
      <c r="K885" s="167" t="n">
        <v>35.95</v>
      </c>
      <c r="L885" s="167" t="n">
        <v>32.25</v>
      </c>
      <c r="M885" s="54" t="inlineStr">
        <is>
          <t>Eligible</t>
        </is>
      </c>
      <c r="N885" s="168">
        <f>IF(OR(J885="",L885=""),"",L885-J885)</f>
        <v/>
      </c>
      <c r="O885" s="169">
        <f>IF(OR(J885="",L885=""),"",L885/J885-1)</f>
        <v/>
      </c>
      <c r="P885" s="169">
        <f>IF(OR(J885="",K885=""),"",K885/J885-1)</f>
        <v/>
      </c>
      <c r="Q885" s="54">
        <f>IF(AND(ISNUMBER(J885),ISNUMBER(L885)),1,0)</f>
        <v/>
      </c>
      <c r="R885" s="69">
        <f>IF(Q885=1,G885*L885,0)</f>
        <v/>
      </c>
      <c r="S885" s="69">
        <f>IF(Q885=1,(H885+I885)*U885,0)</f>
        <v/>
      </c>
      <c r="T885" s="59">
        <f>IF(Q885=1,G885,0)</f>
        <v/>
      </c>
      <c r="U885" s="170" t="n">
        <v>1</v>
      </c>
    </row>
    <row r="886">
      <c r="A886" s="54" t="inlineStr">
        <is>
          <t>US SSS4</t>
        </is>
      </c>
      <c r="B886" s="54" t="inlineStr">
        <is>
          <t>US</t>
        </is>
      </c>
      <c r="C886" s="54" t="inlineStr">
        <is>
          <t>B0DDR97FTJ</t>
        </is>
      </c>
      <c r="D886" s="54" t="inlineStr">
        <is>
          <t>SS-SATIN-STONE-GREY-FULL-4PCS</t>
        </is>
      </c>
      <c r="E886" s="54" t="inlineStr">
        <is>
          <t>Full</t>
        </is>
      </c>
      <c r="F886" s="54" t="inlineStr">
        <is>
          <t>Stone Grey</t>
        </is>
      </c>
      <c r="G886" s="55" t="n">
        <v>15</v>
      </c>
      <c r="H886" s="167" t="n">
        <v>384</v>
      </c>
      <c r="I886" s="167" t="n">
        <v>0</v>
      </c>
      <c r="J886" s="168">
        <f>IF(AND(N(G886)&gt;0,N(H886)+N(I886)&gt;0),(H886+I886)*U886/G886,"")</f>
        <v/>
      </c>
      <c r="K886" s="167" t="n">
        <v>31.95</v>
      </c>
      <c r="L886" s="167" t="n"/>
      <c r="M886" s="54" t="inlineStr">
        <is>
          <t>Out of stock</t>
        </is>
      </c>
      <c r="N886" s="168">
        <f>IF(OR(J886="",L886=""),"",L886-J886)</f>
        <v/>
      </c>
      <c r="O886" s="169">
        <f>IF(OR(J886="",L886=""),"",L886/J886-1)</f>
        <v/>
      </c>
      <c r="P886" s="169">
        <f>IF(OR(J886="",K886=""),"",K886/J886-1)</f>
        <v/>
      </c>
      <c r="Q886" s="54">
        <f>IF(AND(ISNUMBER(J886),ISNUMBER(L886)),1,0)</f>
        <v/>
      </c>
      <c r="R886" s="69">
        <f>IF(Q886=1,G886*L886,0)</f>
        <v/>
      </c>
      <c r="S886" s="69">
        <f>IF(Q886=1,(H886+I886)*U886,0)</f>
        <v/>
      </c>
      <c r="T886" s="59">
        <f>IF(Q886=1,G886,0)</f>
        <v/>
      </c>
      <c r="U886" s="170" t="n">
        <v>1</v>
      </c>
    </row>
    <row r="887">
      <c r="A887" s="54" t="inlineStr">
        <is>
          <t>US SSS4</t>
        </is>
      </c>
      <c r="B887" s="54" t="inlineStr">
        <is>
          <t>US</t>
        </is>
      </c>
      <c r="C887" s="54" t="inlineStr">
        <is>
          <t>B0DDQXM4RF</t>
        </is>
      </c>
      <c r="D887" s="54" t="inlineStr">
        <is>
          <t>SS-SATIN-GREY-KING-4PCS</t>
        </is>
      </c>
      <c r="E887" s="54" t="inlineStr">
        <is>
          <t>King</t>
        </is>
      </c>
      <c r="F887" s="54" t="inlineStr">
        <is>
          <t>Grey</t>
        </is>
      </c>
      <c r="G887" s="55" t="n">
        <v>14</v>
      </c>
      <c r="H887" s="167" t="n">
        <v>478.1</v>
      </c>
      <c r="I887" s="167" t="n">
        <v>0</v>
      </c>
      <c r="J887" s="168">
        <f>IF(AND(N(G887)&gt;0,N(H887)+N(I887)&gt;0),(H887+I887)*U887/G887,"")</f>
        <v/>
      </c>
      <c r="K887" s="167" t="n">
        <v>35.95</v>
      </c>
      <c r="L887" s="167" t="n">
        <v>33.95</v>
      </c>
      <c r="M887" s="54" t="inlineStr">
        <is>
          <t>Eligible</t>
        </is>
      </c>
      <c r="N887" s="168">
        <f>IF(OR(J887="",L887=""),"",L887-J887)</f>
        <v/>
      </c>
      <c r="O887" s="169">
        <f>IF(OR(J887="",L887=""),"",L887/J887-1)</f>
        <v/>
      </c>
      <c r="P887" s="169">
        <f>IF(OR(J887="",K887=""),"",K887/J887-1)</f>
        <v/>
      </c>
      <c r="Q887" s="54">
        <f>IF(AND(ISNUMBER(J887),ISNUMBER(L887)),1,0)</f>
        <v/>
      </c>
      <c r="R887" s="69">
        <f>IF(Q887=1,G887*L887,0)</f>
        <v/>
      </c>
      <c r="S887" s="69">
        <f>IF(Q887=1,(H887+I887)*U887,0)</f>
        <v/>
      </c>
      <c r="T887" s="59">
        <f>IF(Q887=1,G887,0)</f>
        <v/>
      </c>
      <c r="U887" s="170" t="n">
        <v>1</v>
      </c>
    </row>
    <row r="888">
      <c r="A888" s="54" t="inlineStr">
        <is>
          <t>US SSS4</t>
        </is>
      </c>
      <c r="B888" s="54" t="inlineStr">
        <is>
          <t>US</t>
        </is>
      </c>
      <c r="C888" s="54" t="inlineStr">
        <is>
          <t>B0DDRL7H2W</t>
        </is>
      </c>
      <c r="D888" s="54" t="inlineStr">
        <is>
          <t>SS-SATIN-SEA-TEAL-KING-4PCS</t>
        </is>
      </c>
      <c r="E888" s="54" t="inlineStr">
        <is>
          <t>King</t>
        </is>
      </c>
      <c r="F888" s="54" t="inlineStr">
        <is>
          <t>Sea Teal</t>
        </is>
      </c>
      <c r="G888" s="55" t="n">
        <v>14</v>
      </c>
      <c r="H888" s="167" t="n">
        <v>478.1</v>
      </c>
      <c r="I888" s="167" t="n">
        <v>0</v>
      </c>
      <c r="J888" s="168">
        <f>IF(AND(N(G888)&gt;0,N(H888)+N(I888)&gt;0),(H888+I888)*U888/G888,"")</f>
        <v/>
      </c>
      <c r="K888" s="167" t="n">
        <v>35.95</v>
      </c>
      <c r="L888" s="167" t="n">
        <v>32.25</v>
      </c>
      <c r="M888" s="54" t="inlineStr">
        <is>
          <t>Eligible</t>
        </is>
      </c>
      <c r="N888" s="168">
        <f>IF(OR(J888="",L888=""),"",L888-J888)</f>
        <v/>
      </c>
      <c r="O888" s="169">
        <f>IF(OR(J888="",L888=""),"",L888/J888-1)</f>
        <v/>
      </c>
      <c r="P888" s="169">
        <f>IF(OR(J888="",K888=""),"",K888/J888-1)</f>
        <v/>
      </c>
      <c r="Q888" s="54">
        <f>IF(AND(ISNUMBER(J888),ISNUMBER(L888)),1,0)</f>
        <v/>
      </c>
      <c r="R888" s="69">
        <f>IF(Q888=1,G888*L888,0)</f>
        <v/>
      </c>
      <c r="S888" s="69">
        <f>IF(Q888=1,(H888+I888)*U888,0)</f>
        <v/>
      </c>
      <c r="T888" s="59">
        <f>IF(Q888=1,G888,0)</f>
        <v/>
      </c>
      <c r="U888" s="170" t="n">
        <v>1</v>
      </c>
    </row>
    <row r="889">
      <c r="A889" s="54" t="inlineStr">
        <is>
          <t>US SSS4</t>
        </is>
      </c>
      <c r="B889" s="54" t="inlineStr">
        <is>
          <t>US</t>
        </is>
      </c>
      <c r="C889" s="54" t="inlineStr">
        <is>
          <t>B0DDRHLV1C</t>
        </is>
      </c>
      <c r="D889" s="54" t="inlineStr">
        <is>
          <t>SS-SATIN-LAVENDER-QUEEN-4PCS</t>
        </is>
      </c>
      <c r="E889" s="54" t="inlineStr">
        <is>
          <t>Queen</t>
        </is>
      </c>
      <c r="F889" s="54" t="inlineStr">
        <is>
          <t>Lavender</t>
        </is>
      </c>
      <c r="G889" s="55" t="n">
        <v>14</v>
      </c>
      <c r="H889" s="167" t="n">
        <v>451.5</v>
      </c>
      <c r="I889" s="167" t="n">
        <v>0</v>
      </c>
      <c r="J889" s="168">
        <f>IF(AND(N(G889)&gt;0,N(H889)+N(I889)&gt;0),(H889+I889)*U889/G889,"")</f>
        <v/>
      </c>
      <c r="K889" s="167" t="n">
        <v>33.95</v>
      </c>
      <c r="L889" s="167" t="n">
        <v>31.95</v>
      </c>
      <c r="M889" s="54" t="inlineStr">
        <is>
          <t>Eligible</t>
        </is>
      </c>
      <c r="N889" s="168">
        <f>IF(OR(J889="",L889=""),"",L889-J889)</f>
        <v/>
      </c>
      <c r="O889" s="169">
        <f>IF(OR(J889="",L889=""),"",L889/J889-1)</f>
        <v/>
      </c>
      <c r="P889" s="169">
        <f>IF(OR(J889="",K889=""),"",K889/J889-1)</f>
        <v/>
      </c>
      <c r="Q889" s="54">
        <f>IF(AND(ISNUMBER(J889),ISNUMBER(L889)),1,0)</f>
        <v/>
      </c>
      <c r="R889" s="69">
        <f>IF(Q889=1,G889*L889,0)</f>
        <v/>
      </c>
      <c r="S889" s="69">
        <f>IF(Q889=1,(H889+I889)*U889,0)</f>
        <v/>
      </c>
      <c r="T889" s="59">
        <f>IF(Q889=1,G889,0)</f>
        <v/>
      </c>
      <c r="U889" s="170" t="n">
        <v>1</v>
      </c>
    </row>
    <row r="890">
      <c r="A890" s="54" t="inlineStr">
        <is>
          <t>US SSS4</t>
        </is>
      </c>
      <c r="B890" s="54" t="inlineStr">
        <is>
          <t>US</t>
        </is>
      </c>
      <c r="C890" s="54" t="inlineStr">
        <is>
          <t>B0DDQX793B</t>
        </is>
      </c>
      <c r="D890" s="54" t="inlineStr">
        <is>
          <t>SS-SATIN-GREY-FULL-4PCS</t>
        </is>
      </c>
      <c r="E890" s="54" t="inlineStr">
        <is>
          <t>Full</t>
        </is>
      </c>
      <c r="F890" s="54" t="inlineStr">
        <is>
          <t>Grey</t>
        </is>
      </c>
      <c r="G890" s="55" t="n">
        <v>12</v>
      </c>
      <c r="H890" s="167" t="n">
        <v>325.92</v>
      </c>
      <c r="I890" s="167" t="n">
        <v>0</v>
      </c>
      <c r="J890" s="168">
        <f>IF(AND(N(G890)&gt;0,N(H890)+N(I890)&gt;0),(H890+I890)*U890/G890,"")</f>
        <v/>
      </c>
      <c r="K890" s="167" t="n">
        <v>31.95</v>
      </c>
      <c r="L890" s="167" t="n">
        <v>28.45</v>
      </c>
      <c r="M890" s="54" t="inlineStr">
        <is>
          <t>Eligible</t>
        </is>
      </c>
      <c r="N890" s="168">
        <f>IF(OR(J890="",L890=""),"",L890-J890)</f>
        <v/>
      </c>
      <c r="O890" s="169">
        <f>IF(OR(J890="",L890=""),"",L890/J890-1)</f>
        <v/>
      </c>
      <c r="P890" s="169">
        <f>IF(OR(J890="",K890=""),"",K890/J890-1)</f>
        <v/>
      </c>
      <c r="Q890" s="54">
        <f>IF(AND(ISNUMBER(J890),ISNUMBER(L890)),1,0)</f>
        <v/>
      </c>
      <c r="R890" s="69">
        <f>IF(Q890=1,G890*L890,0)</f>
        <v/>
      </c>
      <c r="S890" s="69">
        <f>IF(Q890=1,(H890+I890)*U890,0)</f>
        <v/>
      </c>
      <c r="T890" s="59">
        <f>IF(Q890=1,G890,0)</f>
        <v/>
      </c>
      <c r="U890" s="170" t="n">
        <v>1</v>
      </c>
    </row>
    <row r="891">
      <c r="A891" s="54" t="inlineStr">
        <is>
          <t>US SSS4</t>
        </is>
      </c>
      <c r="B891" s="54" t="inlineStr">
        <is>
          <t>US</t>
        </is>
      </c>
      <c r="C891" s="54" t="inlineStr">
        <is>
          <t>B0DDR6921L</t>
        </is>
      </c>
      <c r="D891" s="54" t="inlineStr">
        <is>
          <t>SS-SATIN-DARK-GREEN-KING-4PCS</t>
        </is>
      </c>
      <c r="E891" s="54" t="inlineStr">
        <is>
          <t>King</t>
        </is>
      </c>
      <c r="F891" s="54" t="inlineStr">
        <is>
          <t>Dark Green</t>
        </is>
      </c>
      <c r="G891" s="55" t="n">
        <v>12</v>
      </c>
      <c r="H891" s="167" t="n">
        <v>409.8</v>
      </c>
      <c r="I891" s="167" t="n">
        <v>0</v>
      </c>
      <c r="J891" s="168">
        <f>IF(AND(N(G891)&gt;0,N(H891)+N(I891)&gt;0),(H891+I891)*U891/G891,"")</f>
        <v/>
      </c>
      <c r="K891" s="167" t="n">
        <v>35.95</v>
      </c>
      <c r="L891" s="167" t="n">
        <v>34.15</v>
      </c>
      <c r="M891" s="54" t="inlineStr">
        <is>
          <t>Eligible</t>
        </is>
      </c>
      <c r="N891" s="168">
        <f>IF(OR(J891="",L891=""),"",L891-J891)</f>
        <v/>
      </c>
      <c r="O891" s="169">
        <f>IF(OR(J891="",L891=""),"",L891/J891-1)</f>
        <v/>
      </c>
      <c r="P891" s="169">
        <f>IF(OR(J891="",K891=""),"",K891/J891-1)</f>
        <v/>
      </c>
      <c r="Q891" s="54">
        <f>IF(AND(ISNUMBER(J891),ISNUMBER(L891)),1,0)</f>
        <v/>
      </c>
      <c r="R891" s="69">
        <f>IF(Q891=1,G891*L891,0)</f>
        <v/>
      </c>
      <c r="S891" s="69">
        <f>IF(Q891=1,(H891+I891)*U891,0)</f>
        <v/>
      </c>
      <c r="T891" s="59">
        <f>IF(Q891=1,G891,0)</f>
        <v/>
      </c>
      <c r="U891" s="170" t="n">
        <v>1</v>
      </c>
    </row>
    <row r="892">
      <c r="A892" s="54" t="inlineStr">
        <is>
          <t>US SSS4</t>
        </is>
      </c>
      <c r="B892" s="54" t="inlineStr">
        <is>
          <t>US</t>
        </is>
      </c>
      <c r="C892" s="54" t="inlineStr">
        <is>
          <t>B0DDR5K4JT</t>
        </is>
      </c>
      <c r="D892" s="54" t="inlineStr">
        <is>
          <t>SS-SATIN-NAVY-BLUE-KING-4PCS</t>
        </is>
      </c>
      <c r="E892" s="54" t="inlineStr">
        <is>
          <t>King</t>
        </is>
      </c>
      <c r="F892" s="54" t="inlineStr">
        <is>
          <t>Navy Blue</t>
        </is>
      </c>
      <c r="G892" s="55" t="n">
        <v>12</v>
      </c>
      <c r="H892" s="167" t="n">
        <v>409.8</v>
      </c>
      <c r="I892" s="167" t="n">
        <v>0</v>
      </c>
      <c r="J892" s="168">
        <f>IF(AND(N(G892)&gt;0,N(H892)+N(I892)&gt;0),(H892+I892)*U892/G892,"")</f>
        <v/>
      </c>
      <c r="K892" s="167" t="n">
        <v>35.95</v>
      </c>
      <c r="L892" s="167" t="n">
        <v>27.56</v>
      </c>
      <c r="M892" s="54" t="inlineStr">
        <is>
          <t>Eligible</t>
        </is>
      </c>
      <c r="N892" s="168">
        <f>IF(OR(J892="",L892=""),"",L892-J892)</f>
        <v/>
      </c>
      <c r="O892" s="169">
        <f>IF(OR(J892="",L892=""),"",L892/J892-1)</f>
        <v/>
      </c>
      <c r="P892" s="169">
        <f>IF(OR(J892="",K892=""),"",K892/J892-1)</f>
        <v/>
      </c>
      <c r="Q892" s="54">
        <f>IF(AND(ISNUMBER(J892),ISNUMBER(L892)),1,0)</f>
        <v/>
      </c>
      <c r="R892" s="69">
        <f>IF(Q892=1,G892*L892,0)</f>
        <v/>
      </c>
      <c r="S892" s="69">
        <f>IF(Q892=1,(H892+I892)*U892,0)</f>
        <v/>
      </c>
      <c r="T892" s="59">
        <f>IF(Q892=1,G892,0)</f>
        <v/>
      </c>
      <c r="U892" s="170" t="n">
        <v>1</v>
      </c>
    </row>
    <row r="893">
      <c r="A893" s="54" t="inlineStr">
        <is>
          <t>US SSS4</t>
        </is>
      </c>
      <c r="B893" s="54" t="inlineStr">
        <is>
          <t>US</t>
        </is>
      </c>
      <c r="C893" s="54" t="inlineStr">
        <is>
          <t>B0DDRGZYZD</t>
        </is>
      </c>
      <c r="D893" s="54" t="inlineStr">
        <is>
          <t>SS-SATIN-DARK-GREEN-QUEEN-4PCS</t>
        </is>
      </c>
      <c r="E893" s="54" t="inlineStr">
        <is>
          <t>Queen</t>
        </is>
      </c>
      <c r="F893" s="54" t="inlineStr">
        <is>
          <t>Dark Green</t>
        </is>
      </c>
      <c r="G893" s="55" t="n">
        <v>12</v>
      </c>
      <c r="H893" s="167" t="n">
        <v>366.72</v>
      </c>
      <c r="I893" s="167" t="n">
        <v>0</v>
      </c>
      <c r="J893" s="168">
        <f>IF(AND(N(G893)&gt;0,N(H893)+N(I893)&gt;0),(H893+I893)*U893/G893,"")</f>
        <v/>
      </c>
      <c r="K893" s="167" t="n">
        <v>33.95</v>
      </c>
      <c r="L893" s="167" t="n"/>
      <c r="M893" s="54" t="inlineStr">
        <is>
          <t>Out of stock</t>
        </is>
      </c>
      <c r="N893" s="168">
        <f>IF(OR(J893="",L893=""),"",L893-J893)</f>
        <v/>
      </c>
      <c r="O893" s="169">
        <f>IF(OR(J893="",L893=""),"",L893/J893-1)</f>
        <v/>
      </c>
      <c r="P893" s="169">
        <f>IF(OR(J893="",K893=""),"",K893/J893-1)</f>
        <v/>
      </c>
      <c r="Q893" s="54">
        <f>IF(AND(ISNUMBER(J893),ISNUMBER(L893)),1,0)</f>
        <v/>
      </c>
      <c r="R893" s="69">
        <f>IF(Q893=1,G893*L893,0)</f>
        <v/>
      </c>
      <c r="S893" s="69">
        <f>IF(Q893=1,(H893+I893)*U893,0)</f>
        <v/>
      </c>
      <c r="T893" s="59">
        <f>IF(Q893=1,G893,0)</f>
        <v/>
      </c>
      <c r="U893" s="170" t="n">
        <v>1</v>
      </c>
    </row>
    <row r="894">
      <c r="A894" s="54" t="inlineStr">
        <is>
          <t>US SSS4</t>
        </is>
      </c>
      <c r="B894" s="54" t="inlineStr">
        <is>
          <t>US</t>
        </is>
      </c>
      <c r="C894" s="54" t="inlineStr">
        <is>
          <t>B0DDR5VW96</t>
        </is>
      </c>
      <c r="D894" s="54" t="inlineStr">
        <is>
          <t>SS-SATIN-ROSEWOOD-QUEEN-4PCS</t>
        </is>
      </c>
      <c r="E894" s="54" t="inlineStr">
        <is>
          <t>Queen</t>
        </is>
      </c>
      <c r="F894" s="54" t="inlineStr">
        <is>
          <t>Rosewood</t>
        </is>
      </c>
      <c r="G894" s="55" t="n">
        <v>11</v>
      </c>
      <c r="H894" s="167" t="n">
        <v>336.16</v>
      </c>
      <c r="I894" s="167" t="n">
        <v>0</v>
      </c>
      <c r="J894" s="168">
        <f>IF(AND(N(G894)&gt;0,N(H894)+N(I894)&gt;0),(H894+I894)*U894/G894,"")</f>
        <v/>
      </c>
      <c r="K894" s="167" t="n">
        <v>33.95</v>
      </c>
      <c r="L894" s="167" t="n"/>
      <c r="M894" s="54" t="inlineStr">
        <is>
          <t>Out of stock</t>
        </is>
      </c>
      <c r="N894" s="168">
        <f>IF(OR(J894="",L894=""),"",L894-J894)</f>
        <v/>
      </c>
      <c r="O894" s="169">
        <f>IF(OR(J894="",L894=""),"",L894/J894-1)</f>
        <v/>
      </c>
      <c r="P894" s="169">
        <f>IF(OR(J894="",K894=""),"",K894/J894-1)</f>
        <v/>
      </c>
      <c r="Q894" s="54">
        <f>IF(AND(ISNUMBER(J894),ISNUMBER(L894)),1,0)</f>
        <v/>
      </c>
      <c r="R894" s="69">
        <f>IF(Q894=1,G894*L894,0)</f>
        <v/>
      </c>
      <c r="S894" s="69">
        <f>IF(Q894=1,(H894+I894)*U894,0)</f>
        <v/>
      </c>
      <c r="T894" s="59">
        <f>IF(Q894=1,G894,0)</f>
        <v/>
      </c>
      <c r="U894" s="170" t="n">
        <v>1</v>
      </c>
    </row>
    <row r="895">
      <c r="A895" s="54" t="inlineStr">
        <is>
          <t>US SSS4</t>
        </is>
      </c>
      <c r="B895" s="54" t="inlineStr">
        <is>
          <t>US</t>
        </is>
      </c>
      <c r="C895" s="54" t="inlineStr">
        <is>
          <t>B0DDRCSW2N</t>
        </is>
      </c>
      <c r="D895" s="54" t="inlineStr">
        <is>
          <t>SS-SATIN-BLACK-TWIN-3PCS</t>
        </is>
      </c>
      <c r="E895" s="54" t="inlineStr">
        <is>
          <t>Twin</t>
        </is>
      </c>
      <c r="F895" s="54" t="inlineStr">
        <is>
          <t>Black</t>
        </is>
      </c>
      <c r="G895" s="55" t="n">
        <v>11</v>
      </c>
      <c r="H895" s="167" t="n">
        <v>271.15</v>
      </c>
      <c r="I895" s="167" t="n">
        <v>0</v>
      </c>
      <c r="J895" s="168">
        <f>IF(AND(N(G895)&gt;0,N(H895)+N(I895)&gt;0),(H895+I895)*U895/G895,"")</f>
        <v/>
      </c>
      <c r="K895" s="167" t="n">
        <v>29.95</v>
      </c>
      <c r="L895" s="167" t="n"/>
      <c r="M895" s="54" t="inlineStr">
        <is>
          <t>Out of stock</t>
        </is>
      </c>
      <c r="N895" s="168">
        <f>IF(OR(J895="",L895=""),"",L895-J895)</f>
        <v/>
      </c>
      <c r="O895" s="169">
        <f>IF(OR(J895="",L895=""),"",L895/J895-1)</f>
        <v/>
      </c>
      <c r="P895" s="169">
        <f>IF(OR(J895="",K895=""),"",K895/J895-1)</f>
        <v/>
      </c>
      <c r="Q895" s="54">
        <f>IF(AND(ISNUMBER(J895),ISNUMBER(L895)),1,0)</f>
        <v/>
      </c>
      <c r="R895" s="69">
        <f>IF(Q895=1,G895*L895,0)</f>
        <v/>
      </c>
      <c r="S895" s="69">
        <f>IF(Q895=1,(H895+I895)*U895,0)</f>
        <v/>
      </c>
      <c r="T895" s="59">
        <f>IF(Q895=1,G895,0)</f>
        <v/>
      </c>
      <c r="U895" s="170" t="n">
        <v>1</v>
      </c>
    </row>
    <row r="896">
      <c r="A896" s="54" t="inlineStr">
        <is>
          <t>US SSS4</t>
        </is>
      </c>
      <c r="B896" s="54" t="inlineStr">
        <is>
          <t>US</t>
        </is>
      </c>
      <c r="C896" s="54" t="inlineStr">
        <is>
          <t>B0DDRHN5JH</t>
        </is>
      </c>
      <c r="D896" s="54" t="inlineStr">
        <is>
          <t>SS-SATIN-IVORY-QUEEN-4PCS</t>
        </is>
      </c>
      <c r="E896" s="54" t="inlineStr">
        <is>
          <t>Queen</t>
        </is>
      </c>
      <c r="F896" s="54" t="inlineStr">
        <is>
          <t>Ivory</t>
        </is>
      </c>
      <c r="G896" s="55" t="n">
        <v>10</v>
      </c>
      <c r="H896" s="167" t="n">
        <v>305.6</v>
      </c>
      <c r="I896" s="167" t="n">
        <v>0</v>
      </c>
      <c r="J896" s="168">
        <f>IF(AND(N(G896)&gt;0,N(H896)+N(I896)&gt;0),(H896+I896)*U896/G896,"")</f>
        <v/>
      </c>
      <c r="K896" s="167" t="n">
        <v>33.95</v>
      </c>
      <c r="L896" s="167" t="n"/>
      <c r="M896" s="54" t="inlineStr">
        <is>
          <t>Out of stock</t>
        </is>
      </c>
      <c r="N896" s="168">
        <f>IF(OR(J896="",L896=""),"",L896-J896)</f>
        <v/>
      </c>
      <c r="O896" s="169">
        <f>IF(OR(J896="",L896=""),"",L896/J896-1)</f>
        <v/>
      </c>
      <c r="P896" s="169">
        <f>IF(OR(J896="",K896=""),"",K896/J896-1)</f>
        <v/>
      </c>
      <c r="Q896" s="54">
        <f>IF(AND(ISNUMBER(J896),ISNUMBER(L896)),1,0)</f>
        <v/>
      </c>
      <c r="R896" s="69">
        <f>IF(Q896=1,G896*L896,0)</f>
        <v/>
      </c>
      <c r="S896" s="69">
        <f>IF(Q896=1,(H896+I896)*U896,0)</f>
        <v/>
      </c>
      <c r="T896" s="59">
        <f>IF(Q896=1,G896,0)</f>
        <v/>
      </c>
      <c r="U896" s="170" t="n">
        <v>1</v>
      </c>
    </row>
    <row r="897">
      <c r="A897" s="54" t="inlineStr">
        <is>
          <t>US SSS4</t>
        </is>
      </c>
      <c r="B897" s="54" t="inlineStr">
        <is>
          <t>US</t>
        </is>
      </c>
      <c r="C897" s="54" t="inlineStr">
        <is>
          <t>B0DDR3WWT1</t>
        </is>
      </c>
      <c r="D897" s="54" t="inlineStr">
        <is>
          <t>SS-SATIN-STRIPED-PINK-QUEEN-4PCS</t>
        </is>
      </c>
      <c r="E897" s="54" t="inlineStr">
        <is>
          <t>Queen</t>
        </is>
      </c>
      <c r="F897" s="54" t="inlineStr">
        <is>
          <t>Striped Pink</t>
        </is>
      </c>
      <c r="G897" s="55" t="n">
        <v>10</v>
      </c>
      <c r="H897" s="167" t="n">
        <v>305.6</v>
      </c>
      <c r="I897" s="167" t="n">
        <v>0</v>
      </c>
      <c r="J897" s="168">
        <f>IF(AND(N(G897)&gt;0,N(H897)+N(I897)&gt;0),(H897+I897)*U897/G897,"")</f>
        <v/>
      </c>
      <c r="K897" s="167" t="n">
        <v>33.95</v>
      </c>
      <c r="L897" s="167" t="n"/>
      <c r="M897" s="54" t="inlineStr">
        <is>
          <t>Out of stock</t>
        </is>
      </c>
      <c r="N897" s="168">
        <f>IF(OR(J897="",L897=""),"",L897-J897)</f>
        <v/>
      </c>
      <c r="O897" s="169">
        <f>IF(OR(J897="",L897=""),"",L897/J897-1)</f>
        <v/>
      </c>
      <c r="P897" s="169">
        <f>IF(OR(J897="",K897=""),"",K897/J897-1)</f>
        <v/>
      </c>
      <c r="Q897" s="54">
        <f>IF(AND(ISNUMBER(J897),ISNUMBER(L897)),1,0)</f>
        <v/>
      </c>
      <c r="R897" s="69">
        <f>IF(Q897=1,G897*L897,0)</f>
        <v/>
      </c>
      <c r="S897" s="69">
        <f>IF(Q897=1,(H897+I897)*U897,0)</f>
        <v/>
      </c>
      <c r="T897" s="59">
        <f>IF(Q897=1,G897,0)</f>
        <v/>
      </c>
      <c r="U897" s="170" t="n">
        <v>1</v>
      </c>
    </row>
    <row r="898">
      <c r="A898" s="54" t="inlineStr">
        <is>
          <t>US SSS4</t>
        </is>
      </c>
      <c r="B898" s="54" t="inlineStr">
        <is>
          <t>US</t>
        </is>
      </c>
      <c r="C898" s="54" t="inlineStr">
        <is>
          <t>B0DDR4HJCS</t>
        </is>
      </c>
      <c r="D898" s="54" t="inlineStr">
        <is>
          <t>SS-SATIN-BABY-BLUE-FULL-4PCS</t>
        </is>
      </c>
      <c r="E898" s="54" t="inlineStr">
        <is>
          <t>Full</t>
        </is>
      </c>
      <c r="F898" s="54" t="inlineStr">
        <is>
          <t>Baby Blue</t>
        </is>
      </c>
      <c r="G898" s="55" t="n">
        <v>9</v>
      </c>
      <c r="H898" s="167" t="n">
        <v>230.4</v>
      </c>
      <c r="I898" s="167" t="n">
        <v>0</v>
      </c>
      <c r="J898" s="168">
        <f>IF(AND(N(G898)&gt;0,N(H898)+N(I898)&gt;0),(H898+I898)*U898/G898,"")</f>
        <v/>
      </c>
      <c r="K898" s="167" t="n">
        <v>31.95</v>
      </c>
      <c r="L898" s="167" t="n">
        <v>29.95</v>
      </c>
      <c r="M898" s="54" t="inlineStr">
        <is>
          <t>Eligible</t>
        </is>
      </c>
      <c r="N898" s="168">
        <f>IF(OR(J898="",L898=""),"",L898-J898)</f>
        <v/>
      </c>
      <c r="O898" s="169">
        <f>IF(OR(J898="",L898=""),"",L898/J898-1)</f>
        <v/>
      </c>
      <c r="P898" s="169">
        <f>IF(OR(J898="",K898=""),"",K898/J898-1)</f>
        <v/>
      </c>
      <c r="Q898" s="54">
        <f>IF(AND(ISNUMBER(J898),ISNUMBER(L898)),1,0)</f>
        <v/>
      </c>
      <c r="R898" s="69">
        <f>IF(Q898=1,G898*L898,0)</f>
        <v/>
      </c>
      <c r="S898" s="69">
        <f>IF(Q898=1,(H898+I898)*U898,0)</f>
        <v/>
      </c>
      <c r="T898" s="59">
        <f>IF(Q898=1,G898,0)</f>
        <v/>
      </c>
      <c r="U898" s="170" t="n">
        <v>1</v>
      </c>
    </row>
    <row r="899">
      <c r="A899" s="54" t="inlineStr">
        <is>
          <t>US SSS4</t>
        </is>
      </c>
      <c r="B899" s="54" t="inlineStr">
        <is>
          <t>US</t>
        </is>
      </c>
      <c r="C899" s="54" t="inlineStr">
        <is>
          <t>B0DDRF88H4</t>
        </is>
      </c>
      <c r="D899" s="54" t="inlineStr">
        <is>
          <t>SS-SATIN-NAVY-BLUE-FULL-4PCS</t>
        </is>
      </c>
      <c r="E899" s="54" t="inlineStr">
        <is>
          <t>Full</t>
        </is>
      </c>
      <c r="F899" s="54" t="inlineStr">
        <is>
          <t>Navy Blue</t>
        </is>
      </c>
      <c r="G899" s="55" t="n">
        <v>9</v>
      </c>
      <c r="H899" s="167" t="n">
        <v>230.4</v>
      </c>
      <c r="I899" s="167" t="n">
        <v>0</v>
      </c>
      <c r="J899" s="168">
        <f>IF(AND(N(G899)&gt;0,N(H899)+N(I899)&gt;0),(H899+I899)*U899/G899,"")</f>
        <v/>
      </c>
      <c r="K899" s="167" t="n">
        <v>29.95</v>
      </c>
      <c r="L899" s="167" t="n">
        <v>28.45</v>
      </c>
      <c r="M899" s="54" t="inlineStr">
        <is>
          <t>Eligible</t>
        </is>
      </c>
      <c r="N899" s="168">
        <f>IF(OR(J899="",L899=""),"",L899-J899)</f>
        <v/>
      </c>
      <c r="O899" s="169">
        <f>IF(OR(J899="",L899=""),"",L899/J899-1)</f>
        <v/>
      </c>
      <c r="P899" s="169">
        <f>IF(OR(J899="",K899=""),"",K899/J899-1)</f>
        <v/>
      </c>
      <c r="Q899" s="54">
        <f>IF(AND(ISNUMBER(J899),ISNUMBER(L899)),1,0)</f>
        <v/>
      </c>
      <c r="R899" s="69">
        <f>IF(Q899=1,G899*L899,0)</f>
        <v/>
      </c>
      <c r="S899" s="69">
        <f>IF(Q899=1,(H899+I899)*U899,0)</f>
        <v/>
      </c>
      <c r="T899" s="59">
        <f>IF(Q899=1,G899,0)</f>
        <v/>
      </c>
      <c r="U899" s="170" t="n">
        <v>1</v>
      </c>
    </row>
    <row r="900">
      <c r="A900" s="54" t="inlineStr">
        <is>
          <t>US SSS4</t>
        </is>
      </c>
      <c r="B900" s="54" t="inlineStr">
        <is>
          <t>US</t>
        </is>
      </c>
      <c r="C900" s="54" t="inlineStr">
        <is>
          <t>B0DDRBX7CN</t>
        </is>
      </c>
      <c r="D900" s="54" t="inlineStr">
        <is>
          <t>SS-SATIN-BLUE-KING-4PCS</t>
        </is>
      </c>
      <c r="E900" s="54" t="inlineStr">
        <is>
          <t>King</t>
        </is>
      </c>
      <c r="F900" s="54" t="inlineStr">
        <is>
          <t>Blue</t>
        </is>
      </c>
      <c r="G900" s="55" t="n">
        <v>9</v>
      </c>
      <c r="H900" s="167" t="n">
        <v>290.34</v>
      </c>
      <c r="I900" s="167" t="n">
        <v>0</v>
      </c>
      <c r="J900" s="168">
        <f>IF(AND(N(G900)&gt;0,N(H900)+N(I900)&gt;0),(H900+I900)*U900/G900,"")</f>
        <v/>
      </c>
      <c r="K900" s="167" t="n">
        <v>35.95</v>
      </c>
      <c r="L900" s="167" t="n">
        <v>32.25</v>
      </c>
      <c r="M900" s="54" t="inlineStr">
        <is>
          <t>Eligible</t>
        </is>
      </c>
      <c r="N900" s="168">
        <f>IF(OR(J900="",L900=""),"",L900-J900)</f>
        <v/>
      </c>
      <c r="O900" s="169">
        <f>IF(OR(J900="",L900=""),"",L900/J900-1)</f>
        <v/>
      </c>
      <c r="P900" s="169">
        <f>IF(OR(J900="",K900=""),"",K900/J900-1)</f>
        <v/>
      </c>
      <c r="Q900" s="54">
        <f>IF(AND(ISNUMBER(J900),ISNUMBER(L900)),1,0)</f>
        <v/>
      </c>
      <c r="R900" s="69">
        <f>IF(Q900=1,G900*L900,0)</f>
        <v/>
      </c>
      <c r="S900" s="69">
        <f>IF(Q900=1,(H900+I900)*U900,0)</f>
        <v/>
      </c>
      <c r="T900" s="59">
        <f>IF(Q900=1,G900,0)</f>
        <v/>
      </c>
      <c r="U900" s="170" t="n">
        <v>1</v>
      </c>
    </row>
    <row r="901">
      <c r="A901" s="54" t="inlineStr">
        <is>
          <t>US SSS4</t>
        </is>
      </c>
      <c r="B901" s="54" t="inlineStr">
        <is>
          <t>US</t>
        </is>
      </c>
      <c r="C901" s="54" t="inlineStr">
        <is>
          <t>B0DDQTZ8NT</t>
        </is>
      </c>
      <c r="D901" s="54" t="inlineStr">
        <is>
          <t>SS-SATIN-WHITE-TWIN-3PCS</t>
        </is>
      </c>
      <c r="E901" s="54" t="inlineStr">
        <is>
          <t>Twin</t>
        </is>
      </c>
      <c r="F901" s="54" t="inlineStr">
        <is>
          <t>White</t>
        </is>
      </c>
      <c r="G901" s="55" t="n">
        <v>9</v>
      </c>
      <c r="H901" s="167" t="n">
        <v>244.44</v>
      </c>
      <c r="I901" s="167" t="n">
        <v>0</v>
      </c>
      <c r="J901" s="168">
        <f>IF(AND(N(G901)&gt;0,N(H901)+N(I901)&gt;0),(H901+I901)*U901/G901,"")</f>
        <v/>
      </c>
      <c r="K901" s="167" t="n">
        <v>29.95</v>
      </c>
      <c r="L901" s="167" t="n">
        <v>27.95</v>
      </c>
      <c r="M901" s="54" t="inlineStr">
        <is>
          <t>Eligible</t>
        </is>
      </c>
      <c r="N901" s="168">
        <f>IF(OR(J901="",L901=""),"",L901-J901)</f>
        <v/>
      </c>
      <c r="O901" s="169">
        <f>IF(OR(J901="",L901=""),"",L901/J901-1)</f>
        <v/>
      </c>
      <c r="P901" s="169">
        <f>IF(OR(J901="",K901=""),"",K901/J901-1)</f>
        <v/>
      </c>
      <c r="Q901" s="54">
        <f>IF(AND(ISNUMBER(J901),ISNUMBER(L901)),1,0)</f>
        <v/>
      </c>
      <c r="R901" s="69">
        <f>IF(Q901=1,G901*L901,0)</f>
        <v/>
      </c>
      <c r="S901" s="69">
        <f>IF(Q901=1,(H901+I901)*U901,0)</f>
        <v/>
      </c>
      <c r="T901" s="59">
        <f>IF(Q901=1,G901,0)</f>
        <v/>
      </c>
      <c r="U901" s="170" t="n">
        <v>1</v>
      </c>
    </row>
    <row r="902">
      <c r="A902" s="54" t="inlineStr">
        <is>
          <t>US SSS4</t>
        </is>
      </c>
      <c r="B902" s="54" t="inlineStr">
        <is>
          <t>US</t>
        </is>
      </c>
      <c r="C902" s="54" t="inlineStr">
        <is>
          <t>B0DDRB21Z6</t>
        </is>
      </c>
      <c r="D902" s="54" t="inlineStr">
        <is>
          <t>SS-SATIN-PURPLE-FULL-4PCS</t>
        </is>
      </c>
      <c r="E902" s="54" t="inlineStr">
        <is>
          <t>Full</t>
        </is>
      </c>
      <c r="F902" s="54" t="inlineStr">
        <is>
          <t>Purple</t>
        </is>
      </c>
      <c r="G902" s="55" t="n">
        <v>8</v>
      </c>
      <c r="H902" s="167" t="n">
        <v>183.28</v>
      </c>
      <c r="I902" s="167" t="n">
        <v>0</v>
      </c>
      <c r="J902" s="168">
        <f>IF(AND(N(G902)&gt;0,N(H902)+N(I902)&gt;0),(H902+I902)*U902/G902,"")</f>
        <v/>
      </c>
      <c r="K902" s="167" t="n">
        <v>29.95</v>
      </c>
      <c r="L902" s="167" t="n"/>
      <c r="M902" s="54" t="inlineStr">
        <is>
          <t>Flagged by Amazon</t>
        </is>
      </c>
      <c r="N902" s="168">
        <f>IF(OR(J902="",L902=""),"",L902-J902)</f>
        <v/>
      </c>
      <c r="O902" s="169">
        <f>IF(OR(J902="",L902=""),"",L902/J902-1)</f>
        <v/>
      </c>
      <c r="P902" s="169">
        <f>IF(OR(J902="",K902=""),"",K902/J902-1)</f>
        <v/>
      </c>
      <c r="Q902" s="54">
        <f>IF(AND(ISNUMBER(J902),ISNUMBER(L902)),1,0)</f>
        <v/>
      </c>
      <c r="R902" s="69">
        <f>IF(Q902=1,G902*L902,0)</f>
        <v/>
      </c>
      <c r="S902" s="69">
        <f>IF(Q902=1,(H902+I902)*U902,0)</f>
        <v/>
      </c>
      <c r="T902" s="59">
        <f>IF(Q902=1,G902,0)</f>
        <v/>
      </c>
      <c r="U902" s="170" t="n">
        <v>1</v>
      </c>
    </row>
    <row r="903">
      <c r="A903" s="54" t="inlineStr">
        <is>
          <t>US SSS4</t>
        </is>
      </c>
      <c r="B903" s="54" t="inlineStr">
        <is>
          <t>US</t>
        </is>
      </c>
      <c r="C903" s="54" t="inlineStr">
        <is>
          <t>B0DDR6MK7V</t>
        </is>
      </c>
      <c r="D903" s="54" t="inlineStr">
        <is>
          <t>SS-SATIN-BABY-BLUE-KING-4PCS</t>
        </is>
      </c>
      <c r="E903" s="54" t="inlineStr">
        <is>
          <t>King</t>
        </is>
      </c>
      <c r="F903" s="54" t="inlineStr">
        <is>
          <t>Baby Blue</t>
        </is>
      </c>
      <c r="G903" s="55" t="n">
        <v>8</v>
      </c>
      <c r="H903" s="167" t="n">
        <v>258.08</v>
      </c>
      <c r="I903" s="167" t="n">
        <v>0</v>
      </c>
      <c r="J903" s="168">
        <f>IF(AND(N(G903)&gt;0,N(H903)+N(I903)&gt;0),(H903+I903)*U903/G903,"")</f>
        <v/>
      </c>
      <c r="K903" s="167" t="n">
        <v>35.95</v>
      </c>
      <c r="L903" s="167" t="n">
        <v>33.95</v>
      </c>
      <c r="M903" s="54" t="inlineStr">
        <is>
          <t>Eligible</t>
        </is>
      </c>
      <c r="N903" s="168">
        <f>IF(OR(J903="",L903=""),"",L903-J903)</f>
        <v/>
      </c>
      <c r="O903" s="169">
        <f>IF(OR(J903="",L903=""),"",L903/J903-1)</f>
        <v/>
      </c>
      <c r="P903" s="169">
        <f>IF(OR(J903="",K903=""),"",K903/J903-1)</f>
        <v/>
      </c>
      <c r="Q903" s="54">
        <f>IF(AND(ISNUMBER(J903),ISNUMBER(L903)),1,0)</f>
        <v/>
      </c>
      <c r="R903" s="69">
        <f>IF(Q903=1,G903*L903,0)</f>
        <v/>
      </c>
      <c r="S903" s="69">
        <f>IF(Q903=1,(H903+I903)*U903,0)</f>
        <v/>
      </c>
      <c r="T903" s="59">
        <f>IF(Q903=1,G903,0)</f>
        <v/>
      </c>
      <c r="U903" s="170" t="n">
        <v>1</v>
      </c>
    </row>
    <row r="904">
      <c r="A904" s="54" t="inlineStr">
        <is>
          <t>US SSS4</t>
        </is>
      </c>
      <c r="B904" s="54" t="inlineStr">
        <is>
          <t>US</t>
        </is>
      </c>
      <c r="C904" s="54" t="inlineStr">
        <is>
          <t>B0DDRHYXFM</t>
        </is>
      </c>
      <c r="D904" s="54" t="inlineStr">
        <is>
          <t>SS-SATIN-STRIPED-GREY-KING-4PCS</t>
        </is>
      </c>
      <c r="E904" s="54" t="inlineStr">
        <is>
          <t>King</t>
        </is>
      </c>
      <c r="F904" s="54" t="inlineStr">
        <is>
          <t>Striped Grey</t>
        </is>
      </c>
      <c r="G904" s="55" t="n">
        <v>8</v>
      </c>
      <c r="H904" s="167" t="n">
        <v>220</v>
      </c>
      <c r="I904" s="167" t="n">
        <v>0</v>
      </c>
      <c r="J904" s="168">
        <f>IF(AND(N(G904)&gt;0,N(H904)+N(I904)&gt;0),(H904+I904)*U904/G904,"")</f>
        <v/>
      </c>
      <c r="K904" s="167" t="n">
        <v>35.95</v>
      </c>
      <c r="L904" s="167" t="n">
        <v>33.95</v>
      </c>
      <c r="M904" s="54" t="inlineStr">
        <is>
          <t>Eligible</t>
        </is>
      </c>
      <c r="N904" s="168">
        <f>IF(OR(J904="",L904=""),"",L904-J904)</f>
        <v/>
      </c>
      <c r="O904" s="169">
        <f>IF(OR(J904="",L904=""),"",L904/J904-1)</f>
        <v/>
      </c>
      <c r="P904" s="169">
        <f>IF(OR(J904="",K904=""),"",K904/J904-1)</f>
        <v/>
      </c>
      <c r="Q904" s="54">
        <f>IF(AND(ISNUMBER(J904),ISNUMBER(L904)),1,0)</f>
        <v/>
      </c>
      <c r="R904" s="69">
        <f>IF(Q904=1,G904*L904,0)</f>
        <v/>
      </c>
      <c r="S904" s="69">
        <f>IF(Q904=1,(H904+I904)*U904,0)</f>
        <v/>
      </c>
      <c r="T904" s="59">
        <f>IF(Q904=1,G904,0)</f>
        <v/>
      </c>
      <c r="U904" s="170" t="n">
        <v>1</v>
      </c>
    </row>
    <row r="905">
      <c r="A905" s="54" t="inlineStr">
        <is>
          <t>US SSS4</t>
        </is>
      </c>
      <c r="B905" s="54" t="inlineStr">
        <is>
          <t>US</t>
        </is>
      </c>
      <c r="C905" s="54" t="inlineStr">
        <is>
          <t>B0DDRB8PG4</t>
        </is>
      </c>
      <c r="D905" s="54" t="inlineStr">
        <is>
          <t>SS-SATIN-BURNT-ORANGE-QUEEN-4PCS</t>
        </is>
      </c>
      <c r="E905" s="54" t="inlineStr">
        <is>
          <t>Queen</t>
        </is>
      </c>
      <c r="F905" s="54" t="inlineStr">
        <is>
          <t>Burnt Orange</t>
        </is>
      </c>
      <c r="G905" s="55" t="n">
        <v>8</v>
      </c>
      <c r="H905" s="167" t="n">
        <v>244.48</v>
      </c>
      <c r="I905" s="167" t="n">
        <v>0</v>
      </c>
      <c r="J905" s="168">
        <f>IF(AND(N(G905)&gt;0,N(H905)+N(I905)&gt;0),(H905+I905)*U905/G905,"")</f>
        <v/>
      </c>
      <c r="K905" s="167" t="n">
        <v>33.95</v>
      </c>
      <c r="L905" s="167" t="n"/>
      <c r="M905" s="54" t="inlineStr">
        <is>
          <t>Out of stock</t>
        </is>
      </c>
      <c r="N905" s="168">
        <f>IF(OR(J905="",L905=""),"",L905-J905)</f>
        <v/>
      </c>
      <c r="O905" s="169">
        <f>IF(OR(J905="",L905=""),"",L905/J905-1)</f>
        <v/>
      </c>
      <c r="P905" s="169">
        <f>IF(OR(J905="",K905=""),"",K905/J905-1)</f>
        <v/>
      </c>
      <c r="Q905" s="54">
        <f>IF(AND(ISNUMBER(J905),ISNUMBER(L905)),1,0)</f>
        <v/>
      </c>
      <c r="R905" s="69">
        <f>IF(Q905=1,G905*L905,0)</f>
        <v/>
      </c>
      <c r="S905" s="69">
        <f>IF(Q905=1,(H905+I905)*U905,0)</f>
        <v/>
      </c>
      <c r="T905" s="59">
        <f>IF(Q905=1,G905,0)</f>
        <v/>
      </c>
      <c r="U905" s="170" t="n">
        <v>1</v>
      </c>
    </row>
    <row r="906">
      <c r="A906" s="54" t="inlineStr">
        <is>
          <t>US SSS4</t>
        </is>
      </c>
      <c r="B906" s="54" t="inlineStr">
        <is>
          <t>US</t>
        </is>
      </c>
      <c r="C906" s="54" t="inlineStr">
        <is>
          <t>B0DDR5K4KK</t>
        </is>
      </c>
      <c r="D906" s="54" t="inlineStr">
        <is>
          <t>SS-SATIN-SAGE-GREEN-QUEEN-4PCS</t>
        </is>
      </c>
      <c r="E906" s="54" t="inlineStr">
        <is>
          <t>Queen</t>
        </is>
      </c>
      <c r="F906" s="54" t="inlineStr">
        <is>
          <t>Sage Green</t>
        </is>
      </c>
      <c r="G906" s="55" t="n">
        <v>8</v>
      </c>
      <c r="H906" s="167" t="n">
        <v>258</v>
      </c>
      <c r="I906" s="167" t="n">
        <v>0</v>
      </c>
      <c r="J906" s="168">
        <f>IF(AND(N(G906)&gt;0,N(H906)+N(I906)&gt;0),(H906+I906)*U906/G906,"")</f>
        <v/>
      </c>
      <c r="K906" s="167" t="n">
        <v>31.95</v>
      </c>
      <c r="L906" s="167" t="n">
        <v>28.76</v>
      </c>
      <c r="M906" s="54" t="inlineStr">
        <is>
          <t>Eligible</t>
        </is>
      </c>
      <c r="N906" s="168">
        <f>IF(OR(J906="",L906=""),"",L906-J906)</f>
        <v/>
      </c>
      <c r="O906" s="169">
        <f>IF(OR(J906="",L906=""),"",L906/J906-1)</f>
        <v/>
      </c>
      <c r="P906" s="169">
        <f>IF(OR(J906="",K906=""),"",K906/J906-1)</f>
        <v/>
      </c>
      <c r="Q906" s="54">
        <f>IF(AND(ISNUMBER(J906),ISNUMBER(L906)),1,0)</f>
        <v/>
      </c>
      <c r="R906" s="69">
        <f>IF(Q906=1,G906*L906,0)</f>
        <v/>
      </c>
      <c r="S906" s="69">
        <f>IF(Q906=1,(H906+I906)*U906,0)</f>
        <v/>
      </c>
      <c r="T906" s="59">
        <f>IF(Q906=1,G906,0)</f>
        <v/>
      </c>
      <c r="U906" s="170" t="n">
        <v>1</v>
      </c>
    </row>
    <row r="907">
      <c r="A907" s="54" t="inlineStr">
        <is>
          <t>US SSS4</t>
        </is>
      </c>
      <c r="B907" s="54" t="inlineStr">
        <is>
          <t>US</t>
        </is>
      </c>
      <c r="C907" s="54" t="inlineStr">
        <is>
          <t>B0DDR3M171</t>
        </is>
      </c>
      <c r="D907" s="54" t="inlineStr">
        <is>
          <t>SS-SATIN-STRIPED-BLUE-QUEEN-4PCS</t>
        </is>
      </c>
      <c r="E907" s="54" t="inlineStr">
        <is>
          <t>Queen</t>
        </is>
      </c>
      <c r="F907" s="54" t="inlineStr">
        <is>
          <t>Striped Blue</t>
        </is>
      </c>
      <c r="G907" s="55" t="n">
        <v>8</v>
      </c>
      <c r="H907" s="167" t="n">
        <v>230.88</v>
      </c>
      <c r="I907" s="167" t="n">
        <v>0</v>
      </c>
      <c r="J907" s="168">
        <f>IF(AND(N(G907)&gt;0,N(H907)+N(I907)&gt;0),(H907+I907)*U907/G907,"")</f>
        <v/>
      </c>
      <c r="K907" s="167" t="n">
        <v>33.95</v>
      </c>
      <c r="L907" s="167" t="n"/>
      <c r="M907" s="54" t="inlineStr">
        <is>
          <t>Flagged by Amazon</t>
        </is>
      </c>
      <c r="N907" s="168">
        <f>IF(OR(J907="",L907=""),"",L907-J907)</f>
        <v/>
      </c>
      <c r="O907" s="169">
        <f>IF(OR(J907="",L907=""),"",L907/J907-1)</f>
        <v/>
      </c>
      <c r="P907" s="169">
        <f>IF(OR(J907="",K907=""),"",K907/J907-1)</f>
        <v/>
      </c>
      <c r="Q907" s="54">
        <f>IF(AND(ISNUMBER(J907),ISNUMBER(L907)),1,0)</f>
        <v/>
      </c>
      <c r="R907" s="69">
        <f>IF(Q907=1,G907*L907,0)</f>
        <v/>
      </c>
      <c r="S907" s="69">
        <f>IF(Q907=1,(H907+I907)*U907,0)</f>
        <v/>
      </c>
      <c r="T907" s="59">
        <f>IF(Q907=1,G907,0)</f>
        <v/>
      </c>
      <c r="U907" s="170" t="n">
        <v>1</v>
      </c>
    </row>
    <row r="908">
      <c r="A908" s="54" t="inlineStr">
        <is>
          <t>US SSS4</t>
        </is>
      </c>
      <c r="B908" s="54" t="inlineStr">
        <is>
          <t>US</t>
        </is>
      </c>
      <c r="C908" s="54" t="inlineStr">
        <is>
          <t>B0DDRC2CDX</t>
        </is>
      </c>
      <c r="D908" s="54" t="inlineStr">
        <is>
          <t>SS-SATIN-PINK-TWIN-3PCS</t>
        </is>
      </c>
      <c r="E908" s="54" t="inlineStr">
        <is>
          <t>Twin</t>
        </is>
      </c>
      <c r="F908" s="54" t="inlineStr">
        <is>
          <t>Pink</t>
        </is>
      </c>
      <c r="G908" s="55" t="n">
        <v>8</v>
      </c>
      <c r="H908" s="167" t="n">
        <v>217.28</v>
      </c>
      <c r="I908" s="167" t="n">
        <v>0</v>
      </c>
      <c r="J908" s="168">
        <f>IF(AND(N(G908)&gt;0,N(H908)+N(I908)&gt;0),(H908+I908)*U908/G908,"")</f>
        <v/>
      </c>
      <c r="K908" s="167" t="n">
        <v>29.95</v>
      </c>
      <c r="L908" s="167" t="n">
        <v>27.95</v>
      </c>
      <c r="M908" s="54" t="inlineStr">
        <is>
          <t>Eligible</t>
        </is>
      </c>
      <c r="N908" s="168">
        <f>IF(OR(J908="",L908=""),"",L908-J908)</f>
        <v/>
      </c>
      <c r="O908" s="169">
        <f>IF(OR(J908="",L908=""),"",L908/J908-1)</f>
        <v/>
      </c>
      <c r="P908" s="169">
        <f>IF(OR(J908="",K908=""),"",K908/J908-1)</f>
        <v/>
      </c>
      <c r="Q908" s="54">
        <f>IF(AND(ISNUMBER(J908),ISNUMBER(L908)),1,0)</f>
        <v/>
      </c>
      <c r="R908" s="69">
        <f>IF(Q908=1,G908*L908,0)</f>
        <v/>
      </c>
      <c r="S908" s="69">
        <f>IF(Q908=1,(H908+I908)*U908,0)</f>
        <v/>
      </c>
      <c r="T908" s="59">
        <f>IF(Q908=1,G908,0)</f>
        <v/>
      </c>
      <c r="U908" s="170" t="n">
        <v>1</v>
      </c>
    </row>
    <row r="909">
      <c r="A909" s="54" t="inlineStr">
        <is>
          <t>US SSS4</t>
        </is>
      </c>
      <c r="B909" s="54" t="inlineStr">
        <is>
          <t>US</t>
        </is>
      </c>
      <c r="C909" s="54" t="inlineStr">
        <is>
          <t>B0DDQVBL24</t>
        </is>
      </c>
      <c r="D909" s="54" t="inlineStr">
        <is>
          <t>SS-SATIN-STONE-GREY-TWIN-3PCS</t>
        </is>
      </c>
      <c r="E909" s="54" t="inlineStr">
        <is>
          <t>Twin</t>
        </is>
      </c>
      <c r="F909" s="54" t="inlineStr">
        <is>
          <t>Stone Grey</t>
        </is>
      </c>
      <c r="G909" s="55" t="n">
        <v>8</v>
      </c>
      <c r="H909" s="167" t="n">
        <v>176.48</v>
      </c>
      <c r="I909" s="167" t="n">
        <v>0</v>
      </c>
      <c r="J909" s="168">
        <f>IF(AND(N(G909)&gt;0,N(H909)+N(I909)&gt;0),(H909+I909)*U909/G909,"")</f>
        <v/>
      </c>
      <c r="K909" s="167" t="n">
        <v>29.95</v>
      </c>
      <c r="L909" s="167" t="n"/>
      <c r="M909" s="54" t="inlineStr">
        <is>
          <t>Flagged by Amazon</t>
        </is>
      </c>
      <c r="N909" s="168">
        <f>IF(OR(J909="",L909=""),"",L909-J909)</f>
        <v/>
      </c>
      <c r="O909" s="169">
        <f>IF(OR(J909="",L909=""),"",L909/J909-1)</f>
        <v/>
      </c>
      <c r="P909" s="169">
        <f>IF(OR(J909="",K909=""),"",K909/J909-1)</f>
        <v/>
      </c>
      <c r="Q909" s="54">
        <f>IF(AND(ISNUMBER(J909),ISNUMBER(L909)),1,0)</f>
        <v/>
      </c>
      <c r="R909" s="69">
        <f>IF(Q909=1,G909*L909,0)</f>
        <v/>
      </c>
      <c r="S909" s="69">
        <f>IF(Q909=1,(H909+I909)*U909,0)</f>
        <v/>
      </c>
      <c r="T909" s="59">
        <f>IF(Q909=1,G909,0)</f>
        <v/>
      </c>
      <c r="U909" s="170" t="n">
        <v>1</v>
      </c>
    </row>
    <row r="910">
      <c r="A910" s="54" t="inlineStr">
        <is>
          <t>US SSS4</t>
        </is>
      </c>
      <c r="B910" s="54" t="inlineStr">
        <is>
          <t>US</t>
        </is>
      </c>
      <c r="C910" s="54" t="inlineStr">
        <is>
          <t>B0DDR6TLF6</t>
        </is>
      </c>
      <c r="D910" s="54" t="inlineStr">
        <is>
          <t>SS-SATIN-BLUSH-PINK-FULL-4PCS</t>
        </is>
      </c>
      <c r="E910" s="54" t="inlineStr">
        <is>
          <t>Full</t>
        </is>
      </c>
      <c r="F910" s="54" t="inlineStr">
        <is>
          <t>Blush Pink</t>
        </is>
      </c>
      <c r="G910" s="55" t="n">
        <v>7</v>
      </c>
      <c r="H910" s="167" t="n">
        <v>160.37</v>
      </c>
      <c r="I910" s="167" t="n">
        <v>0</v>
      </c>
      <c r="J910" s="168">
        <f>IF(AND(N(G910)&gt;0,N(H910)+N(I910)&gt;0),(H910+I910)*U910/G910,"")</f>
        <v/>
      </c>
      <c r="K910" s="167" t="n">
        <v>31.95</v>
      </c>
      <c r="L910" s="167" t="n"/>
      <c r="M910" s="54" t="inlineStr">
        <is>
          <t>Flagged by Amazon</t>
        </is>
      </c>
      <c r="N910" s="168">
        <f>IF(OR(J910="",L910=""),"",L910-J910)</f>
        <v/>
      </c>
      <c r="O910" s="169">
        <f>IF(OR(J910="",L910=""),"",L910/J910-1)</f>
        <v/>
      </c>
      <c r="P910" s="169">
        <f>IF(OR(J910="",K910=""),"",K910/J910-1)</f>
        <v/>
      </c>
      <c r="Q910" s="54">
        <f>IF(AND(ISNUMBER(J910),ISNUMBER(L910)),1,0)</f>
        <v/>
      </c>
      <c r="R910" s="69">
        <f>IF(Q910=1,G910*L910,0)</f>
        <v/>
      </c>
      <c r="S910" s="69">
        <f>IF(Q910=1,(H910+I910)*U910,0)</f>
        <v/>
      </c>
      <c r="T910" s="59">
        <f>IF(Q910=1,G910,0)</f>
        <v/>
      </c>
      <c r="U910" s="170" t="n">
        <v>1</v>
      </c>
    </row>
    <row r="911">
      <c r="A911" s="54" t="inlineStr">
        <is>
          <t>US SSS4</t>
        </is>
      </c>
      <c r="B911" s="54" t="inlineStr">
        <is>
          <t>US</t>
        </is>
      </c>
      <c r="C911" s="54" t="inlineStr">
        <is>
          <t>B0DDRB7NTZ</t>
        </is>
      </c>
      <c r="D911" s="54" t="inlineStr">
        <is>
          <t>SS-SATIN-CHAMPAGNE-KING-4PCS</t>
        </is>
      </c>
      <c r="E911" s="54" t="inlineStr">
        <is>
          <t>King</t>
        </is>
      </c>
      <c r="F911" s="54" t="inlineStr">
        <is>
          <t>Champagne</t>
        </is>
      </c>
      <c r="G911" s="55" t="n">
        <v>7</v>
      </c>
      <c r="H911" s="167" t="n">
        <v>225.82</v>
      </c>
      <c r="I911" s="167" t="n">
        <v>0</v>
      </c>
      <c r="J911" s="168">
        <f>IF(AND(N(G911)&gt;0,N(H911)+N(I911)&gt;0),(H911+I911)*U911/G911,"")</f>
        <v/>
      </c>
      <c r="K911" s="167" t="n">
        <v>35.95</v>
      </c>
      <c r="L911" s="167" t="n">
        <v>33.95</v>
      </c>
      <c r="M911" s="54" t="inlineStr">
        <is>
          <t>Eligible</t>
        </is>
      </c>
      <c r="N911" s="168">
        <f>IF(OR(J911="",L911=""),"",L911-J911)</f>
        <v/>
      </c>
      <c r="O911" s="169">
        <f>IF(OR(J911="",L911=""),"",L911/J911-1)</f>
        <v/>
      </c>
      <c r="P911" s="169">
        <f>IF(OR(J911="",K911=""),"",K911/J911-1)</f>
        <v/>
      </c>
      <c r="Q911" s="54">
        <f>IF(AND(ISNUMBER(J911),ISNUMBER(L911)),1,0)</f>
        <v/>
      </c>
      <c r="R911" s="69">
        <f>IF(Q911=1,G911*L911,0)</f>
        <v/>
      </c>
      <c r="S911" s="69">
        <f>IF(Q911=1,(H911+I911)*U911,0)</f>
        <v/>
      </c>
      <c r="T911" s="59">
        <f>IF(Q911=1,G911,0)</f>
        <v/>
      </c>
      <c r="U911" s="170" t="n">
        <v>1</v>
      </c>
    </row>
    <row r="912">
      <c r="A912" s="54" t="inlineStr">
        <is>
          <t>US SSS4</t>
        </is>
      </c>
      <c r="B912" s="54" t="inlineStr">
        <is>
          <t>US</t>
        </is>
      </c>
      <c r="C912" s="54" t="inlineStr">
        <is>
          <t>B0DDRDPMNM</t>
        </is>
      </c>
      <c r="D912" s="54" t="inlineStr">
        <is>
          <t>SS-SATIN-SEA-TEAL-QUEEN-4PCS</t>
        </is>
      </c>
      <c r="E912" s="54" t="inlineStr">
        <is>
          <t>Queen</t>
        </is>
      </c>
      <c r="F912" s="54" t="inlineStr">
        <is>
          <t>Sea Teal</t>
        </is>
      </c>
      <c r="G912" s="55" t="n">
        <v>7</v>
      </c>
      <c r="H912" s="167" t="n">
        <v>213.92</v>
      </c>
      <c r="I912" s="167" t="n">
        <v>0</v>
      </c>
      <c r="J912" s="168">
        <f>IF(AND(N(G912)&gt;0,N(H912)+N(I912)&gt;0),(H912+I912)*U912/G912,"")</f>
        <v/>
      </c>
      <c r="K912" s="167" t="n">
        <v>33.95</v>
      </c>
      <c r="L912" s="167" t="n"/>
      <c r="M912" s="54" t="inlineStr">
        <is>
          <t>Out of stock</t>
        </is>
      </c>
      <c r="N912" s="168">
        <f>IF(OR(J912="",L912=""),"",L912-J912)</f>
        <v/>
      </c>
      <c r="O912" s="169">
        <f>IF(OR(J912="",L912=""),"",L912/J912-1)</f>
        <v/>
      </c>
      <c r="P912" s="169">
        <f>IF(OR(J912="",K912=""),"",K912/J912-1)</f>
        <v/>
      </c>
      <c r="Q912" s="54">
        <f>IF(AND(ISNUMBER(J912),ISNUMBER(L912)),1,0)</f>
        <v/>
      </c>
      <c r="R912" s="69">
        <f>IF(Q912=1,G912*L912,0)</f>
        <v/>
      </c>
      <c r="S912" s="69">
        <f>IF(Q912=1,(H912+I912)*U912,0)</f>
        <v/>
      </c>
      <c r="T912" s="59">
        <f>IF(Q912=1,G912,0)</f>
        <v/>
      </c>
      <c r="U912" s="170" t="n">
        <v>1</v>
      </c>
    </row>
    <row r="913">
      <c r="A913" s="54" t="inlineStr">
        <is>
          <t>US SSS4</t>
        </is>
      </c>
      <c r="B913" s="54" t="inlineStr">
        <is>
          <t>US</t>
        </is>
      </c>
      <c r="C913" s="54" t="inlineStr">
        <is>
          <t>B0DDQV5F8M</t>
        </is>
      </c>
      <c r="D913" s="54" t="inlineStr">
        <is>
          <t>SS-SATIN-STRIPED-BLACK-QUEEN-4PCS</t>
        </is>
      </c>
      <c r="E913" s="54" t="inlineStr">
        <is>
          <t>Queen</t>
        </is>
      </c>
      <c r="F913" s="54" t="inlineStr">
        <is>
          <t>Striped Black</t>
        </is>
      </c>
      <c r="G913" s="55" t="n">
        <v>7</v>
      </c>
      <c r="H913" s="167" t="n">
        <v>213.92</v>
      </c>
      <c r="I913" s="167" t="n">
        <v>0</v>
      </c>
      <c r="J913" s="168">
        <f>IF(AND(N(G913)&gt;0,N(H913)+N(I913)&gt;0),(H913+I913)*U913/G913,"")</f>
        <v/>
      </c>
      <c r="K913" s="167" t="n">
        <v>33.95</v>
      </c>
      <c r="L913" s="167" t="n"/>
      <c r="M913" s="54" t="inlineStr">
        <is>
          <t>Out of stock</t>
        </is>
      </c>
      <c r="N913" s="168">
        <f>IF(OR(J913="",L913=""),"",L913-J913)</f>
        <v/>
      </c>
      <c r="O913" s="169">
        <f>IF(OR(J913="",L913=""),"",L913/J913-1)</f>
        <v/>
      </c>
      <c r="P913" s="169">
        <f>IF(OR(J913="",K913=""),"",K913/J913-1)</f>
        <v/>
      </c>
      <c r="Q913" s="54">
        <f>IF(AND(ISNUMBER(J913),ISNUMBER(L913)),1,0)</f>
        <v/>
      </c>
      <c r="R913" s="69">
        <f>IF(Q913=1,G913*L913,0)</f>
        <v/>
      </c>
      <c r="S913" s="69">
        <f>IF(Q913=1,(H913+I913)*U913,0)</f>
        <v/>
      </c>
      <c r="T913" s="59">
        <f>IF(Q913=1,G913,0)</f>
        <v/>
      </c>
      <c r="U913" s="170" t="n">
        <v>1</v>
      </c>
    </row>
    <row r="914">
      <c r="A914" s="54" t="inlineStr">
        <is>
          <t>US SSS4</t>
        </is>
      </c>
      <c r="B914" s="54" t="inlineStr">
        <is>
          <t>US</t>
        </is>
      </c>
      <c r="C914" s="54" t="inlineStr">
        <is>
          <t>B0DDR852CS</t>
        </is>
      </c>
      <c r="D914" s="54" t="inlineStr">
        <is>
          <t>SS-SATIN-STRIPED-RED-QUEEN-4PCS</t>
        </is>
      </c>
      <c r="E914" s="54" t="inlineStr">
        <is>
          <t>Queen</t>
        </is>
      </c>
      <c r="F914" s="54" t="inlineStr">
        <is>
          <t>Striped Red</t>
        </is>
      </c>
      <c r="G914" s="55" t="n">
        <v>6</v>
      </c>
      <c r="H914" s="167" t="n">
        <v>183.36</v>
      </c>
      <c r="I914" s="167" t="n">
        <v>0</v>
      </c>
      <c r="J914" s="168">
        <f>IF(AND(N(G914)&gt;0,N(H914)+N(I914)&gt;0),(H914+I914)*U914/G914,"")</f>
        <v/>
      </c>
      <c r="K914" s="167" t="n">
        <v>31.95</v>
      </c>
      <c r="L914" s="167" t="n"/>
      <c r="M914" s="54" t="inlineStr">
        <is>
          <t>Flagged by Amazon</t>
        </is>
      </c>
      <c r="N914" s="168">
        <f>IF(OR(J914="",L914=""),"",L914-J914)</f>
        <v/>
      </c>
      <c r="O914" s="169">
        <f>IF(OR(J914="",L914=""),"",L914/J914-1)</f>
        <v/>
      </c>
      <c r="P914" s="169">
        <f>IF(OR(J914="",K914=""),"",K914/J914-1)</f>
        <v/>
      </c>
      <c r="Q914" s="54">
        <f>IF(AND(ISNUMBER(J914),ISNUMBER(L914)),1,0)</f>
        <v/>
      </c>
      <c r="R914" s="69">
        <f>IF(Q914=1,G914*L914,0)</f>
        <v/>
      </c>
      <c r="S914" s="69">
        <f>IF(Q914=1,(H914+I914)*U914,0)</f>
        <v/>
      </c>
      <c r="T914" s="59">
        <f>IF(Q914=1,G914,0)</f>
        <v/>
      </c>
      <c r="U914" s="170" t="n">
        <v>1</v>
      </c>
    </row>
    <row r="915">
      <c r="A915" s="54" t="inlineStr">
        <is>
          <t>US SSS4</t>
        </is>
      </c>
      <c r="B915" s="54" t="inlineStr">
        <is>
          <t>US</t>
        </is>
      </c>
      <c r="C915" s="54" t="inlineStr">
        <is>
          <t>B0DDRF2M6S</t>
        </is>
      </c>
      <c r="D915" s="54" t="inlineStr">
        <is>
          <t>SS-SATIN-SAGE-GREEN-FULL-4PCS</t>
        </is>
      </c>
      <c r="E915" s="54" t="inlineStr">
        <is>
          <t>Full</t>
        </is>
      </c>
      <c r="F915" s="54" t="inlineStr">
        <is>
          <t>Sage Green</t>
        </is>
      </c>
      <c r="G915" s="55" t="n">
        <v>5</v>
      </c>
      <c r="H915" s="167" t="n">
        <v>128</v>
      </c>
      <c r="I915" s="167" t="n">
        <v>0</v>
      </c>
      <c r="J915" s="168">
        <f>IF(AND(N(G915)&gt;0,N(H915)+N(I915)&gt;0),(H915+I915)*U915/G915,"")</f>
        <v/>
      </c>
      <c r="K915" s="167" t="n">
        <v>29.95</v>
      </c>
      <c r="L915" s="167" t="n">
        <v>28.45</v>
      </c>
      <c r="M915" s="54" t="inlineStr">
        <is>
          <t>Eligible</t>
        </is>
      </c>
      <c r="N915" s="168">
        <f>IF(OR(J915="",L915=""),"",L915-J915)</f>
        <v/>
      </c>
      <c r="O915" s="169">
        <f>IF(OR(J915="",L915=""),"",L915/J915-1)</f>
        <v/>
      </c>
      <c r="P915" s="169">
        <f>IF(OR(J915="",K915=""),"",K915/J915-1)</f>
        <v/>
      </c>
      <c r="Q915" s="54">
        <f>IF(AND(ISNUMBER(J915),ISNUMBER(L915)),1,0)</f>
        <v/>
      </c>
      <c r="R915" s="69">
        <f>IF(Q915=1,G915*L915,0)</f>
        <v/>
      </c>
      <c r="S915" s="69">
        <f>IF(Q915=1,(H915+I915)*U915,0)</f>
        <v/>
      </c>
      <c r="T915" s="59">
        <f>IF(Q915=1,G915,0)</f>
        <v/>
      </c>
      <c r="U915" s="170" t="n">
        <v>1</v>
      </c>
    </row>
    <row r="916">
      <c r="A916" s="54" t="inlineStr">
        <is>
          <t>US SSS4</t>
        </is>
      </c>
      <c r="B916" s="54" t="inlineStr">
        <is>
          <t>US</t>
        </is>
      </c>
      <c r="C916" s="54" t="inlineStr">
        <is>
          <t>B0DDQQ9LRP</t>
        </is>
      </c>
      <c r="D916" s="54" t="inlineStr">
        <is>
          <t>SS-SATIN-STRIPED-BLACK-FULL-4PCS</t>
        </is>
      </c>
      <c r="E916" s="54" t="inlineStr">
        <is>
          <t>Full</t>
        </is>
      </c>
      <c r="F916" s="54" t="inlineStr">
        <is>
          <t>Striped Black</t>
        </is>
      </c>
      <c r="G916" s="55" t="n">
        <v>5</v>
      </c>
      <c r="H916" s="167" t="n">
        <v>144.3</v>
      </c>
      <c r="I916" s="167" t="n">
        <v>0</v>
      </c>
      <c r="J916" s="168">
        <f>IF(AND(N(G916)&gt;0,N(H916)+N(I916)&gt;0),(H916+I916)*U916/G916,"")</f>
        <v/>
      </c>
      <c r="K916" s="167" t="n">
        <v>31.95</v>
      </c>
      <c r="L916" s="167" t="n"/>
      <c r="M916" s="54" t="inlineStr">
        <is>
          <t>Out of stock</t>
        </is>
      </c>
      <c r="N916" s="168">
        <f>IF(OR(J916="",L916=""),"",L916-J916)</f>
        <v/>
      </c>
      <c r="O916" s="169">
        <f>IF(OR(J916="",L916=""),"",L916/J916-1)</f>
        <v/>
      </c>
      <c r="P916" s="169">
        <f>IF(OR(J916="",K916=""),"",K916/J916-1)</f>
        <v/>
      </c>
      <c r="Q916" s="54">
        <f>IF(AND(ISNUMBER(J916),ISNUMBER(L916)),1,0)</f>
        <v/>
      </c>
      <c r="R916" s="69">
        <f>IF(Q916=1,G916*L916,0)</f>
        <v/>
      </c>
      <c r="S916" s="69">
        <f>IF(Q916=1,(H916+I916)*U916,0)</f>
        <v/>
      </c>
      <c r="T916" s="59">
        <f>IF(Q916=1,G916,0)</f>
        <v/>
      </c>
      <c r="U916" s="170" t="n">
        <v>1</v>
      </c>
    </row>
    <row r="917">
      <c r="A917" s="54" t="inlineStr">
        <is>
          <t>US SSS4</t>
        </is>
      </c>
      <c r="B917" s="54" t="inlineStr">
        <is>
          <t>US</t>
        </is>
      </c>
      <c r="C917" s="54" t="inlineStr">
        <is>
          <t>B0DDR5JMCH</t>
        </is>
      </c>
      <c r="D917" s="54" t="inlineStr">
        <is>
          <t>SS-SATIN-GOLD-KING-4PCS</t>
        </is>
      </c>
      <c r="E917" s="54" t="inlineStr">
        <is>
          <t>King</t>
        </is>
      </c>
      <c r="F917" s="54" t="inlineStr">
        <is>
          <t>Gold</t>
        </is>
      </c>
      <c r="G917" s="55" t="n">
        <v>5</v>
      </c>
      <c r="H917" s="167" t="n">
        <v>161.3</v>
      </c>
      <c r="I917" s="167" t="n">
        <v>0</v>
      </c>
      <c r="J917" s="168">
        <f>IF(AND(N(G917)&gt;0,N(H917)+N(I917)&gt;0),(H917+I917)*U917/G917,"")</f>
        <v/>
      </c>
      <c r="K917" s="167" t="n">
        <v>35.95</v>
      </c>
      <c r="L917" s="167" t="n">
        <v>32.25</v>
      </c>
      <c r="M917" s="54" t="inlineStr">
        <is>
          <t>Eligible</t>
        </is>
      </c>
      <c r="N917" s="168">
        <f>IF(OR(J917="",L917=""),"",L917-J917)</f>
        <v/>
      </c>
      <c r="O917" s="169">
        <f>IF(OR(J917="",L917=""),"",L917/J917-1)</f>
        <v/>
      </c>
      <c r="P917" s="169">
        <f>IF(OR(J917="",K917=""),"",K917/J917-1)</f>
        <v/>
      </c>
      <c r="Q917" s="54">
        <f>IF(AND(ISNUMBER(J917),ISNUMBER(L917)),1,0)</f>
        <v/>
      </c>
      <c r="R917" s="69">
        <f>IF(Q917=1,G917*L917,0)</f>
        <v/>
      </c>
      <c r="S917" s="69">
        <f>IF(Q917=1,(H917+I917)*U917,0)</f>
        <v/>
      </c>
      <c r="T917" s="59">
        <f>IF(Q917=1,G917,0)</f>
        <v/>
      </c>
      <c r="U917" s="170" t="n">
        <v>1</v>
      </c>
    </row>
    <row r="918">
      <c r="A918" s="54" t="inlineStr">
        <is>
          <t>US SSS4</t>
        </is>
      </c>
      <c r="B918" s="54" t="inlineStr">
        <is>
          <t>US</t>
        </is>
      </c>
      <c r="C918" s="54" t="inlineStr">
        <is>
          <t>B0DDR3NYFT</t>
        </is>
      </c>
      <c r="D918" s="54" t="inlineStr">
        <is>
          <t>SS-SATIN-STRIPED-GREY-QUEEN-4PCS</t>
        </is>
      </c>
      <c r="E918" s="54" t="inlineStr">
        <is>
          <t>Queen</t>
        </is>
      </c>
      <c r="F918" s="54" t="inlineStr">
        <is>
          <t>Striped Grey</t>
        </is>
      </c>
      <c r="G918" s="55" t="n">
        <v>5</v>
      </c>
      <c r="H918" s="167" t="n">
        <v>152.8</v>
      </c>
      <c r="I918" s="167" t="n">
        <v>0</v>
      </c>
      <c r="J918" s="168">
        <f>IF(AND(N(G918)&gt;0,N(H918)+N(I918)&gt;0),(H918+I918)*U918/G918,"")</f>
        <v/>
      </c>
      <c r="K918" s="167" t="n">
        <v>33.95</v>
      </c>
      <c r="L918" s="167" t="n"/>
      <c r="M918" s="54" t="inlineStr">
        <is>
          <t>Out of stock</t>
        </is>
      </c>
      <c r="N918" s="168">
        <f>IF(OR(J918="",L918=""),"",L918-J918)</f>
        <v/>
      </c>
      <c r="O918" s="169">
        <f>IF(OR(J918="",L918=""),"",L918/J918-1)</f>
        <v/>
      </c>
      <c r="P918" s="169">
        <f>IF(OR(J918="",K918=""),"",K918/J918-1)</f>
        <v/>
      </c>
      <c r="Q918" s="54">
        <f>IF(AND(ISNUMBER(J918),ISNUMBER(L918)),1,0)</f>
        <v/>
      </c>
      <c r="R918" s="69">
        <f>IF(Q918=1,G918*L918,0)</f>
        <v/>
      </c>
      <c r="S918" s="69">
        <f>IF(Q918=1,(H918+I918)*U918,0)</f>
        <v/>
      </c>
      <c r="T918" s="59">
        <f>IF(Q918=1,G918,0)</f>
        <v/>
      </c>
      <c r="U918" s="170" t="n">
        <v>1</v>
      </c>
    </row>
    <row r="919">
      <c r="A919" s="54" t="inlineStr">
        <is>
          <t>US SSS4</t>
        </is>
      </c>
      <c r="B919" s="54" t="inlineStr">
        <is>
          <t>US</t>
        </is>
      </c>
      <c r="C919" s="54" t="inlineStr">
        <is>
          <t>B0DDRFR2FS</t>
        </is>
      </c>
      <c r="D919" s="54" t="inlineStr">
        <is>
          <t>SS-SATIN-LAVENDER-FULL-4PCS</t>
        </is>
      </c>
      <c r="E919" s="54" t="inlineStr">
        <is>
          <t>Full</t>
        </is>
      </c>
      <c r="F919" s="54" t="inlineStr">
        <is>
          <t>Lavender</t>
        </is>
      </c>
      <c r="G919" s="55" t="n">
        <v>4</v>
      </c>
      <c r="H919" s="167" t="n">
        <v>115.44</v>
      </c>
      <c r="I919" s="167" t="n">
        <v>0</v>
      </c>
      <c r="J919" s="168">
        <f>IF(AND(N(G919)&gt;0,N(H919)+N(I919)&gt;0),(H919+I919)*U919/G919,"")</f>
        <v/>
      </c>
      <c r="K919" s="167" t="n">
        <v>31.95</v>
      </c>
      <c r="L919" s="167" t="n">
        <v>29.95</v>
      </c>
      <c r="M919" s="54" t="inlineStr">
        <is>
          <t>Eligible</t>
        </is>
      </c>
      <c r="N919" s="168">
        <f>IF(OR(J919="",L919=""),"",L919-J919)</f>
        <v/>
      </c>
      <c r="O919" s="169">
        <f>IF(OR(J919="",L919=""),"",L919/J919-1)</f>
        <v/>
      </c>
      <c r="P919" s="169">
        <f>IF(OR(J919="",K919=""),"",K919/J919-1)</f>
        <v/>
      </c>
      <c r="Q919" s="54">
        <f>IF(AND(ISNUMBER(J919),ISNUMBER(L919)),1,0)</f>
        <v/>
      </c>
      <c r="R919" s="69">
        <f>IF(Q919=1,G919*L919,0)</f>
        <v/>
      </c>
      <c r="S919" s="69">
        <f>IF(Q919=1,(H919+I919)*U919,0)</f>
        <v/>
      </c>
      <c r="T919" s="59">
        <f>IF(Q919=1,G919,0)</f>
        <v/>
      </c>
      <c r="U919" s="170" t="n">
        <v>1</v>
      </c>
    </row>
    <row r="920">
      <c r="A920" s="54" t="inlineStr">
        <is>
          <t>US SSS4</t>
        </is>
      </c>
      <c r="B920" s="54" t="inlineStr">
        <is>
          <t>US</t>
        </is>
      </c>
      <c r="C920" s="54" t="inlineStr">
        <is>
          <t>B0DDR4T2Y6</t>
        </is>
      </c>
      <c r="D920" s="54" t="inlineStr">
        <is>
          <t>SS-SATIN-BLUSH-PINK-KING-4PCS</t>
        </is>
      </c>
      <c r="E920" s="54" t="inlineStr">
        <is>
          <t>King</t>
        </is>
      </c>
      <c r="F920" s="54" t="inlineStr">
        <is>
          <t>Blush Pink</t>
        </is>
      </c>
      <c r="G920" s="55" t="n">
        <v>4</v>
      </c>
      <c r="H920" s="167" t="n">
        <v>129.04</v>
      </c>
      <c r="I920" s="167" t="n">
        <v>0</v>
      </c>
      <c r="J920" s="168">
        <f>IF(AND(N(G920)&gt;0,N(H920)+N(I920)&gt;0),(H920+I920)*U920/G920,"")</f>
        <v/>
      </c>
      <c r="K920" s="167" t="n">
        <v>35.95</v>
      </c>
      <c r="L920" s="167" t="n">
        <v>34.15</v>
      </c>
      <c r="M920" s="54" t="inlineStr">
        <is>
          <t>Eligible</t>
        </is>
      </c>
      <c r="N920" s="168">
        <f>IF(OR(J920="",L920=""),"",L920-J920)</f>
        <v/>
      </c>
      <c r="O920" s="169">
        <f>IF(OR(J920="",L920=""),"",L920/J920-1)</f>
        <v/>
      </c>
      <c r="P920" s="169">
        <f>IF(OR(J920="",K920=""),"",K920/J920-1)</f>
        <v/>
      </c>
      <c r="Q920" s="54">
        <f>IF(AND(ISNUMBER(J920),ISNUMBER(L920)),1,0)</f>
        <v/>
      </c>
      <c r="R920" s="69">
        <f>IF(Q920=1,G920*L920,0)</f>
        <v/>
      </c>
      <c r="S920" s="69">
        <f>IF(Q920=1,(H920+I920)*U920,0)</f>
        <v/>
      </c>
      <c r="T920" s="59">
        <f>IF(Q920=1,G920,0)</f>
        <v/>
      </c>
      <c r="U920" s="170" t="n">
        <v>1</v>
      </c>
    </row>
    <row r="921">
      <c r="A921" s="54" t="inlineStr">
        <is>
          <t>US SSS4</t>
        </is>
      </c>
      <c r="B921" s="54" t="inlineStr">
        <is>
          <t>US</t>
        </is>
      </c>
      <c r="C921" s="54" t="inlineStr">
        <is>
          <t>B0DDRL4WTJ</t>
        </is>
      </c>
      <c r="D921" s="54" t="inlineStr">
        <is>
          <t>SS-SATIN-BURNT-ORANGE-KING-4PCS</t>
        </is>
      </c>
      <c r="E921" s="54" t="inlineStr">
        <is>
          <t>King</t>
        </is>
      </c>
      <c r="F921" s="54" t="inlineStr">
        <is>
          <t>Burnt Orange</t>
        </is>
      </c>
      <c r="G921" s="55" t="n">
        <v>4</v>
      </c>
      <c r="H921" s="167" t="n">
        <v>129.04</v>
      </c>
      <c r="I921" s="167" t="n">
        <v>0</v>
      </c>
      <c r="J921" s="168">
        <f>IF(AND(N(G921)&gt;0,N(H921)+N(I921)&gt;0),(H921+I921)*U921/G921,"")</f>
        <v/>
      </c>
      <c r="K921" s="167" t="n">
        <v>35.95</v>
      </c>
      <c r="L921" s="167" t="n">
        <v>33.95</v>
      </c>
      <c r="M921" s="54" t="inlineStr">
        <is>
          <t>Eligible</t>
        </is>
      </c>
      <c r="N921" s="168">
        <f>IF(OR(J921="",L921=""),"",L921-J921)</f>
        <v/>
      </c>
      <c r="O921" s="169">
        <f>IF(OR(J921="",L921=""),"",L921/J921-1)</f>
        <v/>
      </c>
      <c r="P921" s="169">
        <f>IF(OR(J921="",K921=""),"",K921/J921-1)</f>
        <v/>
      </c>
      <c r="Q921" s="54">
        <f>IF(AND(ISNUMBER(J921),ISNUMBER(L921)),1,0)</f>
        <v/>
      </c>
      <c r="R921" s="69">
        <f>IF(Q921=1,G921*L921,0)</f>
        <v/>
      </c>
      <c r="S921" s="69">
        <f>IF(Q921=1,(H921+I921)*U921,0)</f>
        <v/>
      </c>
      <c r="T921" s="59">
        <f>IF(Q921=1,G921,0)</f>
        <v/>
      </c>
      <c r="U921" s="170" t="n">
        <v>1</v>
      </c>
    </row>
    <row r="922">
      <c r="A922" s="54" t="inlineStr">
        <is>
          <t>US SSS4</t>
        </is>
      </c>
      <c r="B922" s="54" t="inlineStr">
        <is>
          <t>US</t>
        </is>
      </c>
      <c r="C922" s="54" t="inlineStr">
        <is>
          <t>B0DDR9FXWM</t>
        </is>
      </c>
      <c r="D922" s="54" t="inlineStr">
        <is>
          <t>SS-SATIN-STRIPED-BLACK-KING-4PCS</t>
        </is>
      </c>
      <c r="E922" s="54" t="inlineStr">
        <is>
          <t>King</t>
        </is>
      </c>
      <c r="F922" s="54" t="inlineStr">
        <is>
          <t>Striped Black</t>
        </is>
      </c>
      <c r="G922" s="55" t="n">
        <v>4</v>
      </c>
      <c r="H922" s="167" t="n">
        <v>129.04</v>
      </c>
      <c r="I922" s="167" t="n">
        <v>0</v>
      </c>
      <c r="J922" s="168">
        <f>IF(AND(N(G922)&gt;0,N(H922)+N(I922)&gt;0),(H922+I922)*U922/G922,"")</f>
        <v/>
      </c>
      <c r="K922" s="167" t="n">
        <v>43.95</v>
      </c>
      <c r="L922" s="167" t="n"/>
      <c r="M922" s="54" t="inlineStr">
        <is>
          <t>Out of stock</t>
        </is>
      </c>
      <c r="N922" s="168">
        <f>IF(OR(J922="",L922=""),"",L922-J922)</f>
        <v/>
      </c>
      <c r="O922" s="169">
        <f>IF(OR(J922="",L922=""),"",L922/J922-1)</f>
        <v/>
      </c>
      <c r="P922" s="169">
        <f>IF(OR(J922="",K922=""),"",K922/J922-1)</f>
        <v/>
      </c>
      <c r="Q922" s="54">
        <f>IF(AND(ISNUMBER(J922),ISNUMBER(L922)),1,0)</f>
        <v/>
      </c>
      <c r="R922" s="69">
        <f>IF(Q922=1,G922*L922,0)</f>
        <v/>
      </c>
      <c r="S922" s="69">
        <f>IF(Q922=1,(H922+I922)*U922,0)</f>
        <v/>
      </c>
      <c r="T922" s="59">
        <f>IF(Q922=1,G922,0)</f>
        <v/>
      </c>
      <c r="U922" s="170" t="n">
        <v>1</v>
      </c>
    </row>
    <row r="923">
      <c r="A923" s="54" t="inlineStr">
        <is>
          <t>US SSS4</t>
        </is>
      </c>
      <c r="B923" s="54" t="inlineStr">
        <is>
          <t>US</t>
        </is>
      </c>
      <c r="C923" s="54" t="inlineStr">
        <is>
          <t>B0DDRKQYDW</t>
        </is>
      </c>
      <c r="D923" s="54" t="inlineStr">
        <is>
          <t>SS-SATIN-STRIPED-PINK-KING-4PCS</t>
        </is>
      </c>
      <c r="E923" s="54" t="inlineStr">
        <is>
          <t>King</t>
        </is>
      </c>
      <c r="F923" s="54" t="inlineStr">
        <is>
          <t>Striped Pink</t>
        </is>
      </c>
      <c r="G923" s="55" t="n">
        <v>4</v>
      </c>
      <c r="H923" s="167" t="n">
        <v>98.44</v>
      </c>
      <c r="I923" s="167" t="n">
        <v>0</v>
      </c>
      <c r="J923" s="168">
        <f>IF(AND(N(G923)&gt;0,N(H923)+N(I923)&gt;0),(H923+I923)*U923/G923,"")</f>
        <v/>
      </c>
      <c r="K923" s="167" t="n">
        <v>39.95</v>
      </c>
      <c r="L923" s="167" t="n"/>
      <c r="M923" s="54" t="inlineStr">
        <is>
          <t>Out of stock</t>
        </is>
      </c>
      <c r="N923" s="168">
        <f>IF(OR(J923="",L923=""),"",L923-J923)</f>
        <v/>
      </c>
      <c r="O923" s="169">
        <f>IF(OR(J923="",L923=""),"",L923/J923-1)</f>
        <v/>
      </c>
      <c r="P923" s="169">
        <f>IF(OR(J923="",K923=""),"",K923/J923-1)</f>
        <v/>
      </c>
      <c r="Q923" s="54">
        <f>IF(AND(ISNUMBER(J923),ISNUMBER(L923)),1,0)</f>
        <v/>
      </c>
      <c r="R923" s="69">
        <f>IF(Q923=1,G923*L923,0)</f>
        <v/>
      </c>
      <c r="S923" s="69">
        <f>IF(Q923=1,(H923+I923)*U923,0)</f>
        <v/>
      </c>
      <c r="T923" s="59">
        <f>IF(Q923=1,G923,0)</f>
        <v/>
      </c>
      <c r="U923" s="170" t="n">
        <v>1</v>
      </c>
    </row>
    <row r="924">
      <c r="A924" s="54" t="inlineStr">
        <is>
          <t>US SSS4</t>
        </is>
      </c>
      <c r="B924" s="54" t="inlineStr">
        <is>
          <t>US</t>
        </is>
      </c>
      <c r="C924" s="54" t="inlineStr">
        <is>
          <t>B0DDRF1Z4N</t>
        </is>
      </c>
      <c r="D924" s="54" t="inlineStr">
        <is>
          <t>SS-SATIN-TAUPE-KING-4PCS</t>
        </is>
      </c>
      <c r="E924" s="54" t="inlineStr">
        <is>
          <t>King</t>
        </is>
      </c>
      <c r="F924" s="54" t="inlineStr">
        <is>
          <t>Taupe</t>
        </is>
      </c>
      <c r="G924" s="55" t="n">
        <v>4</v>
      </c>
      <c r="H924" s="167" t="n">
        <v>129.04</v>
      </c>
      <c r="I924" s="167" t="n">
        <v>0</v>
      </c>
      <c r="J924" s="168">
        <f>IF(AND(N(G924)&gt;0,N(H924)+N(I924)&gt;0),(H924+I924)*U924/G924,"")</f>
        <v/>
      </c>
      <c r="K924" s="167" t="n">
        <v>35.95</v>
      </c>
      <c r="L924" s="167" t="n">
        <v>33.95</v>
      </c>
      <c r="M924" s="54" t="inlineStr">
        <is>
          <t>Eligible</t>
        </is>
      </c>
      <c r="N924" s="168">
        <f>IF(OR(J924="",L924=""),"",L924-J924)</f>
        <v/>
      </c>
      <c r="O924" s="169">
        <f>IF(OR(J924="",L924=""),"",L924/J924-1)</f>
        <v/>
      </c>
      <c r="P924" s="169">
        <f>IF(OR(J924="",K924=""),"",K924/J924-1)</f>
        <v/>
      </c>
      <c r="Q924" s="54">
        <f>IF(AND(ISNUMBER(J924),ISNUMBER(L924)),1,0)</f>
        <v/>
      </c>
      <c r="R924" s="69">
        <f>IF(Q924=1,G924*L924,0)</f>
        <v/>
      </c>
      <c r="S924" s="69">
        <f>IF(Q924=1,(H924+I924)*U924,0)</f>
        <v/>
      </c>
      <c r="T924" s="59">
        <f>IF(Q924=1,G924,0)</f>
        <v/>
      </c>
      <c r="U924" s="170" t="n">
        <v>1</v>
      </c>
    </row>
    <row r="925">
      <c r="A925" s="54" t="inlineStr">
        <is>
          <t>US SSS4</t>
        </is>
      </c>
      <c r="B925" s="54" t="inlineStr">
        <is>
          <t>US</t>
        </is>
      </c>
      <c r="C925" s="54" t="inlineStr">
        <is>
          <t>B0DDR1H4YM</t>
        </is>
      </c>
      <c r="D925" s="54" t="inlineStr">
        <is>
          <t>SS-SATIN-BLUSH-PINK-QUEEN-4PCS</t>
        </is>
      </c>
      <c r="E925" s="54" t="inlineStr">
        <is>
          <t>Queen</t>
        </is>
      </c>
      <c r="F925" s="54" t="inlineStr">
        <is>
          <t>Blush Pink</t>
        </is>
      </c>
      <c r="G925" s="55" t="n">
        <v>4</v>
      </c>
      <c r="H925" s="167" t="n">
        <v>122.24</v>
      </c>
      <c r="I925" s="167" t="n">
        <v>0</v>
      </c>
      <c r="J925" s="168">
        <f>IF(AND(N(G925)&gt;0,N(H925)+N(I925)&gt;0),(H925+I925)*U925/G925,"")</f>
        <v/>
      </c>
      <c r="K925" s="167" t="n">
        <v>33.95</v>
      </c>
      <c r="L925" s="167" t="n">
        <v>30.35</v>
      </c>
      <c r="M925" s="54" t="inlineStr">
        <is>
          <t>Eligible</t>
        </is>
      </c>
      <c r="N925" s="168">
        <f>IF(OR(J925="",L925=""),"",L925-J925)</f>
        <v/>
      </c>
      <c r="O925" s="169">
        <f>IF(OR(J925="",L925=""),"",L925/J925-1)</f>
        <v/>
      </c>
      <c r="P925" s="169">
        <f>IF(OR(J925="",K925=""),"",K925/J925-1)</f>
        <v/>
      </c>
      <c r="Q925" s="54">
        <f>IF(AND(ISNUMBER(J925),ISNUMBER(L925)),1,0)</f>
        <v/>
      </c>
      <c r="R925" s="69">
        <f>IF(Q925=1,G925*L925,0)</f>
        <v/>
      </c>
      <c r="S925" s="69">
        <f>IF(Q925=1,(H925+I925)*U925,0)</f>
        <v/>
      </c>
      <c r="T925" s="59">
        <f>IF(Q925=1,G925,0)</f>
        <v/>
      </c>
      <c r="U925" s="170" t="n">
        <v>1</v>
      </c>
    </row>
    <row r="926">
      <c r="A926" s="54" t="inlineStr">
        <is>
          <t>US SSS4</t>
        </is>
      </c>
      <c r="B926" s="54" t="inlineStr">
        <is>
          <t>US</t>
        </is>
      </c>
      <c r="C926" s="54" t="inlineStr">
        <is>
          <t>B0DDRC33TZ</t>
        </is>
      </c>
      <c r="D926" s="54" t="inlineStr">
        <is>
          <t>SS-SATIN-STRIPED-PURPLE-QUEEN-4PCS</t>
        </is>
      </c>
      <c r="E926" s="54" t="inlineStr">
        <is>
          <t>Queen</t>
        </is>
      </c>
      <c r="F926" s="54" t="inlineStr">
        <is>
          <t>Striped Purple</t>
        </is>
      </c>
      <c r="G926" s="55" t="n">
        <v>4</v>
      </c>
      <c r="H926" s="167" t="n">
        <v>106.2</v>
      </c>
      <c r="I926" s="167" t="n">
        <v>0</v>
      </c>
      <c r="J926" s="168">
        <f>IF(AND(N(G926)&gt;0,N(H926)+N(I926)&gt;0),(H926+I926)*U926/G926,"")</f>
        <v/>
      </c>
      <c r="K926" s="167" t="n">
        <v>37.95</v>
      </c>
      <c r="L926" s="167" t="n"/>
      <c r="M926" s="54" t="inlineStr">
        <is>
          <t>Out of stock</t>
        </is>
      </c>
      <c r="N926" s="168">
        <f>IF(OR(J926="",L926=""),"",L926-J926)</f>
        <v/>
      </c>
      <c r="O926" s="169">
        <f>IF(OR(J926="",L926=""),"",L926/J926-1)</f>
        <v/>
      </c>
      <c r="P926" s="169">
        <f>IF(OR(J926="",K926=""),"",K926/J926-1)</f>
        <v/>
      </c>
      <c r="Q926" s="54">
        <f>IF(AND(ISNUMBER(J926),ISNUMBER(L926)),1,0)</f>
        <v/>
      </c>
      <c r="R926" s="69">
        <f>IF(Q926=1,G926*L926,0)</f>
        <v/>
      </c>
      <c r="S926" s="69">
        <f>IF(Q926=1,(H926+I926)*U926,0)</f>
        <v/>
      </c>
      <c r="T926" s="59">
        <f>IF(Q926=1,G926,0)</f>
        <v/>
      </c>
      <c r="U926" s="170" t="n">
        <v>1</v>
      </c>
    </row>
    <row r="927">
      <c r="A927" s="54" t="inlineStr">
        <is>
          <t>US SSS4</t>
        </is>
      </c>
      <c r="B927" s="54" t="inlineStr">
        <is>
          <t>US</t>
        </is>
      </c>
      <c r="C927" s="54" t="inlineStr">
        <is>
          <t>B0DDR28N8X</t>
        </is>
      </c>
      <c r="D927" s="54" t="inlineStr">
        <is>
          <t>SS-SATIN-BLUE-FULL-4PCS</t>
        </is>
      </c>
      <c r="E927" s="54" t="inlineStr">
        <is>
          <t>Full</t>
        </is>
      </c>
      <c r="F927" s="54" t="inlineStr">
        <is>
          <t>Blue</t>
        </is>
      </c>
      <c r="G927" s="55" t="n">
        <v>3</v>
      </c>
      <c r="H927" s="167" t="n">
        <v>81.48</v>
      </c>
      <c r="I927" s="167" t="n">
        <v>0</v>
      </c>
      <c r="J927" s="168">
        <f>IF(AND(N(G927)&gt;0,N(H927)+N(I927)&gt;0),(H927+I927)*U927/G927,"")</f>
        <v/>
      </c>
      <c r="K927" s="167" t="n">
        <v>31.95</v>
      </c>
      <c r="L927" s="167" t="n">
        <v>29.95</v>
      </c>
      <c r="M927" s="54" t="inlineStr">
        <is>
          <t>Eligible</t>
        </is>
      </c>
      <c r="N927" s="168">
        <f>IF(OR(J927="",L927=""),"",L927-J927)</f>
        <v/>
      </c>
      <c r="O927" s="169">
        <f>IF(OR(J927="",L927=""),"",L927/J927-1)</f>
        <v/>
      </c>
      <c r="P927" s="169">
        <f>IF(OR(J927="",K927=""),"",K927/J927-1)</f>
        <v/>
      </c>
      <c r="Q927" s="54">
        <f>IF(AND(ISNUMBER(J927),ISNUMBER(L927)),1,0)</f>
        <v/>
      </c>
      <c r="R927" s="69">
        <f>IF(Q927=1,G927*L927,0)</f>
        <v/>
      </c>
      <c r="S927" s="69">
        <f>IF(Q927=1,(H927+I927)*U927,0)</f>
        <v/>
      </c>
      <c r="T927" s="59">
        <f>IF(Q927=1,G927,0)</f>
        <v/>
      </c>
      <c r="U927" s="170" t="n">
        <v>1</v>
      </c>
    </row>
    <row r="928">
      <c r="A928" s="54" t="inlineStr">
        <is>
          <t>US SSS4</t>
        </is>
      </c>
      <c r="B928" s="54" t="inlineStr">
        <is>
          <t>US</t>
        </is>
      </c>
      <c r="C928" s="54" t="inlineStr">
        <is>
          <t>B0DDR5CHW7</t>
        </is>
      </c>
      <c r="D928" s="54" t="inlineStr">
        <is>
          <t>SS-SATIN-CHAMPAGNE-FULL-4PCS</t>
        </is>
      </c>
      <c r="E928" s="54" t="inlineStr">
        <is>
          <t>Full</t>
        </is>
      </c>
      <c r="F928" s="54" t="inlineStr">
        <is>
          <t>Champagne</t>
        </is>
      </c>
      <c r="G928" s="55" t="n">
        <v>3</v>
      </c>
      <c r="H928" s="167" t="n">
        <v>86.58</v>
      </c>
      <c r="I928" s="167" t="n">
        <v>0</v>
      </c>
      <c r="J928" s="168">
        <f>IF(AND(N(G928)&gt;0,N(H928)+N(I928)&gt;0),(H928+I928)*U928/G928,"")</f>
        <v/>
      </c>
      <c r="K928" s="167" t="n">
        <v>29.95</v>
      </c>
      <c r="L928" s="167" t="n"/>
      <c r="M928" s="54" t="inlineStr">
        <is>
          <t>Flagged by Amazon</t>
        </is>
      </c>
      <c r="N928" s="168">
        <f>IF(OR(J928="",L928=""),"",L928-J928)</f>
        <v/>
      </c>
      <c r="O928" s="169">
        <f>IF(OR(J928="",L928=""),"",L928/J928-1)</f>
        <v/>
      </c>
      <c r="P928" s="169">
        <f>IF(OR(J928="",K928=""),"",K928/J928-1)</f>
        <v/>
      </c>
      <c r="Q928" s="54">
        <f>IF(AND(ISNUMBER(J928),ISNUMBER(L928)),1,0)</f>
        <v/>
      </c>
      <c r="R928" s="69">
        <f>IF(Q928=1,G928*L928,0)</f>
        <v/>
      </c>
      <c r="S928" s="69">
        <f>IF(Q928=1,(H928+I928)*U928,0)</f>
        <v/>
      </c>
      <c r="T928" s="59">
        <f>IF(Q928=1,G928,0)</f>
        <v/>
      </c>
      <c r="U928" s="170" t="n">
        <v>1</v>
      </c>
    </row>
    <row r="929">
      <c r="A929" s="54" t="inlineStr">
        <is>
          <t>US SSS4</t>
        </is>
      </c>
      <c r="B929" s="54" t="inlineStr">
        <is>
          <t>US</t>
        </is>
      </c>
      <c r="C929" s="54" t="inlineStr">
        <is>
          <t>B0DDRD3S48</t>
        </is>
      </c>
      <c r="D929" s="54" t="inlineStr">
        <is>
          <t>SS-SATIN-DARK-GREEN-FULL-4PCS</t>
        </is>
      </c>
      <c r="E929" s="54" t="inlineStr">
        <is>
          <t>Full</t>
        </is>
      </c>
      <c r="F929" s="54" t="inlineStr">
        <is>
          <t>Dark Green</t>
        </is>
      </c>
      <c r="G929" s="55" t="n">
        <v>3</v>
      </c>
      <c r="H929" s="167" t="n">
        <v>81.48</v>
      </c>
      <c r="I929" s="167" t="n">
        <v>0</v>
      </c>
      <c r="J929" s="168">
        <f>IF(AND(N(G929)&gt;0,N(H929)+N(I929)&gt;0),(H929+I929)*U929/G929,"")</f>
        <v/>
      </c>
      <c r="K929" s="167" t="n">
        <v>31.95</v>
      </c>
      <c r="L929" s="167" t="n">
        <v>29.95</v>
      </c>
      <c r="M929" s="54" t="inlineStr">
        <is>
          <t>Eligible</t>
        </is>
      </c>
      <c r="N929" s="168">
        <f>IF(OR(J929="",L929=""),"",L929-J929)</f>
        <v/>
      </c>
      <c r="O929" s="169">
        <f>IF(OR(J929="",L929=""),"",L929/J929-1)</f>
        <v/>
      </c>
      <c r="P929" s="169">
        <f>IF(OR(J929="",K929=""),"",K929/J929-1)</f>
        <v/>
      </c>
      <c r="Q929" s="54">
        <f>IF(AND(ISNUMBER(J929),ISNUMBER(L929)),1,0)</f>
        <v/>
      </c>
      <c r="R929" s="69">
        <f>IF(Q929=1,G929*L929,0)</f>
        <v/>
      </c>
      <c r="S929" s="69">
        <f>IF(Q929=1,(H929+I929)*U929,0)</f>
        <v/>
      </c>
      <c r="T929" s="59">
        <f>IF(Q929=1,G929,0)</f>
        <v/>
      </c>
      <c r="U929" s="170" t="n">
        <v>1</v>
      </c>
    </row>
    <row r="930">
      <c r="A930" s="54" t="inlineStr">
        <is>
          <t>US SSS4</t>
        </is>
      </c>
      <c r="B930" s="54" t="inlineStr">
        <is>
          <t>US</t>
        </is>
      </c>
      <c r="C930" s="54" t="inlineStr">
        <is>
          <t>B0DDRNYF9Q</t>
        </is>
      </c>
      <c r="D930" s="54" t="inlineStr">
        <is>
          <t>SS-SATIN-ROSEWOOD-FULL-4PCS</t>
        </is>
      </c>
      <c r="E930" s="54" t="inlineStr">
        <is>
          <t>Full</t>
        </is>
      </c>
      <c r="F930" s="54" t="inlineStr">
        <is>
          <t>Rosewood</t>
        </is>
      </c>
      <c r="G930" s="55" t="n">
        <v>3</v>
      </c>
      <c r="H930" s="167" t="n">
        <v>76.8</v>
      </c>
      <c r="I930" s="167" t="n">
        <v>0</v>
      </c>
      <c r="J930" s="168">
        <f>IF(AND(N(G930)&gt;0,N(H930)+N(I930)&gt;0),(H930+I930)*U930/G930,"")</f>
        <v/>
      </c>
      <c r="K930" s="167" t="n">
        <v>31.95</v>
      </c>
      <c r="L930" s="167" t="n"/>
      <c r="M930" s="54" t="inlineStr">
        <is>
          <t>Out of stock</t>
        </is>
      </c>
      <c r="N930" s="168">
        <f>IF(OR(J930="",L930=""),"",L930-J930)</f>
        <v/>
      </c>
      <c r="O930" s="169">
        <f>IF(OR(J930="",L930=""),"",L930/J930-1)</f>
        <v/>
      </c>
      <c r="P930" s="169">
        <f>IF(OR(J930="",K930=""),"",K930/J930-1)</f>
        <v/>
      </c>
      <c r="Q930" s="54">
        <f>IF(AND(ISNUMBER(J930),ISNUMBER(L930)),1,0)</f>
        <v/>
      </c>
      <c r="R930" s="69">
        <f>IF(Q930=1,G930*L930,0)</f>
        <v/>
      </c>
      <c r="S930" s="69">
        <f>IF(Q930=1,(H930+I930)*U930,0)</f>
        <v/>
      </c>
      <c r="T930" s="59">
        <f>IF(Q930=1,G930,0)</f>
        <v/>
      </c>
      <c r="U930" s="170" t="n">
        <v>1</v>
      </c>
    </row>
    <row r="931">
      <c r="A931" s="54" t="inlineStr">
        <is>
          <t>US SSS4</t>
        </is>
      </c>
      <c r="B931" s="54" t="inlineStr">
        <is>
          <t>US</t>
        </is>
      </c>
      <c r="C931" s="54" t="inlineStr">
        <is>
          <t>B0DDRDR4F8</t>
        </is>
      </c>
      <c r="D931" s="54" t="inlineStr">
        <is>
          <t>SS-SATIN-SEA-TEAL-FULL-4PCS</t>
        </is>
      </c>
      <c r="E931" s="54" t="inlineStr">
        <is>
          <t>Full</t>
        </is>
      </c>
      <c r="F931" s="54" t="inlineStr">
        <is>
          <t>Sea Teal</t>
        </is>
      </c>
      <c r="G931" s="55" t="n">
        <v>3</v>
      </c>
      <c r="H931" s="167" t="n">
        <v>81.48</v>
      </c>
      <c r="I931" s="167" t="n">
        <v>0</v>
      </c>
      <c r="J931" s="168">
        <f>IF(AND(N(G931)&gt;0,N(H931)+N(I931)&gt;0),(H931+I931)*U931/G931,"")</f>
        <v/>
      </c>
      <c r="K931" s="167" t="n">
        <v>31.95</v>
      </c>
      <c r="L931" s="167" t="n">
        <v>29.95</v>
      </c>
      <c r="M931" s="54" t="inlineStr">
        <is>
          <t>Eligible</t>
        </is>
      </c>
      <c r="N931" s="168">
        <f>IF(OR(J931="",L931=""),"",L931-J931)</f>
        <v/>
      </c>
      <c r="O931" s="169">
        <f>IF(OR(J931="",L931=""),"",L931/J931-1)</f>
        <v/>
      </c>
      <c r="P931" s="169">
        <f>IF(OR(J931="",K931=""),"",K931/J931-1)</f>
        <v/>
      </c>
      <c r="Q931" s="54">
        <f>IF(AND(ISNUMBER(J931),ISNUMBER(L931)),1,0)</f>
        <v/>
      </c>
      <c r="R931" s="69">
        <f>IF(Q931=1,G931*L931,0)</f>
        <v/>
      </c>
      <c r="S931" s="69">
        <f>IF(Q931=1,(H931+I931)*U931,0)</f>
        <v/>
      </c>
      <c r="T931" s="59">
        <f>IF(Q931=1,G931,0)</f>
        <v/>
      </c>
      <c r="U931" s="170" t="n">
        <v>1</v>
      </c>
    </row>
    <row r="932">
      <c r="A932" s="54" t="inlineStr">
        <is>
          <t>US SSS4</t>
        </is>
      </c>
      <c r="B932" s="54" t="inlineStr">
        <is>
          <t>US</t>
        </is>
      </c>
      <c r="C932" s="54" t="inlineStr">
        <is>
          <t>B0DDRKF8FG</t>
        </is>
      </c>
      <c r="D932" s="54" t="inlineStr">
        <is>
          <t>SS-SATIN-STRIPED-GREY-FULL-4PCS</t>
        </is>
      </c>
      <c r="E932" s="54" t="inlineStr">
        <is>
          <t>Full</t>
        </is>
      </c>
      <c r="F932" s="54" t="inlineStr">
        <is>
          <t>Striped Grey</t>
        </is>
      </c>
      <c r="G932" s="55" t="n">
        <v>3</v>
      </c>
      <c r="H932" s="167" t="n">
        <v>86.58</v>
      </c>
      <c r="I932" s="167" t="n">
        <v>0</v>
      </c>
      <c r="J932" s="168">
        <f>IF(AND(N(G932)&gt;0,N(H932)+N(I932)&gt;0),(H932+I932)*U932/G932,"")</f>
        <v/>
      </c>
      <c r="K932" s="167" t="n">
        <v>31.95</v>
      </c>
      <c r="L932" s="167" t="n"/>
      <c r="M932" s="54" t="inlineStr">
        <is>
          <t>Out of stock</t>
        </is>
      </c>
      <c r="N932" s="168">
        <f>IF(OR(J932="",L932=""),"",L932-J932)</f>
        <v/>
      </c>
      <c r="O932" s="169">
        <f>IF(OR(J932="",L932=""),"",L932/J932-1)</f>
        <v/>
      </c>
      <c r="P932" s="169">
        <f>IF(OR(J932="",K932=""),"",K932/J932-1)</f>
        <v/>
      </c>
      <c r="Q932" s="54">
        <f>IF(AND(ISNUMBER(J932),ISNUMBER(L932)),1,0)</f>
        <v/>
      </c>
      <c r="R932" s="69">
        <f>IF(Q932=1,G932*L932,0)</f>
        <v/>
      </c>
      <c r="S932" s="69">
        <f>IF(Q932=1,(H932+I932)*U932,0)</f>
        <v/>
      </c>
      <c r="T932" s="59">
        <f>IF(Q932=1,G932,0)</f>
        <v/>
      </c>
      <c r="U932" s="170" t="n">
        <v>1</v>
      </c>
    </row>
    <row r="933">
      <c r="A933" s="54" t="inlineStr">
        <is>
          <t>US SSS4</t>
        </is>
      </c>
      <c r="B933" s="54" t="inlineStr">
        <is>
          <t>US</t>
        </is>
      </c>
      <c r="C933" s="54" t="inlineStr">
        <is>
          <t>B0DDR9TM21</t>
        </is>
      </c>
      <c r="D933" s="54" t="inlineStr">
        <is>
          <t>SS-SATIN-STRIPED-RED-FULL-4PCS</t>
        </is>
      </c>
      <c r="E933" s="54" t="inlineStr">
        <is>
          <t>Full</t>
        </is>
      </c>
      <c r="F933" s="54" t="inlineStr">
        <is>
          <t>Striped Red</t>
        </is>
      </c>
      <c r="G933" s="55" t="n">
        <v>3</v>
      </c>
      <c r="H933" s="167" t="n">
        <v>81.48</v>
      </c>
      <c r="I933" s="167" t="n">
        <v>0</v>
      </c>
      <c r="J933" s="168">
        <f>IF(AND(N(G933)&gt;0,N(H933)+N(I933)&gt;0),(H933+I933)*U933/G933,"")</f>
        <v/>
      </c>
      <c r="K933" s="167" t="n">
        <v>31.95</v>
      </c>
      <c r="L933" s="167" t="n"/>
      <c r="M933" s="54" t="inlineStr">
        <is>
          <t>Out of stock</t>
        </is>
      </c>
      <c r="N933" s="168">
        <f>IF(OR(J933="",L933=""),"",L933-J933)</f>
        <v/>
      </c>
      <c r="O933" s="169">
        <f>IF(OR(J933="",L933=""),"",L933/J933-1)</f>
        <v/>
      </c>
      <c r="P933" s="169">
        <f>IF(OR(J933="",K933=""),"",K933/J933-1)</f>
        <v/>
      </c>
      <c r="Q933" s="54">
        <f>IF(AND(ISNUMBER(J933),ISNUMBER(L933)),1,0)</f>
        <v/>
      </c>
      <c r="R933" s="69">
        <f>IF(Q933=1,G933*L933,0)</f>
        <v/>
      </c>
      <c r="S933" s="69">
        <f>IF(Q933=1,(H933+I933)*U933,0)</f>
        <v/>
      </c>
      <c r="T933" s="59">
        <f>IF(Q933=1,G933,0)</f>
        <v/>
      </c>
      <c r="U933" s="170" t="n">
        <v>1</v>
      </c>
    </row>
    <row r="934">
      <c r="A934" s="54" t="inlineStr">
        <is>
          <t>US SSS4</t>
        </is>
      </c>
      <c r="B934" s="54" t="inlineStr">
        <is>
          <t>US</t>
        </is>
      </c>
      <c r="C934" s="54" t="inlineStr">
        <is>
          <t>B0DDR5QBGQ</t>
        </is>
      </c>
      <c r="D934" s="54" t="inlineStr">
        <is>
          <t>SS-SATIN-IVORY-KING-4PCS</t>
        </is>
      </c>
      <c r="E934" s="54" t="inlineStr">
        <is>
          <t>King</t>
        </is>
      </c>
      <c r="F934" s="54" t="inlineStr">
        <is>
          <t>Ivory</t>
        </is>
      </c>
      <c r="G934" s="55" t="n">
        <v>3</v>
      </c>
      <c r="H934" s="167" t="n">
        <v>102.45</v>
      </c>
      <c r="I934" s="167" t="n">
        <v>0</v>
      </c>
      <c r="J934" s="168">
        <f>IF(AND(N(G934)&gt;0,N(H934)+N(I934)&gt;0),(H934+I934)*U934/G934,"")</f>
        <v/>
      </c>
      <c r="K934" s="167" t="n">
        <v>35.95</v>
      </c>
      <c r="L934" s="167" t="n">
        <v>33.95</v>
      </c>
      <c r="M934" s="54" t="inlineStr">
        <is>
          <t>Eligible</t>
        </is>
      </c>
      <c r="N934" s="168">
        <f>IF(OR(J934="",L934=""),"",L934-J934)</f>
        <v/>
      </c>
      <c r="O934" s="169">
        <f>IF(OR(J934="",L934=""),"",L934/J934-1)</f>
        <v/>
      </c>
      <c r="P934" s="169">
        <f>IF(OR(J934="",K934=""),"",K934/J934-1)</f>
        <v/>
      </c>
      <c r="Q934" s="54">
        <f>IF(AND(ISNUMBER(J934),ISNUMBER(L934)),1,0)</f>
        <v/>
      </c>
      <c r="R934" s="69">
        <f>IF(Q934=1,G934*L934,0)</f>
        <v/>
      </c>
      <c r="S934" s="69">
        <f>IF(Q934=1,(H934+I934)*U934,0)</f>
        <v/>
      </c>
      <c r="T934" s="59">
        <f>IF(Q934=1,G934,0)</f>
        <v/>
      </c>
      <c r="U934" s="170" t="n">
        <v>1</v>
      </c>
    </row>
    <row r="935">
      <c r="A935" s="54" t="inlineStr">
        <is>
          <t>US SSS4</t>
        </is>
      </c>
      <c r="B935" s="54" t="inlineStr">
        <is>
          <t>US</t>
        </is>
      </c>
      <c r="C935" s="54" t="inlineStr">
        <is>
          <t>B0DDRFLD2F</t>
        </is>
      </c>
      <c r="D935" s="54" t="inlineStr">
        <is>
          <t>SS-SATIN-LAVENDER-KING-4PCS</t>
        </is>
      </c>
      <c r="E935" s="54" t="inlineStr">
        <is>
          <t>King</t>
        </is>
      </c>
      <c r="F935" s="54" t="inlineStr">
        <is>
          <t>Lavender</t>
        </is>
      </c>
      <c r="G935" s="55" t="n">
        <v>3</v>
      </c>
      <c r="H935" s="167" t="n">
        <v>96.78</v>
      </c>
      <c r="I935" s="167" t="n">
        <v>0</v>
      </c>
      <c r="J935" s="168">
        <f>IF(AND(N(G935)&gt;0,N(H935)+N(I935)&gt;0),(H935+I935)*U935/G935,"")</f>
        <v/>
      </c>
      <c r="K935" s="167" t="n">
        <v>35.95</v>
      </c>
      <c r="L935" s="167" t="n">
        <v>33.95</v>
      </c>
      <c r="M935" s="54" t="inlineStr">
        <is>
          <t>Eligible</t>
        </is>
      </c>
      <c r="N935" s="168">
        <f>IF(OR(J935="",L935=""),"",L935-J935)</f>
        <v/>
      </c>
      <c r="O935" s="169">
        <f>IF(OR(J935="",L935=""),"",L935/J935-1)</f>
        <v/>
      </c>
      <c r="P935" s="169">
        <f>IF(OR(J935="",K935=""),"",K935/J935-1)</f>
        <v/>
      </c>
      <c r="Q935" s="54">
        <f>IF(AND(ISNUMBER(J935),ISNUMBER(L935)),1,0)</f>
        <v/>
      </c>
      <c r="R935" s="69">
        <f>IF(Q935=1,G935*L935,0)</f>
        <v/>
      </c>
      <c r="S935" s="69">
        <f>IF(Q935=1,(H935+I935)*U935,0)</f>
        <v/>
      </c>
      <c r="T935" s="59">
        <f>IF(Q935=1,G935,0)</f>
        <v/>
      </c>
      <c r="U935" s="170" t="n">
        <v>1</v>
      </c>
    </row>
    <row r="936">
      <c r="A936" s="54" t="inlineStr">
        <is>
          <t>US SSS4</t>
        </is>
      </c>
      <c r="B936" s="54" t="inlineStr">
        <is>
          <t>US</t>
        </is>
      </c>
      <c r="C936" s="54" t="inlineStr">
        <is>
          <t>B0DDQQB8VY</t>
        </is>
      </c>
      <c r="D936" s="54" t="inlineStr">
        <is>
          <t>SS-SATIN-PINK-KING-4PCS</t>
        </is>
      </c>
      <c r="E936" s="54" t="inlineStr">
        <is>
          <t>King</t>
        </is>
      </c>
      <c r="F936" s="54" t="inlineStr">
        <is>
          <t>Pink</t>
        </is>
      </c>
      <c r="G936" s="55" t="n">
        <v>3</v>
      </c>
      <c r="H936" s="167" t="n">
        <v>96.78</v>
      </c>
      <c r="I936" s="167" t="n">
        <v>0</v>
      </c>
      <c r="J936" s="168">
        <f>IF(AND(N(G936)&gt;0,N(H936)+N(I936)&gt;0),(H936+I936)*U936/G936,"")</f>
        <v/>
      </c>
      <c r="K936" s="167" t="n">
        <v>35.95</v>
      </c>
      <c r="L936" s="167" t="n">
        <v>33.95</v>
      </c>
      <c r="M936" s="54" t="inlineStr">
        <is>
          <t>Eligible</t>
        </is>
      </c>
      <c r="N936" s="168">
        <f>IF(OR(J936="",L936=""),"",L936-J936)</f>
        <v/>
      </c>
      <c r="O936" s="169">
        <f>IF(OR(J936="",L936=""),"",L936/J936-1)</f>
        <v/>
      </c>
      <c r="P936" s="169">
        <f>IF(OR(J936="",K936=""),"",K936/J936-1)</f>
        <v/>
      </c>
      <c r="Q936" s="54">
        <f>IF(AND(ISNUMBER(J936),ISNUMBER(L936)),1,0)</f>
        <v/>
      </c>
      <c r="R936" s="69">
        <f>IF(Q936=1,G936*L936,0)</f>
        <v/>
      </c>
      <c r="S936" s="69">
        <f>IF(Q936=1,(H936+I936)*U936,0)</f>
        <v/>
      </c>
      <c r="T936" s="59">
        <f>IF(Q936=1,G936,0)</f>
        <v/>
      </c>
      <c r="U936" s="170" t="n">
        <v>1</v>
      </c>
    </row>
    <row r="937">
      <c r="A937" s="54" t="inlineStr">
        <is>
          <t>US SSS4</t>
        </is>
      </c>
      <c r="B937" s="54" t="inlineStr">
        <is>
          <t>US</t>
        </is>
      </c>
      <c r="C937" s="54" t="inlineStr">
        <is>
          <t>B0DDRFDBSP</t>
        </is>
      </c>
      <c r="D937" s="54" t="inlineStr">
        <is>
          <t>SS-SATIN-SAGE-GREEN-KING-4PCS</t>
        </is>
      </c>
      <c r="E937" s="54" t="inlineStr">
        <is>
          <t>King</t>
        </is>
      </c>
      <c r="F937" s="54" t="inlineStr">
        <is>
          <t>Sage Green</t>
        </is>
      </c>
      <c r="G937" s="55" t="n">
        <v>3</v>
      </c>
      <c r="H937" s="167" t="n">
        <v>96.78</v>
      </c>
      <c r="I937" s="167" t="n">
        <v>0</v>
      </c>
      <c r="J937" s="168">
        <f>IF(AND(N(G937)&gt;0,N(H937)+N(I937)&gt;0),(H937+I937)*U937/G937,"")</f>
        <v/>
      </c>
      <c r="K937" s="167" t="n">
        <v>35.95</v>
      </c>
      <c r="L937" s="167" t="n"/>
      <c r="M937" s="54" t="inlineStr">
        <is>
          <t>Out of stock</t>
        </is>
      </c>
      <c r="N937" s="168">
        <f>IF(OR(J937="",L937=""),"",L937-J937)</f>
        <v/>
      </c>
      <c r="O937" s="169">
        <f>IF(OR(J937="",L937=""),"",L937/J937-1)</f>
        <v/>
      </c>
      <c r="P937" s="169">
        <f>IF(OR(J937="",K937=""),"",K937/J937-1)</f>
        <v/>
      </c>
      <c r="Q937" s="54">
        <f>IF(AND(ISNUMBER(J937),ISNUMBER(L937)),1,0)</f>
        <v/>
      </c>
      <c r="R937" s="69">
        <f>IF(Q937=1,G937*L937,0)</f>
        <v/>
      </c>
      <c r="S937" s="69">
        <f>IF(Q937=1,(H937+I937)*U937,0)</f>
        <v/>
      </c>
      <c r="T937" s="59">
        <f>IF(Q937=1,G937,0)</f>
        <v/>
      </c>
      <c r="U937" s="170" t="n">
        <v>1</v>
      </c>
    </row>
    <row r="938">
      <c r="A938" s="54" t="inlineStr">
        <is>
          <t>US SSS4</t>
        </is>
      </c>
      <c r="B938" s="54" t="inlineStr">
        <is>
          <t>US</t>
        </is>
      </c>
      <c r="C938" s="54" t="inlineStr">
        <is>
          <t>B0DDRDBWCG</t>
        </is>
      </c>
      <c r="D938" s="54" t="inlineStr">
        <is>
          <t>SS-SATIN-STRIPED-PURPLE-KING-4PCS</t>
        </is>
      </c>
      <c r="E938" s="54" t="inlineStr">
        <is>
          <t>King</t>
        </is>
      </c>
      <c r="F938" s="54" t="inlineStr">
        <is>
          <t>Striped Purple</t>
        </is>
      </c>
      <c r="G938" s="55" t="n">
        <v>3</v>
      </c>
      <c r="H938" s="167" t="n">
        <v>96.78</v>
      </c>
      <c r="I938" s="167" t="n">
        <v>0</v>
      </c>
      <c r="J938" s="168">
        <f>IF(AND(N(G938)&gt;0,N(H938)+N(I938)&gt;0),(H938+I938)*U938/G938,"")</f>
        <v/>
      </c>
      <c r="K938" s="167" t="n">
        <v>35.95</v>
      </c>
      <c r="L938" s="167" t="n"/>
      <c r="M938" s="54" t="inlineStr">
        <is>
          <t>Out of stock</t>
        </is>
      </c>
      <c r="N938" s="168">
        <f>IF(OR(J938="",L938=""),"",L938-J938)</f>
        <v/>
      </c>
      <c r="O938" s="169">
        <f>IF(OR(J938="",L938=""),"",L938/J938-1)</f>
        <v/>
      </c>
      <c r="P938" s="169">
        <f>IF(OR(J938="",K938=""),"",K938/J938-1)</f>
        <v/>
      </c>
      <c r="Q938" s="54">
        <f>IF(AND(ISNUMBER(J938),ISNUMBER(L938)),1,0)</f>
        <v/>
      </c>
      <c r="R938" s="69">
        <f>IF(Q938=1,G938*L938,0)</f>
        <v/>
      </c>
      <c r="S938" s="69">
        <f>IF(Q938=1,(H938+I938)*U938,0)</f>
        <v/>
      </c>
      <c r="T938" s="59">
        <f>IF(Q938=1,G938,0)</f>
        <v/>
      </c>
      <c r="U938" s="170" t="n">
        <v>1</v>
      </c>
    </row>
    <row r="939">
      <c r="A939" s="54" t="inlineStr">
        <is>
          <t>US SSS4</t>
        </is>
      </c>
      <c r="B939" s="54" t="inlineStr">
        <is>
          <t>US</t>
        </is>
      </c>
      <c r="C939" s="54" t="inlineStr">
        <is>
          <t>B0DDRDMJCT</t>
        </is>
      </c>
      <c r="D939" s="54" t="inlineStr">
        <is>
          <t>SS-SATIN-STRIPED-RED-KING-4PCS</t>
        </is>
      </c>
      <c r="E939" s="54" t="inlineStr">
        <is>
          <t>King</t>
        </is>
      </c>
      <c r="F939" s="54" t="inlineStr">
        <is>
          <t>Striped Red</t>
        </is>
      </c>
      <c r="G939" s="55" t="n">
        <v>3</v>
      </c>
      <c r="H939" s="167" t="n">
        <v>96.78</v>
      </c>
      <c r="I939" s="167" t="n">
        <v>0</v>
      </c>
      <c r="J939" s="168">
        <f>IF(AND(N(G939)&gt;0,N(H939)+N(I939)&gt;0),(H939+I939)*U939/G939,"")</f>
        <v/>
      </c>
      <c r="K939" s="167" t="n">
        <v>35.95</v>
      </c>
      <c r="L939" s="167" t="n">
        <v>33.95</v>
      </c>
      <c r="M939" s="54" t="inlineStr">
        <is>
          <t>Eligible</t>
        </is>
      </c>
      <c r="N939" s="168">
        <f>IF(OR(J939="",L939=""),"",L939-J939)</f>
        <v/>
      </c>
      <c r="O939" s="169">
        <f>IF(OR(J939="",L939=""),"",L939/J939-1)</f>
        <v/>
      </c>
      <c r="P939" s="169">
        <f>IF(OR(J939="",K939=""),"",K939/J939-1)</f>
        <v/>
      </c>
      <c r="Q939" s="54">
        <f>IF(AND(ISNUMBER(J939),ISNUMBER(L939)),1,0)</f>
        <v/>
      </c>
      <c r="R939" s="69">
        <f>IF(Q939=1,G939*L939,0)</f>
        <v/>
      </c>
      <c r="S939" s="69">
        <f>IF(Q939=1,(H939+I939)*U939,0)</f>
        <v/>
      </c>
      <c r="T939" s="59">
        <f>IF(Q939=1,G939,0)</f>
        <v/>
      </c>
      <c r="U939" s="170" t="n">
        <v>1</v>
      </c>
    </row>
    <row r="940">
      <c r="A940" s="54" t="inlineStr">
        <is>
          <t>US SSS4</t>
        </is>
      </c>
      <c r="B940" s="54" t="inlineStr">
        <is>
          <t>US</t>
        </is>
      </c>
      <c r="C940" s="54" t="inlineStr">
        <is>
          <t>B0DDRNW3GF</t>
        </is>
      </c>
      <c r="D940" s="54" t="inlineStr">
        <is>
          <t>SS-SATIN-BLUE-QUEEN-4PCS</t>
        </is>
      </c>
      <c r="E940" s="54" t="inlineStr">
        <is>
          <t>Queen</t>
        </is>
      </c>
      <c r="F940" s="54" t="inlineStr">
        <is>
          <t>Blue</t>
        </is>
      </c>
      <c r="G940" s="55" t="n">
        <v>3</v>
      </c>
      <c r="H940" s="167" t="n">
        <v>91.68000000000001</v>
      </c>
      <c r="I940" s="167" t="n">
        <v>0</v>
      </c>
      <c r="J940" s="168">
        <f>IF(AND(N(G940)&gt;0,N(H940)+N(I940)&gt;0),(H940+I940)*U940/G940,"")</f>
        <v/>
      </c>
      <c r="K940" s="167" t="n">
        <v>33.95</v>
      </c>
      <c r="L940" s="167" t="n"/>
      <c r="M940" s="54" t="inlineStr">
        <is>
          <t>Out of stock</t>
        </is>
      </c>
      <c r="N940" s="168">
        <f>IF(OR(J940="",L940=""),"",L940-J940)</f>
        <v/>
      </c>
      <c r="O940" s="169">
        <f>IF(OR(J940="",L940=""),"",L940/J940-1)</f>
        <v/>
      </c>
      <c r="P940" s="169">
        <f>IF(OR(J940="",K940=""),"",K940/J940-1)</f>
        <v/>
      </c>
      <c r="Q940" s="54">
        <f>IF(AND(ISNUMBER(J940),ISNUMBER(L940)),1,0)</f>
        <v/>
      </c>
      <c r="R940" s="69">
        <f>IF(Q940=1,G940*L940,0)</f>
        <v/>
      </c>
      <c r="S940" s="69">
        <f>IF(Q940=1,(H940+I940)*U940,0)</f>
        <v/>
      </c>
      <c r="T940" s="59">
        <f>IF(Q940=1,G940,0)</f>
        <v/>
      </c>
      <c r="U940" s="170" t="n">
        <v>1</v>
      </c>
    </row>
    <row r="941">
      <c r="A941" s="54" t="inlineStr">
        <is>
          <t>US SSS4</t>
        </is>
      </c>
      <c r="B941" s="54" t="inlineStr">
        <is>
          <t>US</t>
        </is>
      </c>
      <c r="C941" s="54" t="inlineStr">
        <is>
          <t>B0DDR1YLCM</t>
        </is>
      </c>
      <c r="D941" s="54" t="inlineStr">
        <is>
          <t>SS-SATIN-CHAMPAGNE-QUEEN-4PCS</t>
        </is>
      </c>
      <c r="E941" s="54" t="inlineStr">
        <is>
          <t>Queen</t>
        </is>
      </c>
      <c r="F941" s="54" t="inlineStr">
        <is>
          <t>Champagne</t>
        </is>
      </c>
      <c r="G941" s="55" t="n">
        <v>3</v>
      </c>
      <c r="H941" s="167" t="n">
        <v>91.68000000000001</v>
      </c>
      <c r="I941" s="167" t="n">
        <v>0</v>
      </c>
      <c r="J941" s="168">
        <f>IF(AND(N(G941)&gt;0,N(H941)+N(I941)&gt;0),(H941+I941)*U941/G941,"")</f>
        <v/>
      </c>
      <c r="K941" s="167" t="n">
        <v>33.95</v>
      </c>
      <c r="L941" s="167" t="n">
        <v>32.25</v>
      </c>
      <c r="M941" s="54" t="inlineStr">
        <is>
          <t>Eligible</t>
        </is>
      </c>
      <c r="N941" s="168">
        <f>IF(OR(J941="",L941=""),"",L941-J941)</f>
        <v/>
      </c>
      <c r="O941" s="169">
        <f>IF(OR(J941="",L941=""),"",L941/J941-1)</f>
        <v/>
      </c>
      <c r="P941" s="169">
        <f>IF(OR(J941="",K941=""),"",K941/J941-1)</f>
        <v/>
      </c>
      <c r="Q941" s="54">
        <f>IF(AND(ISNUMBER(J941),ISNUMBER(L941)),1,0)</f>
        <v/>
      </c>
      <c r="R941" s="69">
        <f>IF(Q941=1,G941*L941,0)</f>
        <v/>
      </c>
      <c r="S941" s="69">
        <f>IF(Q941=1,(H941+I941)*U941,0)</f>
        <v/>
      </c>
      <c r="T941" s="59">
        <f>IF(Q941=1,G941,0)</f>
        <v/>
      </c>
      <c r="U941" s="170" t="n">
        <v>1</v>
      </c>
    </row>
    <row r="942">
      <c r="A942" s="54" t="inlineStr">
        <is>
          <t>US SSS4</t>
        </is>
      </c>
      <c r="B942" s="54" t="inlineStr">
        <is>
          <t>US</t>
        </is>
      </c>
      <c r="C942" s="54" t="inlineStr">
        <is>
          <t>B0DDRHPKDV</t>
        </is>
      </c>
      <c r="D942" s="54" t="inlineStr">
        <is>
          <t>SS-SATIN-GOLD-QUEEN-4PCS</t>
        </is>
      </c>
      <c r="E942" s="54" t="inlineStr">
        <is>
          <t>Queen</t>
        </is>
      </c>
      <c r="F942" s="54" t="inlineStr">
        <is>
          <t>Gold</t>
        </is>
      </c>
      <c r="G942" s="55" t="n">
        <v>3</v>
      </c>
      <c r="H942" s="167" t="n">
        <v>91.68000000000001</v>
      </c>
      <c r="I942" s="167" t="n">
        <v>0</v>
      </c>
      <c r="J942" s="168">
        <f>IF(AND(N(G942)&gt;0,N(H942)+N(I942)&gt;0),(H942+I942)*U942/G942,"")</f>
        <v/>
      </c>
      <c r="K942" s="167" t="n">
        <v>33.95</v>
      </c>
      <c r="L942" s="167" t="n">
        <v>30.35</v>
      </c>
      <c r="M942" s="54" t="inlineStr">
        <is>
          <t>Eligible</t>
        </is>
      </c>
      <c r="N942" s="168">
        <f>IF(OR(J942="",L942=""),"",L942-J942)</f>
        <v/>
      </c>
      <c r="O942" s="169">
        <f>IF(OR(J942="",L942=""),"",L942/J942-1)</f>
        <v/>
      </c>
      <c r="P942" s="169">
        <f>IF(OR(J942="",K942=""),"",K942/J942-1)</f>
        <v/>
      </c>
      <c r="Q942" s="54">
        <f>IF(AND(ISNUMBER(J942),ISNUMBER(L942)),1,0)</f>
        <v/>
      </c>
      <c r="R942" s="69">
        <f>IF(Q942=1,G942*L942,0)</f>
        <v/>
      </c>
      <c r="S942" s="69">
        <f>IF(Q942=1,(H942+I942)*U942,0)</f>
        <v/>
      </c>
      <c r="T942" s="59">
        <f>IF(Q942=1,G942,0)</f>
        <v/>
      </c>
      <c r="U942" s="170" t="n">
        <v>1</v>
      </c>
    </row>
    <row r="943">
      <c r="A943" s="54" t="inlineStr">
        <is>
          <t>US SSS4</t>
        </is>
      </c>
      <c r="B943" s="54" t="inlineStr">
        <is>
          <t>US</t>
        </is>
      </c>
      <c r="C943" s="54" t="inlineStr">
        <is>
          <t>B0DDR1X5B9</t>
        </is>
      </c>
      <c r="D943" s="54" t="inlineStr">
        <is>
          <t>SS-SATIN-STRIPED-WHITE-QUEEN-4PCS</t>
        </is>
      </c>
      <c r="E943" s="54" t="inlineStr">
        <is>
          <t>Queen</t>
        </is>
      </c>
      <c r="F943" s="54" t="inlineStr">
        <is>
          <t>Striped White</t>
        </is>
      </c>
      <c r="G943" s="55" t="n">
        <v>3</v>
      </c>
      <c r="H943" s="167" t="n">
        <v>91.68000000000001</v>
      </c>
      <c r="I943" s="167" t="n">
        <v>0</v>
      </c>
      <c r="J943" s="168">
        <f>IF(AND(N(G943)&gt;0,N(H943)+N(I943)&gt;0),(H943+I943)*U943/G943,"")</f>
        <v/>
      </c>
      <c r="K943" s="167" t="n">
        <v>33.95</v>
      </c>
      <c r="L943" s="167" t="n"/>
      <c r="M943" s="54" t="inlineStr">
        <is>
          <t>Out of stock</t>
        </is>
      </c>
      <c r="N943" s="168">
        <f>IF(OR(J943="",L943=""),"",L943-J943)</f>
        <v/>
      </c>
      <c r="O943" s="169">
        <f>IF(OR(J943="",L943=""),"",L943/J943-1)</f>
        <v/>
      </c>
      <c r="P943" s="169">
        <f>IF(OR(J943="",K943=""),"",K943/J943-1)</f>
        <v/>
      </c>
      <c r="Q943" s="54">
        <f>IF(AND(ISNUMBER(J943),ISNUMBER(L943)),1,0)</f>
        <v/>
      </c>
      <c r="R943" s="69">
        <f>IF(Q943=1,G943*L943,0)</f>
        <v/>
      </c>
      <c r="S943" s="69">
        <f>IF(Q943=1,(H943+I943)*U943,0)</f>
        <v/>
      </c>
      <c r="T943" s="59">
        <f>IF(Q943=1,G943,0)</f>
        <v/>
      </c>
      <c r="U943" s="170" t="n">
        <v>1</v>
      </c>
    </row>
    <row r="944">
      <c r="A944" s="54" t="inlineStr">
        <is>
          <t>US SSS4</t>
        </is>
      </c>
      <c r="B944" s="54" t="inlineStr">
        <is>
          <t>US</t>
        </is>
      </c>
      <c r="C944" s="54" t="inlineStr">
        <is>
          <t>B0DDR4V4XB</t>
        </is>
      </c>
      <c r="D944" s="54" t="inlineStr">
        <is>
          <t>SS-SATIN-TAUPE-QUEEN-4PCS</t>
        </is>
      </c>
      <c r="E944" s="54" t="inlineStr">
        <is>
          <t>Queen</t>
        </is>
      </c>
      <c r="F944" s="54" t="inlineStr">
        <is>
          <t>Taupe</t>
        </is>
      </c>
      <c r="G944" s="55" t="n">
        <v>3</v>
      </c>
      <c r="H944" s="167" t="n">
        <v>91.68000000000001</v>
      </c>
      <c r="I944" s="167" t="n">
        <v>0</v>
      </c>
      <c r="J944" s="168">
        <f>IF(AND(N(G944)&gt;0,N(H944)+N(I944)&gt;0),(H944+I944)*U944/G944,"")</f>
        <v/>
      </c>
      <c r="K944" s="167" t="n">
        <v>33.95</v>
      </c>
      <c r="L944" s="167" t="n">
        <v>31.95</v>
      </c>
      <c r="M944" s="54" t="inlineStr">
        <is>
          <t>Eligible</t>
        </is>
      </c>
      <c r="N944" s="168">
        <f>IF(OR(J944="",L944=""),"",L944-J944)</f>
        <v/>
      </c>
      <c r="O944" s="169">
        <f>IF(OR(J944="",L944=""),"",L944/J944-1)</f>
        <v/>
      </c>
      <c r="P944" s="169">
        <f>IF(OR(J944="",K944=""),"",K944/J944-1)</f>
        <v/>
      </c>
      <c r="Q944" s="54">
        <f>IF(AND(ISNUMBER(J944),ISNUMBER(L944)),1,0)</f>
        <v/>
      </c>
      <c r="R944" s="69">
        <f>IF(Q944=1,G944*L944,0)</f>
        <v/>
      </c>
      <c r="S944" s="69">
        <f>IF(Q944=1,(H944+I944)*U944,0)</f>
        <v/>
      </c>
      <c r="T944" s="59">
        <f>IF(Q944=1,G944,0)</f>
        <v/>
      </c>
      <c r="U944" s="170" t="n">
        <v>1</v>
      </c>
    </row>
    <row r="945">
      <c r="A945" s="54" t="inlineStr">
        <is>
          <t>US SSS4</t>
        </is>
      </c>
      <c r="B945" s="54" t="inlineStr">
        <is>
          <t>US</t>
        </is>
      </c>
      <c r="C945" s="54" t="inlineStr">
        <is>
          <t>B0DDR9ZDTW</t>
        </is>
      </c>
      <c r="D945" s="54" t="inlineStr">
        <is>
          <t>SS-SATIN-BABY-BLUE-TWIN-3PCS</t>
        </is>
      </c>
      <c r="E945" s="54" t="inlineStr">
        <is>
          <t>Twin</t>
        </is>
      </c>
      <c r="F945" s="54" t="inlineStr">
        <is>
          <t>Baby Blue</t>
        </is>
      </c>
      <c r="G945" s="55" t="n">
        <v>3</v>
      </c>
      <c r="H945" s="167" t="n">
        <v>81.48</v>
      </c>
      <c r="I945" s="167" t="n">
        <v>0</v>
      </c>
      <c r="J945" s="168">
        <f>IF(AND(N(G945)&gt;0,N(H945)+N(I945)&gt;0),(H945+I945)*U945/G945,"")</f>
        <v/>
      </c>
      <c r="K945" s="167" t="n">
        <v>29.95</v>
      </c>
      <c r="L945" s="167" t="n"/>
      <c r="M945" s="54" t="inlineStr">
        <is>
          <t>Out of stock</t>
        </is>
      </c>
      <c r="N945" s="168">
        <f>IF(OR(J945="",L945=""),"",L945-J945)</f>
        <v/>
      </c>
      <c r="O945" s="169">
        <f>IF(OR(J945="",L945=""),"",L945/J945-1)</f>
        <v/>
      </c>
      <c r="P945" s="169">
        <f>IF(OR(J945="",K945=""),"",K945/J945-1)</f>
        <v/>
      </c>
      <c r="Q945" s="54">
        <f>IF(AND(ISNUMBER(J945),ISNUMBER(L945)),1,0)</f>
        <v/>
      </c>
      <c r="R945" s="69">
        <f>IF(Q945=1,G945*L945,0)</f>
        <v/>
      </c>
      <c r="S945" s="69">
        <f>IF(Q945=1,(H945+I945)*U945,0)</f>
        <v/>
      </c>
      <c r="T945" s="59">
        <f>IF(Q945=1,G945,0)</f>
        <v/>
      </c>
      <c r="U945" s="170" t="n">
        <v>1</v>
      </c>
    </row>
    <row r="946">
      <c r="A946" s="54" t="inlineStr">
        <is>
          <t>US SSS4</t>
        </is>
      </c>
      <c r="B946" s="54" t="inlineStr">
        <is>
          <t>US</t>
        </is>
      </c>
      <c r="C946" s="54" t="inlineStr">
        <is>
          <t>B0DDR4QMK1</t>
        </is>
      </c>
      <c r="D946" s="54" t="inlineStr">
        <is>
          <t>SS-SATIN-IVORY-TWIN-3PCS</t>
        </is>
      </c>
      <c r="E946" s="54" t="inlineStr">
        <is>
          <t>Twin</t>
        </is>
      </c>
      <c r="F946" s="54" t="inlineStr">
        <is>
          <t>Ivory</t>
        </is>
      </c>
      <c r="G946" s="55" t="n">
        <v>3</v>
      </c>
      <c r="H946" s="167" t="n">
        <v>76.38</v>
      </c>
      <c r="I946" s="167" t="n">
        <v>0</v>
      </c>
      <c r="J946" s="168">
        <f>IF(AND(N(G946)&gt;0,N(H946)+N(I946)&gt;0),(H946+I946)*U946/G946,"")</f>
        <v/>
      </c>
      <c r="K946" s="167" t="n">
        <v>29.95</v>
      </c>
      <c r="L946" s="167" t="n">
        <v>27.95</v>
      </c>
      <c r="M946" s="54" t="inlineStr">
        <is>
          <t>Eligible</t>
        </is>
      </c>
      <c r="N946" s="168">
        <f>IF(OR(J946="",L946=""),"",L946-J946)</f>
        <v/>
      </c>
      <c r="O946" s="169">
        <f>IF(OR(J946="",L946=""),"",L946/J946-1)</f>
        <v/>
      </c>
      <c r="P946" s="169">
        <f>IF(OR(J946="",K946=""),"",K946/J946-1)</f>
        <v/>
      </c>
      <c r="Q946" s="54">
        <f>IF(AND(ISNUMBER(J946),ISNUMBER(L946)),1,0)</f>
        <v/>
      </c>
      <c r="R946" s="69">
        <f>IF(Q946=1,G946*L946,0)</f>
        <v/>
      </c>
      <c r="S946" s="69">
        <f>IF(Q946=1,(H946+I946)*U946,0)</f>
        <v/>
      </c>
      <c r="T946" s="59">
        <f>IF(Q946=1,G946,0)</f>
        <v/>
      </c>
      <c r="U946" s="170" t="n">
        <v>1</v>
      </c>
    </row>
    <row r="947">
      <c r="A947" s="54" t="inlineStr">
        <is>
          <t>US SSS4</t>
        </is>
      </c>
      <c r="B947" s="54" t="inlineStr">
        <is>
          <t>US</t>
        </is>
      </c>
      <c r="C947" s="54" t="inlineStr">
        <is>
          <t>B0DDR3SX2D</t>
        </is>
      </c>
      <c r="D947" s="54" t="inlineStr">
        <is>
          <t>SS-SATIN-LAVENDER-TWIN-3PCS</t>
        </is>
      </c>
      <c r="E947" s="54" t="inlineStr">
        <is>
          <t>Twin</t>
        </is>
      </c>
      <c r="F947" s="54" t="inlineStr">
        <is>
          <t>Lavender</t>
        </is>
      </c>
      <c r="G947" s="55" t="n">
        <v>3</v>
      </c>
      <c r="H947" s="167" t="n">
        <v>81.48</v>
      </c>
      <c r="I947" s="167" t="n">
        <v>0</v>
      </c>
      <c r="J947" s="168">
        <f>IF(AND(N(G947)&gt;0,N(H947)+N(I947)&gt;0),(H947+I947)*U947/G947,"")</f>
        <v/>
      </c>
      <c r="K947" s="167" t="n">
        <v>37.95</v>
      </c>
      <c r="L947" s="167" t="n">
        <v>36.05</v>
      </c>
      <c r="M947" s="54" t="inlineStr">
        <is>
          <t>Eligible</t>
        </is>
      </c>
      <c r="N947" s="168">
        <f>IF(OR(J947="",L947=""),"",L947-J947)</f>
        <v/>
      </c>
      <c r="O947" s="169">
        <f>IF(OR(J947="",L947=""),"",L947/J947-1)</f>
        <v/>
      </c>
      <c r="P947" s="169">
        <f>IF(OR(J947="",K947=""),"",K947/J947-1)</f>
        <v/>
      </c>
      <c r="Q947" s="54">
        <f>IF(AND(ISNUMBER(J947),ISNUMBER(L947)),1,0)</f>
        <v/>
      </c>
      <c r="R947" s="69">
        <f>IF(Q947=1,G947*L947,0)</f>
        <v/>
      </c>
      <c r="S947" s="69">
        <f>IF(Q947=1,(H947+I947)*U947,0)</f>
        <v/>
      </c>
      <c r="T947" s="59">
        <f>IF(Q947=1,G947,0)</f>
        <v/>
      </c>
      <c r="U947" s="170" t="n">
        <v>1</v>
      </c>
    </row>
    <row r="948">
      <c r="A948" s="54" t="inlineStr">
        <is>
          <t>US SSS4</t>
        </is>
      </c>
      <c r="B948" s="54" t="inlineStr">
        <is>
          <t>US</t>
        </is>
      </c>
      <c r="C948" s="54" t="inlineStr">
        <is>
          <t>B0DDRNZ8YM</t>
        </is>
      </c>
      <c r="D948" s="54" t="inlineStr">
        <is>
          <t>SS-SATIN-IVORY-FULL-4PCS</t>
        </is>
      </c>
      <c r="E948" s="54" t="inlineStr">
        <is>
          <t>Full</t>
        </is>
      </c>
      <c r="F948" s="54" t="inlineStr">
        <is>
          <t>Ivory</t>
        </is>
      </c>
      <c r="G948" s="55" t="n">
        <v>2</v>
      </c>
      <c r="H948" s="167" t="n">
        <v>51.2</v>
      </c>
      <c r="I948" s="167" t="n">
        <v>0</v>
      </c>
      <c r="J948" s="168">
        <f>IF(AND(N(G948)&gt;0,N(H948)+N(I948)&gt;0),(H948+I948)*U948/G948,"")</f>
        <v/>
      </c>
      <c r="K948" s="167" t="n">
        <v>31.95</v>
      </c>
      <c r="L948" s="167" t="n"/>
      <c r="M948" s="54" t="inlineStr">
        <is>
          <t>Flagged by Amazon</t>
        </is>
      </c>
      <c r="N948" s="168">
        <f>IF(OR(J948="",L948=""),"",L948-J948)</f>
        <v/>
      </c>
      <c r="O948" s="169">
        <f>IF(OR(J948="",L948=""),"",L948/J948-1)</f>
        <v/>
      </c>
      <c r="P948" s="169">
        <f>IF(OR(J948="",K948=""),"",K948/J948-1)</f>
        <v/>
      </c>
      <c r="Q948" s="54">
        <f>IF(AND(ISNUMBER(J948),ISNUMBER(L948)),1,0)</f>
        <v/>
      </c>
      <c r="R948" s="69">
        <f>IF(Q948=1,G948*L948,0)</f>
        <v/>
      </c>
      <c r="S948" s="69">
        <f>IF(Q948=1,(H948+I948)*U948,0)</f>
        <v/>
      </c>
      <c r="T948" s="59">
        <f>IF(Q948=1,G948,0)</f>
        <v/>
      </c>
      <c r="U948" s="170" t="n">
        <v>1</v>
      </c>
    </row>
    <row r="949">
      <c r="A949" s="54" t="inlineStr">
        <is>
          <t>US SSS4</t>
        </is>
      </c>
      <c r="B949" s="54" t="inlineStr">
        <is>
          <t>US</t>
        </is>
      </c>
      <c r="C949" s="54" t="inlineStr">
        <is>
          <t>B0DDQX8257</t>
        </is>
      </c>
      <c r="D949" s="54" t="inlineStr">
        <is>
          <t>SS-SATIN-STRIPED-BLUE-FULL-4PCS</t>
        </is>
      </c>
      <c r="E949" s="54" t="inlineStr">
        <is>
          <t>Full</t>
        </is>
      </c>
      <c r="F949" s="54" t="inlineStr">
        <is>
          <t>Striped Blue</t>
        </is>
      </c>
      <c r="G949" s="55" t="n">
        <v>2</v>
      </c>
      <c r="H949" s="167" t="n">
        <v>54.32</v>
      </c>
      <c r="I949" s="167" t="n">
        <v>0</v>
      </c>
      <c r="J949" s="168">
        <f>IF(AND(N(G949)&gt;0,N(H949)+N(I949)&gt;0),(H949+I949)*U949/G949,"")</f>
        <v/>
      </c>
      <c r="K949" s="167" t="n">
        <v>31.95</v>
      </c>
      <c r="L949" s="167" t="n"/>
      <c r="M949" s="54" t="inlineStr">
        <is>
          <t>Out of stock</t>
        </is>
      </c>
      <c r="N949" s="168">
        <f>IF(OR(J949="",L949=""),"",L949-J949)</f>
        <v/>
      </c>
      <c r="O949" s="169">
        <f>IF(OR(J949="",L949=""),"",L949/J949-1)</f>
        <v/>
      </c>
      <c r="P949" s="169">
        <f>IF(OR(J949="",K949=""),"",K949/J949-1)</f>
        <v/>
      </c>
      <c r="Q949" s="54">
        <f>IF(AND(ISNUMBER(J949),ISNUMBER(L949)),1,0)</f>
        <v/>
      </c>
      <c r="R949" s="69">
        <f>IF(Q949=1,G949*L949,0)</f>
        <v/>
      </c>
      <c r="S949" s="69">
        <f>IF(Q949=1,(H949+I949)*U949,0)</f>
        <v/>
      </c>
      <c r="T949" s="59">
        <f>IF(Q949=1,G949,0)</f>
        <v/>
      </c>
      <c r="U949" s="170" t="n">
        <v>1</v>
      </c>
    </row>
    <row r="950">
      <c r="A950" s="54" t="inlineStr">
        <is>
          <t>US SSS4</t>
        </is>
      </c>
      <c r="B950" s="54" t="inlineStr">
        <is>
          <t>US</t>
        </is>
      </c>
      <c r="C950" s="54" t="inlineStr">
        <is>
          <t>B0DDRKMZ6G</t>
        </is>
      </c>
      <c r="D950" s="54" t="inlineStr">
        <is>
          <t>SS-SATIN-STRIPED-PINK-FULL-4PCS</t>
        </is>
      </c>
      <c r="E950" s="54" t="inlineStr">
        <is>
          <t>Full</t>
        </is>
      </c>
      <c r="F950" s="54" t="inlineStr">
        <is>
          <t>Striped Pink</t>
        </is>
      </c>
      <c r="G950" s="55" t="n">
        <v>2</v>
      </c>
      <c r="H950" s="167" t="n">
        <v>51.2</v>
      </c>
      <c r="I950" s="167" t="n">
        <v>0</v>
      </c>
      <c r="J950" s="168">
        <f>IF(AND(N(G950)&gt;0,N(H950)+N(I950)&gt;0),(H950+I950)*U950/G950,"")</f>
        <v/>
      </c>
      <c r="K950" s="167" t="n">
        <v>31.95</v>
      </c>
      <c r="L950" s="167" t="n">
        <v>28.45</v>
      </c>
      <c r="M950" s="54" t="inlineStr">
        <is>
          <t>Eligible</t>
        </is>
      </c>
      <c r="N950" s="168">
        <f>IF(OR(J950="",L950=""),"",L950-J950)</f>
        <v/>
      </c>
      <c r="O950" s="169">
        <f>IF(OR(J950="",L950=""),"",L950/J950-1)</f>
        <v/>
      </c>
      <c r="P950" s="169">
        <f>IF(OR(J950="",K950=""),"",K950/J950-1)</f>
        <v/>
      </c>
      <c r="Q950" s="54">
        <f>IF(AND(ISNUMBER(J950),ISNUMBER(L950)),1,0)</f>
        <v/>
      </c>
      <c r="R950" s="69">
        <f>IF(Q950=1,G950*L950,0)</f>
        <v/>
      </c>
      <c r="S950" s="69">
        <f>IF(Q950=1,(H950+I950)*U950,0)</f>
        <v/>
      </c>
      <c r="T950" s="59">
        <f>IF(Q950=1,G950,0)</f>
        <v/>
      </c>
      <c r="U950" s="170" t="n">
        <v>1</v>
      </c>
    </row>
    <row r="951">
      <c r="A951" s="54" t="inlineStr">
        <is>
          <t>US SSS4</t>
        </is>
      </c>
      <c r="B951" s="54" t="inlineStr">
        <is>
          <t>US</t>
        </is>
      </c>
      <c r="C951" s="54" t="inlineStr">
        <is>
          <t>B0DDR4D9HP</t>
        </is>
      </c>
      <c r="D951" s="54" t="inlineStr">
        <is>
          <t>SS-SATIN-STRIPED-WHITE-KING-4PCS</t>
        </is>
      </c>
      <c r="E951" s="54" t="inlineStr">
        <is>
          <t>King</t>
        </is>
      </c>
      <c r="F951" s="54" t="inlineStr">
        <is>
          <t>Striped White</t>
        </is>
      </c>
      <c r="G951" s="55" t="n">
        <v>2</v>
      </c>
      <c r="H951" s="167" t="n">
        <v>64.52</v>
      </c>
      <c r="I951" s="167" t="n">
        <v>0</v>
      </c>
      <c r="J951" s="168">
        <f>IF(AND(N(G951)&gt;0,N(H951)+N(I951)&gt;0),(H951+I951)*U951/G951,"")</f>
        <v/>
      </c>
      <c r="K951" s="167" t="n">
        <v>35.95</v>
      </c>
      <c r="L951" s="167" t="n"/>
      <c r="M951" s="54" t="inlineStr">
        <is>
          <t>Out of stock</t>
        </is>
      </c>
      <c r="N951" s="168">
        <f>IF(OR(J951="",L951=""),"",L951-J951)</f>
        <v/>
      </c>
      <c r="O951" s="169">
        <f>IF(OR(J951="",L951=""),"",L951/J951-1)</f>
        <v/>
      </c>
      <c r="P951" s="169">
        <f>IF(OR(J951="",K951=""),"",K951/J951-1)</f>
        <v/>
      </c>
      <c r="Q951" s="54">
        <f>IF(AND(ISNUMBER(J951),ISNUMBER(L951)),1,0)</f>
        <v/>
      </c>
      <c r="R951" s="69">
        <f>IF(Q951=1,G951*L951,0)</f>
        <v/>
      </c>
      <c r="S951" s="69">
        <f>IF(Q951=1,(H951+I951)*U951,0)</f>
        <v/>
      </c>
      <c r="T951" s="59">
        <f>IF(Q951=1,G951,0)</f>
        <v/>
      </c>
      <c r="U951" s="170" t="n">
        <v>1</v>
      </c>
    </row>
    <row r="952">
      <c r="A952" s="54" t="inlineStr">
        <is>
          <t>US SSS4</t>
        </is>
      </c>
      <c r="B952" s="54" t="inlineStr">
        <is>
          <t>US</t>
        </is>
      </c>
      <c r="C952" s="54" t="inlineStr">
        <is>
          <t>B0DDRFSGVJ</t>
        </is>
      </c>
      <c r="D952" s="54" t="inlineStr">
        <is>
          <t>SS-SATIN-PURPLE-TWIN-3PCS</t>
        </is>
      </c>
      <c r="E952" s="54" t="inlineStr">
        <is>
          <t>Twin</t>
        </is>
      </c>
      <c r="F952" s="54" t="inlineStr">
        <is>
          <t>Purple</t>
        </is>
      </c>
      <c r="G952" s="55" t="n">
        <v>2</v>
      </c>
      <c r="H952" s="167" t="n">
        <v>54.32</v>
      </c>
      <c r="I952" s="167" t="n">
        <v>0</v>
      </c>
      <c r="J952" s="168">
        <f>IF(AND(N(G952)&gt;0,N(H952)+N(I952)&gt;0),(H952+I952)*U952/G952,"")</f>
        <v/>
      </c>
      <c r="K952" s="167" t="n">
        <v>29.95</v>
      </c>
      <c r="L952" s="167" t="n">
        <v>27.95</v>
      </c>
      <c r="M952" s="54" t="inlineStr">
        <is>
          <t>Eligible</t>
        </is>
      </c>
      <c r="N952" s="168">
        <f>IF(OR(J952="",L952=""),"",L952-J952)</f>
        <v/>
      </c>
      <c r="O952" s="169">
        <f>IF(OR(J952="",L952=""),"",L952/J952-1)</f>
        <v/>
      </c>
      <c r="P952" s="169">
        <f>IF(OR(J952="",K952=""),"",K952/J952-1)</f>
        <v/>
      </c>
      <c r="Q952" s="54">
        <f>IF(AND(ISNUMBER(J952),ISNUMBER(L952)),1,0)</f>
        <v/>
      </c>
      <c r="R952" s="69">
        <f>IF(Q952=1,G952*L952,0)</f>
        <v/>
      </c>
      <c r="S952" s="69">
        <f>IF(Q952=1,(H952+I952)*U952,0)</f>
        <v/>
      </c>
      <c r="T952" s="59">
        <f>IF(Q952=1,G952,0)</f>
        <v/>
      </c>
      <c r="U952" s="170" t="n">
        <v>1</v>
      </c>
    </row>
    <row r="953">
      <c r="A953" s="54" t="inlineStr">
        <is>
          <t>US SSS4</t>
        </is>
      </c>
      <c r="B953" s="54" t="inlineStr">
        <is>
          <t>US</t>
        </is>
      </c>
      <c r="C953" s="54" t="inlineStr">
        <is>
          <t>B0DDR6TLDV</t>
        </is>
      </c>
      <c r="D953" s="54" t="inlineStr">
        <is>
          <t>SS-SATIN-ROSEWOOD-TWIN-3PCS</t>
        </is>
      </c>
      <c r="E953" s="54" t="inlineStr">
        <is>
          <t>Twin</t>
        </is>
      </c>
      <c r="F953" s="54" t="inlineStr">
        <is>
          <t>Rosewood</t>
        </is>
      </c>
      <c r="G953" s="55" t="n">
        <v>2</v>
      </c>
      <c r="H953" s="167" t="n">
        <v>54.32</v>
      </c>
      <c r="I953" s="167" t="n">
        <v>0</v>
      </c>
      <c r="J953" s="168">
        <f>IF(AND(N(G953)&gt;0,N(H953)+N(I953)&gt;0),(H953+I953)*U953/G953,"")</f>
        <v/>
      </c>
      <c r="K953" s="167" t="n">
        <v>29.95</v>
      </c>
      <c r="L953" s="167" t="n"/>
      <c r="M953" s="54" t="inlineStr">
        <is>
          <t>Flagged by Amazon</t>
        </is>
      </c>
      <c r="N953" s="168">
        <f>IF(OR(J953="",L953=""),"",L953-J953)</f>
        <v/>
      </c>
      <c r="O953" s="169">
        <f>IF(OR(J953="",L953=""),"",L953/J953-1)</f>
        <v/>
      </c>
      <c r="P953" s="169">
        <f>IF(OR(J953="",K953=""),"",K953/J953-1)</f>
        <v/>
      </c>
      <c r="Q953" s="54">
        <f>IF(AND(ISNUMBER(J953),ISNUMBER(L953)),1,0)</f>
        <v/>
      </c>
      <c r="R953" s="69">
        <f>IF(Q953=1,G953*L953,0)</f>
        <v/>
      </c>
      <c r="S953" s="69">
        <f>IF(Q953=1,(H953+I953)*U953,0)</f>
        <v/>
      </c>
      <c r="T953" s="59">
        <f>IF(Q953=1,G953,0)</f>
        <v/>
      </c>
      <c r="U953" s="170" t="n">
        <v>1</v>
      </c>
    </row>
    <row r="954">
      <c r="A954" s="54" t="inlineStr">
        <is>
          <t>US SSS4</t>
        </is>
      </c>
      <c r="B954" s="54" t="inlineStr">
        <is>
          <t>US</t>
        </is>
      </c>
      <c r="C954" s="54" t="inlineStr">
        <is>
          <t>B0DDR95PQM</t>
        </is>
      </c>
      <c r="D954" s="54" t="inlineStr">
        <is>
          <t>SS-SATIN-STRIPED-WHITE-TWIN-3PCS</t>
        </is>
      </c>
      <c r="E954" s="54" t="inlineStr">
        <is>
          <t>Twin</t>
        </is>
      </c>
      <c r="F954" s="54" t="inlineStr">
        <is>
          <t>Striped White</t>
        </is>
      </c>
      <c r="G954" s="55" t="n">
        <v>2</v>
      </c>
      <c r="H954" s="167" t="n">
        <v>54.32</v>
      </c>
      <c r="I954" s="167" t="n">
        <v>0</v>
      </c>
      <c r="J954" s="168">
        <f>IF(AND(N(G954)&gt;0,N(H954)+N(I954)&gt;0),(H954+I954)*U954/G954,"")</f>
        <v/>
      </c>
      <c r="K954" s="167" t="n">
        <v>29.95</v>
      </c>
      <c r="L954" s="167" t="n"/>
      <c r="M954" s="54" t="inlineStr">
        <is>
          <t>No reference price</t>
        </is>
      </c>
      <c r="N954" s="168">
        <f>IF(OR(J954="",L954=""),"",L954-J954)</f>
        <v/>
      </c>
      <c r="O954" s="169">
        <f>IF(OR(J954="",L954=""),"",L954/J954-1)</f>
        <v/>
      </c>
      <c r="P954" s="169">
        <f>IF(OR(J954="",K954=""),"",K954/J954-1)</f>
        <v/>
      </c>
      <c r="Q954" s="54">
        <f>IF(AND(ISNUMBER(J954),ISNUMBER(L954)),1,0)</f>
        <v/>
      </c>
      <c r="R954" s="69">
        <f>IF(Q954=1,G954*L954,0)</f>
        <v/>
      </c>
      <c r="S954" s="69">
        <f>IF(Q954=1,(H954+I954)*U954,0)</f>
        <v/>
      </c>
      <c r="T954" s="59">
        <f>IF(Q954=1,G954,0)</f>
        <v/>
      </c>
      <c r="U954" s="170" t="n">
        <v>1</v>
      </c>
    </row>
    <row r="955">
      <c r="A955" s="54" t="inlineStr">
        <is>
          <t>US SSS4</t>
        </is>
      </c>
      <c r="B955" s="54" t="inlineStr">
        <is>
          <t>US</t>
        </is>
      </c>
      <c r="C955" s="54" t="inlineStr">
        <is>
          <t>B0DDQQ83Y4</t>
        </is>
      </c>
      <c r="D955" s="54" t="inlineStr">
        <is>
          <t>SS-SATIN-BURNT-ORANGE-FULL-4PCS</t>
        </is>
      </c>
      <c r="E955" s="54" t="inlineStr">
        <is>
          <t>Full</t>
        </is>
      </c>
      <c r="F955" s="54" t="inlineStr">
        <is>
          <t>Burnt Orange</t>
        </is>
      </c>
      <c r="G955" s="55" t="n">
        <v>1</v>
      </c>
      <c r="H955" s="167" t="n">
        <v>27.16</v>
      </c>
      <c r="I955" s="167" t="n">
        <v>0</v>
      </c>
      <c r="J955" s="168">
        <f>IF(AND(N(G955)&gt;0,N(H955)+N(I955)&gt;0),(H955+I955)*U955/G955,"")</f>
        <v/>
      </c>
      <c r="K955" s="167" t="n">
        <v>29.95</v>
      </c>
      <c r="L955" s="167" t="n">
        <v>28.45</v>
      </c>
      <c r="M955" s="54" t="inlineStr">
        <is>
          <t>Eligible</t>
        </is>
      </c>
      <c r="N955" s="168">
        <f>IF(OR(J955="",L955=""),"",L955-J955)</f>
        <v/>
      </c>
      <c r="O955" s="169">
        <f>IF(OR(J955="",L955=""),"",L955/J955-1)</f>
        <v/>
      </c>
      <c r="P955" s="169">
        <f>IF(OR(J955="",K955=""),"",K955/J955-1)</f>
        <v/>
      </c>
      <c r="Q955" s="54">
        <f>IF(AND(ISNUMBER(J955),ISNUMBER(L955)),1,0)</f>
        <v/>
      </c>
      <c r="R955" s="69">
        <f>IF(Q955=1,G955*L955,0)</f>
        <v/>
      </c>
      <c r="S955" s="69">
        <f>IF(Q955=1,(H955+I955)*U955,0)</f>
        <v/>
      </c>
      <c r="T955" s="59">
        <f>IF(Q955=1,G955,0)</f>
        <v/>
      </c>
      <c r="U955" s="170" t="n">
        <v>1</v>
      </c>
    </row>
    <row r="956">
      <c r="A956" s="54" t="inlineStr">
        <is>
          <t>US SSS4</t>
        </is>
      </c>
      <c r="B956" s="54" t="inlineStr">
        <is>
          <t>US</t>
        </is>
      </c>
      <c r="C956" s="54" t="inlineStr">
        <is>
          <t>B0DDR6G4WJ</t>
        </is>
      </c>
      <c r="D956" s="54" t="inlineStr">
        <is>
          <t>SS-SATIN-TAUPE-FULL-4PCS</t>
        </is>
      </c>
      <c r="E956" s="54" t="inlineStr">
        <is>
          <t>Full</t>
        </is>
      </c>
      <c r="F956" s="54" t="inlineStr">
        <is>
          <t>Taupe</t>
        </is>
      </c>
      <c r="G956" s="55" t="n">
        <v>1</v>
      </c>
      <c r="H956" s="167" t="n">
        <v>28.86</v>
      </c>
      <c r="I956" s="167" t="n">
        <v>0</v>
      </c>
      <c r="J956" s="168">
        <f>IF(AND(N(G956)&gt;0,N(H956)+N(I956)&gt;0),(H956+I956)*U956/G956,"")</f>
        <v/>
      </c>
      <c r="K956" s="167" t="n">
        <v>29.95</v>
      </c>
      <c r="L956" s="167" t="n"/>
      <c r="M956" s="54" t="inlineStr">
        <is>
          <t>Flagged by Amazon</t>
        </is>
      </c>
      <c r="N956" s="168">
        <f>IF(OR(J956="",L956=""),"",L956-J956)</f>
        <v/>
      </c>
      <c r="O956" s="169">
        <f>IF(OR(J956="",L956=""),"",L956/J956-1)</f>
        <v/>
      </c>
      <c r="P956" s="169">
        <f>IF(OR(J956="",K956=""),"",K956/J956-1)</f>
        <v/>
      </c>
      <c r="Q956" s="54">
        <f>IF(AND(ISNUMBER(J956),ISNUMBER(L956)),1,0)</f>
        <v/>
      </c>
      <c r="R956" s="69">
        <f>IF(Q956=1,G956*L956,0)</f>
        <v/>
      </c>
      <c r="S956" s="69">
        <f>IF(Q956=1,(H956+I956)*U956,0)</f>
        <v/>
      </c>
      <c r="T956" s="59">
        <f>IF(Q956=1,G956,0)</f>
        <v/>
      </c>
      <c r="U956" s="170" t="n">
        <v>1</v>
      </c>
    </row>
    <row r="957">
      <c r="A957" s="54" t="inlineStr">
        <is>
          <t>US SSS4</t>
        </is>
      </c>
      <c r="B957" s="54" t="inlineStr">
        <is>
          <t>US</t>
        </is>
      </c>
      <c r="C957" s="54" t="inlineStr">
        <is>
          <t>B0DDRH7S7L</t>
        </is>
      </c>
      <c r="D957" s="54" t="inlineStr">
        <is>
          <t>SS-SATIN-WHITE-FULL-4PCS</t>
        </is>
      </c>
      <c r="E957" s="54" t="inlineStr">
        <is>
          <t>Full</t>
        </is>
      </c>
      <c r="F957" s="54" t="inlineStr">
        <is>
          <t>White</t>
        </is>
      </c>
      <c r="G957" s="55" t="n">
        <v>1</v>
      </c>
      <c r="H957" s="167" t="n">
        <v>22.91</v>
      </c>
      <c r="I957" s="167" t="n">
        <v>0</v>
      </c>
      <c r="J957" s="168">
        <f>IF(AND(N(G957)&gt;0,N(H957)+N(I957)&gt;0),(H957+I957)*U957/G957,"")</f>
        <v/>
      </c>
      <c r="K957" s="167" t="n">
        <v>31.95</v>
      </c>
      <c r="L957" s="167" t="n"/>
      <c r="M957" s="54" t="inlineStr">
        <is>
          <t>Out of stock</t>
        </is>
      </c>
      <c r="N957" s="168">
        <f>IF(OR(J957="",L957=""),"",L957-J957)</f>
        <v/>
      </c>
      <c r="O957" s="169">
        <f>IF(OR(J957="",L957=""),"",L957/J957-1)</f>
        <v/>
      </c>
      <c r="P957" s="169">
        <f>IF(OR(J957="",K957=""),"",K957/J957-1)</f>
        <v/>
      </c>
      <c r="Q957" s="54">
        <f>IF(AND(ISNUMBER(J957),ISNUMBER(L957)),1,0)</f>
        <v/>
      </c>
      <c r="R957" s="69">
        <f>IF(Q957=1,G957*L957,0)</f>
        <v/>
      </c>
      <c r="S957" s="69">
        <f>IF(Q957=1,(H957+I957)*U957,0)</f>
        <v/>
      </c>
      <c r="T957" s="59">
        <f>IF(Q957=1,G957,0)</f>
        <v/>
      </c>
      <c r="U957" s="170" t="n">
        <v>1</v>
      </c>
    </row>
    <row r="958">
      <c r="A958" s="54" t="inlineStr">
        <is>
          <t>US SSS4</t>
        </is>
      </c>
      <c r="B958" s="54" t="inlineStr">
        <is>
          <t>US</t>
        </is>
      </c>
      <c r="C958" s="54" t="inlineStr">
        <is>
          <t>B0DDQXKZK7</t>
        </is>
      </c>
      <c r="D958" s="54" t="inlineStr">
        <is>
          <t>SS-SATIN-STRIPED-GOLD-KING-4PCS</t>
        </is>
      </c>
      <c r="E958" s="54" t="inlineStr">
        <is>
          <t>King</t>
        </is>
      </c>
      <c r="F958" s="54" t="inlineStr">
        <is>
          <t>Striped Gold</t>
        </is>
      </c>
      <c r="G958" s="55" t="n">
        <v>1</v>
      </c>
      <c r="H958" s="167" t="n">
        <v>32.26</v>
      </c>
      <c r="I958" s="167" t="n">
        <v>0</v>
      </c>
      <c r="J958" s="168">
        <f>IF(AND(N(G958)&gt;0,N(H958)+N(I958)&gt;0),(H958+I958)*U958/G958,"")</f>
        <v/>
      </c>
      <c r="K958" s="167" t="n">
        <v>35.95</v>
      </c>
      <c r="L958" s="167" t="n">
        <v>32.25</v>
      </c>
      <c r="M958" s="54" t="inlineStr">
        <is>
          <t>Eligible</t>
        </is>
      </c>
      <c r="N958" s="168">
        <f>IF(OR(J958="",L958=""),"",L958-J958)</f>
        <v/>
      </c>
      <c r="O958" s="169">
        <f>IF(OR(J958="",L958=""),"",L958/J958-1)</f>
        <v/>
      </c>
      <c r="P958" s="169">
        <f>IF(OR(J958="",K958=""),"",K958/J958-1)</f>
        <v/>
      </c>
      <c r="Q958" s="54">
        <f>IF(AND(ISNUMBER(J958),ISNUMBER(L958)),1,0)</f>
        <v/>
      </c>
      <c r="R958" s="69">
        <f>IF(Q958=1,G958*L958,0)</f>
        <v/>
      </c>
      <c r="S958" s="69">
        <f>IF(Q958=1,(H958+I958)*U958,0)</f>
        <v/>
      </c>
      <c r="T958" s="59">
        <f>IF(Q958=1,G958,0)</f>
        <v/>
      </c>
      <c r="U958" s="170" t="n">
        <v>1</v>
      </c>
    </row>
    <row r="959">
      <c r="A959" s="54" t="inlineStr">
        <is>
          <t>US SSS4</t>
        </is>
      </c>
      <c r="B959" s="54" t="inlineStr">
        <is>
          <t>US</t>
        </is>
      </c>
      <c r="C959" s="54" t="inlineStr">
        <is>
          <t>B0DDR3QB2L</t>
        </is>
      </c>
      <c r="D959" s="54" t="inlineStr">
        <is>
          <t>SS-SATIN-BLUE-TWIN-3PCS</t>
        </is>
      </c>
      <c r="E959" s="54" t="inlineStr">
        <is>
          <t>Twin</t>
        </is>
      </c>
      <c r="F959" s="54" t="inlineStr">
        <is>
          <t>Blue</t>
        </is>
      </c>
      <c r="G959" s="55" t="n">
        <v>1</v>
      </c>
      <c r="H959" s="167" t="n">
        <v>25.46</v>
      </c>
      <c r="I959" s="167" t="n">
        <v>0</v>
      </c>
      <c r="J959" s="168">
        <f>IF(AND(N(G959)&gt;0,N(H959)+N(I959)&gt;0),(H959+I959)*U959/G959,"")</f>
        <v/>
      </c>
      <c r="K959" s="167" t="n">
        <v>29.95</v>
      </c>
      <c r="L959" s="167" t="n">
        <v>27.95</v>
      </c>
      <c r="M959" s="54" t="inlineStr">
        <is>
          <t>Eligible</t>
        </is>
      </c>
      <c r="N959" s="168">
        <f>IF(OR(J959="",L959=""),"",L959-J959)</f>
        <v/>
      </c>
      <c r="O959" s="169">
        <f>IF(OR(J959="",L959=""),"",L959/J959-1)</f>
        <v/>
      </c>
      <c r="P959" s="169">
        <f>IF(OR(J959="",K959=""),"",K959/J959-1)</f>
        <v/>
      </c>
      <c r="Q959" s="54">
        <f>IF(AND(ISNUMBER(J959),ISNUMBER(L959)),1,0)</f>
        <v/>
      </c>
      <c r="R959" s="69">
        <f>IF(Q959=1,G959*L959,0)</f>
        <v/>
      </c>
      <c r="S959" s="69">
        <f>IF(Q959=1,(H959+I959)*U959,0)</f>
        <v/>
      </c>
      <c r="T959" s="59">
        <f>IF(Q959=1,G959,0)</f>
        <v/>
      </c>
      <c r="U959" s="170" t="n">
        <v>1</v>
      </c>
    </row>
    <row r="960">
      <c r="A960" s="54" t="inlineStr">
        <is>
          <t>US SSS4</t>
        </is>
      </c>
      <c r="B960" s="54" t="inlineStr">
        <is>
          <t>US</t>
        </is>
      </c>
      <c r="C960" s="54" t="inlineStr">
        <is>
          <t>B0DDR96RQ3</t>
        </is>
      </c>
      <c r="D960" s="54" t="inlineStr">
        <is>
          <t>SS-SATIN-CHAMPAGNE-TWIN-3PCS</t>
        </is>
      </c>
      <c r="E960" s="54" t="inlineStr">
        <is>
          <t>Twin</t>
        </is>
      </c>
      <c r="F960" s="54" t="inlineStr">
        <is>
          <t>Champagne</t>
        </is>
      </c>
      <c r="G960" s="55" t="n">
        <v>1</v>
      </c>
      <c r="H960" s="167" t="n">
        <v>25.46</v>
      </c>
      <c r="I960" s="167" t="n">
        <v>0</v>
      </c>
      <c r="J960" s="168">
        <f>IF(AND(N(G960)&gt;0,N(H960)+N(I960)&gt;0),(H960+I960)*U960/G960,"")</f>
        <v/>
      </c>
      <c r="K960" s="167" t="n">
        <v>36.95</v>
      </c>
      <c r="L960" s="167" t="n"/>
      <c r="M960" s="54" t="inlineStr">
        <is>
          <t>Flagged by Amazon</t>
        </is>
      </c>
      <c r="N960" s="168">
        <f>IF(OR(J960="",L960=""),"",L960-J960)</f>
        <v/>
      </c>
      <c r="O960" s="169">
        <f>IF(OR(J960="",L960=""),"",L960/J960-1)</f>
        <v/>
      </c>
      <c r="P960" s="169">
        <f>IF(OR(J960="",K960=""),"",K960/J960-1)</f>
        <v/>
      </c>
      <c r="Q960" s="54">
        <f>IF(AND(ISNUMBER(J960),ISNUMBER(L960)),1,0)</f>
        <v/>
      </c>
      <c r="R960" s="69">
        <f>IF(Q960=1,G960*L960,0)</f>
        <v/>
      </c>
      <c r="S960" s="69">
        <f>IF(Q960=1,(H960+I960)*U960,0)</f>
        <v/>
      </c>
      <c r="T960" s="59">
        <f>IF(Q960=1,G960,0)</f>
        <v/>
      </c>
      <c r="U960" s="170" t="n">
        <v>1</v>
      </c>
    </row>
    <row r="961">
      <c r="A961" s="54" t="inlineStr">
        <is>
          <t>US SSS4</t>
        </is>
      </c>
      <c r="B961" s="54" t="inlineStr">
        <is>
          <t>US</t>
        </is>
      </c>
      <c r="C961" s="54" t="inlineStr">
        <is>
          <t>B0DDRDWVK1</t>
        </is>
      </c>
      <c r="D961" s="54" t="inlineStr">
        <is>
          <t>SS-SATIN-DARK-GREEN-TWIN-3PCS</t>
        </is>
      </c>
      <c r="E961" s="54" t="inlineStr">
        <is>
          <t>Twin</t>
        </is>
      </c>
      <c r="F961" s="54" t="inlineStr">
        <is>
          <t>Dark Green</t>
        </is>
      </c>
      <c r="G961" s="55" t="n">
        <v>1</v>
      </c>
      <c r="H961" s="167" t="n">
        <v>25.46</v>
      </c>
      <c r="I961" s="167" t="n">
        <v>0</v>
      </c>
      <c r="J961" s="168">
        <f>IF(AND(N(G961)&gt;0,N(H961)+N(I961)&gt;0),(H961+I961)*U961/G961,"")</f>
        <v/>
      </c>
      <c r="K961" s="167" t="n">
        <v>29.95</v>
      </c>
      <c r="L961" s="167" t="n"/>
      <c r="M961" s="54" t="inlineStr">
        <is>
          <t>Flagged by Amazon</t>
        </is>
      </c>
      <c r="N961" s="168">
        <f>IF(OR(J961="",L961=""),"",L961-J961)</f>
        <v/>
      </c>
      <c r="O961" s="169">
        <f>IF(OR(J961="",L961=""),"",L961/J961-1)</f>
        <v/>
      </c>
      <c r="P961" s="169">
        <f>IF(OR(J961="",K961=""),"",K961/J961-1)</f>
        <v/>
      </c>
      <c r="Q961" s="54">
        <f>IF(AND(ISNUMBER(J961),ISNUMBER(L961)),1,0)</f>
        <v/>
      </c>
      <c r="R961" s="69">
        <f>IF(Q961=1,G961*L961,0)</f>
        <v/>
      </c>
      <c r="S961" s="69">
        <f>IF(Q961=1,(H961+I961)*U961,0)</f>
        <v/>
      </c>
      <c r="T961" s="59">
        <f>IF(Q961=1,G961,0)</f>
        <v/>
      </c>
      <c r="U961" s="170" t="n">
        <v>1</v>
      </c>
    </row>
    <row r="962">
      <c r="A962" s="54" t="inlineStr">
        <is>
          <t>US SSS4</t>
        </is>
      </c>
      <c r="B962" s="54" t="inlineStr">
        <is>
          <t>US</t>
        </is>
      </c>
      <c r="C962" s="54" t="inlineStr">
        <is>
          <t>B0DDRDYFFX</t>
        </is>
      </c>
      <c r="D962" s="54" t="inlineStr">
        <is>
          <t>SS-SATIN-GREY-TWIN-3PCS</t>
        </is>
      </c>
      <c r="E962" s="54" t="inlineStr">
        <is>
          <t>Twin</t>
        </is>
      </c>
      <c r="F962" s="54" t="inlineStr">
        <is>
          <t>Grey</t>
        </is>
      </c>
      <c r="G962" s="55" t="n">
        <v>1</v>
      </c>
      <c r="H962" s="167" t="n">
        <v>27.16</v>
      </c>
      <c r="I962" s="167" t="n">
        <v>0</v>
      </c>
      <c r="J962" s="168">
        <f>IF(AND(N(G962)&gt;0,N(H962)+N(I962)&gt;0),(H962+I962)*U962/G962,"")</f>
        <v/>
      </c>
      <c r="K962" s="167" t="n">
        <v>29.95</v>
      </c>
      <c r="L962" s="167" t="n">
        <v>28.45</v>
      </c>
      <c r="M962" s="54" t="inlineStr">
        <is>
          <t>Eligible</t>
        </is>
      </c>
      <c r="N962" s="168">
        <f>IF(OR(J962="",L962=""),"",L962-J962)</f>
        <v/>
      </c>
      <c r="O962" s="169">
        <f>IF(OR(J962="",L962=""),"",L962/J962-1)</f>
        <v/>
      </c>
      <c r="P962" s="169">
        <f>IF(OR(J962="",K962=""),"",K962/J962-1)</f>
        <v/>
      </c>
      <c r="Q962" s="54">
        <f>IF(AND(ISNUMBER(J962),ISNUMBER(L962)),1,0)</f>
        <v/>
      </c>
      <c r="R962" s="69">
        <f>IF(Q962=1,G962*L962,0)</f>
        <v/>
      </c>
      <c r="S962" s="69">
        <f>IF(Q962=1,(H962+I962)*U962,0)</f>
        <v/>
      </c>
      <c r="T962" s="59">
        <f>IF(Q962=1,G962,0)</f>
        <v/>
      </c>
      <c r="U962" s="170" t="n">
        <v>1</v>
      </c>
    </row>
    <row r="963">
      <c r="A963" s="54" t="inlineStr">
        <is>
          <t>US SSS4</t>
        </is>
      </c>
      <c r="B963" s="54" t="inlineStr">
        <is>
          <t>US</t>
        </is>
      </c>
      <c r="C963" s="54" t="inlineStr">
        <is>
          <t>B0DDQTZWY6</t>
        </is>
      </c>
      <c r="D963" s="54" t="inlineStr">
        <is>
          <t>SS-SATIN-RED-TWIN-3PCS</t>
        </is>
      </c>
      <c r="E963" s="54" t="inlineStr">
        <is>
          <t>Twin</t>
        </is>
      </c>
      <c r="F963" s="54" t="inlineStr">
        <is>
          <t>Red</t>
        </is>
      </c>
      <c r="G963" s="55" t="n">
        <v>1</v>
      </c>
      <c r="H963" s="167" t="n">
        <v>27.16</v>
      </c>
      <c r="I963" s="167" t="n">
        <v>0</v>
      </c>
      <c r="J963" s="168">
        <f>IF(AND(N(G963)&gt;0,N(H963)+N(I963)&gt;0),(H963+I963)*U963/G963,"")</f>
        <v/>
      </c>
      <c r="K963" s="167" t="n">
        <v>29.95</v>
      </c>
      <c r="L963" s="167" t="n">
        <v>28.96</v>
      </c>
      <c r="M963" s="54" t="inlineStr">
        <is>
          <t>Eligible</t>
        </is>
      </c>
      <c r="N963" s="168">
        <f>IF(OR(J963="",L963=""),"",L963-J963)</f>
        <v/>
      </c>
      <c r="O963" s="169">
        <f>IF(OR(J963="",L963=""),"",L963/J963-1)</f>
        <v/>
      </c>
      <c r="P963" s="169">
        <f>IF(OR(J963="",K963=""),"",K963/J963-1)</f>
        <v/>
      </c>
      <c r="Q963" s="54">
        <f>IF(AND(ISNUMBER(J963),ISNUMBER(L963)),1,0)</f>
        <v/>
      </c>
      <c r="R963" s="69">
        <f>IF(Q963=1,G963*L963,0)</f>
        <v/>
      </c>
      <c r="S963" s="69">
        <f>IF(Q963=1,(H963+I963)*U963,0)</f>
        <v/>
      </c>
      <c r="T963" s="59">
        <f>IF(Q963=1,G963,0)</f>
        <v/>
      </c>
      <c r="U963" s="170" t="n">
        <v>1</v>
      </c>
    </row>
    <row r="964">
      <c r="A964" s="54" t="inlineStr">
        <is>
          <t>US SSS4</t>
        </is>
      </c>
      <c r="B964" s="54" t="inlineStr">
        <is>
          <t>US</t>
        </is>
      </c>
      <c r="C964" s="54" t="inlineStr">
        <is>
          <t>B0DDR3RYKF</t>
        </is>
      </c>
      <c r="D964" s="54" t="inlineStr">
        <is>
          <t>SS-SATIN-STRIPED-BLACK-TWIN-3PCS</t>
        </is>
      </c>
      <c r="E964" s="54" t="inlineStr">
        <is>
          <t>Twin</t>
        </is>
      </c>
      <c r="F964" s="54" t="inlineStr">
        <is>
          <t>Striped Black</t>
        </is>
      </c>
      <c r="G964" s="55" t="n">
        <v>1</v>
      </c>
      <c r="H964" s="167" t="n">
        <v>25.46</v>
      </c>
      <c r="I964" s="167" t="n">
        <v>0</v>
      </c>
      <c r="J964" s="168">
        <f>IF(AND(N(G964)&gt;0,N(H964)+N(I964)&gt;0),(H964+I964)*U964/G964,"")</f>
        <v/>
      </c>
      <c r="K964" s="167" t="n">
        <v>29.95</v>
      </c>
      <c r="L964" s="167" t="n"/>
      <c r="M964" s="54" t="inlineStr">
        <is>
          <t>Out of stock</t>
        </is>
      </c>
      <c r="N964" s="168">
        <f>IF(OR(J964="",L964=""),"",L964-J964)</f>
        <v/>
      </c>
      <c r="O964" s="169">
        <f>IF(OR(J964="",L964=""),"",L964/J964-1)</f>
        <v/>
      </c>
      <c r="P964" s="169">
        <f>IF(OR(J964="",K964=""),"",K964/J964-1)</f>
        <v/>
      </c>
      <c r="Q964" s="54">
        <f>IF(AND(ISNUMBER(J964),ISNUMBER(L964)),1,0)</f>
        <v/>
      </c>
      <c r="R964" s="69">
        <f>IF(Q964=1,G964*L964,0)</f>
        <v/>
      </c>
      <c r="S964" s="69">
        <f>IF(Q964=1,(H964+I964)*U964,0)</f>
        <v/>
      </c>
      <c r="T964" s="59">
        <f>IF(Q964=1,G964,0)</f>
        <v/>
      </c>
      <c r="U964" s="170" t="n">
        <v>1</v>
      </c>
    </row>
    <row r="965">
      <c r="A965" s="54" t="inlineStr">
        <is>
          <t>US SSS4</t>
        </is>
      </c>
      <c r="B965" s="54" t="inlineStr">
        <is>
          <t>US</t>
        </is>
      </c>
      <c r="C965" s="54" t="inlineStr">
        <is>
          <t>B0DDQX418B</t>
        </is>
      </c>
      <c r="D965" s="54" t="inlineStr">
        <is>
          <t>SS-SATIN-STRIPED-PINK-TWIN-3PCS</t>
        </is>
      </c>
      <c r="E965" s="54" t="inlineStr">
        <is>
          <t>Twin</t>
        </is>
      </c>
      <c r="F965" s="54" t="inlineStr">
        <is>
          <t>Striped Pink</t>
        </is>
      </c>
      <c r="G965" s="55" t="n">
        <v>1</v>
      </c>
      <c r="H965" s="167" t="n">
        <v>27.16</v>
      </c>
      <c r="I965" s="167" t="n">
        <v>0</v>
      </c>
      <c r="J965" s="168">
        <f>IF(AND(N(G965)&gt;0,N(H965)+N(I965)&gt;0),(H965+I965)*U965/G965,"")</f>
        <v/>
      </c>
      <c r="K965" s="167" t="n">
        <v>29.95</v>
      </c>
      <c r="L965" s="167" t="n"/>
      <c r="M965" s="54" t="inlineStr">
        <is>
          <t>Flagged by Amazon</t>
        </is>
      </c>
      <c r="N965" s="168">
        <f>IF(OR(J965="",L965=""),"",L965-J965)</f>
        <v/>
      </c>
      <c r="O965" s="169">
        <f>IF(OR(J965="",L965=""),"",L965/J965-1)</f>
        <v/>
      </c>
      <c r="P965" s="169">
        <f>IF(OR(J965="",K965=""),"",K965/J965-1)</f>
        <v/>
      </c>
      <c r="Q965" s="54">
        <f>IF(AND(ISNUMBER(J965),ISNUMBER(L965)),1,0)</f>
        <v/>
      </c>
      <c r="R965" s="69">
        <f>IF(Q965=1,G965*L965,0)</f>
        <v/>
      </c>
      <c r="S965" s="69">
        <f>IF(Q965=1,(H965+I965)*U965,0)</f>
        <v/>
      </c>
      <c r="T965" s="59">
        <f>IF(Q965=1,G965,0)</f>
        <v/>
      </c>
      <c r="U965" s="170" t="n">
        <v>1</v>
      </c>
    </row>
    <row r="966">
      <c r="A966" s="54" t="inlineStr">
        <is>
          <t>US SSS4</t>
        </is>
      </c>
      <c r="B966" s="54" t="inlineStr">
        <is>
          <t>US</t>
        </is>
      </c>
      <c r="C966" s="54" t="inlineStr">
        <is>
          <t>B0DDR9XL5R</t>
        </is>
      </c>
      <c r="D966" s="54" t="inlineStr">
        <is>
          <t>SS-SATIN-STRIPED-RED-TWIN-3PCS</t>
        </is>
      </c>
      <c r="E966" s="54" t="inlineStr">
        <is>
          <t>Twin</t>
        </is>
      </c>
      <c r="F966" s="54" t="inlineStr">
        <is>
          <t>Striped Red</t>
        </is>
      </c>
      <c r="G966" s="55" t="n">
        <v>1</v>
      </c>
      <c r="H966" s="167" t="n">
        <v>31.95</v>
      </c>
      <c r="I966" s="167" t="n">
        <v>0</v>
      </c>
      <c r="J966" s="168">
        <f>IF(AND(N(G966)&gt;0,N(H966)+N(I966)&gt;0),(H966+I966)*U966/G966,"")</f>
        <v/>
      </c>
      <c r="K966" s="167" t="n">
        <v>34.95</v>
      </c>
      <c r="L966" s="167" t="n"/>
      <c r="M966" s="54" t="inlineStr">
        <is>
          <t>Flagged by Amazon</t>
        </is>
      </c>
      <c r="N966" s="168">
        <f>IF(OR(J966="",L966=""),"",L966-J966)</f>
        <v/>
      </c>
      <c r="O966" s="169">
        <f>IF(OR(J966="",L966=""),"",L966/J966-1)</f>
        <v/>
      </c>
      <c r="P966" s="169">
        <f>IF(OR(J966="",K966=""),"",K966/J966-1)</f>
        <v/>
      </c>
      <c r="Q966" s="54">
        <f>IF(AND(ISNUMBER(J966),ISNUMBER(L966)),1,0)</f>
        <v/>
      </c>
      <c r="R966" s="69">
        <f>IF(Q966=1,G966*L966,0)</f>
        <v/>
      </c>
      <c r="S966" s="69">
        <f>IF(Q966=1,(H966+I966)*U966,0)</f>
        <v/>
      </c>
      <c r="T966" s="59">
        <f>IF(Q966=1,G966,0)</f>
        <v/>
      </c>
      <c r="U966" s="170" t="n">
        <v>1</v>
      </c>
    </row>
    <row r="967">
      <c r="A967" s="54" t="inlineStr">
        <is>
          <t>US SSS4</t>
        </is>
      </c>
      <c r="B967" s="54" t="inlineStr">
        <is>
          <t>US</t>
        </is>
      </c>
      <c r="C967" s="54" t="inlineStr">
        <is>
          <t>B0DDRM24KV</t>
        </is>
      </c>
      <c r="D967" s="54" t="inlineStr">
        <is>
          <t>SS-SATIN-BLUSH-PINK-TWIN-3PCS</t>
        </is>
      </c>
      <c r="E967" s="54" t="inlineStr">
        <is>
          <t>Twin</t>
        </is>
      </c>
      <c r="F967" s="54" t="inlineStr">
        <is>
          <t>Blush Pink</t>
        </is>
      </c>
      <c r="G967" s="55" t="n">
        <v>0</v>
      </c>
      <c r="H967" s="167" t="n"/>
      <c r="I967" s="167" t="n"/>
      <c r="J967" s="168">
        <f>IF(AND(N(G967)&gt;0,N(H967)+N(I967)&gt;0),(H967+I967)*U967/G967,"")</f>
        <v/>
      </c>
      <c r="K967" s="167" t="n">
        <v>29.95</v>
      </c>
      <c r="L967" s="167" t="n">
        <v>27.95</v>
      </c>
      <c r="M967" s="54" t="inlineStr">
        <is>
          <t>Eligible</t>
        </is>
      </c>
      <c r="N967" s="168">
        <f>IF(OR(J967="",L967=""),"",L967-J967)</f>
        <v/>
      </c>
      <c r="O967" s="169">
        <f>IF(OR(J967="",L967=""),"",L967/J967-1)</f>
        <v/>
      </c>
      <c r="P967" s="169">
        <f>IF(OR(J967="",K967=""),"",K967/J967-1)</f>
        <v/>
      </c>
      <c r="Q967" s="54">
        <f>IF(AND(ISNUMBER(J967),ISNUMBER(L967)),1,0)</f>
        <v/>
      </c>
      <c r="R967" s="69">
        <f>IF(Q967=1,G967*L967,0)</f>
        <v/>
      </c>
      <c r="S967" s="69">
        <f>IF(Q967=1,(H967+I967)*U967,0)</f>
        <v/>
      </c>
      <c r="T967" s="59">
        <f>IF(Q967=1,G967,0)</f>
        <v/>
      </c>
      <c r="U967" s="170" t="n">
        <v>1</v>
      </c>
    </row>
    <row r="968">
      <c r="A968" s="54" t="inlineStr">
        <is>
          <t>US SSS4</t>
        </is>
      </c>
      <c r="B968" s="54" t="inlineStr">
        <is>
          <t>US</t>
        </is>
      </c>
      <c r="C968" s="54" t="inlineStr">
        <is>
          <t>B0DDR95C35</t>
        </is>
      </c>
      <c r="D968" s="54" t="inlineStr">
        <is>
          <t>SS-SATIN-NAVY-BLUE-TWIN-3PCS</t>
        </is>
      </c>
      <c r="E968" s="54" t="inlineStr">
        <is>
          <t>Twin</t>
        </is>
      </c>
      <c r="F968" s="54" t="inlineStr">
        <is>
          <t>Navy Blue</t>
        </is>
      </c>
      <c r="G968" s="55" t="n">
        <v>0</v>
      </c>
      <c r="H968" s="167" t="n"/>
      <c r="I968" s="167" t="n"/>
      <c r="J968" s="168">
        <f>IF(AND(N(G968)&gt;0,N(H968)+N(I968)&gt;0),(H968+I968)*U968/G968,"")</f>
        <v/>
      </c>
      <c r="K968" s="167" t="n">
        <v>31.95</v>
      </c>
      <c r="L968" s="167" t="n">
        <v>30.35</v>
      </c>
      <c r="M968" s="54" t="inlineStr">
        <is>
          <t>Eligible</t>
        </is>
      </c>
      <c r="N968" s="168">
        <f>IF(OR(J968="",L968=""),"",L968-J968)</f>
        <v/>
      </c>
      <c r="O968" s="169">
        <f>IF(OR(J968="",L968=""),"",L968/J968-1)</f>
        <v/>
      </c>
      <c r="P968" s="169">
        <f>IF(OR(J968="",K968=""),"",K968/J968-1)</f>
        <v/>
      </c>
      <c r="Q968" s="54">
        <f>IF(AND(ISNUMBER(J968),ISNUMBER(L968)),1,0)</f>
        <v/>
      </c>
      <c r="R968" s="69">
        <f>IF(Q968=1,G968*L968,0)</f>
        <v/>
      </c>
      <c r="S968" s="69">
        <f>IF(Q968=1,(H968+I968)*U968,0)</f>
        <v/>
      </c>
      <c r="T968" s="59">
        <f>IF(Q968=1,G968,0)</f>
        <v/>
      </c>
      <c r="U968" s="170" t="n">
        <v>1</v>
      </c>
    </row>
    <row r="969">
      <c r="A969" s="54" t="inlineStr">
        <is>
          <t>CA SSS4</t>
        </is>
      </c>
      <c r="B969" s="54" t="inlineStr">
        <is>
          <t>CA</t>
        </is>
      </c>
      <c r="C969" s="54" t="inlineStr">
        <is>
          <t>B0DDRH9RD7</t>
        </is>
      </c>
      <c r="D969" s="54" t="inlineStr">
        <is>
          <t>SS-SATIN-NAVY-BLUE-QUEEN-4PCS</t>
        </is>
      </c>
      <c r="E969" s="54" t="inlineStr">
        <is>
          <t>Queen</t>
        </is>
      </c>
      <c r="F969" s="54" t="inlineStr">
        <is>
          <t>Navy Blue</t>
        </is>
      </c>
      <c r="G969" s="55" t="n">
        <v>2</v>
      </c>
      <c r="H969" s="167" t="n">
        <v>67.22</v>
      </c>
      <c r="I969" s="167" t="n">
        <v>0</v>
      </c>
      <c r="J969" s="171">
        <f>IF(AND(N(G969)&gt;0,N(H969)+N(I969)&gt;0),(H969+I969)*U969/G969,"")</f>
        <v/>
      </c>
      <c r="K969" s="172" t="n">
        <v>46.95</v>
      </c>
      <c r="L969" s="172" t="n">
        <v>39.91</v>
      </c>
      <c r="M969" s="54" t="inlineStr">
        <is>
          <t>Eligible</t>
        </is>
      </c>
      <c r="N969" s="171">
        <f>IF(OR(J969="",L969=""),"",L969-J969)</f>
        <v/>
      </c>
      <c r="O969" s="169">
        <f>IF(OR(J969="",L969=""),"",L969/J969-1)</f>
        <v/>
      </c>
      <c r="P969" s="169">
        <f>IF(OR(J969="",K969=""),"",K969/J969-1)</f>
        <v/>
      </c>
      <c r="Q969" s="54">
        <f>IF(AND(ISNUMBER(J969),ISNUMBER(L969)),1,0)</f>
        <v/>
      </c>
      <c r="R969" s="69">
        <f>IF(Q969=1,G969*L969,0)</f>
        <v/>
      </c>
      <c r="S969" s="69">
        <f>IF(Q969=1,(H969+I969)*U969,0)</f>
        <v/>
      </c>
      <c r="T969" s="59">
        <f>IF(Q969=1,G969,0)</f>
        <v/>
      </c>
      <c r="U969" s="170">
        <f>$G$3</f>
        <v/>
      </c>
    </row>
    <row r="970">
      <c r="A970" s="54" t="inlineStr">
        <is>
          <t>CA SSS4</t>
        </is>
      </c>
      <c r="B970" s="54" t="inlineStr">
        <is>
          <t>CA</t>
        </is>
      </c>
      <c r="C970" s="54" t="inlineStr">
        <is>
          <t>B0DDR1DYR6</t>
        </is>
      </c>
      <c r="D970" s="54" t="inlineStr">
        <is>
          <t>SS-SATIN-WHITE-QUEEN-4PCS</t>
        </is>
      </c>
      <c r="E970" s="54" t="inlineStr">
        <is>
          <t>Queen</t>
        </is>
      </c>
      <c r="F970" s="54" t="inlineStr">
        <is>
          <t>White</t>
        </is>
      </c>
      <c r="G970" s="55" t="n">
        <v>1</v>
      </c>
      <c r="H970" s="167" t="n">
        <v>33.37</v>
      </c>
      <c r="I970" s="167" t="n">
        <v>0</v>
      </c>
      <c r="J970" s="171">
        <f>IF(AND(N(G970)&gt;0,N(H970)+N(I970)&gt;0),(H970+I970)*U970/G970,"")</f>
        <v/>
      </c>
      <c r="K970" s="172" t="n">
        <v>46.95</v>
      </c>
      <c r="L970" s="172" t="n"/>
      <c r="M970" s="54" t="inlineStr">
        <is>
          <t>Out of stock</t>
        </is>
      </c>
      <c r="N970" s="171">
        <f>IF(OR(J970="",L970=""),"",L970-J970)</f>
        <v/>
      </c>
      <c r="O970" s="169">
        <f>IF(OR(J970="",L970=""),"",L970/J970-1)</f>
        <v/>
      </c>
      <c r="P970" s="169">
        <f>IF(OR(J970="",K970=""),"",K970/J970-1)</f>
        <v/>
      </c>
      <c r="Q970" s="54">
        <f>IF(AND(ISNUMBER(J970),ISNUMBER(L970)),1,0)</f>
        <v/>
      </c>
      <c r="R970" s="69">
        <f>IF(Q970=1,G970*L970,0)</f>
        <v/>
      </c>
      <c r="S970" s="69">
        <f>IF(Q970=1,(H970+I970)*U970,0)</f>
        <v/>
      </c>
      <c r="T970" s="59">
        <f>IF(Q970=1,G970,0)</f>
        <v/>
      </c>
      <c r="U970" s="170">
        <f>$G$3</f>
        <v/>
      </c>
    </row>
    <row r="971">
      <c r="A971" s="54" t="inlineStr">
        <is>
          <t>CA SSS4</t>
        </is>
      </c>
      <c r="B971" s="54" t="inlineStr">
        <is>
          <t>CA</t>
        </is>
      </c>
      <c r="C971" s="54" t="inlineStr">
        <is>
          <t>B0DDR6MK7V</t>
        </is>
      </c>
      <c r="D971" s="54" t="inlineStr">
        <is>
          <t>SS-SATIN-BABY-BLUE-KING-4PCS</t>
        </is>
      </c>
      <c r="E971" s="54" t="inlineStr">
        <is>
          <t>King</t>
        </is>
      </c>
      <c r="F971" s="54" t="inlineStr">
        <is>
          <t>Baby Blue</t>
        </is>
      </c>
      <c r="G971" s="55" t="n">
        <v>0</v>
      </c>
      <c r="H971" s="167" t="n"/>
      <c r="I971" s="167" t="n"/>
      <c r="J971" s="171">
        <f>IF(AND(N(G971)&gt;0,N(H971)+N(I971)&gt;0),(H971+I971)*U971/G971,"")</f>
        <v/>
      </c>
      <c r="K971" s="172" t="n">
        <v>49.95</v>
      </c>
      <c r="L971" s="172" t="n">
        <v>44.96</v>
      </c>
      <c r="M971" s="54" t="inlineStr">
        <is>
          <t>Eligible</t>
        </is>
      </c>
      <c r="N971" s="171">
        <f>IF(OR(J971="",L971=""),"",L971-J971)</f>
        <v/>
      </c>
      <c r="O971" s="169">
        <f>IF(OR(J971="",L971=""),"",L971/J971-1)</f>
        <v/>
      </c>
      <c r="P971" s="169">
        <f>IF(OR(J971="",K971=""),"",K971/J971-1)</f>
        <v/>
      </c>
      <c r="Q971" s="54">
        <f>IF(AND(ISNUMBER(J971),ISNUMBER(L971)),1,0)</f>
        <v/>
      </c>
      <c r="R971" s="69">
        <f>IF(Q971=1,G971*L971,0)</f>
        <v/>
      </c>
      <c r="S971" s="69">
        <f>IF(Q971=1,(H971+I971)*U971,0)</f>
        <v/>
      </c>
      <c r="T971" s="59">
        <f>IF(Q971=1,G971,0)</f>
        <v/>
      </c>
      <c r="U971" s="170">
        <f>$G$3</f>
        <v/>
      </c>
    </row>
    <row r="972">
      <c r="A972" s="54" t="inlineStr">
        <is>
          <t>CA SSS4</t>
        </is>
      </c>
      <c r="B972" s="54" t="inlineStr">
        <is>
          <t>CA</t>
        </is>
      </c>
      <c r="C972" s="54" t="inlineStr">
        <is>
          <t>B0DDRKVH9Q</t>
        </is>
      </c>
      <c r="D972" s="54" t="inlineStr">
        <is>
          <t>SS-SATIN-BLACK-KING-4PCS</t>
        </is>
      </c>
      <c r="E972" s="54" t="inlineStr">
        <is>
          <t>King</t>
        </is>
      </c>
      <c r="F972" s="54" t="inlineStr">
        <is>
          <t>Black</t>
        </is>
      </c>
      <c r="G972" s="55" t="n">
        <v>0</v>
      </c>
      <c r="H972" s="167" t="n"/>
      <c r="I972" s="167" t="n"/>
      <c r="J972" s="171">
        <f>IF(AND(N(G972)&gt;0,N(H972)+N(I972)&gt;0),(H972+I972)*U972/G972,"")</f>
        <v/>
      </c>
      <c r="K972" s="172" t="n">
        <v>49.95</v>
      </c>
      <c r="L972" s="172" t="n">
        <v>44.96</v>
      </c>
      <c r="M972" s="54" t="inlineStr">
        <is>
          <t>Eligible</t>
        </is>
      </c>
      <c r="N972" s="171">
        <f>IF(OR(J972="",L972=""),"",L972-J972)</f>
        <v/>
      </c>
      <c r="O972" s="169">
        <f>IF(OR(J972="",L972=""),"",L972/J972-1)</f>
        <v/>
      </c>
      <c r="P972" s="169">
        <f>IF(OR(J972="",K972=""),"",K972/J972-1)</f>
        <v/>
      </c>
      <c r="Q972" s="54">
        <f>IF(AND(ISNUMBER(J972),ISNUMBER(L972)),1,0)</f>
        <v/>
      </c>
      <c r="R972" s="69">
        <f>IF(Q972=1,G972*L972,0)</f>
        <v/>
      </c>
      <c r="S972" s="69">
        <f>IF(Q972=1,(H972+I972)*U972,0)</f>
        <v/>
      </c>
      <c r="T972" s="59">
        <f>IF(Q972=1,G972,0)</f>
        <v/>
      </c>
      <c r="U972" s="170">
        <f>$G$3</f>
        <v/>
      </c>
    </row>
    <row r="973">
      <c r="A973" s="54" t="inlineStr">
        <is>
          <t>CA SSS4</t>
        </is>
      </c>
      <c r="B973" s="54" t="inlineStr">
        <is>
          <t>CA</t>
        </is>
      </c>
      <c r="C973" s="54" t="inlineStr">
        <is>
          <t>B0DDRBX7CN</t>
        </is>
      </c>
      <c r="D973" s="54" t="inlineStr">
        <is>
          <t>SS-SATIN-BLUE-KING-4PCS</t>
        </is>
      </c>
      <c r="E973" s="54" t="inlineStr">
        <is>
          <t>King</t>
        </is>
      </c>
      <c r="F973" s="54" t="inlineStr">
        <is>
          <t>Blue</t>
        </is>
      </c>
      <c r="G973" s="55" t="n">
        <v>0</v>
      </c>
      <c r="H973" s="167" t="n"/>
      <c r="I973" s="167" t="n"/>
      <c r="J973" s="171">
        <f>IF(AND(N(G973)&gt;0,N(H973)+N(I973)&gt;0),(H973+I973)*U973/G973,"")</f>
        <v/>
      </c>
      <c r="K973" s="172" t="n">
        <v>49.95</v>
      </c>
      <c r="L973" s="172" t="n">
        <v>44.96</v>
      </c>
      <c r="M973" s="54" t="inlineStr">
        <is>
          <t>Eligible</t>
        </is>
      </c>
      <c r="N973" s="171">
        <f>IF(OR(J973="",L973=""),"",L973-J973)</f>
        <v/>
      </c>
      <c r="O973" s="169">
        <f>IF(OR(J973="",L973=""),"",L973/J973-1)</f>
        <v/>
      </c>
      <c r="P973" s="169">
        <f>IF(OR(J973="",K973=""),"",K973/J973-1)</f>
        <v/>
      </c>
      <c r="Q973" s="54">
        <f>IF(AND(ISNUMBER(J973),ISNUMBER(L973)),1,0)</f>
        <v/>
      </c>
      <c r="R973" s="69">
        <f>IF(Q973=1,G973*L973,0)</f>
        <v/>
      </c>
      <c r="S973" s="69">
        <f>IF(Q973=1,(H973+I973)*U973,0)</f>
        <v/>
      </c>
      <c r="T973" s="59">
        <f>IF(Q973=1,G973,0)</f>
        <v/>
      </c>
      <c r="U973" s="170">
        <f>$G$3</f>
        <v/>
      </c>
    </row>
    <row r="974">
      <c r="A974" s="54" t="inlineStr">
        <is>
          <t>CA SSS4</t>
        </is>
      </c>
      <c r="B974" s="54" t="inlineStr">
        <is>
          <t>CA</t>
        </is>
      </c>
      <c r="C974" s="54" t="inlineStr">
        <is>
          <t>B0DDR4T2Y6</t>
        </is>
      </c>
      <c r="D974" s="54" t="inlineStr">
        <is>
          <t>SS-SATIN-BLUSH-PINK-KING-4PCS</t>
        </is>
      </c>
      <c r="E974" s="54" t="inlineStr">
        <is>
          <t>King</t>
        </is>
      </c>
      <c r="F974" s="54" t="inlineStr">
        <is>
          <t>Blush Pink</t>
        </is>
      </c>
      <c r="G974" s="55" t="n">
        <v>0</v>
      </c>
      <c r="H974" s="167" t="n"/>
      <c r="I974" s="167" t="n"/>
      <c r="J974" s="171">
        <f>IF(AND(N(G974)&gt;0,N(H974)+N(I974)&gt;0),(H974+I974)*U974/G974,"")</f>
        <v/>
      </c>
      <c r="K974" s="172" t="n">
        <v>49.95</v>
      </c>
      <c r="L974" s="172" t="n">
        <v>44.96</v>
      </c>
      <c r="M974" s="54" t="inlineStr">
        <is>
          <t>Eligible</t>
        </is>
      </c>
      <c r="N974" s="171">
        <f>IF(OR(J974="",L974=""),"",L974-J974)</f>
        <v/>
      </c>
      <c r="O974" s="169">
        <f>IF(OR(J974="",L974=""),"",L974/J974-1)</f>
        <v/>
      </c>
      <c r="P974" s="169">
        <f>IF(OR(J974="",K974=""),"",K974/J974-1)</f>
        <v/>
      </c>
      <c r="Q974" s="54">
        <f>IF(AND(ISNUMBER(J974),ISNUMBER(L974)),1,0)</f>
        <v/>
      </c>
      <c r="R974" s="69">
        <f>IF(Q974=1,G974*L974,0)</f>
        <v/>
      </c>
      <c r="S974" s="69">
        <f>IF(Q974=1,(H974+I974)*U974,0)</f>
        <v/>
      </c>
      <c r="T974" s="59">
        <f>IF(Q974=1,G974,0)</f>
        <v/>
      </c>
      <c r="U974" s="170">
        <f>$G$3</f>
        <v/>
      </c>
    </row>
    <row r="975">
      <c r="A975" s="54" t="inlineStr">
        <is>
          <t>CA SSS4</t>
        </is>
      </c>
      <c r="B975" s="54" t="inlineStr">
        <is>
          <t>CA</t>
        </is>
      </c>
      <c r="C975" s="54" t="inlineStr">
        <is>
          <t>B0DDRB7NTZ</t>
        </is>
      </c>
      <c r="D975" s="54" t="inlineStr">
        <is>
          <t>SS-SATIN-CHAMPAGNE-KING-4PCS</t>
        </is>
      </c>
      <c r="E975" s="54" t="inlineStr">
        <is>
          <t>King</t>
        </is>
      </c>
      <c r="F975" s="54" t="inlineStr">
        <is>
          <t>Champagne</t>
        </is>
      </c>
      <c r="G975" s="55" t="n"/>
      <c r="H975" s="167" t="n"/>
      <c r="I975" s="167" t="n"/>
      <c r="J975" s="171">
        <f>IF(AND(N(G975)&gt;0,N(H975)+N(I975)&gt;0),(H975+I975)*U975/G975,"")</f>
        <v/>
      </c>
      <c r="K975" s="172" t="n">
        <v>49.95</v>
      </c>
      <c r="L975" s="172" t="n">
        <v>47.45</v>
      </c>
      <c r="M975" s="54" t="inlineStr">
        <is>
          <t>Eligible</t>
        </is>
      </c>
      <c r="N975" s="171">
        <f>IF(OR(J975="",L975=""),"",L975-J975)</f>
        <v/>
      </c>
      <c r="O975" s="169">
        <f>IF(OR(J975="",L975=""),"",L975/J975-1)</f>
        <v/>
      </c>
      <c r="P975" s="169">
        <f>IF(OR(J975="",K975=""),"",K975/J975-1)</f>
        <v/>
      </c>
      <c r="Q975" s="54">
        <f>IF(AND(ISNUMBER(J975),ISNUMBER(L975)),1,0)</f>
        <v/>
      </c>
      <c r="R975" s="69">
        <f>IF(Q975=1,G975*L975,0)</f>
        <v/>
      </c>
      <c r="S975" s="69">
        <f>IF(Q975=1,(H975+I975)*U975,0)</f>
        <v/>
      </c>
      <c r="T975" s="59">
        <f>IF(Q975=1,G975,0)</f>
        <v/>
      </c>
      <c r="U975" s="170">
        <f>$G$3</f>
        <v/>
      </c>
    </row>
    <row r="976">
      <c r="A976" s="54" t="inlineStr">
        <is>
          <t>CA SSS4</t>
        </is>
      </c>
      <c r="B976" s="54" t="inlineStr">
        <is>
          <t>CA</t>
        </is>
      </c>
      <c r="C976" s="54" t="inlineStr">
        <is>
          <t>B0DDR6921L</t>
        </is>
      </c>
      <c r="D976" s="54" t="inlineStr">
        <is>
          <t>SS-SATIN-DARK-GREEN-KING-4PCS</t>
        </is>
      </c>
      <c r="E976" s="54" t="inlineStr">
        <is>
          <t>King</t>
        </is>
      </c>
      <c r="F976" s="54" t="inlineStr">
        <is>
          <t>Dark Green</t>
        </is>
      </c>
      <c r="G976" s="55" t="n"/>
      <c r="H976" s="167" t="n"/>
      <c r="I976" s="167" t="n"/>
      <c r="J976" s="171">
        <f>IF(AND(N(G976)&gt;0,N(H976)+N(I976)&gt;0),(H976+I976)*U976/G976,"")</f>
        <v/>
      </c>
      <c r="K976" s="172" t="n">
        <v>49.95</v>
      </c>
      <c r="L976" s="172" t="n">
        <v>44.96</v>
      </c>
      <c r="M976" s="54" t="inlineStr">
        <is>
          <t>Eligible</t>
        </is>
      </c>
      <c r="N976" s="171">
        <f>IF(OR(J976="",L976=""),"",L976-J976)</f>
        <v/>
      </c>
      <c r="O976" s="169">
        <f>IF(OR(J976="",L976=""),"",L976/J976-1)</f>
        <v/>
      </c>
      <c r="P976" s="169">
        <f>IF(OR(J976="",K976=""),"",K976/J976-1)</f>
        <v/>
      </c>
      <c r="Q976" s="54">
        <f>IF(AND(ISNUMBER(J976),ISNUMBER(L976)),1,0)</f>
        <v/>
      </c>
      <c r="R976" s="69">
        <f>IF(Q976=1,G976*L976,0)</f>
        <v/>
      </c>
      <c r="S976" s="69">
        <f>IF(Q976=1,(H976+I976)*U976,0)</f>
        <v/>
      </c>
      <c r="T976" s="59">
        <f>IF(Q976=1,G976,0)</f>
        <v/>
      </c>
      <c r="U976" s="170">
        <f>$G$3</f>
        <v/>
      </c>
    </row>
    <row r="977">
      <c r="A977" s="54" t="inlineStr">
        <is>
          <t>CA SSS4</t>
        </is>
      </c>
      <c r="B977" s="54" t="inlineStr">
        <is>
          <t>CA</t>
        </is>
      </c>
      <c r="C977" s="54" t="inlineStr">
        <is>
          <t>B0DDR5JMCH</t>
        </is>
      </c>
      <c r="D977" s="54" t="inlineStr">
        <is>
          <t>SS-SATIN-GOLD-KING-4PCS</t>
        </is>
      </c>
      <c r="E977" s="54" t="inlineStr">
        <is>
          <t>King</t>
        </is>
      </c>
      <c r="F977" s="54" t="inlineStr">
        <is>
          <t>Gold</t>
        </is>
      </c>
      <c r="G977" s="55" t="n"/>
      <c r="H977" s="167" t="n"/>
      <c r="I977" s="167" t="n"/>
      <c r="J977" s="171">
        <f>IF(AND(N(G977)&gt;0,N(H977)+N(I977)&gt;0),(H977+I977)*U977/G977,"")</f>
        <v/>
      </c>
      <c r="K977" s="172" t="n">
        <v>49.95</v>
      </c>
      <c r="L977" s="172" t="n">
        <v>47.45</v>
      </c>
      <c r="M977" s="54" t="inlineStr">
        <is>
          <t>Eligible</t>
        </is>
      </c>
      <c r="N977" s="171">
        <f>IF(OR(J977="",L977=""),"",L977-J977)</f>
        <v/>
      </c>
      <c r="O977" s="169">
        <f>IF(OR(J977="",L977=""),"",L977/J977-1)</f>
        <v/>
      </c>
      <c r="P977" s="169">
        <f>IF(OR(J977="",K977=""),"",K977/J977-1)</f>
        <v/>
      </c>
      <c r="Q977" s="54">
        <f>IF(AND(ISNUMBER(J977),ISNUMBER(L977)),1,0)</f>
        <v/>
      </c>
      <c r="R977" s="69">
        <f>IF(Q977=1,G977*L977,0)</f>
        <v/>
      </c>
      <c r="S977" s="69">
        <f>IF(Q977=1,(H977+I977)*U977,0)</f>
        <v/>
      </c>
      <c r="T977" s="59">
        <f>IF(Q977=1,G977,0)</f>
        <v/>
      </c>
      <c r="U977" s="170">
        <f>$G$3</f>
        <v/>
      </c>
    </row>
    <row r="978">
      <c r="A978" s="54" t="inlineStr">
        <is>
          <t>CA SSS4</t>
        </is>
      </c>
      <c r="B978" s="54" t="inlineStr">
        <is>
          <t>CA</t>
        </is>
      </c>
      <c r="C978" s="54" t="inlineStr">
        <is>
          <t>B0DDQXM4RF</t>
        </is>
      </c>
      <c r="D978" s="54" t="inlineStr">
        <is>
          <t>SS-SATIN-GREY-KING-4PCS</t>
        </is>
      </c>
      <c r="E978" s="54" t="inlineStr">
        <is>
          <t>King</t>
        </is>
      </c>
      <c r="F978" s="54" t="inlineStr">
        <is>
          <t>Grey</t>
        </is>
      </c>
      <c r="G978" s="55" t="n">
        <v>0</v>
      </c>
      <c r="H978" s="167" t="n"/>
      <c r="I978" s="167" t="n"/>
      <c r="J978" s="171">
        <f>IF(AND(N(G978)&gt;0,N(H978)+N(I978)&gt;0),(H978+I978)*U978/G978,"")</f>
        <v/>
      </c>
      <c r="K978" s="172" t="n">
        <v>49.95</v>
      </c>
      <c r="L978" s="172" t="n">
        <v>44.96</v>
      </c>
      <c r="M978" s="54" t="inlineStr">
        <is>
          <t>Eligible</t>
        </is>
      </c>
      <c r="N978" s="171">
        <f>IF(OR(J978="",L978=""),"",L978-J978)</f>
        <v/>
      </c>
      <c r="O978" s="169">
        <f>IF(OR(J978="",L978=""),"",L978/J978-1)</f>
        <v/>
      </c>
      <c r="P978" s="169">
        <f>IF(OR(J978="",K978=""),"",K978/J978-1)</f>
        <v/>
      </c>
      <c r="Q978" s="54">
        <f>IF(AND(ISNUMBER(J978),ISNUMBER(L978)),1,0)</f>
        <v/>
      </c>
      <c r="R978" s="69">
        <f>IF(Q978=1,G978*L978,0)</f>
        <v/>
      </c>
      <c r="S978" s="69">
        <f>IF(Q978=1,(H978+I978)*U978,0)</f>
        <v/>
      </c>
      <c r="T978" s="59">
        <f>IF(Q978=1,G978,0)</f>
        <v/>
      </c>
      <c r="U978" s="170">
        <f>$G$3</f>
        <v/>
      </c>
    </row>
    <row r="979">
      <c r="A979" s="54" t="inlineStr">
        <is>
          <t>CA SSS4</t>
        </is>
      </c>
      <c r="B979" s="54" t="inlineStr">
        <is>
          <t>CA</t>
        </is>
      </c>
      <c r="C979" s="54" t="inlineStr">
        <is>
          <t>B0DDR5QBGQ</t>
        </is>
      </c>
      <c r="D979" s="54" t="inlineStr">
        <is>
          <t>SS-SATIN-IVORY-KING-4PCS</t>
        </is>
      </c>
      <c r="E979" s="54" t="inlineStr">
        <is>
          <t>King</t>
        </is>
      </c>
      <c r="F979" s="54" t="inlineStr">
        <is>
          <t>Ivory</t>
        </is>
      </c>
      <c r="G979" s="55" t="n"/>
      <c r="H979" s="167" t="n"/>
      <c r="I979" s="167" t="n"/>
      <c r="J979" s="171">
        <f>IF(AND(N(G979)&gt;0,N(H979)+N(I979)&gt;0),(H979+I979)*U979/G979,"")</f>
        <v/>
      </c>
      <c r="K979" s="172" t="n">
        <v>49.95</v>
      </c>
      <c r="L979" s="172" t="n">
        <v>38.22</v>
      </c>
      <c r="M979" s="54" t="inlineStr">
        <is>
          <t>Eligible</t>
        </is>
      </c>
      <c r="N979" s="171">
        <f>IF(OR(J979="",L979=""),"",L979-J979)</f>
        <v/>
      </c>
      <c r="O979" s="169">
        <f>IF(OR(J979="",L979=""),"",L979/J979-1)</f>
        <v/>
      </c>
      <c r="P979" s="169">
        <f>IF(OR(J979="",K979=""),"",K979/J979-1)</f>
        <v/>
      </c>
      <c r="Q979" s="54">
        <f>IF(AND(ISNUMBER(J979),ISNUMBER(L979)),1,0)</f>
        <v/>
      </c>
      <c r="R979" s="69">
        <f>IF(Q979=1,G979*L979,0)</f>
        <v/>
      </c>
      <c r="S979" s="69">
        <f>IF(Q979=1,(H979+I979)*U979,0)</f>
        <v/>
      </c>
      <c r="T979" s="59">
        <f>IF(Q979=1,G979,0)</f>
        <v/>
      </c>
      <c r="U979" s="170">
        <f>$G$3</f>
        <v/>
      </c>
    </row>
    <row r="980">
      <c r="A980" s="54" t="inlineStr">
        <is>
          <t>CA SSS4</t>
        </is>
      </c>
      <c r="B980" s="54" t="inlineStr">
        <is>
          <t>CA</t>
        </is>
      </c>
      <c r="C980" s="54" t="inlineStr">
        <is>
          <t>B0DDRFLD2F</t>
        </is>
      </c>
      <c r="D980" s="54" t="inlineStr">
        <is>
          <t>SS-SATIN-LAVENDER-KING-4PCS</t>
        </is>
      </c>
      <c r="E980" s="54" t="inlineStr">
        <is>
          <t>King</t>
        </is>
      </c>
      <c r="F980" s="54" t="inlineStr">
        <is>
          <t>Lavender</t>
        </is>
      </c>
      <c r="G980" s="55" t="n"/>
      <c r="H980" s="167" t="n"/>
      <c r="I980" s="167" t="n"/>
      <c r="J980" s="171">
        <f>IF(AND(N(G980)&gt;0,N(H980)+N(I980)&gt;0),(H980+I980)*U980/G980,"")</f>
        <v/>
      </c>
      <c r="K980" s="172" t="n">
        <v>49.95</v>
      </c>
      <c r="L980" s="172" t="n">
        <v>40.46</v>
      </c>
      <c r="M980" s="54" t="inlineStr">
        <is>
          <t>Eligible</t>
        </is>
      </c>
      <c r="N980" s="171">
        <f>IF(OR(J980="",L980=""),"",L980-J980)</f>
        <v/>
      </c>
      <c r="O980" s="169">
        <f>IF(OR(J980="",L980=""),"",L980/J980-1)</f>
        <v/>
      </c>
      <c r="P980" s="169">
        <f>IF(OR(J980="",K980=""),"",K980/J980-1)</f>
        <v/>
      </c>
      <c r="Q980" s="54">
        <f>IF(AND(ISNUMBER(J980),ISNUMBER(L980)),1,0)</f>
        <v/>
      </c>
      <c r="R980" s="69">
        <f>IF(Q980=1,G980*L980,0)</f>
        <v/>
      </c>
      <c r="S980" s="69">
        <f>IF(Q980=1,(H980+I980)*U980,0)</f>
        <v/>
      </c>
      <c r="T980" s="59">
        <f>IF(Q980=1,G980,0)</f>
        <v/>
      </c>
      <c r="U980" s="170">
        <f>$G$3</f>
        <v/>
      </c>
    </row>
    <row r="981">
      <c r="A981" s="54" t="inlineStr">
        <is>
          <t>CA SSS4</t>
        </is>
      </c>
      <c r="B981" s="54" t="inlineStr">
        <is>
          <t>CA</t>
        </is>
      </c>
      <c r="C981" s="54" t="inlineStr">
        <is>
          <t>B0DDR5K4JT</t>
        </is>
      </c>
      <c r="D981" s="54" t="inlineStr">
        <is>
          <t>SS-SATIN-NAVY-BLUE-KING-4PCS</t>
        </is>
      </c>
      <c r="E981" s="54" t="inlineStr">
        <is>
          <t>King</t>
        </is>
      </c>
      <c r="F981" s="54" t="inlineStr">
        <is>
          <t>Navy Blue</t>
        </is>
      </c>
      <c r="G981" s="55" t="n"/>
      <c r="H981" s="167" t="n"/>
      <c r="I981" s="167" t="n"/>
      <c r="J981" s="171">
        <f>IF(AND(N(G981)&gt;0,N(H981)+N(I981)&gt;0),(H981+I981)*U981/G981,"")</f>
        <v/>
      </c>
      <c r="K981" s="172" t="n">
        <v>49.95</v>
      </c>
      <c r="L981" s="172" t="n">
        <v>47.45</v>
      </c>
      <c r="M981" s="54" t="inlineStr">
        <is>
          <t>Eligible</t>
        </is>
      </c>
      <c r="N981" s="171">
        <f>IF(OR(J981="",L981=""),"",L981-J981)</f>
        <v/>
      </c>
      <c r="O981" s="169">
        <f>IF(OR(J981="",L981=""),"",L981/J981-1)</f>
        <v/>
      </c>
      <c r="P981" s="169">
        <f>IF(OR(J981="",K981=""),"",K981/J981-1)</f>
        <v/>
      </c>
      <c r="Q981" s="54">
        <f>IF(AND(ISNUMBER(J981),ISNUMBER(L981)),1,0)</f>
        <v/>
      </c>
      <c r="R981" s="69">
        <f>IF(Q981=1,G981*L981,0)</f>
        <v/>
      </c>
      <c r="S981" s="69">
        <f>IF(Q981=1,(H981+I981)*U981,0)</f>
        <v/>
      </c>
      <c r="T981" s="59">
        <f>IF(Q981=1,G981,0)</f>
        <v/>
      </c>
      <c r="U981" s="170">
        <f>$G$3</f>
        <v/>
      </c>
    </row>
    <row r="982">
      <c r="A982" s="54" t="inlineStr">
        <is>
          <t>CA SSS4</t>
        </is>
      </c>
      <c r="B982" s="54" t="inlineStr">
        <is>
          <t>CA</t>
        </is>
      </c>
      <c r="C982" s="54" t="inlineStr">
        <is>
          <t>B0DDRCQZ7G</t>
        </is>
      </c>
      <c r="D982" s="54" t="inlineStr">
        <is>
          <t>SS-SATIN-PURPLE-KING-4PCS</t>
        </is>
      </c>
      <c r="E982" s="54" t="inlineStr">
        <is>
          <t>King</t>
        </is>
      </c>
      <c r="F982" s="54" t="inlineStr">
        <is>
          <t>Purple</t>
        </is>
      </c>
      <c r="G982" s="55" t="n">
        <v>0</v>
      </c>
      <c r="H982" s="167" t="n"/>
      <c r="I982" s="167" t="n"/>
      <c r="J982" s="171">
        <f>IF(AND(N(G982)&gt;0,N(H982)+N(I982)&gt;0),(H982+I982)*U982/G982,"")</f>
        <v/>
      </c>
      <c r="K982" s="172" t="n">
        <v>49.95</v>
      </c>
      <c r="L982" s="172" t="n">
        <v>40.46</v>
      </c>
      <c r="M982" s="54" t="inlineStr">
        <is>
          <t>Eligible</t>
        </is>
      </c>
      <c r="N982" s="171">
        <f>IF(OR(J982="",L982=""),"",L982-J982)</f>
        <v/>
      </c>
      <c r="O982" s="169">
        <f>IF(OR(J982="",L982=""),"",L982/J982-1)</f>
        <v/>
      </c>
      <c r="P982" s="169">
        <f>IF(OR(J982="",K982=""),"",K982/J982-1)</f>
        <v/>
      </c>
      <c r="Q982" s="54">
        <f>IF(AND(ISNUMBER(J982),ISNUMBER(L982)),1,0)</f>
        <v/>
      </c>
      <c r="R982" s="69">
        <f>IF(Q982=1,G982*L982,0)</f>
        <v/>
      </c>
      <c r="S982" s="69">
        <f>IF(Q982=1,(H982+I982)*U982,0)</f>
        <v/>
      </c>
      <c r="T982" s="59">
        <f>IF(Q982=1,G982,0)</f>
        <v/>
      </c>
      <c r="U982" s="170">
        <f>$G$3</f>
        <v/>
      </c>
    </row>
    <row r="983">
      <c r="A983" s="54" t="inlineStr">
        <is>
          <t>CA SSS4</t>
        </is>
      </c>
      <c r="B983" s="54" t="inlineStr">
        <is>
          <t>CA</t>
        </is>
      </c>
      <c r="C983" s="54" t="inlineStr">
        <is>
          <t>B0DDRP3R3F</t>
        </is>
      </c>
      <c r="D983" s="54" t="inlineStr">
        <is>
          <t>SS-SATIN-RED-KING-4PCS</t>
        </is>
      </c>
      <c r="E983" s="54" t="inlineStr">
        <is>
          <t>King</t>
        </is>
      </c>
      <c r="F983" s="54" t="inlineStr">
        <is>
          <t>Red</t>
        </is>
      </c>
      <c r="G983" s="55" t="n"/>
      <c r="H983" s="167" t="n"/>
      <c r="I983" s="167" t="n"/>
      <c r="J983" s="171">
        <f>IF(AND(N(G983)&gt;0,N(H983)+N(I983)&gt;0),(H983+I983)*U983/G983,"")</f>
        <v/>
      </c>
      <c r="K983" s="172" t="n">
        <v>49.95</v>
      </c>
      <c r="L983" s="172" t="n">
        <v>44.96</v>
      </c>
      <c r="M983" s="54" t="inlineStr">
        <is>
          <t>Eligible</t>
        </is>
      </c>
      <c r="N983" s="171">
        <f>IF(OR(J983="",L983=""),"",L983-J983)</f>
        <v/>
      </c>
      <c r="O983" s="169">
        <f>IF(OR(J983="",L983=""),"",L983/J983-1)</f>
        <v/>
      </c>
      <c r="P983" s="169">
        <f>IF(OR(J983="",K983=""),"",K983/J983-1)</f>
        <v/>
      </c>
      <c r="Q983" s="54">
        <f>IF(AND(ISNUMBER(J983),ISNUMBER(L983)),1,0)</f>
        <v/>
      </c>
      <c r="R983" s="69">
        <f>IF(Q983=1,G983*L983,0)</f>
        <v/>
      </c>
      <c r="S983" s="69">
        <f>IF(Q983=1,(H983+I983)*U983,0)</f>
        <v/>
      </c>
      <c r="T983" s="59">
        <f>IF(Q983=1,G983,0)</f>
        <v/>
      </c>
      <c r="U983" s="170">
        <f>$G$3</f>
        <v/>
      </c>
    </row>
    <row r="984">
      <c r="A984" s="54" t="inlineStr">
        <is>
          <t>CA SSS4</t>
        </is>
      </c>
      <c r="B984" s="54" t="inlineStr">
        <is>
          <t>CA</t>
        </is>
      </c>
      <c r="C984" s="54" t="inlineStr">
        <is>
          <t>B0DDRM5YW5</t>
        </is>
      </c>
      <c r="D984" s="54" t="inlineStr">
        <is>
          <t>SS-SATIN-ROSEWOOD-KING-4PCS</t>
        </is>
      </c>
      <c r="E984" s="54" t="inlineStr">
        <is>
          <t>King</t>
        </is>
      </c>
      <c r="F984" s="54" t="inlineStr">
        <is>
          <t>Rosewood</t>
        </is>
      </c>
      <c r="G984" s="55" t="n"/>
      <c r="H984" s="167" t="n"/>
      <c r="I984" s="167" t="n"/>
      <c r="J984" s="171">
        <f>IF(AND(N(G984)&gt;0,N(H984)+N(I984)&gt;0),(H984+I984)*U984/G984,"")</f>
        <v/>
      </c>
      <c r="K984" s="172" t="n">
        <v>49.95</v>
      </c>
      <c r="L984" s="172" t="n">
        <v>44.96</v>
      </c>
      <c r="M984" s="54" t="inlineStr">
        <is>
          <t>Eligible</t>
        </is>
      </c>
      <c r="N984" s="171">
        <f>IF(OR(J984="",L984=""),"",L984-J984)</f>
        <v/>
      </c>
      <c r="O984" s="169">
        <f>IF(OR(J984="",L984=""),"",L984/J984-1)</f>
        <v/>
      </c>
      <c r="P984" s="169">
        <f>IF(OR(J984="",K984=""),"",K984/J984-1)</f>
        <v/>
      </c>
      <c r="Q984" s="54">
        <f>IF(AND(ISNUMBER(J984),ISNUMBER(L984)),1,0)</f>
        <v/>
      </c>
      <c r="R984" s="69">
        <f>IF(Q984=1,G984*L984,0)</f>
        <v/>
      </c>
      <c r="S984" s="69">
        <f>IF(Q984=1,(H984+I984)*U984,0)</f>
        <v/>
      </c>
      <c r="T984" s="59">
        <f>IF(Q984=1,G984,0)</f>
        <v/>
      </c>
      <c r="U984" s="170">
        <f>$G$3</f>
        <v/>
      </c>
    </row>
    <row r="985">
      <c r="A985" s="54" t="inlineStr">
        <is>
          <t>CA SSS4</t>
        </is>
      </c>
      <c r="B985" s="54" t="inlineStr">
        <is>
          <t>CA</t>
        </is>
      </c>
      <c r="C985" s="54" t="inlineStr">
        <is>
          <t>B0DDRL7H2W</t>
        </is>
      </c>
      <c r="D985" s="54" t="inlineStr">
        <is>
          <t>SS-SATIN-SEA-TEAL-KING-4PCS</t>
        </is>
      </c>
      <c r="E985" s="54" t="inlineStr">
        <is>
          <t>King</t>
        </is>
      </c>
      <c r="F985" s="54" t="inlineStr">
        <is>
          <t>Sea Teal</t>
        </is>
      </c>
      <c r="G985" s="55" t="n"/>
      <c r="H985" s="167" t="n"/>
      <c r="I985" s="167" t="n"/>
      <c r="J985" s="171">
        <f>IF(AND(N(G985)&gt;0,N(H985)+N(I985)&gt;0),(H985+I985)*U985/G985,"")</f>
        <v/>
      </c>
      <c r="K985" s="172" t="n">
        <v>49.95</v>
      </c>
      <c r="L985" s="172" t="n">
        <v>44.96</v>
      </c>
      <c r="M985" s="54" t="inlineStr">
        <is>
          <t>Eligible</t>
        </is>
      </c>
      <c r="N985" s="171">
        <f>IF(OR(J985="",L985=""),"",L985-J985)</f>
        <v/>
      </c>
      <c r="O985" s="169">
        <f>IF(OR(J985="",L985=""),"",L985/J985-1)</f>
        <v/>
      </c>
      <c r="P985" s="169">
        <f>IF(OR(J985="",K985=""),"",K985/J985-1)</f>
        <v/>
      </c>
      <c r="Q985" s="54">
        <f>IF(AND(ISNUMBER(J985),ISNUMBER(L985)),1,0)</f>
        <v/>
      </c>
      <c r="R985" s="69">
        <f>IF(Q985=1,G985*L985,0)</f>
        <v/>
      </c>
      <c r="S985" s="69">
        <f>IF(Q985=1,(H985+I985)*U985,0)</f>
        <v/>
      </c>
      <c r="T985" s="59">
        <f>IF(Q985=1,G985,0)</f>
        <v/>
      </c>
      <c r="U985" s="170">
        <f>$G$3</f>
        <v/>
      </c>
    </row>
    <row r="986">
      <c r="A986" s="54" t="inlineStr">
        <is>
          <t>CA SSS4</t>
        </is>
      </c>
      <c r="B986" s="54" t="inlineStr">
        <is>
          <t>CA</t>
        </is>
      </c>
      <c r="C986" s="54" t="inlineStr">
        <is>
          <t>B0DDR1ZPRZ</t>
        </is>
      </c>
      <c r="D986" s="54" t="inlineStr">
        <is>
          <t>SS-SATIN-STONE-GREY-KING-4PCS</t>
        </is>
      </c>
      <c r="E986" s="54" t="inlineStr">
        <is>
          <t>King</t>
        </is>
      </c>
      <c r="F986" s="54" t="inlineStr">
        <is>
          <t>Stone Grey</t>
        </is>
      </c>
      <c r="G986" s="55" t="n"/>
      <c r="H986" s="167" t="n"/>
      <c r="I986" s="167" t="n"/>
      <c r="J986" s="171">
        <f>IF(AND(N(G986)&gt;0,N(H986)+N(I986)&gt;0),(H986+I986)*U986/G986,"")</f>
        <v/>
      </c>
      <c r="K986" s="172" t="n">
        <v>49.95</v>
      </c>
      <c r="L986" s="172" t="n">
        <v>40.46</v>
      </c>
      <c r="M986" s="54" t="inlineStr">
        <is>
          <t>Eligible</t>
        </is>
      </c>
      <c r="N986" s="171">
        <f>IF(OR(J986="",L986=""),"",L986-J986)</f>
        <v/>
      </c>
      <c r="O986" s="169">
        <f>IF(OR(J986="",L986=""),"",L986/J986-1)</f>
        <v/>
      </c>
      <c r="P986" s="169">
        <f>IF(OR(J986="",K986=""),"",K986/J986-1)</f>
        <v/>
      </c>
      <c r="Q986" s="54">
        <f>IF(AND(ISNUMBER(J986),ISNUMBER(L986)),1,0)</f>
        <v/>
      </c>
      <c r="R986" s="69">
        <f>IF(Q986=1,G986*L986,0)</f>
        <v/>
      </c>
      <c r="S986" s="69">
        <f>IF(Q986=1,(H986+I986)*U986,0)</f>
        <v/>
      </c>
      <c r="T986" s="59">
        <f>IF(Q986=1,G986,0)</f>
        <v/>
      </c>
      <c r="U986" s="170">
        <f>$G$3</f>
        <v/>
      </c>
    </row>
    <row r="987">
      <c r="A987" s="54" t="inlineStr">
        <is>
          <t>CA SSS4</t>
        </is>
      </c>
      <c r="B987" s="54" t="inlineStr">
        <is>
          <t>CA</t>
        </is>
      </c>
      <c r="C987" s="54" t="inlineStr">
        <is>
          <t>B0DDRHYXFM</t>
        </is>
      </c>
      <c r="D987" s="54" t="inlineStr">
        <is>
          <t>SS-SATIN-STRIPED-GREY-KING-4PCS</t>
        </is>
      </c>
      <c r="E987" s="54" t="inlineStr">
        <is>
          <t>King</t>
        </is>
      </c>
      <c r="F987" s="54" t="inlineStr">
        <is>
          <t>Striped Grey</t>
        </is>
      </c>
      <c r="G987" s="55" t="n"/>
      <c r="H987" s="167" t="n"/>
      <c r="I987" s="167" t="n"/>
      <c r="J987" s="171">
        <f>IF(AND(N(G987)&gt;0,N(H987)+N(I987)&gt;0),(H987+I987)*U987/G987,"")</f>
        <v/>
      </c>
      <c r="K987" s="172" t="n">
        <v>49.95</v>
      </c>
      <c r="L987" s="172" t="n">
        <v>40.46</v>
      </c>
      <c r="M987" s="54" t="inlineStr">
        <is>
          <t>Eligible</t>
        </is>
      </c>
      <c r="N987" s="171">
        <f>IF(OR(J987="",L987=""),"",L987-J987)</f>
        <v/>
      </c>
      <c r="O987" s="169">
        <f>IF(OR(J987="",L987=""),"",L987/J987-1)</f>
        <v/>
      </c>
      <c r="P987" s="169">
        <f>IF(OR(J987="",K987=""),"",K987/J987-1)</f>
        <v/>
      </c>
      <c r="Q987" s="54">
        <f>IF(AND(ISNUMBER(J987),ISNUMBER(L987)),1,0)</f>
        <v/>
      </c>
      <c r="R987" s="69">
        <f>IF(Q987=1,G987*L987,0)</f>
        <v/>
      </c>
      <c r="S987" s="69">
        <f>IF(Q987=1,(H987+I987)*U987,0)</f>
        <v/>
      </c>
      <c r="T987" s="59">
        <f>IF(Q987=1,G987,0)</f>
        <v/>
      </c>
      <c r="U987" s="170">
        <f>$G$3</f>
        <v/>
      </c>
    </row>
    <row r="988">
      <c r="A988" s="54" t="inlineStr">
        <is>
          <t>CA SSS4</t>
        </is>
      </c>
      <c r="B988" s="54" t="inlineStr">
        <is>
          <t>CA</t>
        </is>
      </c>
      <c r="C988" s="54" t="inlineStr">
        <is>
          <t>B0DDRF1Z4N</t>
        </is>
      </c>
      <c r="D988" s="54" t="inlineStr">
        <is>
          <t>SS-SATIN-TAUPE-KING-4PCS</t>
        </is>
      </c>
      <c r="E988" s="54" t="inlineStr">
        <is>
          <t>King</t>
        </is>
      </c>
      <c r="F988" s="54" t="inlineStr">
        <is>
          <t>Taupe</t>
        </is>
      </c>
      <c r="G988" s="55" t="n"/>
      <c r="H988" s="167" t="n"/>
      <c r="I988" s="167" t="n"/>
      <c r="J988" s="171">
        <f>IF(AND(N(G988)&gt;0,N(H988)+N(I988)&gt;0),(H988+I988)*U988/G988,"")</f>
        <v/>
      </c>
      <c r="K988" s="172" t="n">
        <v>49.95</v>
      </c>
      <c r="L988" s="172" t="n">
        <v>44.96</v>
      </c>
      <c r="M988" s="54" t="inlineStr">
        <is>
          <t>Eligible</t>
        </is>
      </c>
      <c r="N988" s="171">
        <f>IF(OR(J988="",L988=""),"",L988-J988)</f>
        <v/>
      </c>
      <c r="O988" s="169">
        <f>IF(OR(J988="",L988=""),"",L988/J988-1)</f>
        <v/>
      </c>
      <c r="P988" s="169">
        <f>IF(OR(J988="",K988=""),"",K988/J988-1)</f>
        <v/>
      </c>
      <c r="Q988" s="54">
        <f>IF(AND(ISNUMBER(J988),ISNUMBER(L988)),1,0)</f>
        <v/>
      </c>
      <c r="R988" s="69">
        <f>IF(Q988=1,G988*L988,0)</f>
        <v/>
      </c>
      <c r="S988" s="69">
        <f>IF(Q988=1,(H988+I988)*U988,0)</f>
        <v/>
      </c>
      <c r="T988" s="59">
        <f>IF(Q988=1,G988,0)</f>
        <v/>
      </c>
      <c r="U988" s="170">
        <f>$G$3</f>
        <v/>
      </c>
    </row>
    <row r="989">
      <c r="A989" s="54" t="inlineStr">
        <is>
          <t>CA SSS4</t>
        </is>
      </c>
      <c r="B989" s="54" t="inlineStr">
        <is>
          <t>CA</t>
        </is>
      </c>
      <c r="C989" s="54" t="inlineStr">
        <is>
          <t>B0DDQZ6VT4</t>
        </is>
      </c>
      <c r="D989" s="54" t="inlineStr">
        <is>
          <t>SS-SATIN-WHITE-KING-4PCS</t>
        </is>
      </c>
      <c r="E989" s="54" t="inlineStr">
        <is>
          <t>King</t>
        </is>
      </c>
      <c r="F989" s="54" t="inlineStr">
        <is>
          <t>White</t>
        </is>
      </c>
      <c r="G989" s="55" t="n"/>
      <c r="H989" s="167" t="n"/>
      <c r="I989" s="167" t="n"/>
      <c r="J989" s="171">
        <f>IF(AND(N(G989)&gt;0,N(H989)+N(I989)&gt;0),(H989+I989)*U989/G989,"")</f>
        <v/>
      </c>
      <c r="K989" s="172" t="n">
        <v>49.95</v>
      </c>
      <c r="L989" s="172" t="n">
        <v>44.96</v>
      </c>
      <c r="M989" s="54" t="inlineStr">
        <is>
          <t>Eligible</t>
        </is>
      </c>
      <c r="N989" s="171">
        <f>IF(OR(J989="",L989=""),"",L989-J989)</f>
        <v/>
      </c>
      <c r="O989" s="169">
        <f>IF(OR(J989="",L989=""),"",L989/J989-1)</f>
        <v/>
      </c>
      <c r="P989" s="169">
        <f>IF(OR(J989="",K989=""),"",K989/J989-1)</f>
        <v/>
      </c>
      <c r="Q989" s="54">
        <f>IF(AND(ISNUMBER(J989),ISNUMBER(L989)),1,0)</f>
        <v/>
      </c>
      <c r="R989" s="69">
        <f>IF(Q989=1,G989*L989,0)</f>
        <v/>
      </c>
      <c r="S989" s="69">
        <f>IF(Q989=1,(H989+I989)*U989,0)</f>
        <v/>
      </c>
      <c r="T989" s="59">
        <f>IF(Q989=1,G989,0)</f>
        <v/>
      </c>
      <c r="U989" s="170">
        <f>$G$3</f>
        <v/>
      </c>
    </row>
    <row r="990">
      <c r="A990" s="54" t="inlineStr">
        <is>
          <t>CA SSS4</t>
        </is>
      </c>
      <c r="B990" s="54" t="inlineStr">
        <is>
          <t>CA</t>
        </is>
      </c>
      <c r="C990" s="54" t="inlineStr">
        <is>
          <t>B0DDRFM554</t>
        </is>
      </c>
      <c r="D990" s="54" t="inlineStr">
        <is>
          <t>SS-SATIN-BABY-BLUE-QUEEN-4PCS</t>
        </is>
      </c>
      <c r="E990" s="54" t="inlineStr">
        <is>
          <t>Queen</t>
        </is>
      </c>
      <c r="F990" s="54" t="inlineStr">
        <is>
          <t>Baby Blue</t>
        </is>
      </c>
      <c r="G990" s="55" t="n">
        <v>0</v>
      </c>
      <c r="H990" s="167" t="n"/>
      <c r="I990" s="167" t="n"/>
      <c r="J990" s="171">
        <f>IF(AND(N(G990)&gt;0,N(H990)+N(I990)&gt;0),(H990+I990)*U990/G990,"")</f>
        <v/>
      </c>
      <c r="K990" s="172" t="n">
        <v>46.95</v>
      </c>
      <c r="L990" s="172" t="n">
        <v>42.26</v>
      </c>
      <c r="M990" s="54" t="inlineStr">
        <is>
          <t>Eligible</t>
        </is>
      </c>
      <c r="N990" s="171">
        <f>IF(OR(J990="",L990=""),"",L990-J990)</f>
        <v/>
      </c>
      <c r="O990" s="169">
        <f>IF(OR(J990="",L990=""),"",L990/J990-1)</f>
        <v/>
      </c>
      <c r="P990" s="169">
        <f>IF(OR(J990="",K990=""),"",K990/J990-1)</f>
        <v/>
      </c>
      <c r="Q990" s="54">
        <f>IF(AND(ISNUMBER(J990),ISNUMBER(L990)),1,0)</f>
        <v/>
      </c>
      <c r="R990" s="69">
        <f>IF(Q990=1,G990*L990,0)</f>
        <v/>
      </c>
      <c r="S990" s="69">
        <f>IF(Q990=1,(H990+I990)*U990,0)</f>
        <v/>
      </c>
      <c r="T990" s="59">
        <f>IF(Q990=1,G990,0)</f>
        <v/>
      </c>
      <c r="U990" s="170">
        <f>$G$3</f>
        <v/>
      </c>
    </row>
    <row r="991">
      <c r="A991" s="54" t="inlineStr">
        <is>
          <t>CA SSS4</t>
        </is>
      </c>
      <c r="B991" s="54" t="inlineStr">
        <is>
          <t>CA</t>
        </is>
      </c>
      <c r="C991" s="54" t="inlineStr">
        <is>
          <t>B0DDRNW3GF</t>
        </is>
      </c>
      <c r="D991" s="54" t="inlineStr">
        <is>
          <t>SS-SATIN-BLUE-QUEEN-4PCS</t>
        </is>
      </c>
      <c r="E991" s="54" t="inlineStr">
        <is>
          <t>Queen</t>
        </is>
      </c>
      <c r="F991" s="54" t="inlineStr">
        <is>
          <t>Blue</t>
        </is>
      </c>
      <c r="G991" s="55" t="n"/>
      <c r="H991" s="167" t="n"/>
      <c r="I991" s="167" t="n"/>
      <c r="J991" s="171">
        <f>IF(AND(N(G991)&gt;0,N(H991)+N(I991)&gt;0),(H991+I991)*U991/G991,"")</f>
        <v/>
      </c>
      <c r="K991" s="172" t="n">
        <v>46.95</v>
      </c>
      <c r="L991" s="172" t="n">
        <v>42.26</v>
      </c>
      <c r="M991" s="54" t="inlineStr">
        <is>
          <t>Eligible</t>
        </is>
      </c>
      <c r="N991" s="171">
        <f>IF(OR(J991="",L991=""),"",L991-J991)</f>
        <v/>
      </c>
      <c r="O991" s="169">
        <f>IF(OR(J991="",L991=""),"",L991/J991-1)</f>
        <v/>
      </c>
      <c r="P991" s="169">
        <f>IF(OR(J991="",K991=""),"",K991/J991-1)</f>
        <v/>
      </c>
      <c r="Q991" s="54">
        <f>IF(AND(ISNUMBER(J991),ISNUMBER(L991)),1,0)</f>
        <v/>
      </c>
      <c r="R991" s="69">
        <f>IF(Q991=1,G991*L991,0)</f>
        <v/>
      </c>
      <c r="S991" s="69">
        <f>IF(Q991=1,(H991+I991)*U991,0)</f>
        <v/>
      </c>
      <c r="T991" s="59">
        <f>IF(Q991=1,G991,0)</f>
        <v/>
      </c>
      <c r="U991" s="170">
        <f>$G$3</f>
        <v/>
      </c>
    </row>
    <row r="992">
      <c r="A992" s="54" t="inlineStr">
        <is>
          <t>CA SSS4</t>
        </is>
      </c>
      <c r="B992" s="54" t="inlineStr">
        <is>
          <t>CA</t>
        </is>
      </c>
      <c r="C992" s="54" t="inlineStr">
        <is>
          <t>B0DDR1H4YM</t>
        </is>
      </c>
      <c r="D992" s="54" t="inlineStr">
        <is>
          <t>SS-SATIN-BLUSH-PINK-QUEEN-4PCS</t>
        </is>
      </c>
      <c r="E992" s="54" t="inlineStr">
        <is>
          <t>Queen</t>
        </is>
      </c>
      <c r="F992" s="54" t="inlineStr">
        <is>
          <t>Blush Pink</t>
        </is>
      </c>
      <c r="G992" s="55" t="n">
        <v>0</v>
      </c>
      <c r="H992" s="167" t="n"/>
      <c r="I992" s="167" t="n"/>
      <c r="J992" s="171">
        <f>IF(AND(N(G992)&gt;0,N(H992)+N(I992)&gt;0),(H992+I992)*U992/G992,"")</f>
        <v/>
      </c>
      <c r="K992" s="172" t="n">
        <v>46.95</v>
      </c>
      <c r="L992" s="172" t="n">
        <v>42.26</v>
      </c>
      <c r="M992" s="54" t="inlineStr">
        <is>
          <t>Eligible</t>
        </is>
      </c>
      <c r="N992" s="171">
        <f>IF(OR(J992="",L992=""),"",L992-J992)</f>
        <v/>
      </c>
      <c r="O992" s="169">
        <f>IF(OR(J992="",L992=""),"",L992/J992-1)</f>
        <v/>
      </c>
      <c r="P992" s="169">
        <f>IF(OR(J992="",K992=""),"",K992/J992-1)</f>
        <v/>
      </c>
      <c r="Q992" s="54">
        <f>IF(AND(ISNUMBER(J992),ISNUMBER(L992)),1,0)</f>
        <v/>
      </c>
      <c r="R992" s="69">
        <f>IF(Q992=1,G992*L992,0)</f>
        <v/>
      </c>
      <c r="S992" s="69">
        <f>IF(Q992=1,(H992+I992)*U992,0)</f>
        <v/>
      </c>
      <c r="T992" s="59">
        <f>IF(Q992=1,G992,0)</f>
        <v/>
      </c>
      <c r="U992" s="170">
        <f>$G$3</f>
        <v/>
      </c>
    </row>
    <row r="993">
      <c r="A993" s="54" t="inlineStr">
        <is>
          <t>CA SSS4</t>
        </is>
      </c>
      <c r="B993" s="54" t="inlineStr">
        <is>
          <t>CA</t>
        </is>
      </c>
      <c r="C993" s="54" t="inlineStr">
        <is>
          <t>B0DDR1YLCM</t>
        </is>
      </c>
      <c r="D993" s="54" t="inlineStr">
        <is>
          <t>SS-SATIN-CHAMPAGNE-QUEEN-4PCS</t>
        </is>
      </c>
      <c r="E993" s="54" t="inlineStr">
        <is>
          <t>Queen</t>
        </is>
      </c>
      <c r="F993" s="54" t="inlineStr">
        <is>
          <t>Champagne</t>
        </is>
      </c>
      <c r="G993" s="55" t="n">
        <v>0</v>
      </c>
      <c r="H993" s="167" t="n"/>
      <c r="I993" s="167" t="n"/>
      <c r="J993" s="171">
        <f>IF(AND(N(G993)&gt;0,N(H993)+N(I993)&gt;0),(H993+I993)*U993/G993,"")</f>
        <v/>
      </c>
      <c r="K993" s="172" t="n">
        <v>46.95</v>
      </c>
      <c r="L993" s="172" t="n">
        <v>46.95</v>
      </c>
      <c r="M993" s="54" t="inlineStr">
        <is>
          <t>Eligible</t>
        </is>
      </c>
      <c r="N993" s="171">
        <f>IF(OR(J993="",L993=""),"",L993-J993)</f>
        <v/>
      </c>
      <c r="O993" s="169">
        <f>IF(OR(J993="",L993=""),"",L993/J993-1)</f>
        <v/>
      </c>
      <c r="P993" s="169">
        <f>IF(OR(J993="",K993=""),"",K993/J993-1)</f>
        <v/>
      </c>
      <c r="Q993" s="54">
        <f>IF(AND(ISNUMBER(J993),ISNUMBER(L993)),1,0)</f>
        <v/>
      </c>
      <c r="R993" s="69">
        <f>IF(Q993=1,G993*L993,0)</f>
        <v/>
      </c>
      <c r="S993" s="69">
        <f>IF(Q993=1,(H993+I993)*U993,0)</f>
        <v/>
      </c>
      <c r="T993" s="59">
        <f>IF(Q993=1,G993,0)</f>
        <v/>
      </c>
      <c r="U993" s="170">
        <f>$G$3</f>
        <v/>
      </c>
    </row>
    <row r="994">
      <c r="A994" s="54" t="inlineStr">
        <is>
          <t>CA SSS4</t>
        </is>
      </c>
      <c r="B994" s="54" t="inlineStr">
        <is>
          <t>CA</t>
        </is>
      </c>
      <c r="C994" s="54" t="inlineStr">
        <is>
          <t>B0DDRHPKDV</t>
        </is>
      </c>
      <c r="D994" s="54" t="inlineStr">
        <is>
          <t>SS-SATIN-GOLD-QUEEN-4PCS</t>
        </is>
      </c>
      <c r="E994" s="54" t="inlineStr">
        <is>
          <t>Queen</t>
        </is>
      </c>
      <c r="F994" s="54" t="inlineStr">
        <is>
          <t>Gold</t>
        </is>
      </c>
      <c r="G994" s="55" t="n">
        <v>0</v>
      </c>
      <c r="H994" s="167" t="n"/>
      <c r="I994" s="167" t="n"/>
      <c r="J994" s="171">
        <f>IF(AND(N(G994)&gt;0,N(H994)+N(I994)&gt;0),(H994+I994)*U994/G994,"")</f>
        <v/>
      </c>
      <c r="K994" s="172" t="n">
        <v>46.95</v>
      </c>
      <c r="L994" s="172" t="n">
        <v>42.26</v>
      </c>
      <c r="M994" s="54" t="inlineStr">
        <is>
          <t>Eligible</t>
        </is>
      </c>
      <c r="N994" s="171">
        <f>IF(OR(J994="",L994=""),"",L994-J994)</f>
        <v/>
      </c>
      <c r="O994" s="169">
        <f>IF(OR(J994="",L994=""),"",L994/J994-1)</f>
        <v/>
      </c>
      <c r="P994" s="169">
        <f>IF(OR(J994="",K994=""),"",K994/J994-1)</f>
        <v/>
      </c>
      <c r="Q994" s="54">
        <f>IF(AND(ISNUMBER(J994),ISNUMBER(L994)),1,0)</f>
        <v/>
      </c>
      <c r="R994" s="69">
        <f>IF(Q994=1,G994*L994,0)</f>
        <v/>
      </c>
      <c r="S994" s="69">
        <f>IF(Q994=1,(H994+I994)*U994,0)</f>
        <v/>
      </c>
      <c r="T994" s="59">
        <f>IF(Q994=1,G994,0)</f>
        <v/>
      </c>
      <c r="U994" s="170">
        <f>$G$3</f>
        <v/>
      </c>
    </row>
    <row r="995">
      <c r="A995" s="54" t="inlineStr">
        <is>
          <t>CA SSS4</t>
        </is>
      </c>
      <c r="B995" s="54" t="inlineStr">
        <is>
          <t>CA</t>
        </is>
      </c>
      <c r="C995" s="54" t="inlineStr">
        <is>
          <t>B0DDRHLV1C</t>
        </is>
      </c>
      <c r="D995" s="54" t="inlineStr">
        <is>
          <t>SS-SATIN-LAVENDER-QUEEN-4PCS</t>
        </is>
      </c>
      <c r="E995" s="54" t="inlineStr">
        <is>
          <t>Queen</t>
        </is>
      </c>
      <c r="F995" s="54" t="inlineStr">
        <is>
          <t>Lavender</t>
        </is>
      </c>
      <c r="G995" s="55" t="n">
        <v>0</v>
      </c>
      <c r="H995" s="167" t="n"/>
      <c r="I995" s="167" t="n"/>
      <c r="J995" s="171">
        <f>IF(AND(N(G995)&gt;0,N(H995)+N(I995)&gt;0),(H995+I995)*U995/G995,"")</f>
        <v/>
      </c>
      <c r="K995" s="172" t="n">
        <v>46.95</v>
      </c>
      <c r="L995" s="172" t="n">
        <v>39.91</v>
      </c>
      <c r="M995" s="54" t="inlineStr">
        <is>
          <t>Eligible</t>
        </is>
      </c>
      <c r="N995" s="171">
        <f>IF(OR(J995="",L995=""),"",L995-J995)</f>
        <v/>
      </c>
      <c r="O995" s="169">
        <f>IF(OR(J995="",L995=""),"",L995/J995-1)</f>
        <v/>
      </c>
      <c r="P995" s="169">
        <f>IF(OR(J995="",K995=""),"",K995/J995-1)</f>
        <v/>
      </c>
      <c r="Q995" s="54">
        <f>IF(AND(ISNUMBER(J995),ISNUMBER(L995)),1,0)</f>
        <v/>
      </c>
      <c r="R995" s="69">
        <f>IF(Q995=1,G995*L995,0)</f>
        <v/>
      </c>
      <c r="S995" s="69">
        <f>IF(Q995=1,(H995+I995)*U995,0)</f>
        <v/>
      </c>
      <c r="T995" s="59">
        <f>IF(Q995=1,G995,0)</f>
        <v/>
      </c>
      <c r="U995" s="170">
        <f>$G$3</f>
        <v/>
      </c>
    </row>
    <row r="996">
      <c r="A996" s="54" t="inlineStr">
        <is>
          <t>CA SSS4</t>
        </is>
      </c>
      <c r="B996" s="54" t="inlineStr">
        <is>
          <t>CA</t>
        </is>
      </c>
      <c r="C996" s="54" t="inlineStr">
        <is>
          <t>B0DDRBTG9J</t>
        </is>
      </c>
      <c r="D996" s="54" t="inlineStr">
        <is>
          <t>SS-SATIN-PINK-QUEEN-4PCS</t>
        </is>
      </c>
      <c r="E996" s="54" t="inlineStr">
        <is>
          <t>Queen</t>
        </is>
      </c>
      <c r="F996" s="54" t="inlineStr">
        <is>
          <t>Pink</t>
        </is>
      </c>
      <c r="G996" s="55" t="n"/>
      <c r="H996" s="167" t="n"/>
      <c r="I996" s="167" t="n"/>
      <c r="J996" s="171">
        <f>IF(AND(N(G996)&gt;0,N(H996)+N(I996)&gt;0),(H996+I996)*U996/G996,"")</f>
        <v/>
      </c>
      <c r="K996" s="172" t="n">
        <v>46.95</v>
      </c>
      <c r="L996" s="172" t="n">
        <v>42.26</v>
      </c>
      <c r="M996" s="54" t="inlineStr">
        <is>
          <t>Eligible</t>
        </is>
      </c>
      <c r="N996" s="171">
        <f>IF(OR(J996="",L996=""),"",L996-J996)</f>
        <v/>
      </c>
      <c r="O996" s="169">
        <f>IF(OR(J996="",L996=""),"",L996/J996-1)</f>
        <v/>
      </c>
      <c r="P996" s="169">
        <f>IF(OR(J996="",K996=""),"",K996/J996-1)</f>
        <v/>
      </c>
      <c r="Q996" s="54">
        <f>IF(AND(ISNUMBER(J996),ISNUMBER(L996)),1,0)</f>
        <v/>
      </c>
      <c r="R996" s="69">
        <f>IF(Q996=1,G996*L996,0)</f>
        <v/>
      </c>
      <c r="S996" s="69">
        <f>IF(Q996=1,(H996+I996)*U996,0)</f>
        <v/>
      </c>
      <c r="T996" s="59">
        <f>IF(Q996=1,G996,0)</f>
        <v/>
      </c>
      <c r="U996" s="170">
        <f>$G$3</f>
        <v/>
      </c>
    </row>
    <row r="997">
      <c r="A997" s="54" t="inlineStr">
        <is>
          <t>CA SSS4</t>
        </is>
      </c>
      <c r="B997" s="54" t="inlineStr">
        <is>
          <t>CA</t>
        </is>
      </c>
      <c r="C997" s="54" t="inlineStr">
        <is>
          <t>B0DDR4FVH1</t>
        </is>
      </c>
      <c r="D997" s="54" t="inlineStr">
        <is>
          <t>SS-SATIN-PURPLE-QUEEN-4PCS</t>
        </is>
      </c>
      <c r="E997" s="54" t="inlineStr">
        <is>
          <t>Queen</t>
        </is>
      </c>
      <c r="F997" s="54" t="inlineStr">
        <is>
          <t>Purple</t>
        </is>
      </c>
      <c r="G997" s="55" t="n"/>
      <c r="H997" s="167" t="n"/>
      <c r="I997" s="167" t="n"/>
      <c r="J997" s="171">
        <f>IF(AND(N(G997)&gt;0,N(H997)+N(I997)&gt;0),(H997+I997)*U997/G997,"")</f>
        <v/>
      </c>
      <c r="K997" s="172" t="n">
        <v>46.95</v>
      </c>
      <c r="L997" s="172" t="n">
        <v>46.84</v>
      </c>
      <c r="M997" s="54" t="inlineStr">
        <is>
          <t>Eligible</t>
        </is>
      </c>
      <c r="N997" s="171">
        <f>IF(OR(J997="",L997=""),"",L997-J997)</f>
        <v/>
      </c>
      <c r="O997" s="169">
        <f>IF(OR(J997="",L997=""),"",L997/J997-1)</f>
        <v/>
      </c>
      <c r="P997" s="169">
        <f>IF(OR(J997="",K997=""),"",K997/J997-1)</f>
        <v/>
      </c>
      <c r="Q997" s="54">
        <f>IF(AND(ISNUMBER(J997),ISNUMBER(L997)),1,0)</f>
        <v/>
      </c>
      <c r="R997" s="69">
        <f>IF(Q997=1,G997*L997,0)</f>
        <v/>
      </c>
      <c r="S997" s="69">
        <f>IF(Q997=1,(H997+I997)*U997,0)</f>
        <v/>
      </c>
      <c r="T997" s="59">
        <f>IF(Q997=1,G997,0)</f>
        <v/>
      </c>
      <c r="U997" s="170">
        <f>$G$3</f>
        <v/>
      </c>
    </row>
    <row r="998">
      <c r="A998" s="54" t="inlineStr">
        <is>
          <t>CA SSS4</t>
        </is>
      </c>
      <c r="B998" s="54" t="inlineStr">
        <is>
          <t>CA</t>
        </is>
      </c>
      <c r="C998" s="54" t="inlineStr">
        <is>
          <t>B0DDR5K4KK</t>
        </is>
      </c>
      <c r="D998" s="54" t="inlineStr">
        <is>
          <t>SS-SATIN-SAGE-GREEN-QUEEN-4PCS</t>
        </is>
      </c>
      <c r="E998" s="54" t="inlineStr">
        <is>
          <t>Queen</t>
        </is>
      </c>
      <c r="F998" s="54" t="inlineStr">
        <is>
          <t>Sage Green</t>
        </is>
      </c>
      <c r="G998" s="55" t="n"/>
      <c r="H998" s="167" t="n"/>
      <c r="I998" s="167" t="n"/>
      <c r="J998" s="171">
        <f>IF(AND(N(G998)&gt;0,N(H998)+N(I998)&gt;0),(H998+I998)*U998/G998,"")</f>
        <v/>
      </c>
      <c r="K998" s="172" t="n">
        <v>46.95</v>
      </c>
      <c r="L998" s="172" t="n">
        <v>38.03</v>
      </c>
      <c r="M998" s="54" t="inlineStr">
        <is>
          <t>Eligible</t>
        </is>
      </c>
      <c r="N998" s="171">
        <f>IF(OR(J998="",L998=""),"",L998-J998)</f>
        <v/>
      </c>
      <c r="O998" s="169">
        <f>IF(OR(J998="",L998=""),"",L998/J998-1)</f>
        <v/>
      </c>
      <c r="P998" s="169">
        <f>IF(OR(J998="",K998=""),"",K998/J998-1)</f>
        <v/>
      </c>
      <c r="Q998" s="54">
        <f>IF(AND(ISNUMBER(J998),ISNUMBER(L998)),1,0)</f>
        <v/>
      </c>
      <c r="R998" s="69">
        <f>IF(Q998=1,G998*L998,0)</f>
        <v/>
      </c>
      <c r="S998" s="69">
        <f>IF(Q998=1,(H998+I998)*U998,0)</f>
        <v/>
      </c>
      <c r="T998" s="59">
        <f>IF(Q998=1,G998,0)</f>
        <v/>
      </c>
      <c r="U998" s="170">
        <f>$G$3</f>
        <v/>
      </c>
    </row>
    <row r="999">
      <c r="A999" s="54" t="inlineStr">
        <is>
          <t>CA SSS4</t>
        </is>
      </c>
      <c r="B999" s="54" t="inlineStr">
        <is>
          <t>CA</t>
        </is>
      </c>
      <c r="C999" s="54" t="inlineStr">
        <is>
          <t>B0DDQX4176</t>
        </is>
      </c>
      <c r="D999" s="54" t="inlineStr">
        <is>
          <t>SS-SATIN-STONE-GREY-QUEEN-4PCS</t>
        </is>
      </c>
      <c r="E999" s="54" t="inlineStr">
        <is>
          <t>Queen</t>
        </is>
      </c>
      <c r="F999" s="54" t="inlineStr">
        <is>
          <t>Stone Grey</t>
        </is>
      </c>
      <c r="G999" s="55" t="n">
        <v>0</v>
      </c>
      <c r="H999" s="167" t="n"/>
      <c r="I999" s="167" t="n"/>
      <c r="J999" s="171">
        <f>IF(AND(N(G999)&gt;0,N(H999)+N(I999)&gt;0),(H999+I999)*U999/G999,"")</f>
        <v/>
      </c>
      <c r="K999" s="172" t="n">
        <v>46.95</v>
      </c>
      <c r="L999" s="172" t="n">
        <v>42.26</v>
      </c>
      <c r="M999" s="54" t="inlineStr">
        <is>
          <t>Eligible</t>
        </is>
      </c>
      <c r="N999" s="171">
        <f>IF(OR(J999="",L999=""),"",L999-J999)</f>
        <v/>
      </c>
      <c r="O999" s="169">
        <f>IF(OR(J999="",L999=""),"",L999/J999-1)</f>
        <v/>
      </c>
      <c r="P999" s="169">
        <f>IF(OR(J999="",K999=""),"",K999/J999-1)</f>
        <v/>
      </c>
      <c r="Q999" s="54">
        <f>IF(AND(ISNUMBER(J999),ISNUMBER(L999)),1,0)</f>
        <v/>
      </c>
      <c r="R999" s="69">
        <f>IF(Q999=1,G999*L999,0)</f>
        <v/>
      </c>
      <c r="S999" s="69">
        <f>IF(Q999=1,(H999+I999)*U999,0)</f>
        <v/>
      </c>
      <c r="T999" s="59">
        <f>IF(Q999=1,G999,0)</f>
        <v/>
      </c>
      <c r="U999" s="170">
        <f>$G$3</f>
        <v/>
      </c>
    </row>
    <row r="1000">
      <c r="A1000" s="54" t="inlineStr">
        <is>
          <t>CA SSS4</t>
        </is>
      </c>
      <c r="B1000" s="54" t="inlineStr">
        <is>
          <t>CA</t>
        </is>
      </c>
      <c r="C1000" s="54" t="inlineStr">
        <is>
          <t>B0DDR3QB2L</t>
        </is>
      </c>
      <c r="D1000" s="54" t="inlineStr">
        <is>
          <t>SS-SATIN-BLUE-TWIN-3PCS</t>
        </is>
      </c>
      <c r="E1000" s="54" t="inlineStr">
        <is>
          <t>Twin</t>
        </is>
      </c>
      <c r="F1000" s="54" t="inlineStr">
        <is>
          <t>Blue</t>
        </is>
      </c>
      <c r="G1000" s="55" t="n"/>
      <c r="H1000" s="167" t="n"/>
      <c r="I1000" s="167" t="n"/>
      <c r="J1000" s="171">
        <f>IF(AND(N(G1000)&gt;0,N(H1000)+N(I1000)&gt;0),(H1000+I1000)*U1000/G1000,"")</f>
        <v/>
      </c>
      <c r="K1000" s="172" t="n">
        <v>41.95</v>
      </c>
      <c r="L1000" s="172" t="n">
        <v>37.76</v>
      </c>
      <c r="M1000" s="54" t="inlineStr">
        <is>
          <t>Eligible</t>
        </is>
      </c>
      <c r="N1000" s="171">
        <f>IF(OR(J1000="",L1000=""),"",L1000-J1000)</f>
        <v/>
      </c>
      <c r="O1000" s="169">
        <f>IF(OR(J1000="",L1000=""),"",L1000/J1000-1)</f>
        <v/>
      </c>
      <c r="P1000" s="169">
        <f>IF(OR(J1000="",K1000=""),"",K1000/J1000-1)</f>
        <v/>
      </c>
      <c r="Q1000" s="54">
        <f>IF(AND(ISNUMBER(J1000),ISNUMBER(L1000)),1,0)</f>
        <v/>
      </c>
      <c r="R1000" s="69">
        <f>IF(Q1000=1,G1000*L1000,0)</f>
        <v/>
      </c>
      <c r="S1000" s="69">
        <f>IF(Q1000=1,(H1000+I1000)*U1000,0)</f>
        <v/>
      </c>
      <c r="T1000" s="59">
        <f>IF(Q1000=1,G1000,0)</f>
        <v/>
      </c>
      <c r="U1000" s="170">
        <f>$G$3</f>
        <v/>
      </c>
    </row>
    <row r="1001">
      <c r="A1001" s="54" t="inlineStr">
        <is>
          <t>CA SSS4</t>
        </is>
      </c>
      <c r="B1001" s="54" t="inlineStr">
        <is>
          <t>CA</t>
        </is>
      </c>
      <c r="C1001" s="54" t="inlineStr">
        <is>
          <t>B0DDR3SX2D</t>
        </is>
      </c>
      <c r="D1001" s="54" t="inlineStr">
        <is>
          <t>SS-SATIN-LAVENDER-TWIN-3PCS</t>
        </is>
      </c>
      <c r="E1001" s="54" t="inlineStr">
        <is>
          <t>Twin</t>
        </is>
      </c>
      <c r="F1001" s="54" t="inlineStr">
        <is>
          <t>Lavender</t>
        </is>
      </c>
      <c r="G1001" s="55" t="n">
        <v>0</v>
      </c>
      <c r="H1001" s="167" t="n"/>
      <c r="I1001" s="167" t="n"/>
      <c r="J1001" s="171">
        <f>IF(AND(N(G1001)&gt;0,N(H1001)+N(I1001)&gt;0),(H1001+I1001)*U1001/G1001,"")</f>
        <v/>
      </c>
      <c r="K1001" s="172" t="n">
        <v>41.95</v>
      </c>
      <c r="L1001" s="172" t="n">
        <v>41.95</v>
      </c>
      <c r="M1001" s="54" t="inlineStr">
        <is>
          <t>Eligible</t>
        </is>
      </c>
      <c r="N1001" s="171">
        <f>IF(OR(J1001="",L1001=""),"",L1001-J1001)</f>
        <v/>
      </c>
      <c r="O1001" s="169">
        <f>IF(OR(J1001="",L1001=""),"",L1001/J1001-1)</f>
        <v/>
      </c>
      <c r="P1001" s="169">
        <f>IF(OR(J1001="",K1001=""),"",K1001/J1001-1)</f>
        <v/>
      </c>
      <c r="Q1001" s="54">
        <f>IF(AND(ISNUMBER(J1001),ISNUMBER(L1001)),1,0)</f>
        <v/>
      </c>
      <c r="R1001" s="69">
        <f>IF(Q1001=1,G1001*L1001,0)</f>
        <v/>
      </c>
      <c r="S1001" s="69">
        <f>IF(Q1001=1,(H1001+I1001)*U1001,0)</f>
        <v/>
      </c>
      <c r="T1001" s="59">
        <f>IF(Q1001=1,G1001,0)</f>
        <v/>
      </c>
      <c r="U1001" s="170">
        <f>$G$3</f>
        <v/>
      </c>
    </row>
    <row r="1002">
      <c r="A1002" s="54" t="inlineStr">
        <is>
          <t>CA SSS4</t>
        </is>
      </c>
      <c r="B1002" s="54" t="inlineStr">
        <is>
          <t>CA</t>
        </is>
      </c>
      <c r="C1002" s="54" t="inlineStr">
        <is>
          <t>B0DDQTZWY6</t>
        </is>
      </c>
      <c r="D1002" s="54" t="inlineStr">
        <is>
          <t>SS-SATIN-RED-TWIN-3PCS</t>
        </is>
      </c>
      <c r="E1002" s="54" t="inlineStr">
        <is>
          <t>Twin</t>
        </is>
      </c>
      <c r="F1002" s="54" t="inlineStr">
        <is>
          <t>Red</t>
        </is>
      </c>
      <c r="G1002" s="55" t="n"/>
      <c r="H1002" s="167" t="n"/>
      <c r="I1002" s="167" t="n"/>
      <c r="J1002" s="171">
        <f>IF(AND(N(G1002)&gt;0,N(H1002)+N(I1002)&gt;0),(H1002+I1002)*U1002/G1002,"")</f>
        <v/>
      </c>
      <c r="K1002" s="172" t="n">
        <v>41.95</v>
      </c>
      <c r="L1002" s="172" t="n">
        <v>37.76</v>
      </c>
      <c r="M1002" s="54" t="inlineStr">
        <is>
          <t>Eligible</t>
        </is>
      </c>
      <c r="N1002" s="171">
        <f>IF(OR(J1002="",L1002=""),"",L1002-J1002)</f>
        <v/>
      </c>
      <c r="O1002" s="169">
        <f>IF(OR(J1002="",L1002=""),"",L1002/J1002-1)</f>
        <v/>
      </c>
      <c r="P1002" s="169">
        <f>IF(OR(J1002="",K1002=""),"",K1002/J1002-1)</f>
        <v/>
      </c>
      <c r="Q1002" s="54">
        <f>IF(AND(ISNUMBER(J1002),ISNUMBER(L1002)),1,0)</f>
        <v/>
      </c>
      <c r="R1002" s="69">
        <f>IF(Q1002=1,G1002*L1002,0)</f>
        <v/>
      </c>
      <c r="S1002" s="69">
        <f>IF(Q1002=1,(H1002+I1002)*U1002,0)</f>
        <v/>
      </c>
      <c r="T1002" s="59">
        <f>IF(Q1002=1,G1002,0)</f>
        <v/>
      </c>
      <c r="U1002" s="170">
        <f>$G$3</f>
        <v/>
      </c>
    </row>
    <row r="1003">
      <c r="A1003" s="54" t="inlineStr">
        <is>
          <t>US DC Satin Fitted</t>
        </is>
      </c>
      <c r="B1003" s="54" t="inlineStr">
        <is>
          <t>US</t>
        </is>
      </c>
      <c r="C1003" s="54" t="inlineStr">
        <is>
          <t>B0DBW1PNJ8</t>
        </is>
      </c>
      <c r="D1003" s="54" t="inlineStr">
        <is>
          <t>SATIN-FITTED-QUEEN-BLACK</t>
        </is>
      </c>
      <c r="E1003" s="54" t="inlineStr">
        <is>
          <t>Queen</t>
        </is>
      </c>
      <c r="F1003" s="54" t="inlineStr">
        <is>
          <t>Black</t>
        </is>
      </c>
      <c r="G1003" s="55" t="n">
        <v>155</v>
      </c>
      <c r="H1003" s="167" t="n">
        <v>2348.25</v>
      </c>
      <c r="I1003" s="167" t="n">
        <v>0</v>
      </c>
      <c r="J1003" s="168">
        <f>IF(AND(N(G1003)&gt;0,N(H1003)+N(I1003)&gt;0),(H1003+I1003)*U1003/G1003,"")</f>
        <v/>
      </c>
      <c r="K1003" s="167" t="n">
        <v>21.95</v>
      </c>
      <c r="L1003" s="167" t="n">
        <v>20.85</v>
      </c>
      <c r="M1003" s="54" t="inlineStr">
        <is>
          <t>Eligible</t>
        </is>
      </c>
      <c r="N1003" s="168">
        <f>IF(OR(J1003="",L1003=""),"",L1003-J1003)</f>
        <v/>
      </c>
      <c r="O1003" s="169">
        <f>IF(OR(J1003="",L1003=""),"",L1003/J1003-1)</f>
        <v/>
      </c>
      <c r="P1003" s="169">
        <f>IF(OR(J1003="",K1003=""),"",K1003/J1003-1)</f>
        <v/>
      </c>
      <c r="Q1003" s="54">
        <f>IF(AND(ISNUMBER(J1003),ISNUMBER(L1003)),1,0)</f>
        <v/>
      </c>
      <c r="R1003" s="69">
        <f>IF(Q1003=1,G1003*L1003,0)</f>
        <v/>
      </c>
      <c r="S1003" s="69">
        <f>IF(Q1003=1,(H1003+I1003)*U1003,0)</f>
        <v/>
      </c>
      <c r="T1003" s="59">
        <f>IF(Q1003=1,G1003,0)</f>
        <v/>
      </c>
      <c r="U1003" s="170" t="n">
        <v>1</v>
      </c>
    </row>
    <row r="1004">
      <c r="A1004" s="54" t="inlineStr">
        <is>
          <t>US DC Satin Fitted</t>
        </is>
      </c>
      <c r="B1004" s="54" t="inlineStr">
        <is>
          <t>US</t>
        </is>
      </c>
      <c r="C1004" s="54" t="inlineStr">
        <is>
          <t>B0DBW157CR</t>
        </is>
      </c>
      <c r="D1004" s="54" t="inlineStr">
        <is>
          <t>SATIN-FITTED-QUEEN-WHITE</t>
        </is>
      </c>
      <c r="E1004" s="54" t="inlineStr">
        <is>
          <t>Queen</t>
        </is>
      </c>
      <c r="F1004" s="54" t="inlineStr">
        <is>
          <t>White</t>
        </is>
      </c>
      <c r="G1004" s="55" t="n">
        <v>120</v>
      </c>
      <c r="H1004" s="167" t="n">
        <v>1915.9</v>
      </c>
      <c r="I1004" s="167" t="n">
        <v>0</v>
      </c>
      <c r="J1004" s="168">
        <f>IF(AND(N(G1004)&gt;0,N(H1004)+N(I1004)&gt;0),(H1004+I1004)*U1004/G1004,"")</f>
        <v/>
      </c>
      <c r="K1004" s="167" t="n">
        <v>21.95</v>
      </c>
      <c r="L1004" s="167" t="n"/>
      <c r="M1004" s="54" t="inlineStr">
        <is>
          <t>Out of stock</t>
        </is>
      </c>
      <c r="N1004" s="168">
        <f>IF(OR(J1004="",L1004=""),"",L1004-J1004)</f>
        <v/>
      </c>
      <c r="O1004" s="169">
        <f>IF(OR(J1004="",L1004=""),"",L1004/J1004-1)</f>
        <v/>
      </c>
      <c r="P1004" s="169">
        <f>IF(OR(J1004="",K1004=""),"",K1004/J1004-1)</f>
        <v/>
      </c>
      <c r="Q1004" s="54">
        <f>IF(AND(ISNUMBER(J1004),ISNUMBER(L1004)),1,0)</f>
        <v/>
      </c>
      <c r="R1004" s="69">
        <f>IF(Q1004=1,G1004*L1004,0)</f>
        <v/>
      </c>
      <c r="S1004" s="69">
        <f>IF(Q1004=1,(H1004+I1004)*U1004,0)</f>
        <v/>
      </c>
      <c r="T1004" s="59">
        <f>IF(Q1004=1,G1004,0)</f>
        <v/>
      </c>
      <c r="U1004" s="170" t="n">
        <v>1</v>
      </c>
    </row>
    <row r="1005">
      <c r="A1005" s="54" t="inlineStr">
        <is>
          <t>US DC Satin Fitted</t>
        </is>
      </c>
      <c r="B1005" s="54" t="inlineStr">
        <is>
          <t>US</t>
        </is>
      </c>
      <c r="C1005" s="54" t="inlineStr">
        <is>
          <t>B0DBVYJJZ6</t>
        </is>
      </c>
      <c r="D1005" s="54" t="inlineStr">
        <is>
          <t>SATIN-FITTED-QUEEN-RED</t>
        </is>
      </c>
      <c r="E1005" s="54" t="inlineStr">
        <is>
          <t>Queen</t>
        </is>
      </c>
      <c r="F1005" s="54" t="inlineStr">
        <is>
          <t>Red</t>
        </is>
      </c>
      <c r="G1005" s="55" t="n">
        <v>114</v>
      </c>
      <c r="H1005" s="167" t="n">
        <v>1835.4</v>
      </c>
      <c r="I1005" s="167" t="n">
        <v>0</v>
      </c>
      <c r="J1005" s="168">
        <f>IF(AND(N(G1005)&gt;0,N(H1005)+N(I1005)&gt;0),(H1005+I1005)*U1005/G1005,"")</f>
        <v/>
      </c>
      <c r="K1005" s="167" t="n">
        <v>21.95</v>
      </c>
      <c r="L1005" s="167" t="n">
        <v>20.85</v>
      </c>
      <c r="M1005" s="54" t="inlineStr">
        <is>
          <t>Eligible</t>
        </is>
      </c>
      <c r="N1005" s="168">
        <f>IF(OR(J1005="",L1005=""),"",L1005-J1005)</f>
        <v/>
      </c>
      <c r="O1005" s="169">
        <f>IF(OR(J1005="",L1005=""),"",L1005/J1005-1)</f>
        <v/>
      </c>
      <c r="P1005" s="169">
        <f>IF(OR(J1005="",K1005=""),"",K1005/J1005-1)</f>
        <v/>
      </c>
      <c r="Q1005" s="54">
        <f>IF(AND(ISNUMBER(J1005),ISNUMBER(L1005)),1,0)</f>
        <v/>
      </c>
      <c r="R1005" s="69">
        <f>IF(Q1005=1,G1005*L1005,0)</f>
        <v/>
      </c>
      <c r="S1005" s="69">
        <f>IF(Q1005=1,(H1005+I1005)*U1005,0)</f>
        <v/>
      </c>
      <c r="T1005" s="59">
        <f>IF(Q1005=1,G1005,0)</f>
        <v/>
      </c>
      <c r="U1005" s="170" t="n">
        <v>1</v>
      </c>
    </row>
    <row r="1006">
      <c r="A1006" s="54" t="inlineStr">
        <is>
          <t>US DC Satin Fitted</t>
        </is>
      </c>
      <c r="B1006" s="54" t="inlineStr">
        <is>
          <t>US</t>
        </is>
      </c>
      <c r="C1006" s="54" t="inlineStr">
        <is>
          <t>B0DBW13VVR</t>
        </is>
      </c>
      <c r="D1006" s="54" t="inlineStr">
        <is>
          <t>SATIN-FITTED-KING-BLACK</t>
        </is>
      </c>
      <c r="E1006" s="54" t="inlineStr">
        <is>
          <t>King</t>
        </is>
      </c>
      <c r="F1006" s="54" t="inlineStr">
        <is>
          <t>Black</t>
        </is>
      </c>
      <c r="G1006" s="55" t="n">
        <v>81</v>
      </c>
      <c r="H1006" s="167" t="n">
        <v>1372.95</v>
      </c>
      <c r="I1006" s="167" t="n">
        <v>0</v>
      </c>
      <c r="J1006" s="168">
        <f>IF(AND(N(G1006)&gt;0,N(H1006)+N(I1006)&gt;0),(H1006+I1006)*U1006/G1006,"")</f>
        <v/>
      </c>
      <c r="K1006" s="167" t="n">
        <v>22.95</v>
      </c>
      <c r="L1006" s="167" t="n">
        <v>21.8</v>
      </c>
      <c r="M1006" s="54" t="inlineStr">
        <is>
          <t>Eligible</t>
        </is>
      </c>
      <c r="N1006" s="168">
        <f>IF(OR(J1006="",L1006=""),"",L1006-J1006)</f>
        <v/>
      </c>
      <c r="O1006" s="169">
        <f>IF(OR(J1006="",L1006=""),"",L1006/J1006-1)</f>
        <v/>
      </c>
      <c r="P1006" s="169">
        <f>IF(OR(J1006="",K1006=""),"",K1006/J1006-1)</f>
        <v/>
      </c>
      <c r="Q1006" s="54">
        <f>IF(AND(ISNUMBER(J1006),ISNUMBER(L1006)),1,0)</f>
        <v/>
      </c>
      <c r="R1006" s="69">
        <f>IF(Q1006=1,G1006*L1006,0)</f>
        <v/>
      </c>
      <c r="S1006" s="69">
        <f>IF(Q1006=1,(H1006+I1006)*U1006,0)</f>
        <v/>
      </c>
      <c r="T1006" s="59">
        <f>IF(Q1006=1,G1006,0)</f>
        <v/>
      </c>
      <c r="U1006" s="170" t="n">
        <v>1</v>
      </c>
    </row>
    <row r="1007">
      <c r="A1007" s="54" t="inlineStr">
        <is>
          <t>US DC Satin Fitted</t>
        </is>
      </c>
      <c r="B1007" s="54" t="inlineStr">
        <is>
          <t>US</t>
        </is>
      </c>
      <c r="C1007" s="54" t="inlineStr">
        <is>
          <t>B0DBW19GXY</t>
        </is>
      </c>
      <c r="D1007" s="54" t="inlineStr">
        <is>
          <t>SATIN-FITTED-QUEEN-GREY</t>
        </is>
      </c>
      <c r="E1007" s="54" t="inlineStr">
        <is>
          <t>Queen</t>
        </is>
      </c>
      <c r="F1007" s="54" t="inlineStr">
        <is>
          <t>Grey</t>
        </is>
      </c>
      <c r="G1007" s="55" t="n">
        <v>69</v>
      </c>
      <c r="H1007" s="167" t="n">
        <v>1045.35</v>
      </c>
      <c r="I1007" s="167" t="n">
        <v>0</v>
      </c>
      <c r="J1007" s="168">
        <f>IF(AND(N(G1007)&gt;0,N(H1007)+N(I1007)&gt;0),(H1007+I1007)*U1007/G1007,"")</f>
        <v/>
      </c>
      <c r="K1007" s="167" t="n">
        <v>21.95</v>
      </c>
      <c r="L1007" s="167" t="n">
        <v>20.85</v>
      </c>
      <c r="M1007" s="54" t="inlineStr">
        <is>
          <t>Eligible</t>
        </is>
      </c>
      <c r="N1007" s="168">
        <f>IF(OR(J1007="",L1007=""),"",L1007-J1007)</f>
        <v/>
      </c>
      <c r="O1007" s="169">
        <f>IF(OR(J1007="",L1007=""),"",L1007/J1007-1)</f>
        <v/>
      </c>
      <c r="P1007" s="169">
        <f>IF(OR(J1007="",K1007=""),"",K1007/J1007-1)</f>
        <v/>
      </c>
      <c r="Q1007" s="54">
        <f>IF(AND(ISNUMBER(J1007),ISNUMBER(L1007)),1,0)</f>
        <v/>
      </c>
      <c r="R1007" s="69">
        <f>IF(Q1007=1,G1007*L1007,0)</f>
        <v/>
      </c>
      <c r="S1007" s="69">
        <f>IF(Q1007=1,(H1007+I1007)*U1007,0)</f>
        <v/>
      </c>
      <c r="T1007" s="59">
        <f>IF(Q1007=1,G1007,0)</f>
        <v/>
      </c>
      <c r="U1007" s="170" t="n">
        <v>1</v>
      </c>
    </row>
    <row r="1008">
      <c r="A1008" s="54" t="inlineStr">
        <is>
          <t>US DC Satin Fitted</t>
        </is>
      </c>
      <c r="B1008" s="54" t="inlineStr">
        <is>
          <t>US</t>
        </is>
      </c>
      <c r="C1008" s="54" t="inlineStr">
        <is>
          <t>B0DBVZTM41</t>
        </is>
      </c>
      <c r="D1008" s="54" t="inlineStr">
        <is>
          <t>SATIN-FITTED-FULL-BLACK</t>
        </is>
      </c>
      <c r="E1008" s="54" t="inlineStr">
        <is>
          <t>Full</t>
        </is>
      </c>
      <c r="F1008" s="54" t="inlineStr">
        <is>
          <t>Black</t>
        </is>
      </c>
      <c r="G1008" s="55" t="n">
        <v>65</v>
      </c>
      <c r="H1008" s="167" t="n">
        <v>923</v>
      </c>
      <c r="I1008" s="167" t="n">
        <v>0</v>
      </c>
      <c r="J1008" s="168">
        <f>IF(AND(N(G1008)&gt;0,N(H1008)+N(I1008)&gt;0),(H1008+I1008)*U1008/G1008,"")</f>
        <v/>
      </c>
      <c r="K1008" s="167" t="n">
        <v>20.95</v>
      </c>
      <c r="L1008" s="167" t="n"/>
      <c r="M1008" s="54" t="inlineStr">
        <is>
          <t>Out of stock</t>
        </is>
      </c>
      <c r="N1008" s="168">
        <f>IF(OR(J1008="",L1008=""),"",L1008-J1008)</f>
        <v/>
      </c>
      <c r="O1008" s="169">
        <f>IF(OR(J1008="",L1008=""),"",L1008/J1008-1)</f>
        <v/>
      </c>
      <c r="P1008" s="169">
        <f>IF(OR(J1008="",K1008=""),"",K1008/J1008-1)</f>
        <v/>
      </c>
      <c r="Q1008" s="54">
        <f>IF(AND(ISNUMBER(J1008),ISNUMBER(L1008)),1,0)</f>
        <v/>
      </c>
      <c r="R1008" s="69">
        <f>IF(Q1008=1,G1008*L1008,0)</f>
        <v/>
      </c>
      <c r="S1008" s="69">
        <f>IF(Q1008=1,(H1008+I1008)*U1008,0)</f>
        <v/>
      </c>
      <c r="T1008" s="59">
        <f>IF(Q1008=1,G1008,0)</f>
        <v/>
      </c>
      <c r="U1008" s="170" t="n">
        <v>1</v>
      </c>
    </row>
    <row r="1009">
      <c r="A1009" s="54" t="inlineStr">
        <is>
          <t>US DC Satin Fitted</t>
        </is>
      </c>
      <c r="B1009" s="54" t="inlineStr">
        <is>
          <t>US</t>
        </is>
      </c>
      <c r="C1009" s="54" t="inlineStr">
        <is>
          <t>B0DBW1M6RN</t>
        </is>
      </c>
      <c r="D1009" s="54" t="inlineStr">
        <is>
          <t>SATIN-FITTED-KING-RED</t>
        </is>
      </c>
      <c r="E1009" s="54" t="inlineStr">
        <is>
          <t>King</t>
        </is>
      </c>
      <c r="F1009" s="54" t="inlineStr">
        <is>
          <t>Red</t>
        </is>
      </c>
      <c r="G1009" s="55" t="n">
        <v>64</v>
      </c>
      <c r="H1009" s="167" t="n">
        <v>1091.2</v>
      </c>
      <c r="I1009" s="167" t="n">
        <v>0</v>
      </c>
      <c r="J1009" s="168">
        <f>IF(AND(N(G1009)&gt;0,N(H1009)+N(I1009)&gt;0),(H1009+I1009)*U1009/G1009,"")</f>
        <v/>
      </c>
      <c r="K1009" s="167" t="n">
        <v>22.95</v>
      </c>
      <c r="L1009" s="167" t="n">
        <v>21.8</v>
      </c>
      <c r="M1009" s="54" t="inlineStr">
        <is>
          <t>Eligible</t>
        </is>
      </c>
      <c r="N1009" s="168">
        <f>IF(OR(J1009="",L1009=""),"",L1009-J1009)</f>
        <v/>
      </c>
      <c r="O1009" s="169">
        <f>IF(OR(J1009="",L1009=""),"",L1009/J1009-1)</f>
        <v/>
      </c>
      <c r="P1009" s="169">
        <f>IF(OR(J1009="",K1009=""),"",K1009/J1009-1)</f>
        <v/>
      </c>
      <c r="Q1009" s="54">
        <f>IF(AND(ISNUMBER(J1009),ISNUMBER(L1009)),1,0)</f>
        <v/>
      </c>
      <c r="R1009" s="69">
        <f>IF(Q1009=1,G1009*L1009,0)</f>
        <v/>
      </c>
      <c r="S1009" s="69">
        <f>IF(Q1009=1,(H1009+I1009)*U1009,0)</f>
        <v/>
      </c>
      <c r="T1009" s="59">
        <f>IF(Q1009=1,G1009,0)</f>
        <v/>
      </c>
      <c r="U1009" s="170" t="n">
        <v>1</v>
      </c>
    </row>
    <row r="1010">
      <c r="A1010" s="54" t="inlineStr">
        <is>
          <t>US DC Satin Fitted</t>
        </is>
      </c>
      <c r="B1010" s="54" t="inlineStr">
        <is>
          <t>US</t>
        </is>
      </c>
      <c r="C1010" s="54" t="inlineStr">
        <is>
          <t>B0DBVZQYZ7</t>
        </is>
      </c>
      <c r="D1010" s="54" t="inlineStr">
        <is>
          <t>SATIN-FITTED-QUEEN-STONE-GREY</t>
        </is>
      </c>
      <c r="E1010" s="54" t="inlineStr">
        <is>
          <t>Queen</t>
        </is>
      </c>
      <c r="F1010" s="54" t="inlineStr">
        <is>
          <t>Stone Grey</t>
        </is>
      </c>
      <c r="G1010" s="55" t="n">
        <v>60</v>
      </c>
      <c r="H1010" s="167" t="n">
        <v>966</v>
      </c>
      <c r="I1010" s="167" t="n">
        <v>0</v>
      </c>
      <c r="J1010" s="168">
        <f>IF(AND(N(G1010)&gt;0,N(H1010)+N(I1010)&gt;0),(H1010+I1010)*U1010/G1010,"")</f>
        <v/>
      </c>
      <c r="K1010" s="167" t="n">
        <v>21.95</v>
      </c>
      <c r="L1010" s="167" t="n"/>
      <c r="M1010" s="54" t="inlineStr">
        <is>
          <t>Out of stock</t>
        </is>
      </c>
      <c r="N1010" s="168">
        <f>IF(OR(J1010="",L1010=""),"",L1010-J1010)</f>
        <v/>
      </c>
      <c r="O1010" s="169">
        <f>IF(OR(J1010="",L1010=""),"",L1010/J1010-1)</f>
        <v/>
      </c>
      <c r="P1010" s="169">
        <f>IF(OR(J1010="",K1010=""),"",K1010/J1010-1)</f>
        <v/>
      </c>
      <c r="Q1010" s="54">
        <f>IF(AND(ISNUMBER(J1010),ISNUMBER(L1010)),1,0)</f>
        <v/>
      </c>
      <c r="R1010" s="69">
        <f>IF(Q1010=1,G1010*L1010,0)</f>
        <v/>
      </c>
      <c r="S1010" s="69">
        <f>IF(Q1010=1,(H1010+I1010)*U1010,0)</f>
        <v/>
      </c>
      <c r="T1010" s="59">
        <f>IF(Q1010=1,G1010,0)</f>
        <v/>
      </c>
      <c r="U1010" s="170" t="n">
        <v>1</v>
      </c>
    </row>
    <row r="1011">
      <c r="A1011" s="54" t="inlineStr">
        <is>
          <t>US DC Satin Fitted</t>
        </is>
      </c>
      <c r="B1011" s="54" t="inlineStr">
        <is>
          <t>US</t>
        </is>
      </c>
      <c r="C1011" s="54" t="inlineStr">
        <is>
          <t>B0DBW3YBV4</t>
        </is>
      </c>
      <c r="D1011" s="54" t="inlineStr">
        <is>
          <t>SATIN-FITTED-FULL-RED</t>
        </is>
      </c>
      <c r="E1011" s="54" t="inlineStr">
        <is>
          <t>Full</t>
        </is>
      </c>
      <c r="F1011" s="54" t="inlineStr">
        <is>
          <t>Red</t>
        </is>
      </c>
      <c r="G1011" s="55" t="n">
        <v>58</v>
      </c>
      <c r="H1011" s="167" t="n">
        <v>878.7</v>
      </c>
      <c r="I1011" s="167" t="n">
        <v>0</v>
      </c>
      <c r="J1011" s="168">
        <f>IF(AND(N(G1011)&gt;0,N(H1011)+N(I1011)&gt;0),(H1011+I1011)*U1011/G1011,"")</f>
        <v/>
      </c>
      <c r="K1011" s="167" t="n">
        <v>20.95</v>
      </c>
      <c r="L1011" s="167" t="n">
        <v>19.9</v>
      </c>
      <c r="M1011" s="54" t="inlineStr">
        <is>
          <t>Eligible</t>
        </is>
      </c>
      <c r="N1011" s="168">
        <f>IF(OR(J1011="",L1011=""),"",L1011-J1011)</f>
        <v/>
      </c>
      <c r="O1011" s="169">
        <f>IF(OR(J1011="",L1011=""),"",L1011/J1011-1)</f>
        <v/>
      </c>
      <c r="P1011" s="169">
        <f>IF(OR(J1011="",K1011=""),"",K1011/J1011-1)</f>
        <v/>
      </c>
      <c r="Q1011" s="54">
        <f>IF(AND(ISNUMBER(J1011),ISNUMBER(L1011)),1,0)</f>
        <v/>
      </c>
      <c r="R1011" s="69">
        <f>IF(Q1011=1,G1011*L1011,0)</f>
        <v/>
      </c>
      <c r="S1011" s="69">
        <f>IF(Q1011=1,(H1011+I1011)*U1011,0)</f>
        <v/>
      </c>
      <c r="T1011" s="59">
        <f>IF(Q1011=1,G1011,0)</f>
        <v/>
      </c>
      <c r="U1011" s="170" t="n">
        <v>1</v>
      </c>
    </row>
    <row r="1012">
      <c r="A1012" s="54" t="inlineStr">
        <is>
          <t>US DC Satin Fitted</t>
        </is>
      </c>
      <c r="B1012" s="54" t="inlineStr">
        <is>
          <t>US</t>
        </is>
      </c>
      <c r="C1012" s="54" t="inlineStr">
        <is>
          <t>B0DBW27P8P</t>
        </is>
      </c>
      <c r="D1012" s="54" t="inlineStr">
        <is>
          <t>SATIN-FITTED-FULL-WHITE</t>
        </is>
      </c>
      <c r="E1012" s="54" t="inlineStr">
        <is>
          <t>Full</t>
        </is>
      </c>
      <c r="F1012" s="54" t="inlineStr">
        <is>
          <t>White</t>
        </is>
      </c>
      <c r="G1012" s="55" t="n">
        <v>53</v>
      </c>
      <c r="H1012" s="167" t="n">
        <v>802.95</v>
      </c>
      <c r="I1012" s="167" t="n">
        <v>0</v>
      </c>
      <c r="J1012" s="168">
        <f>IF(AND(N(G1012)&gt;0,N(H1012)+N(I1012)&gt;0),(H1012+I1012)*U1012/G1012,"")</f>
        <v/>
      </c>
      <c r="K1012" s="167" t="n">
        <v>20.95</v>
      </c>
      <c r="L1012" s="167" t="n"/>
      <c r="M1012" s="54" t="inlineStr">
        <is>
          <t>Out of stock</t>
        </is>
      </c>
      <c r="N1012" s="168">
        <f>IF(OR(J1012="",L1012=""),"",L1012-J1012)</f>
        <v/>
      </c>
      <c r="O1012" s="169">
        <f>IF(OR(J1012="",L1012=""),"",L1012/J1012-1)</f>
        <v/>
      </c>
      <c r="P1012" s="169">
        <f>IF(OR(J1012="",K1012=""),"",K1012/J1012-1)</f>
        <v/>
      </c>
      <c r="Q1012" s="54">
        <f>IF(AND(ISNUMBER(J1012),ISNUMBER(L1012)),1,0)</f>
        <v/>
      </c>
      <c r="R1012" s="69">
        <f>IF(Q1012=1,G1012*L1012,0)</f>
        <v/>
      </c>
      <c r="S1012" s="69">
        <f>IF(Q1012=1,(H1012+I1012)*U1012,0)</f>
        <v/>
      </c>
      <c r="T1012" s="59">
        <f>IF(Q1012=1,G1012,0)</f>
        <v/>
      </c>
      <c r="U1012" s="170" t="n">
        <v>1</v>
      </c>
    </row>
    <row r="1013">
      <c r="A1013" s="54" t="inlineStr">
        <is>
          <t>US DC Satin Fitted</t>
        </is>
      </c>
      <c r="B1013" s="54" t="inlineStr">
        <is>
          <t>US</t>
        </is>
      </c>
      <c r="C1013" s="54" t="inlineStr">
        <is>
          <t>B0DBVYF4DM</t>
        </is>
      </c>
      <c r="D1013" s="54" t="inlineStr">
        <is>
          <t>SATIN-FITTED-KING-STONE-GREY</t>
        </is>
      </c>
      <c r="E1013" s="54" t="inlineStr">
        <is>
          <t>King</t>
        </is>
      </c>
      <c r="F1013" s="54" t="inlineStr">
        <is>
          <t>Stone Grey</t>
        </is>
      </c>
      <c r="G1013" s="55" t="n">
        <v>48</v>
      </c>
      <c r="H1013" s="167" t="n">
        <v>818.4</v>
      </c>
      <c r="I1013" s="167" t="n">
        <v>0</v>
      </c>
      <c r="J1013" s="168">
        <f>IF(AND(N(G1013)&gt;0,N(H1013)+N(I1013)&gt;0),(H1013+I1013)*U1013/G1013,"")</f>
        <v/>
      </c>
      <c r="K1013" s="167" t="n">
        <v>22.95</v>
      </c>
      <c r="L1013" s="167" t="n"/>
      <c r="M1013" s="54" t="inlineStr">
        <is>
          <t>Out of stock</t>
        </is>
      </c>
      <c r="N1013" s="168">
        <f>IF(OR(J1013="",L1013=""),"",L1013-J1013)</f>
        <v/>
      </c>
      <c r="O1013" s="169">
        <f>IF(OR(J1013="",L1013=""),"",L1013/J1013-1)</f>
        <v/>
      </c>
      <c r="P1013" s="169">
        <f>IF(OR(J1013="",K1013=""),"",K1013/J1013-1)</f>
        <v/>
      </c>
      <c r="Q1013" s="54">
        <f>IF(AND(ISNUMBER(J1013),ISNUMBER(L1013)),1,0)</f>
        <v/>
      </c>
      <c r="R1013" s="69">
        <f>IF(Q1013=1,G1013*L1013,0)</f>
        <v/>
      </c>
      <c r="S1013" s="69">
        <f>IF(Q1013=1,(H1013+I1013)*U1013,0)</f>
        <v/>
      </c>
      <c r="T1013" s="59">
        <f>IF(Q1013=1,G1013,0)</f>
        <v/>
      </c>
      <c r="U1013" s="170" t="n">
        <v>1</v>
      </c>
    </row>
    <row r="1014">
      <c r="A1014" s="54" t="inlineStr">
        <is>
          <t>US DC Satin Fitted</t>
        </is>
      </c>
      <c r="B1014" s="54" t="inlineStr">
        <is>
          <t>US</t>
        </is>
      </c>
      <c r="C1014" s="54" t="inlineStr">
        <is>
          <t>B0DBVZ1Z2R</t>
        </is>
      </c>
      <c r="D1014" s="54" t="inlineStr">
        <is>
          <t>SATIN-FITTED-KING-WHITE</t>
        </is>
      </c>
      <c r="E1014" s="54" t="inlineStr">
        <is>
          <t>King</t>
        </is>
      </c>
      <c r="F1014" s="54" t="inlineStr">
        <is>
          <t>White</t>
        </is>
      </c>
      <c r="G1014" s="55" t="n">
        <v>44</v>
      </c>
      <c r="H1014" s="167" t="n">
        <v>750.2</v>
      </c>
      <c r="I1014" s="167" t="n">
        <v>0</v>
      </c>
      <c r="J1014" s="168">
        <f>IF(AND(N(G1014)&gt;0,N(H1014)+N(I1014)&gt;0),(H1014+I1014)*U1014/G1014,"")</f>
        <v/>
      </c>
      <c r="K1014" s="167" t="n">
        <v>22.95</v>
      </c>
      <c r="L1014" s="167" t="n">
        <v>21.8</v>
      </c>
      <c r="M1014" s="54" t="inlineStr">
        <is>
          <t>Eligible</t>
        </is>
      </c>
      <c r="N1014" s="168">
        <f>IF(OR(J1014="",L1014=""),"",L1014-J1014)</f>
        <v/>
      </c>
      <c r="O1014" s="169">
        <f>IF(OR(J1014="",L1014=""),"",L1014/J1014-1)</f>
        <v/>
      </c>
      <c r="P1014" s="169">
        <f>IF(OR(J1014="",K1014=""),"",K1014/J1014-1)</f>
        <v/>
      </c>
      <c r="Q1014" s="54">
        <f>IF(AND(ISNUMBER(J1014),ISNUMBER(L1014)),1,0)</f>
        <v/>
      </c>
      <c r="R1014" s="69">
        <f>IF(Q1014=1,G1014*L1014,0)</f>
        <v/>
      </c>
      <c r="S1014" s="69">
        <f>IF(Q1014=1,(H1014+I1014)*U1014,0)</f>
        <v/>
      </c>
      <c r="T1014" s="59">
        <f>IF(Q1014=1,G1014,0)</f>
        <v/>
      </c>
      <c r="U1014" s="170" t="n">
        <v>1</v>
      </c>
    </row>
    <row r="1015">
      <c r="A1015" s="54" t="inlineStr">
        <is>
          <t>US DC Satin Fitted</t>
        </is>
      </c>
      <c r="B1015" s="54" t="inlineStr">
        <is>
          <t>US</t>
        </is>
      </c>
      <c r="C1015" s="54" t="inlineStr">
        <is>
          <t>B0DBW19662</t>
        </is>
      </c>
      <c r="D1015" s="54" t="inlineStr">
        <is>
          <t>SATIN-FITTED-QUEEN-BABY-BLUE</t>
        </is>
      </c>
      <c r="E1015" s="54" t="inlineStr">
        <is>
          <t>Queen</t>
        </is>
      </c>
      <c r="F1015" s="54" t="inlineStr">
        <is>
          <t>Baby Blue</t>
        </is>
      </c>
      <c r="G1015" s="55" t="n">
        <v>40</v>
      </c>
      <c r="H1015" s="167" t="n">
        <v>644</v>
      </c>
      <c r="I1015" s="167" t="n">
        <v>0</v>
      </c>
      <c r="J1015" s="168">
        <f>IF(AND(N(G1015)&gt;0,N(H1015)+N(I1015)&gt;0),(H1015+I1015)*U1015/G1015,"")</f>
        <v/>
      </c>
      <c r="K1015" s="167" t="n">
        <v>21.95</v>
      </c>
      <c r="L1015" s="167" t="n"/>
      <c r="M1015" s="54" t="inlineStr">
        <is>
          <t>Out of stock</t>
        </is>
      </c>
      <c r="N1015" s="168">
        <f>IF(OR(J1015="",L1015=""),"",L1015-J1015)</f>
        <v/>
      </c>
      <c r="O1015" s="169">
        <f>IF(OR(J1015="",L1015=""),"",L1015/J1015-1)</f>
        <v/>
      </c>
      <c r="P1015" s="169">
        <f>IF(OR(J1015="",K1015=""),"",K1015/J1015-1)</f>
        <v/>
      </c>
      <c r="Q1015" s="54">
        <f>IF(AND(ISNUMBER(J1015),ISNUMBER(L1015)),1,0)</f>
        <v/>
      </c>
      <c r="R1015" s="69">
        <f>IF(Q1015=1,G1015*L1015,0)</f>
        <v/>
      </c>
      <c r="S1015" s="69">
        <f>IF(Q1015=1,(H1015+I1015)*U1015,0)</f>
        <v/>
      </c>
      <c r="T1015" s="59">
        <f>IF(Q1015=1,G1015,0)</f>
        <v/>
      </c>
      <c r="U1015" s="170" t="n">
        <v>1</v>
      </c>
    </row>
    <row r="1016">
      <c r="A1016" s="54" t="inlineStr">
        <is>
          <t>US DC Satin Fitted</t>
        </is>
      </c>
      <c r="B1016" s="54" t="inlineStr">
        <is>
          <t>US</t>
        </is>
      </c>
      <c r="C1016" s="54" t="inlineStr">
        <is>
          <t>B0DBW47GVG</t>
        </is>
      </c>
      <c r="D1016" s="54" t="inlineStr">
        <is>
          <t>SATIN-FITTED-QUEEN-PINK</t>
        </is>
      </c>
      <c r="E1016" s="54" t="inlineStr">
        <is>
          <t>Queen</t>
        </is>
      </c>
      <c r="F1016" s="54" t="inlineStr">
        <is>
          <t>Pink</t>
        </is>
      </c>
      <c r="G1016" s="55" t="n">
        <v>40</v>
      </c>
      <c r="H1016" s="167" t="n">
        <v>576.4</v>
      </c>
      <c r="I1016" s="167" t="n">
        <v>0</v>
      </c>
      <c r="J1016" s="168">
        <f>IF(AND(N(G1016)&gt;0,N(H1016)+N(I1016)&gt;0),(H1016+I1016)*U1016/G1016,"")</f>
        <v/>
      </c>
      <c r="K1016" s="167" t="n">
        <v>21.95</v>
      </c>
      <c r="L1016" s="167" t="n">
        <v>20.85</v>
      </c>
      <c r="M1016" s="54" t="inlineStr">
        <is>
          <t>Eligible</t>
        </is>
      </c>
      <c r="N1016" s="168">
        <f>IF(OR(J1016="",L1016=""),"",L1016-J1016)</f>
        <v/>
      </c>
      <c r="O1016" s="169">
        <f>IF(OR(J1016="",L1016=""),"",L1016/J1016-1)</f>
        <v/>
      </c>
      <c r="P1016" s="169">
        <f>IF(OR(J1016="",K1016=""),"",K1016/J1016-1)</f>
        <v/>
      </c>
      <c r="Q1016" s="54">
        <f>IF(AND(ISNUMBER(J1016),ISNUMBER(L1016)),1,0)</f>
        <v/>
      </c>
      <c r="R1016" s="69">
        <f>IF(Q1016=1,G1016*L1016,0)</f>
        <v/>
      </c>
      <c r="S1016" s="69">
        <f>IF(Q1016=1,(H1016+I1016)*U1016,0)</f>
        <v/>
      </c>
      <c r="T1016" s="59">
        <f>IF(Q1016=1,G1016,0)</f>
        <v/>
      </c>
      <c r="U1016" s="170" t="n">
        <v>1</v>
      </c>
    </row>
    <row r="1017">
      <c r="A1017" s="54" t="inlineStr">
        <is>
          <t>US DC Satin Fitted</t>
        </is>
      </c>
      <c r="B1017" s="54" t="inlineStr">
        <is>
          <t>US</t>
        </is>
      </c>
      <c r="C1017" s="54" t="inlineStr">
        <is>
          <t>B0DBW17ZJP</t>
        </is>
      </c>
      <c r="D1017" s="54" t="inlineStr">
        <is>
          <t>SATIN-FITTED-FULL-GREY</t>
        </is>
      </c>
      <c r="E1017" s="54" t="inlineStr">
        <is>
          <t>Full</t>
        </is>
      </c>
      <c r="F1017" s="54" t="inlineStr">
        <is>
          <t>Grey</t>
        </is>
      </c>
      <c r="G1017" s="55" t="n">
        <v>35</v>
      </c>
      <c r="H1017" s="167" t="n">
        <v>497</v>
      </c>
      <c r="I1017" s="167" t="n">
        <v>0</v>
      </c>
      <c r="J1017" s="168">
        <f>IF(AND(N(G1017)&gt;0,N(H1017)+N(I1017)&gt;0),(H1017+I1017)*U1017/G1017,"")</f>
        <v/>
      </c>
      <c r="K1017" s="167" t="n">
        <v>20.95</v>
      </c>
      <c r="L1017" s="167" t="n">
        <v>19.9</v>
      </c>
      <c r="M1017" s="54" t="inlineStr">
        <is>
          <t>Eligible</t>
        </is>
      </c>
      <c r="N1017" s="168">
        <f>IF(OR(J1017="",L1017=""),"",L1017-J1017)</f>
        <v/>
      </c>
      <c r="O1017" s="169">
        <f>IF(OR(J1017="",L1017=""),"",L1017/J1017-1)</f>
        <v/>
      </c>
      <c r="P1017" s="169">
        <f>IF(OR(J1017="",K1017=""),"",K1017/J1017-1)</f>
        <v/>
      </c>
      <c r="Q1017" s="54">
        <f>IF(AND(ISNUMBER(J1017),ISNUMBER(L1017)),1,0)</f>
        <v/>
      </c>
      <c r="R1017" s="69">
        <f>IF(Q1017=1,G1017*L1017,0)</f>
        <v/>
      </c>
      <c r="S1017" s="69">
        <f>IF(Q1017=1,(H1017+I1017)*U1017,0)</f>
        <v/>
      </c>
      <c r="T1017" s="59">
        <f>IF(Q1017=1,G1017,0)</f>
        <v/>
      </c>
      <c r="U1017" s="170" t="n">
        <v>1</v>
      </c>
    </row>
    <row r="1018">
      <c r="A1018" s="54" t="inlineStr">
        <is>
          <t>US DC Satin Fitted</t>
        </is>
      </c>
      <c r="B1018" s="54" t="inlineStr">
        <is>
          <t>US</t>
        </is>
      </c>
      <c r="C1018" s="54" t="inlineStr">
        <is>
          <t>B0DBVY2YWN</t>
        </is>
      </c>
      <c r="D1018" s="54" t="inlineStr">
        <is>
          <t>SATIN-FITTED-KING-BABY-BLUE</t>
        </is>
      </c>
      <c r="E1018" s="54" t="inlineStr">
        <is>
          <t>King</t>
        </is>
      </c>
      <c r="F1018" s="54" t="inlineStr">
        <is>
          <t>Baby Blue</t>
        </is>
      </c>
      <c r="G1018" s="55" t="n">
        <v>35</v>
      </c>
      <c r="H1018" s="167" t="n">
        <v>534.1</v>
      </c>
      <c r="I1018" s="167" t="n">
        <v>0</v>
      </c>
      <c r="J1018" s="168">
        <f>IF(AND(N(G1018)&gt;0,N(H1018)+N(I1018)&gt;0),(H1018+I1018)*U1018/G1018,"")</f>
        <v/>
      </c>
      <c r="K1018" s="167" t="n">
        <v>22.95</v>
      </c>
      <c r="L1018" s="167" t="n"/>
      <c r="M1018" s="54" t="inlineStr">
        <is>
          <t>Out of stock</t>
        </is>
      </c>
      <c r="N1018" s="168">
        <f>IF(OR(J1018="",L1018=""),"",L1018-J1018)</f>
        <v/>
      </c>
      <c r="O1018" s="169">
        <f>IF(OR(J1018="",L1018=""),"",L1018/J1018-1)</f>
        <v/>
      </c>
      <c r="P1018" s="169">
        <f>IF(OR(J1018="",K1018=""),"",K1018/J1018-1)</f>
        <v/>
      </c>
      <c r="Q1018" s="54">
        <f>IF(AND(ISNUMBER(J1018),ISNUMBER(L1018)),1,0)</f>
        <v/>
      </c>
      <c r="R1018" s="69">
        <f>IF(Q1018=1,G1018*L1018,0)</f>
        <v/>
      </c>
      <c r="S1018" s="69">
        <f>IF(Q1018=1,(H1018+I1018)*U1018,0)</f>
        <v/>
      </c>
      <c r="T1018" s="59">
        <f>IF(Q1018=1,G1018,0)</f>
        <v/>
      </c>
      <c r="U1018" s="170" t="n">
        <v>1</v>
      </c>
    </row>
    <row r="1019">
      <c r="A1019" s="54" t="inlineStr">
        <is>
          <t>US DC Satin Fitted</t>
        </is>
      </c>
      <c r="B1019" s="54" t="inlineStr">
        <is>
          <t>US</t>
        </is>
      </c>
      <c r="C1019" s="54" t="inlineStr">
        <is>
          <t>B0DBVZPPJ6</t>
        </is>
      </c>
      <c r="D1019" s="54" t="inlineStr">
        <is>
          <t>SATIN-FITTED-QUEEN-PURPLE</t>
        </is>
      </c>
      <c r="E1019" s="54" t="inlineStr">
        <is>
          <t>Queen</t>
        </is>
      </c>
      <c r="F1019" s="54" t="inlineStr">
        <is>
          <t>Purple</t>
        </is>
      </c>
      <c r="G1019" s="55" t="n">
        <v>33</v>
      </c>
      <c r="H1019" s="167" t="n">
        <v>475.53</v>
      </c>
      <c r="I1019" s="167" t="n">
        <v>0</v>
      </c>
      <c r="J1019" s="168">
        <f>IF(AND(N(G1019)&gt;0,N(H1019)+N(I1019)&gt;0),(H1019+I1019)*U1019/G1019,"")</f>
        <v/>
      </c>
      <c r="K1019" s="167" t="n">
        <v>21.95</v>
      </c>
      <c r="L1019" s="167" t="n">
        <v>20.85</v>
      </c>
      <c r="M1019" s="54" t="inlineStr">
        <is>
          <t>Eligible</t>
        </is>
      </c>
      <c r="N1019" s="168">
        <f>IF(OR(J1019="",L1019=""),"",L1019-J1019)</f>
        <v/>
      </c>
      <c r="O1019" s="169">
        <f>IF(OR(J1019="",L1019=""),"",L1019/J1019-1)</f>
        <v/>
      </c>
      <c r="P1019" s="169">
        <f>IF(OR(J1019="",K1019=""),"",K1019/J1019-1)</f>
        <v/>
      </c>
      <c r="Q1019" s="54">
        <f>IF(AND(ISNUMBER(J1019),ISNUMBER(L1019)),1,0)</f>
        <v/>
      </c>
      <c r="R1019" s="69">
        <f>IF(Q1019=1,G1019*L1019,0)</f>
        <v/>
      </c>
      <c r="S1019" s="69">
        <f>IF(Q1019=1,(H1019+I1019)*U1019,0)</f>
        <v/>
      </c>
      <c r="T1019" s="59">
        <f>IF(Q1019=1,G1019,0)</f>
        <v/>
      </c>
      <c r="U1019" s="170" t="n">
        <v>1</v>
      </c>
    </row>
    <row r="1020">
      <c r="A1020" s="54" t="inlineStr">
        <is>
          <t>US DC Satin Fitted</t>
        </is>
      </c>
      <c r="B1020" s="54" t="inlineStr">
        <is>
          <t>US</t>
        </is>
      </c>
      <c r="C1020" s="54" t="inlineStr">
        <is>
          <t>B0DBW336HD</t>
        </is>
      </c>
      <c r="D1020" s="54" t="inlineStr">
        <is>
          <t>SATIN-FITTED-KING-NAVY-BLUE</t>
        </is>
      </c>
      <c r="E1020" s="54" t="inlineStr">
        <is>
          <t>King</t>
        </is>
      </c>
      <c r="F1020" s="54" t="inlineStr">
        <is>
          <t>Navy Blue</t>
        </is>
      </c>
      <c r="G1020" s="55" t="n">
        <v>31</v>
      </c>
      <c r="H1020" s="167" t="n">
        <v>528.55</v>
      </c>
      <c r="I1020" s="167" t="n">
        <v>0</v>
      </c>
      <c r="J1020" s="168">
        <f>IF(AND(N(G1020)&gt;0,N(H1020)+N(I1020)&gt;0),(H1020+I1020)*U1020/G1020,"")</f>
        <v/>
      </c>
      <c r="K1020" s="167" t="n">
        <v>22.95</v>
      </c>
      <c r="L1020" s="167" t="n">
        <v>21.8</v>
      </c>
      <c r="M1020" s="54" t="inlineStr">
        <is>
          <t>Eligible</t>
        </is>
      </c>
      <c r="N1020" s="168">
        <f>IF(OR(J1020="",L1020=""),"",L1020-J1020)</f>
        <v/>
      </c>
      <c r="O1020" s="169">
        <f>IF(OR(J1020="",L1020=""),"",L1020/J1020-1)</f>
        <v/>
      </c>
      <c r="P1020" s="169">
        <f>IF(OR(J1020="",K1020=""),"",K1020/J1020-1)</f>
        <v/>
      </c>
      <c r="Q1020" s="54">
        <f>IF(AND(ISNUMBER(J1020),ISNUMBER(L1020)),1,0)</f>
        <v/>
      </c>
      <c r="R1020" s="69">
        <f>IF(Q1020=1,G1020*L1020,0)</f>
        <v/>
      </c>
      <c r="S1020" s="69">
        <f>IF(Q1020=1,(H1020+I1020)*U1020,0)</f>
        <v/>
      </c>
      <c r="T1020" s="59">
        <f>IF(Q1020=1,G1020,0)</f>
        <v/>
      </c>
      <c r="U1020" s="170" t="n">
        <v>1</v>
      </c>
    </row>
    <row r="1021">
      <c r="A1021" s="54" t="inlineStr">
        <is>
          <t>US DC Satin Fitted</t>
        </is>
      </c>
      <c r="B1021" s="54" t="inlineStr">
        <is>
          <t>US</t>
        </is>
      </c>
      <c r="C1021" s="54" t="inlineStr">
        <is>
          <t>B0DBVZBSHL</t>
        </is>
      </c>
      <c r="D1021" s="54" t="inlineStr">
        <is>
          <t>SATIN-FITTED-KING-SEA-TEAL</t>
        </is>
      </c>
      <c r="E1021" s="54" t="inlineStr">
        <is>
          <t>King</t>
        </is>
      </c>
      <c r="F1021" s="54" t="inlineStr">
        <is>
          <t>Sea Teal</t>
        </is>
      </c>
      <c r="G1021" s="55" t="n">
        <v>31</v>
      </c>
      <c r="H1021" s="167" t="n">
        <v>473.06</v>
      </c>
      <c r="I1021" s="167" t="n">
        <v>0</v>
      </c>
      <c r="J1021" s="168">
        <f>IF(AND(N(G1021)&gt;0,N(H1021)+N(I1021)&gt;0),(H1021+I1021)*U1021/G1021,"")</f>
        <v/>
      </c>
      <c r="K1021" s="167" t="n">
        <v>22.95</v>
      </c>
      <c r="L1021" s="167" t="n"/>
      <c r="M1021" s="54" t="inlineStr">
        <is>
          <t>Out of stock</t>
        </is>
      </c>
      <c r="N1021" s="168">
        <f>IF(OR(J1021="",L1021=""),"",L1021-J1021)</f>
        <v/>
      </c>
      <c r="O1021" s="169">
        <f>IF(OR(J1021="",L1021=""),"",L1021/J1021-1)</f>
        <v/>
      </c>
      <c r="P1021" s="169">
        <f>IF(OR(J1021="",K1021=""),"",K1021/J1021-1)</f>
        <v/>
      </c>
      <c r="Q1021" s="54">
        <f>IF(AND(ISNUMBER(J1021),ISNUMBER(L1021)),1,0)</f>
        <v/>
      </c>
      <c r="R1021" s="69">
        <f>IF(Q1021=1,G1021*L1021,0)</f>
        <v/>
      </c>
      <c r="S1021" s="69">
        <f>IF(Q1021=1,(H1021+I1021)*U1021,0)</f>
        <v/>
      </c>
      <c r="T1021" s="59">
        <f>IF(Q1021=1,G1021,0)</f>
        <v/>
      </c>
      <c r="U1021" s="170" t="n">
        <v>1</v>
      </c>
    </row>
    <row r="1022">
      <c r="A1022" s="54" t="inlineStr">
        <is>
          <t>US DC Satin Fitted</t>
        </is>
      </c>
      <c r="B1022" s="54" t="inlineStr">
        <is>
          <t>US</t>
        </is>
      </c>
      <c r="C1022" s="54" t="inlineStr">
        <is>
          <t>B0DBW128WH</t>
        </is>
      </c>
      <c r="D1022" s="54" t="inlineStr">
        <is>
          <t>SATIN-FITTED-QUEEN-IVORY</t>
        </is>
      </c>
      <c r="E1022" s="54" t="inlineStr">
        <is>
          <t>Queen</t>
        </is>
      </c>
      <c r="F1022" s="54" t="inlineStr">
        <is>
          <t>Ivory</t>
        </is>
      </c>
      <c r="G1022" s="55" t="n">
        <v>31</v>
      </c>
      <c r="H1022" s="167" t="n">
        <v>499.1</v>
      </c>
      <c r="I1022" s="167" t="n">
        <v>0</v>
      </c>
      <c r="J1022" s="168">
        <f>IF(AND(N(G1022)&gt;0,N(H1022)+N(I1022)&gt;0),(H1022+I1022)*U1022/G1022,"")</f>
        <v/>
      </c>
      <c r="K1022" s="167" t="n">
        <v>21.95</v>
      </c>
      <c r="L1022" s="167" t="n"/>
      <c r="M1022" s="54" t="inlineStr">
        <is>
          <t>Out of stock</t>
        </is>
      </c>
      <c r="N1022" s="168">
        <f>IF(OR(J1022="",L1022=""),"",L1022-J1022)</f>
        <v/>
      </c>
      <c r="O1022" s="169">
        <f>IF(OR(J1022="",L1022=""),"",L1022/J1022-1)</f>
        <v/>
      </c>
      <c r="P1022" s="169">
        <f>IF(OR(J1022="",K1022=""),"",K1022/J1022-1)</f>
        <v/>
      </c>
      <c r="Q1022" s="54">
        <f>IF(AND(ISNUMBER(J1022),ISNUMBER(L1022)),1,0)</f>
        <v/>
      </c>
      <c r="R1022" s="69">
        <f>IF(Q1022=1,G1022*L1022,0)</f>
        <v/>
      </c>
      <c r="S1022" s="69">
        <f>IF(Q1022=1,(H1022+I1022)*U1022,0)</f>
        <v/>
      </c>
      <c r="T1022" s="59">
        <f>IF(Q1022=1,G1022,0)</f>
        <v/>
      </c>
      <c r="U1022" s="170" t="n">
        <v>1</v>
      </c>
    </row>
    <row r="1023">
      <c r="A1023" s="54" t="inlineStr">
        <is>
          <t>US DC Satin Fitted</t>
        </is>
      </c>
      <c r="B1023" s="54" t="inlineStr">
        <is>
          <t>US</t>
        </is>
      </c>
      <c r="C1023" s="54" t="inlineStr">
        <is>
          <t>B0DBVZKXNX</t>
        </is>
      </c>
      <c r="D1023" s="54" t="inlineStr">
        <is>
          <t>SATIN-FITTED-KING-ROSEWOOD</t>
        </is>
      </c>
      <c r="E1023" s="54" t="inlineStr">
        <is>
          <t>King</t>
        </is>
      </c>
      <c r="F1023" s="54" t="inlineStr">
        <is>
          <t>Rosewood</t>
        </is>
      </c>
      <c r="G1023" s="55" t="n">
        <v>30</v>
      </c>
      <c r="H1023" s="167" t="n">
        <v>442.54</v>
      </c>
      <c r="I1023" s="167" t="n">
        <v>0</v>
      </c>
      <c r="J1023" s="168">
        <f>IF(AND(N(G1023)&gt;0,N(H1023)+N(I1023)&gt;0),(H1023+I1023)*U1023/G1023,"")</f>
        <v/>
      </c>
      <c r="K1023" s="167" t="n">
        <v>22.95</v>
      </c>
      <c r="L1023" s="167" t="n">
        <v>21.8</v>
      </c>
      <c r="M1023" s="54" t="inlineStr">
        <is>
          <t>Eligible</t>
        </is>
      </c>
      <c r="N1023" s="168">
        <f>IF(OR(J1023="",L1023=""),"",L1023-J1023)</f>
        <v/>
      </c>
      <c r="O1023" s="169">
        <f>IF(OR(J1023="",L1023=""),"",L1023/J1023-1)</f>
        <v/>
      </c>
      <c r="P1023" s="169">
        <f>IF(OR(J1023="",K1023=""),"",K1023/J1023-1)</f>
        <v/>
      </c>
      <c r="Q1023" s="54">
        <f>IF(AND(ISNUMBER(J1023),ISNUMBER(L1023)),1,0)</f>
        <v/>
      </c>
      <c r="R1023" s="69">
        <f>IF(Q1023=1,G1023*L1023,0)</f>
        <v/>
      </c>
      <c r="S1023" s="69">
        <f>IF(Q1023=1,(H1023+I1023)*U1023,0)</f>
        <v/>
      </c>
      <c r="T1023" s="59">
        <f>IF(Q1023=1,G1023,0)</f>
        <v/>
      </c>
      <c r="U1023" s="170" t="n">
        <v>1</v>
      </c>
    </row>
    <row r="1024">
      <c r="A1024" s="54" t="inlineStr">
        <is>
          <t>US DC Satin Fitted</t>
        </is>
      </c>
      <c r="B1024" s="54" t="inlineStr">
        <is>
          <t>US</t>
        </is>
      </c>
      <c r="C1024" s="54" t="inlineStr">
        <is>
          <t>B0DBW151XC</t>
        </is>
      </c>
      <c r="D1024" s="54" t="inlineStr">
        <is>
          <t>SATIN-FITTED-QUEEN-DARK-GREEN</t>
        </is>
      </c>
      <c r="E1024" s="54" t="inlineStr">
        <is>
          <t>Queen</t>
        </is>
      </c>
      <c r="F1024" s="54" t="inlineStr">
        <is>
          <t>Dark Green</t>
        </is>
      </c>
      <c r="G1024" s="55" t="n">
        <v>29</v>
      </c>
      <c r="H1024" s="167" t="n">
        <v>466.9</v>
      </c>
      <c r="I1024" s="167" t="n">
        <v>0</v>
      </c>
      <c r="J1024" s="168">
        <f>IF(AND(N(G1024)&gt;0,N(H1024)+N(I1024)&gt;0),(H1024+I1024)*U1024/G1024,"")</f>
        <v/>
      </c>
      <c r="K1024" s="167" t="n">
        <v>21.95</v>
      </c>
      <c r="L1024" s="167" t="n">
        <v>20.85</v>
      </c>
      <c r="M1024" s="54" t="inlineStr">
        <is>
          <t>Eligible</t>
        </is>
      </c>
      <c r="N1024" s="168">
        <f>IF(OR(J1024="",L1024=""),"",L1024-J1024)</f>
        <v/>
      </c>
      <c r="O1024" s="169">
        <f>IF(OR(J1024="",L1024=""),"",L1024/J1024-1)</f>
        <v/>
      </c>
      <c r="P1024" s="169">
        <f>IF(OR(J1024="",K1024=""),"",K1024/J1024-1)</f>
        <v/>
      </c>
      <c r="Q1024" s="54">
        <f>IF(AND(ISNUMBER(J1024),ISNUMBER(L1024)),1,0)</f>
        <v/>
      </c>
      <c r="R1024" s="69">
        <f>IF(Q1024=1,G1024*L1024,0)</f>
        <v/>
      </c>
      <c r="S1024" s="69">
        <f>IF(Q1024=1,(H1024+I1024)*U1024,0)</f>
        <v/>
      </c>
      <c r="T1024" s="59">
        <f>IF(Q1024=1,G1024,0)</f>
        <v/>
      </c>
      <c r="U1024" s="170" t="n">
        <v>1</v>
      </c>
    </row>
    <row r="1025">
      <c r="A1025" s="54" t="inlineStr">
        <is>
          <t>US DC Satin Fitted</t>
        </is>
      </c>
      <c r="B1025" s="54" t="inlineStr">
        <is>
          <t>US</t>
        </is>
      </c>
      <c r="C1025" s="54" t="inlineStr">
        <is>
          <t>B0DBW2HZBF</t>
        </is>
      </c>
      <c r="D1025" s="54" t="inlineStr">
        <is>
          <t>SATIN-FITTED-QUEEN-ROSEWOOD</t>
        </is>
      </c>
      <c r="E1025" s="54" t="inlineStr">
        <is>
          <t>Queen</t>
        </is>
      </c>
      <c r="F1025" s="54" t="inlineStr">
        <is>
          <t>Rosewood</t>
        </is>
      </c>
      <c r="G1025" s="55" t="n">
        <v>28</v>
      </c>
      <c r="H1025" s="167" t="n">
        <v>450.8</v>
      </c>
      <c r="I1025" s="167" t="n">
        <v>0</v>
      </c>
      <c r="J1025" s="168">
        <f>IF(AND(N(G1025)&gt;0,N(H1025)+N(I1025)&gt;0),(H1025+I1025)*U1025/G1025,"")</f>
        <v/>
      </c>
      <c r="K1025" s="167" t="n">
        <v>21.95</v>
      </c>
      <c r="L1025" s="167" t="n"/>
      <c r="M1025" s="54" t="inlineStr">
        <is>
          <t>Out of stock</t>
        </is>
      </c>
      <c r="N1025" s="168">
        <f>IF(OR(J1025="",L1025=""),"",L1025-J1025)</f>
        <v/>
      </c>
      <c r="O1025" s="169">
        <f>IF(OR(J1025="",L1025=""),"",L1025/J1025-1)</f>
        <v/>
      </c>
      <c r="P1025" s="169">
        <f>IF(OR(J1025="",K1025=""),"",K1025/J1025-1)</f>
        <v/>
      </c>
      <c r="Q1025" s="54">
        <f>IF(AND(ISNUMBER(J1025),ISNUMBER(L1025)),1,0)</f>
        <v/>
      </c>
      <c r="R1025" s="69">
        <f>IF(Q1025=1,G1025*L1025,0)</f>
        <v/>
      </c>
      <c r="S1025" s="69">
        <f>IF(Q1025=1,(H1025+I1025)*U1025,0)</f>
        <v/>
      </c>
      <c r="T1025" s="59">
        <f>IF(Q1025=1,G1025,0)</f>
        <v/>
      </c>
      <c r="U1025" s="170" t="n">
        <v>1</v>
      </c>
    </row>
    <row r="1026">
      <c r="A1026" s="54" t="inlineStr">
        <is>
          <t>US DC Satin Fitted</t>
        </is>
      </c>
      <c r="B1026" s="54" t="inlineStr">
        <is>
          <t>US</t>
        </is>
      </c>
      <c r="C1026" s="54" t="inlineStr">
        <is>
          <t>B0DBW1NX31</t>
        </is>
      </c>
      <c r="D1026" s="54" t="inlineStr">
        <is>
          <t>SATIN-FITTED-QUEEN-SAGE-GREEN</t>
        </is>
      </c>
      <c r="E1026" s="54" t="inlineStr">
        <is>
          <t>Queen</t>
        </is>
      </c>
      <c r="F1026" s="54" t="inlineStr">
        <is>
          <t>Sage Green</t>
        </is>
      </c>
      <c r="G1026" s="55" t="n">
        <v>28</v>
      </c>
      <c r="H1026" s="167" t="n">
        <v>450.8</v>
      </c>
      <c r="I1026" s="167" t="n">
        <v>0</v>
      </c>
      <c r="J1026" s="168">
        <f>IF(AND(N(G1026)&gt;0,N(H1026)+N(I1026)&gt;0),(H1026+I1026)*U1026/G1026,"")</f>
        <v/>
      </c>
      <c r="K1026" s="167" t="n">
        <v>21.95</v>
      </c>
      <c r="L1026" s="167" t="n">
        <v>20.85</v>
      </c>
      <c r="M1026" s="54" t="inlineStr">
        <is>
          <t>Eligible</t>
        </is>
      </c>
      <c r="N1026" s="168">
        <f>IF(OR(J1026="",L1026=""),"",L1026-J1026)</f>
        <v/>
      </c>
      <c r="O1026" s="169">
        <f>IF(OR(J1026="",L1026=""),"",L1026/J1026-1)</f>
        <v/>
      </c>
      <c r="P1026" s="169">
        <f>IF(OR(J1026="",K1026=""),"",K1026/J1026-1)</f>
        <v/>
      </c>
      <c r="Q1026" s="54">
        <f>IF(AND(ISNUMBER(J1026),ISNUMBER(L1026)),1,0)</f>
        <v/>
      </c>
      <c r="R1026" s="69">
        <f>IF(Q1026=1,G1026*L1026,0)</f>
        <v/>
      </c>
      <c r="S1026" s="69">
        <f>IF(Q1026=1,(H1026+I1026)*U1026,0)</f>
        <v/>
      </c>
      <c r="T1026" s="59">
        <f>IF(Q1026=1,G1026,0)</f>
        <v/>
      </c>
      <c r="U1026" s="170" t="n">
        <v>1</v>
      </c>
    </row>
    <row r="1027">
      <c r="A1027" s="54" t="inlineStr">
        <is>
          <t>US DC Satin Fitted</t>
        </is>
      </c>
      <c r="B1027" s="54" t="inlineStr">
        <is>
          <t>US</t>
        </is>
      </c>
      <c r="C1027" s="54" t="inlineStr">
        <is>
          <t>B0DBVZJTGS</t>
        </is>
      </c>
      <c r="D1027" s="54" t="inlineStr">
        <is>
          <t>SATIN-FITTED-KING-PURPLE</t>
        </is>
      </c>
      <c r="E1027" s="54" t="inlineStr">
        <is>
          <t>King</t>
        </is>
      </c>
      <c r="F1027" s="54" t="inlineStr">
        <is>
          <t>Purple</t>
        </is>
      </c>
      <c r="G1027" s="55" t="n">
        <v>26</v>
      </c>
      <c r="H1027" s="167" t="n">
        <v>396.76</v>
      </c>
      <c r="I1027" s="167" t="n">
        <v>0</v>
      </c>
      <c r="J1027" s="168">
        <f>IF(AND(N(G1027)&gt;0,N(H1027)+N(I1027)&gt;0),(H1027+I1027)*U1027/G1027,"")</f>
        <v/>
      </c>
      <c r="K1027" s="167" t="n">
        <v>22.95</v>
      </c>
      <c r="L1027" s="167" t="n">
        <v>21.8</v>
      </c>
      <c r="M1027" s="54" t="inlineStr">
        <is>
          <t>Eligible</t>
        </is>
      </c>
      <c r="N1027" s="168">
        <f>IF(OR(J1027="",L1027=""),"",L1027-J1027)</f>
        <v/>
      </c>
      <c r="O1027" s="169">
        <f>IF(OR(J1027="",L1027=""),"",L1027/J1027-1)</f>
        <v/>
      </c>
      <c r="P1027" s="169">
        <f>IF(OR(J1027="",K1027=""),"",K1027/J1027-1)</f>
        <v/>
      </c>
      <c r="Q1027" s="54">
        <f>IF(AND(ISNUMBER(J1027),ISNUMBER(L1027)),1,0)</f>
        <v/>
      </c>
      <c r="R1027" s="69">
        <f>IF(Q1027=1,G1027*L1027,0)</f>
        <v/>
      </c>
      <c r="S1027" s="69">
        <f>IF(Q1027=1,(H1027+I1027)*U1027,0)</f>
        <v/>
      </c>
      <c r="T1027" s="59">
        <f>IF(Q1027=1,G1027,0)</f>
        <v/>
      </c>
      <c r="U1027" s="170" t="n">
        <v>1</v>
      </c>
    </row>
    <row r="1028">
      <c r="A1028" s="54" t="inlineStr">
        <is>
          <t>US DC Satin Fitted</t>
        </is>
      </c>
      <c r="B1028" s="54" t="inlineStr">
        <is>
          <t>US</t>
        </is>
      </c>
      <c r="C1028" s="54" t="inlineStr">
        <is>
          <t>B0DBVY6P25</t>
        </is>
      </c>
      <c r="D1028" s="54" t="inlineStr">
        <is>
          <t>SATIN-FITTED-KING-GREY</t>
        </is>
      </c>
      <c r="E1028" s="54" t="inlineStr">
        <is>
          <t>King</t>
        </is>
      </c>
      <c r="F1028" s="54" t="inlineStr">
        <is>
          <t>Grey</t>
        </is>
      </c>
      <c r="G1028" s="55" t="n">
        <v>25</v>
      </c>
      <c r="H1028" s="167" t="n">
        <v>402.5</v>
      </c>
      <c r="I1028" s="167" t="n">
        <v>0</v>
      </c>
      <c r="J1028" s="168">
        <f>IF(AND(N(G1028)&gt;0,N(H1028)+N(I1028)&gt;0),(H1028+I1028)*U1028/G1028,"")</f>
        <v/>
      </c>
      <c r="K1028" s="167" t="n">
        <v>22.95</v>
      </c>
      <c r="L1028" s="167" t="n"/>
      <c r="M1028" s="54" t="inlineStr">
        <is>
          <t>Out of stock</t>
        </is>
      </c>
      <c r="N1028" s="168">
        <f>IF(OR(J1028="",L1028=""),"",L1028-J1028)</f>
        <v/>
      </c>
      <c r="O1028" s="169">
        <f>IF(OR(J1028="",L1028=""),"",L1028/J1028-1)</f>
        <v/>
      </c>
      <c r="P1028" s="169">
        <f>IF(OR(J1028="",K1028=""),"",K1028/J1028-1)</f>
        <v/>
      </c>
      <c r="Q1028" s="54">
        <f>IF(AND(ISNUMBER(J1028),ISNUMBER(L1028)),1,0)</f>
        <v/>
      </c>
      <c r="R1028" s="69">
        <f>IF(Q1028=1,G1028*L1028,0)</f>
        <v/>
      </c>
      <c r="S1028" s="69">
        <f>IF(Q1028=1,(H1028+I1028)*U1028,0)</f>
        <v/>
      </c>
      <c r="T1028" s="59">
        <f>IF(Q1028=1,G1028,0)</f>
        <v/>
      </c>
      <c r="U1028" s="170" t="n">
        <v>1</v>
      </c>
    </row>
    <row r="1029">
      <c r="A1029" s="54" t="inlineStr">
        <is>
          <t>US DC Satin Fitted</t>
        </is>
      </c>
      <c r="B1029" s="54" t="inlineStr">
        <is>
          <t>US</t>
        </is>
      </c>
      <c r="C1029" s="54" t="inlineStr">
        <is>
          <t>B0DBVZZZ7B</t>
        </is>
      </c>
      <c r="D1029" s="54" t="inlineStr">
        <is>
          <t>SATIN-FITTED-FULL-STONE-GREY</t>
        </is>
      </c>
      <c r="E1029" s="54" t="inlineStr">
        <is>
          <t>Full</t>
        </is>
      </c>
      <c r="F1029" s="54" t="inlineStr">
        <is>
          <t>Stone Grey</t>
        </is>
      </c>
      <c r="G1029" s="55" t="n">
        <v>24</v>
      </c>
      <c r="H1029" s="167" t="n">
        <v>382.8</v>
      </c>
      <c r="I1029" s="167" t="n">
        <v>0</v>
      </c>
      <c r="J1029" s="168">
        <f>IF(AND(N(G1029)&gt;0,N(H1029)+N(I1029)&gt;0),(H1029+I1029)*U1029/G1029,"")</f>
        <v/>
      </c>
      <c r="K1029" s="167" t="n">
        <v>20.95</v>
      </c>
      <c r="L1029" s="167" t="n">
        <v>19.9</v>
      </c>
      <c r="M1029" s="54" t="inlineStr">
        <is>
          <t>Eligible</t>
        </is>
      </c>
      <c r="N1029" s="168">
        <f>IF(OR(J1029="",L1029=""),"",L1029-J1029)</f>
        <v/>
      </c>
      <c r="O1029" s="169">
        <f>IF(OR(J1029="",L1029=""),"",L1029/J1029-1)</f>
        <v/>
      </c>
      <c r="P1029" s="169">
        <f>IF(OR(J1029="",K1029=""),"",K1029/J1029-1)</f>
        <v/>
      </c>
      <c r="Q1029" s="54">
        <f>IF(AND(ISNUMBER(J1029),ISNUMBER(L1029)),1,0)</f>
        <v/>
      </c>
      <c r="R1029" s="69">
        <f>IF(Q1029=1,G1029*L1029,0)</f>
        <v/>
      </c>
      <c r="S1029" s="69">
        <f>IF(Q1029=1,(H1029+I1029)*U1029,0)</f>
        <v/>
      </c>
      <c r="T1029" s="59">
        <f>IF(Q1029=1,G1029,0)</f>
        <v/>
      </c>
      <c r="U1029" s="170" t="n">
        <v>1</v>
      </c>
    </row>
    <row r="1030">
      <c r="A1030" s="54" t="inlineStr">
        <is>
          <t>US DC Satin Fitted</t>
        </is>
      </c>
      <c r="B1030" s="54" t="inlineStr">
        <is>
          <t>US</t>
        </is>
      </c>
      <c r="C1030" s="54" t="inlineStr">
        <is>
          <t>B0DBW6FFG1</t>
        </is>
      </c>
      <c r="D1030" s="54" t="inlineStr">
        <is>
          <t>SATIN-FITTED-KING-GOLD</t>
        </is>
      </c>
      <c r="E1030" s="54" t="inlineStr">
        <is>
          <t>King</t>
        </is>
      </c>
      <c r="F1030" s="54" t="inlineStr">
        <is>
          <t>Gold</t>
        </is>
      </c>
      <c r="G1030" s="55" t="n">
        <v>23</v>
      </c>
      <c r="H1030" s="167" t="n">
        <v>350.98</v>
      </c>
      <c r="I1030" s="167" t="n">
        <v>0</v>
      </c>
      <c r="J1030" s="168">
        <f>IF(AND(N(G1030)&gt;0,N(H1030)+N(I1030)&gt;0),(H1030+I1030)*U1030/G1030,"")</f>
        <v/>
      </c>
      <c r="K1030" s="167" t="n">
        <v>22.95</v>
      </c>
      <c r="L1030" s="167" t="n">
        <v>21.8</v>
      </c>
      <c r="M1030" s="54" t="inlineStr">
        <is>
          <t>Eligible</t>
        </is>
      </c>
      <c r="N1030" s="168">
        <f>IF(OR(J1030="",L1030=""),"",L1030-J1030)</f>
        <v/>
      </c>
      <c r="O1030" s="169">
        <f>IF(OR(J1030="",L1030=""),"",L1030/J1030-1)</f>
        <v/>
      </c>
      <c r="P1030" s="169">
        <f>IF(OR(J1030="",K1030=""),"",K1030/J1030-1)</f>
        <v/>
      </c>
      <c r="Q1030" s="54">
        <f>IF(AND(ISNUMBER(J1030),ISNUMBER(L1030)),1,0)</f>
        <v/>
      </c>
      <c r="R1030" s="69">
        <f>IF(Q1030=1,G1030*L1030,0)</f>
        <v/>
      </c>
      <c r="S1030" s="69">
        <f>IF(Q1030=1,(H1030+I1030)*U1030,0)</f>
        <v/>
      </c>
      <c r="T1030" s="59">
        <f>IF(Q1030=1,G1030,0)</f>
        <v/>
      </c>
      <c r="U1030" s="170" t="n">
        <v>1</v>
      </c>
    </row>
    <row r="1031">
      <c r="A1031" s="54" t="inlineStr">
        <is>
          <t>US DC Satin Fitted</t>
        </is>
      </c>
      <c r="B1031" s="54" t="inlineStr">
        <is>
          <t>US</t>
        </is>
      </c>
      <c r="C1031" s="54" t="inlineStr">
        <is>
          <t>B0DBW47GVH</t>
        </is>
      </c>
      <c r="D1031" s="54" t="inlineStr">
        <is>
          <t>SATIN-FITTED-QUEEN-LAVENDER</t>
        </is>
      </c>
      <c r="E1031" s="54" t="inlineStr">
        <is>
          <t>Queen</t>
        </is>
      </c>
      <c r="F1031" s="54" t="inlineStr">
        <is>
          <t>Lavender</t>
        </is>
      </c>
      <c r="G1031" s="55" t="n">
        <v>23</v>
      </c>
      <c r="H1031" s="167" t="n">
        <v>389.85</v>
      </c>
      <c r="I1031" s="167" t="n">
        <v>0</v>
      </c>
      <c r="J1031" s="168">
        <f>IF(AND(N(G1031)&gt;0,N(H1031)+N(I1031)&gt;0),(H1031+I1031)*U1031/G1031,"")</f>
        <v/>
      </c>
      <c r="K1031" s="167" t="n">
        <v>21.95</v>
      </c>
      <c r="L1031" s="167" t="n">
        <v>20.85</v>
      </c>
      <c r="M1031" s="54" t="inlineStr">
        <is>
          <t>Eligible</t>
        </is>
      </c>
      <c r="N1031" s="168">
        <f>IF(OR(J1031="",L1031=""),"",L1031-J1031)</f>
        <v/>
      </c>
      <c r="O1031" s="169">
        <f>IF(OR(J1031="",L1031=""),"",L1031/J1031-1)</f>
        <v/>
      </c>
      <c r="P1031" s="169">
        <f>IF(OR(J1031="",K1031=""),"",K1031/J1031-1)</f>
        <v/>
      </c>
      <c r="Q1031" s="54">
        <f>IF(AND(ISNUMBER(J1031),ISNUMBER(L1031)),1,0)</f>
        <v/>
      </c>
      <c r="R1031" s="69">
        <f>IF(Q1031=1,G1031*L1031,0)</f>
        <v/>
      </c>
      <c r="S1031" s="69">
        <f>IF(Q1031=1,(H1031+I1031)*U1031,0)</f>
        <v/>
      </c>
      <c r="T1031" s="59">
        <f>IF(Q1031=1,G1031,0)</f>
        <v/>
      </c>
      <c r="U1031" s="170" t="n">
        <v>1</v>
      </c>
    </row>
    <row r="1032">
      <c r="A1032" s="54" t="inlineStr">
        <is>
          <t>US DC Satin Fitted</t>
        </is>
      </c>
      <c r="B1032" s="54" t="inlineStr">
        <is>
          <t>US</t>
        </is>
      </c>
      <c r="C1032" s="54" t="inlineStr">
        <is>
          <t>B0DBVZYXY9</t>
        </is>
      </c>
      <c r="D1032" s="54" t="inlineStr">
        <is>
          <t>SATIN-FITTED-QUEEN-NAVY-BLUE</t>
        </is>
      </c>
      <c r="E1032" s="54" t="inlineStr">
        <is>
          <t>Queen</t>
        </is>
      </c>
      <c r="F1032" s="54" t="inlineStr">
        <is>
          <t>Navy Blue</t>
        </is>
      </c>
      <c r="G1032" s="55" t="n">
        <v>23</v>
      </c>
      <c r="H1032" s="167" t="n">
        <v>412.85</v>
      </c>
      <c r="I1032" s="167" t="n">
        <v>0</v>
      </c>
      <c r="J1032" s="168">
        <f>IF(AND(N(G1032)&gt;0,N(H1032)+N(I1032)&gt;0),(H1032+I1032)*U1032/G1032,"")</f>
        <v/>
      </c>
      <c r="K1032" s="167" t="n">
        <v>21.95</v>
      </c>
      <c r="L1032" s="167" t="n">
        <v>20.85</v>
      </c>
      <c r="M1032" s="54" t="inlineStr">
        <is>
          <t>Eligible</t>
        </is>
      </c>
      <c r="N1032" s="168">
        <f>IF(OR(J1032="",L1032=""),"",L1032-J1032)</f>
        <v/>
      </c>
      <c r="O1032" s="169">
        <f>IF(OR(J1032="",L1032=""),"",L1032/J1032-1)</f>
        <v/>
      </c>
      <c r="P1032" s="169">
        <f>IF(OR(J1032="",K1032=""),"",K1032/J1032-1)</f>
        <v/>
      </c>
      <c r="Q1032" s="54">
        <f>IF(AND(ISNUMBER(J1032),ISNUMBER(L1032)),1,0)</f>
        <v/>
      </c>
      <c r="R1032" s="69">
        <f>IF(Q1032=1,G1032*L1032,0)</f>
        <v/>
      </c>
      <c r="S1032" s="69">
        <f>IF(Q1032=1,(H1032+I1032)*U1032,0)</f>
        <v/>
      </c>
      <c r="T1032" s="59">
        <f>IF(Q1032=1,G1032,0)</f>
        <v/>
      </c>
      <c r="U1032" s="170" t="n">
        <v>1</v>
      </c>
    </row>
    <row r="1033">
      <c r="A1033" s="54" t="inlineStr">
        <is>
          <t>US DC Satin Fitted</t>
        </is>
      </c>
      <c r="B1033" s="54" t="inlineStr">
        <is>
          <t>US</t>
        </is>
      </c>
      <c r="C1033" s="54" t="inlineStr">
        <is>
          <t>B0DBW1NVHF</t>
        </is>
      </c>
      <c r="D1033" s="54" t="inlineStr">
        <is>
          <t>SATIN-FITTED-QUEEN-SEA-TEAL</t>
        </is>
      </c>
      <c r="E1033" s="54" t="inlineStr">
        <is>
          <t>Queen</t>
        </is>
      </c>
      <c r="F1033" s="54" t="inlineStr">
        <is>
          <t>Sea Teal</t>
        </is>
      </c>
      <c r="G1033" s="55" t="n">
        <v>23</v>
      </c>
      <c r="H1033" s="167" t="n">
        <v>370.3</v>
      </c>
      <c r="I1033" s="167" t="n">
        <v>0</v>
      </c>
      <c r="J1033" s="168">
        <f>IF(AND(N(G1033)&gt;0,N(H1033)+N(I1033)&gt;0),(H1033+I1033)*U1033/G1033,"")</f>
        <v/>
      </c>
      <c r="K1033" s="167" t="n">
        <v>21.95</v>
      </c>
      <c r="L1033" s="167" t="n"/>
      <c r="M1033" s="54" t="inlineStr">
        <is>
          <t>Out of stock</t>
        </is>
      </c>
      <c r="N1033" s="168">
        <f>IF(OR(J1033="",L1033=""),"",L1033-J1033)</f>
        <v/>
      </c>
      <c r="O1033" s="169">
        <f>IF(OR(J1033="",L1033=""),"",L1033/J1033-1)</f>
        <v/>
      </c>
      <c r="P1033" s="169">
        <f>IF(OR(J1033="",K1033=""),"",K1033/J1033-1)</f>
        <v/>
      </c>
      <c r="Q1033" s="54">
        <f>IF(AND(ISNUMBER(J1033),ISNUMBER(L1033)),1,0)</f>
        <v/>
      </c>
      <c r="R1033" s="69">
        <f>IF(Q1033=1,G1033*L1033,0)</f>
        <v/>
      </c>
      <c r="S1033" s="69">
        <f>IF(Q1033=1,(H1033+I1033)*U1033,0)</f>
        <v/>
      </c>
      <c r="T1033" s="59">
        <f>IF(Q1033=1,G1033,0)</f>
        <v/>
      </c>
      <c r="U1033" s="170" t="n">
        <v>1</v>
      </c>
    </row>
    <row r="1034">
      <c r="A1034" s="54" t="inlineStr">
        <is>
          <t>US DC Satin Fitted</t>
        </is>
      </c>
      <c r="B1034" s="54" t="inlineStr">
        <is>
          <t>US</t>
        </is>
      </c>
      <c r="C1034" s="54" t="inlineStr">
        <is>
          <t>B0DBW1FRHC</t>
        </is>
      </c>
      <c r="D1034" s="54" t="inlineStr">
        <is>
          <t>SATIN-FITTED-TWIN-RED</t>
        </is>
      </c>
      <c r="E1034" s="54" t="inlineStr">
        <is>
          <t>Twin</t>
        </is>
      </c>
      <c r="F1034" s="54" t="inlineStr">
        <is>
          <t>Red</t>
        </is>
      </c>
      <c r="G1034" s="55" t="n">
        <v>22</v>
      </c>
      <c r="H1034" s="167" t="n">
        <v>312.4</v>
      </c>
      <c r="I1034" s="167" t="n">
        <v>0</v>
      </c>
      <c r="J1034" s="168">
        <f>IF(AND(N(G1034)&gt;0,N(H1034)+N(I1034)&gt;0),(H1034+I1034)*U1034/G1034,"")</f>
        <v/>
      </c>
      <c r="K1034" s="167" t="n">
        <v>19.95</v>
      </c>
      <c r="L1034" s="167" t="n">
        <v>18.95</v>
      </c>
      <c r="M1034" s="54" t="inlineStr">
        <is>
          <t>Eligible</t>
        </is>
      </c>
      <c r="N1034" s="168">
        <f>IF(OR(J1034="",L1034=""),"",L1034-J1034)</f>
        <v/>
      </c>
      <c r="O1034" s="169">
        <f>IF(OR(J1034="",L1034=""),"",L1034/J1034-1)</f>
        <v/>
      </c>
      <c r="P1034" s="169">
        <f>IF(OR(J1034="",K1034=""),"",K1034/J1034-1)</f>
        <v/>
      </c>
      <c r="Q1034" s="54">
        <f>IF(AND(ISNUMBER(J1034),ISNUMBER(L1034)),1,0)</f>
        <v/>
      </c>
      <c r="R1034" s="69">
        <f>IF(Q1034=1,G1034*L1034,0)</f>
        <v/>
      </c>
      <c r="S1034" s="69">
        <f>IF(Q1034=1,(H1034+I1034)*U1034,0)</f>
        <v/>
      </c>
      <c r="T1034" s="59">
        <f>IF(Q1034=1,G1034,0)</f>
        <v/>
      </c>
      <c r="U1034" s="170" t="n">
        <v>1</v>
      </c>
    </row>
    <row r="1035">
      <c r="A1035" s="54" t="inlineStr">
        <is>
          <t>US DC Satin Fitted</t>
        </is>
      </c>
      <c r="B1035" s="54" t="inlineStr">
        <is>
          <t>US</t>
        </is>
      </c>
      <c r="C1035" s="54" t="inlineStr">
        <is>
          <t>B0DBVZGV7Z</t>
        </is>
      </c>
      <c r="D1035" s="54" t="inlineStr">
        <is>
          <t>SATIN-FITTED-KING-SAGE-GREEN</t>
        </is>
      </c>
      <c r="E1035" s="54" t="inlineStr">
        <is>
          <t>King</t>
        </is>
      </c>
      <c r="F1035" s="54" t="inlineStr">
        <is>
          <t>Sage Green</t>
        </is>
      </c>
      <c r="G1035" s="55" t="n">
        <v>20</v>
      </c>
      <c r="H1035" s="167" t="n">
        <v>305.2</v>
      </c>
      <c r="I1035" s="167" t="n">
        <v>0</v>
      </c>
      <c r="J1035" s="168">
        <f>IF(AND(N(G1035)&gt;0,N(H1035)+N(I1035)&gt;0),(H1035+I1035)*U1035/G1035,"")</f>
        <v/>
      </c>
      <c r="K1035" s="167" t="n">
        <v>22.95</v>
      </c>
      <c r="L1035" s="167" t="n">
        <v>21.8</v>
      </c>
      <c r="M1035" s="54" t="inlineStr">
        <is>
          <t>Eligible</t>
        </is>
      </c>
      <c r="N1035" s="168">
        <f>IF(OR(J1035="",L1035=""),"",L1035-J1035)</f>
        <v/>
      </c>
      <c r="O1035" s="169">
        <f>IF(OR(J1035="",L1035=""),"",L1035/J1035-1)</f>
        <v/>
      </c>
      <c r="P1035" s="169">
        <f>IF(OR(J1035="",K1035=""),"",K1035/J1035-1)</f>
        <v/>
      </c>
      <c r="Q1035" s="54">
        <f>IF(AND(ISNUMBER(J1035),ISNUMBER(L1035)),1,0)</f>
        <v/>
      </c>
      <c r="R1035" s="69">
        <f>IF(Q1035=1,G1035*L1035,0)</f>
        <v/>
      </c>
      <c r="S1035" s="69">
        <f>IF(Q1035=1,(H1035+I1035)*U1035,0)</f>
        <v/>
      </c>
      <c r="T1035" s="59">
        <f>IF(Q1035=1,G1035,0)</f>
        <v/>
      </c>
      <c r="U1035" s="170" t="n">
        <v>1</v>
      </c>
    </row>
    <row r="1036">
      <c r="A1036" s="54" t="inlineStr">
        <is>
          <t>US DC Satin Fitted</t>
        </is>
      </c>
      <c r="B1036" s="54" t="inlineStr">
        <is>
          <t>US</t>
        </is>
      </c>
      <c r="C1036" s="54" t="inlineStr">
        <is>
          <t>B0DBW2GW4S</t>
        </is>
      </c>
      <c r="D1036" s="54" t="inlineStr">
        <is>
          <t>SATIN-FITTED-FULL-IVORY</t>
        </is>
      </c>
      <c r="E1036" s="54" t="inlineStr">
        <is>
          <t>Full</t>
        </is>
      </c>
      <c r="F1036" s="54" t="inlineStr">
        <is>
          <t>Ivory</t>
        </is>
      </c>
      <c r="G1036" s="55" t="n">
        <v>19</v>
      </c>
      <c r="H1036" s="167" t="n">
        <v>257.64</v>
      </c>
      <c r="I1036" s="167" t="n">
        <v>0</v>
      </c>
      <c r="J1036" s="168">
        <f>IF(AND(N(G1036)&gt;0,N(H1036)+N(I1036)&gt;0),(H1036+I1036)*U1036/G1036,"")</f>
        <v/>
      </c>
      <c r="K1036" s="167" t="n">
        <v>20.95</v>
      </c>
      <c r="L1036" s="167" t="n">
        <v>19.9</v>
      </c>
      <c r="M1036" s="54" t="inlineStr">
        <is>
          <t>Eligible</t>
        </is>
      </c>
      <c r="N1036" s="168">
        <f>IF(OR(J1036="",L1036=""),"",L1036-J1036)</f>
        <v/>
      </c>
      <c r="O1036" s="169">
        <f>IF(OR(J1036="",L1036=""),"",L1036/J1036-1)</f>
        <v/>
      </c>
      <c r="P1036" s="169">
        <f>IF(OR(J1036="",K1036=""),"",K1036/J1036-1)</f>
        <v/>
      </c>
      <c r="Q1036" s="54">
        <f>IF(AND(ISNUMBER(J1036),ISNUMBER(L1036)),1,0)</f>
        <v/>
      </c>
      <c r="R1036" s="69">
        <f>IF(Q1036=1,G1036*L1036,0)</f>
        <v/>
      </c>
      <c r="S1036" s="69">
        <f>IF(Q1036=1,(H1036+I1036)*U1036,0)</f>
        <v/>
      </c>
      <c r="T1036" s="59">
        <f>IF(Q1036=1,G1036,0)</f>
        <v/>
      </c>
      <c r="U1036" s="170" t="n">
        <v>1</v>
      </c>
    </row>
    <row r="1037">
      <c r="A1037" s="54" t="inlineStr">
        <is>
          <t>US DC Satin Fitted</t>
        </is>
      </c>
      <c r="B1037" s="54" t="inlineStr">
        <is>
          <t>US</t>
        </is>
      </c>
      <c r="C1037" s="54" t="inlineStr">
        <is>
          <t>B0DBVZBLDK</t>
        </is>
      </c>
      <c r="D1037" s="54" t="inlineStr">
        <is>
          <t>SATIN-FITTED-QUEEN-BLUSH-PINK</t>
        </is>
      </c>
      <c r="E1037" s="54" t="inlineStr">
        <is>
          <t>Queen</t>
        </is>
      </c>
      <c r="F1037" s="54" t="inlineStr">
        <is>
          <t>Blush Pink</t>
        </is>
      </c>
      <c r="G1037" s="55" t="n">
        <v>19</v>
      </c>
      <c r="H1037" s="167" t="n">
        <v>303.05</v>
      </c>
      <c r="I1037" s="167" t="n">
        <v>0</v>
      </c>
      <c r="J1037" s="168">
        <f>IF(AND(N(G1037)&gt;0,N(H1037)+N(I1037)&gt;0),(H1037+I1037)*U1037/G1037,"")</f>
        <v/>
      </c>
      <c r="K1037" s="167" t="n">
        <v>21.95</v>
      </c>
      <c r="L1037" s="167" t="n">
        <v>20.85</v>
      </c>
      <c r="M1037" s="54" t="inlineStr">
        <is>
          <t>Eligible</t>
        </is>
      </c>
      <c r="N1037" s="168">
        <f>IF(OR(J1037="",L1037=""),"",L1037-J1037)</f>
        <v/>
      </c>
      <c r="O1037" s="169">
        <f>IF(OR(J1037="",L1037=""),"",L1037/J1037-1)</f>
        <v/>
      </c>
      <c r="P1037" s="169">
        <f>IF(OR(J1037="",K1037=""),"",K1037/J1037-1)</f>
        <v/>
      </c>
      <c r="Q1037" s="54">
        <f>IF(AND(ISNUMBER(J1037),ISNUMBER(L1037)),1,0)</f>
        <v/>
      </c>
      <c r="R1037" s="69">
        <f>IF(Q1037=1,G1037*L1037,0)</f>
        <v/>
      </c>
      <c r="S1037" s="69">
        <f>IF(Q1037=1,(H1037+I1037)*U1037,0)</f>
        <v/>
      </c>
      <c r="T1037" s="59">
        <f>IF(Q1037=1,G1037,0)</f>
        <v/>
      </c>
      <c r="U1037" s="170" t="n">
        <v>1</v>
      </c>
    </row>
    <row r="1038">
      <c r="A1038" s="54" t="inlineStr">
        <is>
          <t>US DC Satin Fitted</t>
        </is>
      </c>
      <c r="B1038" s="54" t="inlineStr">
        <is>
          <t>US</t>
        </is>
      </c>
      <c r="C1038" s="54" t="inlineStr">
        <is>
          <t>B0DBVZV66D</t>
        </is>
      </c>
      <c r="D1038" s="54" t="inlineStr">
        <is>
          <t>SATIN-FITTED-FULL-BABY-BLUE</t>
        </is>
      </c>
      <c r="E1038" s="54" t="inlineStr">
        <is>
          <t>Full</t>
        </is>
      </c>
      <c r="F1038" s="54" t="inlineStr">
        <is>
          <t>Baby Blue</t>
        </is>
      </c>
      <c r="G1038" s="55" t="n">
        <v>16</v>
      </c>
      <c r="H1038" s="167" t="n">
        <v>242.4</v>
      </c>
      <c r="I1038" s="167" t="n">
        <v>0</v>
      </c>
      <c r="J1038" s="168">
        <f>IF(AND(N(G1038)&gt;0,N(H1038)+N(I1038)&gt;0),(H1038+I1038)*U1038/G1038,"")</f>
        <v/>
      </c>
      <c r="K1038" s="167" t="n">
        <v>20.95</v>
      </c>
      <c r="L1038" s="167" t="n">
        <v>19.9</v>
      </c>
      <c r="M1038" s="54" t="inlineStr">
        <is>
          <t>Eligible</t>
        </is>
      </c>
      <c r="N1038" s="168">
        <f>IF(OR(J1038="",L1038=""),"",L1038-J1038)</f>
        <v/>
      </c>
      <c r="O1038" s="169">
        <f>IF(OR(J1038="",L1038=""),"",L1038/J1038-1)</f>
        <v/>
      </c>
      <c r="P1038" s="169">
        <f>IF(OR(J1038="",K1038=""),"",K1038/J1038-1)</f>
        <v/>
      </c>
      <c r="Q1038" s="54">
        <f>IF(AND(ISNUMBER(J1038),ISNUMBER(L1038)),1,0)</f>
        <v/>
      </c>
      <c r="R1038" s="69">
        <f>IF(Q1038=1,G1038*L1038,0)</f>
        <v/>
      </c>
      <c r="S1038" s="69">
        <f>IF(Q1038=1,(H1038+I1038)*U1038,0)</f>
        <v/>
      </c>
      <c r="T1038" s="59">
        <f>IF(Q1038=1,G1038,0)</f>
        <v/>
      </c>
      <c r="U1038" s="170" t="n">
        <v>1</v>
      </c>
    </row>
    <row r="1039">
      <c r="A1039" s="54" t="inlineStr">
        <is>
          <t>US DC Satin Fitted</t>
        </is>
      </c>
      <c r="B1039" s="54" t="inlineStr">
        <is>
          <t>US</t>
        </is>
      </c>
      <c r="C1039" s="54" t="inlineStr">
        <is>
          <t>B0DBVZNLSM</t>
        </is>
      </c>
      <c r="D1039" s="54" t="inlineStr">
        <is>
          <t>SATIN-FITTED-FULL-BLUSH-PINK</t>
        </is>
      </c>
      <c r="E1039" s="54" t="inlineStr">
        <is>
          <t>Full</t>
        </is>
      </c>
      <c r="F1039" s="54" t="inlineStr">
        <is>
          <t>Blush Pink</t>
        </is>
      </c>
      <c r="G1039" s="55" t="n">
        <v>16</v>
      </c>
      <c r="H1039" s="167" t="n">
        <v>216.96</v>
      </c>
      <c r="I1039" s="167" t="n">
        <v>0</v>
      </c>
      <c r="J1039" s="168">
        <f>IF(AND(N(G1039)&gt;0,N(H1039)+N(I1039)&gt;0),(H1039+I1039)*U1039/G1039,"")</f>
        <v/>
      </c>
      <c r="K1039" s="167" t="n">
        <v>20.95</v>
      </c>
      <c r="L1039" s="167" t="n">
        <v>19.9</v>
      </c>
      <c r="M1039" s="54" t="inlineStr">
        <is>
          <t>Eligible</t>
        </is>
      </c>
      <c r="N1039" s="168">
        <f>IF(OR(J1039="",L1039=""),"",L1039-J1039)</f>
        <v/>
      </c>
      <c r="O1039" s="169">
        <f>IF(OR(J1039="",L1039=""),"",L1039/J1039-1)</f>
        <v/>
      </c>
      <c r="P1039" s="169">
        <f>IF(OR(J1039="",K1039=""),"",K1039/J1039-1)</f>
        <v/>
      </c>
      <c r="Q1039" s="54">
        <f>IF(AND(ISNUMBER(J1039),ISNUMBER(L1039)),1,0)</f>
        <v/>
      </c>
      <c r="R1039" s="69">
        <f>IF(Q1039=1,G1039*L1039,0)</f>
        <v/>
      </c>
      <c r="S1039" s="69">
        <f>IF(Q1039=1,(H1039+I1039)*U1039,0)</f>
        <v/>
      </c>
      <c r="T1039" s="59">
        <f>IF(Q1039=1,G1039,0)</f>
        <v/>
      </c>
      <c r="U1039" s="170" t="n">
        <v>1</v>
      </c>
    </row>
    <row r="1040">
      <c r="A1040" s="54" t="inlineStr">
        <is>
          <t>US DC Satin Fitted</t>
        </is>
      </c>
      <c r="B1040" s="54" t="inlineStr">
        <is>
          <t>US</t>
        </is>
      </c>
      <c r="C1040" s="54" t="inlineStr">
        <is>
          <t>B0DBVZSNZ4</t>
        </is>
      </c>
      <c r="D1040" s="54" t="inlineStr">
        <is>
          <t>SATIN-FITTED-TWIN-WHITE</t>
        </is>
      </c>
      <c r="E1040" s="54" t="inlineStr">
        <is>
          <t>Twin</t>
        </is>
      </c>
      <c r="F1040" s="54" t="inlineStr">
        <is>
          <t>White</t>
        </is>
      </c>
      <c r="G1040" s="55" t="n">
        <v>16</v>
      </c>
      <c r="H1040" s="167" t="n">
        <v>227.2</v>
      </c>
      <c r="I1040" s="167" t="n">
        <v>0</v>
      </c>
      <c r="J1040" s="168">
        <f>IF(AND(N(G1040)&gt;0,N(H1040)+N(I1040)&gt;0),(H1040+I1040)*U1040/G1040,"")</f>
        <v/>
      </c>
      <c r="K1040" s="167" t="n">
        <v>19.95</v>
      </c>
      <c r="L1040" s="167" t="n">
        <v>18.95</v>
      </c>
      <c r="M1040" s="54" t="inlineStr">
        <is>
          <t>Eligible</t>
        </is>
      </c>
      <c r="N1040" s="168">
        <f>IF(OR(J1040="",L1040=""),"",L1040-J1040)</f>
        <v/>
      </c>
      <c r="O1040" s="169">
        <f>IF(OR(J1040="",L1040=""),"",L1040/J1040-1)</f>
        <v/>
      </c>
      <c r="P1040" s="169">
        <f>IF(OR(J1040="",K1040=""),"",K1040/J1040-1)</f>
        <v/>
      </c>
      <c r="Q1040" s="54">
        <f>IF(AND(ISNUMBER(J1040),ISNUMBER(L1040)),1,0)</f>
        <v/>
      </c>
      <c r="R1040" s="69">
        <f>IF(Q1040=1,G1040*L1040,0)</f>
        <v/>
      </c>
      <c r="S1040" s="69">
        <f>IF(Q1040=1,(H1040+I1040)*U1040,0)</f>
        <v/>
      </c>
      <c r="T1040" s="59">
        <f>IF(Q1040=1,G1040,0)</f>
        <v/>
      </c>
      <c r="U1040" s="170" t="n">
        <v>1</v>
      </c>
    </row>
    <row r="1041">
      <c r="A1041" s="54" t="inlineStr">
        <is>
          <t>US DC Satin Fitted</t>
        </is>
      </c>
      <c r="B1041" s="54" t="inlineStr">
        <is>
          <t>US</t>
        </is>
      </c>
      <c r="C1041" s="54" t="inlineStr">
        <is>
          <t>B0DBVYHGK1</t>
        </is>
      </c>
      <c r="D1041" s="54" t="inlineStr">
        <is>
          <t>SATIN-FITTED-FULL-NAVY-BLUE</t>
        </is>
      </c>
      <c r="E1041" s="54" t="inlineStr">
        <is>
          <t>Full</t>
        </is>
      </c>
      <c r="F1041" s="54" t="inlineStr">
        <is>
          <t>Navy Blue</t>
        </is>
      </c>
      <c r="G1041" s="55" t="n">
        <v>15</v>
      </c>
      <c r="H1041" s="167" t="n">
        <v>227.25</v>
      </c>
      <c r="I1041" s="167" t="n">
        <v>0</v>
      </c>
      <c r="J1041" s="168">
        <f>IF(AND(N(G1041)&gt;0,N(H1041)+N(I1041)&gt;0),(H1041+I1041)*U1041/G1041,"")</f>
        <v/>
      </c>
      <c r="K1041" s="167" t="n">
        <v>20.95</v>
      </c>
      <c r="L1041" s="167" t="n">
        <v>19.9</v>
      </c>
      <c r="M1041" s="54" t="inlineStr">
        <is>
          <t>Eligible</t>
        </is>
      </c>
      <c r="N1041" s="168">
        <f>IF(OR(J1041="",L1041=""),"",L1041-J1041)</f>
        <v/>
      </c>
      <c r="O1041" s="169">
        <f>IF(OR(J1041="",L1041=""),"",L1041/J1041-1)</f>
        <v/>
      </c>
      <c r="P1041" s="169">
        <f>IF(OR(J1041="",K1041=""),"",K1041/J1041-1)</f>
        <v/>
      </c>
      <c r="Q1041" s="54">
        <f>IF(AND(ISNUMBER(J1041),ISNUMBER(L1041)),1,0)</f>
        <v/>
      </c>
      <c r="R1041" s="69">
        <f>IF(Q1041=1,G1041*L1041,0)</f>
        <v/>
      </c>
      <c r="S1041" s="69">
        <f>IF(Q1041=1,(H1041+I1041)*U1041,0)</f>
        <v/>
      </c>
      <c r="T1041" s="59">
        <f>IF(Q1041=1,G1041,0)</f>
        <v/>
      </c>
      <c r="U1041" s="170" t="n">
        <v>1</v>
      </c>
    </row>
    <row r="1042">
      <c r="A1042" s="54" t="inlineStr">
        <is>
          <t>US DC Satin Fitted</t>
        </is>
      </c>
      <c r="B1042" s="54" t="inlineStr">
        <is>
          <t>US</t>
        </is>
      </c>
      <c r="C1042" s="54" t="inlineStr">
        <is>
          <t>B0DBVZRZ4H</t>
        </is>
      </c>
      <c r="D1042" s="54" t="inlineStr">
        <is>
          <t>SATIN-FITTED-FULL-PINK</t>
        </is>
      </c>
      <c r="E1042" s="54" t="inlineStr">
        <is>
          <t>Full</t>
        </is>
      </c>
      <c r="F1042" s="54" t="inlineStr">
        <is>
          <t>Pink</t>
        </is>
      </c>
      <c r="G1042" s="55" t="n">
        <v>15</v>
      </c>
      <c r="H1042" s="167" t="n">
        <v>227.25</v>
      </c>
      <c r="I1042" s="167" t="n">
        <v>0</v>
      </c>
      <c r="J1042" s="168">
        <f>IF(AND(N(G1042)&gt;0,N(H1042)+N(I1042)&gt;0),(H1042+I1042)*U1042/G1042,"")</f>
        <v/>
      </c>
      <c r="K1042" s="167" t="n">
        <v>20.95</v>
      </c>
      <c r="L1042" s="167" t="n">
        <v>19.9</v>
      </c>
      <c r="M1042" s="54" t="inlineStr">
        <is>
          <t>Eligible</t>
        </is>
      </c>
      <c r="N1042" s="168">
        <f>IF(OR(J1042="",L1042=""),"",L1042-J1042)</f>
        <v/>
      </c>
      <c r="O1042" s="169">
        <f>IF(OR(J1042="",L1042=""),"",L1042/J1042-1)</f>
        <v/>
      </c>
      <c r="P1042" s="169">
        <f>IF(OR(J1042="",K1042=""),"",K1042/J1042-1)</f>
        <v/>
      </c>
      <c r="Q1042" s="54">
        <f>IF(AND(ISNUMBER(J1042),ISNUMBER(L1042)),1,0)</f>
        <v/>
      </c>
      <c r="R1042" s="69">
        <f>IF(Q1042=1,G1042*L1042,0)</f>
        <v/>
      </c>
      <c r="S1042" s="69">
        <f>IF(Q1042=1,(H1042+I1042)*U1042,0)</f>
        <v/>
      </c>
      <c r="T1042" s="59">
        <f>IF(Q1042=1,G1042,0)</f>
        <v/>
      </c>
      <c r="U1042" s="170" t="n">
        <v>1</v>
      </c>
    </row>
    <row r="1043">
      <c r="A1043" s="54" t="inlineStr">
        <is>
          <t>US DC Satin Fitted</t>
        </is>
      </c>
      <c r="B1043" s="54" t="inlineStr">
        <is>
          <t>US</t>
        </is>
      </c>
      <c r="C1043" s="54" t="inlineStr">
        <is>
          <t>B0DBW2LXQY</t>
        </is>
      </c>
      <c r="D1043" s="54" t="inlineStr">
        <is>
          <t>SATIN-FITTED-FULL-SAGE-GREEN</t>
        </is>
      </c>
      <c r="E1043" s="54" t="inlineStr">
        <is>
          <t>Full</t>
        </is>
      </c>
      <c r="F1043" s="54" t="inlineStr">
        <is>
          <t>Sage Green</t>
        </is>
      </c>
      <c r="G1043" s="55" t="n">
        <v>15</v>
      </c>
      <c r="H1043" s="167" t="n">
        <v>203.4</v>
      </c>
      <c r="I1043" s="167" t="n">
        <v>0</v>
      </c>
      <c r="J1043" s="168">
        <f>IF(AND(N(G1043)&gt;0,N(H1043)+N(I1043)&gt;0),(H1043+I1043)*U1043/G1043,"")</f>
        <v/>
      </c>
      <c r="K1043" s="167" t="n">
        <v>20.95</v>
      </c>
      <c r="L1043" s="167" t="n">
        <v>19.9</v>
      </c>
      <c r="M1043" s="54" t="inlineStr">
        <is>
          <t>Eligible</t>
        </is>
      </c>
      <c r="N1043" s="168">
        <f>IF(OR(J1043="",L1043=""),"",L1043-J1043)</f>
        <v/>
      </c>
      <c r="O1043" s="169">
        <f>IF(OR(J1043="",L1043=""),"",L1043/J1043-1)</f>
        <v/>
      </c>
      <c r="P1043" s="169">
        <f>IF(OR(J1043="",K1043=""),"",K1043/J1043-1)</f>
        <v/>
      </c>
      <c r="Q1043" s="54">
        <f>IF(AND(ISNUMBER(J1043),ISNUMBER(L1043)),1,0)</f>
        <v/>
      </c>
      <c r="R1043" s="69">
        <f>IF(Q1043=1,G1043*L1043,0)</f>
        <v/>
      </c>
      <c r="S1043" s="69">
        <f>IF(Q1043=1,(H1043+I1043)*U1043,0)</f>
        <v/>
      </c>
      <c r="T1043" s="59">
        <f>IF(Q1043=1,G1043,0)</f>
        <v/>
      </c>
      <c r="U1043" s="170" t="n">
        <v>1</v>
      </c>
    </row>
    <row r="1044">
      <c r="A1044" s="54" t="inlineStr">
        <is>
          <t>US DC Satin Fitted</t>
        </is>
      </c>
      <c r="B1044" s="54" t="inlineStr">
        <is>
          <t>US</t>
        </is>
      </c>
      <c r="C1044" s="54" t="inlineStr">
        <is>
          <t>B0DBVZ1Z2S</t>
        </is>
      </c>
      <c r="D1044" s="54" t="inlineStr">
        <is>
          <t>SATIN-FITTED-FULL-SEA-TEAL</t>
        </is>
      </c>
      <c r="E1044" s="54" t="inlineStr">
        <is>
          <t>Full</t>
        </is>
      </c>
      <c r="F1044" s="54" t="inlineStr">
        <is>
          <t>Sea Teal</t>
        </is>
      </c>
      <c r="G1044" s="55" t="n">
        <v>14</v>
      </c>
      <c r="H1044" s="167" t="n">
        <v>189.84</v>
      </c>
      <c r="I1044" s="167" t="n">
        <v>0</v>
      </c>
      <c r="J1044" s="168">
        <f>IF(AND(N(G1044)&gt;0,N(H1044)+N(I1044)&gt;0),(H1044+I1044)*U1044/G1044,"")</f>
        <v/>
      </c>
      <c r="K1044" s="167" t="n">
        <v>20.95</v>
      </c>
      <c r="L1044" s="167" t="n">
        <v>19.9</v>
      </c>
      <c r="M1044" s="54" t="inlineStr">
        <is>
          <t>Eligible</t>
        </is>
      </c>
      <c r="N1044" s="168">
        <f>IF(OR(J1044="",L1044=""),"",L1044-J1044)</f>
        <v/>
      </c>
      <c r="O1044" s="169">
        <f>IF(OR(J1044="",L1044=""),"",L1044/J1044-1)</f>
        <v/>
      </c>
      <c r="P1044" s="169">
        <f>IF(OR(J1044="",K1044=""),"",K1044/J1044-1)</f>
        <v/>
      </c>
      <c r="Q1044" s="54">
        <f>IF(AND(ISNUMBER(J1044),ISNUMBER(L1044)),1,0)</f>
        <v/>
      </c>
      <c r="R1044" s="69">
        <f>IF(Q1044=1,G1044*L1044,0)</f>
        <v/>
      </c>
      <c r="S1044" s="69">
        <f>IF(Q1044=1,(H1044+I1044)*U1044,0)</f>
        <v/>
      </c>
      <c r="T1044" s="59">
        <f>IF(Q1044=1,G1044,0)</f>
        <v/>
      </c>
      <c r="U1044" s="170" t="n">
        <v>1</v>
      </c>
    </row>
    <row r="1045">
      <c r="A1045" s="54" t="inlineStr">
        <is>
          <t>US DC Satin Fitted</t>
        </is>
      </c>
      <c r="B1045" s="54" t="inlineStr">
        <is>
          <t>US</t>
        </is>
      </c>
      <c r="C1045" s="54" t="inlineStr">
        <is>
          <t>B0DBW2G5JS</t>
        </is>
      </c>
      <c r="D1045" s="54" t="inlineStr">
        <is>
          <t>SATIN-FITTED-KING-IVORY</t>
        </is>
      </c>
      <c r="E1045" s="54" t="inlineStr">
        <is>
          <t>King</t>
        </is>
      </c>
      <c r="F1045" s="54" t="inlineStr">
        <is>
          <t>Ivory</t>
        </is>
      </c>
      <c r="G1045" s="55" t="n">
        <v>14</v>
      </c>
      <c r="H1045" s="167" t="n">
        <v>251.3</v>
      </c>
      <c r="I1045" s="167" t="n">
        <v>0</v>
      </c>
      <c r="J1045" s="168">
        <f>IF(AND(N(G1045)&gt;0,N(H1045)+N(I1045)&gt;0),(H1045+I1045)*U1045/G1045,"")</f>
        <v/>
      </c>
      <c r="K1045" s="167" t="n">
        <v>22.95</v>
      </c>
      <c r="L1045" s="167" t="n"/>
      <c r="M1045" s="54" t="inlineStr">
        <is>
          <t>Out of stock</t>
        </is>
      </c>
      <c r="N1045" s="168">
        <f>IF(OR(J1045="",L1045=""),"",L1045-J1045)</f>
        <v/>
      </c>
      <c r="O1045" s="169">
        <f>IF(OR(J1045="",L1045=""),"",L1045/J1045-1)</f>
        <v/>
      </c>
      <c r="P1045" s="169">
        <f>IF(OR(J1045="",K1045=""),"",K1045/J1045-1)</f>
        <v/>
      </c>
      <c r="Q1045" s="54">
        <f>IF(AND(ISNUMBER(J1045),ISNUMBER(L1045)),1,0)</f>
        <v/>
      </c>
      <c r="R1045" s="69">
        <f>IF(Q1045=1,G1045*L1045,0)</f>
        <v/>
      </c>
      <c r="S1045" s="69">
        <f>IF(Q1045=1,(H1045+I1045)*U1045,0)</f>
        <v/>
      </c>
      <c r="T1045" s="59">
        <f>IF(Q1045=1,G1045,0)</f>
        <v/>
      </c>
      <c r="U1045" s="170" t="n">
        <v>1</v>
      </c>
    </row>
    <row r="1046">
      <c r="A1046" s="54" t="inlineStr">
        <is>
          <t>US DC Satin Fitted</t>
        </is>
      </c>
      <c r="B1046" s="54" t="inlineStr">
        <is>
          <t>US</t>
        </is>
      </c>
      <c r="C1046" s="54" t="inlineStr">
        <is>
          <t>B0DBVZGV7Y</t>
        </is>
      </c>
      <c r="D1046" s="54" t="inlineStr">
        <is>
          <t>SATIN-FITTED-FULL-PURPLE</t>
        </is>
      </c>
      <c r="E1046" s="54" t="inlineStr">
        <is>
          <t>Full</t>
        </is>
      </c>
      <c r="F1046" s="54" t="inlineStr">
        <is>
          <t>Purple</t>
        </is>
      </c>
      <c r="G1046" s="55" t="n">
        <v>13</v>
      </c>
      <c r="H1046" s="167" t="n">
        <v>196.95</v>
      </c>
      <c r="I1046" s="167" t="n">
        <v>0</v>
      </c>
      <c r="J1046" s="168">
        <f>IF(AND(N(G1046)&gt;0,N(H1046)+N(I1046)&gt;0),(H1046+I1046)*U1046/G1046,"")</f>
        <v/>
      </c>
      <c r="K1046" s="167" t="n">
        <v>20.95</v>
      </c>
      <c r="L1046" s="167" t="n">
        <v>19.9</v>
      </c>
      <c r="M1046" s="54" t="inlineStr">
        <is>
          <t>Eligible</t>
        </is>
      </c>
      <c r="N1046" s="168">
        <f>IF(OR(J1046="",L1046=""),"",L1046-J1046)</f>
        <v/>
      </c>
      <c r="O1046" s="169">
        <f>IF(OR(J1046="",L1046=""),"",L1046/J1046-1)</f>
        <v/>
      </c>
      <c r="P1046" s="169">
        <f>IF(OR(J1046="",K1046=""),"",K1046/J1046-1)</f>
        <v/>
      </c>
      <c r="Q1046" s="54">
        <f>IF(AND(ISNUMBER(J1046),ISNUMBER(L1046)),1,0)</f>
        <v/>
      </c>
      <c r="R1046" s="69">
        <f>IF(Q1046=1,G1046*L1046,0)</f>
        <v/>
      </c>
      <c r="S1046" s="69">
        <f>IF(Q1046=1,(H1046+I1046)*U1046,0)</f>
        <v/>
      </c>
      <c r="T1046" s="59">
        <f>IF(Q1046=1,G1046,0)</f>
        <v/>
      </c>
      <c r="U1046" s="170" t="n">
        <v>1</v>
      </c>
    </row>
    <row r="1047">
      <c r="A1047" s="54" t="inlineStr">
        <is>
          <t>US DC Satin Fitted</t>
        </is>
      </c>
      <c r="B1047" s="54" t="inlineStr">
        <is>
          <t>US</t>
        </is>
      </c>
      <c r="C1047" s="54" t="inlineStr">
        <is>
          <t>B0DBW1FPBT</t>
        </is>
      </c>
      <c r="D1047" s="54" t="inlineStr">
        <is>
          <t>SATIN-FITTED-KING-LAVENDER</t>
        </is>
      </c>
      <c r="E1047" s="54" t="inlineStr">
        <is>
          <t>King</t>
        </is>
      </c>
      <c r="F1047" s="54" t="inlineStr">
        <is>
          <t>Lavender</t>
        </is>
      </c>
      <c r="G1047" s="55" t="n">
        <v>13</v>
      </c>
      <c r="H1047" s="167" t="n">
        <v>221.65</v>
      </c>
      <c r="I1047" s="167" t="n">
        <v>0</v>
      </c>
      <c r="J1047" s="168">
        <f>IF(AND(N(G1047)&gt;0,N(H1047)+N(I1047)&gt;0),(H1047+I1047)*U1047/G1047,"")</f>
        <v/>
      </c>
      <c r="K1047" s="167" t="n">
        <v>22.95</v>
      </c>
      <c r="L1047" s="167" t="n">
        <v>21.8</v>
      </c>
      <c r="M1047" s="54" t="inlineStr">
        <is>
          <t>Eligible</t>
        </is>
      </c>
      <c r="N1047" s="168">
        <f>IF(OR(J1047="",L1047=""),"",L1047-J1047)</f>
        <v/>
      </c>
      <c r="O1047" s="169">
        <f>IF(OR(J1047="",L1047=""),"",L1047/J1047-1)</f>
        <v/>
      </c>
      <c r="P1047" s="169">
        <f>IF(OR(J1047="",K1047=""),"",K1047/J1047-1)</f>
        <v/>
      </c>
      <c r="Q1047" s="54">
        <f>IF(AND(ISNUMBER(J1047),ISNUMBER(L1047)),1,0)</f>
        <v/>
      </c>
      <c r="R1047" s="69">
        <f>IF(Q1047=1,G1047*L1047,0)</f>
        <v/>
      </c>
      <c r="S1047" s="69">
        <f>IF(Q1047=1,(H1047+I1047)*U1047,0)</f>
        <v/>
      </c>
      <c r="T1047" s="59">
        <f>IF(Q1047=1,G1047,0)</f>
        <v/>
      </c>
      <c r="U1047" s="170" t="n">
        <v>1</v>
      </c>
    </row>
    <row r="1048">
      <c r="A1048" s="54" t="inlineStr">
        <is>
          <t>US DC Satin Fitted</t>
        </is>
      </c>
      <c r="B1048" s="54" t="inlineStr">
        <is>
          <t>US</t>
        </is>
      </c>
      <c r="C1048" s="54" t="inlineStr">
        <is>
          <t>B0DBVZRL8V</t>
        </is>
      </c>
      <c r="D1048" s="54" t="inlineStr">
        <is>
          <t>SATIN-FITTED-TWIN-BLACK</t>
        </is>
      </c>
      <c r="E1048" s="54" t="inlineStr">
        <is>
          <t>Twin</t>
        </is>
      </c>
      <c r="F1048" s="54" t="inlineStr">
        <is>
          <t>Black</t>
        </is>
      </c>
      <c r="G1048" s="55" t="n">
        <v>13</v>
      </c>
      <c r="H1048" s="167" t="n">
        <v>194.35</v>
      </c>
      <c r="I1048" s="167" t="n">
        <v>0</v>
      </c>
      <c r="J1048" s="168">
        <f>IF(AND(N(G1048)&gt;0,N(H1048)+N(I1048)&gt;0),(H1048+I1048)*U1048/G1048,"")</f>
        <v/>
      </c>
      <c r="K1048" s="167" t="n">
        <v>19.95</v>
      </c>
      <c r="L1048" s="167" t="n"/>
      <c r="M1048" s="54" t="inlineStr">
        <is>
          <t>Out of stock</t>
        </is>
      </c>
      <c r="N1048" s="168">
        <f>IF(OR(J1048="",L1048=""),"",L1048-J1048)</f>
        <v/>
      </c>
      <c r="O1048" s="169">
        <f>IF(OR(J1048="",L1048=""),"",L1048/J1048-1)</f>
        <v/>
      </c>
      <c r="P1048" s="169">
        <f>IF(OR(J1048="",K1048=""),"",K1048/J1048-1)</f>
        <v/>
      </c>
      <c r="Q1048" s="54">
        <f>IF(AND(ISNUMBER(J1048),ISNUMBER(L1048)),1,0)</f>
        <v/>
      </c>
      <c r="R1048" s="69">
        <f>IF(Q1048=1,G1048*L1048,0)</f>
        <v/>
      </c>
      <c r="S1048" s="69">
        <f>IF(Q1048=1,(H1048+I1048)*U1048,0)</f>
        <v/>
      </c>
      <c r="T1048" s="59">
        <f>IF(Q1048=1,G1048,0)</f>
        <v/>
      </c>
      <c r="U1048" s="170" t="n">
        <v>1</v>
      </c>
    </row>
    <row r="1049">
      <c r="A1049" s="54" t="inlineStr">
        <is>
          <t>US DC Satin Fitted</t>
        </is>
      </c>
      <c r="B1049" s="54" t="inlineStr">
        <is>
          <t>US</t>
        </is>
      </c>
      <c r="C1049" s="54" t="inlineStr">
        <is>
          <t>B0DBW2LTK4</t>
        </is>
      </c>
      <c r="D1049" s="54" t="inlineStr">
        <is>
          <t>SATIN-FITTED-TWIN-GREY</t>
        </is>
      </c>
      <c r="E1049" s="54" t="inlineStr">
        <is>
          <t>Twin</t>
        </is>
      </c>
      <c r="F1049" s="54" t="inlineStr">
        <is>
          <t>Grey</t>
        </is>
      </c>
      <c r="G1049" s="55" t="n">
        <v>13</v>
      </c>
      <c r="H1049" s="167" t="n">
        <v>172.25</v>
      </c>
      <c r="I1049" s="167" t="n">
        <v>0</v>
      </c>
      <c r="J1049" s="168">
        <f>IF(AND(N(G1049)&gt;0,N(H1049)+N(I1049)&gt;0),(H1049+I1049)*U1049/G1049,"")</f>
        <v/>
      </c>
      <c r="K1049" s="167" t="n">
        <v>19.95</v>
      </c>
      <c r="L1049" s="167" t="n">
        <v>18.95</v>
      </c>
      <c r="M1049" s="54" t="inlineStr">
        <is>
          <t>Eligible</t>
        </is>
      </c>
      <c r="N1049" s="168">
        <f>IF(OR(J1049="",L1049=""),"",L1049-J1049)</f>
        <v/>
      </c>
      <c r="O1049" s="169">
        <f>IF(OR(J1049="",L1049=""),"",L1049/J1049-1)</f>
        <v/>
      </c>
      <c r="P1049" s="169">
        <f>IF(OR(J1049="",K1049=""),"",K1049/J1049-1)</f>
        <v/>
      </c>
      <c r="Q1049" s="54">
        <f>IF(AND(ISNUMBER(J1049),ISNUMBER(L1049)),1,0)</f>
        <v/>
      </c>
      <c r="R1049" s="69">
        <f>IF(Q1049=1,G1049*L1049,0)</f>
        <v/>
      </c>
      <c r="S1049" s="69">
        <f>IF(Q1049=1,(H1049+I1049)*U1049,0)</f>
        <v/>
      </c>
      <c r="T1049" s="59">
        <f>IF(Q1049=1,G1049,0)</f>
        <v/>
      </c>
      <c r="U1049" s="170" t="n">
        <v>1</v>
      </c>
    </row>
    <row r="1050">
      <c r="A1050" s="54" t="inlineStr">
        <is>
          <t>US DC Satin Fitted</t>
        </is>
      </c>
      <c r="B1050" s="54" t="inlineStr">
        <is>
          <t>US</t>
        </is>
      </c>
      <c r="C1050" s="54" t="inlineStr">
        <is>
          <t>B0DBW1ZHFR</t>
        </is>
      </c>
      <c r="D1050" s="54" t="inlineStr">
        <is>
          <t>SATIN-FITTED-TWIN-NAVY-BLUE</t>
        </is>
      </c>
      <c r="E1050" s="54" t="inlineStr">
        <is>
          <t>Twin</t>
        </is>
      </c>
      <c r="F1050" s="54" t="inlineStr">
        <is>
          <t>Navy Blue</t>
        </is>
      </c>
      <c r="G1050" s="55" t="n">
        <v>13</v>
      </c>
      <c r="H1050" s="167" t="n">
        <v>168.21</v>
      </c>
      <c r="I1050" s="167" t="n">
        <v>0</v>
      </c>
      <c r="J1050" s="168">
        <f>IF(AND(N(G1050)&gt;0,N(H1050)+N(I1050)&gt;0),(H1050+I1050)*U1050/G1050,"")</f>
        <v/>
      </c>
      <c r="K1050" s="167" t="n">
        <v>19.95</v>
      </c>
      <c r="L1050" s="167" t="n">
        <v>18.95</v>
      </c>
      <c r="M1050" s="54" t="inlineStr">
        <is>
          <t>Eligible</t>
        </is>
      </c>
      <c r="N1050" s="168">
        <f>IF(OR(J1050="",L1050=""),"",L1050-J1050)</f>
        <v/>
      </c>
      <c r="O1050" s="169">
        <f>IF(OR(J1050="",L1050=""),"",L1050/J1050-1)</f>
        <v/>
      </c>
      <c r="P1050" s="169">
        <f>IF(OR(J1050="",K1050=""),"",K1050/J1050-1)</f>
        <v/>
      </c>
      <c r="Q1050" s="54">
        <f>IF(AND(ISNUMBER(J1050),ISNUMBER(L1050)),1,0)</f>
        <v/>
      </c>
      <c r="R1050" s="69">
        <f>IF(Q1050=1,G1050*L1050,0)</f>
        <v/>
      </c>
      <c r="S1050" s="69">
        <f>IF(Q1050=1,(H1050+I1050)*U1050,0)</f>
        <v/>
      </c>
      <c r="T1050" s="59">
        <f>IF(Q1050=1,G1050,0)</f>
        <v/>
      </c>
      <c r="U1050" s="170" t="n">
        <v>1</v>
      </c>
    </row>
    <row r="1051">
      <c r="A1051" s="54" t="inlineStr">
        <is>
          <t>US DC Satin Fitted</t>
        </is>
      </c>
      <c r="B1051" s="54" t="inlineStr">
        <is>
          <t>US</t>
        </is>
      </c>
      <c r="C1051" s="54" t="inlineStr">
        <is>
          <t>B0DBW1NXMH</t>
        </is>
      </c>
      <c r="D1051" s="54" t="inlineStr">
        <is>
          <t>SATIN-FITTED-FULL-LAVENDER</t>
        </is>
      </c>
      <c r="E1051" s="54" t="inlineStr">
        <is>
          <t>Full</t>
        </is>
      </c>
      <c r="F1051" s="54" t="inlineStr">
        <is>
          <t>Lavender</t>
        </is>
      </c>
      <c r="G1051" s="55" t="n">
        <v>12</v>
      </c>
      <c r="H1051" s="167" t="n">
        <v>181.8</v>
      </c>
      <c r="I1051" s="167" t="n">
        <v>0</v>
      </c>
      <c r="J1051" s="168">
        <f>IF(AND(N(G1051)&gt;0,N(H1051)+N(I1051)&gt;0),(H1051+I1051)*U1051/G1051,"")</f>
        <v/>
      </c>
      <c r="K1051" s="167" t="n">
        <v>20.95</v>
      </c>
      <c r="L1051" s="167" t="n">
        <v>19.9</v>
      </c>
      <c r="M1051" s="54" t="inlineStr">
        <is>
          <t>Eligible</t>
        </is>
      </c>
      <c r="N1051" s="168">
        <f>IF(OR(J1051="",L1051=""),"",L1051-J1051)</f>
        <v/>
      </c>
      <c r="O1051" s="169">
        <f>IF(OR(J1051="",L1051=""),"",L1051/J1051-1)</f>
        <v/>
      </c>
      <c r="P1051" s="169">
        <f>IF(OR(J1051="",K1051=""),"",K1051/J1051-1)</f>
        <v/>
      </c>
      <c r="Q1051" s="54">
        <f>IF(AND(ISNUMBER(J1051),ISNUMBER(L1051)),1,0)</f>
        <v/>
      </c>
      <c r="R1051" s="69">
        <f>IF(Q1051=1,G1051*L1051,0)</f>
        <v/>
      </c>
      <c r="S1051" s="69">
        <f>IF(Q1051=1,(H1051+I1051)*U1051,0)</f>
        <v/>
      </c>
      <c r="T1051" s="59">
        <f>IF(Q1051=1,G1051,0)</f>
        <v/>
      </c>
      <c r="U1051" s="170" t="n">
        <v>1</v>
      </c>
    </row>
    <row r="1052">
      <c r="A1052" s="54" t="inlineStr">
        <is>
          <t>US DC Satin Fitted</t>
        </is>
      </c>
      <c r="B1052" s="54" t="inlineStr">
        <is>
          <t>US</t>
        </is>
      </c>
      <c r="C1052" s="54" t="inlineStr">
        <is>
          <t>B0DBVZZH8S</t>
        </is>
      </c>
      <c r="D1052" s="54" t="inlineStr">
        <is>
          <t>SATIN-FITTED-QUEEN-GOLD</t>
        </is>
      </c>
      <c r="E1052" s="54" t="inlineStr">
        <is>
          <t>Queen</t>
        </is>
      </c>
      <c r="F1052" s="54" t="inlineStr">
        <is>
          <t>Gold</t>
        </is>
      </c>
      <c r="G1052" s="55" t="n">
        <v>12</v>
      </c>
      <c r="H1052" s="167" t="n">
        <v>193.2</v>
      </c>
      <c r="I1052" s="167" t="n">
        <v>0</v>
      </c>
      <c r="J1052" s="168">
        <f>IF(AND(N(G1052)&gt;0,N(H1052)+N(I1052)&gt;0),(H1052+I1052)*U1052/G1052,"")</f>
        <v/>
      </c>
      <c r="K1052" s="167" t="n">
        <v>21.95</v>
      </c>
      <c r="L1052" s="167" t="n">
        <v>20.85</v>
      </c>
      <c r="M1052" s="54" t="inlineStr">
        <is>
          <t>Eligible</t>
        </is>
      </c>
      <c r="N1052" s="168">
        <f>IF(OR(J1052="",L1052=""),"",L1052-J1052)</f>
        <v/>
      </c>
      <c r="O1052" s="169">
        <f>IF(OR(J1052="",L1052=""),"",L1052/J1052-1)</f>
        <v/>
      </c>
      <c r="P1052" s="169">
        <f>IF(OR(J1052="",K1052=""),"",K1052/J1052-1)</f>
        <v/>
      </c>
      <c r="Q1052" s="54">
        <f>IF(AND(ISNUMBER(J1052),ISNUMBER(L1052)),1,0)</f>
        <v/>
      </c>
      <c r="R1052" s="69">
        <f>IF(Q1052=1,G1052*L1052,0)</f>
        <v/>
      </c>
      <c r="S1052" s="69">
        <f>IF(Q1052=1,(H1052+I1052)*U1052,0)</f>
        <v/>
      </c>
      <c r="T1052" s="59">
        <f>IF(Q1052=1,G1052,0)</f>
        <v/>
      </c>
      <c r="U1052" s="170" t="n">
        <v>1</v>
      </c>
    </row>
    <row r="1053">
      <c r="A1053" s="54" t="inlineStr">
        <is>
          <t>US DC Satin Fitted</t>
        </is>
      </c>
      <c r="B1053" s="54" t="inlineStr">
        <is>
          <t>US</t>
        </is>
      </c>
      <c r="C1053" s="54" t="inlineStr">
        <is>
          <t>B0DBW17V8N</t>
        </is>
      </c>
      <c r="D1053" s="54" t="inlineStr">
        <is>
          <t>SATIN-FITTED-KING-PINK</t>
        </is>
      </c>
      <c r="E1053" s="54" t="inlineStr">
        <is>
          <t>King</t>
        </is>
      </c>
      <c r="F1053" s="54" t="inlineStr">
        <is>
          <t>Pink</t>
        </is>
      </c>
      <c r="G1053" s="55" t="n">
        <v>11</v>
      </c>
      <c r="H1053" s="167" t="n">
        <v>167.86</v>
      </c>
      <c r="I1053" s="167" t="n">
        <v>0</v>
      </c>
      <c r="J1053" s="168">
        <f>IF(AND(N(G1053)&gt;0,N(H1053)+N(I1053)&gt;0),(H1053+I1053)*U1053/G1053,"")</f>
        <v/>
      </c>
      <c r="K1053" s="167" t="n">
        <v>22.95</v>
      </c>
      <c r="L1053" s="167" t="n">
        <v>21.8</v>
      </c>
      <c r="M1053" s="54" t="inlineStr">
        <is>
          <t>Eligible</t>
        </is>
      </c>
      <c r="N1053" s="168">
        <f>IF(OR(J1053="",L1053=""),"",L1053-J1053)</f>
        <v/>
      </c>
      <c r="O1053" s="169">
        <f>IF(OR(J1053="",L1053=""),"",L1053/J1053-1)</f>
        <v/>
      </c>
      <c r="P1053" s="169">
        <f>IF(OR(J1053="",K1053=""),"",K1053/J1053-1)</f>
        <v/>
      </c>
      <c r="Q1053" s="54">
        <f>IF(AND(ISNUMBER(J1053),ISNUMBER(L1053)),1,0)</f>
        <v/>
      </c>
      <c r="R1053" s="69">
        <f>IF(Q1053=1,G1053*L1053,0)</f>
        <v/>
      </c>
      <c r="S1053" s="69">
        <f>IF(Q1053=1,(H1053+I1053)*U1053,0)</f>
        <v/>
      </c>
      <c r="T1053" s="59">
        <f>IF(Q1053=1,G1053,0)</f>
        <v/>
      </c>
      <c r="U1053" s="170" t="n">
        <v>1</v>
      </c>
    </row>
    <row r="1054">
      <c r="A1054" s="54" t="inlineStr">
        <is>
          <t>US DC Satin Fitted</t>
        </is>
      </c>
      <c r="B1054" s="54" t="inlineStr">
        <is>
          <t>US</t>
        </is>
      </c>
      <c r="C1054" s="54" t="inlineStr">
        <is>
          <t>B0DBVZ9QZC</t>
        </is>
      </c>
      <c r="D1054" s="54" t="inlineStr">
        <is>
          <t>SATIN-FITTED-TWIN-SAGE-GREEN</t>
        </is>
      </c>
      <c r="E1054" s="54" t="inlineStr">
        <is>
          <t>Twin</t>
        </is>
      </c>
      <c r="F1054" s="54" t="inlineStr">
        <is>
          <t>Sage Green</t>
        </is>
      </c>
      <c r="G1054" s="55" t="n">
        <v>11</v>
      </c>
      <c r="H1054" s="167" t="n">
        <v>156.2</v>
      </c>
      <c r="I1054" s="167" t="n">
        <v>0</v>
      </c>
      <c r="J1054" s="168">
        <f>IF(AND(N(G1054)&gt;0,N(H1054)+N(I1054)&gt;0),(H1054+I1054)*U1054/G1054,"")</f>
        <v/>
      </c>
      <c r="K1054" s="167" t="n">
        <v>19.95</v>
      </c>
      <c r="L1054" s="167" t="n">
        <v>18.95</v>
      </c>
      <c r="M1054" s="54" t="inlineStr">
        <is>
          <t>Eligible</t>
        </is>
      </c>
      <c r="N1054" s="168">
        <f>IF(OR(J1054="",L1054=""),"",L1054-J1054)</f>
        <v/>
      </c>
      <c r="O1054" s="169">
        <f>IF(OR(J1054="",L1054=""),"",L1054/J1054-1)</f>
        <v/>
      </c>
      <c r="P1054" s="169">
        <f>IF(OR(J1054="",K1054=""),"",K1054/J1054-1)</f>
        <v/>
      </c>
      <c r="Q1054" s="54">
        <f>IF(AND(ISNUMBER(J1054),ISNUMBER(L1054)),1,0)</f>
        <v/>
      </c>
      <c r="R1054" s="69">
        <f>IF(Q1054=1,G1054*L1054,0)</f>
        <v/>
      </c>
      <c r="S1054" s="69">
        <f>IF(Q1054=1,(H1054+I1054)*U1054,0)</f>
        <v/>
      </c>
      <c r="T1054" s="59">
        <f>IF(Q1054=1,G1054,0)</f>
        <v/>
      </c>
      <c r="U1054" s="170" t="n">
        <v>1</v>
      </c>
    </row>
    <row r="1055">
      <c r="A1055" s="54" t="inlineStr">
        <is>
          <t>US DC Satin Fitted</t>
        </is>
      </c>
      <c r="B1055" s="54" t="inlineStr">
        <is>
          <t>US</t>
        </is>
      </c>
      <c r="C1055" s="54" t="inlineStr">
        <is>
          <t>B0DBVYYWX3</t>
        </is>
      </c>
      <c r="D1055" s="54" t="inlineStr">
        <is>
          <t>SATIN-FITTED-KING-DARK-GREEN</t>
        </is>
      </c>
      <c r="E1055" s="54" t="inlineStr">
        <is>
          <t>King</t>
        </is>
      </c>
      <c r="F1055" s="54" t="inlineStr">
        <is>
          <t>Dark Green</t>
        </is>
      </c>
      <c r="G1055" s="55" t="n">
        <v>10</v>
      </c>
      <c r="H1055" s="167" t="n">
        <v>170.5</v>
      </c>
      <c r="I1055" s="167" t="n">
        <v>0</v>
      </c>
      <c r="J1055" s="168">
        <f>IF(AND(N(G1055)&gt;0,N(H1055)+N(I1055)&gt;0),(H1055+I1055)*U1055/G1055,"")</f>
        <v/>
      </c>
      <c r="K1055" s="167" t="n">
        <v>22.95</v>
      </c>
      <c r="L1055" s="167" t="n">
        <v>21.8</v>
      </c>
      <c r="M1055" s="54" t="inlineStr">
        <is>
          <t>Eligible</t>
        </is>
      </c>
      <c r="N1055" s="168">
        <f>IF(OR(J1055="",L1055=""),"",L1055-J1055)</f>
        <v/>
      </c>
      <c r="O1055" s="169">
        <f>IF(OR(J1055="",L1055=""),"",L1055/J1055-1)</f>
        <v/>
      </c>
      <c r="P1055" s="169">
        <f>IF(OR(J1055="",K1055=""),"",K1055/J1055-1)</f>
        <v/>
      </c>
      <c r="Q1055" s="54">
        <f>IF(AND(ISNUMBER(J1055),ISNUMBER(L1055)),1,0)</f>
        <v/>
      </c>
      <c r="R1055" s="69">
        <f>IF(Q1055=1,G1055*L1055,0)</f>
        <v/>
      </c>
      <c r="S1055" s="69">
        <f>IF(Q1055=1,(H1055+I1055)*U1055,0)</f>
        <v/>
      </c>
      <c r="T1055" s="59">
        <f>IF(Q1055=1,G1055,0)</f>
        <v/>
      </c>
      <c r="U1055" s="170" t="n">
        <v>1</v>
      </c>
    </row>
    <row r="1056">
      <c r="A1056" s="54" t="inlineStr">
        <is>
          <t>US DC Satin Fitted</t>
        </is>
      </c>
      <c r="B1056" s="54" t="inlineStr">
        <is>
          <t>US</t>
        </is>
      </c>
      <c r="C1056" s="54" t="inlineStr">
        <is>
          <t>B0DBVZMMPN</t>
        </is>
      </c>
      <c r="D1056" s="54" t="inlineStr">
        <is>
          <t>SATIN-FITTED-TWIN-BLUSH-PINK</t>
        </is>
      </c>
      <c r="E1056" s="54" t="inlineStr">
        <is>
          <t>Twin</t>
        </is>
      </c>
      <c r="F1056" s="54" t="inlineStr">
        <is>
          <t>Blush Pink</t>
        </is>
      </c>
      <c r="G1056" s="55" t="n">
        <v>9</v>
      </c>
      <c r="H1056" s="167" t="n">
        <v>114.39</v>
      </c>
      <c r="I1056" s="167" t="n">
        <v>0</v>
      </c>
      <c r="J1056" s="168">
        <f>IF(AND(N(G1056)&gt;0,N(H1056)+N(I1056)&gt;0),(H1056+I1056)*U1056/G1056,"")</f>
        <v/>
      </c>
      <c r="K1056" s="167" t="n">
        <v>19.95</v>
      </c>
      <c r="L1056" s="167" t="n">
        <v>18.95</v>
      </c>
      <c r="M1056" s="54" t="inlineStr">
        <is>
          <t>Eligible</t>
        </is>
      </c>
      <c r="N1056" s="168">
        <f>IF(OR(J1056="",L1056=""),"",L1056-J1056)</f>
        <v/>
      </c>
      <c r="O1056" s="169">
        <f>IF(OR(J1056="",L1056=""),"",L1056/J1056-1)</f>
        <v/>
      </c>
      <c r="P1056" s="169">
        <f>IF(OR(J1056="",K1056=""),"",K1056/J1056-1)</f>
        <v/>
      </c>
      <c r="Q1056" s="54">
        <f>IF(AND(ISNUMBER(J1056),ISNUMBER(L1056)),1,0)</f>
        <v/>
      </c>
      <c r="R1056" s="69">
        <f>IF(Q1056=1,G1056*L1056,0)</f>
        <v/>
      </c>
      <c r="S1056" s="69">
        <f>IF(Q1056=1,(H1056+I1056)*U1056,0)</f>
        <v/>
      </c>
      <c r="T1056" s="59">
        <f>IF(Q1056=1,G1056,0)</f>
        <v/>
      </c>
      <c r="U1056" s="170" t="n">
        <v>1</v>
      </c>
    </row>
    <row r="1057">
      <c r="A1057" s="54" t="inlineStr">
        <is>
          <t>US DC Satin Fitted</t>
        </is>
      </c>
      <c r="B1057" s="54" t="inlineStr">
        <is>
          <t>US</t>
        </is>
      </c>
      <c r="C1057" s="54" t="inlineStr">
        <is>
          <t>B0DBVZ9JMT</t>
        </is>
      </c>
      <c r="D1057" s="54" t="inlineStr">
        <is>
          <t>SATIN-FITTED-TWIN-LAVENDER</t>
        </is>
      </c>
      <c r="E1057" s="54" t="inlineStr">
        <is>
          <t>Twin</t>
        </is>
      </c>
      <c r="F1057" s="54" t="inlineStr">
        <is>
          <t>Lavender</t>
        </is>
      </c>
      <c r="G1057" s="55" t="n">
        <v>9</v>
      </c>
      <c r="H1057" s="167" t="n">
        <v>127.8</v>
      </c>
      <c r="I1057" s="167" t="n">
        <v>0</v>
      </c>
      <c r="J1057" s="168">
        <f>IF(AND(N(G1057)&gt;0,N(H1057)+N(I1057)&gt;0),(H1057+I1057)*U1057/G1057,"")</f>
        <v/>
      </c>
      <c r="K1057" s="167" t="n">
        <v>19.95</v>
      </c>
      <c r="L1057" s="167" t="n">
        <v>18.95</v>
      </c>
      <c r="M1057" s="54" t="inlineStr">
        <is>
          <t>Eligible</t>
        </is>
      </c>
      <c r="N1057" s="168">
        <f>IF(OR(J1057="",L1057=""),"",L1057-J1057)</f>
        <v/>
      </c>
      <c r="O1057" s="169">
        <f>IF(OR(J1057="",L1057=""),"",L1057/J1057-1)</f>
        <v/>
      </c>
      <c r="P1057" s="169">
        <f>IF(OR(J1057="",K1057=""),"",K1057/J1057-1)</f>
        <v/>
      </c>
      <c r="Q1057" s="54">
        <f>IF(AND(ISNUMBER(J1057),ISNUMBER(L1057)),1,0)</f>
        <v/>
      </c>
      <c r="R1057" s="69">
        <f>IF(Q1057=1,G1057*L1057,0)</f>
        <v/>
      </c>
      <c r="S1057" s="69">
        <f>IF(Q1057=1,(H1057+I1057)*U1057,0)</f>
        <v/>
      </c>
      <c r="T1057" s="59">
        <f>IF(Q1057=1,G1057,0)</f>
        <v/>
      </c>
      <c r="U1057" s="170" t="n">
        <v>1</v>
      </c>
    </row>
    <row r="1058">
      <c r="A1058" s="54" t="inlineStr">
        <is>
          <t>US DC Satin Fitted</t>
        </is>
      </c>
      <c r="B1058" s="54" t="inlineStr">
        <is>
          <t>US</t>
        </is>
      </c>
      <c r="C1058" s="54" t="inlineStr">
        <is>
          <t>B0DBW1M6RR</t>
        </is>
      </c>
      <c r="D1058" s="54" t="inlineStr">
        <is>
          <t>SATIN-FITTED-TWIN-PURPLE</t>
        </is>
      </c>
      <c r="E1058" s="54" t="inlineStr">
        <is>
          <t>Twin</t>
        </is>
      </c>
      <c r="F1058" s="54" t="inlineStr">
        <is>
          <t>Purple</t>
        </is>
      </c>
      <c r="G1058" s="55" t="n">
        <v>9</v>
      </c>
      <c r="H1058" s="167" t="n">
        <v>127.8</v>
      </c>
      <c r="I1058" s="167" t="n">
        <v>0</v>
      </c>
      <c r="J1058" s="168">
        <f>IF(AND(N(G1058)&gt;0,N(H1058)+N(I1058)&gt;0),(H1058+I1058)*U1058/G1058,"")</f>
        <v/>
      </c>
      <c r="K1058" s="167" t="n">
        <v>19.95</v>
      </c>
      <c r="L1058" s="167" t="n">
        <v>18.95</v>
      </c>
      <c r="M1058" s="54" t="inlineStr">
        <is>
          <t>Eligible</t>
        </is>
      </c>
      <c r="N1058" s="168">
        <f>IF(OR(J1058="",L1058=""),"",L1058-J1058)</f>
        <v/>
      </c>
      <c r="O1058" s="169">
        <f>IF(OR(J1058="",L1058=""),"",L1058/J1058-1)</f>
        <v/>
      </c>
      <c r="P1058" s="169">
        <f>IF(OR(J1058="",K1058=""),"",K1058/J1058-1)</f>
        <v/>
      </c>
      <c r="Q1058" s="54">
        <f>IF(AND(ISNUMBER(J1058),ISNUMBER(L1058)),1,0)</f>
        <v/>
      </c>
      <c r="R1058" s="69">
        <f>IF(Q1058=1,G1058*L1058,0)</f>
        <v/>
      </c>
      <c r="S1058" s="69">
        <f>IF(Q1058=1,(H1058+I1058)*U1058,0)</f>
        <v/>
      </c>
      <c r="T1058" s="59">
        <f>IF(Q1058=1,G1058,0)</f>
        <v/>
      </c>
      <c r="U1058" s="170" t="n">
        <v>1</v>
      </c>
    </row>
    <row r="1059">
      <c r="A1059" s="54" t="inlineStr">
        <is>
          <t>US DC Satin Fitted</t>
        </is>
      </c>
      <c r="B1059" s="54" t="inlineStr">
        <is>
          <t>US</t>
        </is>
      </c>
      <c r="C1059" s="54" t="inlineStr">
        <is>
          <t>B0DBW17KGC</t>
        </is>
      </c>
      <c r="D1059" s="54" t="inlineStr">
        <is>
          <t>SATIN-FITTED-FULL-ROSEWOOD</t>
        </is>
      </c>
      <c r="E1059" s="54" t="inlineStr">
        <is>
          <t>Full</t>
        </is>
      </c>
      <c r="F1059" s="54" t="inlineStr">
        <is>
          <t>Rosewood</t>
        </is>
      </c>
      <c r="G1059" s="55" t="n">
        <v>8</v>
      </c>
      <c r="H1059" s="167" t="n">
        <v>108.48</v>
      </c>
      <c r="I1059" s="167" t="n">
        <v>0</v>
      </c>
      <c r="J1059" s="168">
        <f>IF(AND(N(G1059)&gt;0,N(H1059)+N(I1059)&gt;0),(H1059+I1059)*U1059/G1059,"")</f>
        <v/>
      </c>
      <c r="K1059" s="167" t="n">
        <v>20.95</v>
      </c>
      <c r="L1059" s="167" t="n"/>
      <c r="M1059" s="54" t="inlineStr">
        <is>
          <t>Out of stock</t>
        </is>
      </c>
      <c r="N1059" s="168">
        <f>IF(OR(J1059="",L1059=""),"",L1059-J1059)</f>
        <v/>
      </c>
      <c r="O1059" s="169">
        <f>IF(OR(J1059="",L1059=""),"",L1059/J1059-1)</f>
        <v/>
      </c>
      <c r="P1059" s="169">
        <f>IF(OR(J1059="",K1059=""),"",K1059/J1059-1)</f>
        <v/>
      </c>
      <c r="Q1059" s="54">
        <f>IF(AND(ISNUMBER(J1059),ISNUMBER(L1059)),1,0)</f>
        <v/>
      </c>
      <c r="R1059" s="69">
        <f>IF(Q1059=1,G1059*L1059,0)</f>
        <v/>
      </c>
      <c r="S1059" s="69">
        <f>IF(Q1059=1,(H1059+I1059)*U1059,0)</f>
        <v/>
      </c>
      <c r="T1059" s="59">
        <f>IF(Q1059=1,G1059,0)</f>
        <v/>
      </c>
      <c r="U1059" s="170" t="n">
        <v>1</v>
      </c>
    </row>
    <row r="1060">
      <c r="A1060" s="54" t="inlineStr">
        <is>
          <t>US DC Satin Fitted</t>
        </is>
      </c>
      <c r="B1060" s="54" t="inlineStr">
        <is>
          <t>US</t>
        </is>
      </c>
      <c r="C1060" s="54" t="inlineStr">
        <is>
          <t>B0DBVZZD7X</t>
        </is>
      </c>
      <c r="D1060" s="54" t="inlineStr">
        <is>
          <t>SATIN-FITTED-KING-BLUSH-PINK</t>
        </is>
      </c>
      <c r="E1060" s="54" t="inlineStr">
        <is>
          <t>King</t>
        </is>
      </c>
      <c r="F1060" s="54" t="inlineStr">
        <is>
          <t>Blush Pink</t>
        </is>
      </c>
      <c r="G1060" s="55" t="n">
        <v>8</v>
      </c>
      <c r="H1060" s="167" t="n">
        <v>122.08</v>
      </c>
      <c r="I1060" s="167" t="n">
        <v>0</v>
      </c>
      <c r="J1060" s="168">
        <f>IF(AND(N(G1060)&gt;0,N(H1060)+N(I1060)&gt;0),(H1060+I1060)*U1060/G1060,"")</f>
        <v/>
      </c>
      <c r="K1060" s="167" t="n">
        <v>22.95</v>
      </c>
      <c r="L1060" s="167" t="n">
        <v>21.8</v>
      </c>
      <c r="M1060" s="54" t="inlineStr">
        <is>
          <t>Eligible</t>
        </is>
      </c>
      <c r="N1060" s="168">
        <f>IF(OR(J1060="",L1060=""),"",L1060-J1060)</f>
        <v/>
      </c>
      <c r="O1060" s="169">
        <f>IF(OR(J1060="",L1060=""),"",L1060/J1060-1)</f>
        <v/>
      </c>
      <c r="P1060" s="169">
        <f>IF(OR(J1060="",K1060=""),"",K1060/J1060-1)</f>
        <v/>
      </c>
      <c r="Q1060" s="54">
        <f>IF(AND(ISNUMBER(J1060),ISNUMBER(L1060)),1,0)</f>
        <v/>
      </c>
      <c r="R1060" s="69">
        <f>IF(Q1060=1,G1060*L1060,0)</f>
        <v/>
      </c>
      <c r="S1060" s="69">
        <f>IF(Q1060=1,(H1060+I1060)*U1060,0)</f>
        <v/>
      </c>
      <c r="T1060" s="59">
        <f>IF(Q1060=1,G1060,0)</f>
        <v/>
      </c>
      <c r="U1060" s="170" t="n">
        <v>1</v>
      </c>
    </row>
    <row r="1061">
      <c r="A1061" s="54" t="inlineStr">
        <is>
          <t>US DC Satin Fitted</t>
        </is>
      </c>
      <c r="B1061" s="54" t="inlineStr">
        <is>
          <t>US</t>
        </is>
      </c>
      <c r="C1061" s="54" t="inlineStr">
        <is>
          <t>B0DBVZQZXV</t>
        </is>
      </c>
      <c r="D1061" s="54" t="inlineStr">
        <is>
          <t>SATIN-FITTED-TWIN-BABY-BLUE</t>
        </is>
      </c>
      <c r="E1061" s="54" t="inlineStr">
        <is>
          <t>Twin</t>
        </is>
      </c>
      <c r="F1061" s="54" t="inlineStr">
        <is>
          <t>Baby Blue</t>
        </is>
      </c>
      <c r="G1061" s="55" t="n">
        <v>8</v>
      </c>
      <c r="H1061" s="167" t="n">
        <v>113.6</v>
      </c>
      <c r="I1061" s="167" t="n">
        <v>0</v>
      </c>
      <c r="J1061" s="168">
        <f>IF(AND(N(G1061)&gt;0,N(H1061)+N(I1061)&gt;0),(H1061+I1061)*U1061/G1061,"")</f>
        <v/>
      </c>
      <c r="K1061" s="167" t="n">
        <v>19.95</v>
      </c>
      <c r="L1061" s="167" t="n">
        <v>18.95</v>
      </c>
      <c r="M1061" s="54" t="inlineStr">
        <is>
          <t>Eligible</t>
        </is>
      </c>
      <c r="N1061" s="168">
        <f>IF(OR(J1061="",L1061=""),"",L1061-J1061)</f>
        <v/>
      </c>
      <c r="O1061" s="169">
        <f>IF(OR(J1061="",L1061=""),"",L1061/J1061-1)</f>
        <v/>
      </c>
      <c r="P1061" s="169">
        <f>IF(OR(J1061="",K1061=""),"",K1061/J1061-1)</f>
        <v/>
      </c>
      <c r="Q1061" s="54">
        <f>IF(AND(ISNUMBER(J1061),ISNUMBER(L1061)),1,0)</f>
        <v/>
      </c>
      <c r="R1061" s="69">
        <f>IF(Q1061=1,G1061*L1061,0)</f>
        <v/>
      </c>
      <c r="S1061" s="69">
        <f>IF(Q1061=1,(H1061+I1061)*U1061,0)</f>
        <v/>
      </c>
      <c r="T1061" s="59">
        <f>IF(Q1061=1,G1061,0)</f>
        <v/>
      </c>
      <c r="U1061" s="170" t="n">
        <v>1</v>
      </c>
    </row>
    <row r="1062">
      <c r="A1062" s="54" t="inlineStr">
        <is>
          <t>US DC Satin Fitted</t>
        </is>
      </c>
      <c r="B1062" s="54" t="inlineStr">
        <is>
          <t>US</t>
        </is>
      </c>
      <c r="C1062" s="54" t="inlineStr">
        <is>
          <t>B0DBW6FW27</t>
        </is>
      </c>
      <c r="D1062" s="54" t="inlineStr">
        <is>
          <t>SATIN-FITTED-TWIN-IVORY</t>
        </is>
      </c>
      <c r="E1062" s="54" t="inlineStr">
        <is>
          <t>Twin</t>
        </is>
      </c>
      <c r="F1062" s="54" t="inlineStr">
        <is>
          <t>Ivory</t>
        </is>
      </c>
      <c r="G1062" s="55" t="n">
        <v>8</v>
      </c>
      <c r="H1062" s="167" t="n">
        <v>113.6</v>
      </c>
      <c r="I1062" s="167" t="n">
        <v>0</v>
      </c>
      <c r="J1062" s="168">
        <f>IF(AND(N(G1062)&gt;0,N(H1062)+N(I1062)&gt;0),(H1062+I1062)*U1062/G1062,"")</f>
        <v/>
      </c>
      <c r="K1062" s="167" t="n">
        <v>19.95</v>
      </c>
      <c r="L1062" s="167" t="n">
        <v>18.95</v>
      </c>
      <c r="M1062" s="54" t="inlineStr">
        <is>
          <t>Eligible</t>
        </is>
      </c>
      <c r="N1062" s="168">
        <f>IF(OR(J1062="",L1062=""),"",L1062-J1062)</f>
        <v/>
      </c>
      <c r="O1062" s="169">
        <f>IF(OR(J1062="",L1062=""),"",L1062/J1062-1)</f>
        <v/>
      </c>
      <c r="P1062" s="169">
        <f>IF(OR(J1062="",K1062=""),"",K1062/J1062-1)</f>
        <v/>
      </c>
      <c r="Q1062" s="54">
        <f>IF(AND(ISNUMBER(J1062),ISNUMBER(L1062)),1,0)</f>
        <v/>
      </c>
      <c r="R1062" s="69">
        <f>IF(Q1062=1,G1062*L1062,0)</f>
        <v/>
      </c>
      <c r="S1062" s="69">
        <f>IF(Q1062=1,(H1062+I1062)*U1062,0)</f>
        <v/>
      </c>
      <c r="T1062" s="59">
        <f>IF(Q1062=1,G1062,0)</f>
        <v/>
      </c>
      <c r="U1062" s="170" t="n">
        <v>1</v>
      </c>
    </row>
    <row r="1063">
      <c r="A1063" s="54" t="inlineStr">
        <is>
          <t>US DC Satin Fitted</t>
        </is>
      </c>
      <c r="B1063" s="54" t="inlineStr">
        <is>
          <t>US</t>
        </is>
      </c>
      <c r="C1063" s="54" t="inlineStr">
        <is>
          <t>B0DBW1M1HX</t>
        </is>
      </c>
      <c r="D1063" s="54" t="inlineStr">
        <is>
          <t>SATIN-FITTED-TWIN-SEA-TEAL</t>
        </is>
      </c>
      <c r="E1063" s="54" t="inlineStr">
        <is>
          <t>Twin</t>
        </is>
      </c>
      <c r="F1063" s="54" t="inlineStr">
        <is>
          <t>Sea Teal</t>
        </is>
      </c>
      <c r="G1063" s="55" t="n">
        <v>8</v>
      </c>
      <c r="H1063" s="167" t="n">
        <v>88.97</v>
      </c>
      <c r="I1063" s="167" t="n">
        <v>0</v>
      </c>
      <c r="J1063" s="168">
        <f>IF(AND(N(G1063)&gt;0,N(H1063)+N(I1063)&gt;0),(H1063+I1063)*U1063/G1063,"")</f>
        <v/>
      </c>
      <c r="K1063" s="167" t="n">
        <v>19.95</v>
      </c>
      <c r="L1063" s="167" t="n">
        <v>18.95</v>
      </c>
      <c r="M1063" s="54" t="inlineStr">
        <is>
          <t>Eligible</t>
        </is>
      </c>
      <c r="N1063" s="168">
        <f>IF(OR(J1063="",L1063=""),"",L1063-J1063)</f>
        <v/>
      </c>
      <c r="O1063" s="169">
        <f>IF(OR(J1063="",L1063=""),"",L1063/J1063-1)</f>
        <v/>
      </c>
      <c r="P1063" s="169">
        <f>IF(OR(J1063="",K1063=""),"",K1063/J1063-1)</f>
        <v/>
      </c>
      <c r="Q1063" s="54">
        <f>IF(AND(ISNUMBER(J1063),ISNUMBER(L1063)),1,0)</f>
        <v/>
      </c>
      <c r="R1063" s="69">
        <f>IF(Q1063=1,G1063*L1063,0)</f>
        <v/>
      </c>
      <c r="S1063" s="69">
        <f>IF(Q1063=1,(H1063+I1063)*U1063,0)</f>
        <v/>
      </c>
      <c r="T1063" s="59">
        <f>IF(Q1063=1,G1063,0)</f>
        <v/>
      </c>
      <c r="U1063" s="170" t="n">
        <v>1</v>
      </c>
    </row>
    <row r="1064">
      <c r="A1064" s="54" t="inlineStr">
        <is>
          <t>US DC Satin Fitted</t>
        </is>
      </c>
      <c r="B1064" s="54" t="inlineStr">
        <is>
          <t>US</t>
        </is>
      </c>
      <c r="C1064" s="54" t="inlineStr">
        <is>
          <t>B0DBW2HDDZ</t>
        </is>
      </c>
      <c r="D1064" s="54" t="inlineStr">
        <is>
          <t>SATIN-FITTED-TWIN-PINK</t>
        </is>
      </c>
      <c r="E1064" s="54" t="inlineStr">
        <is>
          <t>Twin</t>
        </is>
      </c>
      <c r="F1064" s="54" t="inlineStr">
        <is>
          <t>Pink</t>
        </is>
      </c>
      <c r="G1064" s="55" t="n">
        <v>7</v>
      </c>
      <c r="H1064" s="167" t="n">
        <v>99.40000000000001</v>
      </c>
      <c r="I1064" s="167" t="n">
        <v>0</v>
      </c>
      <c r="J1064" s="168">
        <f>IF(AND(N(G1064)&gt;0,N(H1064)+N(I1064)&gt;0),(H1064+I1064)*U1064/G1064,"")</f>
        <v/>
      </c>
      <c r="K1064" s="167" t="n">
        <v>19.95</v>
      </c>
      <c r="L1064" s="167" t="n">
        <v>18.95</v>
      </c>
      <c r="M1064" s="54" t="inlineStr">
        <is>
          <t>Eligible</t>
        </is>
      </c>
      <c r="N1064" s="168">
        <f>IF(OR(J1064="",L1064=""),"",L1064-J1064)</f>
        <v/>
      </c>
      <c r="O1064" s="169">
        <f>IF(OR(J1064="",L1064=""),"",L1064/J1064-1)</f>
        <v/>
      </c>
      <c r="P1064" s="169">
        <f>IF(OR(J1064="",K1064=""),"",K1064/J1064-1)</f>
        <v/>
      </c>
      <c r="Q1064" s="54">
        <f>IF(AND(ISNUMBER(J1064),ISNUMBER(L1064)),1,0)</f>
        <v/>
      </c>
      <c r="R1064" s="69">
        <f>IF(Q1064=1,G1064*L1064,0)</f>
        <v/>
      </c>
      <c r="S1064" s="69">
        <f>IF(Q1064=1,(H1064+I1064)*U1064,0)</f>
        <v/>
      </c>
      <c r="T1064" s="59">
        <f>IF(Q1064=1,G1064,0)</f>
        <v/>
      </c>
      <c r="U1064" s="170" t="n">
        <v>1</v>
      </c>
    </row>
    <row r="1065">
      <c r="A1065" s="54" t="inlineStr">
        <is>
          <t>US DC Satin Fitted</t>
        </is>
      </c>
      <c r="B1065" s="54" t="inlineStr">
        <is>
          <t>US</t>
        </is>
      </c>
      <c r="C1065" s="54" t="inlineStr">
        <is>
          <t>B0DBW1NXMC</t>
        </is>
      </c>
      <c r="D1065" s="54" t="inlineStr">
        <is>
          <t>SATIN-FITTED-TWIN-DARK-GREEN</t>
        </is>
      </c>
      <c r="E1065" s="54" t="inlineStr">
        <is>
          <t>Twin</t>
        </is>
      </c>
      <c r="F1065" s="54" t="inlineStr">
        <is>
          <t>Dark Green</t>
        </is>
      </c>
      <c r="G1065" s="55" t="n">
        <v>6</v>
      </c>
      <c r="H1065" s="167" t="n">
        <v>76.26000000000001</v>
      </c>
      <c r="I1065" s="167" t="n">
        <v>0</v>
      </c>
      <c r="J1065" s="168">
        <f>IF(AND(N(G1065)&gt;0,N(H1065)+N(I1065)&gt;0),(H1065+I1065)*U1065/G1065,"")</f>
        <v/>
      </c>
      <c r="K1065" s="167" t="n">
        <v>19.95</v>
      </c>
      <c r="L1065" s="167" t="n">
        <v>18.95</v>
      </c>
      <c r="M1065" s="54" t="inlineStr">
        <is>
          <t>Eligible</t>
        </is>
      </c>
      <c r="N1065" s="168">
        <f>IF(OR(J1065="",L1065=""),"",L1065-J1065)</f>
        <v/>
      </c>
      <c r="O1065" s="169">
        <f>IF(OR(J1065="",L1065=""),"",L1065/J1065-1)</f>
        <v/>
      </c>
      <c r="P1065" s="169">
        <f>IF(OR(J1065="",K1065=""),"",K1065/J1065-1)</f>
        <v/>
      </c>
      <c r="Q1065" s="54">
        <f>IF(AND(ISNUMBER(J1065),ISNUMBER(L1065)),1,0)</f>
        <v/>
      </c>
      <c r="R1065" s="69">
        <f>IF(Q1065=1,G1065*L1065,0)</f>
        <v/>
      </c>
      <c r="S1065" s="69">
        <f>IF(Q1065=1,(H1065+I1065)*U1065,0)</f>
        <v/>
      </c>
      <c r="T1065" s="59">
        <f>IF(Q1065=1,G1065,0)</f>
        <v/>
      </c>
      <c r="U1065" s="170" t="n">
        <v>1</v>
      </c>
    </row>
    <row r="1066">
      <c r="A1066" s="54" t="inlineStr">
        <is>
          <t>US DC Satin Fitted</t>
        </is>
      </c>
      <c r="B1066" s="54" t="inlineStr">
        <is>
          <t>US</t>
        </is>
      </c>
      <c r="C1066" s="54" t="inlineStr">
        <is>
          <t>B0DBVXG561</t>
        </is>
      </c>
      <c r="D1066" s="54" t="inlineStr">
        <is>
          <t>SATIN-FITTED-FULL-DARK-GREEN</t>
        </is>
      </c>
      <c r="E1066" s="54" t="inlineStr">
        <is>
          <t>Full</t>
        </is>
      </c>
      <c r="F1066" s="54" t="inlineStr">
        <is>
          <t>Dark Green</t>
        </is>
      </c>
      <c r="G1066" s="55" t="n">
        <v>5</v>
      </c>
      <c r="H1066" s="167" t="n">
        <v>75.75</v>
      </c>
      <c r="I1066" s="167" t="n">
        <v>0</v>
      </c>
      <c r="J1066" s="168">
        <f>IF(AND(N(G1066)&gt;0,N(H1066)+N(I1066)&gt;0),(H1066+I1066)*U1066/G1066,"")</f>
        <v/>
      </c>
      <c r="K1066" s="167" t="n">
        <v>20.95</v>
      </c>
      <c r="L1066" s="167" t="n">
        <v>19.9</v>
      </c>
      <c r="M1066" s="54" t="inlineStr">
        <is>
          <t>Eligible</t>
        </is>
      </c>
      <c r="N1066" s="168">
        <f>IF(OR(J1066="",L1066=""),"",L1066-J1066)</f>
        <v/>
      </c>
      <c r="O1066" s="169">
        <f>IF(OR(J1066="",L1066=""),"",L1066/J1066-1)</f>
        <v/>
      </c>
      <c r="P1066" s="169">
        <f>IF(OR(J1066="",K1066=""),"",K1066/J1066-1)</f>
        <v/>
      </c>
      <c r="Q1066" s="54">
        <f>IF(AND(ISNUMBER(J1066),ISNUMBER(L1066)),1,0)</f>
        <v/>
      </c>
      <c r="R1066" s="69">
        <f>IF(Q1066=1,G1066*L1066,0)</f>
        <v/>
      </c>
      <c r="S1066" s="69">
        <f>IF(Q1066=1,(H1066+I1066)*U1066,0)</f>
        <v/>
      </c>
      <c r="T1066" s="59">
        <f>IF(Q1066=1,G1066,0)</f>
        <v/>
      </c>
      <c r="U1066" s="170" t="n">
        <v>1</v>
      </c>
    </row>
    <row r="1067">
      <c r="A1067" s="54" t="inlineStr">
        <is>
          <t>US DC Satin Fitted</t>
        </is>
      </c>
      <c r="B1067" s="54" t="inlineStr">
        <is>
          <t>US</t>
        </is>
      </c>
      <c r="C1067" s="54" t="inlineStr">
        <is>
          <t>B0DBVZY5T2</t>
        </is>
      </c>
      <c r="D1067" s="54" t="inlineStr">
        <is>
          <t>SATIN-FITTED-TWIN-GOLD</t>
        </is>
      </c>
      <c r="E1067" s="54" t="inlineStr">
        <is>
          <t>Twin</t>
        </is>
      </c>
      <c r="F1067" s="54" t="inlineStr">
        <is>
          <t>Gold</t>
        </is>
      </c>
      <c r="G1067" s="55" t="n">
        <v>5</v>
      </c>
      <c r="H1067" s="167" t="n">
        <v>63.55</v>
      </c>
      <c r="I1067" s="167" t="n">
        <v>0</v>
      </c>
      <c r="J1067" s="168">
        <f>IF(AND(N(G1067)&gt;0,N(H1067)+N(I1067)&gt;0),(H1067+I1067)*U1067/G1067,"")</f>
        <v/>
      </c>
      <c r="K1067" s="167" t="n">
        <v>19.95</v>
      </c>
      <c r="L1067" s="167" t="n">
        <v>18.95</v>
      </c>
      <c r="M1067" s="54" t="inlineStr">
        <is>
          <t>Eligible</t>
        </is>
      </c>
      <c r="N1067" s="168">
        <f>IF(OR(J1067="",L1067=""),"",L1067-J1067)</f>
        <v/>
      </c>
      <c r="O1067" s="169">
        <f>IF(OR(J1067="",L1067=""),"",L1067/J1067-1)</f>
        <v/>
      </c>
      <c r="P1067" s="169">
        <f>IF(OR(J1067="",K1067=""),"",K1067/J1067-1)</f>
        <v/>
      </c>
      <c r="Q1067" s="54">
        <f>IF(AND(ISNUMBER(J1067),ISNUMBER(L1067)),1,0)</f>
        <v/>
      </c>
      <c r="R1067" s="69">
        <f>IF(Q1067=1,G1067*L1067,0)</f>
        <v/>
      </c>
      <c r="S1067" s="69">
        <f>IF(Q1067=1,(H1067+I1067)*U1067,0)</f>
        <v/>
      </c>
      <c r="T1067" s="59">
        <f>IF(Q1067=1,G1067,0)</f>
        <v/>
      </c>
      <c r="U1067" s="170" t="n">
        <v>1</v>
      </c>
    </row>
    <row r="1068">
      <c r="A1068" s="54" t="inlineStr">
        <is>
          <t>US DC Satin Fitted</t>
        </is>
      </c>
      <c r="B1068" s="54" t="inlineStr">
        <is>
          <t>US</t>
        </is>
      </c>
      <c r="C1068" s="54" t="inlineStr">
        <is>
          <t>B0DBVY3FF2</t>
        </is>
      </c>
      <c r="D1068" s="54" t="inlineStr">
        <is>
          <t>SATIN-FITTED-TWIN-ROSEWOOD</t>
        </is>
      </c>
      <c r="E1068" s="54" t="inlineStr">
        <is>
          <t>Twin</t>
        </is>
      </c>
      <c r="F1068" s="54" t="inlineStr">
        <is>
          <t>Rosewood</t>
        </is>
      </c>
      <c r="G1068" s="55" t="n">
        <v>4</v>
      </c>
      <c r="H1068" s="167" t="n">
        <v>56.8</v>
      </c>
      <c r="I1068" s="167" t="n">
        <v>0</v>
      </c>
      <c r="J1068" s="168">
        <f>IF(AND(N(G1068)&gt;0,N(H1068)+N(I1068)&gt;0),(H1068+I1068)*U1068/G1068,"")</f>
        <v/>
      </c>
      <c r="K1068" s="167" t="n">
        <v>19.95</v>
      </c>
      <c r="L1068" s="167" t="n"/>
      <c r="M1068" s="54" t="inlineStr">
        <is>
          <t>Out of stock</t>
        </is>
      </c>
      <c r="N1068" s="168">
        <f>IF(OR(J1068="",L1068=""),"",L1068-J1068)</f>
        <v/>
      </c>
      <c r="O1068" s="169">
        <f>IF(OR(J1068="",L1068=""),"",L1068/J1068-1)</f>
        <v/>
      </c>
      <c r="P1068" s="169">
        <f>IF(OR(J1068="",K1068=""),"",K1068/J1068-1)</f>
        <v/>
      </c>
      <c r="Q1068" s="54">
        <f>IF(AND(ISNUMBER(J1068),ISNUMBER(L1068)),1,0)</f>
        <v/>
      </c>
      <c r="R1068" s="69">
        <f>IF(Q1068=1,G1068*L1068,0)</f>
        <v/>
      </c>
      <c r="S1068" s="69">
        <f>IF(Q1068=1,(H1068+I1068)*U1068,0)</f>
        <v/>
      </c>
      <c r="T1068" s="59">
        <f>IF(Q1068=1,G1068,0)</f>
        <v/>
      </c>
      <c r="U1068" s="170" t="n">
        <v>1</v>
      </c>
    </row>
    <row r="1069">
      <c r="A1069" s="54" t="inlineStr">
        <is>
          <t>US DC Satin Fitted</t>
        </is>
      </c>
      <c r="B1069" s="54" t="inlineStr">
        <is>
          <t>US</t>
        </is>
      </c>
      <c r="C1069" s="54" t="inlineStr">
        <is>
          <t>B0DBW28W1W</t>
        </is>
      </c>
      <c r="D1069" s="54" t="inlineStr">
        <is>
          <t>SATIN-FITTED-TWIN-STONE-GREY</t>
        </is>
      </c>
      <c r="E1069" s="54" t="inlineStr">
        <is>
          <t>Twin</t>
        </is>
      </c>
      <c r="F1069" s="54" t="inlineStr">
        <is>
          <t>Stone Grey</t>
        </is>
      </c>
      <c r="G1069" s="55" t="n">
        <v>4</v>
      </c>
      <c r="H1069" s="167" t="n">
        <v>56.8</v>
      </c>
      <c r="I1069" s="167" t="n">
        <v>0</v>
      </c>
      <c r="J1069" s="168">
        <f>IF(AND(N(G1069)&gt;0,N(H1069)+N(I1069)&gt;0),(H1069+I1069)*U1069/G1069,"")</f>
        <v/>
      </c>
      <c r="K1069" s="167" t="n">
        <v>19.95</v>
      </c>
      <c r="L1069" s="167" t="n">
        <v>18.95</v>
      </c>
      <c r="M1069" s="54" t="inlineStr">
        <is>
          <t>Eligible</t>
        </is>
      </c>
      <c r="N1069" s="168">
        <f>IF(OR(J1069="",L1069=""),"",L1069-J1069)</f>
        <v/>
      </c>
      <c r="O1069" s="169">
        <f>IF(OR(J1069="",L1069=""),"",L1069/J1069-1)</f>
        <v/>
      </c>
      <c r="P1069" s="169">
        <f>IF(OR(J1069="",K1069=""),"",K1069/J1069-1)</f>
        <v/>
      </c>
      <c r="Q1069" s="54">
        <f>IF(AND(ISNUMBER(J1069),ISNUMBER(L1069)),1,0)</f>
        <v/>
      </c>
      <c r="R1069" s="69">
        <f>IF(Q1069=1,G1069*L1069,0)</f>
        <v/>
      </c>
      <c r="S1069" s="69">
        <f>IF(Q1069=1,(H1069+I1069)*U1069,0)</f>
        <v/>
      </c>
      <c r="T1069" s="59">
        <f>IF(Q1069=1,G1069,0)</f>
        <v/>
      </c>
      <c r="U1069" s="170" t="n">
        <v>1</v>
      </c>
    </row>
    <row r="1070">
      <c r="A1070" s="54" t="inlineStr">
        <is>
          <t>US DC Satin Fitted</t>
        </is>
      </c>
      <c r="B1070" s="54" t="inlineStr">
        <is>
          <t>US</t>
        </is>
      </c>
      <c r="C1070" s="54" t="inlineStr">
        <is>
          <t>B0DBVZ73F7</t>
        </is>
      </c>
      <c r="D1070" s="54" t="inlineStr">
        <is>
          <t>SATIN-FITTED-FULL-GOLD</t>
        </is>
      </c>
      <c r="E1070" s="54" t="inlineStr">
        <is>
          <t>Full</t>
        </is>
      </c>
      <c r="F1070" s="54" t="inlineStr">
        <is>
          <t>Gold</t>
        </is>
      </c>
      <c r="G1070" s="55" t="n">
        <v>1</v>
      </c>
      <c r="H1070" s="167" t="n">
        <v>13.56</v>
      </c>
      <c r="I1070" s="167" t="n">
        <v>0</v>
      </c>
      <c r="J1070" s="168">
        <f>IF(AND(N(G1070)&gt;0,N(H1070)+N(I1070)&gt;0),(H1070+I1070)*U1070/G1070,"")</f>
        <v/>
      </c>
      <c r="K1070" s="167" t="n">
        <v>20.95</v>
      </c>
      <c r="L1070" s="167" t="n">
        <v>19.9</v>
      </c>
      <c r="M1070" s="54" t="inlineStr">
        <is>
          <t>Eligible</t>
        </is>
      </c>
      <c r="N1070" s="168">
        <f>IF(OR(J1070="",L1070=""),"",L1070-J1070)</f>
        <v/>
      </c>
      <c r="O1070" s="169">
        <f>IF(OR(J1070="",L1070=""),"",L1070/J1070-1)</f>
        <v/>
      </c>
      <c r="P1070" s="169">
        <f>IF(OR(J1070="",K1070=""),"",K1070/J1070-1)</f>
        <v/>
      </c>
      <c r="Q1070" s="54">
        <f>IF(AND(ISNUMBER(J1070),ISNUMBER(L1070)),1,0)</f>
        <v/>
      </c>
      <c r="R1070" s="69">
        <f>IF(Q1070=1,G1070*L1070,0)</f>
        <v/>
      </c>
      <c r="S1070" s="69">
        <f>IF(Q1070=1,(H1070+I1070)*U1070,0)</f>
        <v/>
      </c>
      <c r="T1070" s="59">
        <f>IF(Q1070=1,G1070,0)</f>
        <v/>
      </c>
      <c r="U1070" s="170" t="n">
        <v>1</v>
      </c>
    </row>
    <row r="1071">
      <c r="A1071" s="54" t="inlineStr">
        <is>
          <t>CA DC Satin Fitted</t>
        </is>
      </c>
      <c r="B1071" s="54" t="inlineStr">
        <is>
          <t>CA</t>
        </is>
      </c>
      <c r="C1071" s="54" t="inlineStr">
        <is>
          <t>B0DBW1PNJ8</t>
        </is>
      </c>
      <c r="D1071" s="54" t="inlineStr">
        <is>
          <t>SATIN-FITTED-QUEEN-BLACK</t>
        </is>
      </c>
      <c r="E1071" s="54" t="inlineStr">
        <is>
          <t>Queen</t>
        </is>
      </c>
      <c r="F1071" s="54" t="inlineStr">
        <is>
          <t>Black</t>
        </is>
      </c>
      <c r="G1071" s="55" t="n">
        <v>11</v>
      </c>
      <c r="H1071" s="167" t="n">
        <v>179.5</v>
      </c>
      <c r="I1071" s="167" t="n">
        <v>0</v>
      </c>
      <c r="J1071" s="171">
        <f>IF(AND(N(G1071)&gt;0,N(H1071)+N(I1071)&gt;0),(H1071+I1071)*U1071/G1071,"")</f>
        <v/>
      </c>
      <c r="K1071" s="172" t="n">
        <v>22.95</v>
      </c>
      <c r="L1071" s="172" t="n">
        <v>21.8</v>
      </c>
      <c r="M1071" s="54" t="inlineStr">
        <is>
          <t>Eligible</t>
        </is>
      </c>
      <c r="N1071" s="171">
        <f>IF(OR(J1071="",L1071=""),"",L1071-J1071)</f>
        <v/>
      </c>
      <c r="O1071" s="169">
        <f>IF(OR(J1071="",L1071=""),"",L1071/J1071-1)</f>
        <v/>
      </c>
      <c r="P1071" s="169">
        <f>IF(OR(J1071="",K1071=""),"",K1071/J1071-1)</f>
        <v/>
      </c>
      <c r="Q1071" s="54">
        <f>IF(AND(ISNUMBER(J1071),ISNUMBER(L1071)),1,0)</f>
        <v/>
      </c>
      <c r="R1071" s="69">
        <f>IF(Q1071=1,G1071*L1071,0)</f>
        <v/>
      </c>
      <c r="S1071" s="69">
        <f>IF(Q1071=1,(H1071+I1071)*U1071,0)</f>
        <v/>
      </c>
      <c r="T1071" s="59">
        <f>IF(Q1071=1,G1071,0)</f>
        <v/>
      </c>
      <c r="U1071" s="170">
        <f>$G$3</f>
        <v/>
      </c>
    </row>
    <row r="1072">
      <c r="A1072" s="54" t="inlineStr">
        <is>
          <t>CA DC Satin Fitted</t>
        </is>
      </c>
      <c r="B1072" s="54" t="inlineStr">
        <is>
          <t>CA</t>
        </is>
      </c>
      <c r="C1072" s="54" t="inlineStr">
        <is>
          <t>B0DBW157CR</t>
        </is>
      </c>
      <c r="D1072" s="54" t="inlineStr">
        <is>
          <t>SATIN-FITTED-QUEEN-WHITE</t>
        </is>
      </c>
      <c r="E1072" s="54" t="inlineStr">
        <is>
          <t>Queen</t>
        </is>
      </c>
      <c r="F1072" s="54" t="inlineStr">
        <is>
          <t>White</t>
        </is>
      </c>
      <c r="G1072" s="55" t="n">
        <v>10</v>
      </c>
      <c r="H1072" s="167" t="n">
        <v>170.2</v>
      </c>
      <c r="I1072" s="167" t="n">
        <v>0</v>
      </c>
      <c r="J1072" s="171">
        <f>IF(AND(N(G1072)&gt;0,N(H1072)+N(I1072)&gt;0),(H1072+I1072)*U1072/G1072,"")</f>
        <v/>
      </c>
      <c r="K1072" s="172" t="n">
        <v>23.95</v>
      </c>
      <c r="L1072" s="172" t="n"/>
      <c r="M1072" s="54" t="inlineStr">
        <is>
          <t>Out of stock</t>
        </is>
      </c>
      <c r="N1072" s="171">
        <f>IF(OR(J1072="",L1072=""),"",L1072-J1072)</f>
        <v/>
      </c>
      <c r="O1072" s="169">
        <f>IF(OR(J1072="",L1072=""),"",L1072/J1072-1)</f>
        <v/>
      </c>
      <c r="P1072" s="169">
        <f>IF(OR(J1072="",K1072=""),"",K1072/J1072-1)</f>
        <v/>
      </c>
      <c r="Q1072" s="54">
        <f>IF(AND(ISNUMBER(J1072),ISNUMBER(L1072)),1,0)</f>
        <v/>
      </c>
      <c r="R1072" s="69">
        <f>IF(Q1072=1,G1072*L1072,0)</f>
        <v/>
      </c>
      <c r="S1072" s="69">
        <f>IF(Q1072=1,(H1072+I1072)*U1072,0)</f>
        <v/>
      </c>
      <c r="T1072" s="59">
        <f>IF(Q1072=1,G1072,0)</f>
        <v/>
      </c>
      <c r="U1072" s="170">
        <f>$G$3</f>
        <v/>
      </c>
    </row>
    <row r="1073">
      <c r="A1073" s="54" t="inlineStr">
        <is>
          <t>CA DC Satin Fitted</t>
        </is>
      </c>
      <c r="B1073" s="54" t="inlineStr">
        <is>
          <t>CA</t>
        </is>
      </c>
      <c r="C1073" s="54" t="inlineStr">
        <is>
          <t>B0DBVZQYZ7</t>
        </is>
      </c>
      <c r="D1073" s="54" t="inlineStr">
        <is>
          <t>SATIN-FITTED-QUEEN-STONE-GREY</t>
        </is>
      </c>
      <c r="E1073" s="54" t="inlineStr">
        <is>
          <t>Queen</t>
        </is>
      </c>
      <c r="F1073" s="54" t="inlineStr">
        <is>
          <t>Stone Grey</t>
        </is>
      </c>
      <c r="G1073" s="55" t="n">
        <v>9</v>
      </c>
      <c r="H1073" s="167" t="n">
        <v>153.37</v>
      </c>
      <c r="I1073" s="167" t="n">
        <v>0</v>
      </c>
      <c r="J1073" s="171">
        <f>IF(AND(N(G1073)&gt;0,N(H1073)+N(I1073)&gt;0),(H1073+I1073)*U1073/G1073,"")</f>
        <v/>
      </c>
      <c r="K1073" s="172" t="n">
        <v>23.95</v>
      </c>
      <c r="L1073" s="172" t="n"/>
      <c r="M1073" s="54" t="inlineStr">
        <is>
          <t>Out of stock</t>
        </is>
      </c>
      <c r="N1073" s="171">
        <f>IF(OR(J1073="",L1073=""),"",L1073-J1073)</f>
        <v/>
      </c>
      <c r="O1073" s="169">
        <f>IF(OR(J1073="",L1073=""),"",L1073/J1073-1)</f>
        <v/>
      </c>
      <c r="P1073" s="169">
        <f>IF(OR(J1073="",K1073=""),"",K1073/J1073-1)</f>
        <v/>
      </c>
      <c r="Q1073" s="54">
        <f>IF(AND(ISNUMBER(J1073),ISNUMBER(L1073)),1,0)</f>
        <v/>
      </c>
      <c r="R1073" s="69">
        <f>IF(Q1073=1,G1073*L1073,0)</f>
        <v/>
      </c>
      <c r="S1073" s="69">
        <f>IF(Q1073=1,(H1073+I1073)*U1073,0)</f>
        <v/>
      </c>
      <c r="T1073" s="59">
        <f>IF(Q1073=1,G1073,0)</f>
        <v/>
      </c>
      <c r="U1073" s="170">
        <f>$G$3</f>
        <v/>
      </c>
    </row>
    <row r="1074">
      <c r="A1074" s="54" t="inlineStr">
        <is>
          <t>CA DC Satin Fitted</t>
        </is>
      </c>
      <c r="B1074" s="54" t="inlineStr">
        <is>
          <t>CA</t>
        </is>
      </c>
      <c r="C1074" s="54" t="inlineStr">
        <is>
          <t>B0DBW19GXY</t>
        </is>
      </c>
      <c r="D1074" s="54" t="inlineStr">
        <is>
          <t>SATIN-FITTED-QUEEN-GREY</t>
        </is>
      </c>
      <c r="E1074" s="54" t="inlineStr">
        <is>
          <t>Queen</t>
        </is>
      </c>
      <c r="F1074" s="54" t="inlineStr">
        <is>
          <t>Grey</t>
        </is>
      </c>
      <c r="G1074" s="55" t="n">
        <v>8</v>
      </c>
      <c r="H1074" s="167" t="n">
        <v>130.62</v>
      </c>
      <c r="I1074" s="167" t="n">
        <v>0</v>
      </c>
      <c r="J1074" s="171">
        <f>IF(AND(N(G1074)&gt;0,N(H1074)+N(I1074)&gt;0),(H1074+I1074)*U1074/G1074,"")</f>
        <v/>
      </c>
      <c r="K1074" s="172" t="n">
        <v>22.95</v>
      </c>
      <c r="L1074" s="172" t="n">
        <v>21.8</v>
      </c>
      <c r="M1074" s="54" t="inlineStr">
        <is>
          <t>Eligible</t>
        </is>
      </c>
      <c r="N1074" s="171">
        <f>IF(OR(J1074="",L1074=""),"",L1074-J1074)</f>
        <v/>
      </c>
      <c r="O1074" s="169">
        <f>IF(OR(J1074="",L1074=""),"",L1074/J1074-1)</f>
        <v/>
      </c>
      <c r="P1074" s="169">
        <f>IF(OR(J1074="",K1074=""),"",K1074/J1074-1)</f>
        <v/>
      </c>
      <c r="Q1074" s="54">
        <f>IF(AND(ISNUMBER(J1074),ISNUMBER(L1074)),1,0)</f>
        <v/>
      </c>
      <c r="R1074" s="69">
        <f>IF(Q1074=1,G1074*L1074,0)</f>
        <v/>
      </c>
      <c r="S1074" s="69">
        <f>IF(Q1074=1,(H1074+I1074)*U1074,0)</f>
        <v/>
      </c>
      <c r="T1074" s="59">
        <f>IF(Q1074=1,G1074,0)</f>
        <v/>
      </c>
      <c r="U1074" s="170">
        <f>$G$3</f>
        <v/>
      </c>
    </row>
    <row r="1075">
      <c r="A1075" s="54" t="inlineStr">
        <is>
          <t>CA DC Satin Fitted</t>
        </is>
      </c>
      <c r="B1075" s="54" t="inlineStr">
        <is>
          <t>CA</t>
        </is>
      </c>
      <c r="C1075" s="54" t="inlineStr">
        <is>
          <t>B0DBVZTM41</t>
        </is>
      </c>
      <c r="D1075" s="54" t="inlineStr">
        <is>
          <t>SATIN-FITTED-FULL-BLACK</t>
        </is>
      </c>
      <c r="E1075" s="54" t="inlineStr">
        <is>
          <t>Full</t>
        </is>
      </c>
      <c r="F1075" s="54" t="inlineStr">
        <is>
          <t>Black</t>
        </is>
      </c>
      <c r="G1075" s="55" t="n">
        <v>6</v>
      </c>
      <c r="H1075" s="167" t="n">
        <v>89.48</v>
      </c>
      <c r="I1075" s="167" t="n">
        <v>0</v>
      </c>
      <c r="J1075" s="171">
        <f>IF(AND(N(G1075)&gt;0,N(H1075)+N(I1075)&gt;0),(H1075+I1075)*U1075/G1075,"")</f>
        <v/>
      </c>
      <c r="K1075" s="172" t="n">
        <v>20.95</v>
      </c>
      <c r="L1075" s="172" t="n"/>
      <c r="M1075" s="54" t="inlineStr">
        <is>
          <t>Out of stock</t>
        </is>
      </c>
      <c r="N1075" s="171">
        <f>IF(OR(J1075="",L1075=""),"",L1075-J1075)</f>
        <v/>
      </c>
      <c r="O1075" s="169">
        <f>IF(OR(J1075="",L1075=""),"",L1075/J1075-1)</f>
        <v/>
      </c>
      <c r="P1075" s="169">
        <f>IF(OR(J1075="",K1075=""),"",K1075/J1075-1)</f>
        <v/>
      </c>
      <c r="Q1075" s="54">
        <f>IF(AND(ISNUMBER(J1075),ISNUMBER(L1075)),1,0)</f>
        <v/>
      </c>
      <c r="R1075" s="69">
        <f>IF(Q1075=1,G1075*L1075,0)</f>
        <v/>
      </c>
      <c r="S1075" s="69">
        <f>IF(Q1075=1,(H1075+I1075)*U1075,0)</f>
        <v/>
      </c>
      <c r="T1075" s="59">
        <f>IF(Q1075=1,G1075,0)</f>
        <v/>
      </c>
      <c r="U1075" s="170">
        <f>$G$3</f>
        <v/>
      </c>
    </row>
    <row r="1076">
      <c r="A1076" s="54" t="inlineStr">
        <is>
          <t>CA DC Satin Fitted</t>
        </is>
      </c>
      <c r="B1076" s="54" t="inlineStr">
        <is>
          <t>CA</t>
        </is>
      </c>
      <c r="C1076" s="54" t="inlineStr">
        <is>
          <t>B0DBVZRL8V</t>
        </is>
      </c>
      <c r="D1076" s="54" t="inlineStr">
        <is>
          <t>SATIN-FITTED-TWIN-BLACK</t>
        </is>
      </c>
      <c r="E1076" s="54" t="inlineStr">
        <is>
          <t>Twin</t>
        </is>
      </c>
      <c r="F1076" s="54" t="inlineStr">
        <is>
          <t>Black</t>
        </is>
      </c>
      <c r="G1076" s="55" t="n">
        <v>6</v>
      </c>
      <c r="H1076" s="167" t="n">
        <v>85.23999999999999</v>
      </c>
      <c r="I1076" s="167" t="n">
        <v>0</v>
      </c>
      <c r="J1076" s="171">
        <f>IF(AND(N(G1076)&gt;0,N(H1076)+N(I1076)&gt;0),(H1076+I1076)*U1076/G1076,"")</f>
        <v/>
      </c>
      <c r="K1076" s="172" t="n">
        <v>19.95</v>
      </c>
      <c r="L1076" s="172" t="n"/>
      <c r="M1076" s="54" t="inlineStr">
        <is>
          <t>Out of stock</t>
        </is>
      </c>
      <c r="N1076" s="171">
        <f>IF(OR(J1076="",L1076=""),"",L1076-J1076)</f>
        <v/>
      </c>
      <c r="O1076" s="169">
        <f>IF(OR(J1076="",L1076=""),"",L1076/J1076-1)</f>
        <v/>
      </c>
      <c r="P1076" s="169">
        <f>IF(OR(J1076="",K1076=""),"",K1076/J1076-1)</f>
        <v/>
      </c>
      <c r="Q1076" s="54">
        <f>IF(AND(ISNUMBER(J1076),ISNUMBER(L1076)),1,0)</f>
        <v/>
      </c>
      <c r="R1076" s="69">
        <f>IF(Q1076=1,G1076*L1076,0)</f>
        <v/>
      </c>
      <c r="S1076" s="69">
        <f>IF(Q1076=1,(H1076+I1076)*U1076,0)</f>
        <v/>
      </c>
      <c r="T1076" s="59">
        <f>IF(Q1076=1,G1076,0)</f>
        <v/>
      </c>
      <c r="U1076" s="170">
        <f>$G$3</f>
        <v/>
      </c>
    </row>
    <row r="1077">
      <c r="A1077" s="54" t="inlineStr">
        <is>
          <t>CA DC Satin Fitted</t>
        </is>
      </c>
      <c r="B1077" s="54" t="inlineStr">
        <is>
          <t>CA</t>
        </is>
      </c>
      <c r="C1077" s="54" t="inlineStr">
        <is>
          <t>B0DBVZKXNX</t>
        </is>
      </c>
      <c r="D1077" s="54" t="inlineStr">
        <is>
          <t>SATIN-FITTED-KING-ROSEWOOD</t>
        </is>
      </c>
      <c r="E1077" s="54" t="inlineStr">
        <is>
          <t>King</t>
        </is>
      </c>
      <c r="F1077" s="54" t="inlineStr">
        <is>
          <t>Rosewood</t>
        </is>
      </c>
      <c r="G1077" s="55" t="n">
        <v>5</v>
      </c>
      <c r="H1077" s="167" t="n">
        <v>88.89</v>
      </c>
      <c r="I1077" s="167" t="n">
        <v>0</v>
      </c>
      <c r="J1077" s="171">
        <f>IF(AND(N(G1077)&gt;0,N(H1077)+N(I1077)&gt;0),(H1077+I1077)*U1077/G1077,"")</f>
        <v/>
      </c>
      <c r="K1077" s="172" t="n">
        <v>24.95</v>
      </c>
      <c r="L1077" s="172" t="n">
        <v>24.95</v>
      </c>
      <c r="M1077" s="54" t="inlineStr">
        <is>
          <t>Eligible</t>
        </is>
      </c>
      <c r="N1077" s="171">
        <f>IF(OR(J1077="",L1077=""),"",L1077-J1077)</f>
        <v/>
      </c>
      <c r="O1077" s="169">
        <f>IF(OR(J1077="",L1077=""),"",L1077/J1077-1)</f>
        <v/>
      </c>
      <c r="P1077" s="169">
        <f>IF(OR(J1077="",K1077=""),"",K1077/J1077-1)</f>
        <v/>
      </c>
      <c r="Q1077" s="54">
        <f>IF(AND(ISNUMBER(J1077),ISNUMBER(L1077)),1,0)</f>
        <v/>
      </c>
      <c r="R1077" s="69">
        <f>IF(Q1077=1,G1077*L1077,0)</f>
        <v/>
      </c>
      <c r="S1077" s="69">
        <f>IF(Q1077=1,(H1077+I1077)*U1077,0)</f>
        <v/>
      </c>
      <c r="T1077" s="59">
        <f>IF(Q1077=1,G1077,0)</f>
        <v/>
      </c>
      <c r="U1077" s="170">
        <f>$G$3</f>
        <v/>
      </c>
    </row>
    <row r="1078">
      <c r="A1078" s="54" t="inlineStr">
        <is>
          <t>CA DC Satin Fitted</t>
        </is>
      </c>
      <c r="B1078" s="54" t="inlineStr">
        <is>
          <t>CA</t>
        </is>
      </c>
      <c r="C1078" s="54" t="inlineStr">
        <is>
          <t>B0DBVYF4DM</t>
        </is>
      </c>
      <c r="D1078" s="54" t="inlineStr">
        <is>
          <t>SATIN-FITTED-KING-STONE-GREY</t>
        </is>
      </c>
      <c r="E1078" s="54" t="inlineStr">
        <is>
          <t>King</t>
        </is>
      </c>
      <c r="F1078" s="54" t="inlineStr">
        <is>
          <t>Stone Grey</t>
        </is>
      </c>
      <c r="G1078" s="55" t="n">
        <v>5</v>
      </c>
      <c r="H1078" s="167" t="n">
        <v>89.12</v>
      </c>
      <c r="I1078" s="167" t="n">
        <v>0</v>
      </c>
      <c r="J1078" s="171">
        <f>IF(AND(N(G1078)&gt;0,N(H1078)+N(I1078)&gt;0),(H1078+I1078)*U1078/G1078,"")</f>
        <v/>
      </c>
      <c r="K1078" s="172" t="n">
        <v>24.95</v>
      </c>
      <c r="L1078" s="172" t="n"/>
      <c r="M1078" s="54" t="inlineStr">
        <is>
          <t>Out of stock</t>
        </is>
      </c>
      <c r="N1078" s="171">
        <f>IF(OR(J1078="",L1078=""),"",L1078-J1078)</f>
        <v/>
      </c>
      <c r="O1078" s="169">
        <f>IF(OR(J1078="",L1078=""),"",L1078/J1078-1)</f>
        <v/>
      </c>
      <c r="P1078" s="169">
        <f>IF(OR(J1078="",K1078=""),"",K1078/J1078-1)</f>
        <v/>
      </c>
      <c r="Q1078" s="54">
        <f>IF(AND(ISNUMBER(J1078),ISNUMBER(L1078)),1,0)</f>
        <v/>
      </c>
      <c r="R1078" s="69">
        <f>IF(Q1078=1,G1078*L1078,0)</f>
        <v/>
      </c>
      <c r="S1078" s="69">
        <f>IF(Q1078=1,(H1078+I1078)*U1078,0)</f>
        <v/>
      </c>
      <c r="T1078" s="59">
        <f>IF(Q1078=1,G1078,0)</f>
        <v/>
      </c>
      <c r="U1078" s="170">
        <f>$G$3</f>
        <v/>
      </c>
    </row>
    <row r="1079">
      <c r="A1079" s="54" t="inlineStr">
        <is>
          <t>CA DC Satin Fitted</t>
        </is>
      </c>
      <c r="B1079" s="54" t="inlineStr">
        <is>
          <t>CA</t>
        </is>
      </c>
      <c r="C1079" s="54" t="inlineStr">
        <is>
          <t>B0DBW47GVH</t>
        </is>
      </c>
      <c r="D1079" s="54" t="inlineStr">
        <is>
          <t>SATIN-FITTED-QUEEN-LAVENDER</t>
        </is>
      </c>
      <c r="E1079" s="54" t="inlineStr">
        <is>
          <t>Queen</t>
        </is>
      </c>
      <c r="F1079" s="54" t="inlineStr">
        <is>
          <t>Lavender</t>
        </is>
      </c>
      <c r="G1079" s="55" t="n">
        <v>5</v>
      </c>
      <c r="H1079" s="167" t="n">
        <v>99.88</v>
      </c>
      <c r="I1079" s="167" t="n">
        <v>0</v>
      </c>
      <c r="J1079" s="171">
        <f>IF(AND(N(G1079)&gt;0,N(H1079)+N(I1079)&gt;0),(H1079+I1079)*U1079/G1079,"")</f>
        <v/>
      </c>
      <c r="K1079" s="172" t="n">
        <v>27.95</v>
      </c>
      <c r="L1079" s="172" t="n">
        <v>26.55</v>
      </c>
      <c r="M1079" s="54" t="inlineStr">
        <is>
          <t>Eligible</t>
        </is>
      </c>
      <c r="N1079" s="171">
        <f>IF(OR(J1079="",L1079=""),"",L1079-J1079)</f>
        <v/>
      </c>
      <c r="O1079" s="169">
        <f>IF(OR(J1079="",L1079=""),"",L1079/J1079-1)</f>
        <v/>
      </c>
      <c r="P1079" s="169">
        <f>IF(OR(J1079="",K1079=""),"",K1079/J1079-1)</f>
        <v/>
      </c>
      <c r="Q1079" s="54">
        <f>IF(AND(ISNUMBER(J1079),ISNUMBER(L1079)),1,0)</f>
        <v/>
      </c>
      <c r="R1079" s="69">
        <f>IF(Q1079=1,G1079*L1079,0)</f>
        <v/>
      </c>
      <c r="S1079" s="69">
        <f>IF(Q1079=1,(H1079+I1079)*U1079,0)</f>
        <v/>
      </c>
      <c r="T1079" s="59">
        <f>IF(Q1079=1,G1079,0)</f>
        <v/>
      </c>
      <c r="U1079" s="170">
        <f>$G$3</f>
        <v/>
      </c>
    </row>
    <row r="1080">
      <c r="A1080" s="54" t="inlineStr">
        <is>
          <t>CA DC Satin Fitted</t>
        </is>
      </c>
      <c r="B1080" s="54" t="inlineStr">
        <is>
          <t>CA</t>
        </is>
      </c>
      <c r="C1080" s="54" t="inlineStr">
        <is>
          <t>B0DBW2LTK4</t>
        </is>
      </c>
      <c r="D1080" s="54" t="inlineStr">
        <is>
          <t>SATIN-FITTED-TWIN-GREY</t>
        </is>
      </c>
      <c r="E1080" s="54" t="inlineStr">
        <is>
          <t>Twin</t>
        </is>
      </c>
      <c r="F1080" s="54" t="inlineStr">
        <is>
          <t>Grey</t>
        </is>
      </c>
      <c r="G1080" s="55" t="n">
        <v>5</v>
      </c>
      <c r="H1080" s="167" t="n">
        <v>71.09999999999999</v>
      </c>
      <c r="I1080" s="167" t="n">
        <v>0</v>
      </c>
      <c r="J1080" s="171">
        <f>IF(AND(N(G1080)&gt;0,N(H1080)+N(I1080)&gt;0),(H1080+I1080)*U1080/G1080,"")</f>
        <v/>
      </c>
      <c r="K1080" s="172" t="n">
        <v>19.95</v>
      </c>
      <c r="L1080" s="172" t="n">
        <v>18.95</v>
      </c>
      <c r="M1080" s="54" t="inlineStr">
        <is>
          <t>Eligible</t>
        </is>
      </c>
      <c r="N1080" s="171">
        <f>IF(OR(J1080="",L1080=""),"",L1080-J1080)</f>
        <v/>
      </c>
      <c r="O1080" s="169">
        <f>IF(OR(J1080="",L1080=""),"",L1080/J1080-1)</f>
        <v/>
      </c>
      <c r="P1080" s="169">
        <f>IF(OR(J1080="",K1080=""),"",K1080/J1080-1)</f>
        <v/>
      </c>
      <c r="Q1080" s="54">
        <f>IF(AND(ISNUMBER(J1080),ISNUMBER(L1080)),1,0)</f>
        <v/>
      </c>
      <c r="R1080" s="69">
        <f>IF(Q1080=1,G1080*L1080,0)</f>
        <v/>
      </c>
      <c r="S1080" s="69">
        <f>IF(Q1080=1,(H1080+I1080)*U1080,0)</f>
        <v/>
      </c>
      <c r="T1080" s="59">
        <f>IF(Q1080=1,G1080,0)</f>
        <v/>
      </c>
      <c r="U1080" s="170">
        <f>$G$3</f>
        <v/>
      </c>
    </row>
    <row r="1081">
      <c r="A1081" s="54" t="inlineStr">
        <is>
          <t>CA DC Satin Fitted</t>
        </is>
      </c>
      <c r="B1081" s="54" t="inlineStr">
        <is>
          <t>CA</t>
        </is>
      </c>
      <c r="C1081" s="54" t="inlineStr">
        <is>
          <t>B0DBVZNLSM</t>
        </is>
      </c>
      <c r="D1081" s="54" t="inlineStr">
        <is>
          <t>SATIN-FITTED-FULL-BLUSH-PINK</t>
        </is>
      </c>
      <c r="E1081" s="54" t="inlineStr">
        <is>
          <t>Full</t>
        </is>
      </c>
      <c r="F1081" s="54" t="inlineStr">
        <is>
          <t>Blush Pink</t>
        </is>
      </c>
      <c r="G1081" s="55" t="n">
        <v>4</v>
      </c>
      <c r="H1081" s="167" t="n">
        <v>65.34999999999999</v>
      </c>
      <c r="I1081" s="167" t="n">
        <v>0</v>
      </c>
      <c r="J1081" s="171">
        <f>IF(AND(N(G1081)&gt;0,N(H1081)+N(I1081)&gt;0),(H1081+I1081)*U1081/G1081,"")</f>
        <v/>
      </c>
      <c r="K1081" s="172" t="n">
        <v>22.95</v>
      </c>
      <c r="L1081" s="172" t="n">
        <v>21.8</v>
      </c>
      <c r="M1081" s="54" t="inlineStr">
        <is>
          <t>Eligible</t>
        </is>
      </c>
      <c r="N1081" s="171">
        <f>IF(OR(J1081="",L1081=""),"",L1081-J1081)</f>
        <v/>
      </c>
      <c r="O1081" s="169">
        <f>IF(OR(J1081="",L1081=""),"",L1081/J1081-1)</f>
        <v/>
      </c>
      <c r="P1081" s="169">
        <f>IF(OR(J1081="",K1081=""),"",K1081/J1081-1)</f>
        <v/>
      </c>
      <c r="Q1081" s="54">
        <f>IF(AND(ISNUMBER(J1081),ISNUMBER(L1081)),1,0)</f>
        <v/>
      </c>
      <c r="R1081" s="69">
        <f>IF(Q1081=1,G1081*L1081,0)</f>
        <v/>
      </c>
      <c r="S1081" s="69">
        <f>IF(Q1081=1,(H1081+I1081)*U1081,0)</f>
        <v/>
      </c>
      <c r="T1081" s="59">
        <f>IF(Q1081=1,G1081,0)</f>
        <v/>
      </c>
      <c r="U1081" s="170">
        <f>$G$3</f>
        <v/>
      </c>
    </row>
    <row r="1082">
      <c r="A1082" s="54" t="inlineStr">
        <is>
          <t>CA DC Satin Fitted</t>
        </is>
      </c>
      <c r="B1082" s="54" t="inlineStr">
        <is>
          <t>CA</t>
        </is>
      </c>
      <c r="C1082" s="54" t="inlineStr">
        <is>
          <t>B0DBVYHGK1</t>
        </is>
      </c>
      <c r="D1082" s="54" t="inlineStr">
        <is>
          <t>SATIN-FITTED-FULL-NAVY-BLUE</t>
        </is>
      </c>
      <c r="E1082" s="54" t="inlineStr">
        <is>
          <t>Full</t>
        </is>
      </c>
      <c r="F1082" s="54" t="inlineStr">
        <is>
          <t>Navy Blue</t>
        </is>
      </c>
      <c r="G1082" s="55" t="n">
        <v>4</v>
      </c>
      <c r="H1082" s="167" t="n">
        <v>65.27</v>
      </c>
      <c r="I1082" s="167" t="n">
        <v>0</v>
      </c>
      <c r="J1082" s="171">
        <f>IF(AND(N(G1082)&gt;0,N(H1082)+N(I1082)&gt;0),(H1082+I1082)*U1082/G1082,"")</f>
        <v/>
      </c>
      <c r="K1082" s="172" t="n">
        <v>22.95</v>
      </c>
      <c r="L1082" s="172" t="n">
        <v>21.8</v>
      </c>
      <c r="M1082" s="54" t="inlineStr">
        <is>
          <t>Eligible</t>
        </is>
      </c>
      <c r="N1082" s="171">
        <f>IF(OR(J1082="",L1082=""),"",L1082-J1082)</f>
        <v/>
      </c>
      <c r="O1082" s="169">
        <f>IF(OR(J1082="",L1082=""),"",L1082/J1082-1)</f>
        <v/>
      </c>
      <c r="P1082" s="169">
        <f>IF(OR(J1082="",K1082=""),"",K1082/J1082-1)</f>
        <v/>
      </c>
      <c r="Q1082" s="54">
        <f>IF(AND(ISNUMBER(J1082),ISNUMBER(L1082)),1,0)</f>
        <v/>
      </c>
      <c r="R1082" s="69">
        <f>IF(Q1082=1,G1082*L1082,0)</f>
        <v/>
      </c>
      <c r="S1082" s="69">
        <f>IF(Q1082=1,(H1082+I1082)*U1082,0)</f>
        <v/>
      </c>
      <c r="T1082" s="59">
        <f>IF(Q1082=1,G1082,0)</f>
        <v/>
      </c>
      <c r="U1082" s="170">
        <f>$G$3</f>
        <v/>
      </c>
    </row>
    <row r="1083">
      <c r="A1083" s="54" t="inlineStr">
        <is>
          <t>CA DC Satin Fitted</t>
        </is>
      </c>
      <c r="B1083" s="54" t="inlineStr">
        <is>
          <t>CA</t>
        </is>
      </c>
      <c r="C1083" s="54" t="inlineStr">
        <is>
          <t>B0DBVZRZ4H</t>
        </is>
      </c>
      <c r="D1083" s="54" t="inlineStr">
        <is>
          <t>SATIN-FITTED-FULL-PINK</t>
        </is>
      </c>
      <c r="E1083" s="54" t="inlineStr">
        <is>
          <t>Full</t>
        </is>
      </c>
      <c r="F1083" s="54" t="inlineStr">
        <is>
          <t>Pink</t>
        </is>
      </c>
      <c r="G1083" s="55" t="n">
        <v>4</v>
      </c>
      <c r="H1083" s="167" t="n">
        <v>65.27</v>
      </c>
      <c r="I1083" s="167" t="n">
        <v>0</v>
      </c>
      <c r="J1083" s="171">
        <f>IF(AND(N(G1083)&gt;0,N(H1083)+N(I1083)&gt;0),(H1083+I1083)*U1083/G1083,"")</f>
        <v/>
      </c>
      <c r="K1083" s="172" t="n">
        <v>22.95</v>
      </c>
      <c r="L1083" s="172" t="n">
        <v>21.8</v>
      </c>
      <c r="M1083" s="54" t="inlineStr">
        <is>
          <t>Eligible</t>
        </is>
      </c>
      <c r="N1083" s="171">
        <f>IF(OR(J1083="",L1083=""),"",L1083-J1083)</f>
        <v/>
      </c>
      <c r="O1083" s="169">
        <f>IF(OR(J1083="",L1083=""),"",L1083/J1083-1)</f>
        <v/>
      </c>
      <c r="P1083" s="169">
        <f>IF(OR(J1083="",K1083=""),"",K1083/J1083-1)</f>
        <v/>
      </c>
      <c r="Q1083" s="54">
        <f>IF(AND(ISNUMBER(J1083),ISNUMBER(L1083)),1,0)</f>
        <v/>
      </c>
      <c r="R1083" s="69">
        <f>IF(Q1083=1,G1083*L1083,0)</f>
        <v/>
      </c>
      <c r="S1083" s="69">
        <f>IF(Q1083=1,(H1083+I1083)*U1083,0)</f>
        <v/>
      </c>
      <c r="T1083" s="59">
        <f>IF(Q1083=1,G1083,0)</f>
        <v/>
      </c>
      <c r="U1083" s="170">
        <f>$G$3</f>
        <v/>
      </c>
    </row>
    <row r="1084">
      <c r="A1084" s="54" t="inlineStr">
        <is>
          <t>CA DC Satin Fitted</t>
        </is>
      </c>
      <c r="B1084" s="54" t="inlineStr">
        <is>
          <t>CA</t>
        </is>
      </c>
      <c r="C1084" s="54" t="inlineStr">
        <is>
          <t>B0DBW3YBV4</t>
        </is>
      </c>
      <c r="D1084" s="54" t="inlineStr">
        <is>
          <t>SATIN-FITTED-FULL-RED</t>
        </is>
      </c>
      <c r="E1084" s="54" t="inlineStr">
        <is>
          <t>Full</t>
        </is>
      </c>
      <c r="F1084" s="54" t="inlineStr">
        <is>
          <t>Red</t>
        </is>
      </c>
      <c r="G1084" s="55" t="n">
        <v>4</v>
      </c>
      <c r="H1084" s="167" t="n">
        <v>65.17</v>
      </c>
      <c r="I1084" s="167" t="n">
        <v>0</v>
      </c>
      <c r="J1084" s="171">
        <f>IF(AND(N(G1084)&gt;0,N(H1084)+N(I1084)&gt;0),(H1084+I1084)*U1084/G1084,"")</f>
        <v/>
      </c>
      <c r="K1084" s="172" t="n">
        <v>22.95</v>
      </c>
      <c r="L1084" s="172" t="n">
        <v>21.8</v>
      </c>
      <c r="M1084" s="54" t="inlineStr">
        <is>
          <t>Eligible</t>
        </is>
      </c>
      <c r="N1084" s="171">
        <f>IF(OR(J1084="",L1084=""),"",L1084-J1084)</f>
        <v/>
      </c>
      <c r="O1084" s="169">
        <f>IF(OR(J1084="",L1084=""),"",L1084/J1084-1)</f>
        <v/>
      </c>
      <c r="P1084" s="169">
        <f>IF(OR(J1084="",K1084=""),"",K1084/J1084-1)</f>
        <v/>
      </c>
      <c r="Q1084" s="54">
        <f>IF(AND(ISNUMBER(J1084),ISNUMBER(L1084)),1,0)</f>
        <v/>
      </c>
      <c r="R1084" s="69">
        <f>IF(Q1084=1,G1084*L1084,0)</f>
        <v/>
      </c>
      <c r="S1084" s="69">
        <f>IF(Q1084=1,(H1084+I1084)*U1084,0)</f>
        <v/>
      </c>
      <c r="T1084" s="59">
        <f>IF(Q1084=1,G1084,0)</f>
        <v/>
      </c>
      <c r="U1084" s="170">
        <f>$G$3</f>
        <v/>
      </c>
    </row>
    <row r="1085">
      <c r="A1085" s="54" t="inlineStr">
        <is>
          <t>CA DC Satin Fitted</t>
        </is>
      </c>
      <c r="B1085" s="54" t="inlineStr">
        <is>
          <t>CA</t>
        </is>
      </c>
      <c r="C1085" s="54" t="inlineStr">
        <is>
          <t>B0DBVZZZ7B</t>
        </is>
      </c>
      <c r="D1085" s="54" t="inlineStr">
        <is>
          <t>SATIN-FITTED-FULL-STONE-GREY</t>
        </is>
      </c>
      <c r="E1085" s="54" t="inlineStr">
        <is>
          <t>Full</t>
        </is>
      </c>
      <c r="F1085" s="54" t="inlineStr">
        <is>
          <t>Stone Grey</t>
        </is>
      </c>
      <c r="G1085" s="55" t="n">
        <v>4</v>
      </c>
      <c r="H1085" s="167" t="n">
        <v>65.33</v>
      </c>
      <c r="I1085" s="167" t="n">
        <v>0</v>
      </c>
      <c r="J1085" s="171">
        <f>IF(AND(N(G1085)&gt;0,N(H1085)+N(I1085)&gt;0),(H1085+I1085)*U1085/G1085,"")</f>
        <v/>
      </c>
      <c r="K1085" s="172" t="n">
        <v>22.95</v>
      </c>
      <c r="L1085" s="172" t="n">
        <v>21.8</v>
      </c>
      <c r="M1085" s="54" t="inlineStr">
        <is>
          <t>Eligible</t>
        </is>
      </c>
      <c r="N1085" s="171">
        <f>IF(OR(J1085="",L1085=""),"",L1085-J1085)</f>
        <v/>
      </c>
      <c r="O1085" s="169">
        <f>IF(OR(J1085="",L1085=""),"",L1085/J1085-1)</f>
        <v/>
      </c>
      <c r="P1085" s="169">
        <f>IF(OR(J1085="",K1085=""),"",K1085/J1085-1)</f>
        <v/>
      </c>
      <c r="Q1085" s="54">
        <f>IF(AND(ISNUMBER(J1085),ISNUMBER(L1085)),1,0)</f>
        <v/>
      </c>
      <c r="R1085" s="69">
        <f>IF(Q1085=1,G1085*L1085,0)</f>
        <v/>
      </c>
      <c r="S1085" s="69">
        <f>IF(Q1085=1,(H1085+I1085)*U1085,0)</f>
        <v/>
      </c>
      <c r="T1085" s="59">
        <f>IF(Q1085=1,G1085,0)</f>
        <v/>
      </c>
      <c r="U1085" s="170">
        <f>$G$3</f>
        <v/>
      </c>
    </row>
    <row r="1086">
      <c r="A1086" s="54" t="inlineStr">
        <is>
          <t>CA DC Satin Fitted</t>
        </is>
      </c>
      <c r="B1086" s="54" t="inlineStr">
        <is>
          <t>CA</t>
        </is>
      </c>
      <c r="C1086" s="54" t="inlineStr">
        <is>
          <t>B0DBW27P8P</t>
        </is>
      </c>
      <c r="D1086" s="54" t="inlineStr">
        <is>
          <t>SATIN-FITTED-FULL-WHITE</t>
        </is>
      </c>
      <c r="E1086" s="54" t="inlineStr">
        <is>
          <t>Full</t>
        </is>
      </c>
      <c r="F1086" s="54" t="inlineStr">
        <is>
          <t>White</t>
        </is>
      </c>
      <c r="G1086" s="55" t="n">
        <v>4</v>
      </c>
      <c r="H1086" s="167" t="n">
        <v>65.41</v>
      </c>
      <c r="I1086" s="167" t="n">
        <v>0</v>
      </c>
      <c r="J1086" s="171">
        <f>IF(AND(N(G1086)&gt;0,N(H1086)+N(I1086)&gt;0),(H1086+I1086)*U1086/G1086,"")</f>
        <v/>
      </c>
      <c r="K1086" s="172" t="n">
        <v>22.95</v>
      </c>
      <c r="L1086" s="172" t="n">
        <v>21.8</v>
      </c>
      <c r="M1086" s="54" t="inlineStr">
        <is>
          <t>Eligible</t>
        </is>
      </c>
      <c r="N1086" s="171">
        <f>IF(OR(J1086="",L1086=""),"",L1086-J1086)</f>
        <v/>
      </c>
      <c r="O1086" s="169">
        <f>IF(OR(J1086="",L1086=""),"",L1086/J1086-1)</f>
        <v/>
      </c>
      <c r="P1086" s="169">
        <f>IF(OR(J1086="",K1086=""),"",K1086/J1086-1)</f>
        <v/>
      </c>
      <c r="Q1086" s="54">
        <f>IF(AND(ISNUMBER(J1086),ISNUMBER(L1086)),1,0)</f>
        <v/>
      </c>
      <c r="R1086" s="69">
        <f>IF(Q1086=1,G1086*L1086,0)</f>
        <v/>
      </c>
      <c r="S1086" s="69">
        <f>IF(Q1086=1,(H1086+I1086)*U1086,0)</f>
        <v/>
      </c>
      <c r="T1086" s="59">
        <f>IF(Q1086=1,G1086,0)</f>
        <v/>
      </c>
      <c r="U1086" s="170">
        <f>$G$3</f>
        <v/>
      </c>
    </row>
    <row r="1087">
      <c r="A1087" s="54" t="inlineStr">
        <is>
          <t>CA DC Satin Fitted</t>
        </is>
      </c>
      <c r="B1087" s="54" t="inlineStr">
        <is>
          <t>CA</t>
        </is>
      </c>
      <c r="C1087" s="54" t="inlineStr">
        <is>
          <t>B0DBVZ1Z2R</t>
        </is>
      </c>
      <c r="D1087" s="54" t="inlineStr">
        <is>
          <t>SATIN-FITTED-KING-WHITE</t>
        </is>
      </c>
      <c r="E1087" s="54" t="inlineStr">
        <is>
          <t>King</t>
        </is>
      </c>
      <c r="F1087" s="54" t="inlineStr">
        <is>
          <t>White</t>
        </is>
      </c>
      <c r="G1087" s="55" t="n">
        <v>4</v>
      </c>
      <c r="H1087" s="167" t="n">
        <v>70.93000000000001</v>
      </c>
      <c r="I1087" s="167" t="n">
        <v>0</v>
      </c>
      <c r="J1087" s="171">
        <f>IF(AND(N(G1087)&gt;0,N(H1087)+N(I1087)&gt;0),(H1087+I1087)*U1087/G1087,"")</f>
        <v/>
      </c>
      <c r="K1087" s="172" t="n">
        <v>24.95</v>
      </c>
      <c r="L1087" s="172" t="n">
        <v>23.7</v>
      </c>
      <c r="M1087" s="54" t="inlineStr">
        <is>
          <t>Eligible</t>
        </is>
      </c>
      <c r="N1087" s="171">
        <f>IF(OR(J1087="",L1087=""),"",L1087-J1087)</f>
        <v/>
      </c>
      <c r="O1087" s="169">
        <f>IF(OR(J1087="",L1087=""),"",L1087/J1087-1)</f>
        <v/>
      </c>
      <c r="P1087" s="169">
        <f>IF(OR(J1087="",K1087=""),"",K1087/J1087-1)</f>
        <v/>
      </c>
      <c r="Q1087" s="54">
        <f>IF(AND(ISNUMBER(J1087),ISNUMBER(L1087)),1,0)</f>
        <v/>
      </c>
      <c r="R1087" s="69">
        <f>IF(Q1087=1,G1087*L1087,0)</f>
        <v/>
      </c>
      <c r="S1087" s="69">
        <f>IF(Q1087=1,(H1087+I1087)*U1087,0)</f>
        <v/>
      </c>
      <c r="T1087" s="59">
        <f>IF(Q1087=1,G1087,0)</f>
        <v/>
      </c>
      <c r="U1087" s="170">
        <f>$G$3</f>
        <v/>
      </c>
    </row>
    <row r="1088">
      <c r="A1088" s="54" t="inlineStr">
        <is>
          <t>CA DC Satin Fitted</t>
        </is>
      </c>
      <c r="B1088" s="54" t="inlineStr">
        <is>
          <t>CA</t>
        </is>
      </c>
      <c r="C1088" s="54" t="inlineStr">
        <is>
          <t>B0DBW151XC</t>
        </is>
      </c>
      <c r="D1088" s="54" t="inlineStr">
        <is>
          <t>SATIN-FITTED-QUEEN-DARK-GREEN</t>
        </is>
      </c>
      <c r="E1088" s="54" t="inlineStr">
        <is>
          <t>Queen</t>
        </is>
      </c>
      <c r="F1088" s="54" t="inlineStr">
        <is>
          <t>Dark Green</t>
        </is>
      </c>
      <c r="G1088" s="55" t="n">
        <v>4</v>
      </c>
      <c r="H1088" s="167" t="n">
        <v>68.09</v>
      </c>
      <c r="I1088" s="167" t="n">
        <v>0</v>
      </c>
      <c r="J1088" s="171">
        <f>IF(AND(N(G1088)&gt;0,N(H1088)+N(I1088)&gt;0),(H1088+I1088)*U1088/G1088,"")</f>
        <v/>
      </c>
      <c r="K1088" s="172" t="n">
        <v>23.95</v>
      </c>
      <c r="L1088" s="172" t="n">
        <v>22.75</v>
      </c>
      <c r="M1088" s="54" t="inlineStr">
        <is>
          <t>Eligible</t>
        </is>
      </c>
      <c r="N1088" s="171">
        <f>IF(OR(J1088="",L1088=""),"",L1088-J1088)</f>
        <v/>
      </c>
      <c r="O1088" s="169">
        <f>IF(OR(J1088="",L1088=""),"",L1088/J1088-1)</f>
        <v/>
      </c>
      <c r="P1088" s="169">
        <f>IF(OR(J1088="",K1088=""),"",K1088/J1088-1)</f>
        <v/>
      </c>
      <c r="Q1088" s="54">
        <f>IF(AND(ISNUMBER(J1088),ISNUMBER(L1088)),1,0)</f>
        <v/>
      </c>
      <c r="R1088" s="69">
        <f>IF(Q1088=1,G1088*L1088,0)</f>
        <v/>
      </c>
      <c r="S1088" s="69">
        <f>IF(Q1088=1,(H1088+I1088)*U1088,0)</f>
        <v/>
      </c>
      <c r="T1088" s="59">
        <f>IF(Q1088=1,G1088,0)</f>
        <v/>
      </c>
      <c r="U1088" s="170">
        <f>$G$3</f>
        <v/>
      </c>
    </row>
    <row r="1089">
      <c r="A1089" s="54" t="inlineStr">
        <is>
          <t>CA DC Satin Fitted</t>
        </is>
      </c>
      <c r="B1089" s="54" t="inlineStr">
        <is>
          <t>CA</t>
        </is>
      </c>
      <c r="C1089" s="54" t="inlineStr">
        <is>
          <t>B0DBW47GVG</t>
        </is>
      </c>
      <c r="D1089" s="54" t="inlineStr">
        <is>
          <t>SATIN-FITTED-QUEEN-PINK</t>
        </is>
      </c>
      <c r="E1089" s="54" t="inlineStr">
        <is>
          <t>Queen</t>
        </is>
      </c>
      <c r="F1089" s="54" t="inlineStr">
        <is>
          <t>Pink</t>
        </is>
      </c>
      <c r="G1089" s="55" t="n">
        <v>4</v>
      </c>
      <c r="H1089" s="167" t="n">
        <v>68.34999999999999</v>
      </c>
      <c r="I1089" s="167" t="n">
        <v>0</v>
      </c>
      <c r="J1089" s="171">
        <f>IF(AND(N(G1089)&gt;0,N(H1089)+N(I1089)&gt;0),(H1089+I1089)*U1089/G1089,"")</f>
        <v/>
      </c>
      <c r="K1089" s="172" t="n">
        <v>23.95</v>
      </c>
      <c r="L1089" s="172" t="n">
        <v>23.95</v>
      </c>
      <c r="M1089" s="54" t="inlineStr">
        <is>
          <t>Eligible</t>
        </is>
      </c>
      <c r="N1089" s="171">
        <f>IF(OR(J1089="",L1089=""),"",L1089-J1089)</f>
        <v/>
      </c>
      <c r="O1089" s="169">
        <f>IF(OR(J1089="",L1089=""),"",L1089/J1089-1)</f>
        <v/>
      </c>
      <c r="P1089" s="169">
        <f>IF(OR(J1089="",K1089=""),"",K1089/J1089-1)</f>
        <v/>
      </c>
      <c r="Q1089" s="54">
        <f>IF(AND(ISNUMBER(J1089),ISNUMBER(L1089)),1,0)</f>
        <v/>
      </c>
      <c r="R1089" s="69">
        <f>IF(Q1089=1,G1089*L1089,0)</f>
        <v/>
      </c>
      <c r="S1089" s="69">
        <f>IF(Q1089=1,(H1089+I1089)*U1089,0)</f>
        <v/>
      </c>
      <c r="T1089" s="59">
        <f>IF(Q1089=1,G1089,0)</f>
        <v/>
      </c>
      <c r="U1089" s="170">
        <f>$G$3</f>
        <v/>
      </c>
    </row>
    <row r="1090">
      <c r="A1090" s="54" t="inlineStr">
        <is>
          <t>CA DC Satin Fitted</t>
        </is>
      </c>
      <c r="B1090" s="54" t="inlineStr">
        <is>
          <t>CA</t>
        </is>
      </c>
      <c r="C1090" s="54" t="inlineStr">
        <is>
          <t>B0DBVZSNZ4</t>
        </is>
      </c>
      <c r="D1090" s="54" t="inlineStr">
        <is>
          <t>SATIN-FITTED-TWIN-WHITE</t>
        </is>
      </c>
      <c r="E1090" s="54" t="inlineStr">
        <is>
          <t>Twin</t>
        </is>
      </c>
      <c r="F1090" s="54" t="inlineStr">
        <is>
          <t>White</t>
        </is>
      </c>
      <c r="G1090" s="55" t="n">
        <v>4</v>
      </c>
      <c r="H1090" s="167" t="n">
        <v>59.45</v>
      </c>
      <c r="I1090" s="167" t="n">
        <v>0</v>
      </c>
      <c r="J1090" s="171">
        <f>IF(AND(N(G1090)&gt;0,N(H1090)+N(I1090)&gt;0),(H1090+I1090)*U1090/G1090,"")</f>
        <v/>
      </c>
      <c r="K1090" s="172" t="n">
        <v>20.95</v>
      </c>
      <c r="L1090" s="172" t="n">
        <v>25.48</v>
      </c>
      <c r="M1090" s="54" t="inlineStr">
        <is>
          <t>Manual price</t>
        </is>
      </c>
      <c r="N1090" s="171">
        <f>IF(OR(J1090="",L1090=""),"",L1090-J1090)</f>
        <v/>
      </c>
      <c r="O1090" s="169">
        <f>IF(OR(J1090="",L1090=""),"",L1090/J1090-1)</f>
        <v/>
      </c>
      <c r="P1090" s="169">
        <f>IF(OR(J1090="",K1090=""),"",K1090/J1090-1)</f>
        <v/>
      </c>
      <c r="Q1090" s="54">
        <f>IF(AND(ISNUMBER(J1090),ISNUMBER(L1090)),1,0)</f>
        <v/>
      </c>
      <c r="R1090" s="69">
        <f>IF(Q1090=1,G1090*L1090,0)</f>
        <v/>
      </c>
      <c r="S1090" s="69">
        <f>IF(Q1090=1,(H1090+I1090)*U1090,0)</f>
        <v/>
      </c>
      <c r="T1090" s="59">
        <f>IF(Q1090=1,G1090,0)</f>
        <v/>
      </c>
      <c r="U1090" s="170">
        <f>$G$3</f>
        <v/>
      </c>
    </row>
    <row r="1091">
      <c r="A1091" s="54" t="inlineStr">
        <is>
          <t>CA DC Satin Fitted</t>
        </is>
      </c>
      <c r="B1091" s="54" t="inlineStr">
        <is>
          <t>CA</t>
        </is>
      </c>
      <c r="C1091" s="54" t="inlineStr">
        <is>
          <t>B0DBW17ZJP</t>
        </is>
      </c>
      <c r="D1091" s="54" t="inlineStr">
        <is>
          <t>SATIN-FITTED-FULL-GREY</t>
        </is>
      </c>
      <c r="E1091" s="54" t="inlineStr">
        <is>
          <t>Full</t>
        </is>
      </c>
      <c r="F1091" s="54" t="inlineStr">
        <is>
          <t>Grey</t>
        </is>
      </c>
      <c r="G1091" s="55" t="n">
        <v>3</v>
      </c>
      <c r="H1091" s="167" t="n">
        <v>44.57</v>
      </c>
      <c r="I1091" s="167" t="n">
        <v>0</v>
      </c>
      <c r="J1091" s="171">
        <f>IF(AND(N(G1091)&gt;0,N(H1091)+N(I1091)&gt;0),(H1091+I1091)*U1091/G1091,"")</f>
        <v/>
      </c>
      <c r="K1091" s="172" t="n">
        <v>20.95</v>
      </c>
      <c r="L1091" s="172" t="n">
        <v>19.9</v>
      </c>
      <c r="M1091" s="54" t="inlineStr">
        <is>
          <t>Eligible</t>
        </is>
      </c>
      <c r="N1091" s="171">
        <f>IF(OR(J1091="",L1091=""),"",L1091-J1091)</f>
        <v/>
      </c>
      <c r="O1091" s="169">
        <f>IF(OR(J1091="",L1091=""),"",L1091/J1091-1)</f>
        <v/>
      </c>
      <c r="P1091" s="169">
        <f>IF(OR(J1091="",K1091=""),"",K1091/J1091-1)</f>
        <v/>
      </c>
      <c r="Q1091" s="54">
        <f>IF(AND(ISNUMBER(J1091),ISNUMBER(L1091)),1,0)</f>
        <v/>
      </c>
      <c r="R1091" s="69">
        <f>IF(Q1091=1,G1091*L1091,0)</f>
        <v/>
      </c>
      <c r="S1091" s="69">
        <f>IF(Q1091=1,(H1091+I1091)*U1091,0)</f>
        <v/>
      </c>
      <c r="T1091" s="59">
        <f>IF(Q1091=1,G1091,0)</f>
        <v/>
      </c>
      <c r="U1091" s="170">
        <f>$G$3</f>
        <v/>
      </c>
    </row>
    <row r="1092">
      <c r="A1092" s="54" t="inlineStr">
        <is>
          <t>CA DC Satin Fitted</t>
        </is>
      </c>
      <c r="B1092" s="54" t="inlineStr">
        <is>
          <t>CA</t>
        </is>
      </c>
      <c r="C1092" s="54" t="inlineStr">
        <is>
          <t>B0DBW19662</t>
        </is>
      </c>
      <c r="D1092" s="54" t="inlineStr">
        <is>
          <t>SATIN-FITTED-QUEEN-BABY-BLUE</t>
        </is>
      </c>
      <c r="E1092" s="54" t="inlineStr">
        <is>
          <t>Queen</t>
        </is>
      </c>
      <c r="F1092" s="54" t="inlineStr">
        <is>
          <t>Baby Blue</t>
        </is>
      </c>
      <c r="G1092" s="55" t="n">
        <v>3</v>
      </c>
      <c r="H1092" s="167" t="n">
        <v>51.36</v>
      </c>
      <c r="I1092" s="167" t="n">
        <v>0</v>
      </c>
      <c r="J1092" s="171">
        <f>IF(AND(N(G1092)&gt;0,N(H1092)+N(I1092)&gt;0),(H1092+I1092)*U1092/G1092,"")</f>
        <v/>
      </c>
      <c r="K1092" s="172" t="n">
        <v>23.95</v>
      </c>
      <c r="L1092" s="172" t="n"/>
      <c r="M1092" s="54" t="inlineStr">
        <is>
          <t>Out of stock</t>
        </is>
      </c>
      <c r="N1092" s="171">
        <f>IF(OR(J1092="",L1092=""),"",L1092-J1092)</f>
        <v/>
      </c>
      <c r="O1092" s="169">
        <f>IF(OR(J1092="",L1092=""),"",L1092/J1092-1)</f>
        <v/>
      </c>
      <c r="P1092" s="169">
        <f>IF(OR(J1092="",K1092=""),"",K1092/J1092-1)</f>
        <v/>
      </c>
      <c r="Q1092" s="54">
        <f>IF(AND(ISNUMBER(J1092),ISNUMBER(L1092)),1,0)</f>
        <v/>
      </c>
      <c r="R1092" s="69">
        <f>IF(Q1092=1,G1092*L1092,0)</f>
        <v/>
      </c>
      <c r="S1092" s="69">
        <f>IF(Q1092=1,(H1092+I1092)*U1092,0)</f>
        <v/>
      </c>
      <c r="T1092" s="59">
        <f>IF(Q1092=1,G1092,0)</f>
        <v/>
      </c>
      <c r="U1092" s="170">
        <f>$G$3</f>
        <v/>
      </c>
    </row>
    <row r="1093">
      <c r="A1093" s="54" t="inlineStr">
        <is>
          <t>CA DC Satin Fitted</t>
        </is>
      </c>
      <c r="B1093" s="54" t="inlineStr">
        <is>
          <t>CA</t>
        </is>
      </c>
      <c r="C1093" s="54" t="inlineStr">
        <is>
          <t>B0DBVZBLDK</t>
        </is>
      </c>
      <c r="D1093" s="54" t="inlineStr">
        <is>
          <t>SATIN-FITTED-QUEEN-BLUSH-PINK</t>
        </is>
      </c>
      <c r="E1093" s="54" t="inlineStr">
        <is>
          <t>Queen</t>
        </is>
      </c>
      <c r="F1093" s="54" t="inlineStr">
        <is>
          <t>Blush Pink</t>
        </is>
      </c>
      <c r="G1093" s="55" t="n">
        <v>3</v>
      </c>
      <c r="H1093" s="167" t="n">
        <v>51.29</v>
      </c>
      <c r="I1093" s="167" t="n">
        <v>0</v>
      </c>
      <c r="J1093" s="171">
        <f>IF(AND(N(G1093)&gt;0,N(H1093)+N(I1093)&gt;0),(H1093+I1093)*U1093/G1093,"")</f>
        <v/>
      </c>
      <c r="K1093" s="172" t="n">
        <v>23.95</v>
      </c>
      <c r="L1093" s="172" t="n">
        <v>23.95</v>
      </c>
      <c r="M1093" s="54" t="inlineStr">
        <is>
          <t>Eligible</t>
        </is>
      </c>
      <c r="N1093" s="171">
        <f>IF(OR(J1093="",L1093=""),"",L1093-J1093)</f>
        <v/>
      </c>
      <c r="O1093" s="169">
        <f>IF(OR(J1093="",L1093=""),"",L1093/J1093-1)</f>
        <v/>
      </c>
      <c r="P1093" s="169">
        <f>IF(OR(J1093="",K1093=""),"",K1093/J1093-1)</f>
        <v/>
      </c>
      <c r="Q1093" s="54">
        <f>IF(AND(ISNUMBER(J1093),ISNUMBER(L1093)),1,0)</f>
        <v/>
      </c>
      <c r="R1093" s="69">
        <f>IF(Q1093=1,G1093*L1093,0)</f>
        <v/>
      </c>
      <c r="S1093" s="69">
        <f>IF(Q1093=1,(H1093+I1093)*U1093,0)</f>
        <v/>
      </c>
      <c r="T1093" s="59">
        <f>IF(Q1093=1,G1093,0)</f>
        <v/>
      </c>
      <c r="U1093" s="170">
        <f>$G$3</f>
        <v/>
      </c>
    </row>
    <row r="1094">
      <c r="A1094" s="54" t="inlineStr">
        <is>
          <t>CA DC Satin Fitted</t>
        </is>
      </c>
      <c r="B1094" s="54" t="inlineStr">
        <is>
          <t>CA</t>
        </is>
      </c>
      <c r="C1094" s="54" t="inlineStr">
        <is>
          <t>B0DBW128WH</t>
        </is>
      </c>
      <c r="D1094" s="54" t="inlineStr">
        <is>
          <t>SATIN-FITTED-QUEEN-IVORY</t>
        </is>
      </c>
      <c r="E1094" s="54" t="inlineStr">
        <is>
          <t>Queen</t>
        </is>
      </c>
      <c r="F1094" s="54" t="inlineStr">
        <is>
          <t>Ivory</t>
        </is>
      </c>
      <c r="G1094" s="55" t="n">
        <v>3</v>
      </c>
      <c r="H1094" s="167" t="n">
        <v>50.94</v>
      </c>
      <c r="I1094" s="167" t="n">
        <v>0</v>
      </c>
      <c r="J1094" s="171">
        <f>IF(AND(N(G1094)&gt;0,N(H1094)+N(I1094)&gt;0),(H1094+I1094)*U1094/G1094,"")</f>
        <v/>
      </c>
      <c r="K1094" s="172" t="n">
        <v>23.95</v>
      </c>
      <c r="L1094" s="172" t="n"/>
      <c r="M1094" s="54" t="inlineStr">
        <is>
          <t>Out of stock</t>
        </is>
      </c>
      <c r="N1094" s="171">
        <f>IF(OR(J1094="",L1094=""),"",L1094-J1094)</f>
        <v/>
      </c>
      <c r="O1094" s="169">
        <f>IF(OR(J1094="",L1094=""),"",L1094/J1094-1)</f>
        <v/>
      </c>
      <c r="P1094" s="169">
        <f>IF(OR(J1094="",K1094=""),"",K1094/J1094-1)</f>
        <v/>
      </c>
      <c r="Q1094" s="54">
        <f>IF(AND(ISNUMBER(J1094),ISNUMBER(L1094)),1,0)</f>
        <v/>
      </c>
      <c r="R1094" s="69">
        <f>IF(Q1094=1,G1094*L1094,0)</f>
        <v/>
      </c>
      <c r="S1094" s="69">
        <f>IF(Q1094=1,(H1094+I1094)*U1094,0)</f>
        <v/>
      </c>
      <c r="T1094" s="59">
        <f>IF(Q1094=1,G1094,0)</f>
        <v/>
      </c>
      <c r="U1094" s="170">
        <f>$G$3</f>
        <v/>
      </c>
    </row>
    <row r="1095">
      <c r="A1095" s="54" t="inlineStr">
        <is>
          <t>CA DC Satin Fitted</t>
        </is>
      </c>
      <c r="B1095" s="54" t="inlineStr">
        <is>
          <t>CA</t>
        </is>
      </c>
      <c r="C1095" s="54" t="inlineStr">
        <is>
          <t>B0DBVZQZXV</t>
        </is>
      </c>
      <c r="D1095" s="54" t="inlineStr">
        <is>
          <t>SATIN-FITTED-TWIN-BABY-BLUE</t>
        </is>
      </c>
      <c r="E1095" s="54" t="inlineStr">
        <is>
          <t>Twin</t>
        </is>
      </c>
      <c r="F1095" s="54" t="inlineStr">
        <is>
          <t>Baby Blue</t>
        </is>
      </c>
      <c r="G1095" s="55" t="n">
        <v>3</v>
      </c>
      <c r="H1095" s="167" t="n">
        <v>44.7</v>
      </c>
      <c r="I1095" s="167" t="n">
        <v>0</v>
      </c>
      <c r="J1095" s="171">
        <f>IF(AND(N(G1095)&gt;0,N(H1095)+N(I1095)&gt;0),(H1095+I1095)*U1095/G1095,"")</f>
        <v/>
      </c>
      <c r="K1095" s="172" t="n">
        <v>20.95</v>
      </c>
      <c r="L1095" s="172" t="n">
        <v>19.9</v>
      </c>
      <c r="M1095" s="54" t="inlineStr">
        <is>
          <t>Eligible</t>
        </is>
      </c>
      <c r="N1095" s="171">
        <f>IF(OR(J1095="",L1095=""),"",L1095-J1095)</f>
        <v/>
      </c>
      <c r="O1095" s="169">
        <f>IF(OR(J1095="",L1095=""),"",L1095/J1095-1)</f>
        <v/>
      </c>
      <c r="P1095" s="169">
        <f>IF(OR(J1095="",K1095=""),"",K1095/J1095-1)</f>
        <v/>
      </c>
      <c r="Q1095" s="54">
        <f>IF(AND(ISNUMBER(J1095),ISNUMBER(L1095)),1,0)</f>
        <v/>
      </c>
      <c r="R1095" s="69">
        <f>IF(Q1095=1,G1095*L1095,0)</f>
        <v/>
      </c>
      <c r="S1095" s="69">
        <f>IF(Q1095=1,(H1095+I1095)*U1095,0)</f>
        <v/>
      </c>
      <c r="T1095" s="59">
        <f>IF(Q1095=1,G1095,0)</f>
        <v/>
      </c>
      <c r="U1095" s="170">
        <f>$G$3</f>
        <v/>
      </c>
    </row>
    <row r="1096">
      <c r="A1096" s="54" t="inlineStr">
        <is>
          <t>CA DC Satin Fitted</t>
        </is>
      </c>
      <c r="B1096" s="54" t="inlineStr">
        <is>
          <t>CA</t>
        </is>
      </c>
      <c r="C1096" s="54" t="inlineStr">
        <is>
          <t>B0DBW1M1HX</t>
        </is>
      </c>
      <c r="D1096" s="54" t="inlineStr">
        <is>
          <t>SATIN-FITTED-TWIN-SEA-TEAL</t>
        </is>
      </c>
      <c r="E1096" s="54" t="inlineStr">
        <is>
          <t>Twin</t>
        </is>
      </c>
      <c r="F1096" s="54" t="inlineStr">
        <is>
          <t>Sea Teal</t>
        </is>
      </c>
      <c r="G1096" s="55" t="n">
        <v>3</v>
      </c>
      <c r="H1096" s="167" t="n">
        <v>44.84</v>
      </c>
      <c r="I1096" s="167" t="n">
        <v>0</v>
      </c>
      <c r="J1096" s="171">
        <f>IF(AND(N(G1096)&gt;0,N(H1096)+N(I1096)&gt;0),(H1096+I1096)*U1096/G1096,"")</f>
        <v/>
      </c>
      <c r="K1096" s="172" t="n">
        <v>20.95</v>
      </c>
      <c r="L1096" s="172" t="n">
        <v>28.86</v>
      </c>
      <c r="M1096" s="54" t="inlineStr">
        <is>
          <t>Manual price</t>
        </is>
      </c>
      <c r="N1096" s="171">
        <f>IF(OR(J1096="",L1096=""),"",L1096-J1096)</f>
        <v/>
      </c>
      <c r="O1096" s="169">
        <f>IF(OR(J1096="",L1096=""),"",L1096/J1096-1)</f>
        <v/>
      </c>
      <c r="P1096" s="169">
        <f>IF(OR(J1096="",K1096=""),"",K1096/J1096-1)</f>
        <v/>
      </c>
      <c r="Q1096" s="54">
        <f>IF(AND(ISNUMBER(J1096),ISNUMBER(L1096)),1,0)</f>
        <v/>
      </c>
      <c r="R1096" s="69">
        <f>IF(Q1096=1,G1096*L1096,0)</f>
        <v/>
      </c>
      <c r="S1096" s="69">
        <f>IF(Q1096=1,(H1096+I1096)*U1096,0)</f>
        <v/>
      </c>
      <c r="T1096" s="59">
        <f>IF(Q1096=1,G1096,0)</f>
        <v/>
      </c>
      <c r="U1096" s="170">
        <f>$G$3</f>
        <v/>
      </c>
    </row>
    <row r="1097">
      <c r="A1097" s="54" t="inlineStr">
        <is>
          <t>CA DC Satin Fitted</t>
        </is>
      </c>
      <c r="B1097" s="54" t="inlineStr">
        <is>
          <t>CA</t>
        </is>
      </c>
      <c r="C1097" s="54" t="inlineStr">
        <is>
          <t>B0DBVZV66D</t>
        </is>
      </c>
      <c r="D1097" s="54" t="inlineStr">
        <is>
          <t>SATIN-FITTED-FULL-BABY-BLUE</t>
        </is>
      </c>
      <c r="E1097" s="54" t="inlineStr">
        <is>
          <t>Full</t>
        </is>
      </c>
      <c r="F1097" s="54" t="inlineStr">
        <is>
          <t>Baby Blue</t>
        </is>
      </c>
      <c r="G1097" s="55" t="n">
        <v>2</v>
      </c>
      <c r="H1097" s="167" t="n">
        <v>32.59</v>
      </c>
      <c r="I1097" s="167" t="n">
        <v>0</v>
      </c>
      <c r="J1097" s="171">
        <f>IF(AND(N(G1097)&gt;0,N(H1097)+N(I1097)&gt;0),(H1097+I1097)*U1097/G1097,"")</f>
        <v/>
      </c>
      <c r="K1097" s="172" t="n">
        <v>22.95</v>
      </c>
      <c r="L1097" s="172" t="n">
        <v>21.8</v>
      </c>
      <c r="M1097" s="54" t="inlineStr">
        <is>
          <t>Eligible</t>
        </is>
      </c>
      <c r="N1097" s="171">
        <f>IF(OR(J1097="",L1097=""),"",L1097-J1097)</f>
        <v/>
      </c>
      <c r="O1097" s="169">
        <f>IF(OR(J1097="",L1097=""),"",L1097/J1097-1)</f>
        <v/>
      </c>
      <c r="P1097" s="169">
        <f>IF(OR(J1097="",K1097=""),"",K1097/J1097-1)</f>
        <v/>
      </c>
      <c r="Q1097" s="54">
        <f>IF(AND(ISNUMBER(J1097),ISNUMBER(L1097)),1,0)</f>
        <v/>
      </c>
      <c r="R1097" s="69">
        <f>IF(Q1097=1,G1097*L1097,0)</f>
        <v/>
      </c>
      <c r="S1097" s="69">
        <f>IF(Q1097=1,(H1097+I1097)*U1097,0)</f>
        <v/>
      </c>
      <c r="T1097" s="59">
        <f>IF(Q1097=1,G1097,0)</f>
        <v/>
      </c>
      <c r="U1097" s="170">
        <f>$G$3</f>
        <v/>
      </c>
    </row>
    <row r="1098">
      <c r="A1098" s="54" t="inlineStr">
        <is>
          <t>CA DC Satin Fitted</t>
        </is>
      </c>
      <c r="B1098" s="54" t="inlineStr">
        <is>
          <t>CA</t>
        </is>
      </c>
      <c r="C1098" s="54" t="inlineStr">
        <is>
          <t>B0DBVXG561</t>
        </is>
      </c>
      <c r="D1098" s="54" t="inlineStr">
        <is>
          <t>SATIN-FITTED-FULL-DARK-GREEN</t>
        </is>
      </c>
      <c r="E1098" s="54" t="inlineStr">
        <is>
          <t>Full</t>
        </is>
      </c>
      <c r="F1098" s="54" t="inlineStr">
        <is>
          <t>Dark Green</t>
        </is>
      </c>
      <c r="G1098" s="55" t="n">
        <v>2</v>
      </c>
      <c r="H1098" s="167" t="n">
        <v>32.59</v>
      </c>
      <c r="I1098" s="167" t="n">
        <v>0</v>
      </c>
      <c r="J1098" s="171">
        <f>IF(AND(N(G1098)&gt;0,N(H1098)+N(I1098)&gt;0),(H1098+I1098)*U1098/G1098,"")</f>
        <v/>
      </c>
      <c r="K1098" s="172" t="n">
        <v>22.95</v>
      </c>
      <c r="L1098" s="172" t="n">
        <v>21.8</v>
      </c>
      <c r="M1098" s="54" t="inlineStr">
        <is>
          <t>Eligible</t>
        </is>
      </c>
      <c r="N1098" s="171">
        <f>IF(OR(J1098="",L1098=""),"",L1098-J1098)</f>
        <v/>
      </c>
      <c r="O1098" s="169">
        <f>IF(OR(J1098="",L1098=""),"",L1098/J1098-1)</f>
        <v/>
      </c>
      <c r="P1098" s="169">
        <f>IF(OR(J1098="",K1098=""),"",K1098/J1098-1)</f>
        <v/>
      </c>
      <c r="Q1098" s="54">
        <f>IF(AND(ISNUMBER(J1098),ISNUMBER(L1098)),1,0)</f>
        <v/>
      </c>
      <c r="R1098" s="69">
        <f>IF(Q1098=1,G1098*L1098,0)</f>
        <v/>
      </c>
      <c r="S1098" s="69">
        <f>IF(Q1098=1,(H1098+I1098)*U1098,0)</f>
        <v/>
      </c>
      <c r="T1098" s="59">
        <f>IF(Q1098=1,G1098,0)</f>
        <v/>
      </c>
      <c r="U1098" s="170">
        <f>$G$3</f>
        <v/>
      </c>
    </row>
    <row r="1099">
      <c r="A1099" s="54" t="inlineStr">
        <is>
          <t>CA DC Satin Fitted</t>
        </is>
      </c>
      <c r="B1099" s="54" t="inlineStr">
        <is>
          <t>CA</t>
        </is>
      </c>
      <c r="C1099" s="54" t="inlineStr">
        <is>
          <t>B0DBW1NXMH</t>
        </is>
      </c>
      <c r="D1099" s="54" t="inlineStr">
        <is>
          <t>SATIN-FITTED-FULL-LAVENDER</t>
        </is>
      </c>
      <c r="E1099" s="54" t="inlineStr">
        <is>
          <t>Full</t>
        </is>
      </c>
      <c r="F1099" s="54" t="inlineStr">
        <is>
          <t>Lavender</t>
        </is>
      </c>
      <c r="G1099" s="55" t="n">
        <v>2</v>
      </c>
      <c r="H1099" s="167" t="n">
        <v>32.59</v>
      </c>
      <c r="I1099" s="167" t="n">
        <v>0</v>
      </c>
      <c r="J1099" s="171">
        <f>IF(AND(N(G1099)&gt;0,N(H1099)+N(I1099)&gt;0),(H1099+I1099)*U1099/G1099,"")</f>
        <v/>
      </c>
      <c r="K1099" s="172" t="n">
        <v>22.95</v>
      </c>
      <c r="L1099" s="172" t="n">
        <v>21.8</v>
      </c>
      <c r="M1099" s="54" t="inlineStr">
        <is>
          <t>Eligible</t>
        </is>
      </c>
      <c r="N1099" s="171">
        <f>IF(OR(J1099="",L1099=""),"",L1099-J1099)</f>
        <v/>
      </c>
      <c r="O1099" s="169">
        <f>IF(OR(J1099="",L1099=""),"",L1099/J1099-1)</f>
        <v/>
      </c>
      <c r="P1099" s="169">
        <f>IF(OR(J1099="",K1099=""),"",K1099/J1099-1)</f>
        <v/>
      </c>
      <c r="Q1099" s="54">
        <f>IF(AND(ISNUMBER(J1099),ISNUMBER(L1099)),1,0)</f>
        <v/>
      </c>
      <c r="R1099" s="69">
        <f>IF(Q1099=1,G1099*L1099,0)</f>
        <v/>
      </c>
      <c r="S1099" s="69">
        <f>IF(Q1099=1,(H1099+I1099)*U1099,0)</f>
        <v/>
      </c>
      <c r="T1099" s="59">
        <f>IF(Q1099=1,G1099,0)</f>
        <v/>
      </c>
      <c r="U1099" s="170">
        <f>$G$3</f>
        <v/>
      </c>
    </row>
    <row r="1100">
      <c r="A1100" s="54" t="inlineStr">
        <is>
          <t>CA DC Satin Fitted</t>
        </is>
      </c>
      <c r="B1100" s="54" t="inlineStr">
        <is>
          <t>CA</t>
        </is>
      </c>
      <c r="C1100" s="54" t="inlineStr">
        <is>
          <t>B0DBW2G5JS</t>
        </is>
      </c>
      <c r="D1100" s="54" t="inlineStr">
        <is>
          <t>SATIN-FITTED-KING-IVORY</t>
        </is>
      </c>
      <c r="E1100" s="54" t="inlineStr">
        <is>
          <t>King</t>
        </is>
      </c>
      <c r="F1100" s="54" t="inlineStr">
        <is>
          <t>Ivory</t>
        </is>
      </c>
      <c r="G1100" s="55" t="n">
        <v>2</v>
      </c>
      <c r="H1100" s="167" t="n">
        <v>39.63</v>
      </c>
      <c r="I1100" s="167" t="n">
        <v>0</v>
      </c>
      <c r="J1100" s="171">
        <f>IF(AND(N(G1100)&gt;0,N(H1100)+N(I1100)&gt;0),(H1100+I1100)*U1100/G1100,"")</f>
        <v/>
      </c>
      <c r="K1100" s="172" t="n">
        <v>27.95</v>
      </c>
      <c r="L1100" s="172" t="n"/>
      <c r="M1100" s="54" t="inlineStr">
        <is>
          <t>Out of stock</t>
        </is>
      </c>
      <c r="N1100" s="171">
        <f>IF(OR(J1100="",L1100=""),"",L1100-J1100)</f>
        <v/>
      </c>
      <c r="O1100" s="169">
        <f>IF(OR(J1100="",L1100=""),"",L1100/J1100-1)</f>
        <v/>
      </c>
      <c r="P1100" s="169">
        <f>IF(OR(J1100="",K1100=""),"",K1100/J1100-1)</f>
        <v/>
      </c>
      <c r="Q1100" s="54">
        <f>IF(AND(ISNUMBER(J1100),ISNUMBER(L1100)),1,0)</f>
        <v/>
      </c>
      <c r="R1100" s="69">
        <f>IF(Q1100=1,G1100*L1100,0)</f>
        <v/>
      </c>
      <c r="S1100" s="69">
        <f>IF(Q1100=1,(H1100+I1100)*U1100,0)</f>
        <v/>
      </c>
      <c r="T1100" s="59">
        <f>IF(Q1100=1,G1100,0)</f>
        <v/>
      </c>
      <c r="U1100" s="170">
        <f>$G$3</f>
        <v/>
      </c>
    </row>
    <row r="1101">
      <c r="A1101" s="54" t="inlineStr">
        <is>
          <t>CA DC Satin Fitted</t>
        </is>
      </c>
      <c r="B1101" s="54" t="inlineStr">
        <is>
          <t>CA</t>
        </is>
      </c>
      <c r="C1101" s="54" t="inlineStr">
        <is>
          <t>B0DBW336HD</t>
        </is>
      </c>
      <c r="D1101" s="54" t="inlineStr">
        <is>
          <t>SATIN-FITTED-KING-NAVY-BLUE</t>
        </is>
      </c>
      <c r="E1101" s="54" t="inlineStr">
        <is>
          <t>King</t>
        </is>
      </c>
      <c r="F1101" s="54" t="inlineStr">
        <is>
          <t>Navy Blue</t>
        </is>
      </c>
      <c r="G1101" s="55" t="n">
        <v>2</v>
      </c>
      <c r="H1101" s="167" t="n">
        <v>39.79</v>
      </c>
      <c r="I1101" s="167" t="n">
        <v>0</v>
      </c>
      <c r="J1101" s="171">
        <f>IF(AND(N(G1101)&gt;0,N(H1101)+N(I1101)&gt;0),(H1101+I1101)*U1101/G1101,"")</f>
        <v/>
      </c>
      <c r="K1101" s="172" t="n">
        <v>27.95</v>
      </c>
      <c r="L1101" s="172" t="n">
        <v>27.95</v>
      </c>
      <c r="M1101" s="54" t="inlineStr">
        <is>
          <t>Eligible</t>
        </is>
      </c>
      <c r="N1101" s="171">
        <f>IF(OR(J1101="",L1101=""),"",L1101-J1101)</f>
        <v/>
      </c>
      <c r="O1101" s="169">
        <f>IF(OR(J1101="",L1101=""),"",L1101/J1101-1)</f>
        <v/>
      </c>
      <c r="P1101" s="169">
        <f>IF(OR(J1101="",K1101=""),"",K1101/J1101-1)</f>
        <v/>
      </c>
      <c r="Q1101" s="54">
        <f>IF(AND(ISNUMBER(J1101),ISNUMBER(L1101)),1,0)</f>
        <v/>
      </c>
      <c r="R1101" s="69">
        <f>IF(Q1101=1,G1101*L1101,0)</f>
        <v/>
      </c>
      <c r="S1101" s="69">
        <f>IF(Q1101=1,(H1101+I1101)*U1101,0)</f>
        <v/>
      </c>
      <c r="T1101" s="59">
        <f>IF(Q1101=1,G1101,0)</f>
        <v/>
      </c>
      <c r="U1101" s="170">
        <f>$G$3</f>
        <v/>
      </c>
    </row>
    <row r="1102">
      <c r="A1102" s="54" t="inlineStr">
        <is>
          <t>CA DC Satin Fitted</t>
        </is>
      </c>
      <c r="B1102" s="54" t="inlineStr">
        <is>
          <t>CA</t>
        </is>
      </c>
      <c r="C1102" s="54" t="inlineStr">
        <is>
          <t>B0DBW1M6RN</t>
        </is>
      </c>
      <c r="D1102" s="54" t="inlineStr">
        <is>
          <t>SATIN-FITTED-KING-RED</t>
        </is>
      </c>
      <c r="E1102" s="54" t="inlineStr">
        <is>
          <t>King</t>
        </is>
      </c>
      <c r="F1102" s="54" t="inlineStr">
        <is>
          <t>Red</t>
        </is>
      </c>
      <c r="G1102" s="55" t="n">
        <v>2</v>
      </c>
      <c r="H1102" s="167" t="n">
        <v>35.62</v>
      </c>
      <c r="I1102" s="167" t="n">
        <v>0</v>
      </c>
      <c r="J1102" s="171">
        <f>IF(AND(N(G1102)&gt;0,N(H1102)+N(I1102)&gt;0),(H1102+I1102)*U1102/G1102,"")</f>
        <v/>
      </c>
      <c r="K1102" s="172" t="n">
        <v>24.95</v>
      </c>
      <c r="L1102" s="172" t="n">
        <v>23.7</v>
      </c>
      <c r="M1102" s="54" t="inlineStr">
        <is>
          <t>Eligible</t>
        </is>
      </c>
      <c r="N1102" s="171">
        <f>IF(OR(J1102="",L1102=""),"",L1102-J1102)</f>
        <v/>
      </c>
      <c r="O1102" s="169">
        <f>IF(OR(J1102="",L1102=""),"",L1102/J1102-1)</f>
        <v/>
      </c>
      <c r="P1102" s="169">
        <f>IF(OR(J1102="",K1102=""),"",K1102/J1102-1)</f>
        <v/>
      </c>
      <c r="Q1102" s="54">
        <f>IF(AND(ISNUMBER(J1102),ISNUMBER(L1102)),1,0)</f>
        <v/>
      </c>
      <c r="R1102" s="69">
        <f>IF(Q1102=1,G1102*L1102,0)</f>
        <v/>
      </c>
      <c r="S1102" s="69">
        <f>IF(Q1102=1,(H1102+I1102)*U1102,0)</f>
        <v/>
      </c>
      <c r="T1102" s="59">
        <f>IF(Q1102=1,G1102,0)</f>
        <v/>
      </c>
      <c r="U1102" s="170">
        <f>$G$3</f>
        <v/>
      </c>
    </row>
    <row r="1103">
      <c r="A1103" s="54" t="inlineStr">
        <is>
          <t>CA DC Satin Fitted</t>
        </is>
      </c>
      <c r="B1103" s="54" t="inlineStr">
        <is>
          <t>CA</t>
        </is>
      </c>
      <c r="C1103" s="54" t="inlineStr">
        <is>
          <t>B0DBVZBSHL</t>
        </is>
      </c>
      <c r="D1103" s="54" t="inlineStr">
        <is>
          <t>SATIN-FITTED-KING-SEA-TEAL</t>
        </is>
      </c>
      <c r="E1103" s="54" t="inlineStr">
        <is>
          <t>King</t>
        </is>
      </c>
      <c r="F1103" s="54" t="inlineStr">
        <is>
          <t>Sea Teal</t>
        </is>
      </c>
      <c r="G1103" s="55" t="n">
        <v>2</v>
      </c>
      <c r="H1103" s="167" t="n">
        <v>39.68</v>
      </c>
      <c r="I1103" s="167" t="n">
        <v>0</v>
      </c>
      <c r="J1103" s="171">
        <f>IF(AND(N(G1103)&gt;0,N(H1103)+N(I1103)&gt;0),(H1103+I1103)*U1103/G1103,"")</f>
        <v/>
      </c>
      <c r="K1103" s="172" t="n">
        <v>27.95</v>
      </c>
      <c r="L1103" s="172" t="n"/>
      <c r="M1103" s="54" t="inlineStr">
        <is>
          <t>Out of stock</t>
        </is>
      </c>
      <c r="N1103" s="171">
        <f>IF(OR(J1103="",L1103=""),"",L1103-J1103)</f>
        <v/>
      </c>
      <c r="O1103" s="169">
        <f>IF(OR(J1103="",L1103=""),"",L1103/J1103-1)</f>
        <v/>
      </c>
      <c r="P1103" s="169">
        <f>IF(OR(J1103="",K1103=""),"",K1103/J1103-1)</f>
        <v/>
      </c>
      <c r="Q1103" s="54">
        <f>IF(AND(ISNUMBER(J1103),ISNUMBER(L1103)),1,0)</f>
        <v/>
      </c>
      <c r="R1103" s="69">
        <f>IF(Q1103=1,G1103*L1103,0)</f>
        <v/>
      </c>
      <c r="S1103" s="69">
        <f>IF(Q1103=1,(H1103+I1103)*U1103,0)</f>
        <v/>
      </c>
      <c r="T1103" s="59">
        <f>IF(Q1103=1,G1103,0)</f>
        <v/>
      </c>
      <c r="U1103" s="170">
        <f>$G$3</f>
        <v/>
      </c>
    </row>
    <row r="1104">
      <c r="A1104" s="54" t="inlineStr">
        <is>
          <t>CA DC Satin Fitted</t>
        </is>
      </c>
      <c r="B1104" s="54" t="inlineStr">
        <is>
          <t>CA</t>
        </is>
      </c>
      <c r="C1104" s="54" t="inlineStr">
        <is>
          <t>B0DBVZPPJ6</t>
        </is>
      </c>
      <c r="D1104" s="54" t="inlineStr">
        <is>
          <t>SATIN-FITTED-QUEEN-PURPLE</t>
        </is>
      </c>
      <c r="E1104" s="54" t="inlineStr">
        <is>
          <t>Queen</t>
        </is>
      </c>
      <c r="F1104" s="54" t="inlineStr">
        <is>
          <t>Purple</t>
        </is>
      </c>
      <c r="G1104" s="55" t="n">
        <v>2</v>
      </c>
      <c r="H1104" s="167" t="n">
        <v>34.12</v>
      </c>
      <c r="I1104" s="167" t="n">
        <v>0</v>
      </c>
      <c r="J1104" s="171">
        <f>IF(AND(N(G1104)&gt;0,N(H1104)+N(I1104)&gt;0),(H1104+I1104)*U1104/G1104,"")</f>
        <v/>
      </c>
      <c r="K1104" s="172" t="n">
        <v>23.95</v>
      </c>
      <c r="L1104" s="172" t="n">
        <v>22.75</v>
      </c>
      <c r="M1104" s="54" t="inlineStr">
        <is>
          <t>Eligible</t>
        </is>
      </c>
      <c r="N1104" s="171">
        <f>IF(OR(J1104="",L1104=""),"",L1104-J1104)</f>
        <v/>
      </c>
      <c r="O1104" s="169">
        <f>IF(OR(J1104="",L1104=""),"",L1104/J1104-1)</f>
        <v/>
      </c>
      <c r="P1104" s="169">
        <f>IF(OR(J1104="",K1104=""),"",K1104/J1104-1)</f>
        <v/>
      </c>
      <c r="Q1104" s="54">
        <f>IF(AND(ISNUMBER(J1104),ISNUMBER(L1104)),1,0)</f>
        <v/>
      </c>
      <c r="R1104" s="69">
        <f>IF(Q1104=1,G1104*L1104,0)</f>
        <v/>
      </c>
      <c r="S1104" s="69">
        <f>IF(Q1104=1,(H1104+I1104)*U1104,0)</f>
        <v/>
      </c>
      <c r="T1104" s="59">
        <f>IF(Q1104=1,G1104,0)</f>
        <v/>
      </c>
      <c r="U1104" s="170">
        <f>$G$3</f>
        <v/>
      </c>
    </row>
    <row r="1105">
      <c r="A1105" s="54" t="inlineStr">
        <is>
          <t>CA DC Satin Fitted</t>
        </is>
      </c>
      <c r="B1105" s="54" t="inlineStr">
        <is>
          <t>CA</t>
        </is>
      </c>
      <c r="C1105" s="54" t="inlineStr">
        <is>
          <t>B0DBVYJJZ6</t>
        </is>
      </c>
      <c r="D1105" s="54" t="inlineStr">
        <is>
          <t>SATIN-FITTED-QUEEN-RED</t>
        </is>
      </c>
      <c r="E1105" s="54" t="inlineStr">
        <is>
          <t>Queen</t>
        </is>
      </c>
      <c r="F1105" s="54" t="inlineStr">
        <is>
          <t>Red</t>
        </is>
      </c>
      <c r="G1105" s="55" t="n">
        <v>2</v>
      </c>
      <c r="H1105" s="167" t="n">
        <v>34.01</v>
      </c>
      <c r="I1105" s="167" t="n">
        <v>0</v>
      </c>
      <c r="J1105" s="171">
        <f>IF(AND(N(G1105)&gt;0,N(H1105)+N(I1105)&gt;0),(H1105+I1105)*U1105/G1105,"")</f>
        <v/>
      </c>
      <c r="K1105" s="172" t="n">
        <v>23.95</v>
      </c>
      <c r="L1105" s="172" t="n">
        <v>23.95</v>
      </c>
      <c r="M1105" s="54" t="inlineStr">
        <is>
          <t>Eligible</t>
        </is>
      </c>
      <c r="N1105" s="171">
        <f>IF(OR(J1105="",L1105=""),"",L1105-J1105)</f>
        <v/>
      </c>
      <c r="O1105" s="169">
        <f>IF(OR(J1105="",L1105=""),"",L1105/J1105-1)</f>
        <v/>
      </c>
      <c r="P1105" s="169">
        <f>IF(OR(J1105="",K1105=""),"",K1105/J1105-1)</f>
        <v/>
      </c>
      <c r="Q1105" s="54">
        <f>IF(AND(ISNUMBER(J1105),ISNUMBER(L1105)),1,0)</f>
        <v/>
      </c>
      <c r="R1105" s="69">
        <f>IF(Q1105=1,G1105*L1105,0)</f>
        <v/>
      </c>
      <c r="S1105" s="69">
        <f>IF(Q1105=1,(H1105+I1105)*U1105,0)</f>
        <v/>
      </c>
      <c r="T1105" s="59">
        <f>IF(Q1105=1,G1105,0)</f>
        <v/>
      </c>
      <c r="U1105" s="170">
        <f>$G$3</f>
        <v/>
      </c>
    </row>
    <row r="1106">
      <c r="A1106" s="54" t="inlineStr">
        <is>
          <t>CA DC Satin Fitted</t>
        </is>
      </c>
      <c r="B1106" s="54" t="inlineStr">
        <is>
          <t>CA</t>
        </is>
      </c>
      <c r="C1106" s="54" t="inlineStr">
        <is>
          <t>B0DBW1NX31</t>
        </is>
      </c>
      <c r="D1106" s="54" t="inlineStr">
        <is>
          <t>SATIN-FITTED-QUEEN-SAGE-GREEN</t>
        </is>
      </c>
      <c r="E1106" s="54" t="inlineStr">
        <is>
          <t>Queen</t>
        </is>
      </c>
      <c r="F1106" s="54" t="inlineStr">
        <is>
          <t>Sage Green</t>
        </is>
      </c>
      <c r="G1106" s="55" t="n">
        <v>2</v>
      </c>
      <c r="H1106" s="167" t="n">
        <v>39.64</v>
      </c>
      <c r="I1106" s="167" t="n">
        <v>0</v>
      </c>
      <c r="J1106" s="171">
        <f>IF(AND(N(G1106)&gt;0,N(H1106)+N(I1106)&gt;0),(H1106+I1106)*U1106/G1106,"")</f>
        <v/>
      </c>
      <c r="K1106" s="172" t="n">
        <v>27.95</v>
      </c>
      <c r="L1106" s="172" t="n">
        <v>27.95</v>
      </c>
      <c r="M1106" s="54" t="inlineStr">
        <is>
          <t>Eligible</t>
        </is>
      </c>
      <c r="N1106" s="171">
        <f>IF(OR(J1106="",L1106=""),"",L1106-J1106)</f>
        <v/>
      </c>
      <c r="O1106" s="169">
        <f>IF(OR(J1106="",L1106=""),"",L1106/J1106-1)</f>
        <v/>
      </c>
      <c r="P1106" s="169">
        <f>IF(OR(J1106="",K1106=""),"",K1106/J1106-1)</f>
        <v/>
      </c>
      <c r="Q1106" s="54">
        <f>IF(AND(ISNUMBER(J1106),ISNUMBER(L1106)),1,0)</f>
        <v/>
      </c>
      <c r="R1106" s="69">
        <f>IF(Q1106=1,G1106*L1106,0)</f>
        <v/>
      </c>
      <c r="S1106" s="69">
        <f>IF(Q1106=1,(H1106+I1106)*U1106,0)</f>
        <v/>
      </c>
      <c r="T1106" s="59">
        <f>IF(Q1106=1,G1106,0)</f>
        <v/>
      </c>
      <c r="U1106" s="170">
        <f>$G$3</f>
        <v/>
      </c>
    </row>
    <row r="1107">
      <c r="A1107" s="54" t="inlineStr">
        <is>
          <t>CA DC Satin Fitted</t>
        </is>
      </c>
      <c r="B1107" s="54" t="inlineStr">
        <is>
          <t>CA</t>
        </is>
      </c>
      <c r="C1107" s="54" t="inlineStr">
        <is>
          <t>B0DBW1NVHF</t>
        </is>
      </c>
      <c r="D1107" s="54" t="inlineStr">
        <is>
          <t>SATIN-FITTED-QUEEN-SEA-TEAL</t>
        </is>
      </c>
      <c r="E1107" s="54" t="inlineStr">
        <is>
          <t>Queen</t>
        </is>
      </c>
      <c r="F1107" s="54" t="inlineStr">
        <is>
          <t>Sea Teal</t>
        </is>
      </c>
      <c r="G1107" s="55" t="n">
        <v>2</v>
      </c>
      <c r="H1107" s="167" t="n">
        <v>34.11</v>
      </c>
      <c r="I1107" s="167" t="n">
        <v>0</v>
      </c>
      <c r="J1107" s="171">
        <f>IF(AND(N(G1107)&gt;0,N(H1107)+N(I1107)&gt;0),(H1107+I1107)*U1107/G1107,"")</f>
        <v/>
      </c>
      <c r="K1107" s="172" t="n">
        <v>23.95</v>
      </c>
      <c r="L1107" s="172" t="n"/>
      <c r="M1107" s="54" t="inlineStr">
        <is>
          <t>Out of stock</t>
        </is>
      </c>
      <c r="N1107" s="171">
        <f>IF(OR(J1107="",L1107=""),"",L1107-J1107)</f>
        <v/>
      </c>
      <c r="O1107" s="169">
        <f>IF(OR(J1107="",L1107=""),"",L1107/J1107-1)</f>
        <v/>
      </c>
      <c r="P1107" s="169">
        <f>IF(OR(J1107="",K1107=""),"",K1107/J1107-1)</f>
        <v/>
      </c>
      <c r="Q1107" s="54">
        <f>IF(AND(ISNUMBER(J1107),ISNUMBER(L1107)),1,0)</f>
        <v/>
      </c>
      <c r="R1107" s="69">
        <f>IF(Q1107=1,G1107*L1107,0)</f>
        <v/>
      </c>
      <c r="S1107" s="69">
        <f>IF(Q1107=1,(H1107+I1107)*U1107,0)</f>
        <v/>
      </c>
      <c r="T1107" s="59">
        <f>IF(Q1107=1,G1107,0)</f>
        <v/>
      </c>
      <c r="U1107" s="170">
        <f>$G$3</f>
        <v/>
      </c>
    </row>
    <row r="1108">
      <c r="A1108" s="54" t="inlineStr">
        <is>
          <t>CA DC Satin Fitted</t>
        </is>
      </c>
      <c r="B1108" s="54" t="inlineStr">
        <is>
          <t>CA</t>
        </is>
      </c>
      <c r="C1108" s="54" t="inlineStr">
        <is>
          <t>B0DBVZMMPN</t>
        </is>
      </c>
      <c r="D1108" s="54" t="inlineStr">
        <is>
          <t>SATIN-FITTED-TWIN-BLUSH-PINK</t>
        </is>
      </c>
      <c r="E1108" s="54" t="inlineStr">
        <is>
          <t>Twin</t>
        </is>
      </c>
      <c r="F1108" s="54" t="inlineStr">
        <is>
          <t>Blush Pink</t>
        </is>
      </c>
      <c r="G1108" s="55" t="n">
        <v>2</v>
      </c>
      <c r="H1108" s="167" t="n">
        <v>29.75</v>
      </c>
      <c r="I1108" s="167" t="n">
        <v>0</v>
      </c>
      <c r="J1108" s="171">
        <f>IF(AND(N(G1108)&gt;0,N(H1108)+N(I1108)&gt;0),(H1108+I1108)*U1108/G1108,"")</f>
        <v/>
      </c>
      <c r="K1108" s="172" t="n">
        <v>20.95</v>
      </c>
      <c r="L1108" s="172" t="n">
        <v>19.9</v>
      </c>
      <c r="M1108" s="54" t="inlineStr">
        <is>
          <t>Eligible</t>
        </is>
      </c>
      <c r="N1108" s="171">
        <f>IF(OR(J1108="",L1108=""),"",L1108-J1108)</f>
        <v/>
      </c>
      <c r="O1108" s="169">
        <f>IF(OR(J1108="",L1108=""),"",L1108/J1108-1)</f>
        <v/>
      </c>
      <c r="P1108" s="169">
        <f>IF(OR(J1108="",K1108=""),"",K1108/J1108-1)</f>
        <v/>
      </c>
      <c r="Q1108" s="54">
        <f>IF(AND(ISNUMBER(J1108),ISNUMBER(L1108)),1,0)</f>
        <v/>
      </c>
      <c r="R1108" s="69">
        <f>IF(Q1108=1,G1108*L1108,0)</f>
        <v/>
      </c>
      <c r="S1108" s="69">
        <f>IF(Q1108=1,(H1108+I1108)*U1108,0)</f>
        <v/>
      </c>
      <c r="T1108" s="59">
        <f>IF(Q1108=1,G1108,0)</f>
        <v/>
      </c>
      <c r="U1108" s="170">
        <f>$G$3</f>
        <v/>
      </c>
    </row>
    <row r="1109">
      <c r="A1109" s="54" t="inlineStr">
        <is>
          <t>CA DC Satin Fitted</t>
        </is>
      </c>
      <c r="B1109" s="54" t="inlineStr">
        <is>
          <t>CA</t>
        </is>
      </c>
      <c r="C1109" s="54" t="inlineStr">
        <is>
          <t>B0DBVZ73F7</t>
        </is>
      </c>
      <c r="D1109" s="54" t="inlineStr">
        <is>
          <t>SATIN-FITTED-FULL-GOLD</t>
        </is>
      </c>
      <c r="E1109" s="54" t="inlineStr">
        <is>
          <t>Full</t>
        </is>
      </c>
      <c r="F1109" s="54" t="inlineStr">
        <is>
          <t>Gold</t>
        </is>
      </c>
      <c r="G1109" s="55" t="n">
        <v>1</v>
      </c>
      <c r="H1109" s="167" t="n">
        <v>16.31</v>
      </c>
      <c r="I1109" s="167" t="n">
        <v>0</v>
      </c>
      <c r="J1109" s="171">
        <f>IF(AND(N(G1109)&gt;0,N(H1109)+N(I1109)&gt;0),(H1109+I1109)*U1109/G1109,"")</f>
        <v/>
      </c>
      <c r="K1109" s="172" t="n">
        <v>22.95</v>
      </c>
      <c r="L1109" s="172" t="n"/>
      <c r="M1109" s="54" t="inlineStr">
        <is>
          <t>No reference price</t>
        </is>
      </c>
      <c r="N1109" s="171">
        <f>IF(OR(J1109="",L1109=""),"",L1109-J1109)</f>
        <v/>
      </c>
      <c r="O1109" s="169">
        <f>IF(OR(J1109="",L1109=""),"",L1109/J1109-1)</f>
        <v/>
      </c>
      <c r="P1109" s="169">
        <f>IF(OR(J1109="",K1109=""),"",K1109/J1109-1)</f>
        <v/>
      </c>
      <c r="Q1109" s="54">
        <f>IF(AND(ISNUMBER(J1109),ISNUMBER(L1109)),1,0)</f>
        <v/>
      </c>
      <c r="R1109" s="69">
        <f>IF(Q1109=1,G1109*L1109,0)</f>
        <v/>
      </c>
      <c r="S1109" s="69">
        <f>IF(Q1109=1,(H1109+I1109)*U1109,0)</f>
        <v/>
      </c>
      <c r="T1109" s="59">
        <f>IF(Q1109=1,G1109,0)</f>
        <v/>
      </c>
      <c r="U1109" s="170">
        <f>$G$3</f>
        <v/>
      </c>
    </row>
    <row r="1110">
      <c r="A1110" s="54" t="inlineStr">
        <is>
          <t>CA DC Satin Fitted</t>
        </is>
      </c>
      <c r="B1110" s="54" t="inlineStr">
        <is>
          <t>CA</t>
        </is>
      </c>
      <c r="C1110" s="54" t="inlineStr">
        <is>
          <t>B0DBW2GW4S</t>
        </is>
      </c>
      <c r="D1110" s="54" t="inlineStr">
        <is>
          <t>SATIN-FITTED-FULL-IVORY</t>
        </is>
      </c>
      <c r="E1110" s="54" t="inlineStr">
        <is>
          <t>Full</t>
        </is>
      </c>
      <c r="F1110" s="54" t="inlineStr">
        <is>
          <t>Ivory</t>
        </is>
      </c>
      <c r="G1110" s="55" t="n">
        <v>1</v>
      </c>
      <c r="H1110" s="167" t="n">
        <v>16.41</v>
      </c>
      <c r="I1110" s="167" t="n">
        <v>0</v>
      </c>
      <c r="J1110" s="171">
        <f>IF(AND(N(G1110)&gt;0,N(H1110)+N(I1110)&gt;0),(H1110+I1110)*U1110/G1110,"")</f>
        <v/>
      </c>
      <c r="K1110" s="172" t="n">
        <v>22.95</v>
      </c>
      <c r="L1110" s="172" t="n">
        <v>21.8</v>
      </c>
      <c r="M1110" s="54" t="inlineStr">
        <is>
          <t>Eligible</t>
        </is>
      </c>
      <c r="N1110" s="171">
        <f>IF(OR(J1110="",L1110=""),"",L1110-J1110)</f>
        <v/>
      </c>
      <c r="O1110" s="169">
        <f>IF(OR(J1110="",L1110=""),"",L1110/J1110-1)</f>
        <v/>
      </c>
      <c r="P1110" s="169">
        <f>IF(OR(J1110="",K1110=""),"",K1110/J1110-1)</f>
        <v/>
      </c>
      <c r="Q1110" s="54">
        <f>IF(AND(ISNUMBER(J1110),ISNUMBER(L1110)),1,0)</f>
        <v/>
      </c>
      <c r="R1110" s="69">
        <f>IF(Q1110=1,G1110*L1110,0)</f>
        <v/>
      </c>
      <c r="S1110" s="69">
        <f>IF(Q1110=1,(H1110+I1110)*U1110,0)</f>
        <v/>
      </c>
      <c r="T1110" s="59">
        <f>IF(Q1110=1,G1110,0)</f>
        <v/>
      </c>
      <c r="U1110" s="170">
        <f>$G$3</f>
        <v/>
      </c>
    </row>
    <row r="1111">
      <c r="A1111" s="54" t="inlineStr">
        <is>
          <t>CA DC Satin Fitted</t>
        </is>
      </c>
      <c r="B1111" s="54" t="inlineStr">
        <is>
          <t>CA</t>
        </is>
      </c>
      <c r="C1111" s="54" t="inlineStr">
        <is>
          <t>B0DBW2LXQY</t>
        </is>
      </c>
      <c r="D1111" s="54" t="inlineStr">
        <is>
          <t>SATIN-FITTED-FULL-SAGE-GREEN</t>
        </is>
      </c>
      <c r="E1111" s="54" t="inlineStr">
        <is>
          <t>Full</t>
        </is>
      </c>
      <c r="F1111" s="54" t="inlineStr">
        <is>
          <t>Sage Green</t>
        </is>
      </c>
      <c r="G1111" s="55" t="n">
        <v>1</v>
      </c>
      <c r="H1111" s="167" t="n">
        <v>16.41</v>
      </c>
      <c r="I1111" s="167" t="n">
        <v>0</v>
      </c>
      <c r="J1111" s="171">
        <f>IF(AND(N(G1111)&gt;0,N(H1111)+N(I1111)&gt;0),(H1111+I1111)*U1111/G1111,"")</f>
        <v/>
      </c>
      <c r="K1111" s="172" t="n">
        <v>22.95</v>
      </c>
      <c r="L1111" s="172" t="n">
        <v>22.95</v>
      </c>
      <c r="M1111" s="54" t="inlineStr">
        <is>
          <t>Eligible</t>
        </is>
      </c>
      <c r="N1111" s="171">
        <f>IF(OR(J1111="",L1111=""),"",L1111-J1111)</f>
        <v/>
      </c>
      <c r="O1111" s="169">
        <f>IF(OR(J1111="",L1111=""),"",L1111/J1111-1)</f>
        <v/>
      </c>
      <c r="P1111" s="169">
        <f>IF(OR(J1111="",K1111=""),"",K1111/J1111-1)</f>
        <v/>
      </c>
      <c r="Q1111" s="54">
        <f>IF(AND(ISNUMBER(J1111),ISNUMBER(L1111)),1,0)</f>
        <v/>
      </c>
      <c r="R1111" s="69">
        <f>IF(Q1111=1,G1111*L1111,0)</f>
        <v/>
      </c>
      <c r="S1111" s="69">
        <f>IF(Q1111=1,(H1111+I1111)*U1111,0)</f>
        <v/>
      </c>
      <c r="T1111" s="59">
        <f>IF(Q1111=1,G1111,0)</f>
        <v/>
      </c>
      <c r="U1111" s="170">
        <f>$G$3</f>
        <v/>
      </c>
    </row>
    <row r="1112">
      <c r="A1112" s="54" t="inlineStr">
        <is>
          <t>CA DC Satin Fitted</t>
        </is>
      </c>
      <c r="B1112" s="54" t="inlineStr">
        <is>
          <t>CA</t>
        </is>
      </c>
      <c r="C1112" s="54" t="inlineStr">
        <is>
          <t>B0DBVZ1Z2S</t>
        </is>
      </c>
      <c r="D1112" s="54" t="inlineStr">
        <is>
          <t>SATIN-FITTED-FULL-SEA-TEAL</t>
        </is>
      </c>
      <c r="E1112" s="54" t="inlineStr">
        <is>
          <t>Full</t>
        </is>
      </c>
      <c r="F1112" s="54" t="inlineStr">
        <is>
          <t>Sea Teal</t>
        </is>
      </c>
      <c r="G1112" s="55" t="n">
        <v>1</v>
      </c>
      <c r="H1112" s="167" t="n">
        <v>16.31</v>
      </c>
      <c r="I1112" s="167" t="n">
        <v>0</v>
      </c>
      <c r="J1112" s="171">
        <f>IF(AND(N(G1112)&gt;0,N(H1112)+N(I1112)&gt;0),(H1112+I1112)*U1112/G1112,"")</f>
        <v/>
      </c>
      <c r="K1112" s="172" t="n">
        <v>22.95</v>
      </c>
      <c r="L1112" s="172" t="n">
        <v>22.95</v>
      </c>
      <c r="M1112" s="54" t="inlineStr">
        <is>
          <t>Eligible</t>
        </is>
      </c>
      <c r="N1112" s="171">
        <f>IF(OR(J1112="",L1112=""),"",L1112-J1112)</f>
        <v/>
      </c>
      <c r="O1112" s="169">
        <f>IF(OR(J1112="",L1112=""),"",L1112/J1112-1)</f>
        <v/>
      </c>
      <c r="P1112" s="169">
        <f>IF(OR(J1112="",K1112=""),"",K1112/J1112-1)</f>
        <v/>
      </c>
      <c r="Q1112" s="54">
        <f>IF(AND(ISNUMBER(J1112),ISNUMBER(L1112)),1,0)</f>
        <v/>
      </c>
      <c r="R1112" s="69">
        <f>IF(Q1112=1,G1112*L1112,0)</f>
        <v/>
      </c>
      <c r="S1112" s="69">
        <f>IF(Q1112=1,(H1112+I1112)*U1112,0)</f>
        <v/>
      </c>
      <c r="T1112" s="59">
        <f>IF(Q1112=1,G1112,0)</f>
        <v/>
      </c>
      <c r="U1112" s="170">
        <f>$G$3</f>
        <v/>
      </c>
    </row>
    <row r="1113">
      <c r="A1113" s="54" t="inlineStr">
        <is>
          <t>CA DC Satin Fitted</t>
        </is>
      </c>
      <c r="B1113" s="54" t="inlineStr">
        <is>
          <t>CA</t>
        </is>
      </c>
      <c r="C1113" s="54" t="inlineStr">
        <is>
          <t>B0DBVY2YWN</t>
        </is>
      </c>
      <c r="D1113" s="54" t="inlineStr">
        <is>
          <t>SATIN-FITTED-KING-BABY-BLUE</t>
        </is>
      </c>
      <c r="E1113" s="54" t="inlineStr">
        <is>
          <t>King</t>
        </is>
      </c>
      <c r="F1113" s="54" t="inlineStr">
        <is>
          <t>Baby Blue</t>
        </is>
      </c>
      <c r="G1113" s="55" t="n">
        <v>1</v>
      </c>
      <c r="H1113" s="167" t="n">
        <v>19.92</v>
      </c>
      <c r="I1113" s="167" t="n">
        <v>0</v>
      </c>
      <c r="J1113" s="171">
        <f>IF(AND(N(G1113)&gt;0,N(H1113)+N(I1113)&gt;0),(H1113+I1113)*U1113/G1113,"")</f>
        <v/>
      </c>
      <c r="K1113" s="172" t="n">
        <v>27.95</v>
      </c>
      <c r="L1113" s="172" t="n"/>
      <c r="M1113" s="54" t="inlineStr">
        <is>
          <t>Out of stock</t>
        </is>
      </c>
      <c r="N1113" s="171">
        <f>IF(OR(J1113="",L1113=""),"",L1113-J1113)</f>
        <v/>
      </c>
      <c r="O1113" s="169">
        <f>IF(OR(J1113="",L1113=""),"",L1113/J1113-1)</f>
        <v/>
      </c>
      <c r="P1113" s="169">
        <f>IF(OR(J1113="",K1113=""),"",K1113/J1113-1)</f>
        <v/>
      </c>
      <c r="Q1113" s="54">
        <f>IF(AND(ISNUMBER(J1113),ISNUMBER(L1113)),1,0)</f>
        <v/>
      </c>
      <c r="R1113" s="69">
        <f>IF(Q1113=1,G1113*L1113,0)</f>
        <v/>
      </c>
      <c r="S1113" s="69">
        <f>IF(Q1113=1,(H1113+I1113)*U1113,0)</f>
        <v/>
      </c>
      <c r="T1113" s="59">
        <f>IF(Q1113=1,G1113,0)</f>
        <v/>
      </c>
      <c r="U1113" s="170">
        <f>$G$3</f>
        <v/>
      </c>
    </row>
    <row r="1114">
      <c r="A1114" s="54" t="inlineStr">
        <is>
          <t>CA DC Satin Fitted</t>
        </is>
      </c>
      <c r="B1114" s="54" t="inlineStr">
        <is>
          <t>CA</t>
        </is>
      </c>
      <c r="C1114" s="54" t="inlineStr">
        <is>
          <t>B0DBVYYWX3</t>
        </is>
      </c>
      <c r="D1114" s="54" t="inlineStr">
        <is>
          <t>SATIN-FITTED-KING-DARK-GREEN</t>
        </is>
      </c>
      <c r="E1114" s="54" t="inlineStr">
        <is>
          <t>King</t>
        </is>
      </c>
      <c r="F1114" s="54" t="inlineStr">
        <is>
          <t>Dark Green</t>
        </is>
      </c>
      <c r="G1114" s="55" t="n">
        <v>1</v>
      </c>
      <c r="H1114" s="167" t="n">
        <v>19.99</v>
      </c>
      <c r="I1114" s="167" t="n">
        <v>0</v>
      </c>
      <c r="J1114" s="171">
        <f>IF(AND(N(G1114)&gt;0,N(H1114)+N(I1114)&gt;0),(H1114+I1114)*U1114/G1114,"")</f>
        <v/>
      </c>
      <c r="K1114" s="172" t="n">
        <v>27.95</v>
      </c>
      <c r="L1114" s="172" t="n">
        <v>27.95</v>
      </c>
      <c r="M1114" s="54" t="inlineStr">
        <is>
          <t>Eligible</t>
        </is>
      </c>
      <c r="N1114" s="171">
        <f>IF(OR(J1114="",L1114=""),"",L1114-J1114)</f>
        <v/>
      </c>
      <c r="O1114" s="169">
        <f>IF(OR(J1114="",L1114=""),"",L1114/J1114-1)</f>
        <v/>
      </c>
      <c r="P1114" s="169">
        <f>IF(OR(J1114="",K1114=""),"",K1114/J1114-1)</f>
        <v/>
      </c>
      <c r="Q1114" s="54">
        <f>IF(AND(ISNUMBER(J1114),ISNUMBER(L1114)),1,0)</f>
        <v/>
      </c>
      <c r="R1114" s="69">
        <f>IF(Q1114=1,G1114*L1114,0)</f>
        <v/>
      </c>
      <c r="S1114" s="69">
        <f>IF(Q1114=1,(H1114+I1114)*U1114,0)</f>
        <v/>
      </c>
      <c r="T1114" s="59">
        <f>IF(Q1114=1,G1114,0)</f>
        <v/>
      </c>
      <c r="U1114" s="170">
        <f>$G$3</f>
        <v/>
      </c>
    </row>
    <row r="1115">
      <c r="A1115" s="54" t="inlineStr">
        <is>
          <t>CA DC Satin Fitted</t>
        </is>
      </c>
      <c r="B1115" s="54" t="inlineStr">
        <is>
          <t>CA</t>
        </is>
      </c>
      <c r="C1115" s="54" t="inlineStr">
        <is>
          <t>B0DBVZJTGS</t>
        </is>
      </c>
      <c r="D1115" s="54" t="inlineStr">
        <is>
          <t>SATIN-FITTED-KING-PURPLE</t>
        </is>
      </c>
      <c r="E1115" s="54" t="inlineStr">
        <is>
          <t>King</t>
        </is>
      </c>
      <c r="F1115" s="54" t="inlineStr">
        <is>
          <t>Purple</t>
        </is>
      </c>
      <c r="G1115" s="55" t="n">
        <v>1</v>
      </c>
      <c r="H1115" s="167" t="n">
        <v>19.82</v>
      </c>
      <c r="I1115" s="167" t="n">
        <v>0</v>
      </c>
      <c r="J1115" s="171">
        <f>IF(AND(N(G1115)&gt;0,N(H1115)+N(I1115)&gt;0),(H1115+I1115)*U1115/G1115,"")</f>
        <v/>
      </c>
      <c r="K1115" s="172" t="n">
        <v>27.95</v>
      </c>
      <c r="L1115" s="172" t="n">
        <v>26.55</v>
      </c>
      <c r="M1115" s="54" t="inlineStr">
        <is>
          <t>Eligible</t>
        </is>
      </c>
      <c r="N1115" s="171">
        <f>IF(OR(J1115="",L1115=""),"",L1115-J1115)</f>
        <v/>
      </c>
      <c r="O1115" s="169">
        <f>IF(OR(J1115="",L1115=""),"",L1115/J1115-1)</f>
        <v/>
      </c>
      <c r="P1115" s="169">
        <f>IF(OR(J1115="",K1115=""),"",K1115/J1115-1)</f>
        <v/>
      </c>
      <c r="Q1115" s="54">
        <f>IF(AND(ISNUMBER(J1115),ISNUMBER(L1115)),1,0)</f>
        <v/>
      </c>
      <c r="R1115" s="69">
        <f>IF(Q1115=1,G1115*L1115,0)</f>
        <v/>
      </c>
      <c r="S1115" s="69">
        <f>IF(Q1115=1,(H1115+I1115)*U1115,0)</f>
        <v/>
      </c>
      <c r="T1115" s="59">
        <f>IF(Q1115=1,G1115,0)</f>
        <v/>
      </c>
      <c r="U1115" s="170">
        <f>$G$3</f>
        <v/>
      </c>
    </row>
    <row r="1116">
      <c r="A1116" s="54" t="inlineStr">
        <is>
          <t>CA DC Satin Fitted</t>
        </is>
      </c>
      <c r="B1116" s="54" t="inlineStr">
        <is>
          <t>CA</t>
        </is>
      </c>
      <c r="C1116" s="54" t="inlineStr">
        <is>
          <t>B0DBVZZH8S</t>
        </is>
      </c>
      <c r="D1116" s="54" t="inlineStr">
        <is>
          <t>SATIN-FITTED-QUEEN-GOLD</t>
        </is>
      </c>
      <c r="E1116" s="54" t="inlineStr">
        <is>
          <t>Queen</t>
        </is>
      </c>
      <c r="F1116" s="54" t="inlineStr">
        <is>
          <t>Gold</t>
        </is>
      </c>
      <c r="G1116" s="55" t="n">
        <v>1</v>
      </c>
      <c r="H1116" s="167" t="n">
        <v>16.99</v>
      </c>
      <c r="I1116" s="167" t="n">
        <v>0</v>
      </c>
      <c r="J1116" s="171">
        <f>IF(AND(N(G1116)&gt;0,N(H1116)+N(I1116)&gt;0),(H1116+I1116)*U1116/G1116,"")</f>
        <v/>
      </c>
      <c r="K1116" s="172" t="n">
        <v>23.95</v>
      </c>
      <c r="L1116" s="172" t="n">
        <v>22.75</v>
      </c>
      <c r="M1116" s="54" t="inlineStr">
        <is>
          <t>Eligible</t>
        </is>
      </c>
      <c r="N1116" s="171">
        <f>IF(OR(J1116="",L1116=""),"",L1116-J1116)</f>
        <v/>
      </c>
      <c r="O1116" s="169">
        <f>IF(OR(J1116="",L1116=""),"",L1116/J1116-1)</f>
        <v/>
      </c>
      <c r="P1116" s="169">
        <f>IF(OR(J1116="",K1116=""),"",K1116/J1116-1)</f>
        <v/>
      </c>
      <c r="Q1116" s="54">
        <f>IF(AND(ISNUMBER(J1116),ISNUMBER(L1116)),1,0)</f>
        <v/>
      </c>
      <c r="R1116" s="69">
        <f>IF(Q1116=1,G1116*L1116,0)</f>
        <v/>
      </c>
      <c r="S1116" s="69">
        <f>IF(Q1116=1,(H1116+I1116)*U1116,0)</f>
        <v/>
      </c>
      <c r="T1116" s="59">
        <f>IF(Q1116=1,G1116,0)</f>
        <v/>
      </c>
      <c r="U1116" s="170">
        <f>$G$3</f>
        <v/>
      </c>
    </row>
    <row r="1117">
      <c r="A1117" s="54" t="inlineStr">
        <is>
          <t>CA DC Satin Fitted</t>
        </is>
      </c>
      <c r="B1117" s="54" t="inlineStr">
        <is>
          <t>CA</t>
        </is>
      </c>
      <c r="C1117" s="54" t="inlineStr">
        <is>
          <t>B0DBVZYXY9</t>
        </is>
      </c>
      <c r="D1117" s="54" t="inlineStr">
        <is>
          <t>SATIN-FITTED-QUEEN-NAVY-BLUE</t>
        </is>
      </c>
      <c r="E1117" s="54" t="inlineStr">
        <is>
          <t>Queen</t>
        </is>
      </c>
      <c r="F1117" s="54" t="inlineStr">
        <is>
          <t>Navy Blue</t>
        </is>
      </c>
      <c r="G1117" s="55" t="n">
        <v>1</v>
      </c>
      <c r="H1117" s="167" t="n">
        <v>17.15</v>
      </c>
      <c r="I1117" s="167" t="n">
        <v>0</v>
      </c>
      <c r="J1117" s="171">
        <f>IF(AND(N(G1117)&gt;0,N(H1117)+N(I1117)&gt;0),(H1117+I1117)*U1117/G1117,"")</f>
        <v/>
      </c>
      <c r="K1117" s="172" t="n">
        <v>23.95</v>
      </c>
      <c r="L1117" s="172" t="n">
        <v>22.75</v>
      </c>
      <c r="M1117" s="54" t="inlineStr">
        <is>
          <t>Eligible</t>
        </is>
      </c>
      <c r="N1117" s="171">
        <f>IF(OR(J1117="",L1117=""),"",L1117-J1117)</f>
        <v/>
      </c>
      <c r="O1117" s="169">
        <f>IF(OR(J1117="",L1117=""),"",L1117/J1117-1)</f>
        <v/>
      </c>
      <c r="P1117" s="169">
        <f>IF(OR(J1117="",K1117=""),"",K1117/J1117-1)</f>
        <v/>
      </c>
      <c r="Q1117" s="54">
        <f>IF(AND(ISNUMBER(J1117),ISNUMBER(L1117)),1,0)</f>
        <v/>
      </c>
      <c r="R1117" s="69">
        <f>IF(Q1117=1,G1117*L1117,0)</f>
        <v/>
      </c>
      <c r="S1117" s="69">
        <f>IF(Q1117=1,(H1117+I1117)*U1117,0)</f>
        <v/>
      </c>
      <c r="T1117" s="59">
        <f>IF(Q1117=1,G1117,0)</f>
        <v/>
      </c>
      <c r="U1117" s="170">
        <f>$G$3</f>
        <v/>
      </c>
    </row>
    <row r="1118">
      <c r="A1118" s="54" t="inlineStr">
        <is>
          <t>CA DC Satin Fitted</t>
        </is>
      </c>
      <c r="B1118" s="54" t="inlineStr">
        <is>
          <t>CA</t>
        </is>
      </c>
      <c r="C1118" s="54" t="inlineStr">
        <is>
          <t>B0DBW1NXMC</t>
        </is>
      </c>
      <c r="D1118" s="54" t="inlineStr">
        <is>
          <t>SATIN-FITTED-TWIN-DARK-GREEN</t>
        </is>
      </c>
      <c r="E1118" s="54" t="inlineStr">
        <is>
          <t>Twin</t>
        </is>
      </c>
      <c r="F1118" s="54" t="inlineStr">
        <is>
          <t>Dark Green</t>
        </is>
      </c>
      <c r="G1118" s="55" t="n">
        <v>1</v>
      </c>
      <c r="H1118" s="167" t="n">
        <v>14.85</v>
      </c>
      <c r="I1118" s="167" t="n">
        <v>0</v>
      </c>
      <c r="J1118" s="171">
        <f>IF(AND(N(G1118)&gt;0,N(H1118)+N(I1118)&gt;0),(H1118+I1118)*U1118/G1118,"")</f>
        <v/>
      </c>
      <c r="K1118" s="172" t="n">
        <v>20.95</v>
      </c>
      <c r="L1118" s="172" t="n">
        <v>20.95</v>
      </c>
      <c r="M1118" s="54" t="inlineStr">
        <is>
          <t>Eligible</t>
        </is>
      </c>
      <c r="N1118" s="171">
        <f>IF(OR(J1118="",L1118=""),"",L1118-J1118)</f>
        <v/>
      </c>
      <c r="O1118" s="169">
        <f>IF(OR(J1118="",L1118=""),"",L1118/J1118-1)</f>
        <v/>
      </c>
      <c r="P1118" s="169">
        <f>IF(OR(J1118="",K1118=""),"",K1118/J1118-1)</f>
        <v/>
      </c>
      <c r="Q1118" s="54">
        <f>IF(AND(ISNUMBER(J1118),ISNUMBER(L1118)),1,0)</f>
        <v/>
      </c>
      <c r="R1118" s="69">
        <f>IF(Q1118=1,G1118*L1118,0)</f>
        <v/>
      </c>
      <c r="S1118" s="69">
        <f>IF(Q1118=1,(H1118+I1118)*U1118,0)</f>
        <v/>
      </c>
      <c r="T1118" s="59">
        <f>IF(Q1118=1,G1118,0)</f>
        <v/>
      </c>
      <c r="U1118" s="170">
        <f>$G$3</f>
        <v/>
      </c>
    </row>
    <row r="1119">
      <c r="A1119" s="54" t="inlineStr">
        <is>
          <t>CA DC Satin Fitted</t>
        </is>
      </c>
      <c r="B1119" s="54" t="inlineStr">
        <is>
          <t>CA</t>
        </is>
      </c>
      <c r="C1119" s="54" t="inlineStr">
        <is>
          <t>B0DBW6FW27</t>
        </is>
      </c>
      <c r="D1119" s="54" t="inlineStr">
        <is>
          <t>SATIN-FITTED-TWIN-IVORY</t>
        </is>
      </c>
      <c r="E1119" s="54" t="inlineStr">
        <is>
          <t>Twin</t>
        </is>
      </c>
      <c r="F1119" s="54" t="inlineStr">
        <is>
          <t>Ivory</t>
        </is>
      </c>
      <c r="G1119" s="55" t="n">
        <v>1</v>
      </c>
      <c r="H1119" s="167" t="n">
        <v>14.98</v>
      </c>
      <c r="I1119" s="167" t="n">
        <v>0</v>
      </c>
      <c r="J1119" s="171">
        <f>IF(AND(N(G1119)&gt;0,N(H1119)+N(I1119)&gt;0),(H1119+I1119)*U1119/G1119,"")</f>
        <v/>
      </c>
      <c r="K1119" s="172" t="n">
        <v>20.95</v>
      </c>
      <c r="L1119" s="172" t="n">
        <v>19.9</v>
      </c>
      <c r="M1119" s="54" t="inlineStr">
        <is>
          <t>Eligible</t>
        </is>
      </c>
      <c r="N1119" s="171">
        <f>IF(OR(J1119="",L1119=""),"",L1119-J1119)</f>
        <v/>
      </c>
      <c r="O1119" s="169">
        <f>IF(OR(J1119="",L1119=""),"",L1119/J1119-1)</f>
        <v/>
      </c>
      <c r="P1119" s="169">
        <f>IF(OR(J1119="",K1119=""),"",K1119/J1119-1)</f>
        <v/>
      </c>
      <c r="Q1119" s="54">
        <f>IF(AND(ISNUMBER(J1119),ISNUMBER(L1119)),1,0)</f>
        <v/>
      </c>
      <c r="R1119" s="69">
        <f>IF(Q1119=1,G1119*L1119,0)</f>
        <v/>
      </c>
      <c r="S1119" s="69">
        <f>IF(Q1119=1,(H1119+I1119)*U1119,0)</f>
        <v/>
      </c>
      <c r="T1119" s="59">
        <f>IF(Q1119=1,G1119,0)</f>
        <v/>
      </c>
      <c r="U1119" s="170">
        <f>$G$3</f>
        <v/>
      </c>
    </row>
    <row r="1120">
      <c r="A1120" s="54" t="inlineStr">
        <is>
          <t>CA DC Satin Fitted</t>
        </is>
      </c>
      <c r="B1120" s="54" t="inlineStr">
        <is>
          <t>CA</t>
        </is>
      </c>
      <c r="C1120" s="54" t="inlineStr">
        <is>
          <t>B0DBVZ9JMT</t>
        </is>
      </c>
      <c r="D1120" s="54" t="inlineStr">
        <is>
          <t>SATIN-FITTED-TWIN-LAVENDER</t>
        </is>
      </c>
      <c r="E1120" s="54" t="inlineStr">
        <is>
          <t>Twin</t>
        </is>
      </c>
      <c r="F1120" s="54" t="inlineStr">
        <is>
          <t>Lavender</t>
        </is>
      </c>
      <c r="G1120" s="55" t="n">
        <v>1</v>
      </c>
      <c r="H1120" s="167" t="n">
        <v>14.93</v>
      </c>
      <c r="I1120" s="167" t="n">
        <v>0</v>
      </c>
      <c r="J1120" s="171">
        <f>IF(AND(N(G1120)&gt;0,N(H1120)+N(I1120)&gt;0),(H1120+I1120)*U1120/G1120,"")</f>
        <v/>
      </c>
      <c r="K1120" s="172" t="n">
        <v>20.95</v>
      </c>
      <c r="L1120" s="172" t="n">
        <v>19.9</v>
      </c>
      <c r="M1120" s="54" t="inlineStr">
        <is>
          <t>Eligible</t>
        </is>
      </c>
      <c r="N1120" s="171">
        <f>IF(OR(J1120="",L1120=""),"",L1120-J1120)</f>
        <v/>
      </c>
      <c r="O1120" s="169">
        <f>IF(OR(J1120="",L1120=""),"",L1120/J1120-1)</f>
        <v/>
      </c>
      <c r="P1120" s="169">
        <f>IF(OR(J1120="",K1120=""),"",K1120/J1120-1)</f>
        <v/>
      </c>
      <c r="Q1120" s="54">
        <f>IF(AND(ISNUMBER(J1120),ISNUMBER(L1120)),1,0)</f>
        <v/>
      </c>
      <c r="R1120" s="69">
        <f>IF(Q1120=1,G1120*L1120,0)</f>
        <v/>
      </c>
      <c r="S1120" s="69">
        <f>IF(Q1120=1,(H1120+I1120)*U1120,0)</f>
        <v/>
      </c>
      <c r="T1120" s="59">
        <f>IF(Q1120=1,G1120,0)</f>
        <v/>
      </c>
      <c r="U1120" s="170">
        <f>$G$3</f>
        <v/>
      </c>
    </row>
    <row r="1121">
      <c r="A1121" s="54" t="inlineStr">
        <is>
          <t>CA DC Satin Fitted</t>
        </is>
      </c>
      <c r="B1121" s="54" t="inlineStr">
        <is>
          <t>CA</t>
        </is>
      </c>
      <c r="C1121" s="54" t="inlineStr">
        <is>
          <t>B0DBW1M6RR</t>
        </is>
      </c>
      <c r="D1121" s="54" t="inlineStr">
        <is>
          <t>SATIN-FITTED-TWIN-PURPLE</t>
        </is>
      </c>
      <c r="E1121" s="54" t="inlineStr">
        <is>
          <t>Twin</t>
        </is>
      </c>
      <c r="F1121" s="54" t="inlineStr">
        <is>
          <t>Purple</t>
        </is>
      </c>
      <c r="G1121" s="55" t="n">
        <v>1</v>
      </c>
      <c r="H1121" s="167" t="n">
        <v>14.85</v>
      </c>
      <c r="I1121" s="167" t="n">
        <v>0</v>
      </c>
      <c r="J1121" s="171">
        <f>IF(AND(N(G1121)&gt;0,N(H1121)+N(I1121)&gt;0),(H1121+I1121)*U1121/G1121,"")</f>
        <v/>
      </c>
      <c r="K1121" s="172" t="n">
        <v>20.95</v>
      </c>
      <c r="L1121" s="172" t="n">
        <v>20.95</v>
      </c>
      <c r="M1121" s="54" t="inlineStr">
        <is>
          <t>Eligible</t>
        </is>
      </c>
      <c r="N1121" s="171">
        <f>IF(OR(J1121="",L1121=""),"",L1121-J1121)</f>
        <v/>
      </c>
      <c r="O1121" s="169">
        <f>IF(OR(J1121="",L1121=""),"",L1121/J1121-1)</f>
        <v/>
      </c>
      <c r="P1121" s="169">
        <f>IF(OR(J1121="",K1121=""),"",K1121/J1121-1)</f>
        <v/>
      </c>
      <c r="Q1121" s="54">
        <f>IF(AND(ISNUMBER(J1121),ISNUMBER(L1121)),1,0)</f>
        <v/>
      </c>
      <c r="R1121" s="69">
        <f>IF(Q1121=1,G1121*L1121,0)</f>
        <v/>
      </c>
      <c r="S1121" s="69">
        <f>IF(Q1121=1,(H1121+I1121)*U1121,0)</f>
        <v/>
      </c>
      <c r="T1121" s="59">
        <f>IF(Q1121=1,G1121,0)</f>
        <v/>
      </c>
      <c r="U1121" s="170">
        <f>$G$3</f>
        <v/>
      </c>
    </row>
    <row r="1122">
      <c r="A1122" s="54" t="inlineStr">
        <is>
          <t>CA DC Satin Fitted</t>
        </is>
      </c>
      <c r="B1122" s="54" t="inlineStr">
        <is>
          <t>CA</t>
        </is>
      </c>
      <c r="C1122" s="54" t="inlineStr">
        <is>
          <t>B0DBW1FRHC</t>
        </is>
      </c>
      <c r="D1122" s="54" t="inlineStr">
        <is>
          <t>SATIN-FITTED-TWIN-RED</t>
        </is>
      </c>
      <c r="E1122" s="54" t="inlineStr">
        <is>
          <t>Twin</t>
        </is>
      </c>
      <c r="F1122" s="54" t="inlineStr">
        <is>
          <t>Red</t>
        </is>
      </c>
      <c r="G1122" s="55" t="n">
        <v>1</v>
      </c>
      <c r="H1122" s="167" t="n">
        <v>14.86</v>
      </c>
      <c r="I1122" s="167" t="n">
        <v>0</v>
      </c>
      <c r="J1122" s="171">
        <f>IF(AND(N(G1122)&gt;0,N(H1122)+N(I1122)&gt;0),(H1122+I1122)*U1122/G1122,"")</f>
        <v/>
      </c>
      <c r="K1122" s="172" t="n">
        <v>20.95</v>
      </c>
      <c r="L1122" s="172" t="n">
        <v>20.95</v>
      </c>
      <c r="M1122" s="54" t="inlineStr">
        <is>
          <t>Eligible</t>
        </is>
      </c>
      <c r="N1122" s="171">
        <f>IF(OR(J1122="",L1122=""),"",L1122-J1122)</f>
        <v/>
      </c>
      <c r="O1122" s="169">
        <f>IF(OR(J1122="",L1122=""),"",L1122/J1122-1)</f>
        <v/>
      </c>
      <c r="P1122" s="169">
        <f>IF(OR(J1122="",K1122=""),"",K1122/J1122-1)</f>
        <v/>
      </c>
      <c r="Q1122" s="54">
        <f>IF(AND(ISNUMBER(J1122),ISNUMBER(L1122)),1,0)</f>
        <v/>
      </c>
      <c r="R1122" s="69">
        <f>IF(Q1122=1,G1122*L1122,0)</f>
        <v/>
      </c>
      <c r="S1122" s="69">
        <f>IF(Q1122=1,(H1122+I1122)*U1122,0)</f>
        <v/>
      </c>
      <c r="T1122" s="59">
        <f>IF(Q1122=1,G1122,0)</f>
        <v/>
      </c>
      <c r="U1122" s="170">
        <f>$G$3</f>
        <v/>
      </c>
    </row>
    <row r="1123">
      <c r="A1123" s="54" t="inlineStr">
        <is>
          <t>CA DC Satin Fitted</t>
        </is>
      </c>
      <c r="B1123" s="54" t="inlineStr">
        <is>
          <t>CA</t>
        </is>
      </c>
      <c r="C1123" s="54" t="inlineStr">
        <is>
          <t>B0DBVZ9QZC</t>
        </is>
      </c>
      <c r="D1123" s="54" t="inlineStr">
        <is>
          <t>SATIN-FITTED-TWIN-SAGE-GREEN</t>
        </is>
      </c>
      <c r="E1123" s="54" t="inlineStr">
        <is>
          <t>Twin</t>
        </is>
      </c>
      <c r="F1123" s="54" t="inlineStr">
        <is>
          <t>Sage Green</t>
        </is>
      </c>
      <c r="G1123" s="55" t="n">
        <v>1</v>
      </c>
      <c r="H1123" s="167" t="n">
        <v>14.93</v>
      </c>
      <c r="I1123" s="167" t="n">
        <v>0</v>
      </c>
      <c r="J1123" s="171">
        <f>IF(AND(N(G1123)&gt;0,N(H1123)+N(I1123)&gt;0),(H1123+I1123)*U1123/G1123,"")</f>
        <v/>
      </c>
      <c r="K1123" s="172" t="n">
        <v>20.95</v>
      </c>
      <c r="L1123" s="172" t="n">
        <v>20.95</v>
      </c>
      <c r="M1123" s="54" t="inlineStr">
        <is>
          <t>Eligible</t>
        </is>
      </c>
      <c r="N1123" s="171">
        <f>IF(OR(J1123="",L1123=""),"",L1123-J1123)</f>
        <v/>
      </c>
      <c r="O1123" s="169">
        <f>IF(OR(J1123="",L1123=""),"",L1123/J1123-1)</f>
        <v/>
      </c>
      <c r="P1123" s="169">
        <f>IF(OR(J1123="",K1123=""),"",K1123/J1123-1)</f>
        <v/>
      </c>
      <c r="Q1123" s="54">
        <f>IF(AND(ISNUMBER(J1123),ISNUMBER(L1123)),1,0)</f>
        <v/>
      </c>
      <c r="R1123" s="69">
        <f>IF(Q1123=1,G1123*L1123,0)</f>
        <v/>
      </c>
      <c r="S1123" s="69">
        <f>IF(Q1123=1,(H1123+I1123)*U1123,0)</f>
        <v/>
      </c>
      <c r="T1123" s="59">
        <f>IF(Q1123=1,G1123,0)</f>
        <v/>
      </c>
      <c r="U1123" s="170">
        <f>$G$3</f>
        <v/>
      </c>
    </row>
    <row r="1124">
      <c r="A1124" s="54" t="inlineStr">
        <is>
          <t>CA DC Satin Fitted</t>
        </is>
      </c>
      <c r="B1124" s="54" t="inlineStr">
        <is>
          <t>CA</t>
        </is>
      </c>
      <c r="C1124" s="54" t="inlineStr">
        <is>
          <t>B0DBW28W1W</t>
        </is>
      </c>
      <c r="D1124" s="54" t="inlineStr">
        <is>
          <t>SATIN-FITTED-TWIN-STONE-GREY</t>
        </is>
      </c>
      <c r="E1124" s="54" t="inlineStr">
        <is>
          <t>Twin</t>
        </is>
      </c>
      <c r="F1124" s="54" t="inlineStr">
        <is>
          <t>Stone Grey</t>
        </is>
      </c>
      <c r="G1124" s="55" t="n">
        <v>1</v>
      </c>
      <c r="H1124" s="167" t="n">
        <v>14.89</v>
      </c>
      <c r="I1124" s="167" t="n">
        <v>0</v>
      </c>
      <c r="J1124" s="171">
        <f>IF(AND(N(G1124)&gt;0,N(H1124)+N(I1124)&gt;0),(H1124+I1124)*U1124/G1124,"")</f>
        <v/>
      </c>
      <c r="K1124" s="172" t="n">
        <v>20.95</v>
      </c>
      <c r="L1124" s="172" t="n">
        <v>23.96</v>
      </c>
      <c r="M1124" s="54" t="inlineStr">
        <is>
          <t>Manual price</t>
        </is>
      </c>
      <c r="N1124" s="171">
        <f>IF(OR(J1124="",L1124=""),"",L1124-J1124)</f>
        <v/>
      </c>
      <c r="O1124" s="169">
        <f>IF(OR(J1124="",L1124=""),"",L1124/J1124-1)</f>
        <v/>
      </c>
      <c r="P1124" s="169">
        <f>IF(OR(J1124="",K1124=""),"",K1124/J1124-1)</f>
        <v/>
      </c>
      <c r="Q1124" s="54">
        <f>IF(AND(ISNUMBER(J1124),ISNUMBER(L1124)),1,0)</f>
        <v/>
      </c>
      <c r="R1124" s="69">
        <f>IF(Q1124=1,G1124*L1124,0)</f>
        <v/>
      </c>
      <c r="S1124" s="69">
        <f>IF(Q1124=1,(H1124+I1124)*U1124,0)</f>
        <v/>
      </c>
      <c r="T1124" s="59">
        <f>IF(Q1124=1,G1124,0)</f>
        <v/>
      </c>
      <c r="U1124" s="170">
        <f>$G$3</f>
        <v/>
      </c>
    </row>
    <row r="1125">
      <c r="A1125" s="54" t="inlineStr">
        <is>
          <t>CA DC Satin Fitted</t>
        </is>
      </c>
      <c r="B1125" s="54" t="inlineStr">
        <is>
          <t>CA</t>
        </is>
      </c>
      <c r="C1125" s="54" t="inlineStr">
        <is>
          <t>B0DBVZGV7Y</t>
        </is>
      </c>
      <c r="D1125" s="54" t="inlineStr">
        <is>
          <t>SATIN-FITTED-FULL-PURPLE</t>
        </is>
      </c>
      <c r="E1125" s="54" t="inlineStr">
        <is>
          <t>Full</t>
        </is>
      </c>
      <c r="F1125" s="54" t="inlineStr">
        <is>
          <t>Purple</t>
        </is>
      </c>
      <c r="G1125" s="55" t="n">
        <v>0</v>
      </c>
      <c r="H1125" s="167" t="n"/>
      <c r="I1125" s="167" t="n"/>
      <c r="J1125" s="171">
        <f>IF(AND(N(G1125)&gt;0,N(H1125)+N(I1125)&gt;0),(H1125+I1125)*U1125/G1125,"")</f>
        <v/>
      </c>
      <c r="K1125" s="172" t="n">
        <v>22.95</v>
      </c>
      <c r="L1125" s="172" t="n">
        <v>21.8</v>
      </c>
      <c r="M1125" s="54" t="inlineStr">
        <is>
          <t>Eligible</t>
        </is>
      </c>
      <c r="N1125" s="171">
        <f>IF(OR(J1125="",L1125=""),"",L1125-J1125)</f>
        <v/>
      </c>
      <c r="O1125" s="169">
        <f>IF(OR(J1125="",L1125=""),"",L1125/J1125-1)</f>
        <v/>
      </c>
      <c r="P1125" s="169">
        <f>IF(OR(J1125="",K1125=""),"",K1125/J1125-1)</f>
        <v/>
      </c>
      <c r="Q1125" s="54">
        <f>IF(AND(ISNUMBER(J1125),ISNUMBER(L1125)),1,0)</f>
        <v/>
      </c>
      <c r="R1125" s="69">
        <f>IF(Q1125=1,G1125*L1125,0)</f>
        <v/>
      </c>
      <c r="S1125" s="69">
        <f>IF(Q1125=1,(H1125+I1125)*U1125,0)</f>
        <v/>
      </c>
      <c r="T1125" s="59">
        <f>IF(Q1125=1,G1125,0)</f>
        <v/>
      </c>
      <c r="U1125" s="170">
        <f>$G$3</f>
        <v/>
      </c>
    </row>
    <row r="1126">
      <c r="A1126" s="54" t="inlineStr">
        <is>
          <t>CA DC Satin Fitted</t>
        </is>
      </c>
      <c r="B1126" s="54" t="inlineStr">
        <is>
          <t>CA</t>
        </is>
      </c>
      <c r="C1126" s="54" t="inlineStr">
        <is>
          <t>B0DBW13VVR</t>
        </is>
      </c>
      <c r="D1126" s="54" t="inlineStr">
        <is>
          <t>SATIN-FITTED-KING-BLACK</t>
        </is>
      </c>
      <c r="E1126" s="54" t="inlineStr">
        <is>
          <t>King</t>
        </is>
      </c>
      <c r="F1126" s="54" t="inlineStr">
        <is>
          <t>Black</t>
        </is>
      </c>
      <c r="G1126" s="55" t="n">
        <v>0</v>
      </c>
      <c r="H1126" s="167" t="n"/>
      <c r="I1126" s="167" t="n"/>
      <c r="J1126" s="171">
        <f>IF(AND(N(G1126)&gt;0,N(H1126)+N(I1126)&gt;0),(H1126+I1126)*U1126/G1126,"")</f>
        <v/>
      </c>
      <c r="K1126" s="172" t="n">
        <v>23.95</v>
      </c>
      <c r="L1126" s="172" t="n">
        <v>23.95</v>
      </c>
      <c r="M1126" s="54" t="inlineStr">
        <is>
          <t>Eligible</t>
        </is>
      </c>
      <c r="N1126" s="171">
        <f>IF(OR(J1126="",L1126=""),"",L1126-J1126)</f>
        <v/>
      </c>
      <c r="O1126" s="169">
        <f>IF(OR(J1126="",L1126=""),"",L1126/J1126-1)</f>
        <v/>
      </c>
      <c r="P1126" s="169">
        <f>IF(OR(J1126="",K1126=""),"",K1126/J1126-1)</f>
        <v/>
      </c>
      <c r="Q1126" s="54">
        <f>IF(AND(ISNUMBER(J1126),ISNUMBER(L1126)),1,0)</f>
        <v/>
      </c>
      <c r="R1126" s="69">
        <f>IF(Q1126=1,G1126*L1126,0)</f>
        <v/>
      </c>
      <c r="S1126" s="69">
        <f>IF(Q1126=1,(H1126+I1126)*U1126,0)</f>
        <v/>
      </c>
      <c r="T1126" s="59">
        <f>IF(Q1126=1,G1126,0)</f>
        <v/>
      </c>
      <c r="U1126" s="170">
        <f>$G$3</f>
        <v/>
      </c>
    </row>
    <row r="1127">
      <c r="A1127" s="54" t="inlineStr">
        <is>
          <t>CA DC Satin Fitted</t>
        </is>
      </c>
      <c r="B1127" s="54" t="inlineStr">
        <is>
          <t>CA</t>
        </is>
      </c>
      <c r="C1127" s="54" t="inlineStr">
        <is>
          <t>B0DBVZZD7X</t>
        </is>
      </c>
      <c r="D1127" s="54" t="inlineStr">
        <is>
          <t>SATIN-FITTED-KING-BLUSH-PINK</t>
        </is>
      </c>
      <c r="E1127" s="54" t="inlineStr">
        <is>
          <t>King</t>
        </is>
      </c>
      <c r="F1127" s="54" t="inlineStr">
        <is>
          <t>Blush Pink</t>
        </is>
      </c>
      <c r="G1127" s="55" t="n">
        <v>0</v>
      </c>
      <c r="H1127" s="167" t="n"/>
      <c r="I1127" s="167" t="n"/>
      <c r="J1127" s="171">
        <f>IF(AND(N(G1127)&gt;0,N(H1127)+N(I1127)&gt;0),(H1127+I1127)*U1127/G1127,"")</f>
        <v/>
      </c>
      <c r="K1127" s="172" t="n">
        <v>27.95</v>
      </c>
      <c r="L1127" s="172" t="n">
        <v>26.55</v>
      </c>
      <c r="M1127" s="54" t="inlineStr">
        <is>
          <t>Eligible</t>
        </is>
      </c>
      <c r="N1127" s="171">
        <f>IF(OR(J1127="",L1127=""),"",L1127-J1127)</f>
        <v/>
      </c>
      <c r="O1127" s="169">
        <f>IF(OR(J1127="",L1127=""),"",L1127/J1127-1)</f>
        <v/>
      </c>
      <c r="P1127" s="169">
        <f>IF(OR(J1127="",K1127=""),"",K1127/J1127-1)</f>
        <v/>
      </c>
      <c r="Q1127" s="54">
        <f>IF(AND(ISNUMBER(J1127),ISNUMBER(L1127)),1,0)</f>
        <v/>
      </c>
      <c r="R1127" s="69">
        <f>IF(Q1127=1,G1127*L1127,0)</f>
        <v/>
      </c>
      <c r="S1127" s="69">
        <f>IF(Q1127=1,(H1127+I1127)*U1127,0)</f>
        <v/>
      </c>
      <c r="T1127" s="59">
        <f>IF(Q1127=1,G1127,0)</f>
        <v/>
      </c>
      <c r="U1127" s="170">
        <f>$G$3</f>
        <v/>
      </c>
    </row>
    <row r="1128">
      <c r="A1128" s="54" t="inlineStr">
        <is>
          <t>CA DC Satin Fitted</t>
        </is>
      </c>
      <c r="B1128" s="54" t="inlineStr">
        <is>
          <t>CA</t>
        </is>
      </c>
      <c r="C1128" s="54" t="inlineStr">
        <is>
          <t>B0DBW6FFG1</t>
        </is>
      </c>
      <c r="D1128" s="54" t="inlineStr">
        <is>
          <t>SATIN-FITTED-KING-GOLD</t>
        </is>
      </c>
      <c r="E1128" s="54" t="inlineStr">
        <is>
          <t>King</t>
        </is>
      </c>
      <c r="F1128" s="54" t="inlineStr">
        <is>
          <t>Gold</t>
        </is>
      </c>
      <c r="G1128" s="55" t="n">
        <v>0</v>
      </c>
      <c r="H1128" s="167" t="n"/>
      <c r="I1128" s="167" t="n"/>
      <c r="J1128" s="171">
        <f>IF(AND(N(G1128)&gt;0,N(H1128)+N(I1128)&gt;0),(H1128+I1128)*U1128/G1128,"")</f>
        <v/>
      </c>
      <c r="K1128" s="172" t="n">
        <v>27.95</v>
      </c>
      <c r="L1128" s="172" t="n">
        <v>26.55</v>
      </c>
      <c r="M1128" s="54" t="inlineStr">
        <is>
          <t>Eligible</t>
        </is>
      </c>
      <c r="N1128" s="171">
        <f>IF(OR(J1128="",L1128=""),"",L1128-J1128)</f>
        <v/>
      </c>
      <c r="O1128" s="169">
        <f>IF(OR(J1128="",L1128=""),"",L1128/J1128-1)</f>
        <v/>
      </c>
      <c r="P1128" s="169">
        <f>IF(OR(J1128="",K1128=""),"",K1128/J1128-1)</f>
        <v/>
      </c>
      <c r="Q1128" s="54">
        <f>IF(AND(ISNUMBER(J1128),ISNUMBER(L1128)),1,0)</f>
        <v/>
      </c>
      <c r="R1128" s="69">
        <f>IF(Q1128=1,G1128*L1128,0)</f>
        <v/>
      </c>
      <c r="S1128" s="69">
        <f>IF(Q1128=1,(H1128+I1128)*U1128,0)</f>
        <v/>
      </c>
      <c r="T1128" s="59">
        <f>IF(Q1128=1,G1128,0)</f>
        <v/>
      </c>
      <c r="U1128" s="170">
        <f>$G$3</f>
        <v/>
      </c>
    </row>
    <row r="1129">
      <c r="A1129" s="54" t="inlineStr">
        <is>
          <t>CA DC Satin Fitted</t>
        </is>
      </c>
      <c r="B1129" s="54" t="inlineStr">
        <is>
          <t>CA</t>
        </is>
      </c>
      <c r="C1129" s="54" t="inlineStr">
        <is>
          <t>B0DBW1FPBT</t>
        </is>
      </c>
      <c r="D1129" s="54" t="inlineStr">
        <is>
          <t>SATIN-FITTED-KING-LAVENDER</t>
        </is>
      </c>
      <c r="E1129" s="54" t="inlineStr">
        <is>
          <t>King</t>
        </is>
      </c>
      <c r="F1129" s="54" t="inlineStr">
        <is>
          <t>Lavender</t>
        </is>
      </c>
      <c r="G1129" s="55" t="n">
        <v>0</v>
      </c>
      <c r="H1129" s="167" t="n"/>
      <c r="I1129" s="167" t="n"/>
      <c r="J1129" s="171">
        <f>IF(AND(N(G1129)&gt;0,N(H1129)+N(I1129)&gt;0),(H1129+I1129)*U1129/G1129,"")</f>
        <v/>
      </c>
      <c r="K1129" s="172" t="n">
        <v>27.95</v>
      </c>
      <c r="L1129" s="172" t="n">
        <v>26.55</v>
      </c>
      <c r="M1129" s="54" t="inlineStr">
        <is>
          <t>Eligible</t>
        </is>
      </c>
      <c r="N1129" s="171">
        <f>IF(OR(J1129="",L1129=""),"",L1129-J1129)</f>
        <v/>
      </c>
      <c r="O1129" s="169">
        <f>IF(OR(J1129="",L1129=""),"",L1129/J1129-1)</f>
        <v/>
      </c>
      <c r="P1129" s="169">
        <f>IF(OR(J1129="",K1129=""),"",K1129/J1129-1)</f>
        <v/>
      </c>
      <c r="Q1129" s="54">
        <f>IF(AND(ISNUMBER(J1129),ISNUMBER(L1129)),1,0)</f>
        <v/>
      </c>
      <c r="R1129" s="69">
        <f>IF(Q1129=1,G1129*L1129,0)</f>
        <v/>
      </c>
      <c r="S1129" s="69">
        <f>IF(Q1129=1,(H1129+I1129)*U1129,0)</f>
        <v/>
      </c>
      <c r="T1129" s="59">
        <f>IF(Q1129=1,G1129,0)</f>
        <v/>
      </c>
      <c r="U1129" s="170">
        <f>$G$3</f>
        <v/>
      </c>
    </row>
    <row r="1130">
      <c r="A1130" s="54" t="inlineStr">
        <is>
          <t>CA DC Satin Fitted</t>
        </is>
      </c>
      <c r="B1130" s="54" t="inlineStr">
        <is>
          <t>CA</t>
        </is>
      </c>
      <c r="C1130" s="54" t="inlineStr">
        <is>
          <t>B0DBW17V8N</t>
        </is>
      </c>
      <c r="D1130" s="54" t="inlineStr">
        <is>
          <t>SATIN-FITTED-KING-PINK</t>
        </is>
      </c>
      <c r="E1130" s="54" t="inlineStr">
        <is>
          <t>King</t>
        </is>
      </c>
      <c r="F1130" s="54" t="inlineStr">
        <is>
          <t>Pink</t>
        </is>
      </c>
      <c r="G1130" s="55" t="n">
        <v>0</v>
      </c>
      <c r="H1130" s="167" t="n"/>
      <c r="I1130" s="167" t="n"/>
      <c r="J1130" s="171">
        <f>IF(AND(N(G1130)&gt;0,N(H1130)+N(I1130)&gt;0),(H1130+I1130)*U1130/G1130,"")</f>
        <v/>
      </c>
      <c r="K1130" s="172" t="n">
        <v>27.95</v>
      </c>
      <c r="L1130" s="172" t="n">
        <v>26.55</v>
      </c>
      <c r="M1130" s="54" t="inlineStr">
        <is>
          <t>Eligible</t>
        </is>
      </c>
      <c r="N1130" s="171">
        <f>IF(OR(J1130="",L1130=""),"",L1130-J1130)</f>
        <v/>
      </c>
      <c r="O1130" s="169">
        <f>IF(OR(J1130="",L1130=""),"",L1130/J1130-1)</f>
        <v/>
      </c>
      <c r="P1130" s="169">
        <f>IF(OR(J1130="",K1130=""),"",K1130/J1130-1)</f>
        <v/>
      </c>
      <c r="Q1130" s="54">
        <f>IF(AND(ISNUMBER(J1130),ISNUMBER(L1130)),1,0)</f>
        <v/>
      </c>
      <c r="R1130" s="69">
        <f>IF(Q1130=1,G1130*L1130,0)</f>
        <v/>
      </c>
      <c r="S1130" s="69">
        <f>IF(Q1130=1,(H1130+I1130)*U1130,0)</f>
        <v/>
      </c>
      <c r="T1130" s="59">
        <f>IF(Q1130=1,G1130,0)</f>
        <v/>
      </c>
      <c r="U1130" s="170">
        <f>$G$3</f>
        <v/>
      </c>
    </row>
    <row r="1131">
      <c r="A1131" s="54" t="inlineStr">
        <is>
          <t>CA DC Satin Fitted</t>
        </is>
      </c>
      <c r="B1131" s="54" t="inlineStr">
        <is>
          <t>CA</t>
        </is>
      </c>
      <c r="C1131" s="54" t="inlineStr">
        <is>
          <t>B0DBVZGV7Z</t>
        </is>
      </c>
      <c r="D1131" s="54" t="inlineStr">
        <is>
          <t>SATIN-FITTED-KING-SAGE-GREEN</t>
        </is>
      </c>
      <c r="E1131" s="54" t="inlineStr">
        <is>
          <t>King</t>
        </is>
      </c>
      <c r="F1131" s="54" t="inlineStr">
        <is>
          <t>Sage Green</t>
        </is>
      </c>
      <c r="G1131" s="55" t="n">
        <v>0</v>
      </c>
      <c r="H1131" s="167" t="n"/>
      <c r="I1131" s="167" t="n"/>
      <c r="J1131" s="171">
        <f>IF(AND(N(G1131)&gt;0,N(H1131)+N(I1131)&gt;0),(H1131+I1131)*U1131/G1131,"")</f>
        <v/>
      </c>
      <c r="K1131" s="172" t="n">
        <v>27.95</v>
      </c>
      <c r="L1131" s="172" t="n">
        <v>26.55</v>
      </c>
      <c r="M1131" s="54" t="inlineStr">
        <is>
          <t>Eligible</t>
        </is>
      </c>
      <c r="N1131" s="171">
        <f>IF(OR(J1131="",L1131=""),"",L1131-J1131)</f>
        <v/>
      </c>
      <c r="O1131" s="169">
        <f>IF(OR(J1131="",L1131=""),"",L1131/J1131-1)</f>
        <v/>
      </c>
      <c r="P1131" s="169">
        <f>IF(OR(J1131="",K1131=""),"",K1131/J1131-1)</f>
        <v/>
      </c>
      <c r="Q1131" s="54">
        <f>IF(AND(ISNUMBER(J1131),ISNUMBER(L1131)),1,0)</f>
        <v/>
      </c>
      <c r="R1131" s="69">
        <f>IF(Q1131=1,G1131*L1131,0)</f>
        <v/>
      </c>
      <c r="S1131" s="69">
        <f>IF(Q1131=1,(H1131+I1131)*U1131,0)</f>
        <v/>
      </c>
      <c r="T1131" s="59">
        <f>IF(Q1131=1,G1131,0)</f>
        <v/>
      </c>
      <c r="U1131" s="170">
        <f>$G$3</f>
        <v/>
      </c>
    </row>
    <row r="1132">
      <c r="A1132" s="54" t="inlineStr">
        <is>
          <t>CA DC Satin Fitted</t>
        </is>
      </c>
      <c r="B1132" s="54" t="inlineStr">
        <is>
          <t>CA</t>
        </is>
      </c>
      <c r="C1132" s="54" t="inlineStr">
        <is>
          <t>B0DBW2HZBF</t>
        </is>
      </c>
      <c r="D1132" s="54" t="inlineStr">
        <is>
          <t>SATIN-FITTED-QUEEN-ROSEWOOD</t>
        </is>
      </c>
      <c r="E1132" s="54" t="inlineStr">
        <is>
          <t>Queen</t>
        </is>
      </c>
      <c r="F1132" s="54" t="inlineStr">
        <is>
          <t>Rosewood</t>
        </is>
      </c>
      <c r="G1132" s="55" t="n">
        <v>0</v>
      </c>
      <c r="H1132" s="167" t="n"/>
      <c r="I1132" s="167" t="n"/>
      <c r="J1132" s="171">
        <f>IF(AND(N(G1132)&gt;0,N(H1132)+N(I1132)&gt;0),(H1132+I1132)*U1132/G1132,"")</f>
        <v/>
      </c>
      <c r="K1132" s="172" t="n">
        <v>23.95</v>
      </c>
      <c r="L1132" s="172" t="n">
        <v>22.75</v>
      </c>
      <c r="M1132" s="54" t="inlineStr">
        <is>
          <t>Eligible</t>
        </is>
      </c>
      <c r="N1132" s="171">
        <f>IF(OR(J1132="",L1132=""),"",L1132-J1132)</f>
        <v/>
      </c>
      <c r="O1132" s="169">
        <f>IF(OR(J1132="",L1132=""),"",L1132/J1132-1)</f>
        <v/>
      </c>
      <c r="P1132" s="169">
        <f>IF(OR(J1132="",K1132=""),"",K1132/J1132-1)</f>
        <v/>
      </c>
      <c r="Q1132" s="54">
        <f>IF(AND(ISNUMBER(J1132),ISNUMBER(L1132)),1,0)</f>
        <v/>
      </c>
      <c r="R1132" s="69">
        <f>IF(Q1132=1,G1132*L1132,0)</f>
        <v/>
      </c>
      <c r="S1132" s="69">
        <f>IF(Q1132=1,(H1132+I1132)*U1132,0)</f>
        <v/>
      </c>
      <c r="T1132" s="59">
        <f>IF(Q1132=1,G1132,0)</f>
        <v/>
      </c>
      <c r="U1132" s="170">
        <f>$G$3</f>
        <v/>
      </c>
    </row>
    <row r="1133">
      <c r="A1133" s="54" t="inlineStr">
        <is>
          <t>CA DC Satin Fitted</t>
        </is>
      </c>
      <c r="B1133" s="54" t="inlineStr">
        <is>
          <t>CA</t>
        </is>
      </c>
      <c r="C1133" s="54" t="inlineStr">
        <is>
          <t>B0DBVZY5T2</t>
        </is>
      </c>
      <c r="D1133" s="54" t="inlineStr">
        <is>
          <t>SATIN-FITTED-TWIN-GOLD</t>
        </is>
      </c>
      <c r="E1133" s="54" t="inlineStr">
        <is>
          <t>Twin</t>
        </is>
      </c>
      <c r="F1133" s="54" t="inlineStr">
        <is>
          <t>Gold</t>
        </is>
      </c>
      <c r="G1133" s="55" t="n">
        <v>0</v>
      </c>
      <c r="H1133" s="167" t="n"/>
      <c r="I1133" s="167" t="n"/>
      <c r="J1133" s="171">
        <f>IF(AND(N(G1133)&gt;0,N(H1133)+N(I1133)&gt;0),(H1133+I1133)*U1133/G1133,"")</f>
        <v/>
      </c>
      <c r="K1133" s="172" t="n">
        <v>20.95</v>
      </c>
      <c r="L1133" s="172" t="n">
        <v>20.95</v>
      </c>
      <c r="M1133" s="54" t="inlineStr">
        <is>
          <t>Eligible</t>
        </is>
      </c>
      <c r="N1133" s="171">
        <f>IF(OR(J1133="",L1133=""),"",L1133-J1133)</f>
        <v/>
      </c>
      <c r="O1133" s="169">
        <f>IF(OR(J1133="",L1133=""),"",L1133/J1133-1)</f>
        <v/>
      </c>
      <c r="P1133" s="169">
        <f>IF(OR(J1133="",K1133=""),"",K1133/J1133-1)</f>
        <v/>
      </c>
      <c r="Q1133" s="54">
        <f>IF(AND(ISNUMBER(J1133),ISNUMBER(L1133)),1,0)</f>
        <v/>
      </c>
      <c r="R1133" s="69">
        <f>IF(Q1133=1,G1133*L1133,0)</f>
        <v/>
      </c>
      <c r="S1133" s="69">
        <f>IF(Q1133=1,(H1133+I1133)*U1133,0)</f>
        <v/>
      </c>
      <c r="T1133" s="59">
        <f>IF(Q1133=1,G1133,0)</f>
        <v/>
      </c>
      <c r="U1133" s="170">
        <f>$G$3</f>
        <v/>
      </c>
    </row>
    <row r="1134">
      <c r="A1134" s="54" t="inlineStr">
        <is>
          <t>CA DC Satin Fitted</t>
        </is>
      </c>
      <c r="B1134" s="54" t="inlineStr">
        <is>
          <t>CA</t>
        </is>
      </c>
      <c r="C1134" s="54" t="inlineStr">
        <is>
          <t>B0DBW1ZHFR</t>
        </is>
      </c>
      <c r="D1134" s="54" t="inlineStr">
        <is>
          <t>SATIN-FITTED-TWIN-NAVY-BLUE</t>
        </is>
      </c>
      <c r="E1134" s="54" t="inlineStr">
        <is>
          <t>Twin</t>
        </is>
      </c>
      <c r="F1134" s="54" t="inlineStr">
        <is>
          <t>Navy Blue</t>
        </is>
      </c>
      <c r="G1134" s="55" t="n">
        <v>0</v>
      </c>
      <c r="H1134" s="167" t="n"/>
      <c r="I1134" s="167" t="n"/>
      <c r="J1134" s="171">
        <f>IF(AND(N(G1134)&gt;0,N(H1134)+N(I1134)&gt;0),(H1134+I1134)*U1134/G1134,"")</f>
        <v/>
      </c>
      <c r="K1134" s="172" t="n">
        <v>20.95</v>
      </c>
      <c r="L1134" s="172" t="n">
        <v>19.9</v>
      </c>
      <c r="M1134" s="54" t="inlineStr">
        <is>
          <t>Eligible</t>
        </is>
      </c>
      <c r="N1134" s="171">
        <f>IF(OR(J1134="",L1134=""),"",L1134-J1134)</f>
        <v/>
      </c>
      <c r="O1134" s="169">
        <f>IF(OR(J1134="",L1134=""),"",L1134/J1134-1)</f>
        <v/>
      </c>
      <c r="P1134" s="169">
        <f>IF(OR(J1134="",K1134=""),"",K1134/J1134-1)</f>
        <v/>
      </c>
      <c r="Q1134" s="54">
        <f>IF(AND(ISNUMBER(J1134),ISNUMBER(L1134)),1,0)</f>
        <v/>
      </c>
      <c r="R1134" s="69">
        <f>IF(Q1134=1,G1134*L1134,0)</f>
        <v/>
      </c>
      <c r="S1134" s="69">
        <f>IF(Q1134=1,(H1134+I1134)*U1134,0)</f>
        <v/>
      </c>
      <c r="T1134" s="59">
        <f>IF(Q1134=1,G1134,0)</f>
        <v/>
      </c>
      <c r="U1134" s="170">
        <f>$G$3</f>
        <v/>
      </c>
    </row>
    <row r="1135">
      <c r="A1135" s="54" t="inlineStr">
        <is>
          <t>CA DC Satin Fitted</t>
        </is>
      </c>
      <c r="B1135" s="54" t="inlineStr">
        <is>
          <t>CA</t>
        </is>
      </c>
      <c r="C1135" s="54" t="inlineStr">
        <is>
          <t>B0DBW2HDDZ</t>
        </is>
      </c>
      <c r="D1135" s="54" t="inlineStr">
        <is>
          <t>SATIN-FITTED-TWIN-PINK</t>
        </is>
      </c>
      <c r="E1135" s="54" t="inlineStr">
        <is>
          <t>Twin</t>
        </is>
      </c>
      <c r="F1135" s="54" t="inlineStr">
        <is>
          <t>Pink</t>
        </is>
      </c>
      <c r="G1135" s="55" t="n">
        <v>0</v>
      </c>
      <c r="H1135" s="167" t="n"/>
      <c r="I1135" s="167" t="n"/>
      <c r="J1135" s="171">
        <f>IF(AND(N(G1135)&gt;0,N(H1135)+N(I1135)&gt;0),(H1135+I1135)*U1135/G1135,"")</f>
        <v/>
      </c>
      <c r="K1135" s="172" t="n">
        <v>20.95</v>
      </c>
      <c r="L1135" s="172" t="n">
        <v>19.9</v>
      </c>
      <c r="M1135" s="54" t="inlineStr">
        <is>
          <t>Eligible</t>
        </is>
      </c>
      <c r="N1135" s="171">
        <f>IF(OR(J1135="",L1135=""),"",L1135-J1135)</f>
        <v/>
      </c>
      <c r="O1135" s="169">
        <f>IF(OR(J1135="",L1135=""),"",L1135/J1135-1)</f>
        <v/>
      </c>
      <c r="P1135" s="169">
        <f>IF(OR(J1135="",K1135=""),"",K1135/J1135-1)</f>
        <v/>
      </c>
      <c r="Q1135" s="54">
        <f>IF(AND(ISNUMBER(J1135),ISNUMBER(L1135)),1,0)</f>
        <v/>
      </c>
      <c r="R1135" s="69">
        <f>IF(Q1135=1,G1135*L1135,0)</f>
        <v/>
      </c>
      <c r="S1135" s="69">
        <f>IF(Q1135=1,(H1135+I1135)*U1135,0)</f>
        <v/>
      </c>
      <c r="T1135" s="59">
        <f>IF(Q1135=1,G1135,0)</f>
        <v/>
      </c>
      <c r="U1135" s="170">
        <f>$G$3</f>
        <v/>
      </c>
    </row>
    <row r="1136">
      <c r="A1136" s="54" t="inlineStr">
        <is>
          <t>US DC Silk Pillowcase</t>
        </is>
      </c>
      <c r="B1136" s="54" t="inlineStr">
        <is>
          <t>US</t>
        </is>
      </c>
      <c r="C1136" s="54" t="inlineStr">
        <is>
          <t>B0DBR5SY67</t>
        </is>
      </c>
      <c r="D1136" s="54" t="inlineStr">
        <is>
          <t>SILK-PILLOWCASE-STANDARD-WHITE-1PCS</t>
        </is>
      </c>
      <c r="E1136" s="54" t="inlineStr">
        <is>
          <t>Standard</t>
        </is>
      </c>
      <c r="F1136" s="54" t="inlineStr">
        <is>
          <t>White</t>
        </is>
      </c>
      <c r="G1136" s="55" t="n">
        <v>24</v>
      </c>
      <c r="H1136" s="167" t="n">
        <v>1078.8</v>
      </c>
      <c r="I1136" s="167" t="n">
        <v>0</v>
      </c>
      <c r="J1136" s="168">
        <f>IF(AND(N(G1136)&gt;0,N(H1136)+N(I1136)&gt;0),(H1136+I1136)*U1136/G1136,"")</f>
        <v/>
      </c>
      <c r="K1136" s="167" t="n">
        <v>44.95</v>
      </c>
      <c r="L1136" s="167" t="n">
        <v>42.7</v>
      </c>
      <c r="M1136" s="54" t="inlineStr">
        <is>
          <t>Eligible</t>
        </is>
      </c>
      <c r="N1136" s="168">
        <f>IF(OR(J1136="",L1136=""),"",L1136-J1136)</f>
        <v/>
      </c>
      <c r="O1136" s="169">
        <f>IF(OR(J1136="",L1136=""),"",L1136/J1136-1)</f>
        <v/>
      </c>
      <c r="P1136" s="169">
        <f>IF(OR(J1136="",K1136=""),"",K1136/J1136-1)</f>
        <v/>
      </c>
      <c r="Q1136" s="54">
        <f>IF(AND(ISNUMBER(J1136),ISNUMBER(L1136)),1,0)</f>
        <v/>
      </c>
      <c r="R1136" s="69">
        <f>IF(Q1136=1,G1136*L1136,0)</f>
        <v/>
      </c>
      <c r="S1136" s="69">
        <f>IF(Q1136=1,(H1136+I1136)*U1136,0)</f>
        <v/>
      </c>
      <c r="T1136" s="59">
        <f>IF(Q1136=1,G1136,0)</f>
        <v/>
      </c>
      <c r="U1136" s="170" t="n">
        <v>1</v>
      </c>
    </row>
    <row r="1137">
      <c r="A1137" s="54" t="inlineStr">
        <is>
          <t>US DC Silk Pillowcase</t>
        </is>
      </c>
      <c r="B1137" s="54" t="inlineStr">
        <is>
          <t>US</t>
        </is>
      </c>
      <c r="C1137" s="54" t="inlineStr">
        <is>
          <t>B0DBR9GXG4</t>
        </is>
      </c>
      <c r="D1137" s="54" t="inlineStr">
        <is>
          <t>SILK-PILLOWCASE-QUEEN-IVORY-1PCS</t>
        </is>
      </c>
      <c r="E1137" s="54" t="inlineStr">
        <is>
          <t>Queen</t>
        </is>
      </c>
      <c r="F1137" s="54" t="inlineStr">
        <is>
          <t>Ivory</t>
        </is>
      </c>
      <c r="G1137" s="55" t="n">
        <v>15</v>
      </c>
      <c r="H1137" s="167" t="n">
        <v>749.25</v>
      </c>
      <c r="I1137" s="167" t="n">
        <v>0</v>
      </c>
      <c r="J1137" s="168">
        <f>IF(AND(N(G1137)&gt;0,N(H1137)+N(I1137)&gt;0),(H1137+I1137)*U1137/G1137,"")</f>
        <v/>
      </c>
      <c r="K1137" s="167" t="n">
        <v>49.95</v>
      </c>
      <c r="L1137" s="167" t="n">
        <v>47.45</v>
      </c>
      <c r="M1137" s="54" t="inlineStr">
        <is>
          <t>Eligible</t>
        </is>
      </c>
      <c r="N1137" s="168">
        <f>IF(OR(J1137="",L1137=""),"",L1137-J1137)</f>
        <v/>
      </c>
      <c r="O1137" s="169">
        <f>IF(OR(J1137="",L1137=""),"",L1137/J1137-1)</f>
        <v/>
      </c>
      <c r="P1137" s="169">
        <f>IF(OR(J1137="",K1137=""),"",K1137/J1137-1)</f>
        <v/>
      </c>
      <c r="Q1137" s="54">
        <f>IF(AND(ISNUMBER(J1137),ISNUMBER(L1137)),1,0)</f>
        <v/>
      </c>
      <c r="R1137" s="69">
        <f>IF(Q1137=1,G1137*L1137,0)</f>
        <v/>
      </c>
      <c r="S1137" s="69">
        <f>IF(Q1137=1,(H1137+I1137)*U1137,0)</f>
        <v/>
      </c>
      <c r="T1137" s="59">
        <f>IF(Q1137=1,G1137,0)</f>
        <v/>
      </c>
      <c r="U1137" s="170" t="n">
        <v>1</v>
      </c>
    </row>
    <row r="1138">
      <c r="A1138" s="54" t="inlineStr">
        <is>
          <t>US DC Silk Pillowcase</t>
        </is>
      </c>
      <c r="B1138" s="54" t="inlineStr">
        <is>
          <t>US</t>
        </is>
      </c>
      <c r="C1138" s="54" t="inlineStr">
        <is>
          <t>B0DBR73C9R</t>
        </is>
      </c>
      <c r="D1138" s="54" t="inlineStr">
        <is>
          <t>SILK-PILLOWCASE-KING-GREY-1PCS</t>
        </is>
      </c>
      <c r="E1138" s="54" t="inlineStr">
        <is>
          <t>King</t>
        </is>
      </c>
      <c r="F1138" s="54" t="inlineStr">
        <is>
          <t>Grey</t>
        </is>
      </c>
      <c r="G1138" s="55" t="n">
        <v>14</v>
      </c>
      <c r="H1138" s="167" t="n">
        <v>769.86</v>
      </c>
      <c r="I1138" s="167" t="n">
        <v>0</v>
      </c>
      <c r="J1138" s="168">
        <f>IF(AND(N(G1138)&gt;0,N(H1138)+N(I1138)&gt;0),(H1138+I1138)*U1138/G1138,"")</f>
        <v/>
      </c>
      <c r="K1138" s="167" t="n">
        <v>54.95</v>
      </c>
      <c r="L1138" s="167" t="n">
        <v>52.2</v>
      </c>
      <c r="M1138" s="54" t="inlineStr">
        <is>
          <t>Eligible</t>
        </is>
      </c>
      <c r="N1138" s="168">
        <f>IF(OR(J1138="",L1138=""),"",L1138-J1138)</f>
        <v/>
      </c>
      <c r="O1138" s="169">
        <f>IF(OR(J1138="",L1138=""),"",L1138/J1138-1)</f>
        <v/>
      </c>
      <c r="P1138" s="169">
        <f>IF(OR(J1138="",K1138=""),"",K1138/J1138-1)</f>
        <v/>
      </c>
      <c r="Q1138" s="54">
        <f>IF(AND(ISNUMBER(J1138),ISNUMBER(L1138)),1,0)</f>
        <v/>
      </c>
      <c r="R1138" s="69">
        <f>IF(Q1138=1,G1138*L1138,0)</f>
        <v/>
      </c>
      <c r="S1138" s="69">
        <f>IF(Q1138=1,(H1138+I1138)*U1138,0)</f>
        <v/>
      </c>
      <c r="T1138" s="59">
        <f>IF(Q1138=1,G1138,0)</f>
        <v/>
      </c>
      <c r="U1138" s="170" t="n">
        <v>1</v>
      </c>
    </row>
    <row r="1139">
      <c r="A1139" s="54" t="inlineStr">
        <is>
          <t>US DC Silk Pillowcase</t>
        </is>
      </c>
      <c r="B1139" s="54" t="inlineStr">
        <is>
          <t>US</t>
        </is>
      </c>
      <c r="C1139" s="54" t="inlineStr">
        <is>
          <t>B0DBR8G7GH</t>
        </is>
      </c>
      <c r="D1139" s="54" t="inlineStr">
        <is>
          <t>SILK-PILLOWCASE-STANDARD-CHAMPAGNE-1PCS</t>
        </is>
      </c>
      <c r="E1139" s="54" t="inlineStr">
        <is>
          <t>Standard</t>
        </is>
      </c>
      <c r="F1139" s="54" t="inlineStr">
        <is>
          <t>Champagne</t>
        </is>
      </c>
      <c r="G1139" s="55" t="n">
        <v>11</v>
      </c>
      <c r="H1139" s="167" t="n">
        <v>516.53</v>
      </c>
      <c r="I1139" s="167" t="n">
        <v>0</v>
      </c>
      <c r="J1139" s="168">
        <f>IF(AND(N(G1139)&gt;0,N(H1139)+N(I1139)&gt;0),(H1139+I1139)*U1139/G1139,"")</f>
        <v/>
      </c>
      <c r="K1139" s="167" t="n">
        <v>44.95</v>
      </c>
      <c r="L1139" s="167" t="n">
        <v>42.7</v>
      </c>
      <c r="M1139" s="54" t="inlineStr">
        <is>
          <t>Eligible</t>
        </is>
      </c>
      <c r="N1139" s="168">
        <f>IF(OR(J1139="",L1139=""),"",L1139-J1139)</f>
        <v/>
      </c>
      <c r="O1139" s="169">
        <f>IF(OR(J1139="",L1139=""),"",L1139/J1139-1)</f>
        <v/>
      </c>
      <c r="P1139" s="169">
        <f>IF(OR(J1139="",K1139=""),"",K1139/J1139-1)</f>
        <v/>
      </c>
      <c r="Q1139" s="54">
        <f>IF(AND(ISNUMBER(J1139),ISNUMBER(L1139)),1,0)</f>
        <v/>
      </c>
      <c r="R1139" s="69">
        <f>IF(Q1139=1,G1139*L1139,0)</f>
        <v/>
      </c>
      <c r="S1139" s="69">
        <f>IF(Q1139=1,(H1139+I1139)*U1139,0)</f>
        <v/>
      </c>
      <c r="T1139" s="59">
        <f>IF(Q1139=1,G1139,0)</f>
        <v/>
      </c>
      <c r="U1139" s="170" t="n">
        <v>1</v>
      </c>
    </row>
    <row r="1140">
      <c r="A1140" s="54" t="inlineStr">
        <is>
          <t>US DC Silk Pillowcase</t>
        </is>
      </c>
      <c r="B1140" s="54" t="inlineStr">
        <is>
          <t>US</t>
        </is>
      </c>
      <c r="C1140" s="54" t="inlineStr">
        <is>
          <t>B0DBR8Y5Y2</t>
        </is>
      </c>
      <c r="D1140" s="54" t="inlineStr">
        <is>
          <t>SILK-PILLOWCASE-KING-WHITE-1PCS</t>
        </is>
      </c>
      <c r="E1140" s="54" t="inlineStr">
        <is>
          <t>King</t>
        </is>
      </c>
      <c r="F1140" s="54" t="inlineStr">
        <is>
          <t>White</t>
        </is>
      </c>
      <c r="G1140" s="55" t="n">
        <v>10</v>
      </c>
      <c r="H1140" s="167" t="n">
        <v>549.5</v>
      </c>
      <c r="I1140" s="167" t="n">
        <v>0</v>
      </c>
      <c r="J1140" s="168">
        <f>IF(AND(N(G1140)&gt;0,N(H1140)+N(I1140)&gt;0),(H1140+I1140)*U1140/G1140,"")</f>
        <v/>
      </c>
      <c r="K1140" s="167" t="n">
        <v>54.95</v>
      </c>
      <c r="L1140" s="167" t="n">
        <v>52.2</v>
      </c>
      <c r="M1140" s="54" t="inlineStr">
        <is>
          <t>Eligible</t>
        </is>
      </c>
      <c r="N1140" s="168">
        <f>IF(OR(J1140="",L1140=""),"",L1140-J1140)</f>
        <v/>
      </c>
      <c r="O1140" s="169">
        <f>IF(OR(J1140="",L1140=""),"",L1140/J1140-1)</f>
        <v/>
      </c>
      <c r="P1140" s="169">
        <f>IF(OR(J1140="",K1140=""),"",K1140/J1140-1)</f>
        <v/>
      </c>
      <c r="Q1140" s="54">
        <f>IF(AND(ISNUMBER(J1140),ISNUMBER(L1140)),1,0)</f>
        <v/>
      </c>
      <c r="R1140" s="69">
        <f>IF(Q1140=1,G1140*L1140,0)</f>
        <v/>
      </c>
      <c r="S1140" s="69">
        <f>IF(Q1140=1,(H1140+I1140)*U1140,0)</f>
        <v/>
      </c>
      <c r="T1140" s="59">
        <f>IF(Q1140=1,G1140,0)</f>
        <v/>
      </c>
      <c r="U1140" s="170" t="n">
        <v>1</v>
      </c>
    </row>
    <row r="1141">
      <c r="A1141" s="54" t="inlineStr">
        <is>
          <t>US DC Silk Pillowcase</t>
        </is>
      </c>
      <c r="B1141" s="54" t="inlineStr">
        <is>
          <t>US</t>
        </is>
      </c>
      <c r="C1141" s="54" t="inlineStr">
        <is>
          <t>B0DBR9B5ZX</t>
        </is>
      </c>
      <c r="D1141" s="54" t="inlineStr">
        <is>
          <t>SILK-PILLOWCASE-STANDARD-SILVERGREY-1PC</t>
        </is>
      </c>
      <c r="E1141" s="54" t="inlineStr">
        <is>
          <t>Standard</t>
        </is>
      </c>
      <c r="F1141" s="54" t="inlineStr">
        <is>
          <t>Silver Grey</t>
        </is>
      </c>
      <c r="G1141" s="55" t="n">
        <v>6</v>
      </c>
      <c r="H1141" s="167" t="n">
        <v>269.7</v>
      </c>
      <c r="I1141" s="167" t="n">
        <v>0</v>
      </c>
      <c r="J1141" s="168">
        <f>IF(AND(N(G1141)&gt;0,N(H1141)+N(I1141)&gt;0),(H1141+I1141)*U1141/G1141,"")</f>
        <v/>
      </c>
      <c r="K1141" s="167" t="n">
        <v>44.95</v>
      </c>
      <c r="L1141" s="167" t="n">
        <v>42.7</v>
      </c>
      <c r="M1141" s="54" t="inlineStr">
        <is>
          <t>Eligible</t>
        </is>
      </c>
      <c r="N1141" s="168">
        <f>IF(OR(J1141="",L1141=""),"",L1141-J1141)</f>
        <v/>
      </c>
      <c r="O1141" s="169">
        <f>IF(OR(J1141="",L1141=""),"",L1141/J1141-1)</f>
        <v/>
      </c>
      <c r="P1141" s="169">
        <f>IF(OR(J1141="",K1141=""),"",K1141/J1141-1)</f>
        <v/>
      </c>
      <c r="Q1141" s="54">
        <f>IF(AND(ISNUMBER(J1141),ISNUMBER(L1141)),1,0)</f>
        <v/>
      </c>
      <c r="R1141" s="69">
        <f>IF(Q1141=1,G1141*L1141,0)</f>
        <v/>
      </c>
      <c r="S1141" s="69">
        <f>IF(Q1141=1,(H1141+I1141)*U1141,0)</f>
        <v/>
      </c>
      <c r="T1141" s="59">
        <f>IF(Q1141=1,G1141,0)</f>
        <v/>
      </c>
      <c r="U1141" s="170" t="n">
        <v>1</v>
      </c>
    </row>
    <row r="1142">
      <c r="A1142" s="54" t="inlineStr">
        <is>
          <t>US DC Silk Pillowcase</t>
        </is>
      </c>
      <c r="B1142" s="54" t="inlineStr">
        <is>
          <t>US</t>
        </is>
      </c>
      <c r="C1142" s="54" t="inlineStr">
        <is>
          <t>B0DBRL13MZ</t>
        </is>
      </c>
      <c r="D1142" s="54" t="inlineStr">
        <is>
          <t>SILK-PILLOWCASE-KING-SILVER GREY-1PCS</t>
        </is>
      </c>
      <c r="E1142" s="54" t="inlineStr">
        <is>
          <t>King</t>
        </is>
      </c>
      <c r="F1142" s="54" t="inlineStr">
        <is>
          <t>Silver Grey</t>
        </is>
      </c>
      <c r="G1142" s="55" t="n">
        <v>5</v>
      </c>
      <c r="H1142" s="167" t="n">
        <v>274.75</v>
      </c>
      <c r="I1142" s="167" t="n">
        <v>0</v>
      </c>
      <c r="J1142" s="168">
        <f>IF(AND(N(G1142)&gt;0,N(H1142)+N(I1142)&gt;0),(H1142+I1142)*U1142/G1142,"")</f>
        <v/>
      </c>
      <c r="K1142" s="167" t="n">
        <v>54.95</v>
      </c>
      <c r="L1142" s="167" t="n">
        <v>52.2</v>
      </c>
      <c r="M1142" s="54" t="inlineStr">
        <is>
          <t>Eligible</t>
        </is>
      </c>
      <c r="N1142" s="168">
        <f>IF(OR(J1142="",L1142=""),"",L1142-J1142)</f>
        <v/>
      </c>
      <c r="O1142" s="169">
        <f>IF(OR(J1142="",L1142=""),"",L1142/J1142-1)</f>
        <v/>
      </c>
      <c r="P1142" s="169">
        <f>IF(OR(J1142="",K1142=""),"",K1142/J1142-1)</f>
        <v/>
      </c>
      <c r="Q1142" s="54">
        <f>IF(AND(ISNUMBER(J1142),ISNUMBER(L1142)),1,0)</f>
        <v/>
      </c>
      <c r="R1142" s="69">
        <f>IF(Q1142=1,G1142*L1142,0)</f>
        <v/>
      </c>
      <c r="S1142" s="69">
        <f>IF(Q1142=1,(H1142+I1142)*U1142,0)</f>
        <v/>
      </c>
      <c r="T1142" s="59">
        <f>IF(Q1142=1,G1142,0)</f>
        <v/>
      </c>
      <c r="U1142" s="170" t="n">
        <v>1</v>
      </c>
    </row>
    <row r="1143">
      <c r="A1143" s="54" t="inlineStr">
        <is>
          <t>US DC Silk Pillowcase</t>
        </is>
      </c>
      <c r="B1143" s="54" t="inlineStr">
        <is>
          <t>US</t>
        </is>
      </c>
      <c r="C1143" s="54" t="inlineStr">
        <is>
          <t>B0DBRS4FDL</t>
        </is>
      </c>
      <c r="D1143" s="54" t="inlineStr">
        <is>
          <t>SILK-PILLOWCASE-STANDARD-CORAL-1PCS</t>
        </is>
      </c>
      <c r="E1143" s="54" t="inlineStr">
        <is>
          <t>Standard</t>
        </is>
      </c>
      <c r="F1143" s="54" t="inlineStr">
        <is>
          <t>Coral</t>
        </is>
      </c>
      <c r="G1143" s="55" t="n">
        <v>5</v>
      </c>
      <c r="H1143" s="167" t="n">
        <v>224.75</v>
      </c>
      <c r="I1143" s="167" t="n">
        <v>0</v>
      </c>
      <c r="J1143" s="168">
        <f>IF(AND(N(G1143)&gt;0,N(H1143)+N(I1143)&gt;0),(H1143+I1143)*U1143/G1143,"")</f>
        <v/>
      </c>
      <c r="K1143" s="167" t="n">
        <v>44.95</v>
      </c>
      <c r="L1143" s="167" t="n">
        <v>42.7</v>
      </c>
      <c r="M1143" s="54" t="inlineStr">
        <is>
          <t>Eligible</t>
        </is>
      </c>
      <c r="N1143" s="168">
        <f>IF(OR(J1143="",L1143=""),"",L1143-J1143)</f>
        <v/>
      </c>
      <c r="O1143" s="169">
        <f>IF(OR(J1143="",L1143=""),"",L1143/J1143-1)</f>
        <v/>
      </c>
      <c r="P1143" s="169">
        <f>IF(OR(J1143="",K1143=""),"",K1143/J1143-1)</f>
        <v/>
      </c>
      <c r="Q1143" s="54">
        <f>IF(AND(ISNUMBER(J1143),ISNUMBER(L1143)),1,0)</f>
        <v/>
      </c>
      <c r="R1143" s="69">
        <f>IF(Q1143=1,G1143*L1143,0)</f>
        <v/>
      </c>
      <c r="S1143" s="69">
        <f>IF(Q1143=1,(H1143+I1143)*U1143,0)</f>
        <v/>
      </c>
      <c r="T1143" s="59">
        <f>IF(Q1143=1,G1143,0)</f>
        <v/>
      </c>
      <c r="U1143" s="170" t="n">
        <v>1</v>
      </c>
    </row>
    <row r="1144">
      <c r="A1144" s="54" t="inlineStr">
        <is>
          <t>US DC Silk Pillowcase</t>
        </is>
      </c>
      <c r="B1144" s="54" t="inlineStr">
        <is>
          <t>US</t>
        </is>
      </c>
      <c r="C1144" s="54" t="inlineStr">
        <is>
          <t>B0DBR99M41</t>
        </is>
      </c>
      <c r="D1144" s="54" t="inlineStr">
        <is>
          <t>SILK-PILLOWCASE-STANDARD-IVORY-1PCS</t>
        </is>
      </c>
      <c r="E1144" s="54" t="inlineStr">
        <is>
          <t>Standard</t>
        </is>
      </c>
      <c r="F1144" s="54" t="inlineStr">
        <is>
          <t>Ivory</t>
        </is>
      </c>
      <c r="G1144" s="55" t="n">
        <v>4</v>
      </c>
      <c r="H1144" s="167" t="n">
        <v>179.8</v>
      </c>
      <c r="I1144" s="167" t="n">
        <v>0</v>
      </c>
      <c r="J1144" s="168">
        <f>IF(AND(N(G1144)&gt;0,N(H1144)+N(I1144)&gt;0),(H1144+I1144)*U1144/G1144,"")</f>
        <v/>
      </c>
      <c r="K1144" s="167" t="n">
        <v>44.95</v>
      </c>
      <c r="L1144" s="167" t="n">
        <v>42.7</v>
      </c>
      <c r="M1144" s="54" t="inlineStr">
        <is>
          <t>Eligible</t>
        </is>
      </c>
      <c r="N1144" s="168">
        <f>IF(OR(J1144="",L1144=""),"",L1144-J1144)</f>
        <v/>
      </c>
      <c r="O1144" s="169">
        <f>IF(OR(J1144="",L1144=""),"",L1144/J1144-1)</f>
        <v/>
      </c>
      <c r="P1144" s="169">
        <f>IF(OR(J1144="",K1144=""),"",K1144/J1144-1)</f>
        <v/>
      </c>
      <c r="Q1144" s="54">
        <f>IF(AND(ISNUMBER(J1144),ISNUMBER(L1144)),1,0)</f>
        <v/>
      </c>
      <c r="R1144" s="69">
        <f>IF(Q1144=1,G1144*L1144,0)</f>
        <v/>
      </c>
      <c r="S1144" s="69">
        <f>IF(Q1144=1,(H1144+I1144)*U1144,0)</f>
        <v/>
      </c>
      <c r="T1144" s="59">
        <f>IF(Q1144=1,G1144,0)</f>
        <v/>
      </c>
      <c r="U1144" s="170" t="n">
        <v>1</v>
      </c>
    </row>
    <row r="1145">
      <c r="A1145" s="54" t="inlineStr">
        <is>
          <t>US DC Silk Pillowcase</t>
        </is>
      </c>
      <c r="B1145" s="54" t="inlineStr">
        <is>
          <t>US</t>
        </is>
      </c>
      <c r="C1145" s="54" t="inlineStr">
        <is>
          <t>B0DBR855WF</t>
        </is>
      </c>
      <c r="D1145" s="54" t="inlineStr">
        <is>
          <t>SILK-PILLOWCASE-KING-CORAL-1PCS</t>
        </is>
      </c>
      <c r="E1145" s="54" t="inlineStr">
        <is>
          <t>King</t>
        </is>
      </c>
      <c r="F1145" s="54" t="inlineStr">
        <is>
          <t>Coral</t>
        </is>
      </c>
      <c r="G1145" s="55" t="n">
        <v>3</v>
      </c>
      <c r="H1145" s="167" t="n">
        <v>164.85</v>
      </c>
      <c r="I1145" s="167" t="n">
        <v>0</v>
      </c>
      <c r="J1145" s="168">
        <f>IF(AND(N(G1145)&gt;0,N(H1145)+N(I1145)&gt;0),(H1145+I1145)*U1145/G1145,"")</f>
        <v/>
      </c>
      <c r="K1145" s="167" t="n">
        <v>54.95</v>
      </c>
      <c r="L1145" s="167" t="n">
        <v>52.2</v>
      </c>
      <c r="M1145" s="54" t="inlineStr">
        <is>
          <t>Eligible</t>
        </is>
      </c>
      <c r="N1145" s="168">
        <f>IF(OR(J1145="",L1145=""),"",L1145-J1145)</f>
        <v/>
      </c>
      <c r="O1145" s="169">
        <f>IF(OR(J1145="",L1145=""),"",L1145/J1145-1)</f>
        <v/>
      </c>
      <c r="P1145" s="169">
        <f>IF(OR(J1145="",K1145=""),"",K1145/J1145-1)</f>
        <v/>
      </c>
      <c r="Q1145" s="54">
        <f>IF(AND(ISNUMBER(J1145),ISNUMBER(L1145)),1,0)</f>
        <v/>
      </c>
      <c r="R1145" s="69">
        <f>IF(Q1145=1,G1145*L1145,0)</f>
        <v/>
      </c>
      <c r="S1145" s="69">
        <f>IF(Q1145=1,(H1145+I1145)*U1145,0)</f>
        <v/>
      </c>
      <c r="T1145" s="59">
        <f>IF(Q1145=1,G1145,0)</f>
        <v/>
      </c>
      <c r="U1145" s="170" t="n">
        <v>1</v>
      </c>
    </row>
    <row r="1146">
      <c r="A1146" s="54" t="inlineStr">
        <is>
          <t>US DC Silk Pillowcase</t>
        </is>
      </c>
      <c r="B1146" s="54" t="inlineStr">
        <is>
          <t>US</t>
        </is>
      </c>
      <c r="C1146" s="54" t="inlineStr">
        <is>
          <t>B0DBR716DJ</t>
        </is>
      </c>
      <c r="D1146" s="54" t="inlineStr">
        <is>
          <t>SILK-PILLOWCASE-KING-IVORY-1PCS</t>
        </is>
      </c>
      <c r="E1146" s="54" t="inlineStr">
        <is>
          <t>King</t>
        </is>
      </c>
      <c r="F1146" s="54" t="inlineStr">
        <is>
          <t>Ivory</t>
        </is>
      </c>
      <c r="G1146" s="55" t="n">
        <v>3</v>
      </c>
      <c r="H1146" s="167" t="n">
        <v>164.85</v>
      </c>
      <c r="I1146" s="167" t="n">
        <v>0</v>
      </c>
      <c r="J1146" s="168">
        <f>IF(AND(N(G1146)&gt;0,N(H1146)+N(I1146)&gt;0),(H1146+I1146)*U1146/G1146,"")</f>
        <v/>
      </c>
      <c r="K1146" s="167" t="n">
        <v>54.95</v>
      </c>
      <c r="L1146" s="167" t="n"/>
      <c r="M1146" s="54" t="inlineStr">
        <is>
          <t>Out of stock</t>
        </is>
      </c>
      <c r="N1146" s="168">
        <f>IF(OR(J1146="",L1146=""),"",L1146-J1146)</f>
        <v/>
      </c>
      <c r="O1146" s="169">
        <f>IF(OR(J1146="",L1146=""),"",L1146/J1146-1)</f>
        <v/>
      </c>
      <c r="P1146" s="169">
        <f>IF(OR(J1146="",K1146=""),"",K1146/J1146-1)</f>
        <v/>
      </c>
      <c r="Q1146" s="54">
        <f>IF(AND(ISNUMBER(J1146),ISNUMBER(L1146)),1,0)</f>
        <v/>
      </c>
      <c r="R1146" s="69">
        <f>IF(Q1146=1,G1146*L1146,0)</f>
        <v/>
      </c>
      <c r="S1146" s="69">
        <f>IF(Q1146=1,(H1146+I1146)*U1146,0)</f>
        <v/>
      </c>
      <c r="T1146" s="59">
        <f>IF(Q1146=1,G1146,0)</f>
        <v/>
      </c>
      <c r="U1146" s="170" t="n">
        <v>1</v>
      </c>
    </row>
    <row r="1147">
      <c r="A1147" s="54" t="inlineStr">
        <is>
          <t>US DC Silk Pillowcase</t>
        </is>
      </c>
      <c r="B1147" s="54" t="inlineStr">
        <is>
          <t>US</t>
        </is>
      </c>
      <c r="C1147" s="54" t="inlineStr">
        <is>
          <t>B0DBR7PBVP</t>
        </is>
      </c>
      <c r="D1147" s="54" t="inlineStr">
        <is>
          <t>SILK-PILLOWCASE-KING-CHAMPAGNE-1PCS</t>
        </is>
      </c>
      <c r="E1147" s="54" t="inlineStr">
        <is>
          <t>King</t>
        </is>
      </c>
      <c r="F1147" s="54" t="inlineStr">
        <is>
          <t>Champagne</t>
        </is>
      </c>
      <c r="G1147" s="55" t="n">
        <v>2</v>
      </c>
      <c r="H1147" s="167" t="n">
        <v>109.9</v>
      </c>
      <c r="I1147" s="167" t="n">
        <v>0</v>
      </c>
      <c r="J1147" s="168">
        <f>IF(AND(N(G1147)&gt;0,N(H1147)+N(I1147)&gt;0),(H1147+I1147)*U1147/G1147,"")</f>
        <v/>
      </c>
      <c r="K1147" s="167" t="n">
        <v>54.95</v>
      </c>
      <c r="L1147" s="167" t="n">
        <v>52.2</v>
      </c>
      <c r="M1147" s="54" t="inlineStr">
        <is>
          <t>Eligible</t>
        </is>
      </c>
      <c r="N1147" s="168">
        <f>IF(OR(J1147="",L1147=""),"",L1147-J1147)</f>
        <v/>
      </c>
      <c r="O1147" s="169">
        <f>IF(OR(J1147="",L1147=""),"",L1147/J1147-1)</f>
        <v/>
      </c>
      <c r="P1147" s="169">
        <f>IF(OR(J1147="",K1147=""),"",K1147/J1147-1)</f>
        <v/>
      </c>
      <c r="Q1147" s="54">
        <f>IF(AND(ISNUMBER(J1147),ISNUMBER(L1147)),1,0)</f>
        <v/>
      </c>
      <c r="R1147" s="69">
        <f>IF(Q1147=1,G1147*L1147,0)</f>
        <v/>
      </c>
      <c r="S1147" s="69">
        <f>IF(Q1147=1,(H1147+I1147)*U1147,0)</f>
        <v/>
      </c>
      <c r="T1147" s="59">
        <f>IF(Q1147=1,G1147,0)</f>
        <v/>
      </c>
      <c r="U1147" s="170" t="n">
        <v>1</v>
      </c>
    </row>
    <row r="1148">
      <c r="A1148" s="54" t="inlineStr">
        <is>
          <t>US DC Silk Pillowcase</t>
        </is>
      </c>
      <c r="B1148" s="54" t="inlineStr">
        <is>
          <t>US</t>
        </is>
      </c>
      <c r="C1148" s="54" t="inlineStr">
        <is>
          <t>B0DBR948NX</t>
        </is>
      </c>
      <c r="D1148" s="54" t="inlineStr">
        <is>
          <t>SILK-PILLOWCASE-STANDARD-GREY-1PCS</t>
        </is>
      </c>
      <c r="E1148" s="54" t="inlineStr">
        <is>
          <t>Standard</t>
        </is>
      </c>
      <c r="F1148" s="54" t="inlineStr">
        <is>
          <t>Grey</t>
        </is>
      </c>
      <c r="G1148" s="55" t="n">
        <v>2</v>
      </c>
      <c r="H1148" s="167" t="n">
        <v>89.90000000000001</v>
      </c>
      <c r="I1148" s="167" t="n">
        <v>0</v>
      </c>
      <c r="J1148" s="168">
        <f>IF(AND(N(G1148)&gt;0,N(H1148)+N(I1148)&gt;0),(H1148+I1148)*U1148/G1148,"")</f>
        <v/>
      </c>
      <c r="K1148" s="167" t="n">
        <v>44.95</v>
      </c>
      <c r="L1148" s="167" t="n">
        <v>42.7</v>
      </c>
      <c r="M1148" s="54" t="inlineStr">
        <is>
          <t>Eligible</t>
        </is>
      </c>
      <c r="N1148" s="168">
        <f>IF(OR(J1148="",L1148=""),"",L1148-J1148)</f>
        <v/>
      </c>
      <c r="O1148" s="169">
        <f>IF(OR(J1148="",L1148=""),"",L1148/J1148-1)</f>
        <v/>
      </c>
      <c r="P1148" s="169">
        <f>IF(OR(J1148="",K1148=""),"",K1148/J1148-1)</f>
        <v/>
      </c>
      <c r="Q1148" s="54">
        <f>IF(AND(ISNUMBER(J1148),ISNUMBER(L1148)),1,0)</f>
        <v/>
      </c>
      <c r="R1148" s="69">
        <f>IF(Q1148=1,G1148*L1148,0)</f>
        <v/>
      </c>
      <c r="S1148" s="69">
        <f>IF(Q1148=1,(H1148+I1148)*U1148,0)</f>
        <v/>
      </c>
      <c r="T1148" s="59">
        <f>IF(Q1148=1,G1148,0)</f>
        <v/>
      </c>
      <c r="U1148" s="170" t="n">
        <v>1</v>
      </c>
    </row>
    <row r="1149">
      <c r="A1149" s="54" t="inlineStr">
        <is>
          <t>US DC Silk Pillowcase</t>
        </is>
      </c>
      <c r="B1149" s="54" t="inlineStr">
        <is>
          <t>US</t>
        </is>
      </c>
      <c r="C1149" s="54" t="inlineStr">
        <is>
          <t>B0DBR61W7F</t>
        </is>
      </c>
      <c r="D1149" s="54" t="inlineStr">
        <is>
          <t>SILK-PILLOWCASE-QUEEN-CHAMPAGNE-1PCS</t>
        </is>
      </c>
      <c r="E1149" s="54" t="inlineStr">
        <is>
          <t>Queen</t>
        </is>
      </c>
      <c r="F1149" s="54" t="inlineStr">
        <is>
          <t>Champagne</t>
        </is>
      </c>
      <c r="G1149" s="55" t="n"/>
      <c r="H1149" s="167" t="n"/>
      <c r="I1149" s="167" t="n"/>
      <c r="J1149" s="168">
        <f>IF(AND(N(G1149)&gt;0,N(H1149)+N(I1149)&gt;0),(H1149+I1149)*U1149/G1149,"")</f>
        <v/>
      </c>
      <c r="K1149" s="167" t="n">
        <v>49.95</v>
      </c>
      <c r="L1149" s="167" t="n">
        <v>47.45</v>
      </c>
      <c r="M1149" s="54" t="inlineStr">
        <is>
          <t>Eligible</t>
        </is>
      </c>
      <c r="N1149" s="168">
        <f>IF(OR(J1149="",L1149=""),"",L1149-J1149)</f>
        <v/>
      </c>
      <c r="O1149" s="169">
        <f>IF(OR(J1149="",L1149=""),"",L1149/J1149-1)</f>
        <v/>
      </c>
      <c r="P1149" s="169">
        <f>IF(OR(J1149="",K1149=""),"",K1149/J1149-1)</f>
        <v/>
      </c>
      <c r="Q1149" s="54">
        <f>IF(AND(ISNUMBER(J1149),ISNUMBER(L1149)),1,0)</f>
        <v/>
      </c>
      <c r="R1149" s="69">
        <f>IF(Q1149=1,G1149*L1149,0)</f>
        <v/>
      </c>
      <c r="S1149" s="69">
        <f>IF(Q1149=1,(H1149+I1149)*U1149,0)</f>
        <v/>
      </c>
      <c r="T1149" s="59">
        <f>IF(Q1149=1,G1149,0)</f>
        <v/>
      </c>
      <c r="U1149" s="170" t="n">
        <v>1</v>
      </c>
    </row>
    <row r="1150">
      <c r="A1150" s="54" t="inlineStr">
        <is>
          <t>US DC Silk Pillowcase</t>
        </is>
      </c>
      <c r="B1150" s="54" t="inlineStr">
        <is>
          <t>US</t>
        </is>
      </c>
      <c r="C1150" s="54" t="inlineStr">
        <is>
          <t>B0DBR771WD</t>
        </is>
      </c>
      <c r="D1150" s="54" t="inlineStr">
        <is>
          <t>SILK-PILLOWCASE-QUEEN-CORAL-1PCS</t>
        </is>
      </c>
      <c r="E1150" s="54" t="inlineStr">
        <is>
          <t>Queen</t>
        </is>
      </c>
      <c r="F1150" s="54" t="inlineStr">
        <is>
          <t>Coral</t>
        </is>
      </c>
      <c r="G1150" s="55" t="n">
        <v>0</v>
      </c>
      <c r="H1150" s="167" t="n"/>
      <c r="I1150" s="167" t="n"/>
      <c r="J1150" s="168">
        <f>IF(AND(N(G1150)&gt;0,N(H1150)+N(I1150)&gt;0),(H1150+I1150)*U1150/G1150,"")</f>
        <v/>
      </c>
      <c r="K1150" s="167" t="n">
        <v>49.95</v>
      </c>
      <c r="L1150" s="167" t="n">
        <v>47.45</v>
      </c>
      <c r="M1150" s="54" t="inlineStr">
        <is>
          <t>Eligible</t>
        </is>
      </c>
      <c r="N1150" s="168">
        <f>IF(OR(J1150="",L1150=""),"",L1150-J1150)</f>
        <v/>
      </c>
      <c r="O1150" s="169">
        <f>IF(OR(J1150="",L1150=""),"",L1150/J1150-1)</f>
        <v/>
      </c>
      <c r="P1150" s="169">
        <f>IF(OR(J1150="",K1150=""),"",K1150/J1150-1)</f>
        <v/>
      </c>
      <c r="Q1150" s="54">
        <f>IF(AND(ISNUMBER(J1150),ISNUMBER(L1150)),1,0)</f>
        <v/>
      </c>
      <c r="R1150" s="69">
        <f>IF(Q1150=1,G1150*L1150,0)</f>
        <v/>
      </c>
      <c r="S1150" s="69">
        <f>IF(Q1150=1,(H1150+I1150)*U1150,0)</f>
        <v/>
      </c>
      <c r="T1150" s="59">
        <f>IF(Q1150=1,G1150,0)</f>
        <v/>
      </c>
      <c r="U1150" s="170" t="n">
        <v>1</v>
      </c>
    </row>
    <row r="1151">
      <c r="A1151" s="54" t="inlineStr">
        <is>
          <t>US DC Silk Pillowcase</t>
        </is>
      </c>
      <c r="B1151" s="54" t="inlineStr">
        <is>
          <t>US</t>
        </is>
      </c>
      <c r="C1151" s="54" t="inlineStr">
        <is>
          <t>B0DBR9LLGV</t>
        </is>
      </c>
      <c r="D1151" s="54" t="inlineStr">
        <is>
          <t>SILK-PILLOWCASE-QUEEN-GREY-1PCS</t>
        </is>
      </c>
      <c r="E1151" s="54" t="inlineStr">
        <is>
          <t>Queen</t>
        </is>
      </c>
      <c r="F1151" s="54" t="inlineStr">
        <is>
          <t>Grey</t>
        </is>
      </c>
      <c r="G1151" s="55" t="n">
        <v>0</v>
      </c>
      <c r="H1151" s="167" t="n"/>
      <c r="I1151" s="167" t="n"/>
      <c r="J1151" s="168">
        <f>IF(AND(N(G1151)&gt;0,N(H1151)+N(I1151)&gt;0),(H1151+I1151)*U1151/G1151,"")</f>
        <v/>
      </c>
      <c r="K1151" s="167" t="n">
        <v>49.95</v>
      </c>
      <c r="L1151" s="167" t="n">
        <v>47.45</v>
      </c>
      <c r="M1151" s="54" t="inlineStr">
        <is>
          <t>Eligible</t>
        </is>
      </c>
      <c r="N1151" s="168">
        <f>IF(OR(J1151="",L1151=""),"",L1151-J1151)</f>
        <v/>
      </c>
      <c r="O1151" s="169">
        <f>IF(OR(J1151="",L1151=""),"",L1151/J1151-1)</f>
        <v/>
      </c>
      <c r="P1151" s="169">
        <f>IF(OR(J1151="",K1151=""),"",K1151/J1151-1)</f>
        <v/>
      </c>
      <c r="Q1151" s="54">
        <f>IF(AND(ISNUMBER(J1151),ISNUMBER(L1151)),1,0)</f>
        <v/>
      </c>
      <c r="R1151" s="69">
        <f>IF(Q1151=1,G1151*L1151,0)</f>
        <v/>
      </c>
      <c r="S1151" s="69">
        <f>IF(Q1151=1,(H1151+I1151)*U1151,0)</f>
        <v/>
      </c>
      <c r="T1151" s="59">
        <f>IF(Q1151=1,G1151,0)</f>
        <v/>
      </c>
      <c r="U1151" s="170" t="n">
        <v>1</v>
      </c>
    </row>
    <row r="1152">
      <c r="A1152" s="54" t="inlineStr">
        <is>
          <t>US DC Silk Pillowcase</t>
        </is>
      </c>
      <c r="B1152" s="54" t="inlineStr">
        <is>
          <t>US</t>
        </is>
      </c>
      <c r="C1152" s="54" t="inlineStr">
        <is>
          <t>B0DBRB2B8J</t>
        </is>
      </c>
      <c r="D1152" s="54" t="inlineStr">
        <is>
          <t>SILK-PILLOWCASE-QUEEN-SILVER GREY-1PCS</t>
        </is>
      </c>
      <c r="E1152" s="54" t="inlineStr">
        <is>
          <t>Queen</t>
        </is>
      </c>
      <c r="F1152" s="54" t="inlineStr">
        <is>
          <t>Silver Grey</t>
        </is>
      </c>
      <c r="G1152" s="55" t="n">
        <v>0</v>
      </c>
      <c r="H1152" s="167" t="n"/>
      <c r="I1152" s="167" t="n"/>
      <c r="J1152" s="168">
        <f>IF(AND(N(G1152)&gt;0,N(H1152)+N(I1152)&gt;0),(H1152+I1152)*U1152/G1152,"")</f>
        <v/>
      </c>
      <c r="K1152" s="167" t="n">
        <v>49.95</v>
      </c>
      <c r="L1152" s="167" t="n">
        <v>47.45</v>
      </c>
      <c r="M1152" s="54" t="inlineStr">
        <is>
          <t>Eligible</t>
        </is>
      </c>
      <c r="N1152" s="168">
        <f>IF(OR(J1152="",L1152=""),"",L1152-J1152)</f>
        <v/>
      </c>
      <c r="O1152" s="169">
        <f>IF(OR(J1152="",L1152=""),"",L1152/J1152-1)</f>
        <v/>
      </c>
      <c r="P1152" s="169">
        <f>IF(OR(J1152="",K1152=""),"",K1152/J1152-1)</f>
        <v/>
      </c>
      <c r="Q1152" s="54">
        <f>IF(AND(ISNUMBER(J1152),ISNUMBER(L1152)),1,0)</f>
        <v/>
      </c>
      <c r="R1152" s="69">
        <f>IF(Q1152=1,G1152*L1152,0)</f>
        <v/>
      </c>
      <c r="S1152" s="69">
        <f>IF(Q1152=1,(H1152+I1152)*U1152,0)</f>
        <v/>
      </c>
      <c r="T1152" s="59">
        <f>IF(Q1152=1,G1152,0)</f>
        <v/>
      </c>
      <c r="U1152" s="170" t="n">
        <v>1</v>
      </c>
    </row>
    <row r="1153">
      <c r="A1153" s="54" t="inlineStr">
        <is>
          <t>US DC Silk Pillowcase</t>
        </is>
      </c>
      <c r="B1153" s="54" t="inlineStr">
        <is>
          <t>US</t>
        </is>
      </c>
      <c r="C1153" s="54" t="inlineStr">
        <is>
          <t>B0DBRBSH2R</t>
        </is>
      </c>
      <c r="D1153" s="54" t="inlineStr">
        <is>
          <t>SILK-PILLOWCASE-QUEEN-WHITE-1PCS</t>
        </is>
      </c>
      <c r="E1153" s="54" t="inlineStr">
        <is>
          <t>Queen</t>
        </is>
      </c>
      <c r="F1153" s="54" t="inlineStr">
        <is>
          <t>White</t>
        </is>
      </c>
      <c r="G1153" s="55" t="n">
        <v>0</v>
      </c>
      <c r="H1153" s="167" t="n"/>
      <c r="I1153" s="167" t="n"/>
      <c r="J1153" s="168">
        <f>IF(AND(N(G1153)&gt;0,N(H1153)+N(I1153)&gt;0),(H1153+I1153)*U1153/G1153,"")</f>
        <v/>
      </c>
      <c r="K1153" s="167" t="n">
        <v>49.95</v>
      </c>
      <c r="L1153" s="167" t="n">
        <v>47.45</v>
      </c>
      <c r="M1153" s="54" t="inlineStr">
        <is>
          <t>Eligible</t>
        </is>
      </c>
      <c r="N1153" s="168">
        <f>IF(OR(J1153="",L1153=""),"",L1153-J1153)</f>
        <v/>
      </c>
      <c r="O1153" s="169">
        <f>IF(OR(J1153="",L1153=""),"",L1153/J1153-1)</f>
        <v/>
      </c>
      <c r="P1153" s="169">
        <f>IF(OR(J1153="",K1153=""),"",K1153/J1153-1)</f>
        <v/>
      </c>
      <c r="Q1153" s="54">
        <f>IF(AND(ISNUMBER(J1153),ISNUMBER(L1153)),1,0)</f>
        <v/>
      </c>
      <c r="R1153" s="69">
        <f>IF(Q1153=1,G1153*L1153,0)</f>
        <v/>
      </c>
      <c r="S1153" s="69">
        <f>IF(Q1153=1,(H1153+I1153)*U1153,0)</f>
        <v/>
      </c>
      <c r="T1153" s="59">
        <f>IF(Q1153=1,G1153,0)</f>
        <v/>
      </c>
      <c r="U1153" s="170" t="n">
        <v>1</v>
      </c>
    </row>
    <row r="1154">
      <c r="A1154" s="54" t="inlineStr">
        <is>
          <t>US SL Mask Contoured</t>
        </is>
      </c>
      <c r="B1154" s="54" t="inlineStr">
        <is>
          <t>US</t>
        </is>
      </c>
      <c r="C1154" s="54" t="inlineStr">
        <is>
          <t>B0F4XP8CYP</t>
        </is>
      </c>
      <c r="D1154" s="54" t="inlineStr">
        <is>
          <t>SS-SLEEP-MASK-3D-CONTOURED-MISTY-BLUE</t>
        </is>
      </c>
      <c r="E1154" s="54" t="inlineStr">
        <is>
          <t>One Size</t>
        </is>
      </c>
      <c r="F1154" s="54" t="inlineStr">
        <is>
          <t>Misty Blue</t>
        </is>
      </c>
      <c r="G1154" s="55" t="n">
        <v>4</v>
      </c>
      <c r="H1154" s="167" t="n">
        <v>67.83</v>
      </c>
      <c r="I1154" s="167" t="n">
        <v>0</v>
      </c>
      <c r="J1154" s="168">
        <f>IF(AND(N(G1154)&gt;0,N(H1154)+N(I1154)&gt;0),(H1154+I1154)*U1154/G1154,"")</f>
        <v/>
      </c>
      <c r="K1154" s="167" t="n"/>
      <c r="L1154" s="167" t="n"/>
      <c r="M1154" s="54" t="inlineStr">
        <is>
          <t>Not in a deal</t>
        </is>
      </c>
      <c r="N1154" s="168">
        <f>IF(OR(J1154="",L1154=""),"",L1154-J1154)</f>
        <v/>
      </c>
      <c r="O1154" s="169">
        <f>IF(OR(J1154="",L1154=""),"",L1154/J1154-1)</f>
        <v/>
      </c>
      <c r="P1154" s="169">
        <f>IF(OR(J1154="",K1154=""),"",K1154/J1154-1)</f>
        <v/>
      </c>
      <c r="Q1154" s="54">
        <f>IF(AND(ISNUMBER(J1154),ISNUMBER(L1154)),1,0)</f>
        <v/>
      </c>
      <c r="R1154" s="69">
        <f>IF(Q1154=1,G1154*L1154,0)</f>
        <v/>
      </c>
      <c r="S1154" s="69">
        <f>IF(Q1154=1,(H1154+I1154)*U1154,0)</f>
        <v/>
      </c>
      <c r="T1154" s="59">
        <f>IF(Q1154=1,G1154,0)</f>
        <v/>
      </c>
      <c r="U1154" s="170" t="n">
        <v>1</v>
      </c>
    </row>
    <row r="1155">
      <c r="A1155" s="54" t="inlineStr">
        <is>
          <t>US SL Mask Contoured</t>
        </is>
      </c>
      <c r="B1155" s="54" t="inlineStr">
        <is>
          <t>US</t>
        </is>
      </c>
      <c r="C1155" s="54" t="inlineStr">
        <is>
          <t>B0F4XRFWGR</t>
        </is>
      </c>
      <c r="D1155" s="54" t="inlineStr">
        <is>
          <t>SS-SLEEP-MASK-3D-CONTOURED-PEACOCK-BLUE</t>
        </is>
      </c>
      <c r="E1155" s="54" t="inlineStr">
        <is>
          <t>One Size</t>
        </is>
      </c>
      <c r="F1155" s="54" t="inlineStr">
        <is>
          <t>Peacock Blue</t>
        </is>
      </c>
      <c r="G1155" s="55" t="n">
        <v>1</v>
      </c>
      <c r="H1155" s="167" t="n">
        <v>19.95</v>
      </c>
      <c r="I1155" s="167" t="n">
        <v>0</v>
      </c>
      <c r="J1155" s="168">
        <f>IF(AND(N(G1155)&gt;0,N(H1155)+N(I1155)&gt;0),(H1155+I1155)*U1155/G1155,"")</f>
        <v/>
      </c>
      <c r="K1155" s="167" t="n"/>
      <c r="L1155" s="167" t="n"/>
      <c r="M1155" s="54" t="inlineStr">
        <is>
          <t>Not in a deal</t>
        </is>
      </c>
      <c r="N1155" s="168">
        <f>IF(OR(J1155="",L1155=""),"",L1155-J1155)</f>
        <v/>
      </c>
      <c r="O1155" s="169">
        <f>IF(OR(J1155="",L1155=""),"",L1155/J1155-1)</f>
        <v/>
      </c>
      <c r="P1155" s="169">
        <f>IF(OR(J1155="",K1155=""),"",K1155/J1155-1)</f>
        <v/>
      </c>
      <c r="Q1155" s="54">
        <f>IF(AND(ISNUMBER(J1155),ISNUMBER(L1155)),1,0)</f>
        <v/>
      </c>
      <c r="R1155" s="69">
        <f>IF(Q1155=1,G1155*L1155,0)</f>
        <v/>
      </c>
      <c r="S1155" s="69">
        <f>IF(Q1155=1,(H1155+I1155)*U1155,0)</f>
        <v/>
      </c>
      <c r="T1155" s="59">
        <f>IF(Q1155=1,G1155,0)</f>
        <v/>
      </c>
      <c r="U1155" s="170" t="n">
        <v>1</v>
      </c>
    </row>
    <row r="1156">
      <c r="A1156" s="54" t="inlineStr">
        <is>
          <t>US SL Mask Velcro</t>
        </is>
      </c>
      <c r="B1156" s="54" t="inlineStr">
        <is>
          <t>US</t>
        </is>
      </c>
      <c r="C1156" s="54" t="inlineStr">
        <is>
          <t>B0F4XQ7L8Q</t>
        </is>
      </c>
      <c r="D1156" s="54" t="inlineStr">
        <is>
          <t>SS-SLEEP-MASK-VELCRO-STRAP-BLACK</t>
        </is>
      </c>
      <c r="E1156" s="54" t="inlineStr">
        <is>
          <t>One Size</t>
        </is>
      </c>
      <c r="F1156" s="54" t="inlineStr">
        <is>
          <t>Black</t>
        </is>
      </c>
      <c r="G1156" s="55" t="n">
        <v>1</v>
      </c>
      <c r="H1156" s="167" t="n">
        <v>15.96</v>
      </c>
      <c r="I1156" s="167" t="n">
        <v>0</v>
      </c>
      <c r="J1156" s="168">
        <f>IF(AND(N(G1156)&gt;0,N(H1156)+N(I1156)&gt;0),(H1156+I1156)*U1156/G1156,"")</f>
        <v/>
      </c>
      <c r="K1156" s="167" t="n">
        <v>17.99</v>
      </c>
      <c r="L1156" s="167" t="n"/>
      <c r="M1156" s="54" t="inlineStr">
        <is>
          <t>Not in a deal</t>
        </is>
      </c>
      <c r="N1156" s="168">
        <f>IF(OR(J1156="",L1156=""),"",L1156-J1156)</f>
        <v/>
      </c>
      <c r="O1156" s="169">
        <f>IF(OR(J1156="",L1156=""),"",L1156/J1156-1)</f>
        <v/>
      </c>
      <c r="P1156" s="169">
        <f>IF(OR(J1156="",K1156=""),"",K1156/J1156-1)</f>
        <v/>
      </c>
      <c r="Q1156" s="54">
        <f>IF(AND(ISNUMBER(J1156),ISNUMBER(L1156)),1,0)</f>
        <v/>
      </c>
      <c r="R1156" s="69">
        <f>IF(Q1156=1,G1156*L1156,0)</f>
        <v/>
      </c>
      <c r="S1156" s="69">
        <f>IF(Q1156=1,(H1156+I1156)*U1156,0)</f>
        <v/>
      </c>
      <c r="T1156" s="59">
        <f>IF(Q1156=1,G1156,0)</f>
        <v/>
      </c>
      <c r="U1156" s="170" t="n">
        <v>1</v>
      </c>
    </row>
    <row r="1157">
      <c r="A1157" s="54" t="inlineStr">
        <is>
          <t>US DC Cooling 4pc</t>
        </is>
      </c>
      <c r="B1157" s="54" t="inlineStr">
        <is>
          <t>US</t>
        </is>
      </c>
      <c r="C1157" s="54" t="inlineStr">
        <is>
          <t>B0C9LQWPC7</t>
        </is>
      </c>
      <c r="D1157" s="54" t="inlineStr">
        <is>
          <t>BM-QUEEN-GRAPHITE-GREY</t>
        </is>
      </c>
      <c r="E1157" s="54" t="inlineStr">
        <is>
          <t>Queen</t>
        </is>
      </c>
      <c r="F1157" s="54" t="inlineStr">
        <is>
          <t>Graphite</t>
        </is>
      </c>
      <c r="G1157" s="55" t="n">
        <v>15</v>
      </c>
      <c r="H1157" s="167" t="n">
        <v>569.25</v>
      </c>
      <c r="I1157" s="167" t="n">
        <v>0</v>
      </c>
      <c r="J1157" s="168">
        <f>IF(AND(N(G1157)&gt;0,N(H1157)+N(I1157)&gt;0),(H1157+I1157)*U1157/G1157,"")</f>
        <v/>
      </c>
      <c r="K1157" s="167" t="n"/>
      <c r="L1157" s="167" t="n"/>
      <c r="M1157" s="54" t="inlineStr">
        <is>
          <t>Not in a deal</t>
        </is>
      </c>
      <c r="N1157" s="168">
        <f>IF(OR(J1157="",L1157=""),"",L1157-J1157)</f>
        <v/>
      </c>
      <c r="O1157" s="169">
        <f>IF(OR(J1157="",L1157=""),"",L1157/J1157-1)</f>
        <v/>
      </c>
      <c r="P1157" s="169">
        <f>IF(OR(J1157="",K1157=""),"",K1157/J1157-1)</f>
        <v/>
      </c>
      <c r="Q1157" s="54">
        <f>IF(AND(ISNUMBER(J1157),ISNUMBER(L1157)),1,0)</f>
        <v/>
      </c>
      <c r="R1157" s="69">
        <f>IF(Q1157=1,G1157*L1157,0)</f>
        <v/>
      </c>
      <c r="S1157" s="69">
        <f>IF(Q1157=1,(H1157+I1157)*U1157,0)</f>
        <v/>
      </c>
      <c r="T1157" s="59">
        <f>IF(Q1157=1,G1157,0)</f>
        <v/>
      </c>
      <c r="U1157" s="170" t="n">
        <v>1</v>
      </c>
    </row>
    <row r="1158">
      <c r="A1158" s="54" t="inlineStr">
        <is>
          <t>US DC Cooling 4pc</t>
        </is>
      </c>
      <c r="B1158" s="54" t="inlineStr">
        <is>
          <t>US</t>
        </is>
      </c>
      <c r="C1158" s="54" t="inlineStr">
        <is>
          <t>B0C9LSY8S7</t>
        </is>
      </c>
      <c r="D1158" s="54" t="inlineStr">
        <is>
          <t>BM-KING-CGREY</t>
        </is>
      </c>
      <c r="E1158" s="54" t="inlineStr">
        <is>
          <t>King</t>
        </is>
      </c>
      <c r="F1158" s="54" t="inlineStr">
        <is>
          <t>Cool Grey-01</t>
        </is>
      </c>
      <c r="G1158" s="55" t="n">
        <v>14</v>
      </c>
      <c r="H1158" s="167" t="n">
        <v>559.3</v>
      </c>
      <c r="I1158" s="167" t="n">
        <v>0</v>
      </c>
      <c r="J1158" s="168">
        <f>IF(AND(N(G1158)&gt;0,N(H1158)+N(I1158)&gt;0),(H1158+I1158)*U1158/G1158,"")</f>
        <v/>
      </c>
      <c r="K1158" s="167" t="n"/>
      <c r="L1158" s="167" t="n"/>
      <c r="M1158" s="54" t="inlineStr">
        <is>
          <t>Not in a deal</t>
        </is>
      </c>
      <c r="N1158" s="168">
        <f>IF(OR(J1158="",L1158=""),"",L1158-J1158)</f>
        <v/>
      </c>
      <c r="O1158" s="169">
        <f>IF(OR(J1158="",L1158=""),"",L1158/J1158-1)</f>
        <v/>
      </c>
      <c r="P1158" s="169">
        <f>IF(OR(J1158="",K1158=""),"",K1158/J1158-1)</f>
        <v/>
      </c>
      <c r="Q1158" s="54">
        <f>IF(AND(ISNUMBER(J1158),ISNUMBER(L1158)),1,0)</f>
        <v/>
      </c>
      <c r="R1158" s="69">
        <f>IF(Q1158=1,G1158*L1158,0)</f>
        <v/>
      </c>
      <c r="S1158" s="69">
        <f>IF(Q1158=1,(H1158+I1158)*U1158,0)</f>
        <v/>
      </c>
      <c r="T1158" s="59">
        <f>IF(Q1158=1,G1158,0)</f>
        <v/>
      </c>
      <c r="U1158" s="170" t="n">
        <v>1</v>
      </c>
    </row>
    <row r="1159">
      <c r="A1159" s="54" t="inlineStr">
        <is>
          <t>US DC Cooling 4pc</t>
        </is>
      </c>
      <c r="B1159" s="54" t="inlineStr">
        <is>
          <t>US</t>
        </is>
      </c>
      <c r="C1159" s="54" t="inlineStr">
        <is>
          <t>B0C9LQWY53</t>
        </is>
      </c>
      <c r="D1159" s="54" t="inlineStr">
        <is>
          <t>BM-FULL-GRAPHITE-GREY</t>
        </is>
      </c>
      <c r="E1159" s="54" t="inlineStr">
        <is>
          <t>Full</t>
        </is>
      </c>
      <c r="F1159" s="54" t="inlineStr">
        <is>
          <t>Graphite</t>
        </is>
      </c>
      <c r="G1159" s="55" t="n">
        <v>7</v>
      </c>
      <c r="H1159" s="167" t="n">
        <v>251.65</v>
      </c>
      <c r="I1159" s="167" t="n">
        <v>0</v>
      </c>
      <c r="J1159" s="168">
        <f>IF(AND(N(G1159)&gt;0,N(H1159)+N(I1159)&gt;0),(H1159+I1159)*U1159/G1159,"")</f>
        <v/>
      </c>
      <c r="K1159" s="167" t="n">
        <v>35.95</v>
      </c>
      <c r="L1159" s="167" t="n"/>
      <c r="M1159" s="54" t="inlineStr">
        <is>
          <t>Not in a deal</t>
        </is>
      </c>
      <c r="N1159" s="168">
        <f>IF(OR(J1159="",L1159=""),"",L1159-J1159)</f>
        <v/>
      </c>
      <c r="O1159" s="169">
        <f>IF(OR(J1159="",L1159=""),"",L1159/J1159-1)</f>
        <v/>
      </c>
      <c r="P1159" s="169">
        <f>IF(OR(J1159="",K1159=""),"",K1159/J1159-1)</f>
        <v/>
      </c>
      <c r="Q1159" s="54">
        <f>IF(AND(ISNUMBER(J1159),ISNUMBER(L1159)),1,0)</f>
        <v/>
      </c>
      <c r="R1159" s="69">
        <f>IF(Q1159=1,G1159*L1159,0)</f>
        <v/>
      </c>
      <c r="S1159" s="69">
        <f>IF(Q1159=1,(H1159+I1159)*U1159,0)</f>
        <v/>
      </c>
      <c r="T1159" s="59">
        <f>IF(Q1159=1,G1159,0)</f>
        <v/>
      </c>
      <c r="U1159" s="170" t="n">
        <v>1</v>
      </c>
    </row>
    <row r="1160">
      <c r="A1160" s="54" t="inlineStr">
        <is>
          <t>US DC Cooling 4pc</t>
        </is>
      </c>
      <c r="B1160" s="54" t="inlineStr">
        <is>
          <t>US</t>
        </is>
      </c>
      <c r="C1160" s="54" t="inlineStr">
        <is>
          <t>B0C9LXFDJT</t>
        </is>
      </c>
      <c r="D1160" s="54" t="inlineStr">
        <is>
          <t>BM-KING-CREAM</t>
        </is>
      </c>
      <c r="E1160" s="54" t="inlineStr">
        <is>
          <t>King</t>
        </is>
      </c>
      <c r="F1160" s="54" t="inlineStr">
        <is>
          <t>Cream</t>
        </is>
      </c>
      <c r="G1160" s="55" t="n">
        <v>6</v>
      </c>
      <c r="H1160" s="167" t="n">
        <v>239.7</v>
      </c>
      <c r="I1160" s="167" t="n">
        <v>0</v>
      </c>
      <c r="J1160" s="168">
        <f>IF(AND(N(G1160)&gt;0,N(H1160)+N(I1160)&gt;0),(H1160+I1160)*U1160/G1160,"")</f>
        <v/>
      </c>
      <c r="K1160" s="167" t="n"/>
      <c r="L1160" s="167" t="n"/>
      <c r="M1160" s="54" t="inlineStr">
        <is>
          <t>Not in a deal</t>
        </is>
      </c>
      <c r="N1160" s="168">
        <f>IF(OR(J1160="",L1160=""),"",L1160-J1160)</f>
        <v/>
      </c>
      <c r="O1160" s="169">
        <f>IF(OR(J1160="",L1160=""),"",L1160/J1160-1)</f>
        <v/>
      </c>
      <c r="P1160" s="169">
        <f>IF(OR(J1160="",K1160=""),"",K1160/J1160-1)</f>
        <v/>
      </c>
      <c r="Q1160" s="54">
        <f>IF(AND(ISNUMBER(J1160),ISNUMBER(L1160)),1,0)</f>
        <v/>
      </c>
      <c r="R1160" s="69">
        <f>IF(Q1160=1,G1160*L1160,0)</f>
        <v/>
      </c>
      <c r="S1160" s="69">
        <f>IF(Q1160=1,(H1160+I1160)*U1160,0)</f>
        <v/>
      </c>
      <c r="T1160" s="59">
        <f>IF(Q1160=1,G1160,0)</f>
        <v/>
      </c>
      <c r="U1160" s="170" t="n">
        <v>1</v>
      </c>
    </row>
    <row r="1161">
      <c r="A1161" s="54" t="inlineStr">
        <is>
          <t>US DC Cooling 4pc</t>
        </is>
      </c>
      <c r="B1161" s="54" t="inlineStr">
        <is>
          <t>US</t>
        </is>
      </c>
      <c r="C1161" s="54" t="inlineStr">
        <is>
          <t>B0C9LS8Z18</t>
        </is>
      </c>
      <c r="D1161" s="54" t="inlineStr">
        <is>
          <t>BM-KING-R-PURPLE</t>
        </is>
      </c>
      <c r="E1161" s="54" t="inlineStr">
        <is>
          <t>King</t>
        </is>
      </c>
      <c r="F1161" s="54" t="inlineStr">
        <is>
          <t>Regal Purple</t>
        </is>
      </c>
      <c r="G1161" s="55" t="n">
        <v>6</v>
      </c>
      <c r="H1161" s="167" t="n">
        <v>239.7</v>
      </c>
      <c r="I1161" s="167" t="n">
        <v>0</v>
      </c>
      <c r="J1161" s="168">
        <f>IF(AND(N(G1161)&gt;0,N(H1161)+N(I1161)&gt;0),(H1161+I1161)*U1161/G1161,"")</f>
        <v/>
      </c>
      <c r="K1161" s="167" t="n">
        <v>37.95</v>
      </c>
      <c r="L1161" s="167" t="n"/>
      <c r="M1161" s="54" t="inlineStr">
        <is>
          <t>Not in a deal</t>
        </is>
      </c>
      <c r="N1161" s="168">
        <f>IF(OR(J1161="",L1161=""),"",L1161-J1161)</f>
        <v/>
      </c>
      <c r="O1161" s="169">
        <f>IF(OR(J1161="",L1161=""),"",L1161/J1161-1)</f>
        <v/>
      </c>
      <c r="P1161" s="169">
        <f>IF(OR(J1161="",K1161=""),"",K1161/J1161-1)</f>
        <v/>
      </c>
      <c r="Q1161" s="54">
        <f>IF(AND(ISNUMBER(J1161),ISNUMBER(L1161)),1,0)</f>
        <v/>
      </c>
      <c r="R1161" s="69">
        <f>IF(Q1161=1,G1161*L1161,0)</f>
        <v/>
      </c>
      <c r="S1161" s="69">
        <f>IF(Q1161=1,(H1161+I1161)*U1161,0)</f>
        <v/>
      </c>
      <c r="T1161" s="59">
        <f>IF(Q1161=1,G1161,0)</f>
        <v/>
      </c>
      <c r="U1161" s="170" t="n">
        <v>1</v>
      </c>
    </row>
    <row r="1162">
      <c r="A1162" s="54" t="inlineStr">
        <is>
          <t>US DC Cooling 4pc</t>
        </is>
      </c>
      <c r="B1162" s="54" t="inlineStr">
        <is>
          <t>US</t>
        </is>
      </c>
      <c r="C1162" s="54" t="inlineStr">
        <is>
          <t>B0C9LV5QYP</t>
        </is>
      </c>
      <c r="D1162" s="54" t="inlineStr">
        <is>
          <t>BM-FULL-R-PURPLE</t>
        </is>
      </c>
      <c r="E1162" s="54" t="inlineStr">
        <is>
          <t>Full</t>
        </is>
      </c>
      <c r="F1162" s="54" t="inlineStr">
        <is>
          <t>Regal Purple</t>
        </is>
      </c>
      <c r="G1162" s="55" t="n">
        <v>4</v>
      </c>
      <c r="H1162" s="167" t="n">
        <v>143.8</v>
      </c>
      <c r="I1162" s="167" t="n">
        <v>0</v>
      </c>
      <c r="J1162" s="168">
        <f>IF(AND(N(G1162)&gt;0,N(H1162)+N(I1162)&gt;0),(H1162+I1162)*U1162/G1162,"")</f>
        <v/>
      </c>
      <c r="K1162" s="167" t="n"/>
      <c r="L1162" s="167" t="n"/>
      <c r="M1162" s="54" t="inlineStr">
        <is>
          <t>Not in a deal</t>
        </is>
      </c>
      <c r="N1162" s="168">
        <f>IF(OR(J1162="",L1162=""),"",L1162-J1162)</f>
        <v/>
      </c>
      <c r="O1162" s="169">
        <f>IF(OR(J1162="",L1162=""),"",L1162/J1162-1)</f>
        <v/>
      </c>
      <c r="P1162" s="169">
        <f>IF(OR(J1162="",K1162=""),"",K1162/J1162-1)</f>
        <v/>
      </c>
      <c r="Q1162" s="54">
        <f>IF(AND(ISNUMBER(J1162),ISNUMBER(L1162)),1,0)</f>
        <v/>
      </c>
      <c r="R1162" s="69">
        <f>IF(Q1162=1,G1162*L1162,0)</f>
        <v/>
      </c>
      <c r="S1162" s="69">
        <f>IF(Q1162=1,(H1162+I1162)*U1162,0)</f>
        <v/>
      </c>
      <c r="T1162" s="59">
        <f>IF(Q1162=1,G1162,0)</f>
        <v/>
      </c>
      <c r="U1162" s="170" t="n">
        <v>1</v>
      </c>
    </row>
    <row r="1163">
      <c r="A1163" s="54" t="inlineStr">
        <is>
          <t>US DC Cooling 4pc</t>
        </is>
      </c>
      <c r="B1163" s="54" t="inlineStr">
        <is>
          <t>US</t>
        </is>
      </c>
      <c r="C1163" s="54" t="inlineStr">
        <is>
          <t>B0CWJ6KZ15</t>
        </is>
      </c>
      <c r="D1163" s="54" t="inlineStr">
        <is>
          <t>BM-TWIN-PINK</t>
        </is>
      </c>
      <c r="E1163" s="54" t="inlineStr">
        <is>
          <t>Twin</t>
        </is>
      </c>
      <c r="F1163" s="54" t="inlineStr">
        <is>
          <t>Light Pink</t>
        </is>
      </c>
      <c r="G1163" s="55" t="n">
        <v>4</v>
      </c>
      <c r="H1163" s="167" t="n">
        <v>135.8</v>
      </c>
      <c r="I1163" s="167" t="n">
        <v>0</v>
      </c>
      <c r="J1163" s="168">
        <f>IF(AND(N(G1163)&gt;0,N(H1163)+N(I1163)&gt;0),(H1163+I1163)*U1163/G1163,"")</f>
        <v/>
      </c>
      <c r="K1163" s="167" t="n"/>
      <c r="L1163" s="167" t="n"/>
      <c r="M1163" s="54" t="inlineStr">
        <is>
          <t>Not in a deal</t>
        </is>
      </c>
      <c r="N1163" s="168">
        <f>IF(OR(J1163="",L1163=""),"",L1163-J1163)</f>
        <v/>
      </c>
      <c r="O1163" s="169">
        <f>IF(OR(J1163="",L1163=""),"",L1163/J1163-1)</f>
        <v/>
      </c>
      <c r="P1163" s="169">
        <f>IF(OR(J1163="",K1163=""),"",K1163/J1163-1)</f>
        <v/>
      </c>
      <c r="Q1163" s="54">
        <f>IF(AND(ISNUMBER(J1163),ISNUMBER(L1163)),1,0)</f>
        <v/>
      </c>
      <c r="R1163" s="69">
        <f>IF(Q1163=1,G1163*L1163,0)</f>
        <v/>
      </c>
      <c r="S1163" s="69">
        <f>IF(Q1163=1,(H1163+I1163)*U1163,0)</f>
        <v/>
      </c>
      <c r="T1163" s="59">
        <f>IF(Q1163=1,G1163,0)</f>
        <v/>
      </c>
      <c r="U1163" s="170" t="n">
        <v>1</v>
      </c>
    </row>
    <row r="1164">
      <c r="A1164" s="54" t="inlineStr">
        <is>
          <t>US DC Cooling 4pc</t>
        </is>
      </c>
      <c r="B1164" s="54" t="inlineStr">
        <is>
          <t>US</t>
        </is>
      </c>
      <c r="C1164" s="54" t="inlineStr">
        <is>
          <t>B0C9LTZ8BC</t>
        </is>
      </c>
      <c r="D1164" s="54" t="inlineStr">
        <is>
          <t>BM-TWIN-MIDNIGHT-BLACK</t>
        </is>
      </c>
      <c r="E1164" s="54" t="inlineStr">
        <is>
          <t>Twin</t>
        </is>
      </c>
      <c r="F1164" s="54" t="inlineStr">
        <is>
          <t>Midnight Black</t>
        </is>
      </c>
      <c r="G1164" s="55" t="n">
        <v>4</v>
      </c>
      <c r="H1164" s="167" t="n">
        <v>135.8</v>
      </c>
      <c r="I1164" s="167" t="n">
        <v>0</v>
      </c>
      <c r="J1164" s="168">
        <f>IF(AND(N(G1164)&gt;0,N(H1164)+N(I1164)&gt;0),(H1164+I1164)*U1164/G1164,"")</f>
        <v/>
      </c>
      <c r="K1164" s="167" t="n">
        <v>33.95</v>
      </c>
      <c r="L1164" s="167" t="n"/>
      <c r="M1164" s="54" t="inlineStr">
        <is>
          <t>Not in a deal</t>
        </is>
      </c>
      <c r="N1164" s="168">
        <f>IF(OR(J1164="",L1164=""),"",L1164-J1164)</f>
        <v/>
      </c>
      <c r="O1164" s="169">
        <f>IF(OR(J1164="",L1164=""),"",L1164/J1164-1)</f>
        <v/>
      </c>
      <c r="P1164" s="169">
        <f>IF(OR(J1164="",K1164=""),"",K1164/J1164-1)</f>
        <v/>
      </c>
      <c r="Q1164" s="54">
        <f>IF(AND(ISNUMBER(J1164),ISNUMBER(L1164)),1,0)</f>
        <v/>
      </c>
      <c r="R1164" s="69">
        <f>IF(Q1164=1,G1164*L1164,0)</f>
        <v/>
      </c>
      <c r="S1164" s="69">
        <f>IF(Q1164=1,(H1164+I1164)*U1164,0)</f>
        <v/>
      </c>
      <c r="T1164" s="59">
        <f>IF(Q1164=1,G1164,0)</f>
        <v/>
      </c>
      <c r="U1164" s="170" t="n">
        <v>1</v>
      </c>
    </row>
    <row r="1165">
      <c r="A1165" s="54" t="inlineStr">
        <is>
          <t>US DC Cooling 4pc</t>
        </is>
      </c>
      <c r="B1165" s="54" t="inlineStr">
        <is>
          <t>US</t>
        </is>
      </c>
      <c r="C1165" s="54" t="inlineStr">
        <is>
          <t>B0C9LXDSJ1</t>
        </is>
      </c>
      <c r="D1165" s="54" t="inlineStr">
        <is>
          <t>BM-CALKING-CGREY</t>
        </is>
      </c>
      <c r="E1165" s="54" t="inlineStr">
        <is>
          <t>California King</t>
        </is>
      </c>
      <c r="F1165" s="54" t="inlineStr">
        <is>
          <t>Cool Grey</t>
        </is>
      </c>
      <c r="G1165" s="55" t="n">
        <v>3</v>
      </c>
      <c r="H1165" s="167" t="n">
        <v>119.85</v>
      </c>
      <c r="I1165" s="167" t="n">
        <v>0</v>
      </c>
      <c r="J1165" s="168">
        <f>IF(AND(N(G1165)&gt;0,N(H1165)+N(I1165)&gt;0),(H1165+I1165)*U1165/G1165,"")</f>
        <v/>
      </c>
      <c r="K1165" s="167" t="n">
        <v>39.95</v>
      </c>
      <c r="L1165" s="167" t="n"/>
      <c r="M1165" s="54" t="inlineStr">
        <is>
          <t>Not in a deal</t>
        </is>
      </c>
      <c r="N1165" s="168">
        <f>IF(OR(J1165="",L1165=""),"",L1165-J1165)</f>
        <v/>
      </c>
      <c r="O1165" s="169">
        <f>IF(OR(J1165="",L1165=""),"",L1165/J1165-1)</f>
        <v/>
      </c>
      <c r="P1165" s="169">
        <f>IF(OR(J1165="",K1165=""),"",K1165/J1165-1)</f>
        <v/>
      </c>
      <c r="Q1165" s="54">
        <f>IF(AND(ISNUMBER(J1165),ISNUMBER(L1165)),1,0)</f>
        <v/>
      </c>
      <c r="R1165" s="69">
        <f>IF(Q1165=1,G1165*L1165,0)</f>
        <v/>
      </c>
      <c r="S1165" s="69">
        <f>IF(Q1165=1,(H1165+I1165)*U1165,0)</f>
        <v/>
      </c>
      <c r="T1165" s="59">
        <f>IF(Q1165=1,G1165,0)</f>
        <v/>
      </c>
      <c r="U1165" s="170" t="n">
        <v>1</v>
      </c>
    </row>
    <row r="1166">
      <c r="A1166" s="54" t="inlineStr">
        <is>
          <t>US DC Cooling 4pc</t>
        </is>
      </c>
      <c r="B1166" s="54" t="inlineStr">
        <is>
          <t>US</t>
        </is>
      </c>
      <c r="C1166" s="54" t="inlineStr">
        <is>
          <t>B0C9LR2MK4</t>
        </is>
      </c>
      <c r="D1166" s="54" t="inlineStr">
        <is>
          <t>BM-CALKING-NAVY-BLUE</t>
        </is>
      </c>
      <c r="E1166" s="54" t="inlineStr">
        <is>
          <t>California King</t>
        </is>
      </c>
      <c r="F1166" s="54" t="inlineStr">
        <is>
          <t>Navy Blue</t>
        </is>
      </c>
      <c r="G1166" s="55" t="n">
        <v>3</v>
      </c>
      <c r="H1166" s="167" t="n">
        <v>119.85</v>
      </c>
      <c r="I1166" s="167" t="n">
        <v>0</v>
      </c>
      <c r="J1166" s="168">
        <f>IF(AND(N(G1166)&gt;0,N(H1166)+N(I1166)&gt;0),(H1166+I1166)*U1166/G1166,"")</f>
        <v/>
      </c>
      <c r="K1166" s="167" t="n">
        <v>39.95</v>
      </c>
      <c r="L1166" s="167" t="n"/>
      <c r="M1166" s="54" t="inlineStr">
        <is>
          <t>Not in a deal</t>
        </is>
      </c>
      <c r="N1166" s="168">
        <f>IF(OR(J1166="",L1166=""),"",L1166-J1166)</f>
        <v/>
      </c>
      <c r="O1166" s="169">
        <f>IF(OR(J1166="",L1166=""),"",L1166/J1166-1)</f>
        <v/>
      </c>
      <c r="P1166" s="169">
        <f>IF(OR(J1166="",K1166=""),"",K1166/J1166-1)</f>
        <v/>
      </c>
      <c r="Q1166" s="54">
        <f>IF(AND(ISNUMBER(J1166),ISNUMBER(L1166)),1,0)</f>
        <v/>
      </c>
      <c r="R1166" s="69">
        <f>IF(Q1166=1,G1166*L1166,0)</f>
        <v/>
      </c>
      <c r="S1166" s="69">
        <f>IF(Q1166=1,(H1166+I1166)*U1166,0)</f>
        <v/>
      </c>
      <c r="T1166" s="59">
        <f>IF(Q1166=1,G1166,0)</f>
        <v/>
      </c>
      <c r="U1166" s="170" t="n">
        <v>1</v>
      </c>
    </row>
    <row r="1167">
      <c r="A1167" s="54" t="inlineStr">
        <is>
          <t>US DC Cooling 4pc</t>
        </is>
      </c>
      <c r="B1167" s="54" t="inlineStr">
        <is>
          <t>US</t>
        </is>
      </c>
      <c r="C1167" s="54" t="inlineStr">
        <is>
          <t>B0C9LTMN8M</t>
        </is>
      </c>
      <c r="D1167" s="54" t="inlineStr">
        <is>
          <t>BM-QUEEN-CGREY</t>
        </is>
      </c>
      <c r="E1167" s="54" t="inlineStr">
        <is>
          <t>Queen</t>
        </is>
      </c>
      <c r="F1167" s="54" t="inlineStr">
        <is>
          <t>Cool Grey</t>
        </is>
      </c>
      <c r="G1167" s="55" t="n">
        <v>3</v>
      </c>
      <c r="H1167" s="167" t="n">
        <v>113.85</v>
      </c>
      <c r="I1167" s="167" t="n">
        <v>0</v>
      </c>
      <c r="J1167" s="168">
        <f>IF(AND(N(G1167)&gt;0,N(H1167)+N(I1167)&gt;0),(H1167+I1167)*U1167/G1167,"")</f>
        <v/>
      </c>
      <c r="K1167" s="167" t="n">
        <v>37.95</v>
      </c>
      <c r="L1167" s="167" t="n"/>
      <c r="M1167" s="54" t="inlineStr">
        <is>
          <t>Not in a deal</t>
        </is>
      </c>
      <c r="N1167" s="168">
        <f>IF(OR(J1167="",L1167=""),"",L1167-J1167)</f>
        <v/>
      </c>
      <c r="O1167" s="169">
        <f>IF(OR(J1167="",L1167=""),"",L1167/J1167-1)</f>
        <v/>
      </c>
      <c r="P1167" s="169">
        <f>IF(OR(J1167="",K1167=""),"",K1167/J1167-1)</f>
        <v/>
      </c>
      <c r="Q1167" s="54">
        <f>IF(AND(ISNUMBER(J1167),ISNUMBER(L1167)),1,0)</f>
        <v/>
      </c>
      <c r="R1167" s="69">
        <f>IF(Q1167=1,G1167*L1167,0)</f>
        <v/>
      </c>
      <c r="S1167" s="69">
        <f>IF(Q1167=1,(H1167+I1167)*U1167,0)</f>
        <v/>
      </c>
      <c r="T1167" s="59">
        <f>IF(Q1167=1,G1167,0)</f>
        <v/>
      </c>
      <c r="U1167" s="170" t="n">
        <v>1</v>
      </c>
    </row>
    <row r="1168">
      <c r="A1168" s="54" t="inlineStr">
        <is>
          <t>US DC Cooling 4pc</t>
        </is>
      </c>
      <c r="B1168" s="54" t="inlineStr">
        <is>
          <t>US</t>
        </is>
      </c>
      <c r="C1168" s="54" t="inlineStr">
        <is>
          <t>B0CWJ188W3</t>
        </is>
      </c>
      <c r="D1168" s="54" t="inlineStr">
        <is>
          <t>BM-QUEEN-LIGHT-GREY</t>
        </is>
      </c>
      <c r="E1168" s="54" t="inlineStr">
        <is>
          <t>Queen</t>
        </is>
      </c>
      <c r="F1168" s="54" t="inlineStr">
        <is>
          <t>Light Grey</t>
        </is>
      </c>
      <c r="G1168" s="55" t="n">
        <v>3</v>
      </c>
      <c r="H1168" s="167" t="n">
        <v>123.85</v>
      </c>
      <c r="I1168" s="167" t="n">
        <v>0</v>
      </c>
      <c r="J1168" s="168">
        <f>IF(AND(N(G1168)&gt;0,N(H1168)+N(I1168)&gt;0),(H1168+I1168)*U1168/G1168,"")</f>
        <v/>
      </c>
      <c r="K1168" s="167" t="n">
        <v>37.95</v>
      </c>
      <c r="L1168" s="167" t="n"/>
      <c r="M1168" s="54" t="inlineStr">
        <is>
          <t>Not in a deal</t>
        </is>
      </c>
      <c r="N1168" s="168">
        <f>IF(OR(J1168="",L1168=""),"",L1168-J1168)</f>
        <v/>
      </c>
      <c r="O1168" s="169">
        <f>IF(OR(J1168="",L1168=""),"",L1168/J1168-1)</f>
        <v/>
      </c>
      <c r="P1168" s="169">
        <f>IF(OR(J1168="",K1168=""),"",K1168/J1168-1)</f>
        <v/>
      </c>
      <c r="Q1168" s="54">
        <f>IF(AND(ISNUMBER(J1168),ISNUMBER(L1168)),1,0)</f>
        <v/>
      </c>
      <c r="R1168" s="69">
        <f>IF(Q1168=1,G1168*L1168,0)</f>
        <v/>
      </c>
      <c r="S1168" s="69">
        <f>IF(Q1168=1,(H1168+I1168)*U1168,0)</f>
        <v/>
      </c>
      <c r="T1168" s="59">
        <f>IF(Q1168=1,G1168,0)</f>
        <v/>
      </c>
      <c r="U1168" s="170" t="n">
        <v>1</v>
      </c>
    </row>
    <row r="1169">
      <c r="A1169" s="54" t="inlineStr">
        <is>
          <t>US DC Cooling 4pc</t>
        </is>
      </c>
      <c r="B1169" s="54" t="inlineStr">
        <is>
          <t>US</t>
        </is>
      </c>
      <c r="C1169" s="54" t="inlineStr">
        <is>
          <t>B0C9LNSCWB</t>
        </is>
      </c>
      <c r="D1169" s="54" t="inlineStr">
        <is>
          <t>BM-CALKING-4PCS-GRAPHITE-GREY</t>
        </is>
      </c>
      <c r="E1169" s="54" t="inlineStr">
        <is>
          <t>Cal King</t>
        </is>
      </c>
      <c r="F1169" s="54" t="inlineStr">
        <is>
          <t>Graphite</t>
        </is>
      </c>
      <c r="G1169" s="55" t="n">
        <v>2</v>
      </c>
      <c r="H1169" s="167" t="n">
        <v>79.90000000000001</v>
      </c>
      <c r="I1169" s="167" t="n">
        <v>0</v>
      </c>
      <c r="J1169" s="168">
        <f>IF(AND(N(G1169)&gt;0,N(H1169)+N(I1169)&gt;0),(H1169+I1169)*U1169/G1169,"")</f>
        <v/>
      </c>
      <c r="K1169" s="167" t="n">
        <v>39.95</v>
      </c>
      <c r="L1169" s="167" t="n"/>
      <c r="M1169" s="54" t="inlineStr">
        <is>
          <t>Not in a deal</t>
        </is>
      </c>
      <c r="N1169" s="168">
        <f>IF(OR(J1169="",L1169=""),"",L1169-J1169)</f>
        <v/>
      </c>
      <c r="O1169" s="169">
        <f>IF(OR(J1169="",L1169=""),"",L1169/J1169-1)</f>
        <v/>
      </c>
      <c r="P1169" s="169">
        <f>IF(OR(J1169="",K1169=""),"",K1169/J1169-1)</f>
        <v/>
      </c>
      <c r="Q1169" s="54">
        <f>IF(AND(ISNUMBER(J1169),ISNUMBER(L1169)),1,0)</f>
        <v/>
      </c>
      <c r="R1169" s="69">
        <f>IF(Q1169=1,G1169*L1169,0)</f>
        <v/>
      </c>
      <c r="S1169" s="69">
        <f>IF(Q1169=1,(H1169+I1169)*U1169,0)</f>
        <v/>
      </c>
      <c r="T1169" s="59">
        <f>IF(Q1169=1,G1169,0)</f>
        <v/>
      </c>
      <c r="U1169" s="170" t="n">
        <v>1</v>
      </c>
    </row>
    <row r="1170">
      <c r="A1170" s="54" t="inlineStr">
        <is>
          <t>US DC Cooling 4pc</t>
        </is>
      </c>
      <c r="B1170" s="54" t="inlineStr">
        <is>
          <t>US</t>
        </is>
      </c>
      <c r="C1170" s="54" t="inlineStr">
        <is>
          <t>B0C9LNSCWB</t>
        </is>
      </c>
      <c r="D1170" s="54" t="inlineStr">
        <is>
          <t>BM-CALKING-GRAPHITE-GREY</t>
        </is>
      </c>
      <c r="E1170" s="54" t="inlineStr">
        <is>
          <t>California King</t>
        </is>
      </c>
      <c r="F1170" s="54" t="inlineStr">
        <is>
          <t>Graphite</t>
        </is>
      </c>
      <c r="G1170" s="55" t="n">
        <v>2</v>
      </c>
      <c r="H1170" s="167" t="n">
        <v>79.90000000000001</v>
      </c>
      <c r="I1170" s="167" t="n">
        <v>0</v>
      </c>
      <c r="J1170" s="168">
        <f>IF(AND(N(G1170)&gt;0,N(H1170)+N(I1170)&gt;0),(H1170+I1170)*U1170/G1170,"")</f>
        <v/>
      </c>
      <c r="K1170" s="167" t="n">
        <v>39.95</v>
      </c>
      <c r="L1170" s="167" t="n"/>
      <c r="M1170" s="54" t="inlineStr">
        <is>
          <t>Not in a deal</t>
        </is>
      </c>
      <c r="N1170" s="168">
        <f>IF(OR(J1170="",L1170=""),"",L1170-J1170)</f>
        <v/>
      </c>
      <c r="O1170" s="169">
        <f>IF(OR(J1170="",L1170=""),"",L1170/J1170-1)</f>
        <v/>
      </c>
      <c r="P1170" s="169">
        <f>IF(OR(J1170="",K1170=""),"",K1170/J1170-1)</f>
        <v/>
      </c>
      <c r="Q1170" s="54">
        <f>IF(AND(ISNUMBER(J1170),ISNUMBER(L1170)),1,0)</f>
        <v/>
      </c>
      <c r="R1170" s="69">
        <f>IF(Q1170=1,G1170*L1170,0)</f>
        <v/>
      </c>
      <c r="S1170" s="69">
        <f>IF(Q1170=1,(H1170+I1170)*U1170,0)</f>
        <v/>
      </c>
      <c r="T1170" s="59">
        <f>IF(Q1170=1,G1170,0)</f>
        <v/>
      </c>
      <c r="U1170" s="170" t="n">
        <v>1</v>
      </c>
    </row>
    <row r="1171">
      <c r="A1171" s="54" t="inlineStr">
        <is>
          <t>US DC Cooling 4pc</t>
        </is>
      </c>
      <c r="B1171" s="54" t="inlineStr">
        <is>
          <t>US</t>
        </is>
      </c>
      <c r="C1171" s="54" t="inlineStr">
        <is>
          <t>B0C9LS4KC5</t>
        </is>
      </c>
      <c r="D1171" s="54" t="inlineStr">
        <is>
          <t>BM-QUEEN-WHITE</t>
        </is>
      </c>
      <c r="E1171" s="54" t="inlineStr">
        <is>
          <t>Queen</t>
        </is>
      </c>
      <c r="F1171" s="54" t="inlineStr">
        <is>
          <t>White</t>
        </is>
      </c>
      <c r="G1171" s="55" t="n">
        <v>2</v>
      </c>
      <c r="H1171" s="167" t="n">
        <v>75.90000000000001</v>
      </c>
      <c r="I1171" s="167" t="n">
        <v>0</v>
      </c>
      <c r="J1171" s="168">
        <f>IF(AND(N(G1171)&gt;0,N(H1171)+N(I1171)&gt;0),(H1171+I1171)*U1171/G1171,"")</f>
        <v/>
      </c>
      <c r="K1171" s="167" t="n"/>
      <c r="L1171" s="167" t="n"/>
      <c r="M1171" s="54" t="inlineStr">
        <is>
          <t>Not in a deal</t>
        </is>
      </c>
      <c r="N1171" s="168">
        <f>IF(OR(J1171="",L1171=""),"",L1171-J1171)</f>
        <v/>
      </c>
      <c r="O1171" s="169">
        <f>IF(OR(J1171="",L1171=""),"",L1171/J1171-1)</f>
        <v/>
      </c>
      <c r="P1171" s="169">
        <f>IF(OR(J1171="",K1171=""),"",K1171/J1171-1)</f>
        <v/>
      </c>
      <c r="Q1171" s="54">
        <f>IF(AND(ISNUMBER(J1171),ISNUMBER(L1171)),1,0)</f>
        <v/>
      </c>
      <c r="R1171" s="69">
        <f>IF(Q1171=1,G1171*L1171,0)</f>
        <v/>
      </c>
      <c r="S1171" s="69">
        <f>IF(Q1171=1,(H1171+I1171)*U1171,0)</f>
        <v/>
      </c>
      <c r="T1171" s="59">
        <f>IF(Q1171=1,G1171,0)</f>
        <v/>
      </c>
      <c r="U1171" s="170" t="n">
        <v>1</v>
      </c>
    </row>
    <row r="1172">
      <c r="A1172" s="54" t="inlineStr">
        <is>
          <t>US DC Cooling 4pc</t>
        </is>
      </c>
      <c r="B1172" s="54" t="inlineStr">
        <is>
          <t>US</t>
        </is>
      </c>
      <c r="C1172" s="54" t="inlineStr">
        <is>
          <t>B0C9LVLJ6S</t>
        </is>
      </c>
      <c r="D1172" s="54" t="inlineStr">
        <is>
          <t>BM-TWIN-NAVY-BLUE</t>
        </is>
      </c>
      <c r="E1172" s="54" t="inlineStr">
        <is>
          <t>Twin</t>
        </is>
      </c>
      <c r="F1172" s="54" t="inlineStr">
        <is>
          <t>Navy Blue</t>
        </is>
      </c>
      <c r="G1172" s="55" t="n">
        <v>2</v>
      </c>
      <c r="H1172" s="167" t="n">
        <v>67.90000000000001</v>
      </c>
      <c r="I1172" s="167" t="n">
        <v>0</v>
      </c>
      <c r="J1172" s="168">
        <f>IF(AND(N(G1172)&gt;0,N(H1172)+N(I1172)&gt;0),(H1172+I1172)*U1172/G1172,"")</f>
        <v/>
      </c>
      <c r="K1172" s="167" t="n">
        <v>33.95</v>
      </c>
      <c r="L1172" s="167" t="n"/>
      <c r="M1172" s="54" t="inlineStr">
        <is>
          <t>Not in a deal</t>
        </is>
      </c>
      <c r="N1172" s="168">
        <f>IF(OR(J1172="",L1172=""),"",L1172-J1172)</f>
        <v/>
      </c>
      <c r="O1172" s="169">
        <f>IF(OR(J1172="",L1172=""),"",L1172/J1172-1)</f>
        <v/>
      </c>
      <c r="P1172" s="169">
        <f>IF(OR(J1172="",K1172=""),"",K1172/J1172-1)</f>
        <v/>
      </c>
      <c r="Q1172" s="54">
        <f>IF(AND(ISNUMBER(J1172),ISNUMBER(L1172)),1,0)</f>
        <v/>
      </c>
      <c r="R1172" s="69">
        <f>IF(Q1172=1,G1172*L1172,0)</f>
        <v/>
      </c>
      <c r="S1172" s="69">
        <f>IF(Q1172=1,(H1172+I1172)*U1172,0)</f>
        <v/>
      </c>
      <c r="T1172" s="59">
        <f>IF(Q1172=1,G1172,0)</f>
        <v/>
      </c>
      <c r="U1172" s="170" t="n">
        <v>1</v>
      </c>
    </row>
    <row r="1173">
      <c r="A1173" s="54" t="inlineStr">
        <is>
          <t>US DC Cooling 4pc</t>
        </is>
      </c>
      <c r="B1173" s="54" t="inlineStr">
        <is>
          <t>US</t>
        </is>
      </c>
      <c r="C1173" s="54" t="inlineStr">
        <is>
          <t>B0C9LR45L9</t>
        </is>
      </c>
      <c r="D1173" s="54" t="inlineStr">
        <is>
          <t>BM-FULL-CREAM</t>
        </is>
      </c>
      <c r="E1173" s="54" t="inlineStr">
        <is>
          <t>Full</t>
        </is>
      </c>
      <c r="F1173" s="54" t="inlineStr">
        <is>
          <t>Cream</t>
        </is>
      </c>
      <c r="G1173" s="55" t="n">
        <v>1</v>
      </c>
      <c r="H1173" s="167" t="n">
        <v>35.95</v>
      </c>
      <c r="I1173" s="167" t="n">
        <v>0</v>
      </c>
      <c r="J1173" s="168">
        <f>IF(AND(N(G1173)&gt;0,N(H1173)+N(I1173)&gt;0),(H1173+I1173)*U1173/G1173,"")</f>
        <v/>
      </c>
      <c r="K1173" s="167" t="n">
        <v>35.95</v>
      </c>
      <c r="L1173" s="167" t="n"/>
      <c r="M1173" s="54" t="inlineStr">
        <is>
          <t>Not in a deal</t>
        </is>
      </c>
      <c r="N1173" s="168">
        <f>IF(OR(J1173="",L1173=""),"",L1173-J1173)</f>
        <v/>
      </c>
      <c r="O1173" s="169">
        <f>IF(OR(J1173="",L1173=""),"",L1173/J1173-1)</f>
        <v/>
      </c>
      <c r="P1173" s="169">
        <f>IF(OR(J1173="",K1173=""),"",K1173/J1173-1)</f>
        <v/>
      </c>
      <c r="Q1173" s="54">
        <f>IF(AND(ISNUMBER(J1173),ISNUMBER(L1173)),1,0)</f>
        <v/>
      </c>
      <c r="R1173" s="69">
        <f>IF(Q1173=1,G1173*L1173,0)</f>
        <v/>
      </c>
      <c r="S1173" s="69">
        <f>IF(Q1173=1,(H1173+I1173)*U1173,0)</f>
        <v/>
      </c>
      <c r="T1173" s="59">
        <f>IF(Q1173=1,G1173,0)</f>
        <v/>
      </c>
      <c r="U1173" s="170" t="n">
        <v>1</v>
      </c>
    </row>
    <row r="1174">
      <c r="A1174" s="54" t="inlineStr">
        <is>
          <t>US DC Cooling 4pc</t>
        </is>
      </c>
      <c r="B1174" s="54" t="inlineStr">
        <is>
          <t>US</t>
        </is>
      </c>
      <c r="C1174" s="54" t="inlineStr">
        <is>
          <t>B0C9LSZTPN</t>
        </is>
      </c>
      <c r="D1174" s="54" t="inlineStr">
        <is>
          <t>BM-TWIN-CGREY</t>
        </is>
      </c>
      <c r="E1174" s="54" t="inlineStr">
        <is>
          <t>Twin</t>
        </is>
      </c>
      <c r="F1174" s="54" t="inlineStr">
        <is>
          <t>Cool Grey</t>
        </is>
      </c>
      <c r="G1174" s="55" t="n">
        <v>1</v>
      </c>
      <c r="H1174" s="167" t="n">
        <v>33.95</v>
      </c>
      <c r="I1174" s="167" t="n">
        <v>0</v>
      </c>
      <c r="J1174" s="168">
        <f>IF(AND(N(G1174)&gt;0,N(H1174)+N(I1174)&gt;0),(H1174+I1174)*U1174/G1174,"")</f>
        <v/>
      </c>
      <c r="K1174" s="167" t="n">
        <v>33.95</v>
      </c>
      <c r="L1174" s="167" t="n"/>
      <c r="M1174" s="54" t="inlineStr">
        <is>
          <t>Not in a deal</t>
        </is>
      </c>
      <c r="N1174" s="168">
        <f>IF(OR(J1174="",L1174=""),"",L1174-J1174)</f>
        <v/>
      </c>
      <c r="O1174" s="169">
        <f>IF(OR(J1174="",L1174=""),"",L1174/J1174-1)</f>
        <v/>
      </c>
      <c r="P1174" s="169">
        <f>IF(OR(J1174="",K1174=""),"",K1174/J1174-1)</f>
        <v/>
      </c>
      <c r="Q1174" s="54">
        <f>IF(AND(ISNUMBER(J1174),ISNUMBER(L1174)),1,0)</f>
        <v/>
      </c>
      <c r="R1174" s="69">
        <f>IF(Q1174=1,G1174*L1174,0)</f>
        <v/>
      </c>
      <c r="S1174" s="69">
        <f>IF(Q1174=1,(H1174+I1174)*U1174,0)</f>
        <v/>
      </c>
      <c r="T1174" s="59">
        <f>IF(Q1174=1,G1174,0)</f>
        <v/>
      </c>
      <c r="U1174" s="170" t="n">
        <v>1</v>
      </c>
    </row>
    <row r="1175">
      <c r="A1175" s="54" t="inlineStr">
        <is>
          <t>US DC Cooling 4pc</t>
        </is>
      </c>
      <c r="B1175" s="54" t="inlineStr">
        <is>
          <t>US</t>
        </is>
      </c>
      <c r="C1175" s="54" t="inlineStr">
        <is>
          <t>B0C9LS4RWT</t>
        </is>
      </c>
      <c r="D1175" s="54" t="inlineStr">
        <is>
          <t>BM-TWIN-R-PURPLE</t>
        </is>
      </c>
      <c r="E1175" s="54" t="inlineStr">
        <is>
          <t>Twin</t>
        </is>
      </c>
      <c r="F1175" s="54" t="inlineStr">
        <is>
          <t>Regal Purple</t>
        </is>
      </c>
      <c r="G1175" s="55" t="n">
        <v>1</v>
      </c>
      <c r="H1175" s="167" t="n">
        <v>33.95</v>
      </c>
      <c r="I1175" s="167" t="n">
        <v>0</v>
      </c>
      <c r="J1175" s="168">
        <f>IF(AND(N(G1175)&gt;0,N(H1175)+N(I1175)&gt;0),(H1175+I1175)*U1175/G1175,"")</f>
        <v/>
      </c>
      <c r="K1175" s="167" t="n">
        <v>33.95</v>
      </c>
      <c r="L1175" s="167" t="n"/>
      <c r="M1175" s="54" t="inlineStr">
        <is>
          <t>Not in a deal</t>
        </is>
      </c>
      <c r="N1175" s="168">
        <f>IF(OR(J1175="",L1175=""),"",L1175-J1175)</f>
        <v/>
      </c>
      <c r="O1175" s="169">
        <f>IF(OR(J1175="",L1175=""),"",L1175/J1175-1)</f>
        <v/>
      </c>
      <c r="P1175" s="169">
        <f>IF(OR(J1175="",K1175=""),"",K1175/J1175-1)</f>
        <v/>
      </c>
      <c r="Q1175" s="54">
        <f>IF(AND(ISNUMBER(J1175),ISNUMBER(L1175)),1,0)</f>
        <v/>
      </c>
      <c r="R1175" s="69">
        <f>IF(Q1175=1,G1175*L1175,0)</f>
        <v/>
      </c>
      <c r="S1175" s="69">
        <f>IF(Q1175=1,(H1175+I1175)*U1175,0)</f>
        <v/>
      </c>
      <c r="T1175" s="59">
        <f>IF(Q1175=1,G1175,0)</f>
        <v/>
      </c>
      <c r="U1175" s="170" t="n">
        <v>1</v>
      </c>
    </row>
    <row r="1176">
      <c r="A1176" s="54" t="inlineStr">
        <is>
          <t>US DC Cooling 4pc</t>
        </is>
      </c>
      <c r="B1176" s="54" t="inlineStr">
        <is>
          <t>US</t>
        </is>
      </c>
      <c r="C1176" s="54" t="inlineStr">
        <is>
          <t>B0CWJD4D6N</t>
        </is>
      </c>
      <c r="D1176" s="54" t="inlineStr">
        <is>
          <t>BM-TWIN-SAGE-GREEN</t>
        </is>
      </c>
      <c r="E1176" s="54" t="inlineStr">
        <is>
          <t>Twin</t>
        </is>
      </c>
      <c r="F1176" s="54" t="inlineStr">
        <is>
          <t>Sage Green</t>
        </is>
      </c>
      <c r="G1176" s="55" t="n">
        <v>1</v>
      </c>
      <c r="H1176" s="167" t="n">
        <v>33.95</v>
      </c>
      <c r="I1176" s="167" t="n">
        <v>0</v>
      </c>
      <c r="J1176" s="168">
        <f>IF(AND(N(G1176)&gt;0,N(H1176)+N(I1176)&gt;0),(H1176+I1176)*U1176/G1176,"")</f>
        <v/>
      </c>
      <c r="K1176" s="167" t="n"/>
      <c r="L1176" s="167" t="n"/>
      <c r="M1176" s="54" t="inlineStr">
        <is>
          <t>Not in a deal</t>
        </is>
      </c>
      <c r="N1176" s="168">
        <f>IF(OR(J1176="",L1176=""),"",L1176-J1176)</f>
        <v/>
      </c>
      <c r="O1176" s="169">
        <f>IF(OR(J1176="",L1176=""),"",L1176/J1176-1)</f>
        <v/>
      </c>
      <c r="P1176" s="169">
        <f>IF(OR(J1176="",K1176=""),"",K1176/J1176-1)</f>
        <v/>
      </c>
      <c r="Q1176" s="54">
        <f>IF(AND(ISNUMBER(J1176),ISNUMBER(L1176)),1,0)</f>
        <v/>
      </c>
      <c r="R1176" s="69">
        <f>IF(Q1176=1,G1176*L1176,0)</f>
        <v/>
      </c>
      <c r="S1176" s="69">
        <f>IF(Q1176=1,(H1176+I1176)*U1176,0)</f>
        <v/>
      </c>
      <c r="T1176" s="59">
        <f>IF(Q1176=1,G1176,0)</f>
        <v/>
      </c>
      <c r="U1176" s="170" t="n">
        <v>1</v>
      </c>
    </row>
    <row r="1177">
      <c r="A1177" s="54" t="inlineStr">
        <is>
          <t>US DC Cooling 4pc</t>
        </is>
      </c>
      <c r="B1177" s="54" t="inlineStr">
        <is>
          <t>US</t>
        </is>
      </c>
      <c r="C1177" s="54" t="inlineStr">
        <is>
          <t>B0C9LVNKHG</t>
        </is>
      </c>
      <c r="D1177" s="54" t="inlineStr">
        <is>
          <t>BM-TWIN-WHITE</t>
        </is>
      </c>
      <c r="E1177" s="54" t="inlineStr">
        <is>
          <t>Twin</t>
        </is>
      </c>
      <c r="F1177" s="54" t="inlineStr">
        <is>
          <t>White</t>
        </is>
      </c>
      <c r="G1177" s="55" t="n">
        <v>1</v>
      </c>
      <c r="H1177" s="167" t="n">
        <v>33.95</v>
      </c>
      <c r="I1177" s="167" t="n">
        <v>0</v>
      </c>
      <c r="J1177" s="168">
        <f>IF(AND(N(G1177)&gt;0,N(H1177)+N(I1177)&gt;0),(H1177+I1177)*U1177/G1177,"")</f>
        <v/>
      </c>
      <c r="K1177" s="167" t="n">
        <v>33.95</v>
      </c>
      <c r="L1177" s="167" t="n"/>
      <c r="M1177" s="54" t="inlineStr">
        <is>
          <t>Not in a deal</t>
        </is>
      </c>
      <c r="N1177" s="168">
        <f>IF(OR(J1177="",L1177=""),"",L1177-J1177)</f>
        <v/>
      </c>
      <c r="O1177" s="169">
        <f>IF(OR(J1177="",L1177=""),"",L1177/J1177-1)</f>
        <v/>
      </c>
      <c r="P1177" s="169">
        <f>IF(OR(J1177="",K1177=""),"",K1177/J1177-1)</f>
        <v/>
      </c>
      <c r="Q1177" s="54">
        <f>IF(AND(ISNUMBER(J1177),ISNUMBER(L1177)),1,0)</f>
        <v/>
      </c>
      <c r="R1177" s="69">
        <f>IF(Q1177=1,G1177*L1177,0)</f>
        <v/>
      </c>
      <c r="S1177" s="69">
        <f>IF(Q1177=1,(H1177+I1177)*U1177,0)</f>
        <v/>
      </c>
      <c r="T1177" s="59">
        <f>IF(Q1177=1,G1177,0)</f>
        <v/>
      </c>
      <c r="U1177" s="170" t="n">
        <v>1</v>
      </c>
    </row>
    <row r="1178">
      <c r="A1178" s="54" t="inlineStr">
        <is>
          <t>US SL Cooling 4pc</t>
        </is>
      </c>
      <c r="B1178" s="54" t="inlineStr">
        <is>
          <t>US</t>
        </is>
      </c>
      <c r="C1178" s="54" t="inlineStr">
        <is>
          <t>B0F7LY3K8C</t>
        </is>
      </c>
      <c r="D1178" s="54" t="inlineStr">
        <is>
          <t>SL-COOLING-SHEET-QUEEN-GRAPHITE</t>
        </is>
      </c>
      <c r="E1178" s="54" t="inlineStr">
        <is>
          <t>Queen</t>
        </is>
      </c>
      <c r="F1178" s="54" t="inlineStr">
        <is>
          <t>Graphite</t>
        </is>
      </c>
      <c r="G1178" s="55" t="n">
        <v>54</v>
      </c>
      <c r="H1178" s="167" t="n">
        <v>3509.46</v>
      </c>
      <c r="I1178" s="167" t="n">
        <v>0</v>
      </c>
      <c r="J1178" s="168">
        <f>IF(AND(N(G1178)&gt;0,N(H1178)+N(I1178)&gt;0),(H1178+I1178)*U1178/G1178,"")</f>
        <v/>
      </c>
      <c r="K1178" s="167" t="n">
        <v>79.98999999999999</v>
      </c>
      <c r="L1178" s="167" t="n">
        <v>75.98999999999999</v>
      </c>
      <c r="M1178" s="54" t="inlineStr">
        <is>
          <t>Eligible</t>
        </is>
      </c>
      <c r="N1178" s="168">
        <f>IF(OR(J1178="",L1178=""),"",L1178-J1178)</f>
        <v/>
      </c>
      <c r="O1178" s="169">
        <f>IF(OR(J1178="",L1178=""),"",L1178/J1178-1)</f>
        <v/>
      </c>
      <c r="P1178" s="169">
        <f>IF(OR(J1178="",K1178=""),"",K1178/J1178-1)</f>
        <v/>
      </c>
      <c r="Q1178" s="54">
        <f>IF(AND(ISNUMBER(J1178),ISNUMBER(L1178)),1,0)</f>
        <v/>
      </c>
      <c r="R1178" s="69">
        <f>IF(Q1178=1,G1178*L1178,0)</f>
        <v/>
      </c>
      <c r="S1178" s="69">
        <f>IF(Q1178=1,(H1178+I1178)*U1178,0)</f>
        <v/>
      </c>
      <c r="T1178" s="59">
        <f>IF(Q1178=1,G1178,0)</f>
        <v/>
      </c>
      <c r="U1178" s="170" t="n">
        <v>1</v>
      </c>
    </row>
    <row r="1179">
      <c r="A1179" s="54" t="inlineStr">
        <is>
          <t>US SL Cooling 4pc</t>
        </is>
      </c>
      <c r="B1179" s="54" t="inlineStr">
        <is>
          <t>US</t>
        </is>
      </c>
      <c r="C1179" s="54" t="inlineStr">
        <is>
          <t>B0F7M19VYV</t>
        </is>
      </c>
      <c r="D1179" s="54" t="inlineStr">
        <is>
          <t>SL-COOLING-SHEET-KING-GRAPHITE</t>
        </is>
      </c>
      <c r="E1179" s="54" t="inlineStr">
        <is>
          <t>King</t>
        </is>
      </c>
      <c r="F1179" s="54" t="inlineStr">
        <is>
          <t>Graphite</t>
        </is>
      </c>
      <c r="G1179" s="55" t="n">
        <v>49</v>
      </c>
      <c r="H1179" s="167" t="n">
        <v>3414.51</v>
      </c>
      <c r="I1179" s="167" t="n">
        <v>0</v>
      </c>
      <c r="J1179" s="168">
        <f>IF(AND(N(G1179)&gt;0,N(H1179)+N(I1179)&gt;0),(H1179+I1179)*U1179/G1179,"")</f>
        <v/>
      </c>
      <c r="K1179" s="167" t="n">
        <v>84.98999999999999</v>
      </c>
      <c r="L1179" s="167" t="n"/>
      <c r="M1179" s="54" t="inlineStr">
        <is>
          <t>Out of stock</t>
        </is>
      </c>
      <c r="N1179" s="168">
        <f>IF(OR(J1179="",L1179=""),"",L1179-J1179)</f>
        <v/>
      </c>
      <c r="O1179" s="169">
        <f>IF(OR(J1179="",L1179=""),"",L1179/J1179-1)</f>
        <v/>
      </c>
      <c r="P1179" s="169">
        <f>IF(OR(J1179="",K1179=""),"",K1179/J1179-1)</f>
        <v/>
      </c>
      <c r="Q1179" s="54">
        <f>IF(AND(ISNUMBER(J1179),ISNUMBER(L1179)),1,0)</f>
        <v/>
      </c>
      <c r="R1179" s="69">
        <f>IF(Q1179=1,G1179*L1179,0)</f>
        <v/>
      </c>
      <c r="S1179" s="69">
        <f>IF(Q1179=1,(H1179+I1179)*U1179,0)</f>
        <v/>
      </c>
      <c r="T1179" s="59">
        <f>IF(Q1179=1,G1179,0)</f>
        <v/>
      </c>
      <c r="U1179" s="170" t="n">
        <v>1</v>
      </c>
    </row>
    <row r="1180">
      <c r="A1180" s="54" t="inlineStr">
        <is>
          <t>US SL Cooling 4pc</t>
        </is>
      </c>
      <c r="B1180" s="54" t="inlineStr">
        <is>
          <t>US</t>
        </is>
      </c>
      <c r="C1180" s="54" t="inlineStr">
        <is>
          <t>B0F7LYNN5W</t>
        </is>
      </c>
      <c r="D1180" s="54" t="inlineStr">
        <is>
          <t>SL-COOLING-SHEET-QUEEN-NAVY-BLUE</t>
        </is>
      </c>
      <c r="E1180" s="54" t="inlineStr">
        <is>
          <t>Queen</t>
        </is>
      </c>
      <c r="F1180" s="54" t="inlineStr">
        <is>
          <t>Navy Blue</t>
        </is>
      </c>
      <c r="G1180" s="55" t="n">
        <v>31</v>
      </c>
      <c r="H1180" s="167" t="n">
        <v>2014.69</v>
      </c>
      <c r="I1180" s="167" t="n">
        <v>0</v>
      </c>
      <c r="J1180" s="168">
        <f>IF(AND(N(G1180)&gt;0,N(H1180)+N(I1180)&gt;0),(H1180+I1180)*U1180/G1180,"")</f>
        <v/>
      </c>
      <c r="K1180" s="167" t="n">
        <v>79.98999999999999</v>
      </c>
      <c r="L1180" s="167" t="n">
        <v>75.98999999999999</v>
      </c>
      <c r="M1180" s="54" t="inlineStr">
        <is>
          <t>Eligible</t>
        </is>
      </c>
      <c r="N1180" s="168">
        <f>IF(OR(J1180="",L1180=""),"",L1180-J1180)</f>
        <v/>
      </c>
      <c r="O1180" s="169">
        <f>IF(OR(J1180="",L1180=""),"",L1180/J1180-1)</f>
        <v/>
      </c>
      <c r="P1180" s="169">
        <f>IF(OR(J1180="",K1180=""),"",K1180/J1180-1)</f>
        <v/>
      </c>
      <c r="Q1180" s="54">
        <f>IF(AND(ISNUMBER(J1180),ISNUMBER(L1180)),1,0)</f>
        <v/>
      </c>
      <c r="R1180" s="69">
        <f>IF(Q1180=1,G1180*L1180,0)</f>
        <v/>
      </c>
      <c r="S1180" s="69">
        <f>IF(Q1180=1,(H1180+I1180)*U1180,0)</f>
        <v/>
      </c>
      <c r="T1180" s="59">
        <f>IF(Q1180=1,G1180,0)</f>
        <v/>
      </c>
      <c r="U1180" s="170" t="n">
        <v>1</v>
      </c>
    </row>
    <row r="1181">
      <c r="A1181" s="54" t="inlineStr">
        <is>
          <t>US SL Cooling 4pc</t>
        </is>
      </c>
      <c r="B1181" s="54" t="inlineStr">
        <is>
          <t>US</t>
        </is>
      </c>
      <c r="C1181" s="54" t="inlineStr">
        <is>
          <t>B0F7LW9GQN</t>
        </is>
      </c>
      <c r="D1181" s="54" t="inlineStr">
        <is>
          <t>SL-COOLING-SHEET-QUEEN-WHITE</t>
        </is>
      </c>
      <c r="E1181" s="54" t="inlineStr">
        <is>
          <t>Queen</t>
        </is>
      </c>
      <c r="F1181" s="54" t="inlineStr">
        <is>
          <t>White</t>
        </is>
      </c>
      <c r="G1181" s="55" t="n">
        <v>26</v>
      </c>
      <c r="H1181" s="167" t="n">
        <v>1689.74</v>
      </c>
      <c r="I1181" s="167" t="n">
        <v>0</v>
      </c>
      <c r="J1181" s="168">
        <f>IF(AND(N(G1181)&gt;0,N(H1181)+N(I1181)&gt;0),(H1181+I1181)*U1181/G1181,"")</f>
        <v/>
      </c>
      <c r="K1181" s="167" t="n">
        <v>79.98999999999999</v>
      </c>
      <c r="L1181" s="167" t="n">
        <v>75.98999999999999</v>
      </c>
      <c r="M1181" s="54" t="inlineStr">
        <is>
          <t>Eligible</t>
        </is>
      </c>
      <c r="N1181" s="168">
        <f>IF(OR(J1181="",L1181=""),"",L1181-J1181)</f>
        <v/>
      </c>
      <c r="O1181" s="169">
        <f>IF(OR(J1181="",L1181=""),"",L1181/J1181-1)</f>
        <v/>
      </c>
      <c r="P1181" s="169">
        <f>IF(OR(J1181="",K1181=""),"",K1181/J1181-1)</f>
        <v/>
      </c>
      <c r="Q1181" s="54">
        <f>IF(AND(ISNUMBER(J1181),ISNUMBER(L1181)),1,0)</f>
        <v/>
      </c>
      <c r="R1181" s="69">
        <f>IF(Q1181=1,G1181*L1181,0)</f>
        <v/>
      </c>
      <c r="S1181" s="69">
        <f>IF(Q1181=1,(H1181+I1181)*U1181,0)</f>
        <v/>
      </c>
      <c r="T1181" s="59">
        <f>IF(Q1181=1,G1181,0)</f>
        <v/>
      </c>
      <c r="U1181" s="170" t="n">
        <v>1</v>
      </c>
    </row>
    <row r="1182">
      <c r="A1182" s="54" t="inlineStr">
        <is>
          <t>US SL Cooling 4pc</t>
        </is>
      </c>
      <c r="B1182" s="54" t="inlineStr">
        <is>
          <t>US</t>
        </is>
      </c>
      <c r="C1182" s="54" t="inlineStr">
        <is>
          <t>B0F7M13J7X</t>
        </is>
      </c>
      <c r="D1182" s="54" t="inlineStr">
        <is>
          <t>SL-COOLING-SHEET-KING-NAVY-BLUE</t>
        </is>
      </c>
      <c r="E1182" s="54" t="inlineStr">
        <is>
          <t>King</t>
        </is>
      </c>
      <c r="F1182" s="54" t="inlineStr">
        <is>
          <t>Navy Blue</t>
        </is>
      </c>
      <c r="G1182" s="55" t="n">
        <v>25</v>
      </c>
      <c r="H1182" s="167" t="n">
        <v>1739.75</v>
      </c>
      <c r="I1182" s="167" t="n">
        <v>0</v>
      </c>
      <c r="J1182" s="168">
        <f>IF(AND(N(G1182)&gt;0,N(H1182)+N(I1182)&gt;0),(H1182+I1182)*U1182/G1182,"")</f>
        <v/>
      </c>
      <c r="K1182" s="167" t="n">
        <v>84.98999999999999</v>
      </c>
      <c r="L1182" s="167" t="n"/>
      <c r="M1182" s="54" t="inlineStr">
        <is>
          <t>Out of stock</t>
        </is>
      </c>
      <c r="N1182" s="168">
        <f>IF(OR(J1182="",L1182=""),"",L1182-J1182)</f>
        <v/>
      </c>
      <c r="O1182" s="169">
        <f>IF(OR(J1182="",L1182=""),"",L1182/J1182-1)</f>
        <v/>
      </c>
      <c r="P1182" s="169">
        <f>IF(OR(J1182="",K1182=""),"",K1182/J1182-1)</f>
        <v/>
      </c>
      <c r="Q1182" s="54">
        <f>IF(AND(ISNUMBER(J1182),ISNUMBER(L1182)),1,0)</f>
        <v/>
      </c>
      <c r="R1182" s="69">
        <f>IF(Q1182=1,G1182*L1182,0)</f>
        <v/>
      </c>
      <c r="S1182" s="69">
        <f>IF(Q1182=1,(H1182+I1182)*U1182,0)</f>
        <v/>
      </c>
      <c r="T1182" s="59">
        <f>IF(Q1182=1,G1182,0)</f>
        <v/>
      </c>
      <c r="U1182" s="170" t="n">
        <v>1</v>
      </c>
    </row>
    <row r="1183">
      <c r="A1183" s="54" t="inlineStr">
        <is>
          <t>US SL Cooling 4pc</t>
        </is>
      </c>
      <c r="B1183" s="54" t="inlineStr">
        <is>
          <t>US</t>
        </is>
      </c>
      <c r="C1183" s="54" t="inlineStr">
        <is>
          <t>B0F7LYTDD7</t>
        </is>
      </c>
      <c r="D1183" s="54" t="inlineStr">
        <is>
          <t>SL-COOLING-SHEET-QUEEN-LIGHT-GREY</t>
        </is>
      </c>
      <c r="E1183" s="54" t="inlineStr">
        <is>
          <t>Queen</t>
        </is>
      </c>
      <c r="F1183" s="54" t="inlineStr">
        <is>
          <t>Light Grey</t>
        </is>
      </c>
      <c r="G1183" s="55" t="n">
        <v>20</v>
      </c>
      <c r="H1183" s="167" t="n">
        <v>1299.8</v>
      </c>
      <c r="I1183" s="167" t="n">
        <v>0</v>
      </c>
      <c r="J1183" s="168">
        <f>IF(AND(N(G1183)&gt;0,N(H1183)+N(I1183)&gt;0),(H1183+I1183)*U1183/G1183,"")</f>
        <v/>
      </c>
      <c r="K1183" s="167" t="n">
        <v>79.98999999999999</v>
      </c>
      <c r="L1183" s="167" t="n">
        <v>75.98999999999999</v>
      </c>
      <c r="M1183" s="54" t="inlineStr">
        <is>
          <t>Eligible</t>
        </is>
      </c>
      <c r="N1183" s="168">
        <f>IF(OR(J1183="",L1183=""),"",L1183-J1183)</f>
        <v/>
      </c>
      <c r="O1183" s="169">
        <f>IF(OR(J1183="",L1183=""),"",L1183/J1183-1)</f>
        <v/>
      </c>
      <c r="P1183" s="169">
        <f>IF(OR(J1183="",K1183=""),"",K1183/J1183-1)</f>
        <v/>
      </c>
      <c r="Q1183" s="54">
        <f>IF(AND(ISNUMBER(J1183),ISNUMBER(L1183)),1,0)</f>
        <v/>
      </c>
      <c r="R1183" s="69">
        <f>IF(Q1183=1,G1183*L1183,0)</f>
        <v/>
      </c>
      <c r="S1183" s="69">
        <f>IF(Q1183=1,(H1183+I1183)*U1183,0)</f>
        <v/>
      </c>
      <c r="T1183" s="59">
        <f>IF(Q1183=1,G1183,0)</f>
        <v/>
      </c>
      <c r="U1183" s="170" t="n">
        <v>1</v>
      </c>
    </row>
    <row r="1184">
      <c r="A1184" s="54" t="inlineStr">
        <is>
          <t>US SL Cooling 4pc</t>
        </is>
      </c>
      <c r="B1184" s="54" t="inlineStr">
        <is>
          <t>US</t>
        </is>
      </c>
      <c r="C1184" s="54" t="inlineStr">
        <is>
          <t>B0F7LZR5DF</t>
        </is>
      </c>
      <c r="D1184" s="54" t="inlineStr">
        <is>
          <t>SL-COOLING-SHEET-QUEEN-LIGHT-BLUE</t>
        </is>
      </c>
      <c r="E1184" s="54" t="inlineStr">
        <is>
          <t>Queen</t>
        </is>
      </c>
      <c r="F1184" s="54" t="inlineStr">
        <is>
          <t>Light Blue</t>
        </is>
      </c>
      <c r="G1184" s="55" t="n">
        <v>19</v>
      </c>
      <c r="H1184" s="167" t="n">
        <v>1234.81</v>
      </c>
      <c r="I1184" s="167" t="n">
        <v>0</v>
      </c>
      <c r="J1184" s="168">
        <f>IF(AND(N(G1184)&gt;0,N(H1184)+N(I1184)&gt;0),(H1184+I1184)*U1184/G1184,"")</f>
        <v/>
      </c>
      <c r="K1184" s="167" t="n">
        <v>79.98999999999999</v>
      </c>
      <c r="L1184" s="167" t="n">
        <v>75.98999999999999</v>
      </c>
      <c r="M1184" s="54" t="inlineStr">
        <is>
          <t>Eligible</t>
        </is>
      </c>
      <c r="N1184" s="168">
        <f>IF(OR(J1184="",L1184=""),"",L1184-J1184)</f>
        <v/>
      </c>
      <c r="O1184" s="169">
        <f>IF(OR(J1184="",L1184=""),"",L1184/J1184-1)</f>
        <v/>
      </c>
      <c r="P1184" s="169">
        <f>IF(OR(J1184="",K1184=""),"",K1184/J1184-1)</f>
        <v/>
      </c>
      <c r="Q1184" s="54">
        <f>IF(AND(ISNUMBER(J1184),ISNUMBER(L1184)),1,0)</f>
        <v/>
      </c>
      <c r="R1184" s="69">
        <f>IF(Q1184=1,G1184*L1184,0)</f>
        <v/>
      </c>
      <c r="S1184" s="69">
        <f>IF(Q1184=1,(H1184+I1184)*U1184,0)</f>
        <v/>
      </c>
      <c r="T1184" s="59">
        <f>IF(Q1184=1,G1184,0)</f>
        <v/>
      </c>
      <c r="U1184" s="170" t="n">
        <v>1</v>
      </c>
    </row>
    <row r="1185">
      <c r="A1185" s="54" t="inlineStr">
        <is>
          <t>US SL Cooling 4pc</t>
        </is>
      </c>
      <c r="B1185" s="54" t="inlineStr">
        <is>
          <t>US</t>
        </is>
      </c>
      <c r="C1185" s="54" t="inlineStr">
        <is>
          <t>B0F7LXB26C</t>
        </is>
      </c>
      <c r="D1185" s="54" t="inlineStr">
        <is>
          <t>SL-COOLING-SHEET-FULL-COOL-GREY</t>
        </is>
      </c>
      <c r="E1185" s="54" t="inlineStr">
        <is>
          <t>Full</t>
        </is>
      </c>
      <c r="F1185" s="54" t="inlineStr">
        <is>
          <t>Cool Grey</t>
        </is>
      </c>
      <c r="G1185" s="55" t="n">
        <v>16</v>
      </c>
      <c r="H1185" s="167" t="n">
        <v>879.84</v>
      </c>
      <c r="I1185" s="167" t="n">
        <v>0</v>
      </c>
      <c r="J1185" s="168">
        <f>IF(AND(N(G1185)&gt;0,N(H1185)+N(I1185)&gt;0),(H1185+I1185)*U1185/G1185,"")</f>
        <v/>
      </c>
      <c r="K1185" s="167" t="n">
        <v>64.98999999999999</v>
      </c>
      <c r="L1185" s="167" t="n">
        <v>61.74</v>
      </c>
      <c r="M1185" s="54" t="inlineStr">
        <is>
          <t>Eligible</t>
        </is>
      </c>
      <c r="N1185" s="168">
        <f>IF(OR(J1185="",L1185=""),"",L1185-J1185)</f>
        <v/>
      </c>
      <c r="O1185" s="169">
        <f>IF(OR(J1185="",L1185=""),"",L1185/J1185-1)</f>
        <v/>
      </c>
      <c r="P1185" s="169">
        <f>IF(OR(J1185="",K1185=""),"",K1185/J1185-1)</f>
        <v/>
      </c>
      <c r="Q1185" s="54">
        <f>IF(AND(ISNUMBER(J1185),ISNUMBER(L1185)),1,0)</f>
        <v/>
      </c>
      <c r="R1185" s="69">
        <f>IF(Q1185=1,G1185*L1185,0)</f>
        <v/>
      </c>
      <c r="S1185" s="69">
        <f>IF(Q1185=1,(H1185+I1185)*U1185,0)</f>
        <v/>
      </c>
      <c r="T1185" s="59">
        <f>IF(Q1185=1,G1185,0)</f>
        <v/>
      </c>
      <c r="U1185" s="170" t="n">
        <v>1</v>
      </c>
    </row>
    <row r="1186">
      <c r="A1186" s="54" t="inlineStr">
        <is>
          <t>US SL Cooling 4pc</t>
        </is>
      </c>
      <c r="B1186" s="54" t="inlineStr">
        <is>
          <t>US</t>
        </is>
      </c>
      <c r="C1186" s="54" t="inlineStr">
        <is>
          <t>B0F7LX6W9T</t>
        </is>
      </c>
      <c r="D1186" s="54" t="inlineStr">
        <is>
          <t>SL-COOLING-SHEET-QUEEN-BEIGE</t>
        </is>
      </c>
      <c r="E1186" s="54" t="inlineStr">
        <is>
          <t>Queen</t>
        </is>
      </c>
      <c r="F1186" s="54" t="inlineStr">
        <is>
          <t>Beige</t>
        </is>
      </c>
      <c r="G1186" s="55" t="n">
        <v>15</v>
      </c>
      <c r="H1186" s="167" t="n">
        <v>974.85</v>
      </c>
      <c r="I1186" s="167" t="n">
        <v>0</v>
      </c>
      <c r="J1186" s="168">
        <f>IF(AND(N(G1186)&gt;0,N(H1186)+N(I1186)&gt;0),(H1186+I1186)*U1186/G1186,"")</f>
        <v/>
      </c>
      <c r="K1186" s="167" t="n">
        <v>79.98999999999999</v>
      </c>
      <c r="L1186" s="167" t="n">
        <v>75.98999999999999</v>
      </c>
      <c r="M1186" s="54" t="inlineStr">
        <is>
          <t>Eligible</t>
        </is>
      </c>
      <c r="N1186" s="168">
        <f>IF(OR(J1186="",L1186=""),"",L1186-J1186)</f>
        <v/>
      </c>
      <c r="O1186" s="169">
        <f>IF(OR(J1186="",L1186=""),"",L1186/J1186-1)</f>
        <v/>
      </c>
      <c r="P1186" s="169">
        <f>IF(OR(J1186="",K1186=""),"",K1186/J1186-1)</f>
        <v/>
      </c>
      <c r="Q1186" s="54">
        <f>IF(AND(ISNUMBER(J1186),ISNUMBER(L1186)),1,0)</f>
        <v/>
      </c>
      <c r="R1186" s="69">
        <f>IF(Q1186=1,G1186*L1186,0)</f>
        <v/>
      </c>
      <c r="S1186" s="69">
        <f>IF(Q1186=1,(H1186+I1186)*U1186,0)</f>
        <v/>
      </c>
      <c r="T1186" s="59">
        <f>IF(Q1186=1,G1186,0)</f>
        <v/>
      </c>
      <c r="U1186" s="170" t="n">
        <v>1</v>
      </c>
    </row>
    <row r="1187">
      <c r="A1187" s="54" t="inlineStr">
        <is>
          <t>US SL Cooling 4pc</t>
        </is>
      </c>
      <c r="B1187" s="54" t="inlineStr">
        <is>
          <t>US</t>
        </is>
      </c>
      <c r="C1187" s="54" t="inlineStr">
        <is>
          <t>B0F7LY3ZWB</t>
        </is>
      </c>
      <c r="D1187" s="54" t="inlineStr">
        <is>
          <t>SL-COOLING-SHEET-FULL-GRAPHITE</t>
        </is>
      </c>
      <c r="E1187" s="54" t="inlineStr">
        <is>
          <t>Full</t>
        </is>
      </c>
      <c r="F1187" s="54" t="inlineStr">
        <is>
          <t>Graphite</t>
        </is>
      </c>
      <c r="G1187" s="55" t="n">
        <v>14</v>
      </c>
      <c r="H1187" s="167" t="n">
        <v>769.86</v>
      </c>
      <c r="I1187" s="167" t="n">
        <v>0</v>
      </c>
      <c r="J1187" s="168">
        <f>IF(AND(N(G1187)&gt;0,N(H1187)+N(I1187)&gt;0),(H1187+I1187)*U1187/G1187,"")</f>
        <v/>
      </c>
      <c r="K1187" s="167" t="n">
        <v>64.98999999999999</v>
      </c>
      <c r="L1187" s="167" t="n">
        <v>61.74</v>
      </c>
      <c r="M1187" s="54" t="inlineStr">
        <is>
          <t>Eligible</t>
        </is>
      </c>
      <c r="N1187" s="168">
        <f>IF(OR(J1187="",L1187=""),"",L1187-J1187)</f>
        <v/>
      </c>
      <c r="O1187" s="169">
        <f>IF(OR(J1187="",L1187=""),"",L1187/J1187-1)</f>
        <v/>
      </c>
      <c r="P1187" s="169">
        <f>IF(OR(J1187="",K1187=""),"",K1187/J1187-1)</f>
        <v/>
      </c>
      <c r="Q1187" s="54">
        <f>IF(AND(ISNUMBER(J1187),ISNUMBER(L1187)),1,0)</f>
        <v/>
      </c>
      <c r="R1187" s="69">
        <f>IF(Q1187=1,G1187*L1187,0)</f>
        <v/>
      </c>
      <c r="S1187" s="69">
        <f>IF(Q1187=1,(H1187+I1187)*U1187,0)</f>
        <v/>
      </c>
      <c r="T1187" s="59">
        <f>IF(Q1187=1,G1187,0)</f>
        <v/>
      </c>
      <c r="U1187" s="170" t="n">
        <v>1</v>
      </c>
    </row>
    <row r="1188">
      <c r="A1188" s="54" t="inlineStr">
        <is>
          <t>US SL Cooling 4pc</t>
        </is>
      </c>
      <c r="B1188" s="54" t="inlineStr">
        <is>
          <t>US</t>
        </is>
      </c>
      <c r="C1188" s="54" t="inlineStr">
        <is>
          <t>B0F7LZCWQW</t>
        </is>
      </c>
      <c r="D1188" s="54" t="inlineStr">
        <is>
          <t>SL-COOLING-SHEET-KING-SAGE-GREEN</t>
        </is>
      </c>
      <c r="E1188" s="54" t="inlineStr">
        <is>
          <t>King</t>
        </is>
      </c>
      <c r="F1188" s="54" t="inlineStr">
        <is>
          <t>Sage Green</t>
        </is>
      </c>
      <c r="G1188" s="55" t="n">
        <v>14</v>
      </c>
      <c r="H1188" s="167" t="n">
        <v>974.86</v>
      </c>
      <c r="I1188" s="167" t="n">
        <v>0</v>
      </c>
      <c r="J1188" s="168">
        <f>IF(AND(N(G1188)&gt;0,N(H1188)+N(I1188)&gt;0),(H1188+I1188)*U1188/G1188,"")</f>
        <v/>
      </c>
      <c r="K1188" s="167" t="n">
        <v>84.98999999999999</v>
      </c>
      <c r="L1188" s="167" t="n"/>
      <c r="M1188" s="54" t="inlineStr">
        <is>
          <t>Out of stock</t>
        </is>
      </c>
      <c r="N1188" s="168">
        <f>IF(OR(J1188="",L1188=""),"",L1188-J1188)</f>
        <v/>
      </c>
      <c r="O1188" s="169">
        <f>IF(OR(J1188="",L1188=""),"",L1188/J1188-1)</f>
        <v/>
      </c>
      <c r="P1188" s="169">
        <f>IF(OR(J1188="",K1188=""),"",K1188/J1188-1)</f>
        <v/>
      </c>
      <c r="Q1188" s="54">
        <f>IF(AND(ISNUMBER(J1188),ISNUMBER(L1188)),1,0)</f>
        <v/>
      </c>
      <c r="R1188" s="69">
        <f>IF(Q1188=1,G1188*L1188,0)</f>
        <v/>
      </c>
      <c r="S1188" s="69">
        <f>IF(Q1188=1,(H1188+I1188)*U1188,0)</f>
        <v/>
      </c>
      <c r="T1188" s="59">
        <f>IF(Q1188=1,G1188,0)</f>
        <v/>
      </c>
      <c r="U1188" s="170" t="n">
        <v>1</v>
      </c>
    </row>
    <row r="1189">
      <c r="A1189" s="54" t="inlineStr">
        <is>
          <t>US SL Cooling 4pc</t>
        </is>
      </c>
      <c r="B1189" s="54" t="inlineStr">
        <is>
          <t>US</t>
        </is>
      </c>
      <c r="C1189" s="54" t="inlineStr">
        <is>
          <t>B0F7LX64VV</t>
        </is>
      </c>
      <c r="D1189" s="54" t="inlineStr">
        <is>
          <t>SL-COOLING-SHEET-QUEEN-LIGHT-PINK</t>
        </is>
      </c>
      <c r="E1189" s="54" t="inlineStr">
        <is>
          <t>Queen</t>
        </is>
      </c>
      <c r="F1189" s="54" t="inlineStr">
        <is>
          <t>Light Pink</t>
        </is>
      </c>
      <c r="G1189" s="55" t="n">
        <v>13</v>
      </c>
      <c r="H1189" s="167" t="n">
        <v>844.87</v>
      </c>
      <c r="I1189" s="167" t="n">
        <v>0</v>
      </c>
      <c r="J1189" s="168">
        <f>IF(AND(N(G1189)&gt;0,N(H1189)+N(I1189)&gt;0),(H1189+I1189)*U1189/G1189,"")</f>
        <v/>
      </c>
      <c r="K1189" s="167" t="n">
        <v>79.98999999999999</v>
      </c>
      <c r="L1189" s="167" t="n">
        <v>75.98999999999999</v>
      </c>
      <c r="M1189" s="54" t="inlineStr">
        <is>
          <t>Eligible</t>
        </is>
      </c>
      <c r="N1189" s="168">
        <f>IF(OR(J1189="",L1189=""),"",L1189-J1189)</f>
        <v/>
      </c>
      <c r="O1189" s="169">
        <f>IF(OR(J1189="",L1189=""),"",L1189/J1189-1)</f>
        <v/>
      </c>
      <c r="P1189" s="169">
        <f>IF(OR(J1189="",K1189=""),"",K1189/J1189-1)</f>
        <v/>
      </c>
      <c r="Q1189" s="54">
        <f>IF(AND(ISNUMBER(J1189),ISNUMBER(L1189)),1,0)</f>
        <v/>
      </c>
      <c r="R1189" s="69">
        <f>IF(Q1189=1,G1189*L1189,0)</f>
        <v/>
      </c>
      <c r="S1189" s="69">
        <f>IF(Q1189=1,(H1189+I1189)*U1189,0)</f>
        <v/>
      </c>
      <c r="T1189" s="59">
        <f>IF(Q1189=1,G1189,0)</f>
        <v/>
      </c>
      <c r="U1189" s="170" t="n">
        <v>1</v>
      </c>
    </row>
    <row r="1190">
      <c r="A1190" s="54" t="inlineStr">
        <is>
          <t>US SL Cooling 4pc</t>
        </is>
      </c>
      <c r="B1190" s="54" t="inlineStr">
        <is>
          <t>US</t>
        </is>
      </c>
      <c r="C1190" s="54" t="inlineStr">
        <is>
          <t>B0F7LXS4FK</t>
        </is>
      </c>
      <c r="D1190" s="54" t="inlineStr">
        <is>
          <t>SL-COOLING-SHEET-KING-CREAM</t>
        </is>
      </c>
      <c r="E1190" s="54" t="inlineStr">
        <is>
          <t>King</t>
        </is>
      </c>
      <c r="F1190" s="54" t="inlineStr">
        <is>
          <t>Cream</t>
        </is>
      </c>
      <c r="G1190" s="55" t="n">
        <v>12</v>
      </c>
      <c r="H1190" s="167" t="n">
        <v>839.88</v>
      </c>
      <c r="I1190" s="167" t="n">
        <v>0</v>
      </c>
      <c r="J1190" s="168">
        <f>IF(AND(N(G1190)&gt;0,N(H1190)+N(I1190)&gt;0),(H1190+I1190)*U1190/G1190,"")</f>
        <v/>
      </c>
      <c r="K1190" s="167" t="n">
        <v>84.98999999999999</v>
      </c>
      <c r="L1190" s="167" t="n">
        <v>80.73999999999999</v>
      </c>
      <c r="M1190" s="54" t="inlineStr">
        <is>
          <t>Eligible</t>
        </is>
      </c>
      <c r="N1190" s="168">
        <f>IF(OR(J1190="",L1190=""),"",L1190-J1190)</f>
        <v/>
      </c>
      <c r="O1190" s="169">
        <f>IF(OR(J1190="",L1190=""),"",L1190/J1190-1)</f>
        <v/>
      </c>
      <c r="P1190" s="169">
        <f>IF(OR(J1190="",K1190=""),"",K1190/J1190-1)</f>
        <v/>
      </c>
      <c r="Q1190" s="54">
        <f>IF(AND(ISNUMBER(J1190),ISNUMBER(L1190)),1,0)</f>
        <v/>
      </c>
      <c r="R1190" s="69">
        <f>IF(Q1190=1,G1190*L1190,0)</f>
        <v/>
      </c>
      <c r="S1190" s="69">
        <f>IF(Q1190=1,(H1190+I1190)*U1190,0)</f>
        <v/>
      </c>
      <c r="T1190" s="59">
        <f>IF(Q1190=1,G1190,0)</f>
        <v/>
      </c>
      <c r="U1190" s="170" t="n">
        <v>1</v>
      </c>
    </row>
    <row r="1191">
      <c r="A1191" s="54" t="inlineStr">
        <is>
          <t>US SL Cooling 4pc</t>
        </is>
      </c>
      <c r="B1191" s="54" t="inlineStr">
        <is>
          <t>US</t>
        </is>
      </c>
      <c r="C1191" s="54" t="inlineStr">
        <is>
          <t>B0F7LWK826</t>
        </is>
      </c>
      <c r="D1191" s="54" t="inlineStr">
        <is>
          <t>SL-COOLING-SHEET-QUEEN-CREAM</t>
        </is>
      </c>
      <c r="E1191" s="54" t="inlineStr">
        <is>
          <t>Queen</t>
        </is>
      </c>
      <c r="F1191" s="54" t="inlineStr">
        <is>
          <t>Cream</t>
        </is>
      </c>
      <c r="G1191" s="55" t="n">
        <v>12</v>
      </c>
      <c r="H1191" s="167" t="n">
        <v>779.88</v>
      </c>
      <c r="I1191" s="167" t="n">
        <v>0</v>
      </c>
      <c r="J1191" s="168">
        <f>IF(AND(N(G1191)&gt;0,N(H1191)+N(I1191)&gt;0),(H1191+I1191)*U1191/G1191,"")</f>
        <v/>
      </c>
      <c r="K1191" s="167" t="n">
        <v>79.98999999999999</v>
      </c>
      <c r="L1191" s="167" t="n">
        <v>75.98999999999999</v>
      </c>
      <c r="M1191" s="54" t="inlineStr">
        <is>
          <t>Eligible</t>
        </is>
      </c>
      <c r="N1191" s="168">
        <f>IF(OR(J1191="",L1191=""),"",L1191-J1191)</f>
        <v/>
      </c>
      <c r="O1191" s="169">
        <f>IF(OR(J1191="",L1191=""),"",L1191/J1191-1)</f>
        <v/>
      </c>
      <c r="P1191" s="169">
        <f>IF(OR(J1191="",K1191=""),"",K1191/J1191-1)</f>
        <v/>
      </c>
      <c r="Q1191" s="54">
        <f>IF(AND(ISNUMBER(J1191),ISNUMBER(L1191)),1,0)</f>
        <v/>
      </c>
      <c r="R1191" s="69">
        <f>IF(Q1191=1,G1191*L1191,0)</f>
        <v/>
      </c>
      <c r="S1191" s="69">
        <f>IF(Q1191=1,(H1191+I1191)*U1191,0)</f>
        <v/>
      </c>
      <c r="T1191" s="59">
        <f>IF(Q1191=1,G1191,0)</f>
        <v/>
      </c>
      <c r="U1191" s="170" t="n">
        <v>1</v>
      </c>
    </row>
    <row r="1192">
      <c r="A1192" s="54" t="inlineStr">
        <is>
          <t>US SL Cooling 4pc</t>
        </is>
      </c>
      <c r="B1192" s="54" t="inlineStr">
        <is>
          <t>US</t>
        </is>
      </c>
      <c r="C1192" s="54" t="inlineStr">
        <is>
          <t>B0F7LY4DSG</t>
        </is>
      </c>
      <c r="D1192" s="54" t="inlineStr">
        <is>
          <t>SL-COOLING-SHEET-QUEEN-REGAL-PURPLE</t>
        </is>
      </c>
      <c r="E1192" s="54" t="inlineStr">
        <is>
          <t>Queen</t>
        </is>
      </c>
      <c r="F1192" s="54" t="inlineStr">
        <is>
          <t>Regal Purple</t>
        </is>
      </c>
      <c r="G1192" s="55" t="n">
        <v>10</v>
      </c>
      <c r="H1192" s="167" t="n">
        <v>649.9</v>
      </c>
      <c r="I1192" s="167" t="n">
        <v>0</v>
      </c>
      <c r="J1192" s="168">
        <f>IF(AND(N(G1192)&gt;0,N(H1192)+N(I1192)&gt;0),(H1192+I1192)*U1192/G1192,"")</f>
        <v/>
      </c>
      <c r="K1192" s="167" t="n">
        <v>79.98999999999999</v>
      </c>
      <c r="L1192" s="167" t="n">
        <v>75.98999999999999</v>
      </c>
      <c r="M1192" s="54" t="inlineStr">
        <is>
          <t>Eligible</t>
        </is>
      </c>
      <c r="N1192" s="168">
        <f>IF(OR(J1192="",L1192=""),"",L1192-J1192)</f>
        <v/>
      </c>
      <c r="O1192" s="169">
        <f>IF(OR(J1192="",L1192=""),"",L1192/J1192-1)</f>
        <v/>
      </c>
      <c r="P1192" s="169">
        <f>IF(OR(J1192="",K1192=""),"",K1192/J1192-1)</f>
        <v/>
      </c>
      <c r="Q1192" s="54">
        <f>IF(AND(ISNUMBER(J1192),ISNUMBER(L1192)),1,0)</f>
        <v/>
      </c>
      <c r="R1192" s="69">
        <f>IF(Q1192=1,G1192*L1192,0)</f>
        <v/>
      </c>
      <c r="S1192" s="69">
        <f>IF(Q1192=1,(H1192+I1192)*U1192,0)</f>
        <v/>
      </c>
      <c r="T1192" s="59">
        <f>IF(Q1192=1,G1192,0)</f>
        <v/>
      </c>
      <c r="U1192" s="170" t="n">
        <v>1</v>
      </c>
    </row>
    <row r="1193">
      <c r="A1193" s="54" t="inlineStr">
        <is>
          <t>US SL Cooling 4pc</t>
        </is>
      </c>
      <c r="B1193" s="54" t="inlineStr">
        <is>
          <t>US</t>
        </is>
      </c>
      <c r="C1193" s="54" t="inlineStr">
        <is>
          <t>B0F7LWYY19</t>
        </is>
      </c>
      <c r="D1193" s="54" t="inlineStr">
        <is>
          <t>SL-COOLING-SHEET-FULL-LIGHT-GREY</t>
        </is>
      </c>
      <c r="E1193" s="54" t="inlineStr">
        <is>
          <t>Full</t>
        </is>
      </c>
      <c r="F1193" s="54" t="inlineStr">
        <is>
          <t>Light Grey</t>
        </is>
      </c>
      <c r="G1193" s="55" t="n">
        <v>9</v>
      </c>
      <c r="H1193" s="167" t="n">
        <v>494.91</v>
      </c>
      <c r="I1193" s="167" t="n">
        <v>0</v>
      </c>
      <c r="J1193" s="168">
        <f>IF(AND(N(G1193)&gt;0,N(H1193)+N(I1193)&gt;0),(H1193+I1193)*U1193/G1193,"")</f>
        <v/>
      </c>
      <c r="K1193" s="167" t="n">
        <v>64.98999999999999</v>
      </c>
      <c r="L1193" s="167" t="n"/>
      <c r="M1193" s="54" t="inlineStr">
        <is>
          <t>Out of stock</t>
        </is>
      </c>
      <c r="N1193" s="168">
        <f>IF(OR(J1193="",L1193=""),"",L1193-J1193)</f>
        <v/>
      </c>
      <c r="O1193" s="169">
        <f>IF(OR(J1193="",L1193=""),"",L1193/J1193-1)</f>
        <v/>
      </c>
      <c r="P1193" s="169">
        <f>IF(OR(J1193="",K1193=""),"",K1193/J1193-1)</f>
        <v/>
      </c>
      <c r="Q1193" s="54">
        <f>IF(AND(ISNUMBER(J1193),ISNUMBER(L1193)),1,0)</f>
        <v/>
      </c>
      <c r="R1193" s="69">
        <f>IF(Q1193=1,G1193*L1193,0)</f>
        <v/>
      </c>
      <c r="S1193" s="69">
        <f>IF(Q1193=1,(H1193+I1193)*U1193,0)</f>
        <v/>
      </c>
      <c r="T1193" s="59">
        <f>IF(Q1193=1,G1193,0)</f>
        <v/>
      </c>
      <c r="U1193" s="170" t="n">
        <v>1</v>
      </c>
    </row>
    <row r="1194">
      <c r="A1194" s="54" t="inlineStr">
        <is>
          <t>US SL Cooling 4pc</t>
        </is>
      </c>
      <c r="B1194" s="54" t="inlineStr">
        <is>
          <t>US</t>
        </is>
      </c>
      <c r="C1194" s="54" t="inlineStr">
        <is>
          <t>B0F7LZFKS7</t>
        </is>
      </c>
      <c r="D1194" s="54" t="inlineStr">
        <is>
          <t>SL-COOLING-SHEET-FULL-NAVY-BLUE</t>
        </is>
      </c>
      <c r="E1194" s="54" t="inlineStr">
        <is>
          <t>Full</t>
        </is>
      </c>
      <c r="F1194" s="54" t="inlineStr">
        <is>
          <t>Navy Blue</t>
        </is>
      </c>
      <c r="G1194" s="55" t="n">
        <v>9</v>
      </c>
      <c r="H1194" s="167" t="n">
        <v>494.91</v>
      </c>
      <c r="I1194" s="167" t="n">
        <v>0</v>
      </c>
      <c r="J1194" s="168">
        <f>IF(AND(N(G1194)&gt;0,N(H1194)+N(I1194)&gt;0),(H1194+I1194)*U1194/G1194,"")</f>
        <v/>
      </c>
      <c r="K1194" s="167" t="n">
        <v>64.98999999999999</v>
      </c>
      <c r="L1194" s="167" t="n">
        <v>61.74</v>
      </c>
      <c r="M1194" s="54" t="inlineStr">
        <is>
          <t>Eligible</t>
        </is>
      </c>
      <c r="N1194" s="168">
        <f>IF(OR(J1194="",L1194=""),"",L1194-J1194)</f>
        <v/>
      </c>
      <c r="O1194" s="169">
        <f>IF(OR(J1194="",L1194=""),"",L1194/J1194-1)</f>
        <v/>
      </c>
      <c r="P1194" s="169">
        <f>IF(OR(J1194="",K1194=""),"",K1194/J1194-1)</f>
        <v/>
      </c>
      <c r="Q1194" s="54">
        <f>IF(AND(ISNUMBER(J1194),ISNUMBER(L1194)),1,0)</f>
        <v/>
      </c>
      <c r="R1194" s="69">
        <f>IF(Q1194=1,G1194*L1194,0)</f>
        <v/>
      </c>
      <c r="S1194" s="69">
        <f>IF(Q1194=1,(H1194+I1194)*U1194,0)</f>
        <v/>
      </c>
      <c r="T1194" s="59">
        <f>IF(Q1194=1,G1194,0)</f>
        <v/>
      </c>
      <c r="U1194" s="170" t="n">
        <v>1</v>
      </c>
    </row>
    <row r="1195">
      <c r="A1195" s="54" t="inlineStr">
        <is>
          <t>US SL Cooling 4pc</t>
        </is>
      </c>
      <c r="B1195" s="54" t="inlineStr">
        <is>
          <t>US</t>
        </is>
      </c>
      <c r="C1195" s="54" t="inlineStr">
        <is>
          <t>B0F7LX84MY</t>
        </is>
      </c>
      <c r="D1195" s="54" t="inlineStr">
        <is>
          <t>SL-COOLING-SHEET-KING-REGAL-PURPLE</t>
        </is>
      </c>
      <c r="E1195" s="54" t="inlineStr">
        <is>
          <t>King</t>
        </is>
      </c>
      <c r="F1195" s="54" t="inlineStr">
        <is>
          <t>Regal Purple</t>
        </is>
      </c>
      <c r="G1195" s="55" t="n">
        <v>9</v>
      </c>
      <c r="H1195" s="167" t="n">
        <v>629.91</v>
      </c>
      <c r="I1195" s="167" t="n">
        <v>0</v>
      </c>
      <c r="J1195" s="168">
        <f>IF(AND(N(G1195)&gt;0,N(H1195)+N(I1195)&gt;0),(H1195+I1195)*U1195/G1195,"")</f>
        <v/>
      </c>
      <c r="K1195" s="167" t="n">
        <v>84.98999999999999</v>
      </c>
      <c r="L1195" s="167" t="n">
        <v>80.73999999999999</v>
      </c>
      <c r="M1195" s="54" t="inlineStr">
        <is>
          <t>Eligible</t>
        </is>
      </c>
      <c r="N1195" s="168">
        <f>IF(OR(J1195="",L1195=""),"",L1195-J1195)</f>
        <v/>
      </c>
      <c r="O1195" s="169">
        <f>IF(OR(J1195="",L1195=""),"",L1195/J1195-1)</f>
        <v/>
      </c>
      <c r="P1195" s="169">
        <f>IF(OR(J1195="",K1195=""),"",K1195/J1195-1)</f>
        <v/>
      </c>
      <c r="Q1195" s="54">
        <f>IF(AND(ISNUMBER(J1195),ISNUMBER(L1195)),1,0)</f>
        <v/>
      </c>
      <c r="R1195" s="69">
        <f>IF(Q1195=1,G1195*L1195,0)</f>
        <v/>
      </c>
      <c r="S1195" s="69">
        <f>IF(Q1195=1,(H1195+I1195)*U1195,0)</f>
        <v/>
      </c>
      <c r="T1195" s="59">
        <f>IF(Q1195=1,G1195,0)</f>
        <v/>
      </c>
      <c r="U1195" s="170" t="n">
        <v>1</v>
      </c>
    </row>
    <row r="1196">
      <c r="A1196" s="54" t="inlineStr">
        <is>
          <t>US SL Cooling 4pc</t>
        </is>
      </c>
      <c r="B1196" s="54" t="inlineStr">
        <is>
          <t>US</t>
        </is>
      </c>
      <c r="C1196" s="54" t="inlineStr">
        <is>
          <t>B0F7LZFZCH</t>
        </is>
      </c>
      <c r="D1196" s="54" t="inlineStr">
        <is>
          <t>SL-COOLING-SHEET-QUEEN-SAGE-GREEN</t>
        </is>
      </c>
      <c r="E1196" s="54" t="inlineStr">
        <is>
          <t>Queen</t>
        </is>
      </c>
      <c r="F1196" s="54" t="inlineStr">
        <is>
          <t>Sage Green</t>
        </is>
      </c>
      <c r="G1196" s="55" t="n">
        <v>9</v>
      </c>
      <c r="H1196" s="167" t="n">
        <v>584.91</v>
      </c>
      <c r="I1196" s="167" t="n">
        <v>0</v>
      </c>
      <c r="J1196" s="168">
        <f>IF(AND(N(G1196)&gt;0,N(H1196)+N(I1196)&gt;0),(H1196+I1196)*U1196/G1196,"")</f>
        <v/>
      </c>
      <c r="K1196" s="167" t="n">
        <v>79.98999999999999</v>
      </c>
      <c r="L1196" s="167" t="n">
        <v>75.98999999999999</v>
      </c>
      <c r="M1196" s="54" t="inlineStr">
        <is>
          <t>Eligible</t>
        </is>
      </c>
      <c r="N1196" s="168">
        <f>IF(OR(J1196="",L1196=""),"",L1196-J1196)</f>
        <v/>
      </c>
      <c r="O1196" s="169">
        <f>IF(OR(J1196="",L1196=""),"",L1196/J1196-1)</f>
        <v/>
      </c>
      <c r="P1196" s="169">
        <f>IF(OR(J1196="",K1196=""),"",K1196/J1196-1)</f>
        <v/>
      </c>
      <c r="Q1196" s="54">
        <f>IF(AND(ISNUMBER(J1196),ISNUMBER(L1196)),1,0)</f>
        <v/>
      </c>
      <c r="R1196" s="69">
        <f>IF(Q1196=1,G1196*L1196,0)</f>
        <v/>
      </c>
      <c r="S1196" s="69">
        <f>IF(Q1196=1,(H1196+I1196)*U1196,0)</f>
        <v/>
      </c>
      <c r="T1196" s="59">
        <f>IF(Q1196=1,G1196,0)</f>
        <v/>
      </c>
      <c r="U1196" s="170" t="n">
        <v>1</v>
      </c>
    </row>
    <row r="1197">
      <c r="A1197" s="54" t="inlineStr">
        <is>
          <t>US SL Cooling 4pc</t>
        </is>
      </c>
      <c r="B1197" s="54" t="inlineStr">
        <is>
          <t>US</t>
        </is>
      </c>
      <c r="C1197" s="54" t="inlineStr">
        <is>
          <t>B0F7LYF4RK</t>
        </is>
      </c>
      <c r="D1197" s="54" t="inlineStr">
        <is>
          <t>SL-COOLING-SHEET-FULL-LIGHT-BLUE</t>
        </is>
      </c>
      <c r="E1197" s="54" t="inlineStr">
        <is>
          <t>Full</t>
        </is>
      </c>
      <c r="F1197" s="54" t="inlineStr">
        <is>
          <t>Light Blue</t>
        </is>
      </c>
      <c r="G1197" s="55" t="n">
        <v>7</v>
      </c>
      <c r="H1197" s="167" t="n">
        <v>384.93</v>
      </c>
      <c r="I1197" s="167" t="n">
        <v>0</v>
      </c>
      <c r="J1197" s="168">
        <f>IF(AND(N(G1197)&gt;0,N(H1197)+N(I1197)&gt;0),(H1197+I1197)*U1197/G1197,"")</f>
        <v/>
      </c>
      <c r="K1197" s="167" t="n">
        <v>64.98999999999999</v>
      </c>
      <c r="L1197" s="167" t="n">
        <v>61.74</v>
      </c>
      <c r="M1197" s="54" t="inlineStr">
        <is>
          <t>Eligible</t>
        </is>
      </c>
      <c r="N1197" s="168">
        <f>IF(OR(J1197="",L1197=""),"",L1197-J1197)</f>
        <v/>
      </c>
      <c r="O1197" s="169">
        <f>IF(OR(J1197="",L1197=""),"",L1197/J1197-1)</f>
        <v/>
      </c>
      <c r="P1197" s="169">
        <f>IF(OR(J1197="",K1197=""),"",K1197/J1197-1)</f>
        <v/>
      </c>
      <c r="Q1197" s="54">
        <f>IF(AND(ISNUMBER(J1197),ISNUMBER(L1197)),1,0)</f>
        <v/>
      </c>
      <c r="R1197" s="69">
        <f>IF(Q1197=1,G1197*L1197,0)</f>
        <v/>
      </c>
      <c r="S1197" s="69">
        <f>IF(Q1197=1,(H1197+I1197)*U1197,0)</f>
        <v/>
      </c>
      <c r="T1197" s="59">
        <f>IF(Q1197=1,G1197,0)</f>
        <v/>
      </c>
      <c r="U1197" s="170" t="n">
        <v>1</v>
      </c>
    </row>
    <row r="1198">
      <c r="A1198" s="54" t="inlineStr">
        <is>
          <t>US SL Cooling 4pc</t>
        </is>
      </c>
      <c r="B1198" s="54" t="inlineStr">
        <is>
          <t>US</t>
        </is>
      </c>
      <c r="C1198" s="54" t="inlineStr">
        <is>
          <t>B0F7LXNSQK</t>
        </is>
      </c>
      <c r="D1198" s="54" t="inlineStr">
        <is>
          <t>SL-COOLING-SHEET-FULL-MIDNIGHT-BLACK</t>
        </is>
      </c>
      <c r="E1198" s="54" t="inlineStr">
        <is>
          <t>Full</t>
        </is>
      </c>
      <c r="F1198" s="54" t="inlineStr">
        <is>
          <t>Midnight Black</t>
        </is>
      </c>
      <c r="G1198" s="55" t="n">
        <v>6</v>
      </c>
      <c r="H1198" s="167" t="n">
        <v>329.94</v>
      </c>
      <c r="I1198" s="167" t="n">
        <v>0</v>
      </c>
      <c r="J1198" s="168">
        <f>IF(AND(N(G1198)&gt;0,N(H1198)+N(I1198)&gt;0),(H1198+I1198)*U1198/G1198,"")</f>
        <v/>
      </c>
      <c r="K1198" s="167" t="n">
        <v>64.98999999999999</v>
      </c>
      <c r="L1198" s="167" t="n"/>
      <c r="M1198" s="54" t="inlineStr">
        <is>
          <t>Out of stock</t>
        </is>
      </c>
      <c r="N1198" s="168">
        <f>IF(OR(J1198="",L1198=""),"",L1198-J1198)</f>
        <v/>
      </c>
      <c r="O1198" s="169">
        <f>IF(OR(J1198="",L1198=""),"",L1198/J1198-1)</f>
        <v/>
      </c>
      <c r="P1198" s="169">
        <f>IF(OR(J1198="",K1198=""),"",K1198/J1198-1)</f>
        <v/>
      </c>
      <c r="Q1198" s="54">
        <f>IF(AND(ISNUMBER(J1198),ISNUMBER(L1198)),1,0)</f>
        <v/>
      </c>
      <c r="R1198" s="69">
        <f>IF(Q1198=1,G1198*L1198,0)</f>
        <v/>
      </c>
      <c r="S1198" s="69">
        <f>IF(Q1198=1,(H1198+I1198)*U1198,0)</f>
        <v/>
      </c>
      <c r="T1198" s="59">
        <f>IF(Q1198=1,G1198,0)</f>
        <v/>
      </c>
      <c r="U1198" s="170" t="n">
        <v>1</v>
      </c>
    </row>
    <row r="1199">
      <c r="A1199" s="54" t="inlineStr">
        <is>
          <t>US SL Cooling 4pc</t>
        </is>
      </c>
      <c r="B1199" s="54" t="inlineStr">
        <is>
          <t>US</t>
        </is>
      </c>
      <c r="C1199" s="54" t="inlineStr">
        <is>
          <t>B0F7LXP5ZF</t>
        </is>
      </c>
      <c r="D1199" s="54" t="inlineStr">
        <is>
          <t>SL-COOLING-SHEET-TWIN-MIDNIGHT-BLACK</t>
        </is>
      </c>
      <c r="E1199" s="54" t="inlineStr">
        <is>
          <t>Twin</t>
        </is>
      </c>
      <c r="F1199" s="54" t="inlineStr">
        <is>
          <t>Midnight Black</t>
        </is>
      </c>
      <c r="G1199" s="55" t="n">
        <v>6</v>
      </c>
      <c r="H1199" s="167" t="n">
        <v>299.94</v>
      </c>
      <c r="I1199" s="167" t="n">
        <v>0</v>
      </c>
      <c r="J1199" s="168">
        <f>IF(AND(N(G1199)&gt;0,N(H1199)+N(I1199)&gt;0),(H1199+I1199)*U1199/G1199,"")</f>
        <v/>
      </c>
      <c r="K1199" s="167" t="n">
        <v>59.99</v>
      </c>
      <c r="L1199" s="167" t="n"/>
      <c r="M1199" s="54" t="inlineStr">
        <is>
          <t>Out of stock</t>
        </is>
      </c>
      <c r="N1199" s="168">
        <f>IF(OR(J1199="",L1199=""),"",L1199-J1199)</f>
        <v/>
      </c>
      <c r="O1199" s="169">
        <f>IF(OR(J1199="",L1199=""),"",L1199/J1199-1)</f>
        <v/>
      </c>
      <c r="P1199" s="169">
        <f>IF(OR(J1199="",K1199=""),"",K1199/J1199-1)</f>
        <v/>
      </c>
      <c r="Q1199" s="54">
        <f>IF(AND(ISNUMBER(J1199),ISNUMBER(L1199)),1,0)</f>
        <v/>
      </c>
      <c r="R1199" s="69">
        <f>IF(Q1199=1,G1199*L1199,0)</f>
        <v/>
      </c>
      <c r="S1199" s="69">
        <f>IF(Q1199=1,(H1199+I1199)*U1199,0)</f>
        <v/>
      </c>
      <c r="T1199" s="59">
        <f>IF(Q1199=1,G1199,0)</f>
        <v/>
      </c>
      <c r="U1199" s="170" t="n">
        <v>1</v>
      </c>
    </row>
    <row r="1200">
      <c r="A1200" s="54" t="inlineStr">
        <is>
          <t>US SL Cooling 4pc</t>
        </is>
      </c>
      <c r="B1200" s="54" t="inlineStr">
        <is>
          <t>US</t>
        </is>
      </c>
      <c r="C1200" s="54" t="inlineStr">
        <is>
          <t>B0F7LY8QWF</t>
        </is>
      </c>
      <c r="D1200" s="54" t="inlineStr">
        <is>
          <t>SL-COOLING-SHEET-CAL-KING-GRAPHITE</t>
        </is>
      </c>
      <c r="E1200" s="54" t="inlineStr">
        <is>
          <t>Cal King</t>
        </is>
      </c>
      <c r="F1200" s="54" t="inlineStr">
        <is>
          <t>Graphite</t>
        </is>
      </c>
      <c r="G1200" s="55" t="n">
        <v>5</v>
      </c>
      <c r="H1200" s="167" t="n">
        <v>349.95</v>
      </c>
      <c r="I1200" s="167" t="n">
        <v>0</v>
      </c>
      <c r="J1200" s="168">
        <f>IF(AND(N(G1200)&gt;0,N(H1200)+N(I1200)&gt;0),(H1200+I1200)*U1200/G1200,"")</f>
        <v/>
      </c>
      <c r="K1200" s="167" t="n">
        <v>84.98999999999999</v>
      </c>
      <c r="L1200" s="167" t="n">
        <v>80.73999999999999</v>
      </c>
      <c r="M1200" s="54" t="inlineStr">
        <is>
          <t>Eligible</t>
        </is>
      </c>
      <c r="N1200" s="168">
        <f>IF(OR(J1200="",L1200=""),"",L1200-J1200)</f>
        <v/>
      </c>
      <c r="O1200" s="169">
        <f>IF(OR(J1200="",L1200=""),"",L1200/J1200-1)</f>
        <v/>
      </c>
      <c r="P1200" s="169">
        <f>IF(OR(J1200="",K1200=""),"",K1200/J1200-1)</f>
        <v/>
      </c>
      <c r="Q1200" s="54">
        <f>IF(AND(ISNUMBER(J1200),ISNUMBER(L1200)),1,0)</f>
        <v/>
      </c>
      <c r="R1200" s="69">
        <f>IF(Q1200=1,G1200*L1200,0)</f>
        <v/>
      </c>
      <c r="S1200" s="69">
        <f>IF(Q1200=1,(H1200+I1200)*U1200,0)</f>
        <v/>
      </c>
      <c r="T1200" s="59">
        <f>IF(Q1200=1,G1200,0)</f>
        <v/>
      </c>
      <c r="U1200" s="170" t="n">
        <v>1</v>
      </c>
    </row>
    <row r="1201">
      <c r="A1201" s="54" t="inlineStr">
        <is>
          <t>US SL Cooling 4pc</t>
        </is>
      </c>
      <c r="B1201" s="54" t="inlineStr">
        <is>
          <t>US</t>
        </is>
      </c>
      <c r="C1201" s="54" t="inlineStr">
        <is>
          <t>B0F7LX3RH5</t>
        </is>
      </c>
      <c r="D1201" s="54" t="inlineStr">
        <is>
          <t>SL-COOLING-SHEET-CAL-KING-LIGHT-BLUE</t>
        </is>
      </c>
      <c r="E1201" s="54" t="inlineStr">
        <is>
          <t>Cal King</t>
        </is>
      </c>
      <c r="F1201" s="54" t="inlineStr">
        <is>
          <t>Light Blue</t>
        </is>
      </c>
      <c r="G1201" s="55" t="n">
        <v>5</v>
      </c>
      <c r="H1201" s="167" t="n">
        <v>349.95</v>
      </c>
      <c r="I1201" s="167" t="n">
        <v>0</v>
      </c>
      <c r="J1201" s="168">
        <f>IF(AND(N(G1201)&gt;0,N(H1201)+N(I1201)&gt;0),(H1201+I1201)*U1201/G1201,"")</f>
        <v/>
      </c>
      <c r="K1201" s="167" t="n">
        <v>84.98999999999999</v>
      </c>
      <c r="L1201" s="167" t="n"/>
      <c r="M1201" s="54" t="inlineStr">
        <is>
          <t>Out of stock</t>
        </is>
      </c>
      <c r="N1201" s="168">
        <f>IF(OR(J1201="",L1201=""),"",L1201-J1201)</f>
        <v/>
      </c>
      <c r="O1201" s="169">
        <f>IF(OR(J1201="",L1201=""),"",L1201/J1201-1)</f>
        <v/>
      </c>
      <c r="P1201" s="169">
        <f>IF(OR(J1201="",K1201=""),"",K1201/J1201-1)</f>
        <v/>
      </c>
      <c r="Q1201" s="54">
        <f>IF(AND(ISNUMBER(J1201),ISNUMBER(L1201)),1,0)</f>
        <v/>
      </c>
      <c r="R1201" s="69">
        <f>IF(Q1201=1,G1201*L1201,0)</f>
        <v/>
      </c>
      <c r="S1201" s="69">
        <f>IF(Q1201=1,(H1201+I1201)*U1201,0)</f>
        <v/>
      </c>
      <c r="T1201" s="59">
        <f>IF(Q1201=1,G1201,0)</f>
        <v/>
      </c>
      <c r="U1201" s="170" t="n">
        <v>1</v>
      </c>
    </row>
    <row r="1202">
      <c r="A1202" s="54" t="inlineStr">
        <is>
          <t>US SL Cooling 4pc</t>
        </is>
      </c>
      <c r="B1202" s="54" t="inlineStr">
        <is>
          <t>US</t>
        </is>
      </c>
      <c r="C1202" s="54" t="inlineStr">
        <is>
          <t>B0F7LX6LFL</t>
        </is>
      </c>
      <c r="D1202" s="54" t="inlineStr">
        <is>
          <t>SL-COOLING-SHEET-CAL-KING-WHITE</t>
        </is>
      </c>
      <c r="E1202" s="54" t="inlineStr">
        <is>
          <t>Cal King</t>
        </is>
      </c>
      <c r="F1202" s="54" t="inlineStr">
        <is>
          <t>White</t>
        </is>
      </c>
      <c r="G1202" s="55" t="n">
        <v>5</v>
      </c>
      <c r="H1202" s="167" t="n">
        <v>349.95</v>
      </c>
      <c r="I1202" s="167" t="n">
        <v>0</v>
      </c>
      <c r="J1202" s="168">
        <f>IF(AND(N(G1202)&gt;0,N(H1202)+N(I1202)&gt;0),(H1202+I1202)*U1202/G1202,"")</f>
        <v/>
      </c>
      <c r="K1202" s="167" t="n">
        <v>84.98999999999999</v>
      </c>
      <c r="L1202" s="167" t="n">
        <v>80.73999999999999</v>
      </c>
      <c r="M1202" s="54" t="inlineStr">
        <is>
          <t>Eligible</t>
        </is>
      </c>
      <c r="N1202" s="168">
        <f>IF(OR(J1202="",L1202=""),"",L1202-J1202)</f>
        <v/>
      </c>
      <c r="O1202" s="169">
        <f>IF(OR(J1202="",L1202=""),"",L1202/J1202-1)</f>
        <v/>
      </c>
      <c r="P1202" s="169">
        <f>IF(OR(J1202="",K1202=""),"",K1202/J1202-1)</f>
        <v/>
      </c>
      <c r="Q1202" s="54">
        <f>IF(AND(ISNUMBER(J1202),ISNUMBER(L1202)),1,0)</f>
        <v/>
      </c>
      <c r="R1202" s="69">
        <f>IF(Q1202=1,G1202*L1202,0)</f>
        <v/>
      </c>
      <c r="S1202" s="69">
        <f>IF(Q1202=1,(H1202+I1202)*U1202,0)</f>
        <v/>
      </c>
      <c r="T1202" s="59">
        <f>IF(Q1202=1,G1202,0)</f>
        <v/>
      </c>
      <c r="U1202" s="170" t="n">
        <v>1</v>
      </c>
    </row>
    <row r="1203">
      <c r="A1203" s="54" t="inlineStr">
        <is>
          <t>US SL Cooling 4pc</t>
        </is>
      </c>
      <c r="B1203" s="54" t="inlineStr">
        <is>
          <t>US</t>
        </is>
      </c>
      <c r="C1203" s="54" t="inlineStr">
        <is>
          <t>B0F7LZNYY8</t>
        </is>
      </c>
      <c r="D1203" s="54" t="inlineStr">
        <is>
          <t>SL-COOLING-SHEET-FULL-LIGHT-PINK</t>
        </is>
      </c>
      <c r="E1203" s="54" t="inlineStr">
        <is>
          <t>Full</t>
        </is>
      </c>
      <c r="F1203" s="54" t="inlineStr">
        <is>
          <t>Light Pink</t>
        </is>
      </c>
      <c r="G1203" s="55" t="n">
        <v>5</v>
      </c>
      <c r="H1203" s="167" t="n">
        <v>219.96</v>
      </c>
      <c r="I1203" s="167" t="n">
        <v>0</v>
      </c>
      <c r="J1203" s="168">
        <f>IF(AND(N(G1203)&gt;0,N(H1203)+N(I1203)&gt;0),(H1203+I1203)*U1203/G1203,"")</f>
        <v/>
      </c>
      <c r="K1203" s="167" t="n">
        <v>64.98999999999999</v>
      </c>
      <c r="L1203" s="167" t="n">
        <v>61.74</v>
      </c>
      <c r="M1203" s="54" t="inlineStr">
        <is>
          <t>Eligible</t>
        </is>
      </c>
      <c r="N1203" s="168">
        <f>IF(OR(J1203="",L1203=""),"",L1203-J1203)</f>
        <v/>
      </c>
      <c r="O1203" s="169">
        <f>IF(OR(J1203="",L1203=""),"",L1203/J1203-1)</f>
        <v/>
      </c>
      <c r="P1203" s="169">
        <f>IF(OR(J1203="",K1203=""),"",K1203/J1203-1)</f>
        <v/>
      </c>
      <c r="Q1203" s="54">
        <f>IF(AND(ISNUMBER(J1203),ISNUMBER(L1203)),1,0)</f>
        <v/>
      </c>
      <c r="R1203" s="69">
        <f>IF(Q1203=1,G1203*L1203,0)</f>
        <v/>
      </c>
      <c r="S1203" s="69">
        <f>IF(Q1203=1,(H1203+I1203)*U1203,0)</f>
        <v/>
      </c>
      <c r="T1203" s="59">
        <f>IF(Q1203=1,G1203,0)</f>
        <v/>
      </c>
      <c r="U1203" s="170" t="n">
        <v>1</v>
      </c>
    </row>
    <row r="1204">
      <c r="A1204" s="54" t="inlineStr">
        <is>
          <t>US SL Cooling 4pc</t>
        </is>
      </c>
      <c r="B1204" s="54" t="inlineStr">
        <is>
          <t>US</t>
        </is>
      </c>
      <c r="C1204" s="54" t="inlineStr">
        <is>
          <t>B0F7LYFZ5Y</t>
        </is>
      </c>
      <c r="D1204" s="54" t="inlineStr">
        <is>
          <t>SL-COOLING-SHEET-FULL-WHITE</t>
        </is>
      </c>
      <c r="E1204" s="54" t="inlineStr">
        <is>
          <t>Full</t>
        </is>
      </c>
      <c r="F1204" s="54" t="inlineStr">
        <is>
          <t>White</t>
        </is>
      </c>
      <c r="G1204" s="55" t="n">
        <v>5</v>
      </c>
      <c r="H1204" s="167" t="n">
        <v>274.95</v>
      </c>
      <c r="I1204" s="167" t="n">
        <v>0</v>
      </c>
      <c r="J1204" s="168">
        <f>IF(AND(N(G1204)&gt;0,N(H1204)+N(I1204)&gt;0),(H1204+I1204)*U1204/G1204,"")</f>
        <v/>
      </c>
      <c r="K1204" s="167" t="n">
        <v>64.98999999999999</v>
      </c>
      <c r="L1204" s="167" t="n"/>
      <c r="M1204" s="54" t="inlineStr">
        <is>
          <t>Out of stock</t>
        </is>
      </c>
      <c r="N1204" s="168">
        <f>IF(OR(J1204="",L1204=""),"",L1204-J1204)</f>
        <v/>
      </c>
      <c r="O1204" s="169">
        <f>IF(OR(J1204="",L1204=""),"",L1204/J1204-1)</f>
        <v/>
      </c>
      <c r="P1204" s="169">
        <f>IF(OR(J1204="",K1204=""),"",K1204/J1204-1)</f>
        <v/>
      </c>
      <c r="Q1204" s="54">
        <f>IF(AND(ISNUMBER(J1204),ISNUMBER(L1204)),1,0)</f>
        <v/>
      </c>
      <c r="R1204" s="69">
        <f>IF(Q1204=1,G1204*L1204,0)</f>
        <v/>
      </c>
      <c r="S1204" s="69">
        <f>IF(Q1204=1,(H1204+I1204)*U1204,0)</f>
        <v/>
      </c>
      <c r="T1204" s="59">
        <f>IF(Q1204=1,G1204,0)</f>
        <v/>
      </c>
      <c r="U1204" s="170" t="n">
        <v>1</v>
      </c>
    </row>
    <row r="1205">
      <c r="A1205" s="54" t="inlineStr">
        <is>
          <t>US SL Cooling 4pc</t>
        </is>
      </c>
      <c r="B1205" s="54" t="inlineStr">
        <is>
          <t>US</t>
        </is>
      </c>
      <c r="C1205" s="54" t="inlineStr">
        <is>
          <t>B0F7LTXSLG</t>
        </is>
      </c>
      <c r="D1205" s="54" t="inlineStr">
        <is>
          <t>SL-COOLING-SHEET-KING-LIGHT-PINK</t>
        </is>
      </c>
      <c r="E1205" s="54" t="inlineStr">
        <is>
          <t>King</t>
        </is>
      </c>
      <c r="F1205" s="54" t="inlineStr">
        <is>
          <t>Light Pink</t>
        </is>
      </c>
      <c r="G1205" s="55" t="n">
        <v>5</v>
      </c>
      <c r="H1205" s="167" t="n">
        <v>349.95</v>
      </c>
      <c r="I1205" s="167" t="n">
        <v>0</v>
      </c>
      <c r="J1205" s="168">
        <f>IF(AND(N(G1205)&gt;0,N(H1205)+N(I1205)&gt;0),(H1205+I1205)*U1205/G1205,"")</f>
        <v/>
      </c>
      <c r="K1205" s="167" t="n">
        <v>84.98999999999999</v>
      </c>
      <c r="L1205" s="167" t="n"/>
      <c r="M1205" s="54" t="inlineStr">
        <is>
          <t>Out of stock</t>
        </is>
      </c>
      <c r="N1205" s="168">
        <f>IF(OR(J1205="",L1205=""),"",L1205-J1205)</f>
        <v/>
      </c>
      <c r="O1205" s="169">
        <f>IF(OR(J1205="",L1205=""),"",L1205/J1205-1)</f>
        <v/>
      </c>
      <c r="P1205" s="169">
        <f>IF(OR(J1205="",K1205=""),"",K1205/J1205-1)</f>
        <v/>
      </c>
      <c r="Q1205" s="54">
        <f>IF(AND(ISNUMBER(J1205),ISNUMBER(L1205)),1,0)</f>
        <v/>
      </c>
      <c r="R1205" s="69">
        <f>IF(Q1205=1,G1205*L1205,0)</f>
        <v/>
      </c>
      <c r="S1205" s="69">
        <f>IF(Q1205=1,(H1205+I1205)*U1205,0)</f>
        <v/>
      </c>
      <c r="T1205" s="59">
        <f>IF(Q1205=1,G1205,0)</f>
        <v/>
      </c>
      <c r="U1205" s="170" t="n">
        <v>1</v>
      </c>
    </row>
    <row r="1206">
      <c r="A1206" s="54" t="inlineStr">
        <is>
          <t>US SL Cooling 4pc</t>
        </is>
      </c>
      <c r="B1206" s="54" t="inlineStr">
        <is>
          <t>US</t>
        </is>
      </c>
      <c r="C1206" s="54" t="inlineStr">
        <is>
          <t>B0F7LXFGLX</t>
        </is>
      </c>
      <c r="D1206" s="54" t="inlineStr">
        <is>
          <t>SL-COOLING-SHEET-CAL-KING-BEIGE</t>
        </is>
      </c>
      <c r="E1206" s="54" t="inlineStr">
        <is>
          <t>Cal King</t>
        </is>
      </c>
      <c r="F1206" s="54" t="inlineStr">
        <is>
          <t>Beige</t>
        </is>
      </c>
      <c r="G1206" s="55" t="n">
        <v>4</v>
      </c>
      <c r="H1206" s="167" t="n">
        <v>279.96</v>
      </c>
      <c r="I1206" s="167" t="n">
        <v>0</v>
      </c>
      <c r="J1206" s="168">
        <f>IF(AND(N(G1206)&gt;0,N(H1206)+N(I1206)&gt;0),(H1206+I1206)*U1206/G1206,"")</f>
        <v/>
      </c>
      <c r="K1206" s="167" t="n">
        <v>84.98999999999999</v>
      </c>
      <c r="L1206" s="167" t="n"/>
      <c r="M1206" s="54" t="inlineStr">
        <is>
          <t>Out of stock</t>
        </is>
      </c>
      <c r="N1206" s="168">
        <f>IF(OR(J1206="",L1206=""),"",L1206-J1206)</f>
        <v/>
      </c>
      <c r="O1206" s="169">
        <f>IF(OR(J1206="",L1206=""),"",L1206/J1206-1)</f>
        <v/>
      </c>
      <c r="P1206" s="169">
        <f>IF(OR(J1206="",K1206=""),"",K1206/J1206-1)</f>
        <v/>
      </c>
      <c r="Q1206" s="54">
        <f>IF(AND(ISNUMBER(J1206),ISNUMBER(L1206)),1,0)</f>
        <v/>
      </c>
      <c r="R1206" s="69">
        <f>IF(Q1206=1,G1206*L1206,0)</f>
        <v/>
      </c>
      <c r="S1206" s="69">
        <f>IF(Q1206=1,(H1206+I1206)*U1206,0)</f>
        <v/>
      </c>
      <c r="T1206" s="59">
        <f>IF(Q1206=1,G1206,0)</f>
        <v/>
      </c>
      <c r="U1206" s="170" t="n">
        <v>1</v>
      </c>
    </row>
    <row r="1207">
      <c r="A1207" s="54" t="inlineStr">
        <is>
          <t>US SL Cooling 4pc</t>
        </is>
      </c>
      <c r="B1207" s="54" t="inlineStr">
        <is>
          <t>US</t>
        </is>
      </c>
      <c r="C1207" s="54" t="inlineStr">
        <is>
          <t>B0F7LWK8S4</t>
        </is>
      </c>
      <c r="D1207" s="54" t="inlineStr">
        <is>
          <t>SL-COOLING-SHEET-CAL-KING-COOL-GREY</t>
        </is>
      </c>
      <c r="E1207" s="54" t="inlineStr">
        <is>
          <t>Cal King</t>
        </is>
      </c>
      <c r="F1207" s="54" t="inlineStr">
        <is>
          <t>Cool Grey</t>
        </is>
      </c>
      <c r="G1207" s="55" t="n">
        <v>4</v>
      </c>
      <c r="H1207" s="167" t="n">
        <v>279.96</v>
      </c>
      <c r="I1207" s="167" t="n">
        <v>0</v>
      </c>
      <c r="J1207" s="168">
        <f>IF(AND(N(G1207)&gt;0,N(H1207)+N(I1207)&gt;0),(H1207+I1207)*U1207/G1207,"")</f>
        <v/>
      </c>
      <c r="K1207" s="167" t="n">
        <v>84.98999999999999</v>
      </c>
      <c r="L1207" s="167" t="n">
        <v>80.73999999999999</v>
      </c>
      <c r="M1207" s="54" t="inlineStr">
        <is>
          <t>Eligible</t>
        </is>
      </c>
      <c r="N1207" s="168">
        <f>IF(OR(J1207="",L1207=""),"",L1207-J1207)</f>
        <v/>
      </c>
      <c r="O1207" s="169">
        <f>IF(OR(J1207="",L1207=""),"",L1207/J1207-1)</f>
        <v/>
      </c>
      <c r="P1207" s="169">
        <f>IF(OR(J1207="",K1207=""),"",K1207/J1207-1)</f>
        <v/>
      </c>
      <c r="Q1207" s="54">
        <f>IF(AND(ISNUMBER(J1207),ISNUMBER(L1207)),1,0)</f>
        <v/>
      </c>
      <c r="R1207" s="69">
        <f>IF(Q1207=1,G1207*L1207,0)</f>
        <v/>
      </c>
      <c r="S1207" s="69">
        <f>IF(Q1207=1,(H1207+I1207)*U1207,0)</f>
        <v/>
      </c>
      <c r="T1207" s="59">
        <f>IF(Q1207=1,G1207,0)</f>
        <v/>
      </c>
      <c r="U1207" s="170" t="n">
        <v>1</v>
      </c>
    </row>
    <row r="1208">
      <c r="A1208" s="54" t="inlineStr">
        <is>
          <t>US SL Cooling 4pc</t>
        </is>
      </c>
      <c r="B1208" s="54" t="inlineStr">
        <is>
          <t>US</t>
        </is>
      </c>
      <c r="C1208" s="54" t="inlineStr">
        <is>
          <t>B0F7LZ27F2</t>
        </is>
      </c>
      <c r="D1208" s="54" t="inlineStr">
        <is>
          <t>SL-COOLING-SHEET-TWIN-GRAPHITE</t>
        </is>
      </c>
      <c r="E1208" s="54" t="inlineStr">
        <is>
          <t>Twin</t>
        </is>
      </c>
      <c r="F1208" s="54" t="inlineStr">
        <is>
          <t>Graphite</t>
        </is>
      </c>
      <c r="G1208" s="55" t="n">
        <v>4</v>
      </c>
      <c r="H1208" s="167" t="n">
        <v>194.96</v>
      </c>
      <c r="I1208" s="167" t="n">
        <v>0</v>
      </c>
      <c r="J1208" s="168">
        <f>IF(AND(N(G1208)&gt;0,N(H1208)+N(I1208)&gt;0),(H1208+I1208)*U1208/G1208,"")</f>
        <v/>
      </c>
      <c r="K1208" s="167" t="n">
        <v>59.99</v>
      </c>
      <c r="L1208" s="167" t="n">
        <v>56.99</v>
      </c>
      <c r="M1208" s="54" t="inlineStr">
        <is>
          <t>Eligible</t>
        </is>
      </c>
      <c r="N1208" s="168">
        <f>IF(OR(J1208="",L1208=""),"",L1208-J1208)</f>
        <v/>
      </c>
      <c r="O1208" s="169">
        <f>IF(OR(J1208="",L1208=""),"",L1208/J1208-1)</f>
        <v/>
      </c>
      <c r="P1208" s="169">
        <f>IF(OR(J1208="",K1208=""),"",K1208/J1208-1)</f>
        <v/>
      </c>
      <c r="Q1208" s="54">
        <f>IF(AND(ISNUMBER(J1208),ISNUMBER(L1208)),1,0)</f>
        <v/>
      </c>
      <c r="R1208" s="69">
        <f>IF(Q1208=1,G1208*L1208,0)</f>
        <v/>
      </c>
      <c r="S1208" s="69">
        <f>IF(Q1208=1,(H1208+I1208)*U1208,0)</f>
        <v/>
      </c>
      <c r="T1208" s="59">
        <f>IF(Q1208=1,G1208,0)</f>
        <v/>
      </c>
      <c r="U1208" s="170" t="n">
        <v>1</v>
      </c>
    </row>
    <row r="1209">
      <c r="A1209" s="54" t="inlineStr">
        <is>
          <t>US SL Cooling 4pc</t>
        </is>
      </c>
      <c r="B1209" s="54" t="inlineStr">
        <is>
          <t>US</t>
        </is>
      </c>
      <c r="C1209" s="54" t="inlineStr">
        <is>
          <t>B0F7LXNNGZ</t>
        </is>
      </c>
      <c r="D1209" s="54" t="inlineStr">
        <is>
          <t>SL-COOLING-SHEET-TWIN-REGAL-PURPLE</t>
        </is>
      </c>
      <c r="E1209" s="54" t="inlineStr">
        <is>
          <t>Twin</t>
        </is>
      </c>
      <c r="F1209" s="54" t="inlineStr">
        <is>
          <t>Regal Purple</t>
        </is>
      </c>
      <c r="G1209" s="55" t="n">
        <v>4</v>
      </c>
      <c r="H1209" s="167" t="n">
        <v>199.96</v>
      </c>
      <c r="I1209" s="167" t="n">
        <v>0</v>
      </c>
      <c r="J1209" s="168">
        <f>IF(AND(N(G1209)&gt;0,N(H1209)+N(I1209)&gt;0),(H1209+I1209)*U1209/G1209,"")</f>
        <v/>
      </c>
      <c r="K1209" s="167" t="n">
        <v>59.99</v>
      </c>
      <c r="L1209" s="167" t="n"/>
      <c r="M1209" s="54" t="inlineStr">
        <is>
          <t>Out of stock</t>
        </is>
      </c>
      <c r="N1209" s="168">
        <f>IF(OR(J1209="",L1209=""),"",L1209-J1209)</f>
        <v/>
      </c>
      <c r="O1209" s="169">
        <f>IF(OR(J1209="",L1209=""),"",L1209/J1209-1)</f>
        <v/>
      </c>
      <c r="P1209" s="169">
        <f>IF(OR(J1209="",K1209=""),"",K1209/J1209-1)</f>
        <v/>
      </c>
      <c r="Q1209" s="54">
        <f>IF(AND(ISNUMBER(J1209),ISNUMBER(L1209)),1,0)</f>
        <v/>
      </c>
      <c r="R1209" s="69">
        <f>IF(Q1209=1,G1209*L1209,0)</f>
        <v/>
      </c>
      <c r="S1209" s="69">
        <f>IF(Q1209=1,(H1209+I1209)*U1209,0)</f>
        <v/>
      </c>
      <c r="T1209" s="59">
        <f>IF(Q1209=1,G1209,0)</f>
        <v/>
      </c>
      <c r="U1209" s="170" t="n">
        <v>1</v>
      </c>
    </row>
    <row r="1210">
      <c r="A1210" s="54" t="inlineStr">
        <is>
          <t>US SL Cooling 4pc</t>
        </is>
      </c>
      <c r="B1210" s="54" t="inlineStr">
        <is>
          <t>US</t>
        </is>
      </c>
      <c r="C1210" s="54" t="inlineStr">
        <is>
          <t>B0F7LXCSKW</t>
        </is>
      </c>
      <c r="D1210" s="54" t="inlineStr">
        <is>
          <t>SL-COOLING-SHEET-CAL-KING-REGAL-PURPLE</t>
        </is>
      </c>
      <c r="E1210" s="54" t="inlineStr">
        <is>
          <t>Cal King</t>
        </is>
      </c>
      <c r="F1210" s="54" t="inlineStr">
        <is>
          <t>Regal Purple</t>
        </is>
      </c>
      <c r="G1210" s="55" t="n">
        <v>3</v>
      </c>
      <c r="H1210" s="167" t="n">
        <v>209.97</v>
      </c>
      <c r="I1210" s="167" t="n">
        <v>0</v>
      </c>
      <c r="J1210" s="168">
        <f>IF(AND(N(G1210)&gt;0,N(H1210)+N(I1210)&gt;0),(H1210+I1210)*U1210/G1210,"")</f>
        <v/>
      </c>
      <c r="K1210" s="167" t="n">
        <v>84.98999999999999</v>
      </c>
      <c r="L1210" s="167" t="n">
        <v>80.73999999999999</v>
      </c>
      <c r="M1210" s="54" t="inlineStr">
        <is>
          <t>Eligible</t>
        </is>
      </c>
      <c r="N1210" s="168">
        <f>IF(OR(J1210="",L1210=""),"",L1210-J1210)</f>
        <v/>
      </c>
      <c r="O1210" s="169">
        <f>IF(OR(J1210="",L1210=""),"",L1210/J1210-1)</f>
        <v/>
      </c>
      <c r="P1210" s="169">
        <f>IF(OR(J1210="",K1210=""),"",K1210/J1210-1)</f>
        <v/>
      </c>
      <c r="Q1210" s="54">
        <f>IF(AND(ISNUMBER(J1210),ISNUMBER(L1210)),1,0)</f>
        <v/>
      </c>
      <c r="R1210" s="69">
        <f>IF(Q1210=1,G1210*L1210,0)</f>
        <v/>
      </c>
      <c r="S1210" s="69">
        <f>IF(Q1210=1,(H1210+I1210)*U1210,0)</f>
        <v/>
      </c>
      <c r="T1210" s="59">
        <f>IF(Q1210=1,G1210,0)</f>
        <v/>
      </c>
      <c r="U1210" s="170" t="n">
        <v>1</v>
      </c>
    </row>
    <row r="1211">
      <c r="A1211" s="54" t="inlineStr">
        <is>
          <t>US SL Cooling 4pc</t>
        </is>
      </c>
      <c r="B1211" s="54" t="inlineStr">
        <is>
          <t>US</t>
        </is>
      </c>
      <c r="C1211" s="54" t="inlineStr">
        <is>
          <t>B0F7LYBQYF</t>
        </is>
      </c>
      <c r="D1211" s="54" t="inlineStr">
        <is>
          <t>SL-COOLING-SHEET-FULL-BEIGE</t>
        </is>
      </c>
      <c r="E1211" s="54" t="inlineStr">
        <is>
          <t>Full</t>
        </is>
      </c>
      <c r="F1211" s="54" t="inlineStr">
        <is>
          <t>Beige</t>
        </is>
      </c>
      <c r="G1211" s="55" t="n">
        <v>3</v>
      </c>
      <c r="H1211" s="167" t="n">
        <v>179.97</v>
      </c>
      <c r="I1211" s="167" t="n">
        <v>0</v>
      </c>
      <c r="J1211" s="168">
        <f>IF(AND(N(G1211)&gt;0,N(H1211)+N(I1211)&gt;0),(H1211+I1211)*U1211/G1211,"")</f>
        <v/>
      </c>
      <c r="K1211" s="167" t="n">
        <v>64.98999999999999</v>
      </c>
      <c r="L1211" s="167" t="n">
        <v>61.74</v>
      </c>
      <c r="M1211" s="54" t="inlineStr">
        <is>
          <t>Eligible</t>
        </is>
      </c>
      <c r="N1211" s="168">
        <f>IF(OR(J1211="",L1211=""),"",L1211-J1211)</f>
        <v/>
      </c>
      <c r="O1211" s="169">
        <f>IF(OR(J1211="",L1211=""),"",L1211/J1211-1)</f>
        <v/>
      </c>
      <c r="P1211" s="169">
        <f>IF(OR(J1211="",K1211=""),"",K1211/J1211-1)</f>
        <v/>
      </c>
      <c r="Q1211" s="54">
        <f>IF(AND(ISNUMBER(J1211),ISNUMBER(L1211)),1,0)</f>
        <v/>
      </c>
      <c r="R1211" s="69">
        <f>IF(Q1211=1,G1211*L1211,0)</f>
        <v/>
      </c>
      <c r="S1211" s="69">
        <f>IF(Q1211=1,(H1211+I1211)*U1211,0)</f>
        <v/>
      </c>
      <c r="T1211" s="59">
        <f>IF(Q1211=1,G1211,0)</f>
        <v/>
      </c>
      <c r="U1211" s="170" t="n">
        <v>1</v>
      </c>
    </row>
    <row r="1212">
      <c r="A1212" s="54" t="inlineStr">
        <is>
          <t>US SL Cooling 4pc</t>
        </is>
      </c>
      <c r="B1212" s="54" t="inlineStr">
        <is>
          <t>US</t>
        </is>
      </c>
      <c r="C1212" s="54" t="inlineStr">
        <is>
          <t>B0F7LY14LM</t>
        </is>
      </c>
      <c r="D1212" s="54" t="inlineStr">
        <is>
          <t>SL-COOLING-SHEET-QUEEN-MIDNIGHT-BLACK</t>
        </is>
      </c>
      <c r="E1212" s="54" t="inlineStr">
        <is>
          <t>Queen</t>
        </is>
      </c>
      <c r="F1212" s="54" t="inlineStr">
        <is>
          <t>Midnight Black</t>
        </is>
      </c>
      <c r="G1212" s="55" t="n">
        <v>3</v>
      </c>
      <c r="H1212" s="167" t="n">
        <v>194.97</v>
      </c>
      <c r="I1212" s="167" t="n">
        <v>0</v>
      </c>
      <c r="J1212" s="168">
        <f>IF(AND(N(G1212)&gt;0,N(H1212)+N(I1212)&gt;0),(H1212+I1212)*U1212/G1212,"")</f>
        <v/>
      </c>
      <c r="K1212" s="167" t="n">
        <v>79.98999999999999</v>
      </c>
      <c r="L1212" s="167" t="n">
        <v>75.98999999999999</v>
      </c>
      <c r="M1212" s="54" t="inlineStr">
        <is>
          <t>Eligible</t>
        </is>
      </c>
      <c r="N1212" s="168">
        <f>IF(OR(J1212="",L1212=""),"",L1212-J1212)</f>
        <v/>
      </c>
      <c r="O1212" s="169">
        <f>IF(OR(J1212="",L1212=""),"",L1212/J1212-1)</f>
        <v/>
      </c>
      <c r="P1212" s="169">
        <f>IF(OR(J1212="",K1212=""),"",K1212/J1212-1)</f>
        <v/>
      </c>
      <c r="Q1212" s="54">
        <f>IF(AND(ISNUMBER(J1212),ISNUMBER(L1212)),1,0)</f>
        <v/>
      </c>
      <c r="R1212" s="69">
        <f>IF(Q1212=1,G1212*L1212,0)</f>
        <v/>
      </c>
      <c r="S1212" s="69">
        <f>IF(Q1212=1,(H1212+I1212)*U1212,0)</f>
        <v/>
      </c>
      <c r="T1212" s="59">
        <f>IF(Q1212=1,G1212,0)</f>
        <v/>
      </c>
      <c r="U1212" s="170" t="n">
        <v>1</v>
      </c>
    </row>
    <row r="1213">
      <c r="A1213" s="54" t="inlineStr">
        <is>
          <t>US SL Cooling 4pc</t>
        </is>
      </c>
      <c r="B1213" s="54" t="inlineStr">
        <is>
          <t>US</t>
        </is>
      </c>
      <c r="C1213" s="54" t="inlineStr">
        <is>
          <t>B0F7LXWBL8</t>
        </is>
      </c>
      <c r="D1213" s="54" t="inlineStr">
        <is>
          <t>SL-COOLING-SHEET-TWIN-COOL-GREY</t>
        </is>
      </c>
      <c r="E1213" s="54" t="inlineStr">
        <is>
          <t>Twin</t>
        </is>
      </c>
      <c r="F1213" s="54" t="inlineStr">
        <is>
          <t>Cool Grey</t>
        </is>
      </c>
      <c r="G1213" s="55" t="n">
        <v>3</v>
      </c>
      <c r="H1213" s="167" t="n">
        <v>149.97</v>
      </c>
      <c r="I1213" s="167" t="n">
        <v>0</v>
      </c>
      <c r="J1213" s="168">
        <f>IF(AND(N(G1213)&gt;0,N(H1213)+N(I1213)&gt;0),(H1213+I1213)*U1213/G1213,"")</f>
        <v/>
      </c>
      <c r="K1213" s="167" t="n">
        <v>59.99</v>
      </c>
      <c r="L1213" s="167" t="n">
        <v>56.99</v>
      </c>
      <c r="M1213" s="54" t="inlineStr">
        <is>
          <t>Eligible</t>
        </is>
      </c>
      <c r="N1213" s="168">
        <f>IF(OR(J1213="",L1213=""),"",L1213-J1213)</f>
        <v/>
      </c>
      <c r="O1213" s="169">
        <f>IF(OR(J1213="",L1213=""),"",L1213/J1213-1)</f>
        <v/>
      </c>
      <c r="P1213" s="169">
        <f>IF(OR(J1213="",K1213=""),"",K1213/J1213-1)</f>
        <v/>
      </c>
      <c r="Q1213" s="54">
        <f>IF(AND(ISNUMBER(J1213),ISNUMBER(L1213)),1,0)</f>
        <v/>
      </c>
      <c r="R1213" s="69">
        <f>IF(Q1213=1,G1213*L1213,0)</f>
        <v/>
      </c>
      <c r="S1213" s="69">
        <f>IF(Q1213=1,(H1213+I1213)*U1213,0)</f>
        <v/>
      </c>
      <c r="T1213" s="59">
        <f>IF(Q1213=1,G1213,0)</f>
        <v/>
      </c>
      <c r="U1213" s="170" t="n">
        <v>1</v>
      </c>
    </row>
    <row r="1214">
      <c r="A1214" s="54" t="inlineStr">
        <is>
          <t>US SL Cooling 4pc</t>
        </is>
      </c>
      <c r="B1214" s="54" t="inlineStr">
        <is>
          <t>US</t>
        </is>
      </c>
      <c r="C1214" s="54" t="inlineStr">
        <is>
          <t>B0F7M1847R</t>
        </is>
      </c>
      <c r="D1214" s="54" t="inlineStr">
        <is>
          <t>SL-COOLING-SHEET-CAL-KING-LIGHT-GREY</t>
        </is>
      </c>
      <c r="E1214" s="54" t="inlineStr">
        <is>
          <t>Cal King</t>
        </is>
      </c>
      <c r="F1214" s="54" t="inlineStr">
        <is>
          <t>Light Grey</t>
        </is>
      </c>
      <c r="G1214" s="55" t="n">
        <v>2</v>
      </c>
      <c r="H1214" s="167" t="n">
        <v>149.98</v>
      </c>
      <c r="I1214" s="167" t="n">
        <v>0</v>
      </c>
      <c r="J1214" s="168">
        <f>IF(AND(N(G1214)&gt;0,N(H1214)+N(I1214)&gt;0),(H1214+I1214)*U1214/G1214,"")</f>
        <v/>
      </c>
      <c r="K1214" s="167" t="n">
        <v>84.98999999999999</v>
      </c>
      <c r="L1214" s="167" t="n"/>
      <c r="M1214" s="54" t="inlineStr">
        <is>
          <t>Out of stock</t>
        </is>
      </c>
      <c r="N1214" s="168">
        <f>IF(OR(J1214="",L1214=""),"",L1214-J1214)</f>
        <v/>
      </c>
      <c r="O1214" s="169">
        <f>IF(OR(J1214="",L1214=""),"",L1214/J1214-1)</f>
        <v/>
      </c>
      <c r="P1214" s="169">
        <f>IF(OR(J1214="",K1214=""),"",K1214/J1214-1)</f>
        <v/>
      </c>
      <c r="Q1214" s="54">
        <f>IF(AND(ISNUMBER(J1214),ISNUMBER(L1214)),1,0)</f>
        <v/>
      </c>
      <c r="R1214" s="69">
        <f>IF(Q1214=1,G1214*L1214,0)</f>
        <v/>
      </c>
      <c r="S1214" s="69">
        <f>IF(Q1214=1,(H1214+I1214)*U1214,0)</f>
        <v/>
      </c>
      <c r="T1214" s="59">
        <f>IF(Q1214=1,G1214,0)</f>
        <v/>
      </c>
      <c r="U1214" s="170" t="n">
        <v>1</v>
      </c>
    </row>
    <row r="1215">
      <c r="A1215" s="54" t="inlineStr">
        <is>
          <t>US SL Cooling 4pc</t>
        </is>
      </c>
      <c r="B1215" s="54" t="inlineStr">
        <is>
          <t>US</t>
        </is>
      </c>
      <c r="C1215" s="54" t="inlineStr">
        <is>
          <t>B0F7LYR7L2</t>
        </is>
      </c>
      <c r="D1215" s="54" t="inlineStr">
        <is>
          <t>SL-COOLING-SHEET-CAL-KING-MIDNIGHT-BLACK</t>
        </is>
      </c>
      <c r="E1215" s="54" t="inlineStr">
        <is>
          <t>Cal King</t>
        </is>
      </c>
      <c r="F1215" s="54" t="inlineStr">
        <is>
          <t>Midnight Black</t>
        </is>
      </c>
      <c r="G1215" s="55" t="n">
        <v>2</v>
      </c>
      <c r="H1215" s="167" t="n">
        <v>139.98</v>
      </c>
      <c r="I1215" s="167" t="n">
        <v>0</v>
      </c>
      <c r="J1215" s="168">
        <f>IF(AND(N(G1215)&gt;0,N(H1215)+N(I1215)&gt;0),(H1215+I1215)*U1215/G1215,"")</f>
        <v/>
      </c>
      <c r="K1215" s="167" t="n">
        <v>84.98999999999999</v>
      </c>
      <c r="L1215" s="167" t="n">
        <v>80.73999999999999</v>
      </c>
      <c r="M1215" s="54" t="inlineStr">
        <is>
          <t>Eligible</t>
        </is>
      </c>
      <c r="N1215" s="168">
        <f>IF(OR(J1215="",L1215=""),"",L1215-J1215)</f>
        <v/>
      </c>
      <c r="O1215" s="169">
        <f>IF(OR(J1215="",L1215=""),"",L1215/J1215-1)</f>
        <v/>
      </c>
      <c r="P1215" s="169">
        <f>IF(OR(J1215="",K1215=""),"",K1215/J1215-1)</f>
        <v/>
      </c>
      <c r="Q1215" s="54">
        <f>IF(AND(ISNUMBER(J1215),ISNUMBER(L1215)),1,0)</f>
        <v/>
      </c>
      <c r="R1215" s="69">
        <f>IF(Q1215=1,G1215*L1215,0)</f>
        <v/>
      </c>
      <c r="S1215" s="69">
        <f>IF(Q1215=1,(H1215+I1215)*U1215,0)</f>
        <v/>
      </c>
      <c r="T1215" s="59">
        <f>IF(Q1215=1,G1215,0)</f>
        <v/>
      </c>
      <c r="U1215" s="170" t="n">
        <v>1</v>
      </c>
    </row>
    <row r="1216">
      <c r="A1216" s="54" t="inlineStr">
        <is>
          <t>US SL Cooling 4pc</t>
        </is>
      </c>
      <c r="B1216" s="54" t="inlineStr">
        <is>
          <t>US</t>
        </is>
      </c>
      <c r="C1216" s="54" t="inlineStr">
        <is>
          <t>B0F7LXFBGG</t>
        </is>
      </c>
      <c r="D1216" s="54" t="inlineStr">
        <is>
          <t>SL-COOLING-SHEET-CAL-KING-NAVY-BLUE</t>
        </is>
      </c>
      <c r="E1216" s="54" t="inlineStr">
        <is>
          <t>Cal King</t>
        </is>
      </c>
      <c r="F1216" s="54" t="inlineStr">
        <is>
          <t>Navy Blue</t>
        </is>
      </c>
      <c r="G1216" s="55" t="n">
        <v>2</v>
      </c>
      <c r="H1216" s="167" t="n">
        <v>139.98</v>
      </c>
      <c r="I1216" s="167" t="n">
        <v>0</v>
      </c>
      <c r="J1216" s="168">
        <f>IF(AND(N(G1216)&gt;0,N(H1216)+N(I1216)&gt;0),(H1216+I1216)*U1216/G1216,"")</f>
        <v/>
      </c>
      <c r="K1216" s="167" t="n">
        <v>84.98999999999999</v>
      </c>
      <c r="L1216" s="167" t="n">
        <v>80.73999999999999</v>
      </c>
      <c r="M1216" s="54" t="inlineStr">
        <is>
          <t>Eligible</t>
        </is>
      </c>
      <c r="N1216" s="168">
        <f>IF(OR(J1216="",L1216=""),"",L1216-J1216)</f>
        <v/>
      </c>
      <c r="O1216" s="169">
        <f>IF(OR(J1216="",L1216=""),"",L1216/J1216-1)</f>
        <v/>
      </c>
      <c r="P1216" s="169">
        <f>IF(OR(J1216="",K1216=""),"",K1216/J1216-1)</f>
        <v/>
      </c>
      <c r="Q1216" s="54">
        <f>IF(AND(ISNUMBER(J1216),ISNUMBER(L1216)),1,0)</f>
        <v/>
      </c>
      <c r="R1216" s="69">
        <f>IF(Q1216=1,G1216*L1216,0)</f>
        <v/>
      </c>
      <c r="S1216" s="69">
        <f>IF(Q1216=1,(H1216+I1216)*U1216,0)</f>
        <v/>
      </c>
      <c r="T1216" s="59">
        <f>IF(Q1216=1,G1216,0)</f>
        <v/>
      </c>
      <c r="U1216" s="170" t="n">
        <v>1</v>
      </c>
    </row>
    <row r="1217">
      <c r="A1217" s="54" t="inlineStr">
        <is>
          <t>US SL Cooling 4pc</t>
        </is>
      </c>
      <c r="B1217" s="54" t="inlineStr">
        <is>
          <t>US</t>
        </is>
      </c>
      <c r="C1217" s="54" t="inlineStr">
        <is>
          <t>B0F7LWSXSC</t>
        </is>
      </c>
      <c r="D1217" s="54" t="inlineStr">
        <is>
          <t>SL-COOLING-SHEET-CAL-KING-SAGE-GREEN</t>
        </is>
      </c>
      <c r="E1217" s="54" t="inlineStr">
        <is>
          <t>Cal King</t>
        </is>
      </c>
      <c r="F1217" s="54" t="inlineStr">
        <is>
          <t>Sage Green</t>
        </is>
      </c>
      <c r="G1217" s="55" t="n">
        <v>2</v>
      </c>
      <c r="H1217" s="167" t="n">
        <v>139.98</v>
      </c>
      <c r="I1217" s="167" t="n">
        <v>0</v>
      </c>
      <c r="J1217" s="168">
        <f>IF(AND(N(G1217)&gt;0,N(H1217)+N(I1217)&gt;0),(H1217+I1217)*U1217/G1217,"")</f>
        <v/>
      </c>
      <c r="K1217" s="167" t="n">
        <v>84.98999999999999</v>
      </c>
      <c r="L1217" s="167" t="n"/>
      <c r="M1217" s="54" t="inlineStr">
        <is>
          <t>Out of stock</t>
        </is>
      </c>
      <c r="N1217" s="168">
        <f>IF(OR(J1217="",L1217=""),"",L1217-J1217)</f>
        <v/>
      </c>
      <c r="O1217" s="169">
        <f>IF(OR(J1217="",L1217=""),"",L1217/J1217-1)</f>
        <v/>
      </c>
      <c r="P1217" s="169">
        <f>IF(OR(J1217="",K1217=""),"",K1217/J1217-1)</f>
        <v/>
      </c>
      <c r="Q1217" s="54">
        <f>IF(AND(ISNUMBER(J1217),ISNUMBER(L1217)),1,0)</f>
        <v/>
      </c>
      <c r="R1217" s="69">
        <f>IF(Q1217=1,G1217*L1217,0)</f>
        <v/>
      </c>
      <c r="S1217" s="69">
        <f>IF(Q1217=1,(H1217+I1217)*U1217,0)</f>
        <v/>
      </c>
      <c r="T1217" s="59">
        <f>IF(Q1217=1,G1217,0)</f>
        <v/>
      </c>
      <c r="U1217" s="170" t="n">
        <v>1</v>
      </c>
    </row>
    <row r="1218">
      <c r="A1218" s="54" t="inlineStr">
        <is>
          <t>US SL Cooling 4pc</t>
        </is>
      </c>
      <c r="B1218" s="54" t="inlineStr">
        <is>
          <t>US</t>
        </is>
      </c>
      <c r="C1218" s="54" t="inlineStr">
        <is>
          <t>B0F7LX3RH7</t>
        </is>
      </c>
      <c r="D1218" s="54" t="inlineStr">
        <is>
          <t>SL-COOLING-SHEET-FULL-CREAM</t>
        </is>
      </c>
      <c r="E1218" s="54" t="inlineStr">
        <is>
          <t>Full</t>
        </is>
      </c>
      <c r="F1218" s="54" t="inlineStr">
        <is>
          <t>Cream</t>
        </is>
      </c>
      <c r="G1218" s="55" t="n">
        <v>2</v>
      </c>
      <c r="H1218" s="167" t="n">
        <v>109.98</v>
      </c>
      <c r="I1218" s="167" t="n">
        <v>0</v>
      </c>
      <c r="J1218" s="168">
        <f>IF(AND(N(G1218)&gt;0,N(H1218)+N(I1218)&gt;0),(H1218+I1218)*U1218/G1218,"")</f>
        <v/>
      </c>
      <c r="K1218" s="167" t="n">
        <v>64.98999999999999</v>
      </c>
      <c r="L1218" s="167" t="n">
        <v>64.98999999999999</v>
      </c>
      <c r="M1218" s="54" t="inlineStr">
        <is>
          <t>Eligible</t>
        </is>
      </c>
      <c r="N1218" s="168">
        <f>IF(OR(J1218="",L1218=""),"",L1218-J1218)</f>
        <v/>
      </c>
      <c r="O1218" s="169">
        <f>IF(OR(J1218="",L1218=""),"",L1218/J1218-1)</f>
        <v/>
      </c>
      <c r="P1218" s="169">
        <f>IF(OR(J1218="",K1218=""),"",K1218/J1218-1)</f>
        <v/>
      </c>
      <c r="Q1218" s="54">
        <f>IF(AND(ISNUMBER(J1218),ISNUMBER(L1218)),1,0)</f>
        <v/>
      </c>
      <c r="R1218" s="69">
        <f>IF(Q1218=1,G1218*L1218,0)</f>
        <v/>
      </c>
      <c r="S1218" s="69">
        <f>IF(Q1218=1,(H1218+I1218)*U1218,0)</f>
        <v/>
      </c>
      <c r="T1218" s="59">
        <f>IF(Q1218=1,G1218,0)</f>
        <v/>
      </c>
      <c r="U1218" s="170" t="n">
        <v>1</v>
      </c>
    </row>
    <row r="1219">
      <c r="A1219" s="54" t="inlineStr">
        <is>
          <t>US SL Cooling 4pc</t>
        </is>
      </c>
      <c r="B1219" s="54" t="inlineStr">
        <is>
          <t>US</t>
        </is>
      </c>
      <c r="C1219" s="54" t="inlineStr">
        <is>
          <t>B0F7LWG82H</t>
        </is>
      </c>
      <c r="D1219" s="54" t="inlineStr">
        <is>
          <t>SL-COOLING-SHEET-FULL-REGAL-PURPLE</t>
        </is>
      </c>
      <c r="E1219" s="54" t="inlineStr">
        <is>
          <t>Full</t>
        </is>
      </c>
      <c r="F1219" s="54" t="inlineStr">
        <is>
          <t>Regal Purple</t>
        </is>
      </c>
      <c r="G1219" s="55" t="n">
        <v>2</v>
      </c>
      <c r="H1219" s="167" t="n">
        <v>109.98</v>
      </c>
      <c r="I1219" s="167" t="n">
        <v>0</v>
      </c>
      <c r="J1219" s="168">
        <f>IF(AND(N(G1219)&gt;0,N(H1219)+N(I1219)&gt;0),(H1219+I1219)*U1219/G1219,"")</f>
        <v/>
      </c>
      <c r="K1219" s="167" t="n">
        <v>64.98999999999999</v>
      </c>
      <c r="L1219" s="167" t="n">
        <v>61.74</v>
      </c>
      <c r="M1219" s="54" t="inlineStr">
        <is>
          <t>Eligible</t>
        </is>
      </c>
      <c r="N1219" s="168">
        <f>IF(OR(J1219="",L1219=""),"",L1219-J1219)</f>
        <v/>
      </c>
      <c r="O1219" s="169">
        <f>IF(OR(J1219="",L1219=""),"",L1219/J1219-1)</f>
        <v/>
      </c>
      <c r="P1219" s="169">
        <f>IF(OR(J1219="",K1219=""),"",K1219/J1219-1)</f>
        <v/>
      </c>
      <c r="Q1219" s="54">
        <f>IF(AND(ISNUMBER(J1219),ISNUMBER(L1219)),1,0)</f>
        <v/>
      </c>
      <c r="R1219" s="69">
        <f>IF(Q1219=1,G1219*L1219,0)</f>
        <v/>
      </c>
      <c r="S1219" s="69">
        <f>IF(Q1219=1,(H1219+I1219)*U1219,0)</f>
        <v/>
      </c>
      <c r="T1219" s="59">
        <f>IF(Q1219=1,G1219,0)</f>
        <v/>
      </c>
      <c r="U1219" s="170" t="n">
        <v>1</v>
      </c>
    </row>
    <row r="1220">
      <c r="A1220" s="54" t="inlineStr">
        <is>
          <t>US SL Cooling 4pc</t>
        </is>
      </c>
      <c r="B1220" s="54" t="inlineStr">
        <is>
          <t>US</t>
        </is>
      </c>
      <c r="C1220" s="54" t="inlineStr">
        <is>
          <t>B0F7LX9P4H</t>
        </is>
      </c>
      <c r="D1220" s="54" t="inlineStr">
        <is>
          <t>SL-COOLING-SHEET-FULL-SAGE-GREEN</t>
        </is>
      </c>
      <c r="E1220" s="54" t="inlineStr">
        <is>
          <t>Full</t>
        </is>
      </c>
      <c r="F1220" s="54" t="inlineStr">
        <is>
          <t>Sage Green</t>
        </is>
      </c>
      <c r="G1220" s="55" t="n">
        <v>2</v>
      </c>
      <c r="H1220" s="167" t="n">
        <v>109.98</v>
      </c>
      <c r="I1220" s="167" t="n">
        <v>0</v>
      </c>
      <c r="J1220" s="168">
        <f>IF(AND(N(G1220)&gt;0,N(H1220)+N(I1220)&gt;0),(H1220+I1220)*U1220/G1220,"")</f>
        <v/>
      </c>
      <c r="K1220" s="167" t="n">
        <v>64.98999999999999</v>
      </c>
      <c r="L1220" s="167" t="n">
        <v>61.74</v>
      </c>
      <c r="M1220" s="54" t="inlineStr">
        <is>
          <t>Eligible</t>
        </is>
      </c>
      <c r="N1220" s="168">
        <f>IF(OR(J1220="",L1220=""),"",L1220-J1220)</f>
        <v/>
      </c>
      <c r="O1220" s="169">
        <f>IF(OR(J1220="",L1220=""),"",L1220/J1220-1)</f>
        <v/>
      </c>
      <c r="P1220" s="169">
        <f>IF(OR(J1220="",K1220=""),"",K1220/J1220-1)</f>
        <v/>
      </c>
      <c r="Q1220" s="54">
        <f>IF(AND(ISNUMBER(J1220),ISNUMBER(L1220)),1,0)</f>
        <v/>
      </c>
      <c r="R1220" s="69">
        <f>IF(Q1220=1,G1220*L1220,0)</f>
        <v/>
      </c>
      <c r="S1220" s="69">
        <f>IF(Q1220=1,(H1220+I1220)*U1220,0)</f>
        <v/>
      </c>
      <c r="T1220" s="59">
        <f>IF(Q1220=1,G1220,0)</f>
        <v/>
      </c>
      <c r="U1220" s="170" t="n">
        <v>1</v>
      </c>
    </row>
    <row r="1221">
      <c r="A1221" s="54" t="inlineStr">
        <is>
          <t>US SL Cooling 4pc</t>
        </is>
      </c>
      <c r="B1221" s="54" t="inlineStr">
        <is>
          <t>US</t>
        </is>
      </c>
      <c r="C1221" s="54" t="inlineStr">
        <is>
          <t>B0F7LZ3ZJQ</t>
        </is>
      </c>
      <c r="D1221" s="54" t="inlineStr">
        <is>
          <t>SL-COOLING-SHEET-TWIN-LIGHT-PINK</t>
        </is>
      </c>
      <c r="E1221" s="54" t="inlineStr">
        <is>
          <t>Twin</t>
        </is>
      </c>
      <c r="F1221" s="54" t="inlineStr">
        <is>
          <t>Light Pink</t>
        </is>
      </c>
      <c r="G1221" s="55" t="n">
        <v>2</v>
      </c>
      <c r="H1221" s="167" t="n">
        <v>99.98</v>
      </c>
      <c r="I1221" s="167" t="n">
        <v>0</v>
      </c>
      <c r="J1221" s="168">
        <f>IF(AND(N(G1221)&gt;0,N(H1221)+N(I1221)&gt;0),(H1221+I1221)*U1221/G1221,"")</f>
        <v/>
      </c>
      <c r="K1221" s="167" t="n">
        <v>59.99</v>
      </c>
      <c r="L1221" s="167" t="n"/>
      <c r="M1221" s="54" t="inlineStr">
        <is>
          <t>Out of stock</t>
        </is>
      </c>
      <c r="N1221" s="168">
        <f>IF(OR(J1221="",L1221=""),"",L1221-J1221)</f>
        <v/>
      </c>
      <c r="O1221" s="169">
        <f>IF(OR(J1221="",L1221=""),"",L1221/J1221-1)</f>
        <v/>
      </c>
      <c r="P1221" s="169">
        <f>IF(OR(J1221="",K1221=""),"",K1221/J1221-1)</f>
        <v/>
      </c>
      <c r="Q1221" s="54">
        <f>IF(AND(ISNUMBER(J1221),ISNUMBER(L1221)),1,0)</f>
        <v/>
      </c>
      <c r="R1221" s="69">
        <f>IF(Q1221=1,G1221*L1221,0)</f>
        <v/>
      </c>
      <c r="S1221" s="69">
        <f>IF(Q1221=1,(H1221+I1221)*U1221,0)</f>
        <v/>
      </c>
      <c r="T1221" s="59">
        <f>IF(Q1221=1,G1221,0)</f>
        <v/>
      </c>
      <c r="U1221" s="170" t="n">
        <v>1</v>
      </c>
    </row>
    <row r="1222">
      <c r="A1222" s="54" t="inlineStr">
        <is>
          <t>US SL Cooling 4pc</t>
        </is>
      </c>
      <c r="B1222" s="54" t="inlineStr">
        <is>
          <t>US</t>
        </is>
      </c>
      <c r="C1222" s="54" t="inlineStr">
        <is>
          <t>B0F7LZLX1T</t>
        </is>
      </c>
      <c r="D1222" s="54" t="inlineStr">
        <is>
          <t>SL-COOLING-SHEET-CAL-KING-LIGHT-PINK</t>
        </is>
      </c>
      <c r="E1222" s="54" t="inlineStr">
        <is>
          <t>Cal King</t>
        </is>
      </c>
      <c r="F1222" s="54" t="inlineStr">
        <is>
          <t>Light Pink</t>
        </is>
      </c>
      <c r="G1222" s="55" t="n">
        <v>1</v>
      </c>
      <c r="H1222" s="167" t="n">
        <v>74.98999999999999</v>
      </c>
      <c r="I1222" s="167" t="n">
        <v>0</v>
      </c>
      <c r="J1222" s="168">
        <f>IF(AND(N(G1222)&gt;0,N(H1222)+N(I1222)&gt;0),(H1222+I1222)*U1222/G1222,"")</f>
        <v/>
      </c>
      <c r="K1222" s="167" t="n">
        <v>84.98999999999999</v>
      </c>
      <c r="L1222" s="167" t="n"/>
      <c r="M1222" s="54" t="inlineStr">
        <is>
          <t>Out of stock</t>
        </is>
      </c>
      <c r="N1222" s="168">
        <f>IF(OR(J1222="",L1222=""),"",L1222-J1222)</f>
        <v/>
      </c>
      <c r="O1222" s="169">
        <f>IF(OR(J1222="",L1222=""),"",L1222/J1222-1)</f>
        <v/>
      </c>
      <c r="P1222" s="169">
        <f>IF(OR(J1222="",K1222=""),"",K1222/J1222-1)</f>
        <v/>
      </c>
      <c r="Q1222" s="54">
        <f>IF(AND(ISNUMBER(J1222),ISNUMBER(L1222)),1,0)</f>
        <v/>
      </c>
      <c r="R1222" s="69">
        <f>IF(Q1222=1,G1222*L1222,0)</f>
        <v/>
      </c>
      <c r="S1222" s="69">
        <f>IF(Q1222=1,(H1222+I1222)*U1222,0)</f>
        <v/>
      </c>
      <c r="T1222" s="59">
        <f>IF(Q1222=1,G1222,0)</f>
        <v/>
      </c>
      <c r="U1222" s="170" t="n">
        <v>1</v>
      </c>
    </row>
    <row r="1223">
      <c r="A1223" s="54" t="inlineStr">
        <is>
          <t>US SL Cooling 4pc</t>
        </is>
      </c>
      <c r="B1223" s="54" t="inlineStr">
        <is>
          <t>US</t>
        </is>
      </c>
      <c r="C1223" s="54" t="inlineStr">
        <is>
          <t>B0F7LZQNHM</t>
        </is>
      </c>
      <c r="D1223" s="54" t="inlineStr">
        <is>
          <t>SL-COOLING-SHEET-KING-LIGHT-GREY</t>
        </is>
      </c>
      <c r="E1223" s="54" t="inlineStr">
        <is>
          <t>King</t>
        </is>
      </c>
      <c r="F1223" s="54" t="inlineStr">
        <is>
          <t>Light Grey</t>
        </is>
      </c>
      <c r="G1223" s="55" t="n">
        <v>1</v>
      </c>
      <c r="H1223" s="167" t="n">
        <v>69.98999999999999</v>
      </c>
      <c r="I1223" s="167" t="n">
        <v>0</v>
      </c>
      <c r="J1223" s="168">
        <f>IF(AND(N(G1223)&gt;0,N(H1223)+N(I1223)&gt;0),(H1223+I1223)*U1223/G1223,"")</f>
        <v/>
      </c>
      <c r="K1223" s="167" t="n">
        <v>84.98999999999999</v>
      </c>
      <c r="L1223" s="167" t="n">
        <v>80.73999999999999</v>
      </c>
      <c r="M1223" s="54" t="inlineStr">
        <is>
          <t>Eligible</t>
        </is>
      </c>
      <c r="N1223" s="168">
        <f>IF(OR(J1223="",L1223=""),"",L1223-J1223)</f>
        <v/>
      </c>
      <c r="O1223" s="169">
        <f>IF(OR(J1223="",L1223=""),"",L1223/J1223-1)</f>
        <v/>
      </c>
      <c r="P1223" s="169">
        <f>IF(OR(J1223="",K1223=""),"",K1223/J1223-1)</f>
        <v/>
      </c>
      <c r="Q1223" s="54">
        <f>IF(AND(ISNUMBER(J1223),ISNUMBER(L1223)),1,0)</f>
        <v/>
      </c>
      <c r="R1223" s="69">
        <f>IF(Q1223=1,G1223*L1223,0)</f>
        <v/>
      </c>
      <c r="S1223" s="69">
        <f>IF(Q1223=1,(H1223+I1223)*U1223,0)</f>
        <v/>
      </c>
      <c r="T1223" s="59">
        <f>IF(Q1223=1,G1223,0)</f>
        <v/>
      </c>
      <c r="U1223" s="170" t="n">
        <v>1</v>
      </c>
    </row>
    <row r="1224">
      <c r="A1224" s="54" t="inlineStr">
        <is>
          <t>US SL Cooling 4pc</t>
        </is>
      </c>
      <c r="B1224" s="54" t="inlineStr">
        <is>
          <t>US</t>
        </is>
      </c>
      <c r="C1224" s="54" t="inlineStr">
        <is>
          <t>B0F7M1ZY15</t>
        </is>
      </c>
      <c r="D1224" s="54" t="inlineStr">
        <is>
          <t>SL-COOLING-SHEET-TWIN-CREAM</t>
        </is>
      </c>
      <c r="E1224" s="54" t="inlineStr">
        <is>
          <t>Twin</t>
        </is>
      </c>
      <c r="F1224" s="54" t="inlineStr">
        <is>
          <t>Cream</t>
        </is>
      </c>
      <c r="G1224" s="55" t="n">
        <v>1</v>
      </c>
      <c r="H1224" s="167" t="n">
        <v>54.99</v>
      </c>
      <c r="I1224" s="167" t="n">
        <v>0</v>
      </c>
      <c r="J1224" s="168">
        <f>IF(AND(N(G1224)&gt;0,N(H1224)+N(I1224)&gt;0),(H1224+I1224)*U1224/G1224,"")</f>
        <v/>
      </c>
      <c r="K1224" s="167" t="n">
        <v>59.99</v>
      </c>
      <c r="L1224" s="167" t="n">
        <v>59.99</v>
      </c>
      <c r="M1224" s="54" t="inlineStr">
        <is>
          <t>Eligible</t>
        </is>
      </c>
      <c r="N1224" s="168">
        <f>IF(OR(J1224="",L1224=""),"",L1224-J1224)</f>
        <v/>
      </c>
      <c r="O1224" s="169">
        <f>IF(OR(J1224="",L1224=""),"",L1224/J1224-1)</f>
        <v/>
      </c>
      <c r="P1224" s="169">
        <f>IF(OR(J1224="",K1224=""),"",K1224/J1224-1)</f>
        <v/>
      </c>
      <c r="Q1224" s="54">
        <f>IF(AND(ISNUMBER(J1224),ISNUMBER(L1224)),1,0)</f>
        <v/>
      </c>
      <c r="R1224" s="69">
        <f>IF(Q1224=1,G1224*L1224,0)</f>
        <v/>
      </c>
      <c r="S1224" s="69">
        <f>IF(Q1224=1,(H1224+I1224)*U1224,0)</f>
        <v/>
      </c>
      <c r="T1224" s="59">
        <f>IF(Q1224=1,G1224,0)</f>
        <v/>
      </c>
      <c r="U1224" s="170" t="n">
        <v>1</v>
      </c>
    </row>
    <row r="1225">
      <c r="A1225" s="54" t="inlineStr">
        <is>
          <t>US SL Cooling 4pc</t>
        </is>
      </c>
      <c r="B1225" s="54" t="inlineStr">
        <is>
          <t>US</t>
        </is>
      </c>
      <c r="C1225" s="54" t="inlineStr">
        <is>
          <t>B0F7LYFSJS</t>
        </is>
      </c>
      <c r="D1225" s="54" t="inlineStr">
        <is>
          <t>SL-COOLING-SHEET-TWIN-WHITE</t>
        </is>
      </c>
      <c r="E1225" s="54" t="inlineStr">
        <is>
          <t>Twin</t>
        </is>
      </c>
      <c r="F1225" s="54" t="inlineStr">
        <is>
          <t>White</t>
        </is>
      </c>
      <c r="G1225" s="55" t="n">
        <v>1</v>
      </c>
      <c r="H1225" s="167" t="n">
        <v>49.99</v>
      </c>
      <c r="I1225" s="167" t="n">
        <v>0</v>
      </c>
      <c r="J1225" s="168">
        <f>IF(AND(N(G1225)&gt;0,N(H1225)+N(I1225)&gt;0),(H1225+I1225)*U1225/G1225,"")</f>
        <v/>
      </c>
      <c r="K1225" s="167" t="n">
        <v>59.99</v>
      </c>
      <c r="L1225" s="167" t="n">
        <v>56.99</v>
      </c>
      <c r="M1225" s="54" t="inlineStr">
        <is>
          <t>Eligible</t>
        </is>
      </c>
      <c r="N1225" s="168">
        <f>IF(OR(J1225="",L1225=""),"",L1225-J1225)</f>
        <v/>
      </c>
      <c r="O1225" s="169">
        <f>IF(OR(J1225="",L1225=""),"",L1225/J1225-1)</f>
        <v/>
      </c>
      <c r="P1225" s="169">
        <f>IF(OR(J1225="",K1225=""),"",K1225/J1225-1)</f>
        <v/>
      </c>
      <c r="Q1225" s="54">
        <f>IF(AND(ISNUMBER(J1225),ISNUMBER(L1225)),1,0)</f>
        <v/>
      </c>
      <c r="R1225" s="69">
        <f>IF(Q1225=1,G1225*L1225,0)</f>
        <v/>
      </c>
      <c r="S1225" s="69">
        <f>IF(Q1225=1,(H1225+I1225)*U1225,0)</f>
        <v/>
      </c>
      <c r="T1225" s="59">
        <f>IF(Q1225=1,G1225,0)</f>
        <v/>
      </c>
      <c r="U1225" s="170" t="n">
        <v>1</v>
      </c>
    </row>
    <row r="1226">
      <c r="A1226" s="54" t="inlineStr">
        <is>
          <t>US SL Cooling 4pc</t>
        </is>
      </c>
      <c r="B1226" s="54" t="inlineStr">
        <is>
          <t>US</t>
        </is>
      </c>
      <c r="C1226" s="54" t="inlineStr">
        <is>
          <t>B0F7LYCX4N</t>
        </is>
      </c>
      <c r="D1226" s="54" t="inlineStr">
        <is>
          <t>SL-COOLING-SHEET-KING-LIGHT-BLUE</t>
        </is>
      </c>
      <c r="E1226" s="54" t="inlineStr">
        <is>
          <t>King</t>
        </is>
      </c>
      <c r="F1226" s="54" t="inlineStr">
        <is>
          <t>Light Blue</t>
        </is>
      </c>
      <c r="G1226" s="55" t="n"/>
      <c r="H1226" s="167" t="n"/>
      <c r="I1226" s="167" t="n"/>
      <c r="J1226" s="168">
        <f>IF(AND(N(G1226)&gt;0,N(H1226)+N(I1226)&gt;0),(H1226+I1226)*U1226/G1226,"")</f>
        <v/>
      </c>
      <c r="K1226" s="167" t="n">
        <v>84.98999999999999</v>
      </c>
      <c r="L1226" s="167" t="n">
        <v>80.73999999999999</v>
      </c>
      <c r="M1226" s="54" t="inlineStr">
        <is>
          <t>Eligible</t>
        </is>
      </c>
      <c r="N1226" s="168">
        <f>IF(OR(J1226="",L1226=""),"",L1226-J1226)</f>
        <v/>
      </c>
      <c r="O1226" s="169">
        <f>IF(OR(J1226="",L1226=""),"",L1226/J1226-1)</f>
        <v/>
      </c>
      <c r="P1226" s="169">
        <f>IF(OR(J1226="",K1226=""),"",K1226/J1226-1)</f>
        <v/>
      </c>
      <c r="Q1226" s="54">
        <f>IF(AND(ISNUMBER(J1226),ISNUMBER(L1226)),1,0)</f>
        <v/>
      </c>
      <c r="R1226" s="69">
        <f>IF(Q1226=1,G1226*L1226,0)</f>
        <v/>
      </c>
      <c r="S1226" s="69">
        <f>IF(Q1226=1,(H1226+I1226)*U1226,0)</f>
        <v/>
      </c>
      <c r="T1226" s="59">
        <f>IF(Q1226=1,G1226,0)</f>
        <v/>
      </c>
      <c r="U1226" s="170" t="n">
        <v>1</v>
      </c>
    </row>
    <row r="1227">
      <c r="A1227" s="54" t="inlineStr">
        <is>
          <t>US SL Cooling 4pc</t>
        </is>
      </c>
      <c r="B1227" s="54" t="inlineStr">
        <is>
          <t>US</t>
        </is>
      </c>
      <c r="C1227" s="54" t="inlineStr">
        <is>
          <t>B0F7LX5ZQN</t>
        </is>
      </c>
      <c r="D1227" s="54" t="inlineStr">
        <is>
          <t>SL-COOLING-SHEET-KING-WHITE</t>
        </is>
      </c>
      <c r="E1227" s="54" t="inlineStr">
        <is>
          <t>King</t>
        </is>
      </c>
      <c r="F1227" s="54" t="inlineStr">
        <is>
          <t>White</t>
        </is>
      </c>
      <c r="G1227" s="55" t="n"/>
      <c r="H1227" s="167" t="n"/>
      <c r="I1227" s="167" t="n"/>
      <c r="J1227" s="168">
        <f>IF(AND(N(G1227)&gt;0,N(H1227)+N(I1227)&gt;0),(H1227+I1227)*U1227/G1227,"")</f>
        <v/>
      </c>
      <c r="K1227" s="167" t="n">
        <v>84.98999999999999</v>
      </c>
      <c r="L1227" s="167" t="n">
        <v>80.73999999999999</v>
      </c>
      <c r="M1227" s="54" t="inlineStr">
        <is>
          <t>Eligible</t>
        </is>
      </c>
      <c r="N1227" s="168">
        <f>IF(OR(J1227="",L1227=""),"",L1227-J1227)</f>
        <v/>
      </c>
      <c r="O1227" s="169">
        <f>IF(OR(J1227="",L1227=""),"",L1227/J1227-1)</f>
        <v/>
      </c>
      <c r="P1227" s="169">
        <f>IF(OR(J1227="",K1227=""),"",K1227/J1227-1)</f>
        <v/>
      </c>
      <c r="Q1227" s="54">
        <f>IF(AND(ISNUMBER(J1227),ISNUMBER(L1227)),1,0)</f>
        <v/>
      </c>
      <c r="R1227" s="69">
        <f>IF(Q1227=1,G1227*L1227,0)</f>
        <v/>
      </c>
      <c r="S1227" s="69">
        <f>IF(Q1227=1,(H1227+I1227)*U1227,0)</f>
        <v/>
      </c>
      <c r="T1227" s="59">
        <f>IF(Q1227=1,G1227,0)</f>
        <v/>
      </c>
      <c r="U1227" s="170" t="n">
        <v>1</v>
      </c>
    </row>
    <row r="1228">
      <c r="A1228" s="54" t="inlineStr">
        <is>
          <t>US SL Cooling 4pc</t>
        </is>
      </c>
      <c r="B1228" s="54" t="inlineStr">
        <is>
          <t>US</t>
        </is>
      </c>
      <c r="C1228" s="54" t="inlineStr">
        <is>
          <t>B0F7LX6353</t>
        </is>
      </c>
      <c r="D1228" s="54" t="inlineStr">
        <is>
          <t>SL-COOLING-SHEET-TWIN-BEIGE</t>
        </is>
      </c>
      <c r="E1228" s="54" t="inlineStr">
        <is>
          <t>Twin</t>
        </is>
      </c>
      <c r="F1228" s="54" t="inlineStr">
        <is>
          <t>Beige</t>
        </is>
      </c>
      <c r="G1228" s="55" t="n"/>
      <c r="H1228" s="167" t="n"/>
      <c r="I1228" s="167" t="n"/>
      <c r="J1228" s="168">
        <f>IF(AND(N(G1228)&gt;0,N(H1228)+N(I1228)&gt;0),(H1228+I1228)*U1228/G1228,"")</f>
        <v/>
      </c>
      <c r="K1228" s="167" t="n">
        <v>59.99</v>
      </c>
      <c r="L1228" s="167" t="n">
        <v>56.99</v>
      </c>
      <c r="M1228" s="54" t="inlineStr">
        <is>
          <t>Eligible</t>
        </is>
      </c>
      <c r="N1228" s="168">
        <f>IF(OR(J1228="",L1228=""),"",L1228-J1228)</f>
        <v/>
      </c>
      <c r="O1228" s="169">
        <f>IF(OR(J1228="",L1228=""),"",L1228/J1228-1)</f>
        <v/>
      </c>
      <c r="P1228" s="169">
        <f>IF(OR(J1228="",K1228=""),"",K1228/J1228-1)</f>
        <v/>
      </c>
      <c r="Q1228" s="54">
        <f>IF(AND(ISNUMBER(J1228),ISNUMBER(L1228)),1,0)</f>
        <v/>
      </c>
      <c r="R1228" s="69">
        <f>IF(Q1228=1,G1228*L1228,0)</f>
        <v/>
      </c>
      <c r="S1228" s="69">
        <f>IF(Q1228=1,(H1228+I1228)*U1228,0)</f>
        <v/>
      </c>
      <c r="T1228" s="59">
        <f>IF(Q1228=1,G1228,0)</f>
        <v/>
      </c>
      <c r="U1228" s="170" t="n">
        <v>1</v>
      </c>
    </row>
    <row r="1229">
      <c r="A1229" s="54" t="inlineStr">
        <is>
          <t>US SL Cooling 4pc</t>
        </is>
      </c>
      <c r="B1229" s="54" t="inlineStr">
        <is>
          <t>US</t>
        </is>
      </c>
      <c r="C1229" s="54" t="inlineStr">
        <is>
          <t>B0F7LXS112</t>
        </is>
      </c>
      <c r="D1229" s="54" t="inlineStr">
        <is>
          <t>SL-COOLING-SHEET-TWIN-LIGHT-BLUE</t>
        </is>
      </c>
      <c r="E1229" s="54" t="inlineStr">
        <is>
          <t>Twin</t>
        </is>
      </c>
      <c r="F1229" s="54" t="inlineStr">
        <is>
          <t>Light Blue</t>
        </is>
      </c>
      <c r="G1229" s="55" t="n"/>
      <c r="H1229" s="167" t="n"/>
      <c r="I1229" s="167" t="n"/>
      <c r="J1229" s="168">
        <f>IF(AND(N(G1229)&gt;0,N(H1229)+N(I1229)&gt;0),(H1229+I1229)*U1229/G1229,"")</f>
        <v/>
      </c>
      <c r="K1229" s="167" t="n">
        <v>59.99</v>
      </c>
      <c r="L1229" s="167" t="n">
        <v>56.99</v>
      </c>
      <c r="M1229" s="54" t="inlineStr">
        <is>
          <t>Eligible</t>
        </is>
      </c>
      <c r="N1229" s="168">
        <f>IF(OR(J1229="",L1229=""),"",L1229-J1229)</f>
        <v/>
      </c>
      <c r="O1229" s="169">
        <f>IF(OR(J1229="",L1229=""),"",L1229/J1229-1)</f>
        <v/>
      </c>
      <c r="P1229" s="169">
        <f>IF(OR(J1229="",K1229=""),"",K1229/J1229-1)</f>
        <v/>
      </c>
      <c r="Q1229" s="54">
        <f>IF(AND(ISNUMBER(J1229),ISNUMBER(L1229)),1,0)</f>
        <v/>
      </c>
      <c r="R1229" s="69">
        <f>IF(Q1229=1,G1229*L1229,0)</f>
        <v/>
      </c>
      <c r="S1229" s="69">
        <f>IF(Q1229=1,(H1229+I1229)*U1229,0)</f>
        <v/>
      </c>
      <c r="T1229" s="59">
        <f>IF(Q1229=1,G1229,0)</f>
        <v/>
      </c>
      <c r="U1229" s="170" t="n">
        <v>1</v>
      </c>
    </row>
    <row r="1230">
      <c r="A1230" s="54" t="inlineStr">
        <is>
          <t>US SL Cooling 4pc</t>
        </is>
      </c>
      <c r="B1230" s="54" t="inlineStr">
        <is>
          <t>US</t>
        </is>
      </c>
      <c r="C1230" s="54" t="inlineStr">
        <is>
          <t>B0F7LYVZMY</t>
        </is>
      </c>
      <c r="D1230" s="54" t="inlineStr">
        <is>
          <t>SL-COOLING-SHEET-TWIN-NAVY-BLUE</t>
        </is>
      </c>
      <c r="E1230" s="54" t="inlineStr">
        <is>
          <t>Twin</t>
        </is>
      </c>
      <c r="F1230" s="54" t="inlineStr">
        <is>
          <t>Navy Blue</t>
        </is>
      </c>
      <c r="G1230" s="55" t="n"/>
      <c r="H1230" s="167" t="n"/>
      <c r="I1230" s="167" t="n"/>
      <c r="J1230" s="168">
        <f>IF(AND(N(G1230)&gt;0,N(H1230)+N(I1230)&gt;0),(H1230+I1230)*U1230/G1230,"")</f>
        <v/>
      </c>
      <c r="K1230" s="167" t="n">
        <v>59.99</v>
      </c>
      <c r="L1230" s="167" t="n">
        <v>56.99</v>
      </c>
      <c r="M1230" s="54" t="inlineStr">
        <is>
          <t>Eligible</t>
        </is>
      </c>
      <c r="N1230" s="168">
        <f>IF(OR(J1230="",L1230=""),"",L1230-J1230)</f>
        <v/>
      </c>
      <c r="O1230" s="169">
        <f>IF(OR(J1230="",L1230=""),"",L1230/J1230-1)</f>
        <v/>
      </c>
      <c r="P1230" s="169">
        <f>IF(OR(J1230="",K1230=""),"",K1230/J1230-1)</f>
        <v/>
      </c>
      <c r="Q1230" s="54">
        <f>IF(AND(ISNUMBER(J1230),ISNUMBER(L1230)),1,0)</f>
        <v/>
      </c>
      <c r="R1230" s="69">
        <f>IF(Q1230=1,G1230*L1230,0)</f>
        <v/>
      </c>
      <c r="S1230" s="69">
        <f>IF(Q1230=1,(H1230+I1230)*U1230,0)</f>
        <v/>
      </c>
      <c r="T1230" s="59">
        <f>IF(Q1230=1,G1230,0)</f>
        <v/>
      </c>
      <c r="U1230" s="170" t="n">
        <v>1</v>
      </c>
    </row>
    <row r="1231">
      <c r="A1231" s="54" t="inlineStr">
        <is>
          <t>US CL Pillowcases</t>
        </is>
      </c>
      <c r="B1231" s="54" t="inlineStr">
        <is>
          <t>US</t>
        </is>
      </c>
      <c r="C1231" s="54" t="inlineStr">
        <is>
          <t>B0H5X3L7M3</t>
        </is>
      </c>
      <c r="D1231" s="54" t="inlineStr">
        <is>
          <t>CL-CLG-PC-BLUE-KING-2PCS</t>
        </is>
      </c>
      <c r="E1231" s="54" t="inlineStr">
        <is>
          <t>King</t>
        </is>
      </c>
      <c r="F1231" s="54" t="inlineStr">
        <is>
          <t>Blue</t>
        </is>
      </c>
      <c r="G1231" s="55" t="n"/>
      <c r="H1231" s="167" t="n"/>
      <c r="I1231" s="167" t="n"/>
      <c r="J1231" s="168">
        <f>IF(AND(N(G1231)&gt;0,N(H1231)+N(I1231)&gt;0),(H1231+I1231)*U1231/G1231,"")</f>
        <v/>
      </c>
      <c r="K1231" s="167" t="n">
        <v>22.99</v>
      </c>
      <c r="L1231" s="167" t="n">
        <v>16.14</v>
      </c>
      <c r="M1231" s="54" t="inlineStr">
        <is>
          <t>Eligible</t>
        </is>
      </c>
      <c r="N1231" s="168">
        <f>IF(OR(J1231="",L1231=""),"",L1231-J1231)</f>
        <v/>
      </c>
      <c r="O1231" s="169">
        <f>IF(OR(J1231="",L1231=""),"",L1231/J1231-1)</f>
        <v/>
      </c>
      <c r="P1231" s="169">
        <f>IF(OR(J1231="",K1231=""),"",K1231/J1231-1)</f>
        <v/>
      </c>
      <c r="Q1231" s="54">
        <f>IF(AND(ISNUMBER(J1231),ISNUMBER(L1231)),1,0)</f>
        <v/>
      </c>
      <c r="R1231" s="69">
        <f>IF(Q1231=1,G1231*L1231,0)</f>
        <v/>
      </c>
      <c r="S1231" s="69">
        <f>IF(Q1231=1,(H1231+I1231)*U1231,0)</f>
        <v/>
      </c>
      <c r="T1231" s="59">
        <f>IF(Q1231=1,G1231,0)</f>
        <v/>
      </c>
      <c r="U1231" s="170" t="n">
        <v>1</v>
      </c>
    </row>
    <row r="1232">
      <c r="A1232" s="54" t="inlineStr">
        <is>
          <t>US CL Pillowcases</t>
        </is>
      </c>
      <c r="B1232" s="54" t="inlineStr">
        <is>
          <t>US</t>
        </is>
      </c>
      <c r="C1232" s="54" t="inlineStr">
        <is>
          <t>B0H5X4DPJP</t>
        </is>
      </c>
      <c r="D1232" s="54" t="inlineStr">
        <is>
          <t>CL-CLG-PC-DARK-GREY-KING-2PCS</t>
        </is>
      </c>
      <c r="E1232" s="54" t="inlineStr">
        <is>
          <t>King</t>
        </is>
      </c>
      <c r="F1232" s="54" t="inlineStr">
        <is>
          <t>Dark Grey</t>
        </is>
      </c>
      <c r="G1232" s="55" t="n"/>
      <c r="H1232" s="167" t="n"/>
      <c r="I1232" s="167" t="n"/>
      <c r="J1232" s="168">
        <f>IF(AND(N(G1232)&gt;0,N(H1232)+N(I1232)&gt;0),(H1232+I1232)*U1232/G1232,"")</f>
        <v/>
      </c>
      <c r="K1232" s="167" t="n">
        <v>22.99</v>
      </c>
      <c r="L1232" s="167" t="n">
        <v>16.14</v>
      </c>
      <c r="M1232" s="54" t="inlineStr">
        <is>
          <t>Eligible</t>
        </is>
      </c>
      <c r="N1232" s="168">
        <f>IF(OR(J1232="",L1232=""),"",L1232-J1232)</f>
        <v/>
      </c>
      <c r="O1232" s="169">
        <f>IF(OR(J1232="",L1232=""),"",L1232/J1232-1)</f>
        <v/>
      </c>
      <c r="P1232" s="169">
        <f>IF(OR(J1232="",K1232=""),"",K1232/J1232-1)</f>
        <v/>
      </c>
      <c r="Q1232" s="54">
        <f>IF(AND(ISNUMBER(J1232),ISNUMBER(L1232)),1,0)</f>
        <v/>
      </c>
      <c r="R1232" s="69">
        <f>IF(Q1232=1,G1232*L1232,0)</f>
        <v/>
      </c>
      <c r="S1232" s="69">
        <f>IF(Q1232=1,(H1232+I1232)*U1232,0)</f>
        <v/>
      </c>
      <c r="T1232" s="59">
        <f>IF(Q1232=1,G1232,0)</f>
        <v/>
      </c>
      <c r="U1232" s="170" t="n">
        <v>1</v>
      </c>
    </row>
    <row r="1233">
      <c r="A1233" s="54" t="inlineStr">
        <is>
          <t>US CL Pillowcases</t>
        </is>
      </c>
      <c r="B1233" s="54" t="inlineStr">
        <is>
          <t>US</t>
        </is>
      </c>
      <c r="C1233" s="54" t="inlineStr">
        <is>
          <t>B0H5X6W132</t>
        </is>
      </c>
      <c r="D1233" s="54" t="inlineStr">
        <is>
          <t>CL-CLG-PC-LIGHT-GREY-KING-2PCS</t>
        </is>
      </c>
      <c r="E1233" s="54" t="inlineStr">
        <is>
          <t>King</t>
        </is>
      </c>
      <c r="F1233" s="54" t="inlineStr">
        <is>
          <t>Light Grey</t>
        </is>
      </c>
      <c r="G1233" s="55" t="n"/>
      <c r="H1233" s="167" t="n"/>
      <c r="I1233" s="167" t="n"/>
      <c r="J1233" s="168">
        <f>IF(AND(N(G1233)&gt;0,N(H1233)+N(I1233)&gt;0),(H1233+I1233)*U1233/G1233,"")</f>
        <v/>
      </c>
      <c r="K1233" s="167" t="n">
        <v>22.99</v>
      </c>
      <c r="L1233" s="167" t="n">
        <v>16.14</v>
      </c>
      <c r="M1233" s="54" t="inlineStr">
        <is>
          <t>Eligible</t>
        </is>
      </c>
      <c r="N1233" s="168">
        <f>IF(OR(J1233="",L1233=""),"",L1233-J1233)</f>
        <v/>
      </c>
      <c r="O1233" s="169">
        <f>IF(OR(J1233="",L1233=""),"",L1233/J1233-1)</f>
        <v/>
      </c>
      <c r="P1233" s="169">
        <f>IF(OR(J1233="",K1233=""),"",K1233/J1233-1)</f>
        <v/>
      </c>
      <c r="Q1233" s="54">
        <f>IF(AND(ISNUMBER(J1233),ISNUMBER(L1233)),1,0)</f>
        <v/>
      </c>
      <c r="R1233" s="69">
        <f>IF(Q1233=1,G1233*L1233,0)</f>
        <v/>
      </c>
      <c r="S1233" s="69">
        <f>IF(Q1233=1,(H1233+I1233)*U1233,0)</f>
        <v/>
      </c>
      <c r="T1233" s="59">
        <f>IF(Q1233=1,G1233,0)</f>
        <v/>
      </c>
      <c r="U1233" s="170" t="n">
        <v>1</v>
      </c>
    </row>
    <row r="1234">
      <c r="A1234" s="54" t="inlineStr">
        <is>
          <t>US CL Pillowcases</t>
        </is>
      </c>
      <c r="B1234" s="54" t="inlineStr">
        <is>
          <t>US</t>
        </is>
      </c>
      <c r="C1234" s="54" t="inlineStr">
        <is>
          <t>B0H5X91BWJ</t>
        </is>
      </c>
      <c r="D1234" s="54" t="inlineStr">
        <is>
          <t>CL-CLG-PC-WHITE-KING-2PCS</t>
        </is>
      </c>
      <c r="E1234" s="54" t="inlineStr">
        <is>
          <t>King</t>
        </is>
      </c>
      <c r="F1234" s="54" t="inlineStr">
        <is>
          <t>White</t>
        </is>
      </c>
      <c r="G1234" s="55" t="n"/>
      <c r="H1234" s="167" t="n"/>
      <c r="I1234" s="167" t="n"/>
      <c r="J1234" s="168">
        <f>IF(AND(N(G1234)&gt;0,N(H1234)+N(I1234)&gt;0),(H1234+I1234)*U1234/G1234,"")</f>
        <v/>
      </c>
      <c r="K1234" s="167" t="n">
        <v>22.99</v>
      </c>
      <c r="L1234" s="167" t="n">
        <v>16.14</v>
      </c>
      <c r="M1234" s="54" t="inlineStr">
        <is>
          <t>Eligible</t>
        </is>
      </c>
      <c r="N1234" s="168">
        <f>IF(OR(J1234="",L1234=""),"",L1234-J1234)</f>
        <v/>
      </c>
      <c r="O1234" s="169">
        <f>IF(OR(J1234="",L1234=""),"",L1234/J1234-1)</f>
        <v/>
      </c>
      <c r="P1234" s="169">
        <f>IF(OR(J1234="",K1234=""),"",K1234/J1234-1)</f>
        <v/>
      </c>
      <c r="Q1234" s="54">
        <f>IF(AND(ISNUMBER(J1234),ISNUMBER(L1234)),1,0)</f>
        <v/>
      </c>
      <c r="R1234" s="69">
        <f>IF(Q1234=1,G1234*L1234,0)</f>
        <v/>
      </c>
      <c r="S1234" s="69">
        <f>IF(Q1234=1,(H1234+I1234)*U1234,0)</f>
        <v/>
      </c>
      <c r="T1234" s="59">
        <f>IF(Q1234=1,G1234,0)</f>
        <v/>
      </c>
      <c r="U1234" s="170" t="n">
        <v>1</v>
      </c>
    </row>
    <row r="1235">
      <c r="A1235" s="54" t="inlineStr">
        <is>
          <t>US CL Pillowcases</t>
        </is>
      </c>
      <c r="B1235" s="54" t="inlineStr">
        <is>
          <t>US</t>
        </is>
      </c>
      <c r="C1235" s="54" t="inlineStr">
        <is>
          <t>B0H5WY7C39</t>
        </is>
      </c>
      <c r="D1235" s="54" t="inlineStr">
        <is>
          <t>CL-CLG-PC-BLUE-QUEEN-2PCS</t>
        </is>
      </c>
      <c r="E1235" s="54" t="inlineStr">
        <is>
          <t>Queen</t>
        </is>
      </c>
      <c r="F1235" s="54" t="inlineStr">
        <is>
          <t>Blue</t>
        </is>
      </c>
      <c r="G1235" s="55" t="n"/>
      <c r="H1235" s="167" t="n"/>
      <c r="I1235" s="167" t="n"/>
      <c r="J1235" s="168">
        <f>IF(AND(N(G1235)&gt;0,N(H1235)+N(I1235)&gt;0),(H1235+I1235)*U1235/G1235,"")</f>
        <v/>
      </c>
      <c r="K1235" s="167" t="n">
        <v>21.99</v>
      </c>
      <c r="L1235" s="167" t="n">
        <v>15.19</v>
      </c>
      <c r="M1235" s="54" t="inlineStr">
        <is>
          <t>Eligible</t>
        </is>
      </c>
      <c r="N1235" s="168">
        <f>IF(OR(J1235="",L1235=""),"",L1235-J1235)</f>
        <v/>
      </c>
      <c r="O1235" s="169">
        <f>IF(OR(J1235="",L1235=""),"",L1235/J1235-1)</f>
        <v/>
      </c>
      <c r="P1235" s="169">
        <f>IF(OR(J1235="",K1235=""),"",K1235/J1235-1)</f>
        <v/>
      </c>
      <c r="Q1235" s="54">
        <f>IF(AND(ISNUMBER(J1235),ISNUMBER(L1235)),1,0)</f>
        <v/>
      </c>
      <c r="R1235" s="69">
        <f>IF(Q1235=1,G1235*L1235,0)</f>
        <v/>
      </c>
      <c r="S1235" s="69">
        <f>IF(Q1235=1,(H1235+I1235)*U1235,0)</f>
        <v/>
      </c>
      <c r="T1235" s="59">
        <f>IF(Q1235=1,G1235,0)</f>
        <v/>
      </c>
      <c r="U1235" s="170" t="n">
        <v>1</v>
      </c>
    </row>
    <row r="1236">
      <c r="A1236" s="54" t="inlineStr">
        <is>
          <t>US CL Pillowcases</t>
        </is>
      </c>
      <c r="B1236" s="54" t="inlineStr">
        <is>
          <t>US</t>
        </is>
      </c>
      <c r="C1236" s="54" t="inlineStr">
        <is>
          <t>B0H5X5VGDP</t>
        </is>
      </c>
      <c r="D1236" s="54" t="inlineStr">
        <is>
          <t>CL-CLG-PC-DARK-GREY-QUEEN-2PCS</t>
        </is>
      </c>
      <c r="E1236" s="54" t="inlineStr">
        <is>
          <t>Queen</t>
        </is>
      </c>
      <c r="F1236" s="54" t="inlineStr">
        <is>
          <t>Dark Grey</t>
        </is>
      </c>
      <c r="G1236" s="55" t="n"/>
      <c r="H1236" s="167" t="n"/>
      <c r="I1236" s="167" t="n"/>
      <c r="J1236" s="168">
        <f>IF(AND(N(G1236)&gt;0,N(H1236)+N(I1236)&gt;0),(H1236+I1236)*U1236/G1236,"")</f>
        <v/>
      </c>
      <c r="K1236" s="167" t="n">
        <v>21.99</v>
      </c>
      <c r="L1236" s="167" t="n">
        <v>15.19</v>
      </c>
      <c r="M1236" s="54" t="inlineStr">
        <is>
          <t>Eligible</t>
        </is>
      </c>
      <c r="N1236" s="168">
        <f>IF(OR(J1236="",L1236=""),"",L1236-J1236)</f>
        <v/>
      </c>
      <c r="O1236" s="169">
        <f>IF(OR(J1236="",L1236=""),"",L1236/J1236-1)</f>
        <v/>
      </c>
      <c r="P1236" s="169">
        <f>IF(OR(J1236="",K1236=""),"",K1236/J1236-1)</f>
        <v/>
      </c>
      <c r="Q1236" s="54">
        <f>IF(AND(ISNUMBER(J1236),ISNUMBER(L1236)),1,0)</f>
        <v/>
      </c>
      <c r="R1236" s="69">
        <f>IF(Q1236=1,G1236*L1236,0)</f>
        <v/>
      </c>
      <c r="S1236" s="69">
        <f>IF(Q1236=1,(H1236+I1236)*U1236,0)</f>
        <v/>
      </c>
      <c r="T1236" s="59">
        <f>IF(Q1236=1,G1236,0)</f>
        <v/>
      </c>
      <c r="U1236" s="170" t="n">
        <v>1</v>
      </c>
    </row>
    <row r="1237">
      <c r="A1237" s="54" t="inlineStr">
        <is>
          <t>US CL Pillowcases</t>
        </is>
      </c>
      <c r="B1237" s="54" t="inlineStr">
        <is>
          <t>US</t>
        </is>
      </c>
      <c r="C1237" s="54" t="inlineStr">
        <is>
          <t>B0H5WV9RBQ</t>
        </is>
      </c>
      <c r="D1237" s="54" t="inlineStr">
        <is>
          <t>CL-CLG-PC-LIGHT-GREY-QUEEN-2PCS</t>
        </is>
      </c>
      <c r="E1237" s="54" t="inlineStr">
        <is>
          <t>Queen</t>
        </is>
      </c>
      <c r="F1237" s="54" t="inlineStr">
        <is>
          <t>Light Grey</t>
        </is>
      </c>
      <c r="G1237" s="55" t="n"/>
      <c r="H1237" s="167" t="n"/>
      <c r="I1237" s="167" t="n"/>
      <c r="J1237" s="168">
        <f>IF(AND(N(G1237)&gt;0,N(H1237)+N(I1237)&gt;0),(H1237+I1237)*U1237/G1237,"")</f>
        <v/>
      </c>
      <c r="K1237" s="167" t="n">
        <v>21.99</v>
      </c>
      <c r="L1237" s="167" t="n">
        <v>15.19</v>
      </c>
      <c r="M1237" s="54" t="inlineStr">
        <is>
          <t>Eligible</t>
        </is>
      </c>
      <c r="N1237" s="168">
        <f>IF(OR(J1237="",L1237=""),"",L1237-J1237)</f>
        <v/>
      </c>
      <c r="O1237" s="169">
        <f>IF(OR(J1237="",L1237=""),"",L1237/J1237-1)</f>
        <v/>
      </c>
      <c r="P1237" s="169">
        <f>IF(OR(J1237="",K1237=""),"",K1237/J1237-1)</f>
        <v/>
      </c>
      <c r="Q1237" s="54">
        <f>IF(AND(ISNUMBER(J1237),ISNUMBER(L1237)),1,0)</f>
        <v/>
      </c>
      <c r="R1237" s="69">
        <f>IF(Q1237=1,G1237*L1237,0)</f>
        <v/>
      </c>
      <c r="S1237" s="69">
        <f>IF(Q1237=1,(H1237+I1237)*U1237,0)</f>
        <v/>
      </c>
      <c r="T1237" s="59">
        <f>IF(Q1237=1,G1237,0)</f>
        <v/>
      </c>
      <c r="U1237" s="170" t="n">
        <v>1</v>
      </c>
    </row>
    <row r="1238">
      <c r="A1238" s="54" t="inlineStr">
        <is>
          <t>US CL Pillowcases</t>
        </is>
      </c>
      <c r="B1238" s="54" t="inlineStr">
        <is>
          <t>US</t>
        </is>
      </c>
      <c r="C1238" s="54" t="inlineStr">
        <is>
          <t>B0H5WWMPNN</t>
        </is>
      </c>
      <c r="D1238" s="54" t="inlineStr">
        <is>
          <t>CL-CLG-PC-WHITE-QUEEN-2PCS</t>
        </is>
      </c>
      <c r="E1238" s="54" t="inlineStr">
        <is>
          <t>Queen</t>
        </is>
      </c>
      <c r="F1238" s="54" t="inlineStr">
        <is>
          <t>White</t>
        </is>
      </c>
      <c r="G1238" s="55" t="n"/>
      <c r="H1238" s="167" t="n"/>
      <c r="I1238" s="167" t="n"/>
      <c r="J1238" s="168">
        <f>IF(AND(N(G1238)&gt;0,N(H1238)+N(I1238)&gt;0),(H1238+I1238)*U1238/G1238,"")</f>
        <v/>
      </c>
      <c r="K1238" s="167" t="n">
        <v>21.99</v>
      </c>
      <c r="L1238" s="167" t="n">
        <v>15.19</v>
      </c>
      <c r="M1238" s="54" t="inlineStr">
        <is>
          <t>Eligible</t>
        </is>
      </c>
      <c r="N1238" s="168">
        <f>IF(OR(J1238="",L1238=""),"",L1238-J1238)</f>
        <v/>
      </c>
      <c r="O1238" s="169">
        <f>IF(OR(J1238="",L1238=""),"",L1238/J1238-1)</f>
        <v/>
      </c>
      <c r="P1238" s="169">
        <f>IF(OR(J1238="",K1238=""),"",K1238/J1238-1)</f>
        <v/>
      </c>
      <c r="Q1238" s="54">
        <f>IF(AND(ISNUMBER(J1238),ISNUMBER(L1238)),1,0)</f>
        <v/>
      </c>
      <c r="R1238" s="69">
        <f>IF(Q1238=1,G1238*L1238,0)</f>
        <v/>
      </c>
      <c r="S1238" s="69">
        <f>IF(Q1238=1,(H1238+I1238)*U1238,0)</f>
        <v/>
      </c>
      <c r="T1238" s="59">
        <f>IF(Q1238=1,G1238,0)</f>
        <v/>
      </c>
      <c r="U1238" s="170" t="n">
        <v>1</v>
      </c>
    </row>
    <row r="1239">
      <c r="A1239" s="54" t="inlineStr">
        <is>
          <t>US CL Pillowcases</t>
        </is>
      </c>
      <c r="B1239" s="54" t="inlineStr">
        <is>
          <t>US</t>
        </is>
      </c>
      <c r="C1239" s="54" t="inlineStr">
        <is>
          <t>B0H5WWD96B</t>
        </is>
      </c>
      <c r="D1239" s="54" t="inlineStr">
        <is>
          <t>CL-CLG-PC-BLUE-STANDARD-2PCS</t>
        </is>
      </c>
      <c r="E1239" s="54" t="inlineStr">
        <is>
          <t>Standard</t>
        </is>
      </c>
      <c r="F1239" s="54" t="inlineStr">
        <is>
          <t>Blue</t>
        </is>
      </c>
      <c r="G1239" s="55" t="n"/>
      <c r="H1239" s="167" t="n"/>
      <c r="I1239" s="167" t="n"/>
      <c r="J1239" s="168">
        <f>IF(AND(N(G1239)&gt;0,N(H1239)+N(I1239)&gt;0),(H1239+I1239)*U1239/G1239,"")</f>
        <v/>
      </c>
      <c r="K1239" s="167" t="n">
        <v>19.99</v>
      </c>
      <c r="L1239" s="167" t="n">
        <v>14.24</v>
      </c>
      <c r="M1239" s="54" t="inlineStr">
        <is>
          <t>Eligible</t>
        </is>
      </c>
      <c r="N1239" s="168">
        <f>IF(OR(J1239="",L1239=""),"",L1239-J1239)</f>
        <v/>
      </c>
      <c r="O1239" s="169">
        <f>IF(OR(J1239="",L1239=""),"",L1239/J1239-1)</f>
        <v/>
      </c>
      <c r="P1239" s="169">
        <f>IF(OR(J1239="",K1239=""),"",K1239/J1239-1)</f>
        <v/>
      </c>
      <c r="Q1239" s="54">
        <f>IF(AND(ISNUMBER(J1239),ISNUMBER(L1239)),1,0)</f>
        <v/>
      </c>
      <c r="R1239" s="69">
        <f>IF(Q1239=1,G1239*L1239,0)</f>
        <v/>
      </c>
      <c r="S1239" s="69">
        <f>IF(Q1239=1,(H1239+I1239)*U1239,0)</f>
        <v/>
      </c>
      <c r="T1239" s="59">
        <f>IF(Q1239=1,G1239,0)</f>
        <v/>
      </c>
      <c r="U1239" s="170" t="n">
        <v>1</v>
      </c>
    </row>
    <row r="1240">
      <c r="A1240" s="54" t="inlineStr">
        <is>
          <t>US CL Pillowcases</t>
        </is>
      </c>
      <c r="B1240" s="54" t="inlineStr">
        <is>
          <t>US</t>
        </is>
      </c>
      <c r="C1240" s="54" t="inlineStr">
        <is>
          <t>B0H5WQT8YF</t>
        </is>
      </c>
      <c r="D1240" s="54" t="inlineStr">
        <is>
          <t>CL-CLG-PC-DARK-GREY-STANDARD-2PCS</t>
        </is>
      </c>
      <c r="E1240" s="54" t="inlineStr">
        <is>
          <t>Standard</t>
        </is>
      </c>
      <c r="F1240" s="54" t="inlineStr">
        <is>
          <t>Dark Grey</t>
        </is>
      </c>
      <c r="G1240" s="55" t="n"/>
      <c r="H1240" s="167" t="n"/>
      <c r="I1240" s="167" t="n"/>
      <c r="J1240" s="168">
        <f>IF(AND(N(G1240)&gt;0,N(H1240)+N(I1240)&gt;0),(H1240+I1240)*U1240/G1240,"")</f>
        <v/>
      </c>
      <c r="K1240" s="167" t="n">
        <v>19.99</v>
      </c>
      <c r="L1240" s="167" t="n">
        <v>14.24</v>
      </c>
      <c r="M1240" s="54" t="inlineStr">
        <is>
          <t>Eligible</t>
        </is>
      </c>
      <c r="N1240" s="168">
        <f>IF(OR(J1240="",L1240=""),"",L1240-J1240)</f>
        <v/>
      </c>
      <c r="O1240" s="169">
        <f>IF(OR(J1240="",L1240=""),"",L1240/J1240-1)</f>
        <v/>
      </c>
      <c r="P1240" s="169">
        <f>IF(OR(J1240="",K1240=""),"",K1240/J1240-1)</f>
        <v/>
      </c>
      <c r="Q1240" s="54">
        <f>IF(AND(ISNUMBER(J1240),ISNUMBER(L1240)),1,0)</f>
        <v/>
      </c>
      <c r="R1240" s="69">
        <f>IF(Q1240=1,G1240*L1240,0)</f>
        <v/>
      </c>
      <c r="S1240" s="69">
        <f>IF(Q1240=1,(H1240+I1240)*U1240,0)</f>
        <v/>
      </c>
      <c r="T1240" s="59">
        <f>IF(Q1240=1,G1240,0)</f>
        <v/>
      </c>
      <c r="U1240" s="170" t="n">
        <v>1</v>
      </c>
    </row>
    <row r="1241">
      <c r="A1241" s="54" t="inlineStr">
        <is>
          <t>US CL Pillowcases</t>
        </is>
      </c>
      <c r="B1241" s="54" t="inlineStr">
        <is>
          <t>US</t>
        </is>
      </c>
      <c r="C1241" s="54" t="inlineStr">
        <is>
          <t>B0H5WYZTKX</t>
        </is>
      </c>
      <c r="D1241" s="54" t="inlineStr">
        <is>
          <t>CL-CLG-PC-LIGHT-GREY-STANDARD-2PCS</t>
        </is>
      </c>
      <c r="E1241" s="54" t="inlineStr">
        <is>
          <t>Standard</t>
        </is>
      </c>
      <c r="F1241" s="54" t="inlineStr">
        <is>
          <t>Light Grey</t>
        </is>
      </c>
      <c r="G1241" s="55" t="n"/>
      <c r="H1241" s="167" t="n"/>
      <c r="I1241" s="167" t="n"/>
      <c r="J1241" s="168">
        <f>IF(AND(N(G1241)&gt;0,N(H1241)+N(I1241)&gt;0),(H1241+I1241)*U1241/G1241,"")</f>
        <v/>
      </c>
      <c r="K1241" s="167" t="n">
        <v>19.99</v>
      </c>
      <c r="L1241" s="167" t="n">
        <v>14.24</v>
      </c>
      <c r="M1241" s="54" t="inlineStr">
        <is>
          <t>Eligible</t>
        </is>
      </c>
      <c r="N1241" s="168">
        <f>IF(OR(J1241="",L1241=""),"",L1241-J1241)</f>
        <v/>
      </c>
      <c r="O1241" s="169">
        <f>IF(OR(J1241="",L1241=""),"",L1241/J1241-1)</f>
        <v/>
      </c>
      <c r="P1241" s="169">
        <f>IF(OR(J1241="",K1241=""),"",K1241/J1241-1)</f>
        <v/>
      </c>
      <c r="Q1241" s="54">
        <f>IF(AND(ISNUMBER(J1241),ISNUMBER(L1241)),1,0)</f>
        <v/>
      </c>
      <c r="R1241" s="69">
        <f>IF(Q1241=1,G1241*L1241,0)</f>
        <v/>
      </c>
      <c r="S1241" s="69">
        <f>IF(Q1241=1,(H1241+I1241)*U1241,0)</f>
        <v/>
      </c>
      <c r="T1241" s="59">
        <f>IF(Q1241=1,G1241,0)</f>
        <v/>
      </c>
      <c r="U1241" s="170" t="n">
        <v>1</v>
      </c>
    </row>
    <row r="1242">
      <c r="A1242" s="54" t="inlineStr">
        <is>
          <t>US CL Pillowcases</t>
        </is>
      </c>
      <c r="B1242" s="54" t="inlineStr">
        <is>
          <t>US</t>
        </is>
      </c>
      <c r="C1242" s="54" t="inlineStr">
        <is>
          <t>B0H5XBSQ71</t>
        </is>
      </c>
      <c r="D1242" s="54" t="inlineStr">
        <is>
          <t>CL-CLG-PC-WHITE-STANDARD-2PCS</t>
        </is>
      </c>
      <c r="E1242" s="54" t="inlineStr">
        <is>
          <t>Standard</t>
        </is>
      </c>
      <c r="F1242" s="54" t="inlineStr">
        <is>
          <t>White</t>
        </is>
      </c>
      <c r="G1242" s="55" t="n"/>
      <c r="H1242" s="167" t="n"/>
      <c r="I1242" s="167" t="n"/>
      <c r="J1242" s="168">
        <f>IF(AND(N(G1242)&gt;0,N(H1242)+N(I1242)&gt;0),(H1242+I1242)*U1242/G1242,"")</f>
        <v/>
      </c>
      <c r="K1242" s="167" t="n">
        <v>19.99</v>
      </c>
      <c r="L1242" s="167" t="n">
        <v>14.24</v>
      </c>
      <c r="M1242" s="54" t="inlineStr">
        <is>
          <t>Eligible</t>
        </is>
      </c>
      <c r="N1242" s="168">
        <f>IF(OR(J1242="",L1242=""),"",L1242-J1242)</f>
        <v/>
      </c>
      <c r="O1242" s="169">
        <f>IF(OR(J1242="",L1242=""),"",L1242/J1242-1)</f>
        <v/>
      </c>
      <c r="P1242" s="169">
        <f>IF(OR(J1242="",K1242=""),"",K1242/J1242-1)</f>
        <v/>
      </c>
      <c r="Q1242" s="54">
        <f>IF(AND(ISNUMBER(J1242),ISNUMBER(L1242)),1,0)</f>
        <v/>
      </c>
      <c r="R1242" s="69">
        <f>IF(Q1242=1,G1242*L1242,0)</f>
        <v/>
      </c>
      <c r="S1242" s="69">
        <f>IF(Q1242=1,(H1242+I1242)*U1242,0)</f>
        <v/>
      </c>
      <c r="T1242" s="59">
        <f>IF(Q1242=1,G1242,0)</f>
        <v/>
      </c>
      <c r="U1242" s="170" t="n">
        <v>1</v>
      </c>
    </row>
    <row r="1243">
      <c r="A1243" s="54" t="inlineStr">
        <is>
          <t>US SL Cooling Pillowcase</t>
        </is>
      </c>
      <c r="B1243" s="54" t="inlineStr">
        <is>
          <t>US</t>
        </is>
      </c>
      <c r="C1243" s="54" t="inlineStr">
        <is>
          <t>B0F7LMHRL9</t>
        </is>
      </c>
      <c r="D1243" s="54" t="inlineStr">
        <is>
          <t>SL-CLG-PC-DARK-GREY-QUEEN-2PCS</t>
        </is>
      </c>
      <c r="E1243" s="54" t="inlineStr">
        <is>
          <t>Queen</t>
        </is>
      </c>
      <c r="F1243" s="54" t="inlineStr">
        <is>
          <t>Dark Grey</t>
        </is>
      </c>
      <c r="G1243" s="55" t="n">
        <v>61</v>
      </c>
      <c r="H1243" s="167" t="n">
        <v>975.39</v>
      </c>
      <c r="I1243" s="167" t="n">
        <v>0</v>
      </c>
      <c r="J1243" s="168">
        <f>IF(AND(N(G1243)&gt;0,N(H1243)+N(I1243)&gt;0),(H1243+I1243)*U1243/G1243,"")</f>
        <v/>
      </c>
      <c r="K1243" s="167" t="n">
        <v>21.99</v>
      </c>
      <c r="L1243" s="167" t="n">
        <v>20.89</v>
      </c>
      <c r="M1243" s="54" t="inlineStr">
        <is>
          <t>Eligible</t>
        </is>
      </c>
      <c r="N1243" s="168">
        <f>IF(OR(J1243="",L1243=""),"",L1243-J1243)</f>
        <v/>
      </c>
      <c r="O1243" s="169">
        <f>IF(OR(J1243="",L1243=""),"",L1243/J1243-1)</f>
        <v/>
      </c>
      <c r="P1243" s="169">
        <f>IF(OR(J1243="",K1243=""),"",K1243/J1243-1)</f>
        <v/>
      </c>
      <c r="Q1243" s="54">
        <f>IF(AND(ISNUMBER(J1243),ISNUMBER(L1243)),1,0)</f>
        <v/>
      </c>
      <c r="R1243" s="69">
        <f>IF(Q1243=1,G1243*L1243,0)</f>
        <v/>
      </c>
      <c r="S1243" s="69">
        <f>IF(Q1243=1,(H1243+I1243)*U1243,0)</f>
        <v/>
      </c>
      <c r="T1243" s="59">
        <f>IF(Q1243=1,G1243,0)</f>
        <v/>
      </c>
      <c r="U1243" s="170" t="n">
        <v>1</v>
      </c>
    </row>
    <row r="1244">
      <c r="A1244" s="54" t="inlineStr">
        <is>
          <t>US SL Cooling Pillowcase</t>
        </is>
      </c>
      <c r="B1244" s="54" t="inlineStr">
        <is>
          <t>US</t>
        </is>
      </c>
      <c r="C1244" s="54" t="inlineStr">
        <is>
          <t>B0F7LM5KWC</t>
        </is>
      </c>
      <c r="D1244" s="54" t="inlineStr">
        <is>
          <t>SL-CLG-PC-LIGHT-GREY-KING-2PCS</t>
        </is>
      </c>
      <c r="E1244" s="54" t="inlineStr">
        <is>
          <t>King</t>
        </is>
      </c>
      <c r="F1244" s="54" t="inlineStr">
        <is>
          <t>Light Grey</t>
        </is>
      </c>
      <c r="G1244" s="55" t="n">
        <v>25</v>
      </c>
      <c r="H1244" s="167" t="n">
        <v>449.75</v>
      </c>
      <c r="I1244" s="167" t="n">
        <v>0</v>
      </c>
      <c r="J1244" s="168">
        <f>IF(AND(N(G1244)&gt;0,N(H1244)+N(I1244)&gt;0),(H1244+I1244)*U1244/G1244,"")</f>
        <v/>
      </c>
      <c r="K1244" s="167" t="n">
        <v>23.99</v>
      </c>
      <c r="L1244" s="167" t="n">
        <v>22.79</v>
      </c>
      <c r="M1244" s="54" t="inlineStr">
        <is>
          <t>Eligible</t>
        </is>
      </c>
      <c r="N1244" s="168">
        <f>IF(OR(J1244="",L1244=""),"",L1244-J1244)</f>
        <v/>
      </c>
      <c r="O1244" s="169">
        <f>IF(OR(J1244="",L1244=""),"",L1244/J1244-1)</f>
        <v/>
      </c>
      <c r="P1244" s="169">
        <f>IF(OR(J1244="",K1244=""),"",K1244/J1244-1)</f>
        <v/>
      </c>
      <c r="Q1244" s="54">
        <f>IF(AND(ISNUMBER(J1244),ISNUMBER(L1244)),1,0)</f>
        <v/>
      </c>
      <c r="R1244" s="69">
        <f>IF(Q1244=1,G1244*L1244,0)</f>
        <v/>
      </c>
      <c r="S1244" s="69">
        <f>IF(Q1244=1,(H1244+I1244)*U1244,0)</f>
        <v/>
      </c>
      <c r="T1244" s="59">
        <f>IF(Q1244=1,G1244,0)</f>
        <v/>
      </c>
      <c r="U1244" s="170" t="n">
        <v>1</v>
      </c>
    </row>
    <row r="1245">
      <c r="A1245" s="54" t="inlineStr">
        <is>
          <t>US SL Cooling Pillowcase</t>
        </is>
      </c>
      <c r="B1245" s="54" t="inlineStr">
        <is>
          <t>US</t>
        </is>
      </c>
      <c r="C1245" s="54" t="inlineStr">
        <is>
          <t>B0F7LJM867</t>
        </is>
      </c>
      <c r="D1245" s="54" t="inlineStr">
        <is>
          <t>SL-CLG-PC-DARK-GREY-STANDARD-2PCS</t>
        </is>
      </c>
      <c r="E1245" s="54" t="inlineStr">
        <is>
          <t>Standard</t>
        </is>
      </c>
      <c r="F1245" s="54" t="inlineStr">
        <is>
          <t>Dark Grey</t>
        </is>
      </c>
      <c r="G1245" s="55" t="n">
        <v>22</v>
      </c>
      <c r="H1245" s="167" t="n">
        <v>329.78</v>
      </c>
      <c r="I1245" s="167" t="n">
        <v>0</v>
      </c>
      <c r="J1245" s="168">
        <f>IF(AND(N(G1245)&gt;0,N(H1245)+N(I1245)&gt;0),(H1245+I1245)*U1245/G1245,"")</f>
        <v/>
      </c>
      <c r="K1245" s="167" t="n">
        <v>20.99</v>
      </c>
      <c r="L1245" s="167" t="n"/>
      <c r="M1245" s="54" t="inlineStr">
        <is>
          <t>Out of stock</t>
        </is>
      </c>
      <c r="N1245" s="168">
        <f>IF(OR(J1245="",L1245=""),"",L1245-J1245)</f>
        <v/>
      </c>
      <c r="O1245" s="169">
        <f>IF(OR(J1245="",L1245=""),"",L1245/J1245-1)</f>
        <v/>
      </c>
      <c r="P1245" s="169">
        <f>IF(OR(J1245="",K1245=""),"",K1245/J1245-1)</f>
        <v/>
      </c>
      <c r="Q1245" s="54">
        <f>IF(AND(ISNUMBER(J1245),ISNUMBER(L1245)),1,0)</f>
        <v/>
      </c>
      <c r="R1245" s="69">
        <f>IF(Q1245=1,G1245*L1245,0)</f>
        <v/>
      </c>
      <c r="S1245" s="69">
        <f>IF(Q1245=1,(H1245+I1245)*U1245,0)</f>
        <v/>
      </c>
      <c r="T1245" s="59">
        <f>IF(Q1245=1,G1245,0)</f>
        <v/>
      </c>
      <c r="U1245" s="170" t="n">
        <v>1</v>
      </c>
    </row>
    <row r="1246">
      <c r="A1246" s="54" t="inlineStr">
        <is>
          <t>US SL Cooling Pillowcase</t>
        </is>
      </c>
      <c r="B1246" s="54" t="inlineStr">
        <is>
          <t>US</t>
        </is>
      </c>
      <c r="C1246" s="54" t="inlineStr">
        <is>
          <t>B0F7LJRWB6</t>
        </is>
      </c>
      <c r="D1246" s="54" t="inlineStr">
        <is>
          <t>SL-CLG-PC-LIGHT-GREY-QUEEN-2PCS</t>
        </is>
      </c>
      <c r="E1246" s="54" t="inlineStr">
        <is>
          <t>Queen</t>
        </is>
      </c>
      <c r="F1246" s="54" t="inlineStr">
        <is>
          <t>Light Grey</t>
        </is>
      </c>
      <c r="G1246" s="55" t="n">
        <v>19</v>
      </c>
      <c r="H1246" s="167" t="n">
        <v>287.82</v>
      </c>
      <c r="I1246" s="167" t="n">
        <v>0</v>
      </c>
      <c r="J1246" s="168">
        <f>IF(AND(N(G1246)&gt;0,N(H1246)+N(I1246)&gt;0),(H1246+I1246)*U1246/G1246,"")</f>
        <v/>
      </c>
      <c r="K1246" s="167" t="n">
        <v>21.99</v>
      </c>
      <c r="L1246" s="167" t="n"/>
      <c r="M1246" s="54" t="inlineStr">
        <is>
          <t>No reference price</t>
        </is>
      </c>
      <c r="N1246" s="168">
        <f>IF(OR(J1246="",L1246=""),"",L1246-J1246)</f>
        <v/>
      </c>
      <c r="O1246" s="169">
        <f>IF(OR(J1246="",L1246=""),"",L1246/J1246-1)</f>
        <v/>
      </c>
      <c r="P1246" s="169">
        <f>IF(OR(J1246="",K1246=""),"",K1246/J1246-1)</f>
        <v/>
      </c>
      <c r="Q1246" s="54">
        <f>IF(AND(ISNUMBER(J1246),ISNUMBER(L1246)),1,0)</f>
        <v/>
      </c>
      <c r="R1246" s="69">
        <f>IF(Q1246=1,G1246*L1246,0)</f>
        <v/>
      </c>
      <c r="S1246" s="69">
        <f>IF(Q1246=1,(H1246+I1246)*U1246,0)</f>
        <v/>
      </c>
      <c r="T1246" s="59">
        <f>IF(Q1246=1,G1246,0)</f>
        <v/>
      </c>
      <c r="U1246" s="170" t="n">
        <v>1</v>
      </c>
    </row>
    <row r="1247">
      <c r="A1247" s="54" t="inlineStr">
        <is>
          <t>US SL Cooling Pillowcase</t>
        </is>
      </c>
      <c r="B1247" s="54" t="inlineStr">
        <is>
          <t>US</t>
        </is>
      </c>
      <c r="C1247" s="54" t="inlineStr">
        <is>
          <t>B0F7LKTKKS</t>
        </is>
      </c>
      <c r="D1247" s="54" t="inlineStr">
        <is>
          <t>SL-CLG-PC-WHITE-QUEEN-2PCS</t>
        </is>
      </c>
      <c r="E1247" s="54" t="inlineStr">
        <is>
          <t>Queen</t>
        </is>
      </c>
      <c r="F1247" s="54" t="inlineStr">
        <is>
          <t>White</t>
        </is>
      </c>
      <c r="G1247" s="55" t="n">
        <v>19</v>
      </c>
      <c r="H1247" s="167" t="n">
        <v>303.81</v>
      </c>
      <c r="I1247" s="167" t="n">
        <v>0</v>
      </c>
      <c r="J1247" s="168">
        <f>IF(AND(N(G1247)&gt;0,N(H1247)+N(I1247)&gt;0),(H1247+I1247)*U1247/G1247,"")</f>
        <v/>
      </c>
      <c r="K1247" s="167" t="n">
        <v>21.99</v>
      </c>
      <c r="L1247" s="167" t="n">
        <v>20.89</v>
      </c>
      <c r="M1247" s="54" t="inlineStr">
        <is>
          <t>Eligible</t>
        </is>
      </c>
      <c r="N1247" s="168">
        <f>IF(OR(J1247="",L1247=""),"",L1247-J1247)</f>
        <v/>
      </c>
      <c r="O1247" s="169">
        <f>IF(OR(J1247="",L1247=""),"",L1247/J1247-1)</f>
        <v/>
      </c>
      <c r="P1247" s="169">
        <f>IF(OR(J1247="",K1247=""),"",K1247/J1247-1)</f>
        <v/>
      </c>
      <c r="Q1247" s="54">
        <f>IF(AND(ISNUMBER(J1247),ISNUMBER(L1247)),1,0)</f>
        <v/>
      </c>
      <c r="R1247" s="69">
        <f>IF(Q1247=1,G1247*L1247,0)</f>
        <v/>
      </c>
      <c r="S1247" s="69">
        <f>IF(Q1247=1,(H1247+I1247)*U1247,0)</f>
        <v/>
      </c>
      <c r="T1247" s="59">
        <f>IF(Q1247=1,G1247,0)</f>
        <v/>
      </c>
      <c r="U1247" s="170" t="n">
        <v>1</v>
      </c>
    </row>
    <row r="1248">
      <c r="A1248" s="54" t="inlineStr">
        <is>
          <t>US SL Cooling Pillowcase</t>
        </is>
      </c>
      <c r="B1248" s="54" t="inlineStr">
        <is>
          <t>US</t>
        </is>
      </c>
      <c r="C1248" s="54" t="inlineStr">
        <is>
          <t>B0F7LLM71K</t>
        </is>
      </c>
      <c r="D1248" s="54" t="inlineStr">
        <is>
          <t>SL-CLG-PC-LIGHT-GREY-STANDARD-2PCS</t>
        </is>
      </c>
      <c r="E1248" s="54" t="inlineStr">
        <is>
          <t>Standard</t>
        </is>
      </c>
      <c r="F1248" s="54" t="inlineStr">
        <is>
          <t>Light Grey</t>
        </is>
      </c>
      <c r="G1248" s="55" t="n">
        <v>13</v>
      </c>
      <c r="H1248" s="167" t="n">
        <v>194.87</v>
      </c>
      <c r="I1248" s="167" t="n">
        <v>0</v>
      </c>
      <c r="J1248" s="168">
        <f>IF(AND(N(G1248)&gt;0,N(H1248)+N(I1248)&gt;0),(H1248+I1248)*U1248/G1248,"")</f>
        <v/>
      </c>
      <c r="K1248" s="167" t="n">
        <v>20.99</v>
      </c>
      <c r="L1248" s="167" t="n"/>
      <c r="M1248" s="54" t="inlineStr">
        <is>
          <t>Out of stock</t>
        </is>
      </c>
      <c r="N1248" s="168">
        <f>IF(OR(J1248="",L1248=""),"",L1248-J1248)</f>
        <v/>
      </c>
      <c r="O1248" s="169">
        <f>IF(OR(J1248="",L1248=""),"",L1248/J1248-1)</f>
        <v/>
      </c>
      <c r="P1248" s="169">
        <f>IF(OR(J1248="",K1248=""),"",K1248/J1248-1)</f>
        <v/>
      </c>
      <c r="Q1248" s="54">
        <f>IF(AND(ISNUMBER(J1248),ISNUMBER(L1248)),1,0)</f>
        <v/>
      </c>
      <c r="R1248" s="69">
        <f>IF(Q1248=1,G1248*L1248,0)</f>
        <v/>
      </c>
      <c r="S1248" s="69">
        <f>IF(Q1248=1,(H1248+I1248)*U1248,0)</f>
        <v/>
      </c>
      <c r="T1248" s="59">
        <f>IF(Q1248=1,G1248,0)</f>
        <v/>
      </c>
      <c r="U1248" s="170" t="n">
        <v>1</v>
      </c>
    </row>
    <row r="1249">
      <c r="A1249" s="54" t="inlineStr">
        <is>
          <t>US SL Cooling Pillowcase</t>
        </is>
      </c>
      <c r="B1249" s="54" t="inlineStr">
        <is>
          <t>US</t>
        </is>
      </c>
      <c r="C1249" s="54" t="inlineStr">
        <is>
          <t>B0F7LLMXSR</t>
        </is>
      </c>
      <c r="D1249" s="54" t="inlineStr">
        <is>
          <t>SL-CLG-PC-BLUE-KING-2PCS</t>
        </is>
      </c>
      <c r="E1249" s="54" t="inlineStr">
        <is>
          <t>King</t>
        </is>
      </c>
      <c r="F1249" s="54" t="inlineStr">
        <is>
          <t>Blue</t>
        </is>
      </c>
      <c r="G1249" s="55" t="n">
        <v>9</v>
      </c>
      <c r="H1249" s="167" t="n">
        <v>161.91</v>
      </c>
      <c r="I1249" s="167" t="n">
        <v>0</v>
      </c>
      <c r="J1249" s="168">
        <f>IF(AND(N(G1249)&gt;0,N(H1249)+N(I1249)&gt;0),(H1249+I1249)*U1249/G1249,"")</f>
        <v/>
      </c>
      <c r="K1249" s="167" t="n">
        <v>23.99</v>
      </c>
      <c r="L1249" s="167" t="n">
        <v>22.79</v>
      </c>
      <c r="M1249" s="54" t="inlineStr">
        <is>
          <t>Eligible</t>
        </is>
      </c>
      <c r="N1249" s="168">
        <f>IF(OR(J1249="",L1249=""),"",L1249-J1249)</f>
        <v/>
      </c>
      <c r="O1249" s="169">
        <f>IF(OR(J1249="",L1249=""),"",L1249/J1249-1)</f>
        <v/>
      </c>
      <c r="P1249" s="169">
        <f>IF(OR(J1249="",K1249=""),"",K1249/J1249-1)</f>
        <v/>
      </c>
      <c r="Q1249" s="54">
        <f>IF(AND(ISNUMBER(J1249),ISNUMBER(L1249)),1,0)</f>
        <v/>
      </c>
      <c r="R1249" s="69">
        <f>IF(Q1249=1,G1249*L1249,0)</f>
        <v/>
      </c>
      <c r="S1249" s="69">
        <f>IF(Q1249=1,(H1249+I1249)*U1249,0)</f>
        <v/>
      </c>
      <c r="T1249" s="59">
        <f>IF(Q1249=1,G1249,0)</f>
        <v/>
      </c>
      <c r="U1249" s="170" t="n">
        <v>1</v>
      </c>
    </row>
    <row r="1250">
      <c r="A1250" s="54" t="inlineStr">
        <is>
          <t>US SL Cooling Pillowcase</t>
        </is>
      </c>
      <c r="B1250" s="54" t="inlineStr">
        <is>
          <t>US</t>
        </is>
      </c>
      <c r="C1250" s="54" t="inlineStr">
        <is>
          <t>B0F7LMGHFP</t>
        </is>
      </c>
      <c r="D1250" s="54" t="inlineStr">
        <is>
          <t>SL-CLG-PC-WHITE-STANDARD-2PCS</t>
        </is>
      </c>
      <c r="E1250" s="54" t="inlineStr">
        <is>
          <t>Standard</t>
        </is>
      </c>
      <c r="F1250" s="54" t="inlineStr">
        <is>
          <t>White</t>
        </is>
      </c>
      <c r="G1250" s="55" t="n">
        <v>9</v>
      </c>
      <c r="H1250" s="167" t="n">
        <v>134.91</v>
      </c>
      <c r="I1250" s="167" t="n">
        <v>0</v>
      </c>
      <c r="J1250" s="168">
        <f>IF(AND(N(G1250)&gt;0,N(H1250)+N(I1250)&gt;0),(H1250+I1250)*U1250/G1250,"")</f>
        <v/>
      </c>
      <c r="K1250" s="167" t="n">
        <v>20.99</v>
      </c>
      <c r="L1250" s="167" t="n"/>
      <c r="M1250" s="54" t="inlineStr">
        <is>
          <t>Out of stock</t>
        </is>
      </c>
      <c r="N1250" s="168">
        <f>IF(OR(J1250="",L1250=""),"",L1250-J1250)</f>
        <v/>
      </c>
      <c r="O1250" s="169">
        <f>IF(OR(J1250="",L1250=""),"",L1250/J1250-1)</f>
        <v/>
      </c>
      <c r="P1250" s="169">
        <f>IF(OR(J1250="",K1250=""),"",K1250/J1250-1)</f>
        <v/>
      </c>
      <c r="Q1250" s="54">
        <f>IF(AND(ISNUMBER(J1250),ISNUMBER(L1250)),1,0)</f>
        <v/>
      </c>
      <c r="R1250" s="69">
        <f>IF(Q1250=1,G1250*L1250,0)</f>
        <v/>
      </c>
      <c r="S1250" s="69">
        <f>IF(Q1250=1,(H1250+I1250)*U1250,0)</f>
        <v/>
      </c>
      <c r="T1250" s="59">
        <f>IF(Q1250=1,G1250,0)</f>
        <v/>
      </c>
      <c r="U1250" s="170" t="n">
        <v>1</v>
      </c>
    </row>
    <row r="1251">
      <c r="A1251" s="54" t="inlineStr">
        <is>
          <t>US SL Cooling Pillowcase</t>
        </is>
      </c>
      <c r="B1251" s="54" t="inlineStr">
        <is>
          <t>US</t>
        </is>
      </c>
      <c r="C1251" s="54" t="inlineStr">
        <is>
          <t>B0F7LHWD2N</t>
        </is>
      </c>
      <c r="D1251" s="54" t="inlineStr">
        <is>
          <t>SL-CLG-PC-BLUE-STANDARD-2PCS</t>
        </is>
      </c>
      <c r="E1251" s="54" t="inlineStr">
        <is>
          <t>Standard</t>
        </is>
      </c>
      <c r="F1251" s="54" t="inlineStr">
        <is>
          <t>Blue</t>
        </is>
      </c>
      <c r="G1251" s="55" t="n">
        <v>7</v>
      </c>
      <c r="H1251" s="167" t="n">
        <v>89.94</v>
      </c>
      <c r="I1251" s="167" t="n">
        <v>0</v>
      </c>
      <c r="J1251" s="168">
        <f>IF(AND(N(G1251)&gt;0,N(H1251)+N(I1251)&gt;0),(H1251+I1251)*U1251/G1251,"")</f>
        <v/>
      </c>
      <c r="K1251" s="167" t="n">
        <v>20.99</v>
      </c>
      <c r="L1251" s="167" t="n">
        <v>19.94</v>
      </c>
      <c r="M1251" s="54" t="inlineStr">
        <is>
          <t>Eligible</t>
        </is>
      </c>
      <c r="N1251" s="168">
        <f>IF(OR(J1251="",L1251=""),"",L1251-J1251)</f>
        <v/>
      </c>
      <c r="O1251" s="169">
        <f>IF(OR(J1251="",L1251=""),"",L1251/J1251-1)</f>
        <v/>
      </c>
      <c r="P1251" s="169">
        <f>IF(OR(J1251="",K1251=""),"",K1251/J1251-1)</f>
        <v/>
      </c>
      <c r="Q1251" s="54">
        <f>IF(AND(ISNUMBER(J1251),ISNUMBER(L1251)),1,0)</f>
        <v/>
      </c>
      <c r="R1251" s="69">
        <f>IF(Q1251=1,G1251*L1251,0)</f>
        <v/>
      </c>
      <c r="S1251" s="69">
        <f>IF(Q1251=1,(H1251+I1251)*U1251,0)</f>
        <v/>
      </c>
      <c r="T1251" s="59">
        <f>IF(Q1251=1,G1251,0)</f>
        <v/>
      </c>
      <c r="U1251" s="170" t="n">
        <v>1</v>
      </c>
    </row>
    <row r="1252">
      <c r="A1252" s="54" t="inlineStr">
        <is>
          <t>US SL Cooling Pillowcase</t>
        </is>
      </c>
      <c r="B1252" s="54" t="inlineStr">
        <is>
          <t>US</t>
        </is>
      </c>
      <c r="C1252" s="54" t="inlineStr">
        <is>
          <t>B0F7LJS3N2</t>
        </is>
      </c>
      <c r="D1252" s="54" t="inlineStr">
        <is>
          <t>SL-CLG-PC-BLUE-QUEEN-2PCS</t>
        </is>
      </c>
      <c r="E1252" s="54" t="inlineStr">
        <is>
          <t>Queen</t>
        </is>
      </c>
      <c r="F1252" s="54" t="inlineStr">
        <is>
          <t>Blue</t>
        </is>
      </c>
      <c r="G1252" s="55" t="n">
        <v>6</v>
      </c>
      <c r="H1252" s="167" t="n">
        <v>95.94</v>
      </c>
      <c r="I1252" s="167" t="n">
        <v>0</v>
      </c>
      <c r="J1252" s="168">
        <f>IF(AND(N(G1252)&gt;0,N(H1252)+N(I1252)&gt;0),(H1252+I1252)*U1252/G1252,"")</f>
        <v/>
      </c>
      <c r="K1252" s="167" t="n">
        <v>21.99</v>
      </c>
      <c r="L1252" s="167" t="n">
        <v>20.89</v>
      </c>
      <c r="M1252" s="54" t="inlineStr">
        <is>
          <t>Eligible</t>
        </is>
      </c>
      <c r="N1252" s="168">
        <f>IF(OR(J1252="",L1252=""),"",L1252-J1252)</f>
        <v/>
      </c>
      <c r="O1252" s="169">
        <f>IF(OR(J1252="",L1252=""),"",L1252/J1252-1)</f>
        <v/>
      </c>
      <c r="P1252" s="169">
        <f>IF(OR(J1252="",K1252=""),"",K1252/J1252-1)</f>
        <v/>
      </c>
      <c r="Q1252" s="54">
        <f>IF(AND(ISNUMBER(J1252),ISNUMBER(L1252)),1,0)</f>
        <v/>
      </c>
      <c r="R1252" s="69">
        <f>IF(Q1252=1,G1252*L1252,0)</f>
        <v/>
      </c>
      <c r="S1252" s="69">
        <f>IF(Q1252=1,(H1252+I1252)*U1252,0)</f>
        <v/>
      </c>
      <c r="T1252" s="59">
        <f>IF(Q1252=1,G1252,0)</f>
        <v/>
      </c>
      <c r="U1252" s="170" t="n">
        <v>1</v>
      </c>
    </row>
    <row r="1253">
      <c r="A1253" s="54" t="inlineStr">
        <is>
          <t>US SL Cooling Pillowcase</t>
        </is>
      </c>
      <c r="B1253" s="54" t="inlineStr">
        <is>
          <t>US</t>
        </is>
      </c>
      <c r="C1253" s="54" t="inlineStr">
        <is>
          <t>B0F7LKSFGB</t>
        </is>
      </c>
      <c r="D1253" s="54" t="inlineStr">
        <is>
          <t>SL-CLG-PC-DARK-GREY-KING-2PCS</t>
        </is>
      </c>
      <c r="E1253" s="54" t="inlineStr">
        <is>
          <t>King</t>
        </is>
      </c>
      <c r="F1253" s="54" t="inlineStr">
        <is>
          <t>Dark Grey</t>
        </is>
      </c>
      <c r="G1253" s="55" t="n">
        <v>1</v>
      </c>
      <c r="H1253" s="167" t="n">
        <v>17.99</v>
      </c>
      <c r="I1253" s="167" t="n">
        <v>0</v>
      </c>
      <c r="J1253" s="168">
        <f>IF(AND(N(G1253)&gt;0,N(H1253)+N(I1253)&gt;0),(H1253+I1253)*U1253/G1253,"")</f>
        <v/>
      </c>
      <c r="K1253" s="167" t="n">
        <v>23.99</v>
      </c>
      <c r="L1253" s="167" t="n">
        <v>23.99</v>
      </c>
      <c r="M1253" s="54" t="inlineStr">
        <is>
          <t>Eligible</t>
        </is>
      </c>
      <c r="N1253" s="168">
        <f>IF(OR(J1253="",L1253=""),"",L1253-J1253)</f>
        <v/>
      </c>
      <c r="O1253" s="169">
        <f>IF(OR(J1253="",L1253=""),"",L1253/J1253-1)</f>
        <v/>
      </c>
      <c r="P1253" s="169">
        <f>IF(OR(J1253="",K1253=""),"",K1253/J1253-1)</f>
        <v/>
      </c>
      <c r="Q1253" s="54">
        <f>IF(AND(ISNUMBER(J1253),ISNUMBER(L1253)),1,0)</f>
        <v/>
      </c>
      <c r="R1253" s="69">
        <f>IF(Q1253=1,G1253*L1253,0)</f>
        <v/>
      </c>
      <c r="S1253" s="69">
        <f>IF(Q1253=1,(H1253+I1253)*U1253,0)</f>
        <v/>
      </c>
      <c r="T1253" s="59">
        <f>IF(Q1253=1,G1253,0)</f>
        <v/>
      </c>
      <c r="U1253" s="170" t="n">
        <v>1</v>
      </c>
    </row>
    <row r="1254">
      <c r="A1254" s="54" t="inlineStr">
        <is>
          <t>US SL Cooling Comforter</t>
        </is>
      </c>
      <c r="B1254" s="54" t="inlineStr">
        <is>
          <t>US</t>
        </is>
      </c>
      <c r="C1254" s="54" t="inlineStr">
        <is>
          <t>B0F7M4Q2HQ</t>
        </is>
      </c>
      <c r="D1254" s="54" t="inlineStr">
        <is>
          <t>SL-CLG-COMF-LIGHT-GREY/DARK-GREY-KING</t>
        </is>
      </c>
      <c r="E1254" s="54" t="inlineStr">
        <is>
          <t>King</t>
        </is>
      </c>
      <c r="F1254" s="54" t="inlineStr">
        <is>
          <t>Light Grey &amp; Dark Grey</t>
        </is>
      </c>
      <c r="G1254" s="55" t="n">
        <v>151</v>
      </c>
      <c r="H1254" s="167" t="n">
        <v>7915.49</v>
      </c>
      <c r="I1254" s="167" t="n">
        <v>0</v>
      </c>
      <c r="J1254" s="168">
        <f>IF(AND(N(G1254)&gt;0,N(H1254)+N(I1254)&gt;0),(H1254+I1254)*U1254/G1254,"")</f>
        <v/>
      </c>
      <c r="K1254" s="167" t="n">
        <v>79.98999999999999</v>
      </c>
      <c r="L1254" s="167" t="n">
        <v>75.98999999999999</v>
      </c>
      <c r="M1254" s="54" t="inlineStr">
        <is>
          <t>Eligible</t>
        </is>
      </c>
      <c r="N1254" s="168">
        <f>IF(OR(J1254="",L1254=""),"",L1254-J1254)</f>
        <v/>
      </c>
      <c r="O1254" s="169">
        <f>IF(OR(J1254="",L1254=""),"",L1254/J1254-1)</f>
        <v/>
      </c>
      <c r="P1254" s="169">
        <f>IF(OR(J1254="",K1254=""),"",K1254/J1254-1)</f>
        <v/>
      </c>
      <c r="Q1254" s="54">
        <f>IF(AND(ISNUMBER(J1254),ISNUMBER(L1254)),1,0)</f>
        <v/>
      </c>
      <c r="R1254" s="69">
        <f>IF(Q1254=1,G1254*L1254,0)</f>
        <v/>
      </c>
      <c r="S1254" s="69">
        <f>IF(Q1254=1,(H1254+I1254)*U1254,0)</f>
        <v/>
      </c>
      <c r="T1254" s="59">
        <f>IF(Q1254=1,G1254,0)</f>
        <v/>
      </c>
      <c r="U1254" s="170" t="n">
        <v>1</v>
      </c>
    </row>
    <row r="1255">
      <c r="A1255" s="54" t="inlineStr">
        <is>
          <t>US SL Cooling Comforter</t>
        </is>
      </c>
      <c r="B1255" s="54" t="inlineStr">
        <is>
          <t>US</t>
        </is>
      </c>
      <c r="C1255" s="54" t="inlineStr">
        <is>
          <t>B0F7M5T8FH</t>
        </is>
      </c>
      <c r="D1255" s="54" t="inlineStr">
        <is>
          <t>SL-CLG-COMF-LIGHT-GREY/DARK-GREY-QUEEN</t>
        </is>
      </c>
      <c r="E1255" s="54" t="inlineStr">
        <is>
          <t>Queen</t>
        </is>
      </c>
      <c r="F1255" s="54" t="inlineStr">
        <is>
          <t>Light Grey &amp; Dark Grey</t>
        </is>
      </c>
      <c r="G1255" s="55" t="n">
        <v>128</v>
      </c>
      <c r="H1255" s="167" t="n">
        <v>5663.72</v>
      </c>
      <c r="I1255" s="167" t="n">
        <v>0</v>
      </c>
      <c r="J1255" s="168">
        <f>IF(AND(N(G1255)&gt;0,N(H1255)+N(I1255)&gt;0),(H1255+I1255)*U1255/G1255,"")</f>
        <v/>
      </c>
      <c r="K1255" s="167" t="n">
        <v>69.98999999999999</v>
      </c>
      <c r="L1255" s="167" t="n">
        <v>66.48999999999999</v>
      </c>
      <c r="M1255" s="54" t="inlineStr">
        <is>
          <t>Eligible</t>
        </is>
      </c>
      <c r="N1255" s="168">
        <f>IF(OR(J1255="",L1255=""),"",L1255-J1255)</f>
        <v/>
      </c>
      <c r="O1255" s="169">
        <f>IF(OR(J1255="",L1255=""),"",L1255/J1255-1)</f>
        <v/>
      </c>
      <c r="P1255" s="169">
        <f>IF(OR(J1255="",K1255=""),"",K1255/J1255-1)</f>
        <v/>
      </c>
      <c r="Q1255" s="54">
        <f>IF(AND(ISNUMBER(J1255),ISNUMBER(L1255)),1,0)</f>
        <v/>
      </c>
      <c r="R1255" s="69">
        <f>IF(Q1255=1,G1255*L1255,0)</f>
        <v/>
      </c>
      <c r="S1255" s="69">
        <f>IF(Q1255=1,(H1255+I1255)*U1255,0)</f>
        <v/>
      </c>
      <c r="T1255" s="59">
        <f>IF(Q1255=1,G1255,0)</f>
        <v/>
      </c>
      <c r="U1255" s="170" t="n">
        <v>1</v>
      </c>
    </row>
    <row r="1256">
      <c r="A1256" s="54" t="inlineStr">
        <is>
          <t>US SL Cooling Comforter</t>
        </is>
      </c>
      <c r="B1256" s="54" t="inlineStr">
        <is>
          <t>US</t>
        </is>
      </c>
      <c r="C1256" s="54" t="inlineStr">
        <is>
          <t>B0F7M56896</t>
        </is>
      </c>
      <c r="D1256" s="54" t="inlineStr">
        <is>
          <t>SL-CLG-COMF-BLUE/DARK-GREY-QUEEN</t>
        </is>
      </c>
      <c r="E1256" s="54" t="inlineStr">
        <is>
          <t>Queen</t>
        </is>
      </c>
      <c r="F1256" s="54" t="inlineStr">
        <is>
          <t>Blue &amp; Dark Grey</t>
        </is>
      </c>
      <c r="G1256" s="55" t="n">
        <v>33</v>
      </c>
      <c r="H1256" s="167" t="n">
        <v>1495.67</v>
      </c>
      <c r="I1256" s="167" t="n">
        <v>0</v>
      </c>
      <c r="J1256" s="168">
        <f>IF(AND(N(G1256)&gt;0,N(H1256)+N(I1256)&gt;0),(H1256+I1256)*U1256/G1256,"")</f>
        <v/>
      </c>
      <c r="K1256" s="167" t="n">
        <v>69.98999999999999</v>
      </c>
      <c r="L1256" s="167" t="n">
        <v>66.48999999999999</v>
      </c>
      <c r="M1256" s="54" t="inlineStr">
        <is>
          <t>Eligible</t>
        </is>
      </c>
      <c r="N1256" s="168">
        <f>IF(OR(J1256="",L1256=""),"",L1256-J1256)</f>
        <v/>
      </c>
      <c r="O1256" s="169">
        <f>IF(OR(J1256="",L1256=""),"",L1256/J1256-1)</f>
        <v/>
      </c>
      <c r="P1256" s="169">
        <f>IF(OR(J1256="",K1256=""),"",K1256/J1256-1)</f>
        <v/>
      </c>
      <c r="Q1256" s="54">
        <f>IF(AND(ISNUMBER(J1256),ISNUMBER(L1256)),1,0)</f>
        <v/>
      </c>
      <c r="R1256" s="69">
        <f>IF(Q1256=1,G1256*L1256,0)</f>
        <v/>
      </c>
      <c r="S1256" s="69">
        <f>IF(Q1256=1,(H1256+I1256)*U1256,0)</f>
        <v/>
      </c>
      <c r="T1256" s="59">
        <f>IF(Q1256=1,G1256,0)</f>
        <v/>
      </c>
      <c r="U1256" s="170" t="n">
        <v>1</v>
      </c>
    </row>
    <row r="1257">
      <c r="A1257" s="54" t="inlineStr">
        <is>
          <t>US SL Cooling Comforter</t>
        </is>
      </c>
      <c r="B1257" s="54" t="inlineStr">
        <is>
          <t>US</t>
        </is>
      </c>
      <c r="C1257" s="54" t="inlineStr">
        <is>
          <t>B0F7M5WGD8</t>
        </is>
      </c>
      <c r="D1257" s="54" t="inlineStr">
        <is>
          <t>SL-CLG-COMF-BLUE/LIGHT-GREY-KING</t>
        </is>
      </c>
      <c r="E1257" s="54" t="inlineStr">
        <is>
          <t>King</t>
        </is>
      </c>
      <c r="F1257" s="54" t="inlineStr">
        <is>
          <t>Blue &amp; Light Grey</t>
        </is>
      </c>
      <c r="G1257" s="55" t="n">
        <v>29</v>
      </c>
      <c r="H1257" s="167" t="n">
        <v>1520.71</v>
      </c>
      <c r="I1257" s="167" t="n">
        <v>0</v>
      </c>
      <c r="J1257" s="168">
        <f>IF(AND(N(G1257)&gt;0,N(H1257)+N(I1257)&gt;0),(H1257+I1257)*U1257/G1257,"")</f>
        <v/>
      </c>
      <c r="K1257" s="167" t="n">
        <v>79.98999999999999</v>
      </c>
      <c r="L1257" s="167" t="n"/>
      <c r="M1257" s="54" t="inlineStr">
        <is>
          <t>Out of stock</t>
        </is>
      </c>
      <c r="N1257" s="168">
        <f>IF(OR(J1257="",L1257=""),"",L1257-J1257)</f>
        <v/>
      </c>
      <c r="O1257" s="169">
        <f>IF(OR(J1257="",L1257=""),"",L1257/J1257-1)</f>
        <v/>
      </c>
      <c r="P1257" s="169">
        <f>IF(OR(J1257="",K1257=""),"",K1257/J1257-1)</f>
        <v/>
      </c>
      <c r="Q1257" s="54">
        <f>IF(AND(ISNUMBER(J1257),ISNUMBER(L1257)),1,0)</f>
        <v/>
      </c>
      <c r="R1257" s="69">
        <f>IF(Q1257=1,G1257*L1257,0)</f>
        <v/>
      </c>
      <c r="S1257" s="69">
        <f>IF(Q1257=1,(H1257+I1257)*U1257,0)</f>
        <v/>
      </c>
      <c r="T1257" s="59">
        <f>IF(Q1257=1,G1257,0)</f>
        <v/>
      </c>
      <c r="U1257" s="170" t="n">
        <v>1</v>
      </c>
    </row>
    <row r="1258">
      <c r="A1258" s="54" t="inlineStr">
        <is>
          <t>US SL Cooling Comforter</t>
        </is>
      </c>
      <c r="B1258" s="54" t="inlineStr">
        <is>
          <t>US</t>
        </is>
      </c>
      <c r="C1258" s="54" t="inlineStr">
        <is>
          <t>B0F7M6XS6X</t>
        </is>
      </c>
      <c r="D1258" s="54" t="inlineStr">
        <is>
          <t>SL-CLG-COMF-BLUE/LIGHT-GREY-QUEEN</t>
        </is>
      </c>
      <c r="E1258" s="54" t="inlineStr">
        <is>
          <t>Queen</t>
        </is>
      </c>
      <c r="F1258" s="54" t="inlineStr">
        <is>
          <t>Blue &amp; Light Grey</t>
        </is>
      </c>
      <c r="G1258" s="55" t="n">
        <v>23</v>
      </c>
      <c r="H1258" s="167" t="n">
        <v>1022.77</v>
      </c>
      <c r="I1258" s="167" t="n">
        <v>0</v>
      </c>
      <c r="J1258" s="168">
        <f>IF(AND(N(G1258)&gt;0,N(H1258)+N(I1258)&gt;0),(H1258+I1258)*U1258/G1258,"")</f>
        <v/>
      </c>
      <c r="K1258" s="167" t="n">
        <v>69.98999999999999</v>
      </c>
      <c r="L1258" s="167" t="n"/>
      <c r="M1258" s="54" t="inlineStr">
        <is>
          <t>No reference price</t>
        </is>
      </c>
      <c r="N1258" s="168">
        <f>IF(OR(J1258="",L1258=""),"",L1258-J1258)</f>
        <v/>
      </c>
      <c r="O1258" s="169">
        <f>IF(OR(J1258="",L1258=""),"",L1258/J1258-1)</f>
        <v/>
      </c>
      <c r="P1258" s="169">
        <f>IF(OR(J1258="",K1258=""),"",K1258/J1258-1)</f>
        <v/>
      </c>
      <c r="Q1258" s="54">
        <f>IF(AND(ISNUMBER(J1258),ISNUMBER(L1258)),1,0)</f>
        <v/>
      </c>
      <c r="R1258" s="69">
        <f>IF(Q1258=1,G1258*L1258,0)</f>
        <v/>
      </c>
      <c r="S1258" s="69">
        <f>IF(Q1258=1,(H1258+I1258)*U1258,0)</f>
        <v/>
      </c>
      <c r="T1258" s="59">
        <f>IF(Q1258=1,G1258,0)</f>
        <v/>
      </c>
      <c r="U1258" s="170" t="n">
        <v>1</v>
      </c>
    </row>
    <row r="1259">
      <c r="A1259" s="54" t="inlineStr">
        <is>
          <t>US SL Cooling Comforter</t>
        </is>
      </c>
      <c r="B1259" s="54" t="inlineStr">
        <is>
          <t>US</t>
        </is>
      </c>
      <c r="C1259" s="54" t="inlineStr">
        <is>
          <t>B0F7M4N52F</t>
        </is>
      </c>
      <c r="D1259" s="54" t="inlineStr">
        <is>
          <t>SL-CLG-COMF-LIGHT-GREY/DARK-GREY-TWIN</t>
        </is>
      </c>
      <c r="E1259" s="54" t="inlineStr">
        <is>
          <t>Twin</t>
        </is>
      </c>
      <c r="F1259" s="54" t="inlineStr">
        <is>
          <t>Light Grey &amp; Dark Grey</t>
        </is>
      </c>
      <c r="G1259" s="55" t="n">
        <v>19</v>
      </c>
      <c r="H1259" s="167" t="n">
        <v>759.8099999999999</v>
      </c>
      <c r="I1259" s="167" t="n">
        <v>0</v>
      </c>
      <c r="J1259" s="168">
        <f>IF(AND(N(G1259)&gt;0,N(H1259)+N(I1259)&gt;0),(H1259+I1259)*U1259/G1259,"")</f>
        <v/>
      </c>
      <c r="K1259" s="167" t="n">
        <v>64.98999999999999</v>
      </c>
      <c r="L1259" s="167" t="n">
        <v>61.74</v>
      </c>
      <c r="M1259" s="54" t="inlineStr">
        <is>
          <t>Eligible</t>
        </is>
      </c>
      <c r="N1259" s="168">
        <f>IF(OR(J1259="",L1259=""),"",L1259-J1259)</f>
        <v/>
      </c>
      <c r="O1259" s="169">
        <f>IF(OR(J1259="",L1259=""),"",L1259/J1259-1)</f>
        <v/>
      </c>
      <c r="P1259" s="169">
        <f>IF(OR(J1259="",K1259=""),"",K1259/J1259-1)</f>
        <v/>
      </c>
      <c r="Q1259" s="54">
        <f>IF(AND(ISNUMBER(J1259),ISNUMBER(L1259)),1,0)</f>
        <v/>
      </c>
      <c r="R1259" s="69">
        <f>IF(Q1259=1,G1259*L1259,0)</f>
        <v/>
      </c>
      <c r="S1259" s="69">
        <f>IF(Q1259=1,(H1259+I1259)*U1259,0)</f>
        <v/>
      </c>
      <c r="T1259" s="59">
        <f>IF(Q1259=1,G1259,0)</f>
        <v/>
      </c>
      <c r="U1259" s="170" t="n">
        <v>1</v>
      </c>
    </row>
    <row r="1260">
      <c r="A1260" s="54" t="inlineStr">
        <is>
          <t>US SL Cooling Comforter</t>
        </is>
      </c>
      <c r="B1260" s="54" t="inlineStr">
        <is>
          <t>US</t>
        </is>
      </c>
      <c r="C1260" s="54" t="inlineStr">
        <is>
          <t>B0F7M5KWRR</t>
        </is>
      </c>
      <c r="D1260" s="54" t="inlineStr">
        <is>
          <t>SL-CLG-COMF-PINK/BEIGE-QUEEN</t>
        </is>
      </c>
      <c r="E1260" s="54" t="inlineStr">
        <is>
          <t>Queen</t>
        </is>
      </c>
      <c r="F1260" s="54" t="inlineStr">
        <is>
          <t>Pink &amp; Beige</t>
        </is>
      </c>
      <c r="G1260" s="55" t="n">
        <v>16</v>
      </c>
      <c r="H1260" s="167" t="n">
        <v>703.84</v>
      </c>
      <c r="I1260" s="167" t="n">
        <v>0</v>
      </c>
      <c r="J1260" s="168">
        <f>IF(AND(N(G1260)&gt;0,N(H1260)+N(I1260)&gt;0),(H1260+I1260)*U1260/G1260,"")</f>
        <v/>
      </c>
      <c r="K1260" s="167" t="n">
        <v>69.98999999999999</v>
      </c>
      <c r="L1260" s="167" t="n">
        <v>66.48999999999999</v>
      </c>
      <c r="M1260" s="54" t="inlineStr">
        <is>
          <t>Eligible</t>
        </is>
      </c>
      <c r="N1260" s="168">
        <f>IF(OR(J1260="",L1260=""),"",L1260-J1260)</f>
        <v/>
      </c>
      <c r="O1260" s="169">
        <f>IF(OR(J1260="",L1260=""),"",L1260/J1260-1)</f>
        <v/>
      </c>
      <c r="P1260" s="169">
        <f>IF(OR(J1260="",K1260=""),"",K1260/J1260-1)</f>
        <v/>
      </c>
      <c r="Q1260" s="54">
        <f>IF(AND(ISNUMBER(J1260),ISNUMBER(L1260)),1,0)</f>
        <v/>
      </c>
      <c r="R1260" s="69">
        <f>IF(Q1260=1,G1260*L1260,0)</f>
        <v/>
      </c>
      <c r="S1260" s="69">
        <f>IF(Q1260=1,(H1260+I1260)*U1260,0)</f>
        <v/>
      </c>
      <c r="T1260" s="59">
        <f>IF(Q1260=1,G1260,0)</f>
        <v/>
      </c>
      <c r="U1260" s="170" t="n">
        <v>1</v>
      </c>
    </row>
    <row r="1261">
      <c r="A1261" s="54" t="inlineStr">
        <is>
          <t>US SL Cooling Comforter</t>
        </is>
      </c>
      <c r="B1261" s="54" t="inlineStr">
        <is>
          <t>US</t>
        </is>
      </c>
      <c r="C1261" s="54" t="inlineStr">
        <is>
          <t>B0F7M3DJGP</t>
        </is>
      </c>
      <c r="D1261" s="54" t="inlineStr">
        <is>
          <t>SL-CLG-COMF-MINT-GREEN/DARK-GREY-KING</t>
        </is>
      </c>
      <c r="E1261" s="54" t="inlineStr">
        <is>
          <t>King</t>
        </is>
      </c>
      <c r="F1261" s="54" t="inlineStr">
        <is>
          <t>Mint Green &amp; Dark Grey</t>
        </is>
      </c>
      <c r="G1261" s="55" t="n">
        <v>14</v>
      </c>
      <c r="H1261" s="167" t="n">
        <v>727.86</v>
      </c>
      <c r="I1261" s="167" t="n">
        <v>0</v>
      </c>
      <c r="J1261" s="168">
        <f>IF(AND(N(G1261)&gt;0,N(H1261)+N(I1261)&gt;0),(H1261+I1261)*U1261/G1261,"")</f>
        <v/>
      </c>
      <c r="K1261" s="167" t="n">
        <v>79.98999999999999</v>
      </c>
      <c r="L1261" s="167" t="n">
        <v>75.98999999999999</v>
      </c>
      <c r="M1261" s="54" t="inlineStr">
        <is>
          <t>Eligible</t>
        </is>
      </c>
      <c r="N1261" s="168">
        <f>IF(OR(J1261="",L1261=""),"",L1261-J1261)</f>
        <v/>
      </c>
      <c r="O1261" s="169">
        <f>IF(OR(J1261="",L1261=""),"",L1261/J1261-1)</f>
        <v/>
      </c>
      <c r="P1261" s="169">
        <f>IF(OR(J1261="",K1261=""),"",K1261/J1261-1)</f>
        <v/>
      </c>
      <c r="Q1261" s="54">
        <f>IF(AND(ISNUMBER(J1261),ISNUMBER(L1261)),1,0)</f>
        <v/>
      </c>
      <c r="R1261" s="69">
        <f>IF(Q1261=1,G1261*L1261,0)</f>
        <v/>
      </c>
      <c r="S1261" s="69">
        <f>IF(Q1261=1,(H1261+I1261)*U1261,0)</f>
        <v/>
      </c>
      <c r="T1261" s="59">
        <f>IF(Q1261=1,G1261,0)</f>
        <v/>
      </c>
      <c r="U1261" s="170" t="n">
        <v>1</v>
      </c>
    </row>
    <row r="1262">
      <c r="A1262" s="54" t="inlineStr">
        <is>
          <t>US SL Cooling Comforter</t>
        </is>
      </c>
      <c r="B1262" s="54" t="inlineStr">
        <is>
          <t>US</t>
        </is>
      </c>
      <c r="C1262" s="54" t="inlineStr">
        <is>
          <t>B0F7M5L5Q9</t>
        </is>
      </c>
      <c r="D1262" s="54" t="inlineStr">
        <is>
          <t>SL-CLG-COMF-PINK/BEIGE-KING</t>
        </is>
      </c>
      <c r="E1262" s="54" t="inlineStr">
        <is>
          <t>King</t>
        </is>
      </c>
      <c r="F1262" s="54" t="inlineStr">
        <is>
          <t>Pink &amp; Beige</t>
        </is>
      </c>
      <c r="G1262" s="55" t="n">
        <v>14</v>
      </c>
      <c r="H1262" s="167" t="n">
        <v>753.86</v>
      </c>
      <c r="I1262" s="167" t="n">
        <v>0</v>
      </c>
      <c r="J1262" s="168">
        <f>IF(AND(N(G1262)&gt;0,N(H1262)+N(I1262)&gt;0),(H1262+I1262)*U1262/G1262,"")</f>
        <v/>
      </c>
      <c r="K1262" s="167" t="n">
        <v>79.98999999999999</v>
      </c>
      <c r="L1262" s="167" t="n">
        <v>75.98999999999999</v>
      </c>
      <c r="M1262" s="54" t="inlineStr">
        <is>
          <t>Eligible</t>
        </is>
      </c>
      <c r="N1262" s="168">
        <f>IF(OR(J1262="",L1262=""),"",L1262-J1262)</f>
        <v/>
      </c>
      <c r="O1262" s="169">
        <f>IF(OR(J1262="",L1262=""),"",L1262/J1262-1)</f>
        <v/>
      </c>
      <c r="P1262" s="169">
        <f>IF(OR(J1262="",K1262=""),"",K1262/J1262-1)</f>
        <v/>
      </c>
      <c r="Q1262" s="54">
        <f>IF(AND(ISNUMBER(J1262),ISNUMBER(L1262)),1,0)</f>
        <v/>
      </c>
      <c r="R1262" s="69">
        <f>IF(Q1262=1,G1262*L1262,0)</f>
        <v/>
      </c>
      <c r="S1262" s="69">
        <f>IF(Q1262=1,(H1262+I1262)*U1262,0)</f>
        <v/>
      </c>
      <c r="T1262" s="59">
        <f>IF(Q1262=1,G1262,0)</f>
        <v/>
      </c>
      <c r="U1262" s="170" t="n">
        <v>1</v>
      </c>
    </row>
    <row r="1263">
      <c r="A1263" s="54" t="inlineStr">
        <is>
          <t>US SL Cooling Comforter</t>
        </is>
      </c>
      <c r="B1263" s="54" t="inlineStr">
        <is>
          <t>US</t>
        </is>
      </c>
      <c r="C1263" s="54" t="inlineStr">
        <is>
          <t>B0F7M3JPFY</t>
        </is>
      </c>
      <c r="D1263" s="54" t="inlineStr">
        <is>
          <t>SL-CLG-COMF-BLUE/DARK-GREY-KING</t>
        </is>
      </c>
      <c r="E1263" s="54" t="inlineStr">
        <is>
          <t>King</t>
        </is>
      </c>
      <c r="F1263" s="54" t="inlineStr">
        <is>
          <t>Blue &amp; Dark Grey</t>
        </is>
      </c>
      <c r="G1263" s="55" t="n">
        <v>10</v>
      </c>
      <c r="H1263" s="167" t="n">
        <v>634.9400000000001</v>
      </c>
      <c r="I1263" s="167" t="n">
        <v>0</v>
      </c>
      <c r="J1263" s="168">
        <f>IF(AND(N(G1263)&gt;0,N(H1263)+N(I1263)&gt;0),(H1263+I1263)*U1263/G1263,"")</f>
        <v/>
      </c>
      <c r="K1263" s="167" t="n">
        <v>79.98999999999999</v>
      </c>
      <c r="L1263" s="167" t="n"/>
      <c r="M1263" s="54" t="inlineStr">
        <is>
          <t>Out of stock</t>
        </is>
      </c>
      <c r="N1263" s="168">
        <f>IF(OR(J1263="",L1263=""),"",L1263-J1263)</f>
        <v/>
      </c>
      <c r="O1263" s="169">
        <f>IF(OR(J1263="",L1263=""),"",L1263/J1263-1)</f>
        <v/>
      </c>
      <c r="P1263" s="169">
        <f>IF(OR(J1263="",K1263=""),"",K1263/J1263-1)</f>
        <v/>
      </c>
      <c r="Q1263" s="54">
        <f>IF(AND(ISNUMBER(J1263),ISNUMBER(L1263)),1,0)</f>
        <v/>
      </c>
      <c r="R1263" s="69">
        <f>IF(Q1263=1,G1263*L1263,0)</f>
        <v/>
      </c>
      <c r="S1263" s="69">
        <f>IF(Q1263=1,(H1263+I1263)*U1263,0)</f>
        <v/>
      </c>
      <c r="T1263" s="59">
        <f>IF(Q1263=1,G1263,0)</f>
        <v/>
      </c>
      <c r="U1263" s="170" t="n">
        <v>1</v>
      </c>
    </row>
    <row r="1264">
      <c r="A1264" s="54" t="inlineStr">
        <is>
          <t>US SL Cooling Comforter</t>
        </is>
      </c>
      <c r="B1264" s="54" t="inlineStr">
        <is>
          <t>US</t>
        </is>
      </c>
      <c r="C1264" s="54" t="inlineStr">
        <is>
          <t>B0F7M61RFP</t>
        </is>
      </c>
      <c r="D1264" s="54" t="inlineStr">
        <is>
          <t>SL-CLG-COMF-MINT-GREEN/DARK-GREY-QUEEN</t>
        </is>
      </c>
      <c r="E1264" s="54" t="inlineStr">
        <is>
          <t>Queen</t>
        </is>
      </c>
      <c r="F1264" s="54" t="inlineStr">
        <is>
          <t>Mint Green &amp; Dark Grey</t>
        </is>
      </c>
      <c r="G1264" s="55" t="n">
        <v>10</v>
      </c>
      <c r="H1264" s="167" t="n">
        <v>551.9</v>
      </c>
      <c r="I1264" s="167" t="n">
        <v>0</v>
      </c>
      <c r="J1264" s="168">
        <f>IF(AND(N(G1264)&gt;0,N(H1264)+N(I1264)&gt;0),(H1264+I1264)*U1264/G1264,"")</f>
        <v/>
      </c>
      <c r="K1264" s="167" t="n">
        <v>69.98999999999999</v>
      </c>
      <c r="L1264" s="167" t="n"/>
      <c r="M1264" s="54" t="inlineStr">
        <is>
          <t>Out of stock</t>
        </is>
      </c>
      <c r="N1264" s="168">
        <f>IF(OR(J1264="",L1264=""),"",L1264-J1264)</f>
        <v/>
      </c>
      <c r="O1264" s="169">
        <f>IF(OR(J1264="",L1264=""),"",L1264/J1264-1)</f>
        <v/>
      </c>
      <c r="P1264" s="169">
        <f>IF(OR(J1264="",K1264=""),"",K1264/J1264-1)</f>
        <v/>
      </c>
      <c r="Q1264" s="54">
        <f>IF(AND(ISNUMBER(J1264),ISNUMBER(L1264)),1,0)</f>
        <v/>
      </c>
      <c r="R1264" s="69">
        <f>IF(Q1264=1,G1264*L1264,0)</f>
        <v/>
      </c>
      <c r="S1264" s="69">
        <f>IF(Q1264=1,(H1264+I1264)*U1264,0)</f>
        <v/>
      </c>
      <c r="T1264" s="59">
        <f>IF(Q1264=1,G1264,0)</f>
        <v/>
      </c>
      <c r="U1264" s="170" t="n">
        <v>1</v>
      </c>
    </row>
    <row r="1265">
      <c r="A1265" s="54" t="inlineStr">
        <is>
          <t>US SL Cooling Comforter</t>
        </is>
      </c>
      <c r="B1265" s="54" t="inlineStr">
        <is>
          <t>US</t>
        </is>
      </c>
      <c r="C1265" s="54" t="inlineStr">
        <is>
          <t>B0F7M4CNFT</t>
        </is>
      </c>
      <c r="D1265" s="54" t="inlineStr">
        <is>
          <t>SL-CLG-COMF-BLUE/DARK-GREY-TWIN</t>
        </is>
      </c>
      <c r="E1265" s="54" t="inlineStr">
        <is>
          <t>Twin</t>
        </is>
      </c>
      <c r="F1265" s="54" t="inlineStr">
        <is>
          <t>Blue &amp; Dark Grey</t>
        </is>
      </c>
      <c r="G1265" s="55" t="n">
        <v>4</v>
      </c>
      <c r="H1265" s="167" t="n">
        <v>199.96</v>
      </c>
      <c r="I1265" s="167" t="n">
        <v>0</v>
      </c>
      <c r="J1265" s="168">
        <f>IF(AND(N(G1265)&gt;0,N(H1265)+N(I1265)&gt;0),(H1265+I1265)*U1265/G1265,"")</f>
        <v/>
      </c>
      <c r="K1265" s="167" t="n">
        <v>64.98999999999999</v>
      </c>
      <c r="L1265" s="167" t="n">
        <v>61.74</v>
      </c>
      <c r="M1265" s="54" t="inlineStr">
        <is>
          <t>Eligible</t>
        </is>
      </c>
      <c r="N1265" s="168">
        <f>IF(OR(J1265="",L1265=""),"",L1265-J1265)</f>
        <v/>
      </c>
      <c r="O1265" s="169">
        <f>IF(OR(J1265="",L1265=""),"",L1265/J1265-1)</f>
        <v/>
      </c>
      <c r="P1265" s="169">
        <f>IF(OR(J1265="",K1265=""),"",K1265/J1265-1)</f>
        <v/>
      </c>
      <c r="Q1265" s="54">
        <f>IF(AND(ISNUMBER(J1265),ISNUMBER(L1265)),1,0)</f>
        <v/>
      </c>
      <c r="R1265" s="69">
        <f>IF(Q1265=1,G1265*L1265,0)</f>
        <v/>
      </c>
      <c r="S1265" s="69">
        <f>IF(Q1265=1,(H1265+I1265)*U1265,0)</f>
        <v/>
      </c>
      <c r="T1265" s="59">
        <f>IF(Q1265=1,G1265,0)</f>
        <v/>
      </c>
      <c r="U1265" s="170" t="n">
        <v>1</v>
      </c>
    </row>
    <row r="1266">
      <c r="A1266" s="54" t="inlineStr">
        <is>
          <t>US SL Cooling Comforter</t>
        </is>
      </c>
      <c r="B1266" s="54" t="inlineStr">
        <is>
          <t>US</t>
        </is>
      </c>
      <c r="C1266" s="54" t="inlineStr">
        <is>
          <t>B0F7M5S7FT</t>
        </is>
      </c>
      <c r="D1266" s="54" t="inlineStr">
        <is>
          <t>SL-CLG-COMF-BLUE/LIGHT-GREY-TWIN</t>
        </is>
      </c>
      <c r="E1266" s="54" t="inlineStr">
        <is>
          <t>Twin</t>
        </is>
      </c>
      <c r="F1266" s="54" t="inlineStr">
        <is>
          <t>Blue &amp; Light Grey</t>
        </is>
      </c>
      <c r="G1266" s="55" t="n">
        <v>3</v>
      </c>
      <c r="H1266" s="167" t="n">
        <v>149.97</v>
      </c>
      <c r="I1266" s="167" t="n">
        <v>0</v>
      </c>
      <c r="J1266" s="168">
        <f>IF(AND(N(G1266)&gt;0,N(H1266)+N(I1266)&gt;0),(H1266+I1266)*U1266/G1266,"")</f>
        <v/>
      </c>
      <c r="K1266" s="167" t="n">
        <v>64.98999999999999</v>
      </c>
      <c r="L1266" s="167" t="n">
        <v>61.74</v>
      </c>
      <c r="M1266" s="54" t="inlineStr">
        <is>
          <t>Eligible</t>
        </is>
      </c>
      <c r="N1266" s="168">
        <f>IF(OR(J1266="",L1266=""),"",L1266-J1266)</f>
        <v/>
      </c>
      <c r="O1266" s="169">
        <f>IF(OR(J1266="",L1266=""),"",L1266/J1266-1)</f>
        <v/>
      </c>
      <c r="P1266" s="169">
        <f>IF(OR(J1266="",K1266=""),"",K1266/J1266-1)</f>
        <v/>
      </c>
      <c r="Q1266" s="54">
        <f>IF(AND(ISNUMBER(J1266),ISNUMBER(L1266)),1,0)</f>
        <v/>
      </c>
      <c r="R1266" s="69">
        <f>IF(Q1266=1,G1266*L1266,0)</f>
        <v/>
      </c>
      <c r="S1266" s="69">
        <f>IF(Q1266=1,(H1266+I1266)*U1266,0)</f>
        <v/>
      </c>
      <c r="T1266" s="59">
        <f>IF(Q1266=1,G1266,0)</f>
        <v/>
      </c>
      <c r="U1266" s="170" t="n">
        <v>1</v>
      </c>
    </row>
    <row r="1267">
      <c r="A1267" s="54" t="inlineStr">
        <is>
          <t>US SL Cooling Comforter</t>
        </is>
      </c>
      <c r="B1267" s="54" t="inlineStr">
        <is>
          <t>US</t>
        </is>
      </c>
      <c r="C1267" s="54" t="inlineStr">
        <is>
          <t>B0F7M32FVR</t>
        </is>
      </c>
      <c r="D1267" s="54" t="inlineStr">
        <is>
          <t>SL-CLG-COMF-PINK/BEIGE-TWIN</t>
        </is>
      </c>
      <c r="E1267" s="54" t="inlineStr">
        <is>
          <t>Twin</t>
        </is>
      </c>
      <c r="F1267" s="54" t="inlineStr">
        <is>
          <t>Pink &amp; Beige</t>
        </is>
      </c>
      <c r="G1267" s="55" t="n">
        <v>3</v>
      </c>
      <c r="H1267" s="167" t="n">
        <v>141.72</v>
      </c>
      <c r="I1267" s="167" t="n">
        <v>0</v>
      </c>
      <c r="J1267" s="168">
        <f>IF(AND(N(G1267)&gt;0,N(H1267)+N(I1267)&gt;0),(H1267+I1267)*U1267/G1267,"")</f>
        <v/>
      </c>
      <c r="K1267" s="167" t="n">
        <v>64.98999999999999</v>
      </c>
      <c r="L1267" s="167" t="n">
        <v>61.74</v>
      </c>
      <c r="M1267" s="54" t="inlineStr">
        <is>
          <t>Eligible</t>
        </is>
      </c>
      <c r="N1267" s="168">
        <f>IF(OR(J1267="",L1267=""),"",L1267-J1267)</f>
        <v/>
      </c>
      <c r="O1267" s="169">
        <f>IF(OR(J1267="",L1267=""),"",L1267/J1267-1)</f>
        <v/>
      </c>
      <c r="P1267" s="169">
        <f>IF(OR(J1267="",K1267=""),"",K1267/J1267-1)</f>
        <v/>
      </c>
      <c r="Q1267" s="54">
        <f>IF(AND(ISNUMBER(J1267),ISNUMBER(L1267)),1,0)</f>
        <v/>
      </c>
      <c r="R1267" s="69">
        <f>IF(Q1267=1,G1267*L1267,0)</f>
        <v/>
      </c>
      <c r="S1267" s="69">
        <f>IF(Q1267=1,(H1267+I1267)*U1267,0)</f>
        <v/>
      </c>
      <c r="T1267" s="59">
        <f>IF(Q1267=1,G1267,0)</f>
        <v/>
      </c>
      <c r="U1267" s="170" t="n">
        <v>1</v>
      </c>
    </row>
    <row r="1268">
      <c r="A1268" s="54" t="inlineStr">
        <is>
          <t>US SL Cooling Comforter</t>
        </is>
      </c>
      <c r="B1268" s="54" t="inlineStr">
        <is>
          <t>US</t>
        </is>
      </c>
      <c r="C1268" s="54" t="inlineStr">
        <is>
          <t>B0F7M7C4ZC</t>
        </is>
      </c>
      <c r="D1268" s="54" t="inlineStr">
        <is>
          <t>SL-CLG-COMF-MINT-GREEN/DARK-GREY-TWIN</t>
        </is>
      </c>
      <c r="E1268" s="54" t="inlineStr">
        <is>
          <t>Twin</t>
        </is>
      </c>
      <c r="F1268" s="54" t="inlineStr">
        <is>
          <t>Mint Green &amp; Dark Grey</t>
        </is>
      </c>
      <c r="G1268" s="55" t="n">
        <v>2</v>
      </c>
      <c r="H1268" s="167" t="n">
        <v>99.98</v>
      </c>
      <c r="I1268" s="167" t="n">
        <v>0</v>
      </c>
      <c r="J1268" s="168">
        <f>IF(AND(N(G1268)&gt;0,N(H1268)+N(I1268)&gt;0),(H1268+I1268)*U1268/G1268,"")</f>
        <v/>
      </c>
      <c r="K1268" s="167" t="n">
        <v>64.98999999999999</v>
      </c>
      <c r="L1268" s="167" t="n">
        <v>61.74</v>
      </c>
      <c r="M1268" s="54" t="inlineStr">
        <is>
          <t>Eligible</t>
        </is>
      </c>
      <c r="N1268" s="168">
        <f>IF(OR(J1268="",L1268=""),"",L1268-J1268)</f>
        <v/>
      </c>
      <c r="O1268" s="169">
        <f>IF(OR(J1268="",L1268=""),"",L1268/J1268-1)</f>
        <v/>
      </c>
      <c r="P1268" s="169">
        <f>IF(OR(J1268="",K1268=""),"",K1268/J1268-1)</f>
        <v/>
      </c>
      <c r="Q1268" s="54">
        <f>IF(AND(ISNUMBER(J1268),ISNUMBER(L1268)),1,0)</f>
        <v/>
      </c>
      <c r="R1268" s="69">
        <f>IF(Q1268=1,G1268*L1268,0)</f>
        <v/>
      </c>
      <c r="S1268" s="69">
        <f>IF(Q1268=1,(H1268+I1268)*U1268,0)</f>
        <v/>
      </c>
      <c r="T1268" s="59">
        <f>IF(Q1268=1,G1268,0)</f>
        <v/>
      </c>
      <c r="U1268" s="170" t="n">
        <v>1</v>
      </c>
    </row>
    <row r="1269">
      <c r="A1269" s="54" t="inlineStr">
        <is>
          <t>US SL Cooling Comforter</t>
        </is>
      </c>
      <c r="B1269" s="54" t="inlineStr">
        <is>
          <t>US</t>
        </is>
      </c>
      <c r="C1269" s="54" t="inlineStr">
        <is>
          <t>B0GHSLKMHJ</t>
        </is>
      </c>
      <c r="D1269" s="54" t="inlineStr">
        <is>
          <t>SL-CLG-COMF-BLUE/LIGHT-GREY-FULL</t>
        </is>
      </c>
      <c r="E1269" s="54" t="inlineStr">
        <is>
          <t>Full</t>
        </is>
      </c>
      <c r="F1269" s="54" t="inlineStr">
        <is>
          <t>Blue &amp; Light Grey</t>
        </is>
      </c>
      <c r="G1269" s="55" t="n"/>
      <c r="H1269" s="167" t="n"/>
      <c r="I1269" s="167" t="n"/>
      <c r="J1269" s="168">
        <f>IF(AND(N(G1269)&gt;0,N(H1269)+N(I1269)&gt;0),(H1269+I1269)*U1269/G1269,"")</f>
        <v/>
      </c>
      <c r="K1269" s="167" t="n">
        <v>64.98999999999999</v>
      </c>
      <c r="L1269" s="167" t="n">
        <v>61.74</v>
      </c>
      <c r="M1269" s="54" t="inlineStr">
        <is>
          <t>Eligible</t>
        </is>
      </c>
      <c r="N1269" s="168">
        <f>IF(OR(J1269="",L1269=""),"",L1269-J1269)</f>
        <v/>
      </c>
      <c r="O1269" s="169">
        <f>IF(OR(J1269="",L1269=""),"",L1269/J1269-1)</f>
        <v/>
      </c>
      <c r="P1269" s="169">
        <f>IF(OR(J1269="",K1269=""),"",K1269/J1269-1)</f>
        <v/>
      </c>
      <c r="Q1269" s="54">
        <f>IF(AND(ISNUMBER(J1269),ISNUMBER(L1269)),1,0)</f>
        <v/>
      </c>
      <c r="R1269" s="69">
        <f>IF(Q1269=1,G1269*L1269,0)</f>
        <v/>
      </c>
      <c r="S1269" s="69">
        <f>IF(Q1269=1,(H1269+I1269)*U1269,0)</f>
        <v/>
      </c>
      <c r="T1269" s="59">
        <f>IF(Q1269=1,G1269,0)</f>
        <v/>
      </c>
      <c r="U1269" s="170" t="n">
        <v>1</v>
      </c>
    </row>
    <row r="1270">
      <c r="A1270" s="54" t="inlineStr">
        <is>
          <t>US SL Cooling Comforter</t>
        </is>
      </c>
      <c r="B1270" s="54" t="inlineStr">
        <is>
          <t>US</t>
        </is>
      </c>
      <c r="C1270" s="54" t="inlineStr">
        <is>
          <t>B0GHSTYXM8</t>
        </is>
      </c>
      <c r="D1270" s="54" t="inlineStr">
        <is>
          <t>SL-CLG-COMF-MINT-GREEN/DARK-GREY-FULL</t>
        </is>
      </c>
      <c r="E1270" s="54" t="inlineStr">
        <is>
          <t>Full</t>
        </is>
      </c>
      <c r="F1270" s="54" t="inlineStr">
        <is>
          <t>Mint Green &amp; Dark Grey</t>
        </is>
      </c>
      <c r="G1270" s="55" t="n"/>
      <c r="H1270" s="167" t="n"/>
      <c r="I1270" s="167" t="n"/>
      <c r="J1270" s="168">
        <f>IF(AND(N(G1270)&gt;0,N(H1270)+N(I1270)&gt;0),(H1270+I1270)*U1270/G1270,"")</f>
        <v/>
      </c>
      <c r="K1270" s="167" t="n">
        <v>64.98999999999999</v>
      </c>
      <c r="L1270" s="167" t="n">
        <v>61.74</v>
      </c>
      <c r="M1270" s="54" t="inlineStr">
        <is>
          <t>Eligible</t>
        </is>
      </c>
      <c r="N1270" s="168">
        <f>IF(OR(J1270="",L1270=""),"",L1270-J1270)</f>
        <v/>
      </c>
      <c r="O1270" s="169">
        <f>IF(OR(J1270="",L1270=""),"",L1270/J1270-1)</f>
        <v/>
      </c>
      <c r="P1270" s="169">
        <f>IF(OR(J1270="",K1270=""),"",K1270/J1270-1)</f>
        <v/>
      </c>
      <c r="Q1270" s="54">
        <f>IF(AND(ISNUMBER(J1270),ISNUMBER(L1270)),1,0)</f>
        <v/>
      </c>
      <c r="R1270" s="69">
        <f>IF(Q1270=1,G1270*L1270,0)</f>
        <v/>
      </c>
      <c r="S1270" s="69">
        <f>IF(Q1270=1,(H1270+I1270)*U1270,0)</f>
        <v/>
      </c>
      <c r="T1270" s="59">
        <f>IF(Q1270=1,G1270,0)</f>
        <v/>
      </c>
      <c r="U1270" s="170" t="n">
        <v>1</v>
      </c>
    </row>
    <row r="1271">
      <c r="A1271" s="54" t="inlineStr">
        <is>
          <t>US SL Cooling Comforter</t>
        </is>
      </c>
      <c r="B1271" s="54" t="inlineStr">
        <is>
          <t>US</t>
        </is>
      </c>
      <c r="C1271" s="54" t="inlineStr">
        <is>
          <t>B0GHSDK4V9</t>
        </is>
      </c>
      <c r="D1271" s="54" t="inlineStr">
        <is>
          <t>SL-CLG-COMF-PINK/BEIGE-FULL</t>
        </is>
      </c>
      <c r="E1271" s="54" t="inlineStr">
        <is>
          <t>Full</t>
        </is>
      </c>
      <c r="F1271" s="54" t="inlineStr">
        <is>
          <t>Pink &amp; Beige</t>
        </is>
      </c>
      <c r="G1271" s="55" t="n"/>
      <c r="H1271" s="167" t="n"/>
      <c r="I1271" s="167" t="n"/>
      <c r="J1271" s="168">
        <f>IF(AND(N(G1271)&gt;0,N(H1271)+N(I1271)&gt;0),(H1271+I1271)*U1271/G1271,"")</f>
        <v/>
      </c>
      <c r="K1271" s="167" t="n">
        <v>64.98999999999999</v>
      </c>
      <c r="L1271" s="167" t="n">
        <v>61.74</v>
      </c>
      <c r="M1271" s="54" t="inlineStr">
        <is>
          <t>Eligible</t>
        </is>
      </c>
      <c r="N1271" s="168">
        <f>IF(OR(J1271="",L1271=""),"",L1271-J1271)</f>
        <v/>
      </c>
      <c r="O1271" s="169">
        <f>IF(OR(J1271="",L1271=""),"",L1271/J1271-1)</f>
        <v/>
      </c>
      <c r="P1271" s="169">
        <f>IF(OR(J1271="",K1271=""),"",K1271/J1271-1)</f>
        <v/>
      </c>
      <c r="Q1271" s="54">
        <f>IF(AND(ISNUMBER(J1271),ISNUMBER(L1271)),1,0)</f>
        <v/>
      </c>
      <c r="R1271" s="69">
        <f>IF(Q1271=1,G1271*L1271,0)</f>
        <v/>
      </c>
      <c r="S1271" s="69">
        <f>IF(Q1271=1,(H1271+I1271)*U1271,0)</f>
        <v/>
      </c>
      <c r="T1271" s="59">
        <f>IF(Q1271=1,G1271,0)</f>
        <v/>
      </c>
      <c r="U1271" s="170" t="n">
        <v>1</v>
      </c>
    </row>
    <row r="1272">
      <c r="A1272" s="54" t="inlineStr">
        <is>
          <t>US SL Cooling Fitted</t>
        </is>
      </c>
      <c r="B1272" s="54" t="inlineStr">
        <is>
          <t>US</t>
        </is>
      </c>
      <c r="C1272" s="54" t="inlineStr">
        <is>
          <t>B0F7M34BND</t>
        </is>
      </c>
      <c r="D1272" s="54" t="inlineStr">
        <is>
          <t>SL-COOLING-FITTED-KING-GRAPHITE</t>
        </is>
      </c>
      <c r="E1272" s="54" t="inlineStr">
        <is>
          <t>King</t>
        </is>
      </c>
      <c r="F1272" s="54" t="inlineStr">
        <is>
          <t>Graphite</t>
        </is>
      </c>
      <c r="G1272" s="55" t="n">
        <v>34</v>
      </c>
      <c r="H1272" s="167" t="n">
        <v>849.66</v>
      </c>
      <c r="I1272" s="167" t="n">
        <v>0</v>
      </c>
      <c r="J1272" s="168">
        <f>IF(AND(N(G1272)&gt;0,N(H1272)+N(I1272)&gt;0),(H1272+I1272)*U1272/G1272,"")</f>
        <v/>
      </c>
      <c r="K1272" s="167" t="n">
        <v>39.99</v>
      </c>
      <c r="L1272" s="167" t="n"/>
      <c r="M1272" s="54" t="inlineStr">
        <is>
          <t>Out of stock</t>
        </is>
      </c>
      <c r="N1272" s="168">
        <f>IF(OR(J1272="",L1272=""),"",L1272-J1272)</f>
        <v/>
      </c>
      <c r="O1272" s="169">
        <f>IF(OR(J1272="",L1272=""),"",L1272/J1272-1)</f>
        <v/>
      </c>
      <c r="P1272" s="169">
        <f>IF(OR(J1272="",K1272=""),"",K1272/J1272-1)</f>
        <v/>
      </c>
      <c r="Q1272" s="54">
        <f>IF(AND(ISNUMBER(J1272),ISNUMBER(L1272)),1,0)</f>
        <v/>
      </c>
      <c r="R1272" s="69">
        <f>IF(Q1272=1,G1272*L1272,0)</f>
        <v/>
      </c>
      <c r="S1272" s="69">
        <f>IF(Q1272=1,(H1272+I1272)*U1272,0)</f>
        <v/>
      </c>
      <c r="T1272" s="59">
        <f>IF(Q1272=1,G1272,0)</f>
        <v/>
      </c>
      <c r="U1272" s="170" t="n">
        <v>1</v>
      </c>
    </row>
    <row r="1273">
      <c r="A1273" s="54" t="inlineStr">
        <is>
          <t>US SL Cooling Fitted</t>
        </is>
      </c>
      <c r="B1273" s="54" t="inlineStr">
        <is>
          <t>US</t>
        </is>
      </c>
      <c r="C1273" s="54" t="inlineStr">
        <is>
          <t>B0F7M5TVQF</t>
        </is>
      </c>
      <c r="D1273" s="54" t="inlineStr">
        <is>
          <t>SL-COOLING-FITTED-QUEEN-COOL-GREY</t>
        </is>
      </c>
      <c r="E1273" s="54" t="inlineStr">
        <is>
          <t>Queen</t>
        </is>
      </c>
      <c r="F1273" s="54" t="inlineStr">
        <is>
          <t>Cool Grey</t>
        </is>
      </c>
      <c r="G1273" s="55" t="n">
        <v>21</v>
      </c>
      <c r="H1273" s="167" t="n">
        <v>482.79</v>
      </c>
      <c r="I1273" s="167" t="n">
        <v>0</v>
      </c>
      <c r="J1273" s="168">
        <f>IF(AND(N(G1273)&gt;0,N(H1273)+N(I1273)&gt;0),(H1273+I1273)*U1273/G1273,"")</f>
        <v/>
      </c>
      <c r="K1273" s="167" t="n">
        <v>37.99</v>
      </c>
      <c r="L1273" s="167" t="n">
        <v>36.09</v>
      </c>
      <c r="M1273" s="54" t="inlineStr">
        <is>
          <t>Eligible</t>
        </is>
      </c>
      <c r="N1273" s="168">
        <f>IF(OR(J1273="",L1273=""),"",L1273-J1273)</f>
        <v/>
      </c>
      <c r="O1273" s="169">
        <f>IF(OR(J1273="",L1273=""),"",L1273/J1273-1)</f>
        <v/>
      </c>
      <c r="P1273" s="169">
        <f>IF(OR(J1273="",K1273=""),"",K1273/J1273-1)</f>
        <v/>
      </c>
      <c r="Q1273" s="54">
        <f>IF(AND(ISNUMBER(J1273),ISNUMBER(L1273)),1,0)</f>
        <v/>
      </c>
      <c r="R1273" s="69">
        <f>IF(Q1273=1,G1273*L1273,0)</f>
        <v/>
      </c>
      <c r="S1273" s="69">
        <f>IF(Q1273=1,(H1273+I1273)*U1273,0)</f>
        <v/>
      </c>
      <c r="T1273" s="59">
        <f>IF(Q1273=1,G1273,0)</f>
        <v/>
      </c>
      <c r="U1273" s="170" t="n">
        <v>1</v>
      </c>
    </row>
    <row r="1274">
      <c r="A1274" s="54" t="inlineStr">
        <is>
          <t>US SL Cooling Fitted</t>
        </is>
      </c>
      <c r="B1274" s="54" t="inlineStr">
        <is>
          <t>US</t>
        </is>
      </c>
      <c r="C1274" s="54" t="inlineStr">
        <is>
          <t>B0F7M4H352</t>
        </is>
      </c>
      <c r="D1274" s="54" t="inlineStr">
        <is>
          <t>SL-COOLING-FITTED-FULL-COOL-GREY</t>
        </is>
      </c>
      <c r="E1274" s="54" t="inlineStr">
        <is>
          <t>Full</t>
        </is>
      </c>
      <c r="F1274" s="54" t="inlineStr">
        <is>
          <t>Cool Grey</t>
        </is>
      </c>
      <c r="G1274" s="55" t="n">
        <v>8</v>
      </c>
      <c r="H1274" s="167" t="n">
        <v>175.92</v>
      </c>
      <c r="I1274" s="167" t="n">
        <v>0</v>
      </c>
      <c r="J1274" s="168">
        <f>IF(AND(N(G1274)&gt;0,N(H1274)+N(I1274)&gt;0),(H1274+I1274)*U1274/G1274,"")</f>
        <v/>
      </c>
      <c r="K1274" s="167" t="n">
        <v>35.99</v>
      </c>
      <c r="L1274" s="167" t="n">
        <v>34.19</v>
      </c>
      <c r="M1274" s="54" t="inlineStr">
        <is>
          <t>Eligible</t>
        </is>
      </c>
      <c r="N1274" s="168">
        <f>IF(OR(J1274="",L1274=""),"",L1274-J1274)</f>
        <v/>
      </c>
      <c r="O1274" s="169">
        <f>IF(OR(J1274="",L1274=""),"",L1274/J1274-1)</f>
        <v/>
      </c>
      <c r="P1274" s="169">
        <f>IF(OR(J1274="",K1274=""),"",K1274/J1274-1)</f>
        <v/>
      </c>
      <c r="Q1274" s="54">
        <f>IF(AND(ISNUMBER(J1274),ISNUMBER(L1274)),1,0)</f>
        <v/>
      </c>
      <c r="R1274" s="69">
        <f>IF(Q1274=1,G1274*L1274,0)</f>
        <v/>
      </c>
      <c r="S1274" s="69">
        <f>IF(Q1274=1,(H1274+I1274)*U1274,0)</f>
        <v/>
      </c>
      <c r="T1274" s="59">
        <f>IF(Q1274=1,G1274,0)</f>
        <v/>
      </c>
      <c r="U1274" s="170" t="n">
        <v>1</v>
      </c>
    </row>
    <row r="1275">
      <c r="A1275" s="54" t="inlineStr">
        <is>
          <t>US SL Cooling Fitted</t>
        </is>
      </c>
      <c r="B1275" s="54" t="inlineStr">
        <is>
          <t>US</t>
        </is>
      </c>
      <c r="C1275" s="54" t="inlineStr">
        <is>
          <t>B0F7M87QYF</t>
        </is>
      </c>
      <c r="D1275" s="54" t="inlineStr">
        <is>
          <t>SL-COOLING-FITTED-QUEEN-GRAPHITE</t>
        </is>
      </c>
      <c r="E1275" s="54" t="inlineStr">
        <is>
          <t>Queen</t>
        </is>
      </c>
      <c r="F1275" s="54" t="inlineStr">
        <is>
          <t>Graphite</t>
        </is>
      </c>
      <c r="G1275" s="55" t="n">
        <v>8</v>
      </c>
      <c r="H1275" s="167" t="n">
        <v>183.92</v>
      </c>
      <c r="I1275" s="167" t="n">
        <v>0</v>
      </c>
      <c r="J1275" s="168">
        <f>IF(AND(N(G1275)&gt;0,N(H1275)+N(I1275)&gt;0),(H1275+I1275)*U1275/G1275,"")</f>
        <v/>
      </c>
      <c r="K1275" s="167" t="n">
        <v>37.99</v>
      </c>
      <c r="L1275" s="167" t="n">
        <v>36.09</v>
      </c>
      <c r="M1275" s="54" t="inlineStr">
        <is>
          <t>Eligible</t>
        </is>
      </c>
      <c r="N1275" s="168">
        <f>IF(OR(J1275="",L1275=""),"",L1275-J1275)</f>
        <v/>
      </c>
      <c r="O1275" s="169">
        <f>IF(OR(J1275="",L1275=""),"",L1275/J1275-1)</f>
        <v/>
      </c>
      <c r="P1275" s="169">
        <f>IF(OR(J1275="",K1275=""),"",K1275/J1275-1)</f>
        <v/>
      </c>
      <c r="Q1275" s="54">
        <f>IF(AND(ISNUMBER(J1275),ISNUMBER(L1275)),1,0)</f>
        <v/>
      </c>
      <c r="R1275" s="69">
        <f>IF(Q1275=1,G1275*L1275,0)</f>
        <v/>
      </c>
      <c r="S1275" s="69">
        <f>IF(Q1275=1,(H1275+I1275)*U1275,0)</f>
        <v/>
      </c>
      <c r="T1275" s="59">
        <f>IF(Q1275=1,G1275,0)</f>
        <v/>
      </c>
      <c r="U1275" s="170" t="n">
        <v>1</v>
      </c>
    </row>
    <row r="1276">
      <c r="A1276" s="54" t="inlineStr">
        <is>
          <t>US SL Cooling Fitted</t>
        </is>
      </c>
      <c r="B1276" s="54" t="inlineStr">
        <is>
          <t>US</t>
        </is>
      </c>
      <c r="C1276" s="54" t="inlineStr">
        <is>
          <t>B0F7M5PNCT</t>
        </is>
      </c>
      <c r="D1276" s="54" t="inlineStr">
        <is>
          <t>SL-COOLING-FITTED-QUEEN-WHITE</t>
        </is>
      </c>
      <c r="E1276" s="54" t="inlineStr">
        <is>
          <t>Queen</t>
        </is>
      </c>
      <c r="F1276" s="54" t="inlineStr">
        <is>
          <t>White</t>
        </is>
      </c>
      <c r="G1276" s="55" t="n">
        <v>5</v>
      </c>
      <c r="H1276" s="167" t="n">
        <v>114.95</v>
      </c>
      <c r="I1276" s="167" t="n">
        <v>0</v>
      </c>
      <c r="J1276" s="168">
        <f>IF(AND(N(G1276)&gt;0,N(H1276)+N(I1276)&gt;0),(H1276+I1276)*U1276/G1276,"")</f>
        <v/>
      </c>
      <c r="K1276" s="167" t="n">
        <v>37.99</v>
      </c>
      <c r="L1276" s="167" t="n">
        <v>36.09</v>
      </c>
      <c r="M1276" s="54" t="inlineStr">
        <is>
          <t>Eligible</t>
        </is>
      </c>
      <c r="N1276" s="168">
        <f>IF(OR(J1276="",L1276=""),"",L1276-J1276)</f>
        <v/>
      </c>
      <c r="O1276" s="169">
        <f>IF(OR(J1276="",L1276=""),"",L1276/J1276-1)</f>
        <v/>
      </c>
      <c r="P1276" s="169">
        <f>IF(OR(J1276="",K1276=""),"",K1276/J1276-1)</f>
        <v/>
      </c>
      <c r="Q1276" s="54">
        <f>IF(AND(ISNUMBER(J1276),ISNUMBER(L1276)),1,0)</f>
        <v/>
      </c>
      <c r="R1276" s="69">
        <f>IF(Q1276=1,G1276*L1276,0)</f>
        <v/>
      </c>
      <c r="S1276" s="69">
        <f>IF(Q1276=1,(H1276+I1276)*U1276,0)</f>
        <v/>
      </c>
      <c r="T1276" s="59">
        <f>IF(Q1276=1,G1276,0)</f>
        <v/>
      </c>
      <c r="U1276" s="170" t="n">
        <v>1</v>
      </c>
    </row>
    <row r="1277">
      <c r="A1277" s="54" t="inlineStr">
        <is>
          <t>US SL Cooling Fitted</t>
        </is>
      </c>
      <c r="B1277" s="54" t="inlineStr">
        <is>
          <t>US</t>
        </is>
      </c>
      <c r="C1277" s="54" t="inlineStr">
        <is>
          <t>B0F7M5SD7Q</t>
        </is>
      </c>
      <c r="D1277" s="54" t="inlineStr">
        <is>
          <t>SL-COOLING-FITTED-KING-COOL-GREY</t>
        </is>
      </c>
      <c r="E1277" s="54" t="inlineStr">
        <is>
          <t>King</t>
        </is>
      </c>
      <c r="F1277" s="54" t="inlineStr">
        <is>
          <t>Cool Grey</t>
        </is>
      </c>
      <c r="G1277" s="55" t="n">
        <v>4</v>
      </c>
      <c r="H1277" s="167" t="n">
        <v>99.95999999999999</v>
      </c>
      <c r="I1277" s="167" t="n">
        <v>0</v>
      </c>
      <c r="J1277" s="168">
        <f>IF(AND(N(G1277)&gt;0,N(H1277)+N(I1277)&gt;0),(H1277+I1277)*U1277/G1277,"")</f>
        <v/>
      </c>
      <c r="K1277" s="167" t="n">
        <v>39.99</v>
      </c>
      <c r="L1277" s="167" t="n">
        <v>37.99</v>
      </c>
      <c r="M1277" s="54" t="inlineStr">
        <is>
          <t>Eligible</t>
        </is>
      </c>
      <c r="N1277" s="168">
        <f>IF(OR(J1277="",L1277=""),"",L1277-J1277)</f>
        <v/>
      </c>
      <c r="O1277" s="169">
        <f>IF(OR(J1277="",L1277=""),"",L1277/J1277-1)</f>
        <v/>
      </c>
      <c r="P1277" s="169">
        <f>IF(OR(J1277="",K1277=""),"",K1277/J1277-1)</f>
        <v/>
      </c>
      <c r="Q1277" s="54">
        <f>IF(AND(ISNUMBER(J1277),ISNUMBER(L1277)),1,0)</f>
        <v/>
      </c>
      <c r="R1277" s="69">
        <f>IF(Q1277=1,G1277*L1277,0)</f>
        <v/>
      </c>
      <c r="S1277" s="69">
        <f>IF(Q1277=1,(H1277+I1277)*U1277,0)</f>
        <v/>
      </c>
      <c r="T1277" s="59">
        <f>IF(Q1277=1,G1277,0)</f>
        <v/>
      </c>
      <c r="U1277" s="170" t="n">
        <v>1</v>
      </c>
    </row>
    <row r="1278">
      <c r="A1278" s="54" t="inlineStr">
        <is>
          <t>US SL Cooling Fitted</t>
        </is>
      </c>
      <c r="B1278" s="54" t="inlineStr">
        <is>
          <t>US</t>
        </is>
      </c>
      <c r="C1278" s="54" t="inlineStr">
        <is>
          <t>B0F7M3YQ5R</t>
        </is>
      </c>
      <c r="D1278" s="54" t="inlineStr">
        <is>
          <t>SL-COOLING-FITTED-KING-WHITE</t>
        </is>
      </c>
      <c r="E1278" s="54" t="inlineStr">
        <is>
          <t>King</t>
        </is>
      </c>
      <c r="F1278" s="54" t="inlineStr">
        <is>
          <t>White</t>
        </is>
      </c>
      <c r="G1278" s="55" t="n">
        <v>4</v>
      </c>
      <c r="H1278" s="167" t="n">
        <v>99.95999999999999</v>
      </c>
      <c r="I1278" s="167" t="n">
        <v>0</v>
      </c>
      <c r="J1278" s="168">
        <f>IF(AND(N(G1278)&gt;0,N(H1278)+N(I1278)&gt;0),(H1278+I1278)*U1278/G1278,"")</f>
        <v/>
      </c>
      <c r="K1278" s="167" t="n">
        <v>39.99</v>
      </c>
      <c r="L1278" s="167" t="n">
        <v>37.99</v>
      </c>
      <c r="M1278" s="54" t="inlineStr">
        <is>
          <t>Eligible</t>
        </is>
      </c>
      <c r="N1278" s="168">
        <f>IF(OR(J1278="",L1278=""),"",L1278-J1278)</f>
        <v/>
      </c>
      <c r="O1278" s="169">
        <f>IF(OR(J1278="",L1278=""),"",L1278/J1278-1)</f>
        <v/>
      </c>
      <c r="P1278" s="169">
        <f>IF(OR(J1278="",K1278=""),"",K1278/J1278-1)</f>
        <v/>
      </c>
      <c r="Q1278" s="54">
        <f>IF(AND(ISNUMBER(J1278),ISNUMBER(L1278)),1,0)</f>
        <v/>
      </c>
      <c r="R1278" s="69">
        <f>IF(Q1278=1,G1278*L1278,0)</f>
        <v/>
      </c>
      <c r="S1278" s="69">
        <f>IF(Q1278=1,(H1278+I1278)*U1278,0)</f>
        <v/>
      </c>
      <c r="T1278" s="59">
        <f>IF(Q1278=1,G1278,0)</f>
        <v/>
      </c>
      <c r="U1278" s="170" t="n">
        <v>1</v>
      </c>
    </row>
    <row r="1279">
      <c r="A1279" s="54" t="inlineStr">
        <is>
          <t>US SL Cooling Fitted</t>
        </is>
      </c>
      <c r="B1279" s="54" t="inlineStr">
        <is>
          <t>US</t>
        </is>
      </c>
      <c r="C1279" s="54" t="inlineStr">
        <is>
          <t>B0F7M35CHR</t>
        </is>
      </c>
      <c r="D1279" s="54" t="inlineStr">
        <is>
          <t>SL-COOLING-FITTED-QUEEN-MIDNIGHT-BLACK</t>
        </is>
      </c>
      <c r="E1279" s="54" t="inlineStr">
        <is>
          <t>Queen</t>
        </is>
      </c>
      <c r="F1279" s="54" t="inlineStr">
        <is>
          <t>Midnight Black</t>
        </is>
      </c>
      <c r="G1279" s="55" t="n">
        <v>4</v>
      </c>
      <c r="H1279" s="167" t="n">
        <v>91.95999999999999</v>
      </c>
      <c r="I1279" s="167" t="n">
        <v>0</v>
      </c>
      <c r="J1279" s="168">
        <f>IF(AND(N(G1279)&gt;0,N(H1279)+N(I1279)&gt;0),(H1279+I1279)*U1279/G1279,"")</f>
        <v/>
      </c>
      <c r="K1279" s="167" t="n">
        <v>37.99</v>
      </c>
      <c r="L1279" s="167" t="n">
        <v>36.09</v>
      </c>
      <c r="M1279" s="54" t="inlineStr">
        <is>
          <t>Eligible</t>
        </is>
      </c>
      <c r="N1279" s="168">
        <f>IF(OR(J1279="",L1279=""),"",L1279-J1279)</f>
        <v/>
      </c>
      <c r="O1279" s="169">
        <f>IF(OR(J1279="",L1279=""),"",L1279/J1279-1)</f>
        <v/>
      </c>
      <c r="P1279" s="169">
        <f>IF(OR(J1279="",K1279=""),"",K1279/J1279-1)</f>
        <v/>
      </c>
      <c r="Q1279" s="54">
        <f>IF(AND(ISNUMBER(J1279),ISNUMBER(L1279)),1,0)</f>
        <v/>
      </c>
      <c r="R1279" s="69">
        <f>IF(Q1279=1,G1279*L1279,0)</f>
        <v/>
      </c>
      <c r="S1279" s="69">
        <f>IF(Q1279=1,(H1279+I1279)*U1279,0)</f>
        <v/>
      </c>
      <c r="T1279" s="59">
        <f>IF(Q1279=1,G1279,0)</f>
        <v/>
      </c>
      <c r="U1279" s="170" t="n">
        <v>1</v>
      </c>
    </row>
    <row r="1280">
      <c r="A1280" s="54" t="inlineStr">
        <is>
          <t>US SL Cooling Fitted</t>
        </is>
      </c>
      <c r="B1280" s="54" t="inlineStr">
        <is>
          <t>US</t>
        </is>
      </c>
      <c r="C1280" s="54" t="inlineStr">
        <is>
          <t>B0F7M3CF1Q</t>
        </is>
      </c>
      <c r="D1280" s="54" t="inlineStr">
        <is>
          <t>SL-COOLING-FITTED-KING-MIDNIGHT-BLACK</t>
        </is>
      </c>
      <c r="E1280" s="54" t="inlineStr">
        <is>
          <t>King</t>
        </is>
      </c>
      <c r="F1280" s="54" t="inlineStr">
        <is>
          <t>Midnight Black</t>
        </is>
      </c>
      <c r="G1280" s="55" t="n">
        <v>3</v>
      </c>
      <c r="H1280" s="167" t="n">
        <v>74.97</v>
      </c>
      <c r="I1280" s="167" t="n">
        <v>0</v>
      </c>
      <c r="J1280" s="168">
        <f>IF(AND(N(G1280)&gt;0,N(H1280)+N(I1280)&gt;0),(H1280+I1280)*U1280/G1280,"")</f>
        <v/>
      </c>
      <c r="K1280" s="167" t="n">
        <v>39.99</v>
      </c>
      <c r="L1280" s="167" t="n">
        <v>37.99</v>
      </c>
      <c r="M1280" s="54" t="inlineStr">
        <is>
          <t>Eligible</t>
        </is>
      </c>
      <c r="N1280" s="168">
        <f>IF(OR(J1280="",L1280=""),"",L1280-J1280)</f>
        <v/>
      </c>
      <c r="O1280" s="169">
        <f>IF(OR(J1280="",L1280=""),"",L1280/J1280-1)</f>
        <v/>
      </c>
      <c r="P1280" s="169">
        <f>IF(OR(J1280="",K1280=""),"",K1280/J1280-1)</f>
        <v/>
      </c>
      <c r="Q1280" s="54">
        <f>IF(AND(ISNUMBER(J1280),ISNUMBER(L1280)),1,0)</f>
        <v/>
      </c>
      <c r="R1280" s="69">
        <f>IF(Q1280=1,G1280*L1280,0)</f>
        <v/>
      </c>
      <c r="S1280" s="69">
        <f>IF(Q1280=1,(H1280+I1280)*U1280,0)</f>
        <v/>
      </c>
      <c r="T1280" s="59">
        <f>IF(Q1280=1,G1280,0)</f>
        <v/>
      </c>
      <c r="U1280" s="170" t="n">
        <v>1</v>
      </c>
    </row>
    <row r="1281">
      <c r="A1281" s="54" t="inlineStr">
        <is>
          <t>US SL Cooling Fitted</t>
        </is>
      </c>
      <c r="B1281" s="54" t="inlineStr">
        <is>
          <t>US</t>
        </is>
      </c>
      <c r="C1281" s="54" t="inlineStr">
        <is>
          <t>B0F7M4DRJN</t>
        </is>
      </c>
      <c r="D1281" s="54" t="inlineStr">
        <is>
          <t>SL-COOLING-FITTED-KING-REGAL-PURPLE</t>
        </is>
      </c>
      <c r="E1281" s="54" t="inlineStr">
        <is>
          <t>King</t>
        </is>
      </c>
      <c r="F1281" s="54" t="inlineStr">
        <is>
          <t>Regal Purple</t>
        </is>
      </c>
      <c r="G1281" s="55" t="n">
        <v>3</v>
      </c>
      <c r="H1281" s="167" t="n">
        <v>74.97</v>
      </c>
      <c r="I1281" s="167" t="n">
        <v>0</v>
      </c>
      <c r="J1281" s="168">
        <f>IF(AND(N(G1281)&gt;0,N(H1281)+N(I1281)&gt;0),(H1281+I1281)*U1281/G1281,"")</f>
        <v/>
      </c>
      <c r="K1281" s="167" t="n">
        <v>39.99</v>
      </c>
      <c r="L1281" s="167" t="n">
        <v>37.99</v>
      </c>
      <c r="M1281" s="54" t="inlineStr">
        <is>
          <t>Eligible</t>
        </is>
      </c>
      <c r="N1281" s="168">
        <f>IF(OR(J1281="",L1281=""),"",L1281-J1281)</f>
        <v/>
      </c>
      <c r="O1281" s="169">
        <f>IF(OR(J1281="",L1281=""),"",L1281/J1281-1)</f>
        <v/>
      </c>
      <c r="P1281" s="169">
        <f>IF(OR(J1281="",K1281=""),"",K1281/J1281-1)</f>
        <v/>
      </c>
      <c r="Q1281" s="54">
        <f>IF(AND(ISNUMBER(J1281),ISNUMBER(L1281)),1,0)</f>
        <v/>
      </c>
      <c r="R1281" s="69">
        <f>IF(Q1281=1,G1281*L1281,0)</f>
        <v/>
      </c>
      <c r="S1281" s="69">
        <f>IF(Q1281=1,(H1281+I1281)*U1281,0)</f>
        <v/>
      </c>
      <c r="T1281" s="59">
        <f>IF(Q1281=1,G1281,0)</f>
        <v/>
      </c>
      <c r="U1281" s="170" t="n">
        <v>1</v>
      </c>
    </row>
    <row r="1282">
      <c r="A1282" s="54" t="inlineStr">
        <is>
          <t>US SL Cooling Fitted</t>
        </is>
      </c>
      <c r="B1282" s="54" t="inlineStr">
        <is>
          <t>US</t>
        </is>
      </c>
      <c r="C1282" s="54" t="inlineStr">
        <is>
          <t>B0F7M3184Y</t>
        </is>
      </c>
      <c r="D1282" s="54" t="inlineStr">
        <is>
          <t>SL-COOLING-FITTED-QUEEN-NAVY-BLUE</t>
        </is>
      </c>
      <c r="E1282" s="54" t="inlineStr">
        <is>
          <t>Queen</t>
        </is>
      </c>
      <c r="F1282" s="54" t="inlineStr">
        <is>
          <t>Navy Blue</t>
        </is>
      </c>
      <c r="G1282" s="55" t="n">
        <v>3</v>
      </c>
      <c r="H1282" s="167" t="n">
        <v>68.97</v>
      </c>
      <c r="I1282" s="167" t="n">
        <v>0</v>
      </c>
      <c r="J1282" s="168">
        <f>IF(AND(N(G1282)&gt;0,N(H1282)+N(I1282)&gt;0),(H1282+I1282)*U1282/G1282,"")</f>
        <v/>
      </c>
      <c r="K1282" s="167" t="n">
        <v>37.99</v>
      </c>
      <c r="L1282" s="167" t="n">
        <v>36.09</v>
      </c>
      <c r="M1282" s="54" t="inlineStr">
        <is>
          <t>Eligible</t>
        </is>
      </c>
      <c r="N1282" s="168">
        <f>IF(OR(J1282="",L1282=""),"",L1282-J1282)</f>
        <v/>
      </c>
      <c r="O1282" s="169">
        <f>IF(OR(J1282="",L1282=""),"",L1282/J1282-1)</f>
        <v/>
      </c>
      <c r="P1282" s="169">
        <f>IF(OR(J1282="",K1282=""),"",K1282/J1282-1)</f>
        <v/>
      </c>
      <c r="Q1282" s="54">
        <f>IF(AND(ISNUMBER(J1282),ISNUMBER(L1282)),1,0)</f>
        <v/>
      </c>
      <c r="R1282" s="69">
        <f>IF(Q1282=1,G1282*L1282,0)</f>
        <v/>
      </c>
      <c r="S1282" s="69">
        <f>IF(Q1282=1,(H1282+I1282)*U1282,0)</f>
        <v/>
      </c>
      <c r="T1282" s="59">
        <f>IF(Q1282=1,G1282,0)</f>
        <v/>
      </c>
      <c r="U1282" s="170" t="n">
        <v>1</v>
      </c>
    </row>
    <row r="1283">
      <c r="A1283" s="54" t="inlineStr">
        <is>
          <t>US SL Cooling Fitted</t>
        </is>
      </c>
      <c r="B1283" s="54" t="inlineStr">
        <is>
          <t>US</t>
        </is>
      </c>
      <c r="C1283" s="54" t="inlineStr">
        <is>
          <t>B0F7M61LHQ</t>
        </is>
      </c>
      <c r="D1283" s="54" t="inlineStr">
        <is>
          <t>SL-COOLING-FITTED-KING-COOL-BLUE</t>
        </is>
      </c>
      <c r="E1283" s="54" t="inlineStr">
        <is>
          <t>King</t>
        </is>
      </c>
      <c r="F1283" s="54" t="inlineStr">
        <is>
          <t>Cool Blue</t>
        </is>
      </c>
      <c r="G1283" s="55" t="n">
        <v>2</v>
      </c>
      <c r="H1283" s="167" t="n">
        <v>49.98</v>
      </c>
      <c r="I1283" s="167" t="n">
        <v>0</v>
      </c>
      <c r="J1283" s="168">
        <f>IF(AND(N(G1283)&gt;0,N(H1283)+N(I1283)&gt;0),(H1283+I1283)*U1283/G1283,"")</f>
        <v/>
      </c>
      <c r="K1283" s="167" t="n">
        <v>39.99</v>
      </c>
      <c r="L1283" s="167" t="n">
        <v>37.99</v>
      </c>
      <c r="M1283" s="54" t="inlineStr">
        <is>
          <t>Eligible</t>
        </is>
      </c>
      <c r="N1283" s="168">
        <f>IF(OR(J1283="",L1283=""),"",L1283-J1283)</f>
        <v/>
      </c>
      <c r="O1283" s="169">
        <f>IF(OR(J1283="",L1283=""),"",L1283/J1283-1)</f>
        <v/>
      </c>
      <c r="P1283" s="169">
        <f>IF(OR(J1283="",K1283=""),"",K1283/J1283-1)</f>
        <v/>
      </c>
      <c r="Q1283" s="54">
        <f>IF(AND(ISNUMBER(J1283),ISNUMBER(L1283)),1,0)</f>
        <v/>
      </c>
      <c r="R1283" s="69">
        <f>IF(Q1283=1,G1283*L1283,0)</f>
        <v/>
      </c>
      <c r="S1283" s="69">
        <f>IF(Q1283=1,(H1283+I1283)*U1283,0)</f>
        <v/>
      </c>
      <c r="T1283" s="59">
        <f>IF(Q1283=1,G1283,0)</f>
        <v/>
      </c>
      <c r="U1283" s="170" t="n">
        <v>1</v>
      </c>
    </row>
    <row r="1284">
      <c r="A1284" s="54" t="inlineStr">
        <is>
          <t>US SL Cooling Fitted</t>
        </is>
      </c>
      <c r="B1284" s="54" t="inlineStr">
        <is>
          <t>US</t>
        </is>
      </c>
      <c r="C1284" s="54" t="inlineStr">
        <is>
          <t>B0F7M6FFVL</t>
        </is>
      </c>
      <c r="D1284" s="54" t="inlineStr">
        <is>
          <t>SL-COOLING-FITTED-QUEEN-COOL-BLUE</t>
        </is>
      </c>
      <c r="E1284" s="54" t="inlineStr">
        <is>
          <t>Queen</t>
        </is>
      </c>
      <c r="F1284" s="54" t="inlineStr">
        <is>
          <t>Cool Blue</t>
        </is>
      </c>
      <c r="G1284" s="55" t="n">
        <v>1</v>
      </c>
      <c r="H1284" s="167" t="n">
        <v>22.99</v>
      </c>
      <c r="I1284" s="167" t="n">
        <v>0</v>
      </c>
      <c r="J1284" s="168">
        <f>IF(AND(N(G1284)&gt;0,N(H1284)+N(I1284)&gt;0),(H1284+I1284)*U1284/G1284,"")</f>
        <v/>
      </c>
      <c r="K1284" s="167" t="n">
        <v>37.99</v>
      </c>
      <c r="L1284" s="167" t="n"/>
      <c r="M1284" s="54" t="inlineStr">
        <is>
          <t>Out of stock</t>
        </is>
      </c>
      <c r="N1284" s="168">
        <f>IF(OR(J1284="",L1284=""),"",L1284-J1284)</f>
        <v/>
      </c>
      <c r="O1284" s="169">
        <f>IF(OR(J1284="",L1284=""),"",L1284/J1284-1)</f>
        <v/>
      </c>
      <c r="P1284" s="169">
        <f>IF(OR(J1284="",K1284=""),"",K1284/J1284-1)</f>
        <v/>
      </c>
      <c r="Q1284" s="54">
        <f>IF(AND(ISNUMBER(J1284),ISNUMBER(L1284)),1,0)</f>
        <v/>
      </c>
      <c r="R1284" s="69">
        <f>IF(Q1284=1,G1284*L1284,0)</f>
        <v/>
      </c>
      <c r="S1284" s="69">
        <f>IF(Q1284=1,(H1284+I1284)*U1284,0)</f>
        <v/>
      </c>
      <c r="T1284" s="59">
        <f>IF(Q1284=1,G1284,0)</f>
        <v/>
      </c>
      <c r="U1284" s="170" t="n">
        <v>1</v>
      </c>
    </row>
    <row r="1285">
      <c r="A1285" s="54" t="inlineStr">
        <is>
          <t>US SL Cooling Fitted</t>
        </is>
      </c>
      <c r="B1285" s="54" t="inlineStr">
        <is>
          <t>US</t>
        </is>
      </c>
      <c r="C1285" s="54" t="inlineStr">
        <is>
          <t>B0F7M55274</t>
        </is>
      </c>
      <c r="D1285" s="54" t="inlineStr">
        <is>
          <t>SL-COOLING-FITTED-QUEEN-CREAM</t>
        </is>
      </c>
      <c r="E1285" s="54" t="inlineStr">
        <is>
          <t>Queen</t>
        </is>
      </c>
      <c r="F1285" s="54" t="inlineStr">
        <is>
          <t>Cream</t>
        </is>
      </c>
      <c r="G1285" s="55" t="n">
        <v>1</v>
      </c>
      <c r="H1285" s="167" t="n">
        <v>22.99</v>
      </c>
      <c r="I1285" s="167" t="n">
        <v>0</v>
      </c>
      <c r="J1285" s="168">
        <f>IF(AND(N(G1285)&gt;0,N(H1285)+N(I1285)&gt;0),(H1285+I1285)*U1285/G1285,"")</f>
        <v/>
      </c>
      <c r="K1285" s="167" t="n">
        <v>37.99</v>
      </c>
      <c r="L1285" s="167" t="n">
        <v>36.09</v>
      </c>
      <c r="M1285" s="54" t="inlineStr">
        <is>
          <t>Eligible</t>
        </is>
      </c>
      <c r="N1285" s="168">
        <f>IF(OR(J1285="",L1285=""),"",L1285-J1285)</f>
        <v/>
      </c>
      <c r="O1285" s="169">
        <f>IF(OR(J1285="",L1285=""),"",L1285/J1285-1)</f>
        <v/>
      </c>
      <c r="P1285" s="169">
        <f>IF(OR(J1285="",K1285=""),"",K1285/J1285-1)</f>
        <v/>
      </c>
      <c r="Q1285" s="54">
        <f>IF(AND(ISNUMBER(J1285),ISNUMBER(L1285)),1,0)</f>
        <v/>
      </c>
      <c r="R1285" s="69">
        <f>IF(Q1285=1,G1285*L1285,0)</f>
        <v/>
      </c>
      <c r="S1285" s="69">
        <f>IF(Q1285=1,(H1285+I1285)*U1285,0)</f>
        <v/>
      </c>
      <c r="T1285" s="59">
        <f>IF(Q1285=1,G1285,0)</f>
        <v/>
      </c>
      <c r="U1285" s="170" t="n">
        <v>1</v>
      </c>
    </row>
    <row r="1286">
      <c r="A1286" s="54" t="inlineStr">
        <is>
          <t>US SL Cooling Fitted</t>
        </is>
      </c>
      <c r="B1286" s="54" t="inlineStr">
        <is>
          <t>US</t>
        </is>
      </c>
      <c r="C1286" s="54" t="inlineStr">
        <is>
          <t>B0F7M5V4JC</t>
        </is>
      </c>
      <c r="D1286" s="54" t="inlineStr">
        <is>
          <t>SL-COOLING-FITTED-QUEEN-REGAL-PURPLE</t>
        </is>
      </c>
      <c r="E1286" s="54" t="inlineStr">
        <is>
          <t>Queen</t>
        </is>
      </c>
      <c r="F1286" s="54" t="inlineStr">
        <is>
          <t>Regal Purple</t>
        </is>
      </c>
      <c r="G1286" s="55" t="n">
        <v>1</v>
      </c>
      <c r="H1286" s="167" t="n">
        <v>22.99</v>
      </c>
      <c r="I1286" s="167" t="n">
        <v>0</v>
      </c>
      <c r="J1286" s="168">
        <f>IF(AND(N(G1286)&gt;0,N(H1286)+N(I1286)&gt;0),(H1286+I1286)*U1286/G1286,"")</f>
        <v/>
      </c>
      <c r="K1286" s="167" t="n">
        <v>37.99</v>
      </c>
      <c r="L1286" s="167" t="n">
        <v>36.09</v>
      </c>
      <c r="M1286" s="54" t="inlineStr">
        <is>
          <t>Eligible</t>
        </is>
      </c>
      <c r="N1286" s="168">
        <f>IF(OR(J1286="",L1286=""),"",L1286-J1286)</f>
        <v/>
      </c>
      <c r="O1286" s="169">
        <f>IF(OR(J1286="",L1286=""),"",L1286/J1286-1)</f>
        <v/>
      </c>
      <c r="P1286" s="169">
        <f>IF(OR(J1286="",K1286=""),"",K1286/J1286-1)</f>
        <v/>
      </c>
      <c r="Q1286" s="54">
        <f>IF(AND(ISNUMBER(J1286),ISNUMBER(L1286)),1,0)</f>
        <v/>
      </c>
      <c r="R1286" s="69">
        <f>IF(Q1286=1,G1286*L1286,0)</f>
        <v/>
      </c>
      <c r="S1286" s="69">
        <f>IF(Q1286=1,(H1286+I1286)*U1286,0)</f>
        <v/>
      </c>
      <c r="T1286" s="59">
        <f>IF(Q1286=1,G1286,0)</f>
        <v/>
      </c>
      <c r="U1286" s="170" t="n">
        <v>1</v>
      </c>
    </row>
    <row r="1287">
      <c r="A1287" s="54" t="inlineStr">
        <is>
          <t>US SL Cooling Fitted</t>
        </is>
      </c>
      <c r="B1287" s="54" t="inlineStr">
        <is>
          <t>US</t>
        </is>
      </c>
      <c r="C1287" s="54" t="inlineStr">
        <is>
          <t>B0F7M5PH28</t>
        </is>
      </c>
      <c r="D1287" s="54" t="inlineStr">
        <is>
          <t>SL-COOLING-FITTED-CAL-KING-COOL-BLUE</t>
        </is>
      </c>
      <c r="E1287" s="54" t="inlineStr">
        <is>
          <t>Cal King</t>
        </is>
      </c>
      <c r="F1287" s="54" t="inlineStr">
        <is>
          <t>Cool Blue</t>
        </is>
      </c>
      <c r="G1287" s="55" t="n"/>
      <c r="H1287" s="167" t="n"/>
      <c r="I1287" s="167" t="n"/>
      <c r="J1287" s="168">
        <f>IF(AND(N(G1287)&gt;0,N(H1287)+N(I1287)&gt;0),(H1287+I1287)*U1287/G1287,"")</f>
        <v/>
      </c>
      <c r="K1287" s="167" t="n">
        <v>39.99</v>
      </c>
      <c r="L1287" s="167" t="n">
        <v>37.99</v>
      </c>
      <c r="M1287" s="54" t="inlineStr">
        <is>
          <t>Eligible</t>
        </is>
      </c>
      <c r="N1287" s="168">
        <f>IF(OR(J1287="",L1287=""),"",L1287-J1287)</f>
        <v/>
      </c>
      <c r="O1287" s="169">
        <f>IF(OR(J1287="",L1287=""),"",L1287/J1287-1)</f>
        <v/>
      </c>
      <c r="P1287" s="169">
        <f>IF(OR(J1287="",K1287=""),"",K1287/J1287-1)</f>
        <v/>
      </c>
      <c r="Q1287" s="54">
        <f>IF(AND(ISNUMBER(J1287),ISNUMBER(L1287)),1,0)</f>
        <v/>
      </c>
      <c r="R1287" s="69">
        <f>IF(Q1287=1,G1287*L1287,0)</f>
        <v/>
      </c>
      <c r="S1287" s="69">
        <f>IF(Q1287=1,(H1287+I1287)*U1287,0)</f>
        <v/>
      </c>
      <c r="T1287" s="59">
        <f>IF(Q1287=1,G1287,0)</f>
        <v/>
      </c>
      <c r="U1287" s="170" t="n">
        <v>1</v>
      </c>
    </row>
    <row r="1288">
      <c r="A1288" s="54" t="inlineStr">
        <is>
          <t>US SL Cooling Fitted</t>
        </is>
      </c>
      <c r="B1288" s="54" t="inlineStr">
        <is>
          <t>US</t>
        </is>
      </c>
      <c r="C1288" s="54" t="inlineStr">
        <is>
          <t>B0F7M7SVHM</t>
        </is>
      </c>
      <c r="D1288" s="54" t="inlineStr">
        <is>
          <t>SL-COOLING-FITTED-CAL-KING-COOL-GREY</t>
        </is>
      </c>
      <c r="E1288" s="54" t="inlineStr">
        <is>
          <t>Cal King</t>
        </is>
      </c>
      <c r="F1288" s="54" t="inlineStr">
        <is>
          <t>Cool Grey</t>
        </is>
      </c>
      <c r="G1288" s="55" t="n"/>
      <c r="H1288" s="167" t="n"/>
      <c r="I1288" s="167" t="n"/>
      <c r="J1288" s="168">
        <f>IF(AND(N(G1288)&gt;0,N(H1288)+N(I1288)&gt;0),(H1288+I1288)*U1288/G1288,"")</f>
        <v/>
      </c>
      <c r="K1288" s="167" t="n">
        <v>39.99</v>
      </c>
      <c r="L1288" s="167" t="n">
        <v>37.99</v>
      </c>
      <c r="M1288" s="54" t="inlineStr">
        <is>
          <t>Eligible</t>
        </is>
      </c>
      <c r="N1288" s="168">
        <f>IF(OR(J1288="",L1288=""),"",L1288-J1288)</f>
        <v/>
      </c>
      <c r="O1288" s="169">
        <f>IF(OR(J1288="",L1288=""),"",L1288/J1288-1)</f>
        <v/>
      </c>
      <c r="P1288" s="169">
        <f>IF(OR(J1288="",K1288=""),"",K1288/J1288-1)</f>
        <v/>
      </c>
      <c r="Q1288" s="54">
        <f>IF(AND(ISNUMBER(J1288),ISNUMBER(L1288)),1,0)</f>
        <v/>
      </c>
      <c r="R1288" s="69">
        <f>IF(Q1288=1,G1288*L1288,0)</f>
        <v/>
      </c>
      <c r="S1288" s="69">
        <f>IF(Q1288=1,(H1288+I1288)*U1288,0)</f>
        <v/>
      </c>
      <c r="T1288" s="59">
        <f>IF(Q1288=1,G1288,0)</f>
        <v/>
      </c>
      <c r="U1288" s="170" t="n">
        <v>1</v>
      </c>
    </row>
    <row r="1289">
      <c r="A1289" s="54" t="inlineStr">
        <is>
          <t>US SL Cooling Fitted</t>
        </is>
      </c>
      <c r="B1289" s="54" t="inlineStr">
        <is>
          <t>US</t>
        </is>
      </c>
      <c r="C1289" s="54" t="inlineStr">
        <is>
          <t>B0F7M6TPFY</t>
        </is>
      </c>
      <c r="D1289" s="54" t="inlineStr">
        <is>
          <t>SL-COOLING-FITTED-CAL-KING-CREAM</t>
        </is>
      </c>
      <c r="E1289" s="54" t="inlineStr">
        <is>
          <t>Cal King</t>
        </is>
      </c>
      <c r="F1289" s="54" t="inlineStr">
        <is>
          <t>Cream</t>
        </is>
      </c>
      <c r="G1289" s="55" t="n">
        <v>0</v>
      </c>
      <c r="H1289" s="167" t="n"/>
      <c r="I1289" s="167" t="n"/>
      <c r="J1289" s="168">
        <f>IF(AND(N(G1289)&gt;0,N(H1289)+N(I1289)&gt;0),(H1289+I1289)*U1289/G1289,"")</f>
        <v/>
      </c>
      <c r="K1289" s="167" t="n">
        <v>39.99</v>
      </c>
      <c r="L1289" s="167" t="n">
        <v>37.99</v>
      </c>
      <c r="M1289" s="54" t="inlineStr">
        <is>
          <t>Eligible</t>
        </is>
      </c>
      <c r="N1289" s="168">
        <f>IF(OR(J1289="",L1289=""),"",L1289-J1289)</f>
        <v/>
      </c>
      <c r="O1289" s="169">
        <f>IF(OR(J1289="",L1289=""),"",L1289/J1289-1)</f>
        <v/>
      </c>
      <c r="P1289" s="169">
        <f>IF(OR(J1289="",K1289=""),"",K1289/J1289-1)</f>
        <v/>
      </c>
      <c r="Q1289" s="54">
        <f>IF(AND(ISNUMBER(J1289),ISNUMBER(L1289)),1,0)</f>
        <v/>
      </c>
      <c r="R1289" s="69">
        <f>IF(Q1289=1,G1289*L1289,0)</f>
        <v/>
      </c>
      <c r="S1289" s="69">
        <f>IF(Q1289=1,(H1289+I1289)*U1289,0)</f>
        <v/>
      </c>
      <c r="T1289" s="59">
        <f>IF(Q1289=1,G1289,0)</f>
        <v/>
      </c>
      <c r="U1289" s="170" t="n">
        <v>1</v>
      </c>
    </row>
    <row r="1290">
      <c r="A1290" s="54" t="inlineStr">
        <is>
          <t>US SL Cooling Fitted</t>
        </is>
      </c>
      <c r="B1290" s="54" t="inlineStr">
        <is>
          <t>US</t>
        </is>
      </c>
      <c r="C1290" s="54" t="inlineStr">
        <is>
          <t>B0F7M35WZY</t>
        </is>
      </c>
      <c r="D1290" s="54" t="inlineStr">
        <is>
          <t>SL-COOLING-FITTED-CAL-KING-LIGHT-BLUE</t>
        </is>
      </c>
      <c r="E1290" s="54" t="inlineStr">
        <is>
          <t>Cal King</t>
        </is>
      </c>
      <c r="F1290" s="54" t="inlineStr">
        <is>
          <t>Light Blue</t>
        </is>
      </c>
      <c r="G1290" s="55" t="n"/>
      <c r="H1290" s="167" t="n"/>
      <c r="I1290" s="167" t="n"/>
      <c r="J1290" s="168">
        <f>IF(AND(N(G1290)&gt;0,N(H1290)+N(I1290)&gt;0),(H1290+I1290)*U1290/G1290,"")</f>
        <v/>
      </c>
      <c r="K1290" s="167" t="n">
        <v>39.99</v>
      </c>
      <c r="L1290" s="167" t="n">
        <v>37.99</v>
      </c>
      <c r="M1290" s="54" t="inlineStr">
        <is>
          <t>Eligible</t>
        </is>
      </c>
      <c r="N1290" s="168">
        <f>IF(OR(J1290="",L1290=""),"",L1290-J1290)</f>
        <v/>
      </c>
      <c r="O1290" s="169">
        <f>IF(OR(J1290="",L1290=""),"",L1290/J1290-1)</f>
        <v/>
      </c>
      <c r="P1290" s="169">
        <f>IF(OR(J1290="",K1290=""),"",K1290/J1290-1)</f>
        <v/>
      </c>
      <c r="Q1290" s="54">
        <f>IF(AND(ISNUMBER(J1290),ISNUMBER(L1290)),1,0)</f>
        <v/>
      </c>
      <c r="R1290" s="69">
        <f>IF(Q1290=1,G1290*L1290,0)</f>
        <v/>
      </c>
      <c r="S1290" s="69">
        <f>IF(Q1290=1,(H1290+I1290)*U1290,0)</f>
        <v/>
      </c>
      <c r="T1290" s="59">
        <f>IF(Q1290=1,G1290,0)</f>
        <v/>
      </c>
      <c r="U1290" s="170" t="n">
        <v>1</v>
      </c>
    </row>
    <row r="1291">
      <c r="A1291" s="54" t="inlineStr">
        <is>
          <t>US SL Cooling Fitted</t>
        </is>
      </c>
      <c r="B1291" s="54" t="inlineStr">
        <is>
          <t>US</t>
        </is>
      </c>
      <c r="C1291" s="54" t="inlineStr">
        <is>
          <t>B0F7M7LLTQ</t>
        </is>
      </c>
      <c r="D1291" s="54" t="inlineStr">
        <is>
          <t>SL-COOLING-FITTED-CAL-KING-LIGHT-GREY</t>
        </is>
      </c>
      <c r="E1291" s="54" t="inlineStr">
        <is>
          <t>Cal King</t>
        </is>
      </c>
      <c r="F1291" s="54" t="inlineStr">
        <is>
          <t>Light Grey</t>
        </is>
      </c>
      <c r="G1291" s="55" t="n"/>
      <c r="H1291" s="167" t="n"/>
      <c r="I1291" s="167" t="n"/>
      <c r="J1291" s="168">
        <f>IF(AND(N(G1291)&gt;0,N(H1291)+N(I1291)&gt;0),(H1291+I1291)*U1291/G1291,"")</f>
        <v/>
      </c>
      <c r="K1291" s="167" t="n">
        <v>39.99</v>
      </c>
      <c r="L1291" s="167" t="n">
        <v>39.98</v>
      </c>
      <c r="M1291" s="54" t="inlineStr">
        <is>
          <t>Eligible</t>
        </is>
      </c>
      <c r="N1291" s="168">
        <f>IF(OR(J1291="",L1291=""),"",L1291-J1291)</f>
        <v/>
      </c>
      <c r="O1291" s="169">
        <f>IF(OR(J1291="",L1291=""),"",L1291/J1291-1)</f>
        <v/>
      </c>
      <c r="P1291" s="169">
        <f>IF(OR(J1291="",K1291=""),"",K1291/J1291-1)</f>
        <v/>
      </c>
      <c r="Q1291" s="54">
        <f>IF(AND(ISNUMBER(J1291),ISNUMBER(L1291)),1,0)</f>
        <v/>
      </c>
      <c r="R1291" s="69">
        <f>IF(Q1291=1,G1291*L1291,0)</f>
        <v/>
      </c>
      <c r="S1291" s="69">
        <f>IF(Q1291=1,(H1291+I1291)*U1291,0)</f>
        <v/>
      </c>
      <c r="T1291" s="59">
        <f>IF(Q1291=1,G1291,0)</f>
        <v/>
      </c>
      <c r="U1291" s="170" t="n">
        <v>1</v>
      </c>
    </row>
    <row r="1292">
      <c r="A1292" s="54" t="inlineStr">
        <is>
          <t>US SL Cooling Fitted</t>
        </is>
      </c>
      <c r="B1292" s="54" t="inlineStr">
        <is>
          <t>US</t>
        </is>
      </c>
      <c r="C1292" s="54" t="inlineStr">
        <is>
          <t>B0F7M67GT2</t>
        </is>
      </c>
      <c r="D1292" s="54" t="inlineStr">
        <is>
          <t>SL-COOLING-FITTED-CAL-KING-LIGHT-PINK</t>
        </is>
      </c>
      <c r="E1292" s="54" t="inlineStr">
        <is>
          <t>Cal King</t>
        </is>
      </c>
      <c r="F1292" s="54" t="inlineStr">
        <is>
          <t>Light Pink</t>
        </is>
      </c>
      <c r="G1292" s="55" t="n"/>
      <c r="H1292" s="167" t="n"/>
      <c r="I1292" s="167" t="n"/>
      <c r="J1292" s="168">
        <f>IF(AND(N(G1292)&gt;0,N(H1292)+N(I1292)&gt;0),(H1292+I1292)*U1292/G1292,"")</f>
        <v/>
      </c>
      <c r="K1292" s="167" t="n">
        <v>39.99</v>
      </c>
      <c r="L1292" s="167" t="n">
        <v>37.99</v>
      </c>
      <c r="M1292" s="54" t="inlineStr">
        <is>
          <t>Eligible</t>
        </is>
      </c>
      <c r="N1292" s="168">
        <f>IF(OR(J1292="",L1292=""),"",L1292-J1292)</f>
        <v/>
      </c>
      <c r="O1292" s="169">
        <f>IF(OR(J1292="",L1292=""),"",L1292/J1292-1)</f>
        <v/>
      </c>
      <c r="P1292" s="169">
        <f>IF(OR(J1292="",K1292=""),"",K1292/J1292-1)</f>
        <v/>
      </c>
      <c r="Q1292" s="54">
        <f>IF(AND(ISNUMBER(J1292),ISNUMBER(L1292)),1,0)</f>
        <v/>
      </c>
      <c r="R1292" s="69">
        <f>IF(Q1292=1,G1292*L1292,0)</f>
        <v/>
      </c>
      <c r="S1292" s="69">
        <f>IF(Q1292=1,(H1292+I1292)*U1292,0)</f>
        <v/>
      </c>
      <c r="T1292" s="59">
        <f>IF(Q1292=1,G1292,0)</f>
        <v/>
      </c>
      <c r="U1292" s="170" t="n">
        <v>1</v>
      </c>
    </row>
    <row r="1293">
      <c r="A1293" s="54" t="inlineStr">
        <is>
          <t>US SL Cooling Fitted</t>
        </is>
      </c>
      <c r="B1293" s="54" t="inlineStr">
        <is>
          <t>US</t>
        </is>
      </c>
      <c r="C1293" s="54" t="inlineStr">
        <is>
          <t>B0F7M4FY81</t>
        </is>
      </c>
      <c r="D1293" s="54" t="inlineStr">
        <is>
          <t>SL-COOLING-FITTED-CAL-KING-NAVY-BLUE</t>
        </is>
      </c>
      <c r="E1293" s="54" t="inlineStr">
        <is>
          <t>Cal King</t>
        </is>
      </c>
      <c r="F1293" s="54" t="inlineStr">
        <is>
          <t>Navy Blue</t>
        </is>
      </c>
      <c r="G1293" s="55" t="n"/>
      <c r="H1293" s="167" t="n"/>
      <c r="I1293" s="167" t="n"/>
      <c r="J1293" s="168">
        <f>IF(AND(N(G1293)&gt;0,N(H1293)+N(I1293)&gt;0),(H1293+I1293)*U1293/G1293,"")</f>
        <v/>
      </c>
      <c r="K1293" s="167" t="n">
        <v>39.99</v>
      </c>
      <c r="L1293" s="167" t="n">
        <v>37.99</v>
      </c>
      <c r="M1293" s="54" t="inlineStr">
        <is>
          <t>Eligible</t>
        </is>
      </c>
      <c r="N1293" s="168">
        <f>IF(OR(J1293="",L1293=""),"",L1293-J1293)</f>
        <v/>
      </c>
      <c r="O1293" s="169">
        <f>IF(OR(J1293="",L1293=""),"",L1293/J1293-1)</f>
        <v/>
      </c>
      <c r="P1293" s="169">
        <f>IF(OR(J1293="",K1293=""),"",K1293/J1293-1)</f>
        <v/>
      </c>
      <c r="Q1293" s="54">
        <f>IF(AND(ISNUMBER(J1293),ISNUMBER(L1293)),1,0)</f>
        <v/>
      </c>
      <c r="R1293" s="69">
        <f>IF(Q1293=1,G1293*L1293,0)</f>
        <v/>
      </c>
      <c r="S1293" s="69">
        <f>IF(Q1293=1,(H1293+I1293)*U1293,0)</f>
        <v/>
      </c>
      <c r="T1293" s="59">
        <f>IF(Q1293=1,G1293,0)</f>
        <v/>
      </c>
      <c r="U1293" s="170" t="n">
        <v>1</v>
      </c>
    </row>
    <row r="1294">
      <c r="A1294" s="54" t="inlineStr">
        <is>
          <t>US SL Cooling Fitted</t>
        </is>
      </c>
      <c r="B1294" s="54" t="inlineStr">
        <is>
          <t>US</t>
        </is>
      </c>
      <c r="C1294" s="54" t="inlineStr">
        <is>
          <t>B0F7M2P88B</t>
        </is>
      </c>
      <c r="D1294" s="54" t="inlineStr">
        <is>
          <t>SL-COOLING-FITTED-CAL-KING-REGAL-PURPLE</t>
        </is>
      </c>
      <c r="E1294" s="54" t="inlineStr">
        <is>
          <t>Cal King</t>
        </is>
      </c>
      <c r="F1294" s="54" t="inlineStr">
        <is>
          <t>Regal Purple</t>
        </is>
      </c>
      <c r="G1294" s="55" t="n"/>
      <c r="H1294" s="167" t="n"/>
      <c r="I1294" s="167" t="n"/>
      <c r="J1294" s="168">
        <f>IF(AND(N(G1294)&gt;0,N(H1294)+N(I1294)&gt;0),(H1294+I1294)*U1294/G1294,"")</f>
        <v/>
      </c>
      <c r="K1294" s="167" t="n">
        <v>39.99</v>
      </c>
      <c r="L1294" s="167" t="n">
        <v>39.98</v>
      </c>
      <c r="M1294" s="54" t="inlineStr">
        <is>
          <t>Eligible</t>
        </is>
      </c>
      <c r="N1294" s="168">
        <f>IF(OR(J1294="",L1294=""),"",L1294-J1294)</f>
        <v/>
      </c>
      <c r="O1294" s="169">
        <f>IF(OR(J1294="",L1294=""),"",L1294/J1294-1)</f>
        <v/>
      </c>
      <c r="P1294" s="169">
        <f>IF(OR(J1294="",K1294=""),"",K1294/J1294-1)</f>
        <v/>
      </c>
      <c r="Q1294" s="54">
        <f>IF(AND(ISNUMBER(J1294),ISNUMBER(L1294)),1,0)</f>
        <v/>
      </c>
      <c r="R1294" s="69">
        <f>IF(Q1294=1,G1294*L1294,0)</f>
        <v/>
      </c>
      <c r="S1294" s="69">
        <f>IF(Q1294=1,(H1294+I1294)*U1294,0)</f>
        <v/>
      </c>
      <c r="T1294" s="59">
        <f>IF(Q1294=1,G1294,0)</f>
        <v/>
      </c>
      <c r="U1294" s="170" t="n">
        <v>1</v>
      </c>
    </row>
    <row r="1295">
      <c r="A1295" s="54" t="inlineStr">
        <is>
          <t>US SL Cooling Fitted</t>
        </is>
      </c>
      <c r="B1295" s="54" t="inlineStr">
        <is>
          <t>US</t>
        </is>
      </c>
      <c r="C1295" s="54" t="inlineStr">
        <is>
          <t>B0F7M728YB</t>
        </is>
      </c>
      <c r="D1295" s="54" t="inlineStr">
        <is>
          <t>SL-COOLING-FITTED-CAL-KING-SAGE-GREEN</t>
        </is>
      </c>
      <c r="E1295" s="54" t="inlineStr">
        <is>
          <t>Cal King</t>
        </is>
      </c>
      <c r="F1295" s="54" t="inlineStr">
        <is>
          <t>Sage Green</t>
        </is>
      </c>
      <c r="G1295" s="55" t="n"/>
      <c r="H1295" s="167" t="n"/>
      <c r="I1295" s="167" t="n"/>
      <c r="J1295" s="168">
        <f>IF(AND(N(G1295)&gt;0,N(H1295)+N(I1295)&gt;0),(H1295+I1295)*U1295/G1295,"")</f>
        <v/>
      </c>
      <c r="K1295" s="167" t="n">
        <v>39.99</v>
      </c>
      <c r="L1295" s="167" t="n">
        <v>37.99</v>
      </c>
      <c r="M1295" s="54" t="inlineStr">
        <is>
          <t>Eligible</t>
        </is>
      </c>
      <c r="N1295" s="168">
        <f>IF(OR(J1295="",L1295=""),"",L1295-J1295)</f>
        <v/>
      </c>
      <c r="O1295" s="169">
        <f>IF(OR(J1295="",L1295=""),"",L1295/J1295-1)</f>
        <v/>
      </c>
      <c r="P1295" s="169">
        <f>IF(OR(J1295="",K1295=""),"",K1295/J1295-1)</f>
        <v/>
      </c>
      <c r="Q1295" s="54">
        <f>IF(AND(ISNUMBER(J1295),ISNUMBER(L1295)),1,0)</f>
        <v/>
      </c>
      <c r="R1295" s="69">
        <f>IF(Q1295=1,G1295*L1295,0)</f>
        <v/>
      </c>
      <c r="S1295" s="69">
        <f>IF(Q1295=1,(H1295+I1295)*U1295,0)</f>
        <v/>
      </c>
      <c r="T1295" s="59">
        <f>IF(Q1295=1,G1295,0)</f>
        <v/>
      </c>
      <c r="U1295" s="170" t="n">
        <v>1</v>
      </c>
    </row>
    <row r="1296">
      <c r="A1296" s="54" t="inlineStr">
        <is>
          <t>US SL Cooling Fitted</t>
        </is>
      </c>
      <c r="B1296" s="54" t="inlineStr">
        <is>
          <t>US</t>
        </is>
      </c>
      <c r="C1296" s="54" t="inlineStr">
        <is>
          <t>B0F7M57Q9T</t>
        </is>
      </c>
      <c r="D1296" s="54" t="inlineStr">
        <is>
          <t>SL-COOLING-FITTED-CAL-KING-WHITE</t>
        </is>
      </c>
      <c r="E1296" s="54" t="inlineStr">
        <is>
          <t>Cal King</t>
        </is>
      </c>
      <c r="F1296" s="54" t="inlineStr">
        <is>
          <t>White</t>
        </is>
      </c>
      <c r="G1296" s="55" t="n"/>
      <c r="H1296" s="167" t="n"/>
      <c r="I1296" s="167" t="n"/>
      <c r="J1296" s="168">
        <f>IF(AND(N(G1296)&gt;0,N(H1296)+N(I1296)&gt;0),(H1296+I1296)*U1296/G1296,"")</f>
        <v/>
      </c>
      <c r="K1296" s="167" t="n">
        <v>39.99</v>
      </c>
      <c r="L1296" s="167" t="n">
        <v>37.99</v>
      </c>
      <c r="M1296" s="54" t="inlineStr">
        <is>
          <t>Eligible</t>
        </is>
      </c>
      <c r="N1296" s="168">
        <f>IF(OR(J1296="",L1296=""),"",L1296-J1296)</f>
        <v/>
      </c>
      <c r="O1296" s="169">
        <f>IF(OR(J1296="",L1296=""),"",L1296/J1296-1)</f>
        <v/>
      </c>
      <c r="P1296" s="169">
        <f>IF(OR(J1296="",K1296=""),"",K1296/J1296-1)</f>
        <v/>
      </c>
      <c r="Q1296" s="54">
        <f>IF(AND(ISNUMBER(J1296),ISNUMBER(L1296)),1,0)</f>
        <v/>
      </c>
      <c r="R1296" s="69">
        <f>IF(Q1296=1,G1296*L1296,0)</f>
        <v/>
      </c>
      <c r="S1296" s="69">
        <f>IF(Q1296=1,(H1296+I1296)*U1296,0)</f>
        <v/>
      </c>
      <c r="T1296" s="59">
        <f>IF(Q1296=1,G1296,0)</f>
        <v/>
      </c>
      <c r="U1296" s="170" t="n">
        <v>1</v>
      </c>
    </row>
    <row r="1297">
      <c r="A1297" s="54" t="inlineStr">
        <is>
          <t>US SL Cooling Fitted</t>
        </is>
      </c>
      <c r="B1297" s="54" t="inlineStr">
        <is>
          <t>US</t>
        </is>
      </c>
      <c r="C1297" s="54" t="inlineStr">
        <is>
          <t>B0F7M6DPPM</t>
        </is>
      </c>
      <c r="D1297" s="54" t="inlineStr">
        <is>
          <t>SL-COOLING-FITTED-FULL-COOL-BLUE</t>
        </is>
      </c>
      <c r="E1297" s="54" t="inlineStr">
        <is>
          <t>Full</t>
        </is>
      </c>
      <c r="F1297" s="54" t="inlineStr">
        <is>
          <t>Cool Blue</t>
        </is>
      </c>
      <c r="G1297" s="55" t="n"/>
      <c r="H1297" s="167" t="n"/>
      <c r="I1297" s="167" t="n"/>
      <c r="J1297" s="168">
        <f>IF(AND(N(G1297)&gt;0,N(H1297)+N(I1297)&gt;0),(H1297+I1297)*U1297/G1297,"")</f>
        <v/>
      </c>
      <c r="K1297" s="167" t="n">
        <v>35.99</v>
      </c>
      <c r="L1297" s="167" t="n">
        <v>34.19</v>
      </c>
      <c r="M1297" s="54" t="inlineStr">
        <is>
          <t>Eligible</t>
        </is>
      </c>
      <c r="N1297" s="168">
        <f>IF(OR(J1297="",L1297=""),"",L1297-J1297)</f>
        <v/>
      </c>
      <c r="O1297" s="169">
        <f>IF(OR(J1297="",L1297=""),"",L1297/J1297-1)</f>
        <v/>
      </c>
      <c r="P1297" s="169">
        <f>IF(OR(J1297="",K1297=""),"",K1297/J1297-1)</f>
        <v/>
      </c>
      <c r="Q1297" s="54">
        <f>IF(AND(ISNUMBER(J1297),ISNUMBER(L1297)),1,0)</f>
        <v/>
      </c>
      <c r="R1297" s="69">
        <f>IF(Q1297=1,G1297*L1297,0)</f>
        <v/>
      </c>
      <c r="S1297" s="69">
        <f>IF(Q1297=1,(H1297+I1297)*U1297,0)</f>
        <v/>
      </c>
      <c r="T1297" s="59">
        <f>IF(Q1297=1,G1297,0)</f>
        <v/>
      </c>
      <c r="U1297" s="170" t="n">
        <v>1</v>
      </c>
    </row>
    <row r="1298">
      <c r="A1298" s="54" t="inlineStr">
        <is>
          <t>US SL Cooling Fitted</t>
        </is>
      </c>
      <c r="B1298" s="54" t="inlineStr">
        <is>
          <t>US</t>
        </is>
      </c>
      <c r="C1298" s="54" t="inlineStr">
        <is>
          <t>B0F7M664QG</t>
        </is>
      </c>
      <c r="D1298" s="54" t="inlineStr">
        <is>
          <t>SL-COOLING-FITTED-FULL-CREAM</t>
        </is>
      </c>
      <c r="E1298" s="54" t="inlineStr">
        <is>
          <t>Full</t>
        </is>
      </c>
      <c r="F1298" s="54" t="inlineStr">
        <is>
          <t>Cream</t>
        </is>
      </c>
      <c r="G1298" s="55" t="n"/>
      <c r="H1298" s="167" t="n"/>
      <c r="I1298" s="167" t="n"/>
      <c r="J1298" s="168">
        <f>IF(AND(N(G1298)&gt;0,N(H1298)+N(I1298)&gt;0),(H1298+I1298)*U1298/G1298,"")</f>
        <v/>
      </c>
      <c r="K1298" s="167" t="n">
        <v>35.99</v>
      </c>
      <c r="L1298" s="167" t="n">
        <v>34.19</v>
      </c>
      <c r="M1298" s="54" t="inlineStr">
        <is>
          <t>Eligible</t>
        </is>
      </c>
      <c r="N1298" s="168">
        <f>IF(OR(J1298="",L1298=""),"",L1298-J1298)</f>
        <v/>
      </c>
      <c r="O1298" s="169">
        <f>IF(OR(J1298="",L1298=""),"",L1298/J1298-1)</f>
        <v/>
      </c>
      <c r="P1298" s="169">
        <f>IF(OR(J1298="",K1298=""),"",K1298/J1298-1)</f>
        <v/>
      </c>
      <c r="Q1298" s="54">
        <f>IF(AND(ISNUMBER(J1298),ISNUMBER(L1298)),1,0)</f>
        <v/>
      </c>
      <c r="R1298" s="69">
        <f>IF(Q1298=1,G1298*L1298,0)</f>
        <v/>
      </c>
      <c r="S1298" s="69">
        <f>IF(Q1298=1,(H1298+I1298)*U1298,0)</f>
        <v/>
      </c>
      <c r="T1298" s="59">
        <f>IF(Q1298=1,G1298,0)</f>
        <v/>
      </c>
      <c r="U1298" s="170" t="n">
        <v>1</v>
      </c>
    </row>
    <row r="1299">
      <c r="A1299" s="54" t="inlineStr">
        <is>
          <t>US SL Cooling Fitted</t>
        </is>
      </c>
      <c r="B1299" s="54" t="inlineStr">
        <is>
          <t>US</t>
        </is>
      </c>
      <c r="C1299" s="54" t="inlineStr">
        <is>
          <t>B0F7M4BGMH</t>
        </is>
      </c>
      <c r="D1299" s="54" t="inlineStr">
        <is>
          <t>SL-COOLING-FITTED-FULL-GRAPHITE</t>
        </is>
      </c>
      <c r="E1299" s="54" t="inlineStr">
        <is>
          <t>Full</t>
        </is>
      </c>
      <c r="F1299" s="54" t="inlineStr">
        <is>
          <t>Graphite</t>
        </is>
      </c>
      <c r="G1299" s="55" t="n"/>
      <c r="H1299" s="167" t="n"/>
      <c r="I1299" s="167" t="n"/>
      <c r="J1299" s="168">
        <f>IF(AND(N(G1299)&gt;0,N(H1299)+N(I1299)&gt;0),(H1299+I1299)*U1299/G1299,"")</f>
        <v/>
      </c>
      <c r="K1299" s="167" t="n">
        <v>35.99</v>
      </c>
      <c r="L1299" s="167" t="n">
        <v>34.19</v>
      </c>
      <c r="M1299" s="54" t="inlineStr">
        <is>
          <t>Eligible</t>
        </is>
      </c>
      <c r="N1299" s="168">
        <f>IF(OR(J1299="",L1299=""),"",L1299-J1299)</f>
        <v/>
      </c>
      <c r="O1299" s="169">
        <f>IF(OR(J1299="",L1299=""),"",L1299/J1299-1)</f>
        <v/>
      </c>
      <c r="P1299" s="169">
        <f>IF(OR(J1299="",K1299=""),"",K1299/J1299-1)</f>
        <v/>
      </c>
      <c r="Q1299" s="54">
        <f>IF(AND(ISNUMBER(J1299),ISNUMBER(L1299)),1,0)</f>
        <v/>
      </c>
      <c r="R1299" s="69">
        <f>IF(Q1299=1,G1299*L1299,0)</f>
        <v/>
      </c>
      <c r="S1299" s="69">
        <f>IF(Q1299=1,(H1299+I1299)*U1299,0)</f>
        <v/>
      </c>
      <c r="T1299" s="59">
        <f>IF(Q1299=1,G1299,0)</f>
        <v/>
      </c>
      <c r="U1299" s="170" t="n">
        <v>1</v>
      </c>
    </row>
    <row r="1300">
      <c r="A1300" s="54" t="inlineStr">
        <is>
          <t>US SL Cooling Fitted</t>
        </is>
      </c>
      <c r="B1300" s="54" t="inlineStr">
        <is>
          <t>US</t>
        </is>
      </c>
      <c r="C1300" s="54" t="inlineStr">
        <is>
          <t>B0F7M4XKZ3</t>
        </is>
      </c>
      <c r="D1300" s="54" t="inlineStr">
        <is>
          <t>SL-COOLING-FITTED-FULL-LIGHT-GREY</t>
        </is>
      </c>
      <c r="E1300" s="54" t="inlineStr">
        <is>
          <t>Full</t>
        </is>
      </c>
      <c r="F1300" s="54" t="inlineStr">
        <is>
          <t>Light Grey</t>
        </is>
      </c>
      <c r="G1300" s="55" t="n"/>
      <c r="H1300" s="167" t="n"/>
      <c r="I1300" s="167" t="n"/>
      <c r="J1300" s="168">
        <f>IF(AND(N(G1300)&gt;0,N(H1300)+N(I1300)&gt;0),(H1300+I1300)*U1300/G1300,"")</f>
        <v/>
      </c>
      <c r="K1300" s="167" t="n">
        <v>35.99</v>
      </c>
      <c r="L1300" s="167" t="n">
        <v>34.19</v>
      </c>
      <c r="M1300" s="54" t="inlineStr">
        <is>
          <t>Eligible</t>
        </is>
      </c>
      <c r="N1300" s="168">
        <f>IF(OR(J1300="",L1300=""),"",L1300-J1300)</f>
        <v/>
      </c>
      <c r="O1300" s="169">
        <f>IF(OR(J1300="",L1300=""),"",L1300/J1300-1)</f>
        <v/>
      </c>
      <c r="P1300" s="169">
        <f>IF(OR(J1300="",K1300=""),"",K1300/J1300-1)</f>
        <v/>
      </c>
      <c r="Q1300" s="54">
        <f>IF(AND(ISNUMBER(J1300),ISNUMBER(L1300)),1,0)</f>
        <v/>
      </c>
      <c r="R1300" s="69">
        <f>IF(Q1300=1,G1300*L1300,0)</f>
        <v/>
      </c>
      <c r="S1300" s="69">
        <f>IF(Q1300=1,(H1300+I1300)*U1300,0)</f>
        <v/>
      </c>
      <c r="T1300" s="59">
        <f>IF(Q1300=1,G1300,0)</f>
        <v/>
      </c>
      <c r="U1300" s="170" t="n">
        <v>1</v>
      </c>
    </row>
    <row r="1301">
      <c r="A1301" s="54" t="inlineStr">
        <is>
          <t>US SL Cooling Fitted</t>
        </is>
      </c>
      <c r="B1301" s="54" t="inlineStr">
        <is>
          <t>US</t>
        </is>
      </c>
      <c r="C1301" s="54" t="inlineStr">
        <is>
          <t>B0F7M8SJ5Q</t>
        </is>
      </c>
      <c r="D1301" s="54" t="inlineStr">
        <is>
          <t>SL-COOLING-FITTED-KING-BEIGE</t>
        </is>
      </c>
      <c r="E1301" s="54" t="inlineStr">
        <is>
          <t>King</t>
        </is>
      </c>
      <c r="F1301" s="54" t="inlineStr">
        <is>
          <t>Beige</t>
        </is>
      </c>
      <c r="G1301" s="55" t="n">
        <v>0</v>
      </c>
      <c r="H1301" s="167" t="n"/>
      <c r="I1301" s="167" t="n"/>
      <c r="J1301" s="168">
        <f>IF(AND(N(G1301)&gt;0,N(H1301)+N(I1301)&gt;0),(H1301+I1301)*U1301/G1301,"")</f>
        <v/>
      </c>
      <c r="K1301" s="167" t="n">
        <v>39.99</v>
      </c>
      <c r="L1301" s="167" t="n">
        <v>37.99</v>
      </c>
      <c r="M1301" s="54" t="inlineStr">
        <is>
          <t>Eligible</t>
        </is>
      </c>
      <c r="N1301" s="168">
        <f>IF(OR(J1301="",L1301=""),"",L1301-J1301)</f>
        <v/>
      </c>
      <c r="O1301" s="169">
        <f>IF(OR(J1301="",L1301=""),"",L1301/J1301-1)</f>
        <v/>
      </c>
      <c r="P1301" s="169">
        <f>IF(OR(J1301="",K1301=""),"",K1301/J1301-1)</f>
        <v/>
      </c>
      <c r="Q1301" s="54">
        <f>IF(AND(ISNUMBER(J1301),ISNUMBER(L1301)),1,0)</f>
        <v/>
      </c>
      <c r="R1301" s="69">
        <f>IF(Q1301=1,G1301*L1301,0)</f>
        <v/>
      </c>
      <c r="S1301" s="69">
        <f>IF(Q1301=1,(H1301+I1301)*U1301,0)</f>
        <v/>
      </c>
      <c r="T1301" s="59">
        <f>IF(Q1301=1,G1301,0)</f>
        <v/>
      </c>
      <c r="U1301" s="170" t="n">
        <v>1</v>
      </c>
    </row>
    <row r="1302">
      <c r="A1302" s="54" t="inlineStr">
        <is>
          <t>US SL Cooling Fitted</t>
        </is>
      </c>
      <c r="B1302" s="54" t="inlineStr">
        <is>
          <t>US</t>
        </is>
      </c>
      <c r="C1302" s="54" t="inlineStr">
        <is>
          <t>B0F7M6BCNH</t>
        </is>
      </c>
      <c r="D1302" s="54" t="inlineStr">
        <is>
          <t>SL-COOLING-FITTED-KING-CREAM</t>
        </is>
      </c>
      <c r="E1302" s="54" t="inlineStr">
        <is>
          <t>King</t>
        </is>
      </c>
      <c r="F1302" s="54" t="inlineStr">
        <is>
          <t>Cream</t>
        </is>
      </c>
      <c r="G1302" s="55" t="n"/>
      <c r="H1302" s="167" t="n"/>
      <c r="I1302" s="167" t="n"/>
      <c r="J1302" s="168">
        <f>IF(AND(N(G1302)&gt;0,N(H1302)+N(I1302)&gt;0),(H1302+I1302)*U1302/G1302,"")</f>
        <v/>
      </c>
      <c r="K1302" s="167" t="n">
        <v>39.99</v>
      </c>
      <c r="L1302" s="167" t="n">
        <v>37.99</v>
      </c>
      <c r="M1302" s="54" t="inlineStr">
        <is>
          <t>Eligible</t>
        </is>
      </c>
      <c r="N1302" s="168">
        <f>IF(OR(J1302="",L1302=""),"",L1302-J1302)</f>
        <v/>
      </c>
      <c r="O1302" s="169">
        <f>IF(OR(J1302="",L1302=""),"",L1302/J1302-1)</f>
        <v/>
      </c>
      <c r="P1302" s="169">
        <f>IF(OR(J1302="",K1302=""),"",K1302/J1302-1)</f>
        <v/>
      </c>
      <c r="Q1302" s="54">
        <f>IF(AND(ISNUMBER(J1302),ISNUMBER(L1302)),1,0)</f>
        <v/>
      </c>
      <c r="R1302" s="69">
        <f>IF(Q1302=1,G1302*L1302,0)</f>
        <v/>
      </c>
      <c r="S1302" s="69">
        <f>IF(Q1302=1,(H1302+I1302)*U1302,0)</f>
        <v/>
      </c>
      <c r="T1302" s="59">
        <f>IF(Q1302=1,G1302,0)</f>
        <v/>
      </c>
      <c r="U1302" s="170" t="n">
        <v>1</v>
      </c>
    </row>
    <row r="1303">
      <c r="A1303" s="54" t="inlineStr">
        <is>
          <t>US SL Cooling Fitted</t>
        </is>
      </c>
      <c r="B1303" s="54" t="inlineStr">
        <is>
          <t>US</t>
        </is>
      </c>
      <c r="C1303" s="54" t="inlineStr">
        <is>
          <t>B0F7M4WBKD</t>
        </is>
      </c>
      <c r="D1303" s="54" t="inlineStr">
        <is>
          <t>SL-COOLING-FITTED-KING-LIGHT-BLUE</t>
        </is>
      </c>
      <c r="E1303" s="54" t="inlineStr">
        <is>
          <t>King</t>
        </is>
      </c>
      <c r="F1303" s="54" t="inlineStr">
        <is>
          <t>Light Blue</t>
        </is>
      </c>
      <c r="G1303" s="55" t="n"/>
      <c r="H1303" s="167" t="n"/>
      <c r="I1303" s="167" t="n"/>
      <c r="J1303" s="168">
        <f>IF(AND(N(G1303)&gt;0,N(H1303)+N(I1303)&gt;0),(H1303+I1303)*U1303/G1303,"")</f>
        <v/>
      </c>
      <c r="K1303" s="167" t="n">
        <v>39.99</v>
      </c>
      <c r="L1303" s="167" t="n">
        <v>37.99</v>
      </c>
      <c r="M1303" s="54" t="inlineStr">
        <is>
          <t>Eligible</t>
        </is>
      </c>
      <c r="N1303" s="168">
        <f>IF(OR(J1303="",L1303=""),"",L1303-J1303)</f>
        <v/>
      </c>
      <c r="O1303" s="169">
        <f>IF(OR(J1303="",L1303=""),"",L1303/J1303-1)</f>
        <v/>
      </c>
      <c r="P1303" s="169">
        <f>IF(OR(J1303="",K1303=""),"",K1303/J1303-1)</f>
        <v/>
      </c>
      <c r="Q1303" s="54">
        <f>IF(AND(ISNUMBER(J1303),ISNUMBER(L1303)),1,0)</f>
        <v/>
      </c>
      <c r="R1303" s="69">
        <f>IF(Q1303=1,G1303*L1303,0)</f>
        <v/>
      </c>
      <c r="S1303" s="69">
        <f>IF(Q1303=1,(H1303+I1303)*U1303,0)</f>
        <v/>
      </c>
      <c r="T1303" s="59">
        <f>IF(Q1303=1,G1303,0)</f>
        <v/>
      </c>
      <c r="U1303" s="170" t="n">
        <v>1</v>
      </c>
    </row>
    <row r="1304">
      <c r="A1304" s="54" t="inlineStr">
        <is>
          <t>US SL Cooling Fitted</t>
        </is>
      </c>
      <c r="B1304" s="54" t="inlineStr">
        <is>
          <t>US</t>
        </is>
      </c>
      <c r="C1304" s="54" t="inlineStr">
        <is>
          <t>B0F7M6BF7C</t>
        </is>
      </c>
      <c r="D1304" s="54" t="inlineStr">
        <is>
          <t>SL-COOLING-FITTED-KING-LIGHT-GREY</t>
        </is>
      </c>
      <c r="E1304" s="54" t="inlineStr">
        <is>
          <t>King</t>
        </is>
      </c>
      <c r="F1304" s="54" t="inlineStr">
        <is>
          <t>Light Grey</t>
        </is>
      </c>
      <c r="G1304" s="55" t="n"/>
      <c r="H1304" s="167" t="n"/>
      <c r="I1304" s="167" t="n"/>
      <c r="J1304" s="168">
        <f>IF(AND(N(G1304)&gt;0,N(H1304)+N(I1304)&gt;0),(H1304+I1304)*U1304/G1304,"")</f>
        <v/>
      </c>
      <c r="K1304" s="167" t="n">
        <v>39.99</v>
      </c>
      <c r="L1304" s="167" t="n">
        <v>37.99</v>
      </c>
      <c r="M1304" s="54" t="inlineStr">
        <is>
          <t>Eligible</t>
        </is>
      </c>
      <c r="N1304" s="168">
        <f>IF(OR(J1304="",L1304=""),"",L1304-J1304)</f>
        <v/>
      </c>
      <c r="O1304" s="169">
        <f>IF(OR(J1304="",L1304=""),"",L1304/J1304-1)</f>
        <v/>
      </c>
      <c r="P1304" s="169">
        <f>IF(OR(J1304="",K1304=""),"",K1304/J1304-1)</f>
        <v/>
      </c>
      <c r="Q1304" s="54">
        <f>IF(AND(ISNUMBER(J1304),ISNUMBER(L1304)),1,0)</f>
        <v/>
      </c>
      <c r="R1304" s="69">
        <f>IF(Q1304=1,G1304*L1304,0)</f>
        <v/>
      </c>
      <c r="S1304" s="69">
        <f>IF(Q1304=1,(H1304+I1304)*U1304,0)</f>
        <v/>
      </c>
      <c r="T1304" s="59">
        <f>IF(Q1304=1,G1304,0)</f>
        <v/>
      </c>
      <c r="U1304" s="170" t="n">
        <v>1</v>
      </c>
    </row>
    <row r="1305">
      <c r="A1305" s="54" t="inlineStr">
        <is>
          <t>US SL Cooling Fitted</t>
        </is>
      </c>
      <c r="B1305" s="54" t="inlineStr">
        <is>
          <t>US</t>
        </is>
      </c>
      <c r="C1305" s="54" t="inlineStr">
        <is>
          <t>B0F7M5M7G1</t>
        </is>
      </c>
      <c r="D1305" s="54" t="inlineStr">
        <is>
          <t>SL-COOLING-FITTED-KING-NAVY-BLUE</t>
        </is>
      </c>
      <c r="E1305" s="54" t="inlineStr">
        <is>
          <t>King</t>
        </is>
      </c>
      <c r="F1305" s="54" t="inlineStr">
        <is>
          <t>Navy Blue</t>
        </is>
      </c>
      <c r="G1305" s="55" t="n"/>
      <c r="H1305" s="167" t="n"/>
      <c r="I1305" s="167" t="n"/>
      <c r="J1305" s="168">
        <f>IF(AND(N(G1305)&gt;0,N(H1305)+N(I1305)&gt;0),(H1305+I1305)*U1305/G1305,"")</f>
        <v/>
      </c>
      <c r="K1305" s="167" t="n">
        <v>39.99</v>
      </c>
      <c r="L1305" s="167" t="n">
        <v>37.99</v>
      </c>
      <c r="M1305" s="54" t="inlineStr">
        <is>
          <t>Eligible</t>
        </is>
      </c>
      <c r="N1305" s="168">
        <f>IF(OR(J1305="",L1305=""),"",L1305-J1305)</f>
        <v/>
      </c>
      <c r="O1305" s="169">
        <f>IF(OR(J1305="",L1305=""),"",L1305/J1305-1)</f>
        <v/>
      </c>
      <c r="P1305" s="169">
        <f>IF(OR(J1305="",K1305=""),"",K1305/J1305-1)</f>
        <v/>
      </c>
      <c r="Q1305" s="54">
        <f>IF(AND(ISNUMBER(J1305),ISNUMBER(L1305)),1,0)</f>
        <v/>
      </c>
      <c r="R1305" s="69">
        <f>IF(Q1305=1,G1305*L1305,0)</f>
        <v/>
      </c>
      <c r="S1305" s="69">
        <f>IF(Q1305=1,(H1305+I1305)*U1305,0)</f>
        <v/>
      </c>
      <c r="T1305" s="59">
        <f>IF(Q1305=1,G1305,0)</f>
        <v/>
      </c>
      <c r="U1305" s="170" t="n">
        <v>1</v>
      </c>
    </row>
    <row r="1306">
      <c r="A1306" s="54" t="inlineStr">
        <is>
          <t>US SL Cooling Fitted</t>
        </is>
      </c>
      <c r="B1306" s="54" t="inlineStr">
        <is>
          <t>US</t>
        </is>
      </c>
      <c r="C1306" s="54" t="inlineStr">
        <is>
          <t>B0F7M6Q25P</t>
        </is>
      </c>
      <c r="D1306" s="54" t="inlineStr">
        <is>
          <t>SL-COOLING-FITTED-KING-SAGE-GREEN</t>
        </is>
      </c>
      <c r="E1306" s="54" t="inlineStr">
        <is>
          <t>King</t>
        </is>
      </c>
      <c r="F1306" s="54" t="inlineStr">
        <is>
          <t>Sage Green</t>
        </is>
      </c>
      <c r="G1306" s="55" t="n"/>
      <c r="H1306" s="167" t="n"/>
      <c r="I1306" s="167" t="n"/>
      <c r="J1306" s="168">
        <f>IF(AND(N(G1306)&gt;0,N(H1306)+N(I1306)&gt;0),(H1306+I1306)*U1306/G1306,"")</f>
        <v/>
      </c>
      <c r="K1306" s="167" t="n">
        <v>39.99</v>
      </c>
      <c r="L1306" s="167" t="n">
        <v>37.99</v>
      </c>
      <c r="M1306" s="54" t="inlineStr">
        <is>
          <t>Eligible</t>
        </is>
      </c>
      <c r="N1306" s="168">
        <f>IF(OR(J1306="",L1306=""),"",L1306-J1306)</f>
        <v/>
      </c>
      <c r="O1306" s="169">
        <f>IF(OR(J1306="",L1306=""),"",L1306/J1306-1)</f>
        <v/>
      </c>
      <c r="P1306" s="169">
        <f>IF(OR(J1306="",K1306=""),"",K1306/J1306-1)</f>
        <v/>
      </c>
      <c r="Q1306" s="54">
        <f>IF(AND(ISNUMBER(J1306),ISNUMBER(L1306)),1,0)</f>
        <v/>
      </c>
      <c r="R1306" s="69">
        <f>IF(Q1306=1,G1306*L1306,0)</f>
        <v/>
      </c>
      <c r="S1306" s="69">
        <f>IF(Q1306=1,(H1306+I1306)*U1306,0)</f>
        <v/>
      </c>
      <c r="T1306" s="59">
        <f>IF(Q1306=1,G1306,0)</f>
        <v/>
      </c>
      <c r="U1306" s="170" t="n">
        <v>1</v>
      </c>
    </row>
    <row r="1307">
      <c r="A1307" s="54" t="inlineStr">
        <is>
          <t>US SL Cooling Fitted</t>
        </is>
      </c>
      <c r="B1307" s="54" t="inlineStr">
        <is>
          <t>US</t>
        </is>
      </c>
      <c r="C1307" s="54" t="inlineStr">
        <is>
          <t>B0F7M4HC5F</t>
        </is>
      </c>
      <c r="D1307" s="54" t="inlineStr">
        <is>
          <t>SL-COOLING-FITTED-QUEEN-BEIGE</t>
        </is>
      </c>
      <c r="E1307" s="54" t="inlineStr">
        <is>
          <t>Queen</t>
        </is>
      </c>
      <c r="F1307" s="54" t="inlineStr">
        <is>
          <t>Beige</t>
        </is>
      </c>
      <c r="G1307" s="55" t="n">
        <v>0</v>
      </c>
      <c r="H1307" s="167" t="n"/>
      <c r="I1307" s="167" t="n"/>
      <c r="J1307" s="168">
        <f>IF(AND(N(G1307)&gt;0,N(H1307)+N(I1307)&gt;0),(H1307+I1307)*U1307/G1307,"")</f>
        <v/>
      </c>
      <c r="K1307" s="167" t="n">
        <v>37.99</v>
      </c>
      <c r="L1307" s="167" t="n">
        <v>36.09</v>
      </c>
      <c r="M1307" s="54" t="inlineStr">
        <is>
          <t>Eligible</t>
        </is>
      </c>
      <c r="N1307" s="168">
        <f>IF(OR(J1307="",L1307=""),"",L1307-J1307)</f>
        <v/>
      </c>
      <c r="O1307" s="169">
        <f>IF(OR(J1307="",L1307=""),"",L1307/J1307-1)</f>
        <v/>
      </c>
      <c r="P1307" s="169">
        <f>IF(OR(J1307="",K1307=""),"",K1307/J1307-1)</f>
        <v/>
      </c>
      <c r="Q1307" s="54">
        <f>IF(AND(ISNUMBER(J1307),ISNUMBER(L1307)),1,0)</f>
        <v/>
      </c>
      <c r="R1307" s="69">
        <f>IF(Q1307=1,G1307*L1307,0)</f>
        <v/>
      </c>
      <c r="S1307" s="69">
        <f>IF(Q1307=1,(H1307+I1307)*U1307,0)</f>
        <v/>
      </c>
      <c r="T1307" s="59">
        <f>IF(Q1307=1,G1307,0)</f>
        <v/>
      </c>
      <c r="U1307" s="170" t="n">
        <v>1</v>
      </c>
    </row>
    <row r="1308">
      <c r="A1308" s="54" t="inlineStr">
        <is>
          <t>US SL Cooling Fitted</t>
        </is>
      </c>
      <c r="B1308" s="54" t="inlineStr">
        <is>
          <t>US</t>
        </is>
      </c>
      <c r="C1308" s="54" t="inlineStr">
        <is>
          <t>B0F7M8GRL4</t>
        </is>
      </c>
      <c r="D1308" s="54" t="inlineStr">
        <is>
          <t>SL-COOLING-FITTED-QUEEN-LIGHT-GREY</t>
        </is>
      </c>
      <c r="E1308" s="54" t="inlineStr">
        <is>
          <t>Queen</t>
        </is>
      </c>
      <c r="F1308" s="54" t="inlineStr">
        <is>
          <t>Light Grey</t>
        </is>
      </c>
      <c r="G1308" s="55" t="n"/>
      <c r="H1308" s="167" t="n"/>
      <c r="I1308" s="167" t="n"/>
      <c r="J1308" s="168">
        <f>IF(AND(N(G1308)&gt;0,N(H1308)+N(I1308)&gt;0),(H1308+I1308)*U1308/G1308,"")</f>
        <v/>
      </c>
      <c r="K1308" s="167" t="n">
        <v>37.99</v>
      </c>
      <c r="L1308" s="167" t="n">
        <v>36.09</v>
      </c>
      <c r="M1308" s="54" t="inlineStr">
        <is>
          <t>Eligible</t>
        </is>
      </c>
      <c r="N1308" s="168">
        <f>IF(OR(J1308="",L1308=""),"",L1308-J1308)</f>
        <v/>
      </c>
      <c r="O1308" s="169">
        <f>IF(OR(J1308="",L1308=""),"",L1308/J1308-1)</f>
        <v/>
      </c>
      <c r="P1308" s="169">
        <f>IF(OR(J1308="",K1308=""),"",K1308/J1308-1)</f>
        <v/>
      </c>
      <c r="Q1308" s="54">
        <f>IF(AND(ISNUMBER(J1308),ISNUMBER(L1308)),1,0)</f>
        <v/>
      </c>
      <c r="R1308" s="69">
        <f>IF(Q1308=1,G1308*L1308,0)</f>
        <v/>
      </c>
      <c r="S1308" s="69">
        <f>IF(Q1308=1,(H1308+I1308)*U1308,0)</f>
        <v/>
      </c>
      <c r="T1308" s="59">
        <f>IF(Q1308=1,G1308,0)</f>
        <v/>
      </c>
      <c r="U1308" s="170" t="n">
        <v>1</v>
      </c>
    </row>
    <row r="1309">
      <c r="A1309" s="54" t="inlineStr">
        <is>
          <t>US SL Cooling Fitted</t>
        </is>
      </c>
      <c r="B1309" s="54" t="inlineStr">
        <is>
          <t>US</t>
        </is>
      </c>
      <c r="C1309" s="54" t="inlineStr">
        <is>
          <t>B0F7M6Q6G8</t>
        </is>
      </c>
      <c r="D1309" s="54" t="inlineStr">
        <is>
          <t>SL-COOLING-FITTED-QUEEN-SAGE-GREEN</t>
        </is>
      </c>
      <c r="E1309" s="54" t="inlineStr">
        <is>
          <t>Queen</t>
        </is>
      </c>
      <c r="F1309" s="54" t="inlineStr">
        <is>
          <t>Sage Green</t>
        </is>
      </c>
      <c r="G1309" s="55" t="n"/>
      <c r="H1309" s="167" t="n"/>
      <c r="I1309" s="167" t="n"/>
      <c r="J1309" s="168">
        <f>IF(AND(N(G1309)&gt;0,N(H1309)+N(I1309)&gt;0),(H1309+I1309)*U1309/G1309,"")</f>
        <v/>
      </c>
      <c r="K1309" s="167" t="n">
        <v>37.99</v>
      </c>
      <c r="L1309" s="167" t="n">
        <v>36.09</v>
      </c>
      <c r="M1309" s="54" t="inlineStr">
        <is>
          <t>Eligible</t>
        </is>
      </c>
      <c r="N1309" s="168">
        <f>IF(OR(J1309="",L1309=""),"",L1309-J1309)</f>
        <v/>
      </c>
      <c r="O1309" s="169">
        <f>IF(OR(J1309="",L1309=""),"",L1309/J1309-1)</f>
        <v/>
      </c>
      <c r="P1309" s="169">
        <f>IF(OR(J1309="",K1309=""),"",K1309/J1309-1)</f>
        <v/>
      </c>
      <c r="Q1309" s="54">
        <f>IF(AND(ISNUMBER(J1309),ISNUMBER(L1309)),1,0)</f>
        <v/>
      </c>
      <c r="R1309" s="69">
        <f>IF(Q1309=1,G1309*L1309,0)</f>
        <v/>
      </c>
      <c r="S1309" s="69">
        <f>IF(Q1309=1,(H1309+I1309)*U1309,0)</f>
        <v/>
      </c>
      <c r="T1309" s="59">
        <f>IF(Q1309=1,G1309,0)</f>
        <v/>
      </c>
      <c r="U1309" s="170" t="n">
        <v>1</v>
      </c>
    </row>
    <row r="1310">
      <c r="A1310" s="54" t="inlineStr">
        <is>
          <t>US SL Cooling Fitted</t>
        </is>
      </c>
      <c r="B1310" s="54" t="inlineStr">
        <is>
          <t>US</t>
        </is>
      </c>
      <c r="C1310" s="54" t="inlineStr">
        <is>
          <t>B0F7M7Z55J</t>
        </is>
      </c>
      <c r="D1310" s="54" t="inlineStr">
        <is>
          <t>SL-COOLING-FITTED-TWIN-COOL-BLUE</t>
        </is>
      </c>
      <c r="E1310" s="54" t="inlineStr">
        <is>
          <t>Twin</t>
        </is>
      </c>
      <c r="F1310" s="54" t="inlineStr">
        <is>
          <t>Cool Blue</t>
        </is>
      </c>
      <c r="G1310" s="55" t="n"/>
      <c r="H1310" s="167" t="n"/>
      <c r="I1310" s="167" t="n"/>
      <c r="J1310" s="168">
        <f>IF(AND(N(G1310)&gt;0,N(H1310)+N(I1310)&gt;0),(H1310+I1310)*U1310/G1310,"")</f>
        <v/>
      </c>
      <c r="K1310" s="167" t="n">
        <v>32.99</v>
      </c>
      <c r="L1310" s="167" t="n">
        <v>31.34</v>
      </c>
      <c r="M1310" s="54" t="inlineStr">
        <is>
          <t>Eligible</t>
        </is>
      </c>
      <c r="N1310" s="168">
        <f>IF(OR(J1310="",L1310=""),"",L1310-J1310)</f>
        <v/>
      </c>
      <c r="O1310" s="169">
        <f>IF(OR(J1310="",L1310=""),"",L1310/J1310-1)</f>
        <v/>
      </c>
      <c r="P1310" s="169">
        <f>IF(OR(J1310="",K1310=""),"",K1310/J1310-1)</f>
        <v/>
      </c>
      <c r="Q1310" s="54">
        <f>IF(AND(ISNUMBER(J1310),ISNUMBER(L1310)),1,0)</f>
        <v/>
      </c>
      <c r="R1310" s="69">
        <f>IF(Q1310=1,G1310*L1310,0)</f>
        <v/>
      </c>
      <c r="S1310" s="69">
        <f>IF(Q1310=1,(H1310+I1310)*U1310,0)</f>
        <v/>
      </c>
      <c r="T1310" s="59">
        <f>IF(Q1310=1,G1310,0)</f>
        <v/>
      </c>
      <c r="U1310" s="170" t="n">
        <v>1</v>
      </c>
    </row>
    <row r="1311">
      <c r="A1311" s="54" t="inlineStr">
        <is>
          <t>US SL Cooling Fitted</t>
        </is>
      </c>
      <c r="B1311" s="54" t="inlineStr">
        <is>
          <t>US</t>
        </is>
      </c>
      <c r="C1311" s="54" t="inlineStr">
        <is>
          <t>B0F7M4HC57</t>
        </is>
      </c>
      <c r="D1311" s="54" t="inlineStr">
        <is>
          <t>SL-COOLING-FITTED-TWIN-COOL-GREY</t>
        </is>
      </c>
      <c r="E1311" s="54" t="inlineStr">
        <is>
          <t>Twin</t>
        </is>
      </c>
      <c r="F1311" s="54" t="inlineStr">
        <is>
          <t>Cool Grey</t>
        </is>
      </c>
      <c r="G1311" s="55" t="n"/>
      <c r="H1311" s="167" t="n"/>
      <c r="I1311" s="167" t="n"/>
      <c r="J1311" s="168">
        <f>IF(AND(N(G1311)&gt;0,N(H1311)+N(I1311)&gt;0),(H1311+I1311)*U1311/G1311,"")</f>
        <v/>
      </c>
      <c r="K1311" s="167" t="n">
        <v>32.99</v>
      </c>
      <c r="L1311" s="167" t="n">
        <v>31.34</v>
      </c>
      <c r="M1311" s="54" t="inlineStr">
        <is>
          <t>Eligible</t>
        </is>
      </c>
      <c r="N1311" s="168">
        <f>IF(OR(J1311="",L1311=""),"",L1311-J1311)</f>
        <v/>
      </c>
      <c r="O1311" s="169">
        <f>IF(OR(J1311="",L1311=""),"",L1311/J1311-1)</f>
        <v/>
      </c>
      <c r="P1311" s="169">
        <f>IF(OR(J1311="",K1311=""),"",K1311/J1311-1)</f>
        <v/>
      </c>
      <c r="Q1311" s="54">
        <f>IF(AND(ISNUMBER(J1311),ISNUMBER(L1311)),1,0)</f>
        <v/>
      </c>
      <c r="R1311" s="69">
        <f>IF(Q1311=1,G1311*L1311,0)</f>
        <v/>
      </c>
      <c r="S1311" s="69">
        <f>IF(Q1311=1,(H1311+I1311)*U1311,0)</f>
        <v/>
      </c>
      <c r="T1311" s="59">
        <f>IF(Q1311=1,G1311,0)</f>
        <v/>
      </c>
      <c r="U1311" s="170" t="n">
        <v>1</v>
      </c>
    </row>
    <row r="1312">
      <c r="A1312" s="54" t="inlineStr">
        <is>
          <t>US SL Cooling Fitted</t>
        </is>
      </c>
      <c r="B1312" s="54" t="inlineStr">
        <is>
          <t>US</t>
        </is>
      </c>
      <c r="C1312" s="54" t="inlineStr">
        <is>
          <t>B0F7M5ZRB9</t>
        </is>
      </c>
      <c r="D1312" s="54" t="inlineStr">
        <is>
          <t>SL-COOLING-FITTED-TWIN-LIGHT-PINK</t>
        </is>
      </c>
      <c r="E1312" s="54" t="inlineStr">
        <is>
          <t>Twin</t>
        </is>
      </c>
      <c r="F1312" s="54" t="inlineStr">
        <is>
          <t>Light Pink</t>
        </is>
      </c>
      <c r="G1312" s="55" t="n"/>
      <c r="H1312" s="167" t="n"/>
      <c r="I1312" s="167" t="n"/>
      <c r="J1312" s="168">
        <f>IF(AND(N(G1312)&gt;0,N(H1312)+N(I1312)&gt;0),(H1312+I1312)*U1312/G1312,"")</f>
        <v/>
      </c>
      <c r="K1312" s="167" t="n">
        <v>32.99</v>
      </c>
      <c r="L1312" s="167" t="n">
        <v>32.98</v>
      </c>
      <c r="M1312" s="54" t="inlineStr">
        <is>
          <t>Eligible</t>
        </is>
      </c>
      <c r="N1312" s="168">
        <f>IF(OR(J1312="",L1312=""),"",L1312-J1312)</f>
        <v/>
      </c>
      <c r="O1312" s="169">
        <f>IF(OR(J1312="",L1312=""),"",L1312/J1312-1)</f>
        <v/>
      </c>
      <c r="P1312" s="169">
        <f>IF(OR(J1312="",K1312=""),"",K1312/J1312-1)</f>
        <v/>
      </c>
      <c r="Q1312" s="54">
        <f>IF(AND(ISNUMBER(J1312),ISNUMBER(L1312)),1,0)</f>
        <v/>
      </c>
      <c r="R1312" s="69">
        <f>IF(Q1312=1,G1312*L1312,0)</f>
        <v/>
      </c>
      <c r="S1312" s="69">
        <f>IF(Q1312=1,(H1312+I1312)*U1312,0)</f>
        <v/>
      </c>
      <c r="T1312" s="59">
        <f>IF(Q1312=1,G1312,0)</f>
        <v/>
      </c>
      <c r="U1312" s="170" t="n">
        <v>1</v>
      </c>
    </row>
    <row r="1313">
      <c r="A1313" s="54" t="inlineStr">
        <is>
          <t>US SL Cooling Fitted</t>
        </is>
      </c>
      <c r="B1313" s="54" t="inlineStr">
        <is>
          <t>US</t>
        </is>
      </c>
      <c r="C1313" s="54" t="inlineStr">
        <is>
          <t>B0F7M4VHKW</t>
        </is>
      </c>
      <c r="D1313" s="54" t="inlineStr">
        <is>
          <t>SL-COOLING-FITTED-TWIN-MIDNIGHT-BLACK</t>
        </is>
      </c>
      <c r="E1313" s="54" t="inlineStr">
        <is>
          <t>Twin</t>
        </is>
      </c>
      <c r="F1313" s="54" t="inlineStr">
        <is>
          <t>Midnight Black</t>
        </is>
      </c>
      <c r="G1313" s="55" t="n"/>
      <c r="H1313" s="167" t="n"/>
      <c r="I1313" s="167" t="n"/>
      <c r="J1313" s="168">
        <f>IF(AND(N(G1313)&gt;0,N(H1313)+N(I1313)&gt;0),(H1313+I1313)*U1313/G1313,"")</f>
        <v/>
      </c>
      <c r="K1313" s="167" t="n">
        <v>32.99</v>
      </c>
      <c r="L1313" s="167" t="n">
        <v>31.34</v>
      </c>
      <c r="M1313" s="54" t="inlineStr">
        <is>
          <t>Eligible</t>
        </is>
      </c>
      <c r="N1313" s="168">
        <f>IF(OR(J1313="",L1313=""),"",L1313-J1313)</f>
        <v/>
      </c>
      <c r="O1313" s="169">
        <f>IF(OR(J1313="",L1313=""),"",L1313/J1313-1)</f>
        <v/>
      </c>
      <c r="P1313" s="169">
        <f>IF(OR(J1313="",K1313=""),"",K1313/J1313-1)</f>
        <v/>
      </c>
      <c r="Q1313" s="54">
        <f>IF(AND(ISNUMBER(J1313),ISNUMBER(L1313)),1,0)</f>
        <v/>
      </c>
      <c r="R1313" s="69">
        <f>IF(Q1313=1,G1313*L1313,0)</f>
        <v/>
      </c>
      <c r="S1313" s="69">
        <f>IF(Q1313=1,(H1313+I1313)*U1313,0)</f>
        <v/>
      </c>
      <c r="T1313" s="59">
        <f>IF(Q1313=1,G1313,0)</f>
        <v/>
      </c>
      <c r="U1313" s="170" t="n">
        <v>1</v>
      </c>
    </row>
    <row r="1314">
      <c r="A1314" s="54" t="inlineStr">
        <is>
          <t>US SL Cooling Fitted</t>
        </is>
      </c>
      <c r="B1314" s="54" t="inlineStr">
        <is>
          <t>US</t>
        </is>
      </c>
      <c r="C1314" s="54" t="inlineStr">
        <is>
          <t>B0F7M77MRJ</t>
        </is>
      </c>
      <c r="D1314" s="54" t="inlineStr">
        <is>
          <t>SL-COOLING-FITTED-TWIN-WHITE</t>
        </is>
      </c>
      <c r="E1314" s="54" t="inlineStr">
        <is>
          <t>Twin</t>
        </is>
      </c>
      <c r="F1314" s="54" t="inlineStr">
        <is>
          <t>White</t>
        </is>
      </c>
      <c r="G1314" s="55" t="n"/>
      <c r="H1314" s="167" t="n"/>
      <c r="I1314" s="167" t="n"/>
      <c r="J1314" s="168">
        <f>IF(AND(N(G1314)&gt;0,N(H1314)+N(I1314)&gt;0),(H1314+I1314)*U1314/G1314,"")</f>
        <v/>
      </c>
      <c r="K1314" s="167" t="n">
        <v>32.99</v>
      </c>
      <c r="L1314" s="167" t="n">
        <v>26.39</v>
      </c>
      <c r="M1314" s="54" t="inlineStr">
        <is>
          <t>Manual price</t>
        </is>
      </c>
      <c r="N1314" s="168">
        <f>IF(OR(J1314="",L1314=""),"",L1314-J1314)</f>
        <v/>
      </c>
      <c r="O1314" s="169">
        <f>IF(OR(J1314="",L1314=""),"",L1314/J1314-1)</f>
        <v/>
      </c>
      <c r="P1314" s="169">
        <f>IF(OR(J1314="",K1314=""),"",K1314/J1314-1)</f>
        <v/>
      </c>
      <c r="Q1314" s="54">
        <f>IF(AND(ISNUMBER(J1314),ISNUMBER(L1314)),1,0)</f>
        <v/>
      </c>
      <c r="R1314" s="69">
        <f>IF(Q1314=1,G1314*L1314,0)</f>
        <v/>
      </c>
      <c r="S1314" s="69">
        <f>IF(Q1314=1,(H1314+I1314)*U1314,0)</f>
        <v/>
      </c>
      <c r="T1314" s="59">
        <f>IF(Q1314=1,G1314,0)</f>
        <v/>
      </c>
      <c r="U1314" s="170" t="n">
        <v>1</v>
      </c>
    </row>
    <row r="1315">
      <c r="A1315" s="54" t="inlineStr">
        <is>
          <t>US SL Quilt Set</t>
        </is>
      </c>
      <c r="B1315" s="54" t="inlineStr">
        <is>
          <t>US</t>
        </is>
      </c>
      <c r="C1315" s="54" t="inlineStr">
        <is>
          <t>B0FGZF19SN</t>
        </is>
      </c>
      <c r="D1315" s="54" t="inlineStr">
        <is>
          <t>SL-QUILT-SET-KING-BLACK</t>
        </is>
      </c>
      <c r="E1315" s="54" t="inlineStr">
        <is>
          <t>King</t>
        </is>
      </c>
      <c r="F1315" s="54" t="inlineStr">
        <is>
          <t>Black</t>
        </is>
      </c>
      <c r="G1315" s="55" t="n">
        <v>30</v>
      </c>
      <c r="H1315" s="167" t="n">
        <v>869.7</v>
      </c>
      <c r="I1315" s="167" t="n">
        <v>-869.7</v>
      </c>
      <c r="J1315" s="168">
        <f>IF(AND(N(G1315)&gt;0,N(H1315)+N(I1315)&gt;0),(H1315+I1315)*U1315/G1315,"")</f>
        <v/>
      </c>
      <c r="K1315" s="167" t="n">
        <v>44.99</v>
      </c>
      <c r="L1315" s="167" t="n"/>
      <c r="M1315" s="54" t="inlineStr">
        <is>
          <t>Out of stock</t>
        </is>
      </c>
      <c r="N1315" s="168">
        <f>IF(OR(J1315="",L1315=""),"",L1315-J1315)</f>
        <v/>
      </c>
      <c r="O1315" s="169">
        <f>IF(OR(J1315="",L1315=""),"",L1315/J1315-1)</f>
        <v/>
      </c>
      <c r="P1315" s="169">
        <f>IF(OR(J1315="",K1315=""),"",K1315/J1315-1)</f>
        <v/>
      </c>
      <c r="Q1315" s="54">
        <f>IF(AND(ISNUMBER(J1315),ISNUMBER(L1315)),1,0)</f>
        <v/>
      </c>
      <c r="R1315" s="69">
        <f>IF(Q1315=1,G1315*L1315,0)</f>
        <v/>
      </c>
      <c r="S1315" s="69">
        <f>IF(Q1315=1,(H1315+I1315)*U1315,0)</f>
        <v/>
      </c>
      <c r="T1315" s="59">
        <f>IF(Q1315=1,G1315,0)</f>
        <v/>
      </c>
      <c r="U1315" s="170" t="n">
        <v>1</v>
      </c>
    </row>
    <row r="1316">
      <c r="A1316" s="54" t="inlineStr">
        <is>
          <t>US SL Quilt Set</t>
        </is>
      </c>
      <c r="B1316" s="54" t="inlineStr">
        <is>
          <t>US</t>
        </is>
      </c>
      <c r="C1316" s="54" t="inlineStr">
        <is>
          <t>B0FGZ6PCS1</t>
        </is>
      </c>
      <c r="D1316" s="54" t="inlineStr">
        <is>
          <t>SL-QUILT-SET-KING-LIGHT-GREY</t>
        </is>
      </c>
      <c r="E1316" s="54" t="inlineStr">
        <is>
          <t>King</t>
        </is>
      </c>
      <c r="F1316" s="54" t="inlineStr">
        <is>
          <t>Light Grey</t>
        </is>
      </c>
      <c r="G1316" s="55" t="n">
        <v>10</v>
      </c>
      <c r="H1316" s="167" t="n">
        <v>289.9</v>
      </c>
      <c r="I1316" s="167" t="n">
        <v>-289.9</v>
      </c>
      <c r="J1316" s="168">
        <f>IF(AND(N(G1316)&gt;0,N(H1316)+N(I1316)&gt;0),(H1316+I1316)*U1316/G1316,"")</f>
        <v/>
      </c>
      <c r="K1316" s="167" t="n">
        <v>44.99</v>
      </c>
      <c r="L1316" s="167" t="n"/>
      <c r="M1316" s="54" t="inlineStr">
        <is>
          <t>Out of stock</t>
        </is>
      </c>
      <c r="N1316" s="168">
        <f>IF(OR(J1316="",L1316=""),"",L1316-J1316)</f>
        <v/>
      </c>
      <c r="O1316" s="169">
        <f>IF(OR(J1316="",L1316=""),"",L1316/J1316-1)</f>
        <v/>
      </c>
      <c r="P1316" s="169">
        <f>IF(OR(J1316="",K1316=""),"",K1316/J1316-1)</f>
        <v/>
      </c>
      <c r="Q1316" s="54">
        <f>IF(AND(ISNUMBER(J1316),ISNUMBER(L1316)),1,0)</f>
        <v/>
      </c>
      <c r="R1316" s="69">
        <f>IF(Q1316=1,G1316*L1316,0)</f>
        <v/>
      </c>
      <c r="S1316" s="69">
        <f>IF(Q1316=1,(H1316+I1316)*U1316,0)</f>
        <v/>
      </c>
      <c r="T1316" s="59">
        <f>IF(Q1316=1,G1316,0)</f>
        <v/>
      </c>
      <c r="U1316" s="170" t="n">
        <v>1</v>
      </c>
    </row>
    <row r="1317">
      <c r="A1317" s="54" t="inlineStr">
        <is>
          <t>US SL Quilt Set</t>
        </is>
      </c>
      <c r="B1317" s="54" t="inlineStr">
        <is>
          <t>US</t>
        </is>
      </c>
      <c r="C1317" s="54" t="inlineStr">
        <is>
          <t>B0FGZZRZML</t>
        </is>
      </c>
      <c r="D1317" s="54" t="inlineStr">
        <is>
          <t>SL-QUILT-SET-QUEEN-SAGE-GREEN</t>
        </is>
      </c>
      <c r="E1317" s="54" t="inlineStr">
        <is>
          <t>Queen</t>
        </is>
      </c>
      <c r="F1317" s="54" t="inlineStr">
        <is>
          <t>Sage Green</t>
        </is>
      </c>
      <c r="G1317" s="55" t="n">
        <v>1</v>
      </c>
      <c r="H1317" s="167" t="n">
        <v>26.99</v>
      </c>
      <c r="I1317" s="167" t="n">
        <v>0</v>
      </c>
      <c r="J1317" s="168">
        <f>IF(AND(N(G1317)&gt;0,N(H1317)+N(I1317)&gt;0),(H1317+I1317)*U1317/G1317,"")</f>
        <v/>
      </c>
      <c r="K1317" s="167" t="n">
        <v>41.99</v>
      </c>
      <c r="L1317" s="167" t="n"/>
      <c r="M1317" s="54" t="inlineStr">
        <is>
          <t>Out of stock</t>
        </is>
      </c>
      <c r="N1317" s="168">
        <f>IF(OR(J1317="",L1317=""),"",L1317-J1317)</f>
        <v/>
      </c>
      <c r="O1317" s="169">
        <f>IF(OR(J1317="",L1317=""),"",L1317/J1317-1)</f>
        <v/>
      </c>
      <c r="P1317" s="169">
        <f>IF(OR(J1317="",K1317=""),"",K1317/J1317-1)</f>
        <v/>
      </c>
      <c r="Q1317" s="54">
        <f>IF(AND(ISNUMBER(J1317),ISNUMBER(L1317)),1,0)</f>
        <v/>
      </c>
      <c r="R1317" s="69">
        <f>IF(Q1317=1,G1317*L1317,0)</f>
        <v/>
      </c>
      <c r="S1317" s="69">
        <f>IF(Q1317=1,(H1317+I1317)*U1317,0)</f>
        <v/>
      </c>
      <c r="T1317" s="59">
        <f>IF(Q1317=1,G1317,0)</f>
        <v/>
      </c>
      <c r="U1317" s="170" t="n">
        <v>1</v>
      </c>
    </row>
    <row r="1318">
      <c r="A1318" s="54" t="inlineStr">
        <is>
          <t>US SL Quilt Set</t>
        </is>
      </c>
      <c r="B1318" s="54" t="inlineStr">
        <is>
          <t>US</t>
        </is>
      </c>
      <c r="C1318" s="54" t="inlineStr">
        <is>
          <t>B0FGZQDBY6</t>
        </is>
      </c>
      <c r="D1318" s="54" t="inlineStr">
        <is>
          <t>SL-QUILT-SET-KING-IVORY</t>
        </is>
      </c>
      <c r="E1318" s="54" t="inlineStr">
        <is>
          <t>King</t>
        </is>
      </c>
      <c r="F1318" s="54" t="inlineStr">
        <is>
          <t>Ivory</t>
        </is>
      </c>
      <c r="G1318" s="55" t="n">
        <v>0</v>
      </c>
      <c r="H1318" s="167" t="n"/>
      <c r="I1318" s="167" t="n"/>
      <c r="J1318" s="168">
        <f>IF(AND(N(G1318)&gt;0,N(H1318)+N(I1318)&gt;0),(H1318+I1318)*U1318/G1318,"")</f>
        <v/>
      </c>
      <c r="K1318" s="167" t="n">
        <v>44.99</v>
      </c>
      <c r="L1318" s="167" t="n">
        <v>39.98</v>
      </c>
      <c r="M1318" s="54" t="inlineStr">
        <is>
          <t>Eligible</t>
        </is>
      </c>
      <c r="N1318" s="168">
        <f>IF(OR(J1318="",L1318=""),"",L1318-J1318)</f>
        <v/>
      </c>
      <c r="O1318" s="169">
        <f>IF(OR(J1318="",L1318=""),"",L1318/J1318-1)</f>
        <v/>
      </c>
      <c r="P1318" s="169">
        <f>IF(OR(J1318="",K1318=""),"",K1318/J1318-1)</f>
        <v/>
      </c>
      <c r="Q1318" s="54">
        <f>IF(AND(ISNUMBER(J1318),ISNUMBER(L1318)),1,0)</f>
        <v/>
      </c>
      <c r="R1318" s="69">
        <f>IF(Q1318=1,G1318*L1318,0)</f>
        <v/>
      </c>
      <c r="S1318" s="69">
        <f>IF(Q1318=1,(H1318+I1318)*U1318,0)</f>
        <v/>
      </c>
      <c r="T1318" s="59">
        <f>IF(Q1318=1,G1318,0)</f>
        <v/>
      </c>
      <c r="U1318" s="170" t="n">
        <v>1</v>
      </c>
    </row>
    <row r="1319">
      <c r="A1319" s="54" t="inlineStr">
        <is>
          <t>US SL Quilt Set</t>
        </is>
      </c>
      <c r="B1319" s="54" t="inlineStr">
        <is>
          <t>US</t>
        </is>
      </c>
      <c r="C1319" s="54" t="inlineStr">
        <is>
          <t>B0FGZDYS73</t>
        </is>
      </c>
      <c r="D1319" s="54" t="inlineStr">
        <is>
          <t>SL-QUILT-SET-KING-SAGE-GREEN</t>
        </is>
      </c>
      <c r="E1319" s="54" t="inlineStr">
        <is>
          <t>King</t>
        </is>
      </c>
      <c r="F1319" s="54" t="inlineStr">
        <is>
          <t>Sage Green</t>
        </is>
      </c>
      <c r="G1319" s="55" t="n">
        <v>0</v>
      </c>
      <c r="H1319" s="167" t="n"/>
      <c r="I1319" s="167" t="n"/>
      <c r="J1319" s="168">
        <f>IF(AND(N(G1319)&gt;0,N(H1319)+N(I1319)&gt;0),(H1319+I1319)*U1319/G1319,"")</f>
        <v/>
      </c>
      <c r="K1319" s="167" t="n">
        <v>44.99</v>
      </c>
      <c r="L1319" s="167" t="n">
        <v>33.14</v>
      </c>
      <c r="M1319" s="54" t="inlineStr">
        <is>
          <t>Eligible</t>
        </is>
      </c>
      <c r="N1319" s="168">
        <f>IF(OR(J1319="",L1319=""),"",L1319-J1319)</f>
        <v/>
      </c>
      <c r="O1319" s="169">
        <f>IF(OR(J1319="",L1319=""),"",L1319/J1319-1)</f>
        <v/>
      </c>
      <c r="P1319" s="169">
        <f>IF(OR(J1319="",K1319=""),"",K1319/J1319-1)</f>
        <v/>
      </c>
      <c r="Q1319" s="54">
        <f>IF(AND(ISNUMBER(J1319),ISNUMBER(L1319)),1,0)</f>
        <v/>
      </c>
      <c r="R1319" s="69">
        <f>IF(Q1319=1,G1319*L1319,0)</f>
        <v/>
      </c>
      <c r="S1319" s="69">
        <f>IF(Q1319=1,(H1319+I1319)*U1319,0)</f>
        <v/>
      </c>
      <c r="T1319" s="59">
        <f>IF(Q1319=1,G1319,0)</f>
        <v/>
      </c>
      <c r="U1319" s="170" t="n">
        <v>1</v>
      </c>
    </row>
    <row r="1320">
      <c r="A1320" s="54" t="inlineStr">
        <is>
          <t>US SL Quilt Set</t>
        </is>
      </c>
      <c r="B1320" s="54" t="inlineStr">
        <is>
          <t>US</t>
        </is>
      </c>
      <c r="C1320" s="54" t="inlineStr">
        <is>
          <t>B0FGZH4DM7</t>
        </is>
      </c>
      <c r="D1320" s="54" t="inlineStr">
        <is>
          <t>SL-QUILT-SET-KING-TAUPE</t>
        </is>
      </c>
      <c r="E1320" s="54" t="inlineStr">
        <is>
          <t>King</t>
        </is>
      </c>
      <c r="F1320" s="54" t="inlineStr">
        <is>
          <t>Taupe</t>
        </is>
      </c>
      <c r="G1320" s="55" t="n">
        <v>0</v>
      </c>
      <c r="H1320" s="167" t="n"/>
      <c r="I1320" s="167" t="n"/>
      <c r="J1320" s="168">
        <f>IF(AND(N(G1320)&gt;0,N(H1320)+N(I1320)&gt;0),(H1320+I1320)*U1320/G1320,"")</f>
        <v/>
      </c>
      <c r="K1320" s="167" t="n">
        <v>44.99</v>
      </c>
      <c r="L1320" s="167" t="n">
        <v>39.98</v>
      </c>
      <c r="M1320" s="54" t="inlineStr">
        <is>
          <t>Eligible</t>
        </is>
      </c>
      <c r="N1320" s="168">
        <f>IF(OR(J1320="",L1320=""),"",L1320-J1320)</f>
        <v/>
      </c>
      <c r="O1320" s="169">
        <f>IF(OR(J1320="",L1320=""),"",L1320/J1320-1)</f>
        <v/>
      </c>
      <c r="P1320" s="169">
        <f>IF(OR(J1320="",K1320=""),"",K1320/J1320-1)</f>
        <v/>
      </c>
      <c r="Q1320" s="54">
        <f>IF(AND(ISNUMBER(J1320),ISNUMBER(L1320)),1,0)</f>
        <v/>
      </c>
      <c r="R1320" s="69">
        <f>IF(Q1320=1,G1320*L1320,0)</f>
        <v/>
      </c>
      <c r="S1320" s="69">
        <f>IF(Q1320=1,(H1320+I1320)*U1320,0)</f>
        <v/>
      </c>
      <c r="T1320" s="59">
        <f>IF(Q1320=1,G1320,0)</f>
        <v/>
      </c>
      <c r="U1320" s="170" t="n">
        <v>1</v>
      </c>
    </row>
    <row r="1321">
      <c r="A1321" s="54" t="inlineStr">
        <is>
          <t>US SL Quilt Set</t>
        </is>
      </c>
      <c r="B1321" s="54" t="inlineStr">
        <is>
          <t>US</t>
        </is>
      </c>
      <c r="C1321" s="54" t="inlineStr">
        <is>
          <t>B0FGZVN26F</t>
        </is>
      </c>
      <c r="D1321" s="54" t="inlineStr">
        <is>
          <t>SL-QUILT-SET-KING-WHITE</t>
        </is>
      </c>
      <c r="E1321" s="54" t="inlineStr">
        <is>
          <t>King</t>
        </is>
      </c>
      <c r="F1321" s="54" t="inlineStr">
        <is>
          <t>White</t>
        </is>
      </c>
      <c r="G1321" s="55" t="n">
        <v>0</v>
      </c>
      <c r="H1321" s="167" t="n"/>
      <c r="I1321" s="167" t="n"/>
      <c r="J1321" s="168">
        <f>IF(AND(N(G1321)&gt;0,N(H1321)+N(I1321)&gt;0),(H1321+I1321)*U1321/G1321,"")</f>
        <v/>
      </c>
      <c r="K1321" s="167" t="n">
        <v>43.99</v>
      </c>
      <c r="L1321" s="167" t="n">
        <v>29.83</v>
      </c>
      <c r="M1321" s="54" t="inlineStr">
        <is>
          <t>Eligible</t>
        </is>
      </c>
      <c r="N1321" s="168">
        <f>IF(OR(J1321="",L1321=""),"",L1321-J1321)</f>
        <v/>
      </c>
      <c r="O1321" s="169">
        <f>IF(OR(J1321="",L1321=""),"",L1321/J1321-1)</f>
        <v/>
      </c>
      <c r="P1321" s="169">
        <f>IF(OR(J1321="",K1321=""),"",K1321/J1321-1)</f>
        <v/>
      </c>
      <c r="Q1321" s="54">
        <f>IF(AND(ISNUMBER(J1321),ISNUMBER(L1321)),1,0)</f>
        <v/>
      </c>
      <c r="R1321" s="69">
        <f>IF(Q1321=1,G1321*L1321,0)</f>
        <v/>
      </c>
      <c r="S1321" s="69">
        <f>IF(Q1321=1,(H1321+I1321)*U1321,0)</f>
        <v/>
      </c>
      <c r="T1321" s="59">
        <f>IF(Q1321=1,G1321,0)</f>
        <v/>
      </c>
      <c r="U1321" s="170" t="n">
        <v>1</v>
      </c>
    </row>
    <row r="1322">
      <c r="A1322" s="54" t="inlineStr">
        <is>
          <t>US SL Quilt Set</t>
        </is>
      </c>
      <c r="B1322" s="54" t="inlineStr">
        <is>
          <t>US</t>
        </is>
      </c>
      <c r="C1322" s="54" t="inlineStr">
        <is>
          <t>B0FGZDR11L</t>
        </is>
      </c>
      <c r="D1322" s="54" t="inlineStr">
        <is>
          <t>SL-QUILT-SET-QUEEN-IVORY</t>
        </is>
      </c>
      <c r="E1322" s="54" t="inlineStr">
        <is>
          <t>Queen</t>
        </is>
      </c>
      <c r="F1322" s="54" t="inlineStr">
        <is>
          <t>Ivory</t>
        </is>
      </c>
      <c r="G1322" s="55" t="n">
        <v>0</v>
      </c>
      <c r="H1322" s="167" t="n"/>
      <c r="I1322" s="167" t="n"/>
      <c r="J1322" s="168">
        <f>IF(AND(N(G1322)&gt;0,N(H1322)+N(I1322)&gt;0),(H1322+I1322)*U1322/G1322,"")</f>
        <v/>
      </c>
      <c r="K1322" s="167" t="n">
        <v>41.99</v>
      </c>
      <c r="L1322" s="167" t="n">
        <v>24.64</v>
      </c>
      <c r="M1322" s="54" t="inlineStr">
        <is>
          <t>Eligible</t>
        </is>
      </c>
      <c r="N1322" s="168">
        <f>IF(OR(J1322="",L1322=""),"",L1322-J1322)</f>
        <v/>
      </c>
      <c r="O1322" s="169">
        <f>IF(OR(J1322="",L1322=""),"",L1322/J1322-1)</f>
        <v/>
      </c>
      <c r="P1322" s="169">
        <f>IF(OR(J1322="",K1322=""),"",K1322/J1322-1)</f>
        <v/>
      </c>
      <c r="Q1322" s="54">
        <f>IF(AND(ISNUMBER(J1322),ISNUMBER(L1322)),1,0)</f>
        <v/>
      </c>
      <c r="R1322" s="69">
        <f>IF(Q1322=1,G1322*L1322,0)</f>
        <v/>
      </c>
      <c r="S1322" s="69">
        <f>IF(Q1322=1,(H1322+I1322)*U1322,0)</f>
        <v/>
      </c>
      <c r="T1322" s="59">
        <f>IF(Q1322=1,G1322,0)</f>
        <v/>
      </c>
      <c r="U1322" s="170" t="n">
        <v>1</v>
      </c>
    </row>
    <row r="1323">
      <c r="A1323" s="54" t="inlineStr">
        <is>
          <t>US SL Quilt Set</t>
        </is>
      </c>
      <c r="B1323" s="54" t="inlineStr">
        <is>
          <t>US</t>
        </is>
      </c>
      <c r="C1323" s="54" t="inlineStr">
        <is>
          <t>B0FGZQ1HTL</t>
        </is>
      </c>
      <c r="D1323" s="54" t="inlineStr">
        <is>
          <t>SL-QUILT-SET-QUEEN-NAVY-BLUE</t>
        </is>
      </c>
      <c r="E1323" s="54" t="inlineStr">
        <is>
          <t>Queen</t>
        </is>
      </c>
      <c r="F1323" s="54" t="inlineStr">
        <is>
          <t>Navy Blue</t>
        </is>
      </c>
      <c r="G1323" s="55" t="n">
        <v>0</v>
      </c>
      <c r="H1323" s="167" t="n"/>
      <c r="I1323" s="167" t="n"/>
      <c r="J1323" s="168">
        <f>IF(AND(N(G1323)&gt;0,N(H1323)+N(I1323)&gt;0),(H1323+I1323)*U1323/G1323,"")</f>
        <v/>
      </c>
      <c r="K1323" s="167" t="n">
        <v>41.99</v>
      </c>
      <c r="L1323" s="167" t="n">
        <v>35.69</v>
      </c>
      <c r="M1323" s="54" t="inlineStr">
        <is>
          <t>Eligible</t>
        </is>
      </c>
      <c r="N1323" s="168">
        <f>IF(OR(J1323="",L1323=""),"",L1323-J1323)</f>
        <v/>
      </c>
      <c r="O1323" s="169">
        <f>IF(OR(J1323="",L1323=""),"",L1323/J1323-1)</f>
        <v/>
      </c>
      <c r="P1323" s="169">
        <f>IF(OR(J1323="",K1323=""),"",K1323/J1323-1)</f>
        <v/>
      </c>
      <c r="Q1323" s="54">
        <f>IF(AND(ISNUMBER(J1323),ISNUMBER(L1323)),1,0)</f>
        <v/>
      </c>
      <c r="R1323" s="69">
        <f>IF(Q1323=1,G1323*L1323,0)</f>
        <v/>
      </c>
      <c r="S1323" s="69">
        <f>IF(Q1323=1,(H1323+I1323)*U1323,0)</f>
        <v/>
      </c>
      <c r="T1323" s="59">
        <f>IF(Q1323=1,G1323,0)</f>
        <v/>
      </c>
      <c r="U1323" s="170" t="n">
        <v>1</v>
      </c>
    </row>
    <row r="1324">
      <c r="A1324" s="54" t="inlineStr">
        <is>
          <t>US SL Quilt Set</t>
        </is>
      </c>
      <c r="B1324" s="54" t="inlineStr">
        <is>
          <t>US</t>
        </is>
      </c>
      <c r="C1324" s="54" t="inlineStr">
        <is>
          <t>B0FGZMX1XV</t>
        </is>
      </c>
      <c r="D1324" s="54" t="inlineStr">
        <is>
          <t>SL-QUILT-SET-TWIN-BLACK</t>
        </is>
      </c>
      <c r="E1324" s="54" t="inlineStr">
        <is>
          <t>Twin</t>
        </is>
      </c>
      <c r="F1324" s="54" t="inlineStr">
        <is>
          <t>Black</t>
        </is>
      </c>
      <c r="G1324" s="55" t="n"/>
      <c r="H1324" s="167" t="n"/>
      <c r="I1324" s="167" t="n"/>
      <c r="J1324" s="168">
        <f>IF(AND(N(G1324)&gt;0,N(H1324)+N(I1324)&gt;0),(H1324+I1324)*U1324/G1324,"")</f>
        <v/>
      </c>
      <c r="K1324" s="167" t="n">
        <v>38.99</v>
      </c>
      <c r="L1324" s="167" t="n">
        <v>28.89</v>
      </c>
      <c r="M1324" s="54" t="inlineStr">
        <is>
          <t>Eligible</t>
        </is>
      </c>
      <c r="N1324" s="168">
        <f>IF(OR(J1324="",L1324=""),"",L1324-J1324)</f>
        <v/>
      </c>
      <c r="O1324" s="169">
        <f>IF(OR(J1324="",L1324=""),"",L1324/J1324-1)</f>
        <v/>
      </c>
      <c r="P1324" s="169">
        <f>IF(OR(J1324="",K1324=""),"",K1324/J1324-1)</f>
        <v/>
      </c>
      <c r="Q1324" s="54">
        <f>IF(AND(ISNUMBER(J1324),ISNUMBER(L1324)),1,0)</f>
        <v/>
      </c>
      <c r="R1324" s="69">
        <f>IF(Q1324=1,G1324*L1324,0)</f>
        <v/>
      </c>
      <c r="S1324" s="69">
        <f>IF(Q1324=1,(H1324+I1324)*U1324,0)</f>
        <v/>
      </c>
      <c r="T1324" s="59">
        <f>IF(Q1324=1,G1324,0)</f>
        <v/>
      </c>
      <c r="U1324" s="170" t="n">
        <v>1</v>
      </c>
    </row>
    <row r="1325">
      <c r="A1325" s="54" t="inlineStr">
        <is>
          <t>US SL Quilt Set</t>
        </is>
      </c>
      <c r="B1325" s="54" t="inlineStr">
        <is>
          <t>US</t>
        </is>
      </c>
      <c r="C1325" s="54" t="inlineStr">
        <is>
          <t>B0FGZXM8LZ</t>
        </is>
      </c>
      <c r="D1325" s="54" t="inlineStr">
        <is>
          <t>SL-QUILT-SET-TWIN-IVORY</t>
        </is>
      </c>
      <c r="E1325" s="54" t="inlineStr">
        <is>
          <t>Twin</t>
        </is>
      </c>
      <c r="F1325" s="54" t="inlineStr">
        <is>
          <t>Ivory</t>
        </is>
      </c>
      <c r="G1325" s="55" t="n"/>
      <c r="H1325" s="167" t="n"/>
      <c r="I1325" s="167" t="n"/>
      <c r="J1325" s="168">
        <f>IF(AND(N(G1325)&gt;0,N(H1325)+N(I1325)&gt;0),(H1325+I1325)*U1325/G1325,"")</f>
        <v/>
      </c>
      <c r="K1325" s="167" t="n">
        <v>38.99</v>
      </c>
      <c r="L1325" s="167" t="n">
        <v>26</v>
      </c>
      <c r="M1325" s="54" t="inlineStr">
        <is>
          <t>Eligible</t>
        </is>
      </c>
      <c r="N1325" s="168">
        <f>IF(OR(J1325="",L1325=""),"",L1325-J1325)</f>
        <v/>
      </c>
      <c r="O1325" s="169">
        <f>IF(OR(J1325="",L1325=""),"",L1325/J1325-1)</f>
        <v/>
      </c>
      <c r="P1325" s="169">
        <f>IF(OR(J1325="",K1325=""),"",K1325/J1325-1)</f>
        <v/>
      </c>
      <c r="Q1325" s="54">
        <f>IF(AND(ISNUMBER(J1325),ISNUMBER(L1325)),1,0)</f>
        <v/>
      </c>
      <c r="R1325" s="69">
        <f>IF(Q1325=1,G1325*L1325,0)</f>
        <v/>
      </c>
      <c r="S1325" s="69">
        <f>IF(Q1325=1,(H1325+I1325)*U1325,0)</f>
        <v/>
      </c>
      <c r="T1325" s="59">
        <f>IF(Q1325=1,G1325,0)</f>
        <v/>
      </c>
      <c r="U1325" s="170" t="n">
        <v>1</v>
      </c>
    </row>
    <row r="1326">
      <c r="A1326" s="54" t="inlineStr">
        <is>
          <t>US SL Quilt Set</t>
        </is>
      </c>
      <c r="B1326" s="54" t="inlineStr">
        <is>
          <t>US</t>
        </is>
      </c>
      <c r="C1326" s="54" t="inlineStr">
        <is>
          <t>B0FGZNP934</t>
        </is>
      </c>
      <c r="D1326" s="54" t="inlineStr">
        <is>
          <t>SL-QUILT-SET-TWIN-LIGHT-GREY</t>
        </is>
      </c>
      <c r="E1326" s="54" t="inlineStr">
        <is>
          <t>Twin</t>
        </is>
      </c>
      <c r="F1326" s="54" t="inlineStr">
        <is>
          <t>Light Grey</t>
        </is>
      </c>
      <c r="G1326" s="55" t="n">
        <v>0</v>
      </c>
      <c r="H1326" s="167" t="n"/>
      <c r="I1326" s="167" t="n"/>
      <c r="J1326" s="168">
        <f>IF(AND(N(G1326)&gt;0,N(H1326)+N(I1326)&gt;0),(H1326+I1326)*U1326/G1326,"")</f>
        <v/>
      </c>
      <c r="K1326" s="167" t="n">
        <v>38.99</v>
      </c>
      <c r="L1326" s="167" t="n">
        <v>26</v>
      </c>
      <c r="M1326" s="54" t="inlineStr">
        <is>
          <t>Eligible</t>
        </is>
      </c>
      <c r="N1326" s="168">
        <f>IF(OR(J1326="",L1326=""),"",L1326-J1326)</f>
        <v/>
      </c>
      <c r="O1326" s="169">
        <f>IF(OR(J1326="",L1326=""),"",L1326/J1326-1)</f>
        <v/>
      </c>
      <c r="P1326" s="169">
        <f>IF(OR(J1326="",K1326=""),"",K1326/J1326-1)</f>
        <v/>
      </c>
      <c r="Q1326" s="54">
        <f>IF(AND(ISNUMBER(J1326),ISNUMBER(L1326)),1,0)</f>
        <v/>
      </c>
      <c r="R1326" s="69">
        <f>IF(Q1326=1,G1326*L1326,0)</f>
        <v/>
      </c>
      <c r="S1326" s="69">
        <f>IF(Q1326=1,(H1326+I1326)*U1326,0)</f>
        <v/>
      </c>
      <c r="T1326" s="59">
        <f>IF(Q1326=1,G1326,0)</f>
        <v/>
      </c>
      <c r="U1326" s="170" t="n">
        <v>1</v>
      </c>
    </row>
    <row r="1327">
      <c r="A1327" s="54" t="inlineStr">
        <is>
          <t>US SL Quilt Set</t>
        </is>
      </c>
      <c r="B1327" s="54" t="inlineStr">
        <is>
          <t>US</t>
        </is>
      </c>
      <c r="C1327" s="54" t="inlineStr">
        <is>
          <t>B0FGZLYL5C</t>
        </is>
      </c>
      <c r="D1327" s="54" t="inlineStr">
        <is>
          <t>SL-QUILT-SET-TWIN-TAUPE</t>
        </is>
      </c>
      <c r="E1327" s="54" t="inlineStr">
        <is>
          <t>Twin</t>
        </is>
      </c>
      <c r="F1327" s="54" t="inlineStr">
        <is>
          <t>Taupe</t>
        </is>
      </c>
      <c r="G1327" s="55" t="n">
        <v>0</v>
      </c>
      <c r="H1327" s="167" t="n"/>
      <c r="I1327" s="167" t="n"/>
      <c r="J1327" s="168">
        <f>IF(AND(N(G1327)&gt;0,N(H1327)+N(I1327)&gt;0),(H1327+I1327)*U1327/G1327,"")</f>
        <v/>
      </c>
      <c r="K1327" s="167" t="n">
        <v>38.99</v>
      </c>
      <c r="L1327" s="167" t="n">
        <v>38.99</v>
      </c>
      <c r="M1327" s="54" t="inlineStr">
        <is>
          <t>Eligible</t>
        </is>
      </c>
      <c r="N1327" s="168">
        <f>IF(OR(J1327="",L1327=""),"",L1327-J1327)</f>
        <v/>
      </c>
      <c r="O1327" s="169">
        <f>IF(OR(J1327="",L1327=""),"",L1327/J1327-1)</f>
        <v/>
      </c>
      <c r="P1327" s="169">
        <f>IF(OR(J1327="",K1327=""),"",K1327/J1327-1)</f>
        <v/>
      </c>
      <c r="Q1327" s="54">
        <f>IF(AND(ISNUMBER(J1327),ISNUMBER(L1327)),1,0)</f>
        <v/>
      </c>
      <c r="R1327" s="69">
        <f>IF(Q1327=1,G1327*L1327,0)</f>
        <v/>
      </c>
      <c r="S1327" s="69">
        <f>IF(Q1327=1,(H1327+I1327)*U1327,0)</f>
        <v/>
      </c>
      <c r="T1327" s="59">
        <f>IF(Q1327=1,G1327,0)</f>
        <v/>
      </c>
      <c r="U1327" s="170" t="n">
        <v>1</v>
      </c>
    </row>
    <row r="1328">
      <c r="A1328" s="54" t="inlineStr">
        <is>
          <t>US DC Linen Curtains</t>
        </is>
      </c>
      <c r="B1328" s="54" t="inlineStr">
        <is>
          <t>US</t>
        </is>
      </c>
      <c r="C1328" s="54" t="inlineStr">
        <is>
          <t>B0F6371Q67</t>
        </is>
      </c>
      <c r="D1328" s="54" t="inlineStr">
        <is>
          <t>LINEN-CURTAIN-52x108-BEIGE-2-PCS</t>
        </is>
      </c>
      <c r="E1328" s="54" t="inlineStr">
        <is>
          <t>52x108</t>
        </is>
      </c>
      <c r="F1328" s="54" t="inlineStr">
        <is>
          <t>Beige</t>
        </is>
      </c>
      <c r="G1328" s="55" t="n"/>
      <c r="H1328" s="167" t="n"/>
      <c r="I1328" s="167" t="n"/>
      <c r="J1328" s="168">
        <f>IF(AND(N(G1328)&gt;0,N(H1328)+N(I1328)&gt;0),(H1328+I1328)*U1328/G1328,"")</f>
        <v/>
      </c>
      <c r="K1328" s="167" t="n">
        <v>34.99</v>
      </c>
      <c r="L1328" s="167" t="n">
        <v>34.99</v>
      </c>
      <c r="M1328" s="54" t="inlineStr">
        <is>
          <t>Eligible</t>
        </is>
      </c>
      <c r="N1328" s="168">
        <f>IF(OR(J1328="",L1328=""),"",L1328-J1328)</f>
        <v/>
      </c>
      <c r="O1328" s="169">
        <f>IF(OR(J1328="",L1328=""),"",L1328/J1328-1)</f>
        <v/>
      </c>
      <c r="P1328" s="169">
        <f>IF(OR(J1328="",K1328=""),"",K1328/J1328-1)</f>
        <v/>
      </c>
      <c r="Q1328" s="54">
        <f>IF(AND(ISNUMBER(J1328),ISNUMBER(L1328)),1,0)</f>
        <v/>
      </c>
      <c r="R1328" s="69">
        <f>IF(Q1328=1,G1328*L1328,0)</f>
        <v/>
      </c>
      <c r="S1328" s="69">
        <f>IF(Q1328=1,(H1328+I1328)*U1328,0)</f>
        <v/>
      </c>
      <c r="T1328" s="59">
        <f>IF(Q1328=1,G1328,0)</f>
        <v/>
      </c>
      <c r="U1328" s="170" t="n">
        <v>1</v>
      </c>
    </row>
    <row r="1329">
      <c r="A1329" s="54" t="inlineStr">
        <is>
          <t>US DC Linen Curtains</t>
        </is>
      </c>
      <c r="B1329" s="54" t="inlineStr">
        <is>
          <t>US</t>
        </is>
      </c>
      <c r="C1329" s="54" t="inlineStr">
        <is>
          <t>B0F63C8HL2</t>
        </is>
      </c>
      <c r="D1329" s="54" t="inlineStr">
        <is>
          <t>LINEN-CURTAIN-52x108-IVORY-2-PCS</t>
        </is>
      </c>
      <c r="E1329" s="54" t="inlineStr">
        <is>
          <t>52x108</t>
        </is>
      </c>
      <c r="F1329" s="54" t="inlineStr">
        <is>
          <t>Ivory</t>
        </is>
      </c>
      <c r="G1329" s="55" t="n"/>
      <c r="H1329" s="167" t="n"/>
      <c r="I1329" s="167" t="n"/>
      <c r="J1329" s="168">
        <f>IF(AND(N(G1329)&gt;0,N(H1329)+N(I1329)&gt;0),(H1329+I1329)*U1329/G1329,"")</f>
        <v/>
      </c>
      <c r="K1329" s="167" t="n">
        <v>34.99</v>
      </c>
      <c r="L1329" s="167" t="n">
        <v>33.24</v>
      </c>
      <c r="M1329" s="54" t="inlineStr">
        <is>
          <t>Eligible</t>
        </is>
      </c>
      <c r="N1329" s="168">
        <f>IF(OR(J1329="",L1329=""),"",L1329-J1329)</f>
        <v/>
      </c>
      <c r="O1329" s="169">
        <f>IF(OR(J1329="",L1329=""),"",L1329/J1329-1)</f>
        <v/>
      </c>
      <c r="P1329" s="169">
        <f>IF(OR(J1329="",K1329=""),"",K1329/J1329-1)</f>
        <v/>
      </c>
      <c r="Q1329" s="54">
        <f>IF(AND(ISNUMBER(J1329),ISNUMBER(L1329)),1,0)</f>
        <v/>
      </c>
      <c r="R1329" s="69">
        <f>IF(Q1329=1,G1329*L1329,0)</f>
        <v/>
      </c>
      <c r="S1329" s="69">
        <f>IF(Q1329=1,(H1329+I1329)*U1329,0)</f>
        <v/>
      </c>
      <c r="T1329" s="59">
        <f>IF(Q1329=1,G1329,0)</f>
        <v/>
      </c>
      <c r="U1329" s="170" t="n">
        <v>1</v>
      </c>
    </row>
    <row r="1330">
      <c r="A1330" s="54" t="inlineStr">
        <is>
          <t>US DC Linen Curtains</t>
        </is>
      </c>
      <c r="B1330" s="54" t="inlineStr">
        <is>
          <t>US</t>
        </is>
      </c>
      <c r="C1330" s="54" t="inlineStr">
        <is>
          <t>B0F637MQF8</t>
        </is>
      </c>
      <c r="D1330" s="54" t="inlineStr">
        <is>
          <t>LINEN-CURTAIN-52x108-LIGHT-BEIGE-2-PCS</t>
        </is>
      </c>
      <c r="E1330" s="54" t="inlineStr">
        <is>
          <t>52x108</t>
        </is>
      </c>
      <c r="F1330" s="54" t="inlineStr">
        <is>
          <t>Light Beige</t>
        </is>
      </c>
      <c r="G1330" s="55" t="n"/>
      <c r="H1330" s="167" t="n"/>
      <c r="I1330" s="167" t="n"/>
      <c r="J1330" s="168">
        <f>IF(AND(N(G1330)&gt;0,N(H1330)+N(I1330)&gt;0),(H1330+I1330)*U1330/G1330,"")</f>
        <v/>
      </c>
      <c r="K1330" s="167" t="n">
        <v>34.99</v>
      </c>
      <c r="L1330" s="167" t="n">
        <v>34.99</v>
      </c>
      <c r="M1330" s="54" t="inlineStr">
        <is>
          <t>Eligible</t>
        </is>
      </c>
      <c r="N1330" s="168">
        <f>IF(OR(J1330="",L1330=""),"",L1330-J1330)</f>
        <v/>
      </c>
      <c r="O1330" s="169">
        <f>IF(OR(J1330="",L1330=""),"",L1330/J1330-1)</f>
        <v/>
      </c>
      <c r="P1330" s="169">
        <f>IF(OR(J1330="",K1330=""),"",K1330/J1330-1)</f>
        <v/>
      </c>
      <c r="Q1330" s="54">
        <f>IF(AND(ISNUMBER(J1330),ISNUMBER(L1330)),1,0)</f>
        <v/>
      </c>
      <c r="R1330" s="69">
        <f>IF(Q1330=1,G1330*L1330,0)</f>
        <v/>
      </c>
      <c r="S1330" s="69">
        <f>IF(Q1330=1,(H1330+I1330)*U1330,0)</f>
        <v/>
      </c>
      <c r="T1330" s="59">
        <f>IF(Q1330=1,G1330,0)</f>
        <v/>
      </c>
      <c r="U1330" s="170" t="n">
        <v>1</v>
      </c>
    </row>
    <row r="1331">
      <c r="A1331" s="54" t="inlineStr">
        <is>
          <t>US DC Linen Curtains</t>
        </is>
      </c>
      <c r="B1331" s="54" t="inlineStr">
        <is>
          <t>US</t>
        </is>
      </c>
      <c r="C1331" s="54" t="inlineStr">
        <is>
          <t>B0F63B4FNY</t>
        </is>
      </c>
      <c r="D1331" s="54" t="inlineStr">
        <is>
          <t>LINEN-CURTAIN-52x108-LINEN-2-PCS</t>
        </is>
      </c>
      <c r="E1331" s="54" t="inlineStr">
        <is>
          <t>52x108</t>
        </is>
      </c>
      <c r="F1331" s="54" t="inlineStr">
        <is>
          <t>Linen</t>
        </is>
      </c>
      <c r="G1331" s="55" t="n"/>
      <c r="H1331" s="167" t="n"/>
      <c r="I1331" s="167" t="n"/>
      <c r="J1331" s="168">
        <f>IF(AND(N(G1331)&gt;0,N(H1331)+N(I1331)&gt;0),(H1331+I1331)*U1331/G1331,"")</f>
        <v/>
      </c>
      <c r="K1331" s="167" t="n">
        <v>34.99</v>
      </c>
      <c r="L1331" s="167" t="n">
        <v>34.99</v>
      </c>
      <c r="M1331" s="54" t="inlineStr">
        <is>
          <t>Eligible</t>
        </is>
      </c>
      <c r="N1331" s="168">
        <f>IF(OR(J1331="",L1331=""),"",L1331-J1331)</f>
        <v/>
      </c>
      <c r="O1331" s="169">
        <f>IF(OR(J1331="",L1331=""),"",L1331/J1331-1)</f>
        <v/>
      </c>
      <c r="P1331" s="169">
        <f>IF(OR(J1331="",K1331=""),"",K1331/J1331-1)</f>
        <v/>
      </c>
      <c r="Q1331" s="54">
        <f>IF(AND(ISNUMBER(J1331),ISNUMBER(L1331)),1,0)</f>
        <v/>
      </c>
      <c r="R1331" s="69">
        <f>IF(Q1331=1,G1331*L1331,0)</f>
        <v/>
      </c>
      <c r="S1331" s="69">
        <f>IF(Q1331=1,(H1331+I1331)*U1331,0)</f>
        <v/>
      </c>
      <c r="T1331" s="59">
        <f>IF(Q1331=1,G1331,0)</f>
        <v/>
      </c>
      <c r="U1331" s="170" t="n">
        <v>1</v>
      </c>
    </row>
    <row r="1332">
      <c r="A1332" s="54" t="inlineStr">
        <is>
          <t>US DC Linen Curtains</t>
        </is>
      </c>
      <c r="B1332" s="54" t="inlineStr">
        <is>
          <t>US</t>
        </is>
      </c>
      <c r="C1332" s="54" t="inlineStr">
        <is>
          <t>B0F634C911</t>
        </is>
      </c>
      <c r="D1332" s="54" t="inlineStr">
        <is>
          <t>LINEN-CURTAIN-52x120-BEIGE-2-PCS</t>
        </is>
      </c>
      <c r="E1332" s="54" t="inlineStr">
        <is>
          <t>52x120</t>
        </is>
      </c>
      <c r="F1332" s="54" t="inlineStr">
        <is>
          <t>Beige</t>
        </is>
      </c>
      <c r="G1332" s="55" t="n"/>
      <c r="H1332" s="167" t="n"/>
      <c r="I1332" s="167" t="n"/>
      <c r="J1332" s="168">
        <f>IF(AND(N(G1332)&gt;0,N(H1332)+N(I1332)&gt;0),(H1332+I1332)*U1332/G1332,"")</f>
        <v/>
      </c>
      <c r="K1332" s="167" t="n">
        <v>39.99</v>
      </c>
      <c r="L1332" s="167" t="n">
        <v>39.99</v>
      </c>
      <c r="M1332" s="54" t="inlineStr">
        <is>
          <t>Eligible</t>
        </is>
      </c>
      <c r="N1332" s="168">
        <f>IF(OR(J1332="",L1332=""),"",L1332-J1332)</f>
        <v/>
      </c>
      <c r="O1332" s="169">
        <f>IF(OR(J1332="",L1332=""),"",L1332/J1332-1)</f>
        <v/>
      </c>
      <c r="P1332" s="169">
        <f>IF(OR(J1332="",K1332=""),"",K1332/J1332-1)</f>
        <v/>
      </c>
      <c r="Q1332" s="54">
        <f>IF(AND(ISNUMBER(J1332),ISNUMBER(L1332)),1,0)</f>
        <v/>
      </c>
      <c r="R1332" s="69">
        <f>IF(Q1332=1,G1332*L1332,0)</f>
        <v/>
      </c>
      <c r="S1332" s="69">
        <f>IF(Q1332=1,(H1332+I1332)*U1332,0)</f>
        <v/>
      </c>
      <c r="T1332" s="59">
        <f>IF(Q1332=1,G1332,0)</f>
        <v/>
      </c>
      <c r="U1332" s="170" t="n">
        <v>1</v>
      </c>
    </row>
    <row r="1333">
      <c r="A1333" s="54" t="inlineStr">
        <is>
          <t>US DC Linen Curtains</t>
        </is>
      </c>
      <c r="B1333" s="54" t="inlineStr">
        <is>
          <t>US</t>
        </is>
      </c>
      <c r="C1333" s="54" t="inlineStr">
        <is>
          <t>B0F63C8VTL</t>
        </is>
      </c>
      <c r="D1333" s="54" t="inlineStr">
        <is>
          <t>LINEN-CURTAIN-52x120-IVORY-2-PCS</t>
        </is>
      </c>
      <c r="E1333" s="54" t="inlineStr">
        <is>
          <t>52x120</t>
        </is>
      </c>
      <c r="F1333" s="54" t="inlineStr">
        <is>
          <t>Ivory</t>
        </is>
      </c>
      <c r="G1333" s="55" t="n"/>
      <c r="H1333" s="167" t="n"/>
      <c r="I1333" s="167" t="n"/>
      <c r="J1333" s="168">
        <f>IF(AND(N(G1333)&gt;0,N(H1333)+N(I1333)&gt;0),(H1333+I1333)*U1333/G1333,"")</f>
        <v/>
      </c>
      <c r="K1333" s="167" t="n">
        <v>39.99</v>
      </c>
      <c r="L1333" s="167" t="n">
        <v>37.99</v>
      </c>
      <c r="M1333" s="54" t="inlineStr">
        <is>
          <t>Eligible</t>
        </is>
      </c>
      <c r="N1333" s="168">
        <f>IF(OR(J1333="",L1333=""),"",L1333-J1333)</f>
        <v/>
      </c>
      <c r="O1333" s="169">
        <f>IF(OR(J1333="",L1333=""),"",L1333/J1333-1)</f>
        <v/>
      </c>
      <c r="P1333" s="169">
        <f>IF(OR(J1333="",K1333=""),"",K1333/J1333-1)</f>
        <v/>
      </c>
      <c r="Q1333" s="54">
        <f>IF(AND(ISNUMBER(J1333),ISNUMBER(L1333)),1,0)</f>
        <v/>
      </c>
      <c r="R1333" s="69">
        <f>IF(Q1333=1,G1333*L1333,0)</f>
        <v/>
      </c>
      <c r="S1333" s="69">
        <f>IF(Q1333=1,(H1333+I1333)*U1333,0)</f>
        <v/>
      </c>
      <c r="T1333" s="59">
        <f>IF(Q1333=1,G1333,0)</f>
        <v/>
      </c>
      <c r="U1333" s="170" t="n">
        <v>1</v>
      </c>
    </row>
    <row r="1334">
      <c r="A1334" s="54" t="inlineStr">
        <is>
          <t>US DC Linen Curtains</t>
        </is>
      </c>
      <c r="B1334" s="54" t="inlineStr">
        <is>
          <t>US</t>
        </is>
      </c>
      <c r="C1334" s="54" t="inlineStr">
        <is>
          <t>B0F63C3Z95</t>
        </is>
      </c>
      <c r="D1334" s="54" t="inlineStr">
        <is>
          <t>LINEN-CURTAIN-52x120-NATURAL-2-PCS</t>
        </is>
      </c>
      <c r="E1334" s="54" t="inlineStr">
        <is>
          <t>52x120</t>
        </is>
      </c>
      <c r="F1334" s="54" t="inlineStr">
        <is>
          <t>Natural</t>
        </is>
      </c>
      <c r="G1334" s="55" t="n"/>
      <c r="H1334" s="167" t="n"/>
      <c r="I1334" s="167" t="n"/>
      <c r="J1334" s="168">
        <f>IF(AND(N(G1334)&gt;0,N(H1334)+N(I1334)&gt;0),(H1334+I1334)*U1334/G1334,"")</f>
        <v/>
      </c>
      <c r="K1334" s="167" t="n">
        <v>39.99</v>
      </c>
      <c r="L1334" s="167" t="n">
        <v>39.99</v>
      </c>
      <c r="M1334" s="54" t="inlineStr">
        <is>
          <t>Eligible</t>
        </is>
      </c>
      <c r="N1334" s="168">
        <f>IF(OR(J1334="",L1334=""),"",L1334-J1334)</f>
        <v/>
      </c>
      <c r="O1334" s="169">
        <f>IF(OR(J1334="",L1334=""),"",L1334/J1334-1)</f>
        <v/>
      </c>
      <c r="P1334" s="169">
        <f>IF(OR(J1334="",K1334=""),"",K1334/J1334-1)</f>
        <v/>
      </c>
      <c r="Q1334" s="54">
        <f>IF(AND(ISNUMBER(J1334),ISNUMBER(L1334)),1,0)</f>
        <v/>
      </c>
      <c r="R1334" s="69">
        <f>IF(Q1334=1,G1334*L1334,0)</f>
        <v/>
      </c>
      <c r="S1334" s="69">
        <f>IF(Q1334=1,(H1334+I1334)*U1334,0)</f>
        <v/>
      </c>
      <c r="T1334" s="59">
        <f>IF(Q1334=1,G1334,0)</f>
        <v/>
      </c>
      <c r="U1334" s="170" t="n">
        <v>1</v>
      </c>
    </row>
    <row r="1335">
      <c r="A1335" s="54" t="inlineStr">
        <is>
          <t>US DC Linen Curtains</t>
        </is>
      </c>
      <c r="B1335" s="54" t="inlineStr">
        <is>
          <t>US</t>
        </is>
      </c>
      <c r="C1335" s="54" t="inlineStr">
        <is>
          <t>B0F63DDNWT</t>
        </is>
      </c>
      <c r="D1335" s="54" t="inlineStr">
        <is>
          <t>LINEN-CURTAIN-52x63-LIGHT-BEIGE-2-PCS</t>
        </is>
      </c>
      <c r="E1335" s="54" t="inlineStr">
        <is>
          <t>52x63</t>
        </is>
      </c>
      <c r="F1335" s="54" t="inlineStr">
        <is>
          <t>Light Beige</t>
        </is>
      </c>
      <c r="G1335" s="55" t="n"/>
      <c r="H1335" s="167" t="n"/>
      <c r="I1335" s="167" t="n"/>
      <c r="J1335" s="168">
        <f>IF(AND(N(G1335)&gt;0,N(H1335)+N(I1335)&gt;0),(H1335+I1335)*U1335/G1335,"")</f>
        <v/>
      </c>
      <c r="K1335" s="167" t="n">
        <v>27.99</v>
      </c>
      <c r="L1335" s="167" t="n">
        <v>27.99</v>
      </c>
      <c r="M1335" s="54" t="inlineStr">
        <is>
          <t>Eligible</t>
        </is>
      </c>
      <c r="N1335" s="168">
        <f>IF(OR(J1335="",L1335=""),"",L1335-J1335)</f>
        <v/>
      </c>
      <c r="O1335" s="169">
        <f>IF(OR(J1335="",L1335=""),"",L1335/J1335-1)</f>
        <v/>
      </c>
      <c r="P1335" s="169">
        <f>IF(OR(J1335="",K1335=""),"",K1335/J1335-1)</f>
        <v/>
      </c>
      <c r="Q1335" s="54">
        <f>IF(AND(ISNUMBER(J1335),ISNUMBER(L1335)),1,0)</f>
        <v/>
      </c>
      <c r="R1335" s="69">
        <f>IF(Q1335=1,G1335*L1335,0)</f>
        <v/>
      </c>
      <c r="S1335" s="69">
        <f>IF(Q1335=1,(H1335+I1335)*U1335,0)</f>
        <v/>
      </c>
      <c r="T1335" s="59">
        <f>IF(Q1335=1,G1335,0)</f>
        <v/>
      </c>
      <c r="U1335" s="170" t="n">
        <v>1</v>
      </c>
    </row>
    <row r="1336">
      <c r="A1336" s="54" t="inlineStr">
        <is>
          <t>US DC Linen Curtains</t>
        </is>
      </c>
      <c r="B1336" s="54" t="inlineStr">
        <is>
          <t>US</t>
        </is>
      </c>
      <c r="C1336" s="54" t="inlineStr">
        <is>
          <t>B0F637WVF9</t>
        </is>
      </c>
      <c r="D1336" s="54" t="inlineStr">
        <is>
          <t>LINEN-CURTAIN-52x72-BEIGE-2-PCS</t>
        </is>
      </c>
      <c r="E1336" s="54" t="inlineStr">
        <is>
          <t>52x72</t>
        </is>
      </c>
      <c r="F1336" s="54" t="inlineStr">
        <is>
          <t>Beige</t>
        </is>
      </c>
      <c r="G1336" s="55" t="n"/>
      <c r="H1336" s="167" t="n"/>
      <c r="I1336" s="167" t="n"/>
      <c r="J1336" s="168">
        <f>IF(AND(N(G1336)&gt;0,N(H1336)+N(I1336)&gt;0),(H1336+I1336)*U1336/G1336,"")</f>
        <v/>
      </c>
      <c r="K1336" s="167" t="n">
        <v>28.99</v>
      </c>
      <c r="L1336" s="167" t="n">
        <v>27.54</v>
      </c>
      <c r="M1336" s="54" t="inlineStr">
        <is>
          <t>Eligible</t>
        </is>
      </c>
      <c r="N1336" s="168">
        <f>IF(OR(J1336="",L1336=""),"",L1336-J1336)</f>
        <v/>
      </c>
      <c r="O1336" s="169">
        <f>IF(OR(J1336="",L1336=""),"",L1336/J1336-1)</f>
        <v/>
      </c>
      <c r="P1336" s="169">
        <f>IF(OR(J1336="",K1336=""),"",K1336/J1336-1)</f>
        <v/>
      </c>
      <c r="Q1336" s="54">
        <f>IF(AND(ISNUMBER(J1336),ISNUMBER(L1336)),1,0)</f>
        <v/>
      </c>
      <c r="R1336" s="69">
        <f>IF(Q1336=1,G1336*L1336,0)</f>
        <v/>
      </c>
      <c r="S1336" s="69">
        <f>IF(Q1336=1,(H1336+I1336)*U1336,0)</f>
        <v/>
      </c>
      <c r="T1336" s="59">
        <f>IF(Q1336=1,G1336,0)</f>
        <v/>
      </c>
      <c r="U1336" s="170" t="n">
        <v>1</v>
      </c>
    </row>
    <row r="1337">
      <c r="A1337" s="54" t="inlineStr">
        <is>
          <t>US DC Linen Curtains</t>
        </is>
      </c>
      <c r="B1337" s="54" t="inlineStr">
        <is>
          <t>US</t>
        </is>
      </c>
      <c r="C1337" s="54" t="inlineStr">
        <is>
          <t>B0F6366HKN</t>
        </is>
      </c>
      <c r="D1337" s="54" t="inlineStr">
        <is>
          <t>LINEN-CURTAIN-52x72-LIGHT-GREY-2-PCS</t>
        </is>
      </c>
      <c r="E1337" s="54" t="inlineStr">
        <is>
          <t>52x72</t>
        </is>
      </c>
      <c r="F1337" s="54" t="inlineStr">
        <is>
          <t>Light Grey</t>
        </is>
      </c>
      <c r="G1337" s="55" t="n"/>
      <c r="H1337" s="167" t="n"/>
      <c r="I1337" s="167" t="n"/>
      <c r="J1337" s="168">
        <f>IF(AND(N(G1337)&gt;0,N(H1337)+N(I1337)&gt;0),(H1337+I1337)*U1337/G1337,"")</f>
        <v/>
      </c>
      <c r="K1337" s="167" t="n">
        <v>28.99</v>
      </c>
      <c r="L1337" s="167" t="n">
        <v>27.54</v>
      </c>
      <c r="M1337" s="54" t="inlineStr">
        <is>
          <t>Eligible</t>
        </is>
      </c>
      <c r="N1337" s="168">
        <f>IF(OR(J1337="",L1337=""),"",L1337-J1337)</f>
        <v/>
      </c>
      <c r="O1337" s="169">
        <f>IF(OR(J1337="",L1337=""),"",L1337/J1337-1)</f>
        <v/>
      </c>
      <c r="P1337" s="169">
        <f>IF(OR(J1337="",K1337=""),"",K1337/J1337-1)</f>
        <v/>
      </c>
      <c r="Q1337" s="54">
        <f>IF(AND(ISNUMBER(J1337),ISNUMBER(L1337)),1,0)</f>
        <v/>
      </c>
      <c r="R1337" s="69">
        <f>IF(Q1337=1,G1337*L1337,0)</f>
        <v/>
      </c>
      <c r="S1337" s="69">
        <f>IF(Q1337=1,(H1337+I1337)*U1337,0)</f>
        <v/>
      </c>
      <c r="T1337" s="59">
        <f>IF(Q1337=1,G1337,0)</f>
        <v/>
      </c>
      <c r="U1337" s="170" t="n">
        <v>1</v>
      </c>
    </row>
    <row r="1338">
      <c r="A1338" s="54" t="inlineStr">
        <is>
          <t>US DC Linen Curtains</t>
        </is>
      </c>
      <c r="B1338" s="54" t="inlineStr">
        <is>
          <t>US</t>
        </is>
      </c>
      <c r="C1338" s="54" t="inlineStr">
        <is>
          <t>B0F637SXZQ</t>
        </is>
      </c>
      <c r="D1338" s="54" t="inlineStr">
        <is>
          <t>LINEN-CURTAIN-52x72-LINEN-2-PCS</t>
        </is>
      </c>
      <c r="E1338" s="54" t="inlineStr">
        <is>
          <t>52x72</t>
        </is>
      </c>
      <c r="F1338" s="54" t="inlineStr">
        <is>
          <t>Linen</t>
        </is>
      </c>
      <c r="G1338" s="55" t="n"/>
      <c r="H1338" s="167" t="n"/>
      <c r="I1338" s="167" t="n"/>
      <c r="J1338" s="168">
        <f>IF(AND(N(G1338)&gt;0,N(H1338)+N(I1338)&gt;0),(H1338+I1338)*U1338/G1338,"")</f>
        <v/>
      </c>
      <c r="K1338" s="167" t="n">
        <v>28.99</v>
      </c>
      <c r="L1338" s="167" t="n">
        <v>27.54</v>
      </c>
      <c r="M1338" s="54" t="inlineStr">
        <is>
          <t>Eligible</t>
        </is>
      </c>
      <c r="N1338" s="168">
        <f>IF(OR(J1338="",L1338=""),"",L1338-J1338)</f>
        <v/>
      </c>
      <c r="O1338" s="169">
        <f>IF(OR(J1338="",L1338=""),"",L1338/J1338-1)</f>
        <v/>
      </c>
      <c r="P1338" s="169">
        <f>IF(OR(J1338="",K1338=""),"",K1338/J1338-1)</f>
        <v/>
      </c>
      <c r="Q1338" s="54">
        <f>IF(AND(ISNUMBER(J1338),ISNUMBER(L1338)),1,0)</f>
        <v/>
      </c>
      <c r="R1338" s="69">
        <f>IF(Q1338=1,G1338*L1338,0)</f>
        <v/>
      </c>
      <c r="S1338" s="69">
        <f>IF(Q1338=1,(H1338+I1338)*U1338,0)</f>
        <v/>
      </c>
      <c r="T1338" s="59">
        <f>IF(Q1338=1,G1338,0)</f>
        <v/>
      </c>
      <c r="U1338" s="170" t="n">
        <v>1</v>
      </c>
    </row>
    <row r="1339">
      <c r="A1339" s="54" t="inlineStr">
        <is>
          <t>US DC Linen Curtains</t>
        </is>
      </c>
      <c r="B1339" s="54" t="inlineStr">
        <is>
          <t>US</t>
        </is>
      </c>
      <c r="C1339" s="54" t="inlineStr">
        <is>
          <t>B0F637Y2S7</t>
        </is>
      </c>
      <c r="D1339" s="54" t="inlineStr">
        <is>
          <t>LINEN-CURTAIN-52x72-NATURAL-2-PCS</t>
        </is>
      </c>
      <c r="E1339" s="54" t="inlineStr">
        <is>
          <t>52x72</t>
        </is>
      </c>
      <c r="F1339" s="54" t="inlineStr">
        <is>
          <t>Natural</t>
        </is>
      </c>
      <c r="G1339" s="55" t="n"/>
      <c r="H1339" s="167" t="n"/>
      <c r="I1339" s="167" t="n"/>
      <c r="J1339" s="168">
        <f>IF(AND(N(G1339)&gt;0,N(H1339)+N(I1339)&gt;0),(H1339+I1339)*U1339/G1339,"")</f>
        <v/>
      </c>
      <c r="K1339" s="167" t="n">
        <v>28.99</v>
      </c>
      <c r="L1339" s="167" t="n">
        <v>28.99</v>
      </c>
      <c r="M1339" s="54" t="inlineStr">
        <is>
          <t>Eligible</t>
        </is>
      </c>
      <c r="N1339" s="168">
        <f>IF(OR(J1339="",L1339=""),"",L1339-J1339)</f>
        <v/>
      </c>
      <c r="O1339" s="169">
        <f>IF(OR(J1339="",L1339=""),"",L1339/J1339-1)</f>
        <v/>
      </c>
      <c r="P1339" s="169">
        <f>IF(OR(J1339="",K1339=""),"",K1339/J1339-1)</f>
        <v/>
      </c>
      <c r="Q1339" s="54">
        <f>IF(AND(ISNUMBER(J1339),ISNUMBER(L1339)),1,0)</f>
        <v/>
      </c>
      <c r="R1339" s="69">
        <f>IF(Q1339=1,G1339*L1339,0)</f>
        <v/>
      </c>
      <c r="S1339" s="69">
        <f>IF(Q1339=1,(H1339+I1339)*U1339,0)</f>
        <v/>
      </c>
      <c r="T1339" s="59">
        <f>IF(Q1339=1,G1339,0)</f>
        <v/>
      </c>
      <c r="U1339" s="170" t="n">
        <v>1</v>
      </c>
    </row>
    <row r="1340">
      <c r="A1340" s="54" t="inlineStr">
        <is>
          <t>US DC Linen Curtains</t>
        </is>
      </c>
      <c r="B1340" s="54" t="inlineStr">
        <is>
          <t>US</t>
        </is>
      </c>
      <c r="C1340" s="54" t="inlineStr">
        <is>
          <t>B0F63BJSHF</t>
        </is>
      </c>
      <c r="D1340" s="54" t="inlineStr">
        <is>
          <t>LINEN-CURTAIN-52x84-LIGHT-GREY-2-PCS</t>
        </is>
      </c>
      <c r="E1340" s="54" t="inlineStr">
        <is>
          <t>52x84</t>
        </is>
      </c>
      <c r="F1340" s="54" t="inlineStr">
        <is>
          <t>Light Grey</t>
        </is>
      </c>
      <c r="G1340" s="55" t="n"/>
      <c r="H1340" s="167" t="n"/>
      <c r="I1340" s="167" t="n"/>
      <c r="J1340" s="168">
        <f>IF(AND(N(G1340)&gt;0,N(H1340)+N(I1340)&gt;0),(H1340+I1340)*U1340/G1340,"")</f>
        <v/>
      </c>
      <c r="K1340" s="167" t="n">
        <v>29.99</v>
      </c>
      <c r="L1340" s="167" t="n">
        <v>28.49</v>
      </c>
      <c r="M1340" s="54" t="inlineStr">
        <is>
          <t>Eligible</t>
        </is>
      </c>
      <c r="N1340" s="168">
        <f>IF(OR(J1340="",L1340=""),"",L1340-J1340)</f>
        <v/>
      </c>
      <c r="O1340" s="169">
        <f>IF(OR(J1340="",L1340=""),"",L1340/J1340-1)</f>
        <v/>
      </c>
      <c r="P1340" s="169">
        <f>IF(OR(J1340="",K1340=""),"",K1340/J1340-1)</f>
        <v/>
      </c>
      <c r="Q1340" s="54">
        <f>IF(AND(ISNUMBER(J1340),ISNUMBER(L1340)),1,0)</f>
        <v/>
      </c>
      <c r="R1340" s="69">
        <f>IF(Q1340=1,G1340*L1340,0)</f>
        <v/>
      </c>
      <c r="S1340" s="69">
        <f>IF(Q1340=1,(H1340+I1340)*U1340,0)</f>
        <v/>
      </c>
      <c r="T1340" s="59">
        <f>IF(Q1340=1,G1340,0)</f>
        <v/>
      </c>
      <c r="U1340" s="170" t="n">
        <v>1</v>
      </c>
    </row>
    <row r="1341">
      <c r="A1341" s="54" t="inlineStr">
        <is>
          <t>US DC Linen Curtains</t>
        </is>
      </c>
      <c r="B1341" s="54" t="inlineStr">
        <is>
          <t>US</t>
        </is>
      </c>
      <c r="C1341" s="54" t="inlineStr">
        <is>
          <t>B0F638G1PV</t>
        </is>
      </c>
      <c r="D1341" s="54" t="inlineStr">
        <is>
          <t>LINEN-CURTAIN-52x96-BEIGE-2-PCS</t>
        </is>
      </c>
      <c r="E1341" s="54" t="inlineStr">
        <is>
          <t>52x96</t>
        </is>
      </c>
      <c r="F1341" s="54" t="inlineStr">
        <is>
          <t>Beige</t>
        </is>
      </c>
      <c r="G1341" s="55" t="n"/>
      <c r="H1341" s="167" t="n"/>
      <c r="I1341" s="167" t="n"/>
      <c r="J1341" s="168">
        <f>IF(AND(N(G1341)&gt;0,N(H1341)+N(I1341)&gt;0),(H1341+I1341)*U1341/G1341,"")</f>
        <v/>
      </c>
      <c r="K1341" s="167" t="n">
        <v>32.99</v>
      </c>
      <c r="L1341" s="167" t="n">
        <v>32.99</v>
      </c>
      <c r="M1341" s="54" t="inlineStr">
        <is>
          <t>Eligible</t>
        </is>
      </c>
      <c r="N1341" s="168">
        <f>IF(OR(J1341="",L1341=""),"",L1341-J1341)</f>
        <v/>
      </c>
      <c r="O1341" s="169">
        <f>IF(OR(J1341="",L1341=""),"",L1341/J1341-1)</f>
        <v/>
      </c>
      <c r="P1341" s="169">
        <f>IF(OR(J1341="",K1341=""),"",K1341/J1341-1)</f>
        <v/>
      </c>
      <c r="Q1341" s="54">
        <f>IF(AND(ISNUMBER(J1341),ISNUMBER(L1341)),1,0)</f>
        <v/>
      </c>
      <c r="R1341" s="69">
        <f>IF(Q1341=1,G1341*L1341,0)</f>
        <v/>
      </c>
      <c r="S1341" s="69">
        <f>IF(Q1341=1,(H1341+I1341)*U1341,0)</f>
        <v/>
      </c>
      <c r="T1341" s="59">
        <f>IF(Q1341=1,G1341,0)</f>
        <v/>
      </c>
      <c r="U1341" s="170" t="n">
        <v>1</v>
      </c>
    </row>
    <row r="1342">
      <c r="A1342" s="54" t="inlineStr">
        <is>
          <t>US DC Linen Curtains</t>
        </is>
      </c>
      <c r="B1342" s="54" t="inlineStr">
        <is>
          <t>US</t>
        </is>
      </c>
      <c r="C1342" s="54" t="inlineStr">
        <is>
          <t>B0F6392CDG</t>
        </is>
      </c>
      <c r="D1342" s="54" t="inlineStr">
        <is>
          <t>LINEN-CURTAIN-52x96-IVORY-2-PCS</t>
        </is>
      </c>
      <c r="E1342" s="54" t="inlineStr">
        <is>
          <t>52x96</t>
        </is>
      </c>
      <c r="F1342" s="54" t="inlineStr">
        <is>
          <t>Ivory</t>
        </is>
      </c>
      <c r="G1342" s="55" t="n"/>
      <c r="H1342" s="167" t="n"/>
      <c r="I1342" s="167" t="n"/>
      <c r="J1342" s="168">
        <f>IF(AND(N(G1342)&gt;0,N(H1342)+N(I1342)&gt;0),(H1342+I1342)*U1342/G1342,"")</f>
        <v/>
      </c>
      <c r="K1342" s="167" t="n">
        <v>32.99</v>
      </c>
      <c r="L1342" s="167" t="n">
        <v>32.99</v>
      </c>
      <c r="M1342" s="54" t="inlineStr">
        <is>
          <t>Eligible</t>
        </is>
      </c>
      <c r="N1342" s="168">
        <f>IF(OR(J1342="",L1342=""),"",L1342-J1342)</f>
        <v/>
      </c>
      <c r="O1342" s="169">
        <f>IF(OR(J1342="",L1342=""),"",L1342/J1342-1)</f>
        <v/>
      </c>
      <c r="P1342" s="169">
        <f>IF(OR(J1342="",K1342=""),"",K1342/J1342-1)</f>
        <v/>
      </c>
      <c r="Q1342" s="54">
        <f>IF(AND(ISNUMBER(J1342),ISNUMBER(L1342)),1,0)</f>
        <v/>
      </c>
      <c r="R1342" s="69">
        <f>IF(Q1342=1,G1342*L1342,0)</f>
        <v/>
      </c>
      <c r="S1342" s="69">
        <f>IF(Q1342=1,(H1342+I1342)*U1342,0)</f>
        <v/>
      </c>
      <c r="T1342" s="59">
        <f>IF(Q1342=1,G1342,0)</f>
        <v/>
      </c>
      <c r="U1342" s="170" t="n">
        <v>1</v>
      </c>
    </row>
    <row r="1343">
      <c r="A1343" s="54" t="inlineStr">
        <is>
          <t>US DC Linen Curtains</t>
        </is>
      </c>
      <c r="B1343" s="54" t="inlineStr">
        <is>
          <t>US</t>
        </is>
      </c>
      <c r="C1343" s="54" t="inlineStr">
        <is>
          <t>B0F6366Z7N</t>
        </is>
      </c>
      <c r="D1343" s="54" t="inlineStr">
        <is>
          <t>LINEN-CURTAIN-52x96-NATURAL-2-PCS</t>
        </is>
      </c>
      <c r="E1343" s="54" t="inlineStr">
        <is>
          <t>52x96</t>
        </is>
      </c>
      <c r="F1343" s="54" t="inlineStr">
        <is>
          <t>Natural</t>
        </is>
      </c>
      <c r="G1343" s="55" t="n"/>
      <c r="H1343" s="167" t="n"/>
      <c r="I1343" s="167" t="n"/>
      <c r="J1343" s="168">
        <f>IF(AND(N(G1343)&gt;0,N(H1343)+N(I1343)&gt;0),(H1343+I1343)*U1343/G1343,"")</f>
        <v/>
      </c>
      <c r="K1343" s="167" t="n">
        <v>32.99</v>
      </c>
      <c r="L1343" s="167" t="n">
        <v>32.99</v>
      </c>
      <c r="M1343" s="54" t="inlineStr">
        <is>
          <t>Eligible</t>
        </is>
      </c>
      <c r="N1343" s="168">
        <f>IF(OR(J1343="",L1343=""),"",L1343-J1343)</f>
        <v/>
      </c>
      <c r="O1343" s="169">
        <f>IF(OR(J1343="",L1343=""),"",L1343/J1343-1)</f>
        <v/>
      </c>
      <c r="P1343" s="169">
        <f>IF(OR(J1343="",K1343=""),"",K1343/J1343-1)</f>
        <v/>
      </c>
      <c r="Q1343" s="54">
        <f>IF(AND(ISNUMBER(J1343),ISNUMBER(L1343)),1,0)</f>
        <v/>
      </c>
      <c r="R1343" s="69">
        <f>IF(Q1343=1,G1343*L1343,0)</f>
        <v/>
      </c>
      <c r="S1343" s="69">
        <f>IF(Q1343=1,(H1343+I1343)*U1343,0)</f>
        <v/>
      </c>
      <c r="T1343" s="59">
        <f>IF(Q1343=1,G1343,0)</f>
        <v/>
      </c>
      <c r="U1343" s="170" t="n">
        <v>1</v>
      </c>
    </row>
    <row r="1344">
      <c r="A1344" s="54" t="inlineStr">
        <is>
          <t>US DC Chair Cover</t>
        </is>
      </c>
      <c r="B1344" s="54" t="inlineStr">
        <is>
          <t>US</t>
        </is>
      </c>
      <c r="C1344" s="54" t="inlineStr">
        <is>
          <t>B0CY6MJBWN</t>
        </is>
      </c>
      <c r="D1344" s="54" t="inlineStr">
        <is>
          <t>WATERPROOF-CHAIR-COVER-BLACK-4PCS</t>
        </is>
      </c>
      <c r="E1344" s="54" t="inlineStr">
        <is>
          <t>Pack of 4</t>
        </is>
      </c>
      <c r="F1344" s="54" t="inlineStr">
        <is>
          <t>Black</t>
        </is>
      </c>
      <c r="G1344" s="55" t="n">
        <v>2</v>
      </c>
      <c r="H1344" s="167" t="n">
        <v>59.98</v>
      </c>
      <c r="I1344" s="167" t="n">
        <v>0</v>
      </c>
      <c r="J1344" s="168">
        <f>IF(AND(N(G1344)&gt;0,N(H1344)+N(I1344)&gt;0),(H1344+I1344)*U1344/G1344,"")</f>
        <v/>
      </c>
      <c r="K1344" s="167" t="n">
        <v>29.99</v>
      </c>
      <c r="L1344" s="167" t="n">
        <v>29.99</v>
      </c>
      <c r="M1344" s="54" t="inlineStr">
        <is>
          <t>Eligible</t>
        </is>
      </c>
      <c r="N1344" s="168">
        <f>IF(OR(J1344="",L1344=""),"",L1344-J1344)</f>
        <v/>
      </c>
      <c r="O1344" s="169">
        <f>IF(OR(J1344="",L1344=""),"",L1344/J1344-1)</f>
        <v/>
      </c>
      <c r="P1344" s="169">
        <f>IF(OR(J1344="",K1344=""),"",K1344/J1344-1)</f>
        <v/>
      </c>
      <c r="Q1344" s="54">
        <f>IF(AND(ISNUMBER(J1344),ISNUMBER(L1344)),1,0)</f>
        <v/>
      </c>
      <c r="R1344" s="69">
        <f>IF(Q1344=1,G1344*L1344,0)</f>
        <v/>
      </c>
      <c r="S1344" s="69">
        <f>IF(Q1344=1,(H1344+I1344)*U1344,0)</f>
        <v/>
      </c>
      <c r="T1344" s="59">
        <f>IF(Q1344=1,G1344,0)</f>
        <v/>
      </c>
      <c r="U1344" s="170" t="n">
        <v>1</v>
      </c>
    </row>
    <row r="1345">
      <c r="A1345" s="54" t="inlineStr">
        <is>
          <t>US DC Chair Cover</t>
        </is>
      </c>
      <c r="B1345" s="54" t="inlineStr">
        <is>
          <t>US</t>
        </is>
      </c>
      <c r="C1345" s="54" t="inlineStr">
        <is>
          <t>B0CY6TMHVW</t>
        </is>
      </c>
      <c r="D1345" s="54" t="inlineStr">
        <is>
          <t>WATERPROOF-CHAIR-COVER-BEIGE-6PCS</t>
        </is>
      </c>
      <c r="E1345" s="54" t="inlineStr">
        <is>
          <t>Pack of 6</t>
        </is>
      </c>
      <c r="F1345" s="54" t="inlineStr">
        <is>
          <t>Beige</t>
        </is>
      </c>
      <c r="G1345" s="55" t="n">
        <v>1</v>
      </c>
      <c r="H1345" s="167" t="n">
        <v>39.99</v>
      </c>
      <c r="I1345" s="167" t="n">
        <v>0</v>
      </c>
      <c r="J1345" s="168">
        <f>IF(AND(N(G1345)&gt;0,N(H1345)+N(I1345)&gt;0),(H1345+I1345)*U1345/G1345,"")</f>
        <v/>
      </c>
      <c r="K1345" s="167" t="n">
        <v>39.99</v>
      </c>
      <c r="L1345" s="167" t="n">
        <v>37.99</v>
      </c>
      <c r="M1345" s="54" t="inlineStr">
        <is>
          <t>Eligible</t>
        </is>
      </c>
      <c r="N1345" s="168">
        <f>IF(OR(J1345="",L1345=""),"",L1345-J1345)</f>
        <v/>
      </c>
      <c r="O1345" s="169">
        <f>IF(OR(J1345="",L1345=""),"",L1345/J1345-1)</f>
        <v/>
      </c>
      <c r="P1345" s="169">
        <f>IF(OR(J1345="",K1345=""),"",K1345/J1345-1)</f>
        <v/>
      </c>
      <c r="Q1345" s="54">
        <f>IF(AND(ISNUMBER(J1345),ISNUMBER(L1345)),1,0)</f>
        <v/>
      </c>
      <c r="R1345" s="69">
        <f>IF(Q1345=1,G1345*L1345,0)</f>
        <v/>
      </c>
      <c r="S1345" s="69">
        <f>IF(Q1345=1,(H1345+I1345)*U1345,0)</f>
        <v/>
      </c>
      <c r="T1345" s="59">
        <f>IF(Q1345=1,G1345,0)</f>
        <v/>
      </c>
      <c r="U1345" s="170" t="n">
        <v>1</v>
      </c>
    </row>
    <row r="1346">
      <c r="A1346" s="54" t="inlineStr">
        <is>
          <t>US DC Chair Cover</t>
        </is>
      </c>
      <c r="B1346" s="54" t="inlineStr">
        <is>
          <t>US</t>
        </is>
      </c>
      <c r="C1346" s="54" t="inlineStr">
        <is>
          <t>B0CY6H5P5T</t>
        </is>
      </c>
      <c r="D1346" s="54" t="inlineStr">
        <is>
          <t>WATERPROOF-CHAIR-COVER-BLACK-6PCS</t>
        </is>
      </c>
      <c r="E1346" s="54" t="inlineStr">
        <is>
          <t>Pack of 6</t>
        </is>
      </c>
      <c r="F1346" s="54" t="inlineStr">
        <is>
          <t>Black</t>
        </is>
      </c>
      <c r="G1346" s="55" t="n">
        <v>1</v>
      </c>
      <c r="H1346" s="167" t="n">
        <v>39.99</v>
      </c>
      <c r="I1346" s="167" t="n">
        <v>0</v>
      </c>
      <c r="J1346" s="168">
        <f>IF(AND(N(G1346)&gt;0,N(H1346)+N(I1346)&gt;0),(H1346+I1346)*U1346/G1346,"")</f>
        <v/>
      </c>
      <c r="K1346" s="167" t="n">
        <v>39.99</v>
      </c>
      <c r="L1346" s="167" t="n">
        <v>37.99</v>
      </c>
      <c r="M1346" s="54" t="inlineStr">
        <is>
          <t>Eligible</t>
        </is>
      </c>
      <c r="N1346" s="168">
        <f>IF(OR(J1346="",L1346=""),"",L1346-J1346)</f>
        <v/>
      </c>
      <c r="O1346" s="169">
        <f>IF(OR(J1346="",L1346=""),"",L1346/J1346-1)</f>
        <v/>
      </c>
      <c r="P1346" s="169">
        <f>IF(OR(J1346="",K1346=""),"",K1346/J1346-1)</f>
        <v/>
      </c>
      <c r="Q1346" s="54">
        <f>IF(AND(ISNUMBER(J1346),ISNUMBER(L1346)),1,0)</f>
        <v/>
      </c>
      <c r="R1346" s="69">
        <f>IF(Q1346=1,G1346*L1346,0)</f>
        <v/>
      </c>
      <c r="S1346" s="69">
        <f>IF(Q1346=1,(H1346+I1346)*U1346,0)</f>
        <v/>
      </c>
      <c r="T1346" s="59">
        <f>IF(Q1346=1,G1346,0)</f>
        <v/>
      </c>
      <c r="U1346" s="170" t="n">
        <v>1</v>
      </c>
    </row>
    <row r="1347">
      <c r="A1347" s="54" t="inlineStr">
        <is>
          <t>US DC Chair Cover</t>
        </is>
      </c>
      <c r="B1347" s="54" t="inlineStr">
        <is>
          <t>US</t>
        </is>
      </c>
      <c r="C1347" s="54" t="inlineStr">
        <is>
          <t>B0CY6L59XS</t>
        </is>
      </c>
      <c r="D1347" s="54" t="inlineStr">
        <is>
          <t>WATERPROOF-CHAIR-COVER-GREY-6PCS</t>
        </is>
      </c>
      <c r="E1347" s="54" t="inlineStr">
        <is>
          <t>Pack of 6</t>
        </is>
      </c>
      <c r="F1347" s="54" t="inlineStr">
        <is>
          <t>Grey</t>
        </is>
      </c>
      <c r="G1347" s="55" t="n">
        <v>1</v>
      </c>
      <c r="H1347" s="167" t="n">
        <v>39.99</v>
      </c>
      <c r="I1347" s="167" t="n">
        <v>0</v>
      </c>
      <c r="J1347" s="168">
        <f>IF(AND(N(G1347)&gt;0,N(H1347)+N(I1347)&gt;0),(H1347+I1347)*U1347/G1347,"")</f>
        <v/>
      </c>
      <c r="K1347" s="167" t="n">
        <v>42.99</v>
      </c>
      <c r="L1347" s="167" t="n"/>
      <c r="M1347" s="54" t="inlineStr">
        <is>
          <t>Out of stock</t>
        </is>
      </c>
      <c r="N1347" s="168">
        <f>IF(OR(J1347="",L1347=""),"",L1347-J1347)</f>
        <v/>
      </c>
      <c r="O1347" s="169">
        <f>IF(OR(J1347="",L1347=""),"",L1347/J1347-1)</f>
        <v/>
      </c>
      <c r="P1347" s="169">
        <f>IF(OR(J1347="",K1347=""),"",K1347/J1347-1)</f>
        <v/>
      </c>
      <c r="Q1347" s="54">
        <f>IF(AND(ISNUMBER(J1347),ISNUMBER(L1347)),1,0)</f>
        <v/>
      </c>
      <c r="R1347" s="69">
        <f>IF(Q1347=1,G1347*L1347,0)</f>
        <v/>
      </c>
      <c r="S1347" s="69">
        <f>IF(Q1347=1,(H1347+I1347)*U1347,0)</f>
        <v/>
      </c>
      <c r="T1347" s="59">
        <f>IF(Q1347=1,G1347,0)</f>
        <v/>
      </c>
      <c r="U1347" s="170" t="n">
        <v>1</v>
      </c>
    </row>
    <row r="1348">
      <c r="A1348" s="54" t="inlineStr">
        <is>
          <t>US DC Chair Cover</t>
        </is>
      </c>
      <c r="B1348" s="54" t="inlineStr">
        <is>
          <t>US</t>
        </is>
      </c>
      <c r="C1348" s="54" t="inlineStr">
        <is>
          <t>B0CY6H87BC</t>
        </is>
      </c>
      <c r="D1348" s="54" t="inlineStr">
        <is>
          <t>WATERPROOF-CHAIR-COVER-CHOCOLATE-4PCS</t>
        </is>
      </c>
      <c r="E1348" s="54" t="inlineStr">
        <is>
          <t>Pack of 4</t>
        </is>
      </c>
      <c r="F1348" s="54" t="inlineStr">
        <is>
          <t>Chocolate</t>
        </is>
      </c>
      <c r="G1348" s="55" t="n">
        <v>0</v>
      </c>
      <c r="H1348" s="167" t="n"/>
      <c r="I1348" s="167" t="n"/>
      <c r="J1348" s="168">
        <f>IF(AND(N(G1348)&gt;0,N(H1348)+N(I1348)&gt;0),(H1348+I1348)*U1348/G1348,"")</f>
        <v/>
      </c>
      <c r="K1348" s="167" t="n">
        <v>29.99</v>
      </c>
      <c r="L1348" s="167" t="n">
        <v>29.99</v>
      </c>
      <c r="M1348" s="54" t="inlineStr">
        <is>
          <t>Eligible</t>
        </is>
      </c>
      <c r="N1348" s="168">
        <f>IF(OR(J1348="",L1348=""),"",L1348-J1348)</f>
        <v/>
      </c>
      <c r="O1348" s="169">
        <f>IF(OR(J1348="",L1348=""),"",L1348/J1348-1)</f>
        <v/>
      </c>
      <c r="P1348" s="169">
        <f>IF(OR(J1348="",K1348=""),"",K1348/J1348-1)</f>
        <v/>
      </c>
      <c r="Q1348" s="54">
        <f>IF(AND(ISNUMBER(J1348),ISNUMBER(L1348)),1,0)</f>
        <v/>
      </c>
      <c r="R1348" s="69">
        <f>IF(Q1348=1,G1348*L1348,0)</f>
        <v/>
      </c>
      <c r="S1348" s="69">
        <f>IF(Q1348=1,(H1348+I1348)*U1348,0)</f>
        <v/>
      </c>
      <c r="T1348" s="59">
        <f>IF(Q1348=1,G1348,0)</f>
        <v/>
      </c>
      <c r="U1348" s="170" t="n">
        <v>1</v>
      </c>
    </row>
    <row r="1349">
      <c r="A1349" s="54" t="inlineStr">
        <is>
          <t>US DC Chair Cover</t>
        </is>
      </c>
      <c r="B1349" s="54" t="inlineStr">
        <is>
          <t>US</t>
        </is>
      </c>
      <c r="C1349" s="54" t="inlineStr">
        <is>
          <t>B0CY63VCW1</t>
        </is>
      </c>
      <c r="D1349" s="54" t="inlineStr">
        <is>
          <t>WATERPROOF-CHAIR-COVER-CHOCOLATE-6PCS</t>
        </is>
      </c>
      <c r="E1349" s="54" t="inlineStr">
        <is>
          <t>Pack of 6</t>
        </is>
      </c>
      <c r="F1349" s="54" t="inlineStr">
        <is>
          <t>Chocolate</t>
        </is>
      </c>
      <c r="G1349" s="55" t="n">
        <v>0</v>
      </c>
      <c r="H1349" s="167" t="n"/>
      <c r="I1349" s="167" t="n"/>
      <c r="J1349" s="168">
        <f>IF(AND(N(G1349)&gt;0,N(H1349)+N(I1349)&gt;0),(H1349+I1349)*U1349/G1349,"")</f>
        <v/>
      </c>
      <c r="K1349" s="167" t="n">
        <v>39.99</v>
      </c>
      <c r="L1349" s="167" t="n">
        <v>37.99</v>
      </c>
      <c r="M1349" s="54" t="inlineStr">
        <is>
          <t>Eligible</t>
        </is>
      </c>
      <c r="N1349" s="168">
        <f>IF(OR(J1349="",L1349=""),"",L1349-J1349)</f>
        <v/>
      </c>
      <c r="O1349" s="169">
        <f>IF(OR(J1349="",L1349=""),"",L1349/J1349-1)</f>
        <v/>
      </c>
      <c r="P1349" s="169">
        <f>IF(OR(J1349="",K1349=""),"",K1349/J1349-1)</f>
        <v/>
      </c>
      <c r="Q1349" s="54">
        <f>IF(AND(ISNUMBER(J1349),ISNUMBER(L1349)),1,0)</f>
        <v/>
      </c>
      <c r="R1349" s="69">
        <f>IF(Q1349=1,G1349*L1349,0)</f>
        <v/>
      </c>
      <c r="S1349" s="69">
        <f>IF(Q1349=1,(H1349+I1349)*U1349,0)</f>
        <v/>
      </c>
      <c r="T1349" s="59">
        <f>IF(Q1349=1,G1349,0)</f>
        <v/>
      </c>
      <c r="U1349" s="170" t="n">
        <v>1</v>
      </c>
    </row>
    <row r="1350">
      <c r="A1350" s="54" t="inlineStr">
        <is>
          <t>US DC Chair Cover</t>
        </is>
      </c>
      <c r="B1350" s="54" t="inlineStr">
        <is>
          <t>US</t>
        </is>
      </c>
      <c r="C1350" s="54" t="inlineStr">
        <is>
          <t>B0CY6H5CGX</t>
        </is>
      </c>
      <c r="D1350" s="54" t="inlineStr">
        <is>
          <t>WATERPROOF-CHAIR-COVER-WINE-RED-6PCS</t>
        </is>
      </c>
      <c r="E1350" s="54" t="inlineStr">
        <is>
          <t>Pack of 6</t>
        </is>
      </c>
      <c r="F1350" s="54" t="inlineStr">
        <is>
          <t>Wine Red</t>
        </is>
      </c>
      <c r="G1350" s="55" t="n">
        <v>0</v>
      </c>
      <c r="H1350" s="167" t="n"/>
      <c r="I1350" s="167" t="n"/>
      <c r="J1350" s="168">
        <f>IF(AND(N(G1350)&gt;0,N(H1350)+N(I1350)&gt;0),(H1350+I1350)*U1350/G1350,"")</f>
        <v/>
      </c>
      <c r="K1350" s="167" t="n">
        <v>39.99</v>
      </c>
      <c r="L1350" s="167" t="n">
        <v>37.99</v>
      </c>
      <c r="M1350" s="54" t="inlineStr">
        <is>
          <t>Eligible</t>
        </is>
      </c>
      <c r="N1350" s="168">
        <f>IF(OR(J1350="",L1350=""),"",L1350-J1350)</f>
        <v/>
      </c>
      <c r="O1350" s="169">
        <f>IF(OR(J1350="",L1350=""),"",L1350/J1350-1)</f>
        <v/>
      </c>
      <c r="P1350" s="169">
        <f>IF(OR(J1350="",K1350=""),"",K1350/J1350-1)</f>
        <v/>
      </c>
      <c r="Q1350" s="54">
        <f>IF(AND(ISNUMBER(J1350),ISNUMBER(L1350)),1,0)</f>
        <v/>
      </c>
      <c r="R1350" s="69">
        <f>IF(Q1350=1,G1350*L1350,0)</f>
        <v/>
      </c>
      <c r="S1350" s="69">
        <f>IF(Q1350=1,(H1350+I1350)*U1350,0)</f>
        <v/>
      </c>
      <c r="T1350" s="59">
        <f>IF(Q1350=1,G1350,0)</f>
        <v/>
      </c>
      <c r="U1350" s="170" t="n">
        <v>1</v>
      </c>
    </row>
  </sheetData>
  <autoFilter ref="A33:U1350"/>
  <mergeCells count="1">
    <mergeCell ref="A2:U2"/>
  </mergeCells>
  <conditionalFormatting sqref="I5:I30">
    <cfRule type="expression" priority="1" dxfId="6">
      <formula>AND(ISNUMBER(I5),I5&lt;0)</formula>
    </cfRule>
    <cfRule type="expression" priority="2" dxfId="7">
      <formula>AND(ISNUMBER(I5),I5&gt;0)</formula>
    </cfRule>
  </conditionalFormatting>
  <conditionalFormatting sqref="O34:O1350">
    <cfRule type="expression" priority="3" dxfId="8">
      <formula>AND(ISNUMBER(O34),O34&lt;0)</formula>
    </cfRule>
    <cfRule type="expression" priority="4" dxfId="9">
      <formula>AND(ISNUMBER(O34),O34&gt;0)</formula>
    </cfRule>
  </conditionalFormatting>
  <hyperlinks>
    <hyperlink ref="A5" location="'US DC B4'!A1" display="US DC B4"/>
    <hyperlink ref="A6" location="'CA DC B4'!A1" display="CA DC B4"/>
    <hyperlink ref="A7" location="'US DC B6'!A1" display="US DC B6"/>
    <hyperlink ref="A8" location="'CA DC B6'!A1" display="CA DC B6"/>
    <hyperlink ref="A9" location="'US SL B6'!A1" display="US SL B6"/>
    <hyperlink ref="A10" location="'US SL B4'!A1" display="US SL B4"/>
    <hyperlink ref="A11" location="'US DC S4'!A1" display="US DC S4"/>
    <hyperlink ref="A12" location="'CA DC S4'!A1" display="CA DC S4"/>
    <hyperlink ref="A13" location="'US DC S6'!A1" display="US DC S6"/>
    <hyperlink ref="A14" location="'CA DC S6'!A1" display="CA DC S6"/>
    <hyperlink ref="A15" location="'US SSS4'!A1" display="US SSS4"/>
    <hyperlink ref="A16" location="'CA SSS4'!A1" display="CA SSS4"/>
    <hyperlink ref="A17" location="'US DC Satin Fitted'!A1" display="US DC Satin Fitted"/>
    <hyperlink ref="A18" location="'CA DC Satin Fitted'!A1" display="CA DC Satin Fitted"/>
    <hyperlink ref="A19" location="'US DC Silk Pillowcase'!A1" display="US DC Silk Pillowcase"/>
    <hyperlink ref="A20" location="'US SL Mask Contoured'!A1" display="US SL Mask Contoured"/>
    <hyperlink ref="A21" location="'US SL Mask Velcro'!A1" display="US SL Mask Velcro"/>
    <hyperlink ref="A22" location="'US DC Cooling 4pc'!A1" display="US DC Cooling 4pc"/>
    <hyperlink ref="A23" location="'US SL Cooling 4pc'!A1" display="US SL Cooling 4pc"/>
    <hyperlink ref="A24" location="'US CL Pillowcases'!A1" display="US CL Pillowcases"/>
    <hyperlink ref="A25" location="'US SL Cooling Pillowcase'!A1" display="US SL Cooling Pillowcase"/>
    <hyperlink ref="A26" location="'US SL Cooling Comforter'!A1" display="US SL Cooling Comforter"/>
    <hyperlink ref="A27" location="'US SL Cooling Fitted'!A1" display="US SL Cooling Fitted"/>
    <hyperlink ref="A28" location="'US SL Quilt Set'!A1" display="US SL Quilt Set"/>
    <hyperlink ref="A29" location="'US DC Linen Curtains'!A1" display="US DC Linen Curtains"/>
    <hyperlink ref="A30" location="'US DC Chair Cover'!A1" display="US DC Chair Cover"/>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2026-10-28T12:15:01Z</dcterms:created>
  <dcterms:modified xmlns:dcterms="http://purl.org/dc/terms/" xmlns:xsi="http://www.w3.org/2001/XMLSchema-instance" xsi:type="dcterms:W3CDTF">2026-10-28T15:14:45Z</dcterms:modified>
</cp:coreProperties>
</file>