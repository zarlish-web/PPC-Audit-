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ged SKUs vs PD" sheetId="2" state="visible" r:id="rId4"/>
  </sheets>
  <definedNames>
    <definedName function="false" hidden="true" localSheetId="1" name="_xlnm._FilterDatabase" vbProcedure="false">'Aged SKUs vs PD'!$A$1:$Z$212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<sst xmlns="http://schemas.openxmlformats.org/spreadsheetml/2006/main" count="1604" uniqueCount="520">
  <si>
    <t xml:space="preserve">Inventory aged 181+ days vs Prime Day deals</t>
  </si>
  <si>
    <t xml:space="preserve">Ages: Amazon age snapshot 2026-10-03 (via the Ecotero LTSF engine). Deals: Jospeh_Allocation_Planner.xlsx. Next aged-inventory charge 2026-10-15; a removal submitted by 2026-10-14 avoids it. US figures in USD, CA in CAD. Charges are the engine's projections and match Amazon's own estimates (ratio 1.00).</t>
  </si>
  <si>
    <t xml:space="preserve">Market</t>
  </si>
  <si>
    <t xml:space="preserve">Product</t>
  </si>
  <si>
    <t xml:space="preserve">Aged SKUs</t>
  </si>
  <si>
    <t xml:space="preserve">Aged units 181+</t>
  </si>
  <si>
    <t xml:space="preserve">Units 271d+</t>
  </si>
  <si>
    <t xml:space="preserve">Oct-15 charge (est.)</t>
  </si>
  <si>
    <t xml:space="preserve">PD committed units (aged SKUs)</t>
  </si>
  <si>
    <t xml:space="preserve">Aged units left after PD</t>
  </si>
  <si>
    <t xml:space="preserve">SKUs: deal covers all aged</t>
  </si>
  <si>
    <t xml:space="preserve">SKUs: deal covers part</t>
  </si>
  <si>
    <t xml:space="preserve">SKUs: left out of PD</t>
  </si>
  <si>
    <t xml:space="preserve">SKUs: product not in PD</t>
  </si>
  <si>
    <t xml:space="preserve">US</t>
  </si>
  <si>
    <t xml:space="preserve">Bamboo Sheets 4 Piece</t>
  </si>
  <si>
    <t xml:space="preserve">Bamboo Sheets 6 Piece</t>
  </si>
  <si>
    <t xml:space="preserve">Satin Sheets 4 Piece</t>
  </si>
  <si>
    <t xml:space="preserve">Satin Sheets 6 Piece</t>
  </si>
  <si>
    <t xml:space="preserve">Silk Pillowcase</t>
  </si>
  <si>
    <t xml:space="preserve">CA</t>
  </si>
  <si>
    <t xml:space="preserve">Total US</t>
  </si>
  <si>
    <t xml:space="preserve">Total CA</t>
  </si>
  <si>
    <t xml:space="preserve">All products holding 181+ day stock (Ecotero LTSF portfolio, age snapshot 2026-10-03)</t>
  </si>
  <si>
    <t xml:space="preserve">Brand</t>
  </si>
  <si>
    <t xml:space="preserve">Lifecycle</t>
  </si>
  <si>
    <t xml:space="preserve">US aged units</t>
  </si>
  <si>
    <t xml:space="preserve">US monthly charge (USD)</t>
  </si>
  <si>
    <t xml:space="preserve">CA aged units</t>
  </si>
  <si>
    <t xml:space="preserve">CA monthly charge (CAD)</t>
  </si>
  <si>
    <t xml:space="preserve">In PD deal sheet?</t>
  </si>
  <si>
    <t xml:space="preserve">Decolure</t>
  </si>
  <si>
    <t xml:space="preserve">Re-Launch</t>
  </si>
  <si>
    <t xml:space="preserve">Yes (US + CA)</t>
  </si>
  <si>
    <t xml:space="preserve">Sleephoria</t>
  </si>
  <si>
    <t xml:space="preserve">Maintenance</t>
  </si>
  <si>
    <t xml:space="preserve">No</t>
  </si>
  <si>
    <t xml:space="preserve">Linen Curtains</t>
  </si>
  <si>
    <t xml:space="preserve">Liquidation</t>
  </si>
  <si>
    <t xml:space="preserve">CA only</t>
  </si>
  <si>
    <t xml:space="preserve">Satin Fitted Sheet</t>
  </si>
  <si>
    <t xml:space="preserve">Cooling Sheets 4 Piece</t>
  </si>
  <si>
    <t xml:space="preserve">Hanging Closet Organizer</t>
  </si>
  <si>
    <t xml:space="preserve">Yes (US)</t>
  </si>
  <si>
    <t xml:space="preserve">Quilt Set</t>
  </si>
  <si>
    <t xml:space="preserve">Waterproof Chair Cover</t>
  </si>
  <si>
    <t xml:space="preserve">Cooling Fitted Sheet</t>
  </si>
  <si>
    <t xml:space="preserve">Silk Sleep Mask - Velcro</t>
  </si>
  <si>
    <t xml:space="preserve">Launch</t>
  </si>
  <si>
    <t xml:space="preserve">Beach Towel</t>
  </si>
  <si>
    <t xml:space="preserve">Cooling Comforter</t>
  </si>
  <si>
    <t xml:space="preserve">Chair Mat</t>
  </si>
  <si>
    <t xml:space="preserve">Front Door Welcome Sign</t>
  </si>
  <si>
    <t xml:space="preserve">Production</t>
  </si>
  <si>
    <t xml:space="preserve">Silk Sleep Mask - Contoured</t>
  </si>
  <si>
    <t xml:space="preserve">Cooling Pillowcases</t>
  </si>
  <si>
    <t xml:space="preserve">Total</t>
  </si>
  <si>
    <t xml:space="preserve">Blue figures are typed in from the ltsf_portfolio read on 2026-10-06. The Liquidation lifecycle tag marks a product as terminal.</t>
  </si>
  <si>
    <t xml:space="preserve">SKU</t>
  </si>
  <si>
    <t xml:space="preserve">ASIN</t>
  </si>
  <si>
    <t xml:space="preserve">181-210d</t>
  </si>
  <si>
    <t xml:space="preserve">211-240d</t>
  </si>
  <si>
    <t xml:space="preserve">241-270d</t>
  </si>
  <si>
    <t xml:space="preserve">271-300d</t>
  </si>
  <si>
    <t xml:space="preserve">301-330d</t>
  </si>
  <si>
    <t xml:space="preserve">331-365d</t>
  </si>
  <si>
    <t xml:space="preserve">366-455d</t>
  </si>
  <si>
    <t xml:space="preserve">456+d</t>
  </si>
  <si>
    <t xml:space="preserve">Oct-15 aged charge (est., local ccy)</t>
  </si>
  <si>
    <t xml:space="preserve">Sales / week</t>
  </si>
  <si>
    <t xml:space="preserve">Months to clear</t>
  </si>
  <si>
    <t xml:space="preserve">PD deal status</t>
  </si>
  <si>
    <t xml:space="preserve">Deals (sheet: status, units @ price)</t>
  </si>
  <si>
    <t xml:space="preserve">PD committed units</t>
  </si>
  <si>
    <t xml:space="preserve">Lowest deal price</t>
  </si>
  <si>
    <t xml:space="preserve">LTSF floor price</t>
  </si>
  <si>
    <t xml:space="preserve">Fulfillable today</t>
  </si>
  <si>
    <t xml:space="preserve">Planner note</t>
  </si>
  <si>
    <t xml:space="preserve">Watch</t>
  </si>
  <si>
    <t xml:space="preserve">BAMBOO-FULL-LIGHTOLIVE</t>
  </si>
  <si>
    <t xml:space="preserve">B0BZPZPGDC</t>
  </si>
  <si>
    <t xml:space="preserve">In PD – deal covers part of the aged units</t>
  </si>
  <si>
    <t xml:space="preserve">PED US: include 10u @ 51.99</t>
  </si>
  <si>
    <t xml:space="preserve">20+ units at 271d+ (high-rate brackets) still left after PD</t>
  </si>
  <si>
    <t xml:space="preserve">BAMBOO-FULL-PURPLE</t>
  </si>
  <si>
    <t xml:space="preserve">B0BZPY4PXY</t>
  </si>
  <si>
    <t xml:space="preserve">BAMBOO-TWIN-BURGUNDY-NEW</t>
  </si>
  <si>
    <t xml:space="preserve">B0CRHX3LKM</t>
  </si>
  <si>
    <t xml:space="preserve">PED US: include 10u @ 43.99</t>
  </si>
  <si>
    <t xml:space="preserve">BAMBOO-CALIFKING-LIGHT PINK</t>
  </si>
  <si>
    <t xml:space="preserve">B0CLKD23ZH</t>
  </si>
  <si>
    <t xml:space="preserve">PED US: include 10u @ 63.99</t>
  </si>
  <si>
    <t xml:space="preserve">BAMBOO-FULL-SAGE GREEN</t>
  </si>
  <si>
    <t xml:space="preserve">B0CLKFLJMZ</t>
  </si>
  <si>
    <t xml:space="preserve">BAMBOO-FULL-OLIVE</t>
  </si>
  <si>
    <t xml:space="preserve">B08KQJTP39</t>
  </si>
  <si>
    <t xml:space="preserve">PED US: include 16u @ 51.34</t>
  </si>
  <si>
    <t xml:space="preserve">BAMBOO-TWIN-CREME</t>
  </si>
  <si>
    <t xml:space="preserve">B08KQKS54Q</t>
  </si>
  <si>
    <t xml:space="preserve">BAMBOO-TWIN-MIDGREY</t>
  </si>
  <si>
    <t xml:space="preserve">B0BZQ21K22</t>
  </si>
  <si>
    <t xml:space="preserve">BAMBOO-QUEEN-OLIVE</t>
  </si>
  <si>
    <t xml:space="preserve">B08KQJRSW6</t>
  </si>
  <si>
    <t xml:space="preserve">In PD – deal covers all aged units</t>
  </si>
  <si>
    <t xml:space="preserve">PED US: include 36u @ 59.99</t>
  </si>
  <si>
    <t xml:space="preserve">BAMBOO-KING-LIGHTBLUE</t>
  </si>
  <si>
    <t xml:space="preserve">B08KQL6HKG</t>
  </si>
  <si>
    <t xml:space="preserve">PED US: include 36u @ 63.99</t>
  </si>
  <si>
    <t xml:space="preserve">BAMBOO-KING-OLIVE</t>
  </si>
  <si>
    <t xml:space="preserve">B08KQLK2HK</t>
  </si>
  <si>
    <t xml:space="preserve">PED US: include 30u @ 63.19</t>
  </si>
  <si>
    <t xml:space="preserve">BAMBOO-TWIN-LIGHTBLUE</t>
  </si>
  <si>
    <t xml:space="preserve">B08KQJGSW2</t>
  </si>
  <si>
    <t xml:space="preserve">BAMBOO-TWIN-LIGHTOLIVE</t>
  </si>
  <si>
    <t xml:space="preserve">B0BZQ3XM7P</t>
  </si>
  <si>
    <t xml:space="preserve">BAMBOO-TWIN-SAGE GREEN</t>
  </si>
  <si>
    <t xml:space="preserve">B0CLKBT95K</t>
  </si>
  <si>
    <t xml:space="preserve">Left out of PD</t>
  </si>
  <si>
    <t xml:space="preserve">PED US: leave out</t>
  </si>
  <si>
    <t xml:space="preserve">under 10 units after keeping 30 days of cover (24 fulfillable, 0.6/day)</t>
  </si>
  <si>
    <t xml:space="preserve">Left out to keep 30d cover — but this stock is already aged</t>
  </si>
  <si>
    <t xml:space="preserve">BAMBOO-TWIN-LIGHTGREY</t>
  </si>
  <si>
    <t xml:space="preserve">B08KQK8Z1J</t>
  </si>
  <si>
    <t xml:space="preserve">BAMBOO-TWIN-OLIVE</t>
  </si>
  <si>
    <t xml:space="preserve">B08KQKKVSX</t>
  </si>
  <si>
    <t xml:space="preserve">BAMBOO-FULL-OLIVE-6PCS</t>
  </si>
  <si>
    <t xml:space="preserve">B0CQ33ZGQ4</t>
  </si>
  <si>
    <t xml:space="preserve">PED US: include 10u @ 55.99</t>
  </si>
  <si>
    <t xml:space="preserve">BAMBOO-FULL-CREME-6PCS</t>
  </si>
  <si>
    <t xml:space="preserve">B0CQ2ZVD96</t>
  </si>
  <si>
    <t xml:space="preserve">PED US: include 19u @ 52.49</t>
  </si>
  <si>
    <t xml:space="preserve">BAMBOO-QUEEN-OLIVE-6PCS</t>
  </si>
  <si>
    <t xml:space="preserve">B0CQ32B24Y</t>
  </si>
  <si>
    <t xml:space="preserve">PED US: include 48u @ 59.99</t>
  </si>
  <si>
    <t xml:space="preserve">BAMBOO-QUEEN-LIGHTOLIVE-6PCS</t>
  </si>
  <si>
    <t xml:space="preserve">B0CQ312HKC</t>
  </si>
  <si>
    <t xml:space="preserve">PED US: include 10u @ 63.19</t>
  </si>
  <si>
    <t xml:space="preserve">BAMBOO-QUEEN-LIGHTGREY-6PCS</t>
  </si>
  <si>
    <t xml:space="preserve">B0CQ33K3TL</t>
  </si>
  <si>
    <t xml:space="preserve">PED US: include 31u @ 59.99</t>
  </si>
  <si>
    <t xml:space="preserve">BAMBOO-FULL-LIGHTOLIVE-6PCS</t>
  </si>
  <si>
    <t xml:space="preserve">B0CQ2YBSK2</t>
  </si>
  <si>
    <t xml:space="preserve">BAMBOO-FULL-SAGE GREEN-6PCS</t>
  </si>
  <si>
    <t xml:space="preserve">B0CQ322XC6</t>
  </si>
  <si>
    <t xml:space="preserve">PED US: include 10u @ 59.99</t>
  </si>
  <si>
    <t xml:space="preserve">BAMBOO-FULL-LIGHTBLUE-6PCS</t>
  </si>
  <si>
    <t xml:space="preserve">B0CQ32JNVG</t>
  </si>
  <si>
    <t xml:space="preserve">not in the deal on the board (Amazon: rating below PED minimum)</t>
  </si>
  <si>
    <t xml:space="preserve">BAMBOO-KING-PURPLE-6PCS</t>
  </si>
  <si>
    <t xml:space="preserve">B0CQ328N9Z</t>
  </si>
  <si>
    <t xml:space="preserve">PED US: include 23u @ 67.99</t>
  </si>
  <si>
    <t xml:space="preserve">top-seller exception: runs to the board projection; 8 days of cover after the event</t>
  </si>
  <si>
    <t xml:space="preserve">BAMBOO-KING-LIGHT PINK-6PCS</t>
  </si>
  <si>
    <t xml:space="preserve">B0CQ3437ZF</t>
  </si>
  <si>
    <t xml:space="preserve">PED US: include 15u @ 67.99</t>
  </si>
  <si>
    <t xml:space="preserve">BAMBOO-FULL-LIGHTGREY-6PCS</t>
  </si>
  <si>
    <t xml:space="preserve">B0CQ32VM8N</t>
  </si>
  <si>
    <t xml:space="preserve">BAMBOO-QUEEN-SAGE GREEN-6PCS</t>
  </si>
  <si>
    <t xml:space="preserve">B0CQ3CDRTN</t>
  </si>
  <si>
    <t xml:space="preserve">PED US: include 21u @ 59.99</t>
  </si>
  <si>
    <t xml:space="preserve">BAMBOO-TWIN-LIGHTOLIVE-6PCS</t>
  </si>
  <si>
    <t xml:space="preserve">B0CQ2YWCB3</t>
  </si>
  <si>
    <t xml:space="preserve">PED US: include 10u @ 47.99</t>
  </si>
  <si>
    <t xml:space="preserve">BAMBOO-FULL-PURPLE-6PCS</t>
  </si>
  <si>
    <t xml:space="preserve">B0CQ31X3X5</t>
  </si>
  <si>
    <t xml:space="preserve">BAMBOO-TWIN-MIDGREY-6PCS</t>
  </si>
  <si>
    <t xml:space="preserve">B0CQ31XF3H</t>
  </si>
  <si>
    <t xml:space="preserve">PED US: include 10u @ 44.39</t>
  </si>
  <si>
    <t xml:space="preserve">BAMBOO-TWIN-SAGE GREEN-6PCS</t>
  </si>
  <si>
    <t xml:space="preserve">B0CQ2YZ364</t>
  </si>
  <si>
    <t xml:space="preserve">BAMBOO-TWIN-OLIVE-6PCS</t>
  </si>
  <si>
    <t xml:space="preserve">B0CQ2ZVMJJ</t>
  </si>
  <si>
    <t xml:space="preserve">BAMBOO-TWIN-NAVYBLUE-6PCS</t>
  </si>
  <si>
    <t xml:space="preserve">B0CQ31N5Q5</t>
  </si>
  <si>
    <t xml:space="preserve">SATIN-QUEEN-GREY</t>
  </si>
  <si>
    <t xml:space="preserve">B0839LQK8K</t>
  </si>
  <si>
    <t xml:space="preserve">PED US: include 18u @ 23.96; S4 LD US: include 23u @ 23.96</t>
  </si>
  <si>
    <t xml:space="preserve">SATIN-4PCS-QUEEN-STONE-GREY</t>
  </si>
  <si>
    <t xml:space="preserve">B0DD4JMGXN</t>
  </si>
  <si>
    <t xml:space="preserve">PED US: leave out; S4 LD US: leave out</t>
  </si>
  <si>
    <t xml:space="preserve">not in the deal on the board (PED needs 29% off: loses $0.31 a unit after ads)</t>
  </si>
  <si>
    <t xml:space="preserve">SATIN-SEA-TEAL-TWIN</t>
  </si>
  <si>
    <t xml:space="preserve">B0BG21MMW9</t>
  </si>
  <si>
    <t xml:space="preserve">PED US: leave out; S4 LD US: include 10u @ 19.91</t>
  </si>
  <si>
    <t xml:space="preserve">Oct 5: Amazon needs 37% off, under break-even ($18.00)</t>
  </si>
  <si>
    <t xml:space="preserve">SATIN-4PC-FULL-DARK GREEN</t>
  </si>
  <si>
    <t xml:space="preserve">B0CQRX2Z2G</t>
  </si>
  <si>
    <t xml:space="preserve">PED US: include 10u @ 23.96; S4 LD US: include 10u @ 23.96</t>
  </si>
  <si>
    <t xml:space="preserve">SATIN-4PCS-FULL-ROSEWOOD</t>
  </si>
  <si>
    <t xml:space="preserve">B0DBQVFTZS</t>
  </si>
  <si>
    <t xml:space="preserve">PED US: leave out; S4 LD US: include 10u @ 23.96</t>
  </si>
  <si>
    <t xml:space="preserve">loses $0.17 a unit after ads (not a top seller)</t>
  </si>
  <si>
    <t xml:space="preserve">SATIN-TAUPE-FULL</t>
  </si>
  <si>
    <t xml:space="preserve">B0BZPV4LYC</t>
  </si>
  <si>
    <t xml:space="preserve">PED US: include 10u @ 21.86; S4 LD US: leave out</t>
  </si>
  <si>
    <t xml:space="preserve">loses $0.54 a unit after ads (not a top seller)</t>
  </si>
  <si>
    <t xml:space="preserve">SATIN-STRIPE-FULL-GOLD</t>
  </si>
  <si>
    <t xml:space="preserve">B09G6LCV5J</t>
  </si>
  <si>
    <t xml:space="preserve">SATIN-3PC-TWIN-DARK GREEN</t>
  </si>
  <si>
    <t xml:space="preserve">B0CQRY5N4Q</t>
  </si>
  <si>
    <t xml:space="preserve">PED US: include 10u @ 22.36; S4 LD US: include 10u @ 22.36</t>
  </si>
  <si>
    <t xml:space="preserve">SATIN-IVORY-FULL</t>
  </si>
  <si>
    <t xml:space="preserve">B0BG22CYFP</t>
  </si>
  <si>
    <t xml:space="preserve">SATIN-TWIN-GREY</t>
  </si>
  <si>
    <t xml:space="preserve">B0839M8LP5</t>
  </si>
  <si>
    <t xml:space="preserve">PED US: include 10u @ 19.84; S4 LD US: include 10u @ 19.91</t>
  </si>
  <si>
    <t xml:space="preserve">SATIN-4PC-KING-GREY</t>
  </si>
  <si>
    <t xml:space="preserve">B0CV4D38W9</t>
  </si>
  <si>
    <t xml:space="preserve">PED US: include 17u @ 27.16; S4 LD US: include 22u @ 27.16</t>
  </si>
  <si>
    <t xml:space="preserve">SATIN-3PC-TWIN-BURNT ORANGE</t>
  </si>
  <si>
    <t xml:space="preserve">B0CQRXC2YT</t>
  </si>
  <si>
    <t xml:space="preserve">SATIN-STRIPE-FULL-PURPLE</t>
  </si>
  <si>
    <t xml:space="preserve">B09G6K4PXD</t>
  </si>
  <si>
    <t xml:space="preserve">SATIN-FULL-GREY</t>
  </si>
  <si>
    <t xml:space="preserve">B0839LMS13</t>
  </si>
  <si>
    <t xml:space="preserve">SATIN-STRIPE-TWIN-BLACK</t>
  </si>
  <si>
    <t xml:space="preserve">B09G6H23C3</t>
  </si>
  <si>
    <t xml:space="preserve">PED US: leave out; S4 LD US: include 10u @ 22.36</t>
  </si>
  <si>
    <t xml:space="preserve">under 10 units after keeping 30 days of cover (18 fulfillable, 0.2/day)</t>
  </si>
  <si>
    <t xml:space="preserve">SATIN-CHAMPAGNE-TWIN</t>
  </si>
  <si>
    <t xml:space="preserve">B0BZPVY39R</t>
  </si>
  <si>
    <t xml:space="preserve">under 10 units after keeping 30 days of cover (21 fulfillable, 0.1/day)</t>
  </si>
  <si>
    <t xml:space="preserve">SATIN-STRIPE-TWIN-RED</t>
  </si>
  <si>
    <t xml:space="preserve">B09G6M7WJ3</t>
  </si>
  <si>
    <t xml:space="preserve">SATIN-TAUPE-TWIN</t>
  </si>
  <si>
    <t xml:space="preserve">B0BZPVYJK4</t>
  </si>
  <si>
    <t xml:space="preserve">under 10 units after keeping 30 days of cover (14 fulfillable, 0.1/day)</t>
  </si>
  <si>
    <t xml:space="preserve">SATIN-IVORY-TWIN</t>
  </si>
  <si>
    <t xml:space="preserve">B0BG25XZHJ</t>
  </si>
  <si>
    <t xml:space="preserve">SATIN-4PC-TWIN-DARK GREEN</t>
  </si>
  <si>
    <t xml:space="preserve">B0D9QRPTXQ</t>
  </si>
  <si>
    <t xml:space="preserve">SATIN-4PC-TWIN-BURNT ORANGE</t>
  </si>
  <si>
    <t xml:space="preserve">B0D9QSQ8W7</t>
  </si>
  <si>
    <t xml:space="preserve">SATIN-ROSEWOOD-TWIN</t>
  </si>
  <si>
    <t xml:space="preserve">B0BG22FCVJ</t>
  </si>
  <si>
    <t xml:space="preserve">under 10 units after keeping 30 days of cover (26 fulfillable, 0.6/day)</t>
  </si>
  <si>
    <t xml:space="preserve">Left out to keep 30d cover — but this stock is already aged; 20+ units at 271d+ (high-rate brackets) still left after PD</t>
  </si>
  <si>
    <t xml:space="preserve">SATIN-3PC-TWIN-SAGE GREEN</t>
  </si>
  <si>
    <t xml:space="preserve">B0CQRYL8Z4</t>
  </si>
  <si>
    <t xml:space="preserve">PED US: include 10u @ 21.8; S4 LD US: include 10u @ 20.76</t>
  </si>
  <si>
    <t xml:space="preserve">SATIN-STONEGREY-TWIN</t>
  </si>
  <si>
    <t xml:space="preserve">B0BG21NBG9</t>
  </si>
  <si>
    <t xml:space="preserve">SATIN-RED-TWIN</t>
  </si>
  <si>
    <t xml:space="preserve">B08KR7V6TL</t>
  </si>
  <si>
    <t xml:space="preserve">under 10 units after keeping 30 days of cover (23 fulfillable, 0.1/day)</t>
  </si>
  <si>
    <t xml:space="preserve">SATIN-STRIPE-TWIN-PURPLE</t>
  </si>
  <si>
    <t xml:space="preserve">B09G6JWVWD</t>
  </si>
  <si>
    <t xml:space="preserve">under 10 units after keeping 30 days of cover (13 fulfillable, 0.1/day)</t>
  </si>
  <si>
    <t xml:space="preserve">SATIN-4PC-TWIN-NAVY BLUE</t>
  </si>
  <si>
    <t xml:space="preserve">B0D9QSYXL8</t>
  </si>
  <si>
    <t xml:space="preserve">not in the deal on the board (under 10 units)</t>
  </si>
  <si>
    <t xml:space="preserve">SATIN-STRIPE-TWIN-BLUE</t>
  </si>
  <si>
    <t xml:space="preserve">B09G6L5Z5K</t>
  </si>
  <si>
    <t xml:space="preserve">PED US: leave out; S4 LD US: include 10u @ 21.36</t>
  </si>
  <si>
    <t xml:space="preserve">under 10 units after keeping 30 days of cover (14 fulfillable, 0.0/day)</t>
  </si>
  <si>
    <t xml:space="preserve">SATIN-STRIPE-TWIN-WHITE</t>
  </si>
  <si>
    <t xml:space="preserve">B09G6JK5ZL</t>
  </si>
  <si>
    <t xml:space="preserve">under 10 units after keeping 30 days of cover (11 fulfillable, 0.0/day)</t>
  </si>
  <si>
    <t xml:space="preserve">SATIN-4PC-TWIN-BLUSH PINK</t>
  </si>
  <si>
    <t xml:space="preserve">B0D9QQ99HB</t>
  </si>
  <si>
    <t xml:space="preserve">PED US: include 10u @ 29.56; S4 LD US: include 10u @ 22.36</t>
  </si>
  <si>
    <t xml:space="preserve">SATIN-STRIPE-TWIN-GOLD</t>
  </si>
  <si>
    <t xml:space="preserve">B09G6K2WSF</t>
  </si>
  <si>
    <t xml:space="preserve">SATIN-CHAMPAGNE-FULL</t>
  </si>
  <si>
    <t xml:space="preserve">B0BZPYNXPB</t>
  </si>
  <si>
    <t xml:space="preserve">SATIN-STONEGREY-FULL</t>
  </si>
  <si>
    <t xml:space="preserve">B0BG23H2QY</t>
  </si>
  <si>
    <t xml:space="preserve">under 10 units after keeping 30 days of cover (57 fulfillable, 1.4/day)</t>
  </si>
  <si>
    <t xml:space="preserve">SATIN-3PC-TWIN-NAVY BLUE</t>
  </si>
  <si>
    <t xml:space="preserve">B0CQRZ6KRR</t>
  </si>
  <si>
    <t xml:space="preserve">under 10 units after keeping 30 days of cover (27 fulfillable, 0.4/day)</t>
  </si>
  <si>
    <t xml:space="preserve">SATIN-TWIN-BLUE</t>
  </si>
  <si>
    <t xml:space="preserve">B0839KG4VY</t>
  </si>
  <si>
    <t xml:space="preserve">under 10 units after keeping 30 days of cover (25 fulfillable, 0.3/day)</t>
  </si>
  <si>
    <t xml:space="preserve">SATIN-4PC-TWIN-LAVENDER</t>
  </si>
  <si>
    <t xml:space="preserve">B0D9QTXKQ8</t>
  </si>
  <si>
    <t xml:space="preserve">SATIN-STRIPE-FULL-WHITE</t>
  </si>
  <si>
    <t xml:space="preserve">B09G6KKB4S</t>
  </si>
  <si>
    <t xml:space="preserve">under 10 units after keeping 30 days of cover (20 fulfillable, 0.4/day)</t>
  </si>
  <si>
    <t xml:space="preserve">SATIN-STRIPE-FULL-GRAY</t>
  </si>
  <si>
    <t xml:space="preserve">B09G6J1HVY</t>
  </si>
  <si>
    <t xml:space="preserve">under 10 units after keeping 30 days of cover (31 fulfillable, 0.4/day)</t>
  </si>
  <si>
    <t xml:space="preserve">SATIN-STRIPE-TWIN-PINK</t>
  </si>
  <si>
    <t xml:space="preserve">B09G6KRX7T</t>
  </si>
  <si>
    <t xml:space="preserve">SATIN-CHAMPAGNE-KING</t>
  </si>
  <si>
    <t xml:space="preserve">B0BZPXJH4Q</t>
  </si>
  <si>
    <t xml:space="preserve">not in the deal on the board (PED needs 40% off: no sales, 16 units, not worth the price signal)</t>
  </si>
  <si>
    <t xml:space="preserve">SATIN-GOLD-TWIN</t>
  </si>
  <si>
    <t xml:space="preserve">B08KR9THFG</t>
  </si>
  <si>
    <t xml:space="preserve">SATIN-4PC-TWIN-SAGE GREEN</t>
  </si>
  <si>
    <t xml:space="preserve">B0D9QRVYMT</t>
  </si>
  <si>
    <t xml:space="preserve">SATIN-IVORY-KING-6PCS</t>
  </si>
  <si>
    <t xml:space="preserve">B0C7FFMKP8</t>
  </si>
  <si>
    <t xml:space="preserve">Not in any PD deal sheet</t>
  </si>
  <si>
    <t xml:space="preserve">—</t>
  </si>
  <si>
    <t xml:space="preserve">Product has no PD deal in this market; 20+ units at 271d+ (high-rate brackets) still left after PD</t>
  </si>
  <si>
    <t xml:space="preserve">SATIN-STRIPE-FULL-GOLD--6-PCS</t>
  </si>
  <si>
    <t xml:space="preserve">B0C7KGFHT7</t>
  </si>
  <si>
    <t xml:space="preserve">SATIN-STRIPE-QUEEN-BLUE--6-PCS</t>
  </si>
  <si>
    <t xml:space="preserve">B0C7KJMDNG</t>
  </si>
  <si>
    <t xml:space="preserve">SATIN-6PC-FULL-DARK GREEN</t>
  </si>
  <si>
    <t xml:space="preserve">B0D9QR4PS8</t>
  </si>
  <si>
    <t xml:space="preserve">SATIN-6PC-QUEEN-BLUSH PINK</t>
  </si>
  <si>
    <t xml:space="preserve">B0D9QR66X1</t>
  </si>
  <si>
    <t xml:space="preserve">SATIN-STRIPE-QUEEN-RED--6-PCS</t>
  </si>
  <si>
    <t xml:space="preserve">B0C7KBHV72</t>
  </si>
  <si>
    <t xml:space="preserve">SATIN-STRIPE-QUEEN-WHITE--6-PCS</t>
  </si>
  <si>
    <t xml:space="preserve">B0C7JQ8266</t>
  </si>
  <si>
    <t xml:space="preserve">SATIN-TAUPE-FULL-6PCS</t>
  </si>
  <si>
    <t xml:space="preserve">B0C7FHXP11</t>
  </si>
  <si>
    <t xml:space="preserve">SATIN-STONEGREY-QUEEN-6PCS</t>
  </si>
  <si>
    <t xml:space="preserve">B0C7FTB8MQ</t>
  </si>
  <si>
    <t xml:space="preserve">SATIN-6PC-FULL-WHITE</t>
  </si>
  <si>
    <t xml:space="preserve">B0D9R9B1VT</t>
  </si>
  <si>
    <t xml:space="preserve">SATIN-6PC-FULL-BLUSH PINK</t>
  </si>
  <si>
    <t xml:space="preserve">B0D9QT3LWG</t>
  </si>
  <si>
    <t xml:space="preserve">Product has no PD deal in this market</t>
  </si>
  <si>
    <t xml:space="preserve">SATIN-STRIPE-FULL-WHITE--6-PCS</t>
  </si>
  <si>
    <t xml:space="preserve">B0C7K2B1Y3</t>
  </si>
  <si>
    <t xml:space="preserve">SATIN-RED-FULL-6-PCS</t>
  </si>
  <si>
    <t xml:space="preserve">B0C7FWSYPL</t>
  </si>
  <si>
    <t xml:space="preserve">SATIN-STRIPE-FULL-GRAY--6-PCS</t>
  </si>
  <si>
    <t xml:space="preserve">B0C7K7NCKW</t>
  </si>
  <si>
    <t xml:space="preserve">SATIN-IVORY-QUEEN-6PCS</t>
  </si>
  <si>
    <t xml:space="preserve">B0C7FMQP5L</t>
  </si>
  <si>
    <t xml:space="preserve">SATIN-TAUPE-QUEEN-6PCS</t>
  </si>
  <si>
    <t xml:space="preserve">B0C7FK58RV</t>
  </si>
  <si>
    <t xml:space="preserve">SATIN-STRIPE-FULL-BLUE--6-PCS</t>
  </si>
  <si>
    <t xml:space="preserve">B0C7K6CKLC</t>
  </si>
  <si>
    <t xml:space="preserve">SATIN-STRIPE-QUEEN-GRAY--6-PCS</t>
  </si>
  <si>
    <t xml:space="preserve">B0C7K438ML</t>
  </si>
  <si>
    <t xml:space="preserve">SATIN-FULL-PINK-6PCS</t>
  </si>
  <si>
    <t xml:space="preserve">B0C7FQTJYM</t>
  </si>
  <si>
    <t xml:space="preserve">SATIN-STRIPE-TWIN-GRAY--6-PCS</t>
  </si>
  <si>
    <t xml:space="preserve">B0C7K62XCT</t>
  </si>
  <si>
    <t xml:space="preserve">SATIN-6PC-QUEEN-DARK GREEN</t>
  </si>
  <si>
    <t xml:space="preserve">B0D9QSYR9G</t>
  </si>
  <si>
    <t xml:space="preserve">SATIN-KING-PINK-6PCS</t>
  </si>
  <si>
    <t xml:space="preserve">B0C7FMDPBF</t>
  </si>
  <si>
    <t xml:space="preserve">SATIN-6PC-FULL-SAGE GREEN</t>
  </si>
  <si>
    <t xml:space="preserve">B0D9QVPJ4C</t>
  </si>
  <si>
    <t xml:space="preserve">SATIN-STONEGREY-TWIN-6PCS</t>
  </si>
  <si>
    <t xml:space="preserve">B0C7F9HG21</t>
  </si>
  <si>
    <t xml:space="preserve">SATIN-IVORY-FULL-6PCS</t>
  </si>
  <si>
    <t xml:space="preserve">B0C7FKJWJV</t>
  </si>
  <si>
    <t xml:space="preserve">SATIN-GOLD-FULL-6PCS</t>
  </si>
  <si>
    <t xml:space="preserve">B0C7FTBBQB</t>
  </si>
  <si>
    <t xml:space="preserve">SATIN-TWIN-BLUE-6PCS</t>
  </si>
  <si>
    <t xml:space="preserve">B0C7FFM7L9</t>
  </si>
  <si>
    <t xml:space="preserve">SATIN-STRIPE-QUEEN-GOLD--6-PCS</t>
  </si>
  <si>
    <t xml:space="preserve">B0C7K92CTB</t>
  </si>
  <si>
    <t xml:space="preserve">SATIN-STRIPE-TWIN-BLUE--6-PCS</t>
  </si>
  <si>
    <t xml:space="preserve">B0C7JVQWDH</t>
  </si>
  <si>
    <t xml:space="preserve">SATIN-6PC-FULL-LAVENDER</t>
  </si>
  <si>
    <t xml:space="preserve">B0D9QR6YSH</t>
  </si>
  <si>
    <t xml:space="preserve">SATIN-IVORY-TWIN-6PCS</t>
  </si>
  <si>
    <t xml:space="preserve">B0C7FM1K6P</t>
  </si>
  <si>
    <t xml:space="preserve">SATIN-ROSEWOOD-TWIN-6PCS</t>
  </si>
  <si>
    <t xml:space="preserve">B0C7FDN7ZM</t>
  </si>
  <si>
    <t xml:space="preserve">SATIN-STRIPE-FULL-BLACK--6-PCS</t>
  </si>
  <si>
    <t xml:space="preserve">B0C7KB53RJ</t>
  </si>
  <si>
    <t xml:space="preserve">SATIN-STRIPE-TWIN-WHITE--6-PCS</t>
  </si>
  <si>
    <t xml:space="preserve">B0C7KGK2WK</t>
  </si>
  <si>
    <t xml:space="preserve">SATIN-CHAMPAGNE-TWIN-6PCS</t>
  </si>
  <si>
    <t xml:space="preserve">B0C7FLZ6S8</t>
  </si>
  <si>
    <t xml:space="preserve">SATIN-STRIPE-TWIN-RED--6-PCS</t>
  </si>
  <si>
    <t xml:space="preserve">B0C7JQ5MZY</t>
  </si>
  <si>
    <t xml:space="preserve">SATIN-STRIPE-TWIN-GOLD--6-PCS</t>
  </si>
  <si>
    <t xml:space="preserve">B0C7K5TSRR</t>
  </si>
  <si>
    <t xml:space="preserve">SATIN-WHITE-TWIN-6PCS</t>
  </si>
  <si>
    <t xml:space="preserve">B0C7FBCF2X</t>
  </si>
  <si>
    <t xml:space="preserve">SATIN-SEA-TEAL-TWIN-6PCS</t>
  </si>
  <si>
    <t xml:space="preserve">B0C7FF3CWB</t>
  </si>
  <si>
    <t xml:space="preserve">SATIN-STRIPE-TWIN-BLACK--6-PCS</t>
  </si>
  <si>
    <t xml:space="preserve">B0C7K6WTJ1</t>
  </si>
  <si>
    <t xml:space="preserve">SATIN-CHAMPAGNE-FULL-6PCS</t>
  </si>
  <si>
    <t xml:space="preserve">B0C7FSXPC5</t>
  </si>
  <si>
    <t xml:space="preserve">SATIN-6PC-FULL-NAVY BLUE</t>
  </si>
  <si>
    <t xml:space="preserve">B0D9QRCV3S</t>
  </si>
  <si>
    <t xml:space="preserve">SATIN-FULL-PURPLE-6PCS</t>
  </si>
  <si>
    <t xml:space="preserve">B0C7F65432</t>
  </si>
  <si>
    <t xml:space="preserve">SATIN-STRIPE-TWIN-PURPLE--6-PCS</t>
  </si>
  <si>
    <t xml:space="preserve">B0C7K6YWWL</t>
  </si>
  <si>
    <t xml:space="preserve">SATIN-TAUPE-TWIN-6PCS</t>
  </si>
  <si>
    <t xml:space="preserve">B0C7FD12CQ</t>
  </si>
  <si>
    <t xml:space="preserve">SATIN-QUEEN-BLUE-6PCS</t>
  </si>
  <si>
    <t xml:space="preserve">B0C7FJ461D</t>
  </si>
  <si>
    <t xml:space="preserve">SILK-PILLOWCASE-STANDARD-IVORY-1PCS</t>
  </si>
  <si>
    <t xml:space="preserve">B0DBR99M41</t>
  </si>
  <si>
    <t xml:space="preserve">LD Silk Pillow case: include 10u @ 35.96</t>
  </si>
  <si>
    <t xml:space="preserve">SILK-PILLOWCASE-KING-SILVER GREY-1PCS</t>
  </si>
  <si>
    <t xml:space="preserve">B0DBRL13MZ</t>
  </si>
  <si>
    <t xml:space="preserve">LD Silk Pillow case: include 10u @ 43.96</t>
  </si>
  <si>
    <t xml:space="preserve">SILK-PILLOWCASE-STANDARD-SILVERGREY-1PC</t>
  </si>
  <si>
    <t xml:space="preserve">B0DBR9B5ZX</t>
  </si>
  <si>
    <t xml:space="preserve">SILK-PILLOWCASE-QUEEN-CHAMPAGNE-1PCS</t>
  </si>
  <si>
    <t xml:space="preserve">B0DBR61W7F</t>
  </si>
  <si>
    <t xml:space="preserve">LD Silk Pillow case: include 10u @ 39.96</t>
  </si>
  <si>
    <t xml:space="preserve">SILK-PILLOWCASE-STANDARD-WHITE-1PCS</t>
  </si>
  <si>
    <t xml:space="preserve">B0DBR5SY67</t>
  </si>
  <si>
    <t xml:space="preserve">SILK-PILLOWCASE-QUEEN-SILVER GREY-1PCS</t>
  </si>
  <si>
    <t xml:space="preserve">B0DBRB2B8J</t>
  </si>
  <si>
    <t xml:space="preserve">SILK-PILLOWCASE-QUEEN-IVORY-1PCS</t>
  </si>
  <si>
    <t xml:space="preserve">B0DBR9GXG4</t>
  </si>
  <si>
    <t xml:space="preserve">SILK-PILLOWCASE-QUEEN-WHITE-1PCS</t>
  </si>
  <si>
    <t xml:space="preserve">B0DBRBSH2R</t>
  </si>
  <si>
    <t xml:space="preserve">SILK-PILLOWCASE-QUEEN-CORAL-1PCS</t>
  </si>
  <si>
    <t xml:space="preserve">B0DBR771WD</t>
  </si>
  <si>
    <t xml:space="preserve">SILK-PILLOWCASE-QUEEN-GREY-1PCS</t>
  </si>
  <si>
    <t xml:space="preserve">B0DBR9LLGV</t>
  </si>
  <si>
    <t xml:space="preserve">SILK-PILLOWCASE-STANDARD-CORAL-1PCS</t>
  </si>
  <si>
    <t xml:space="preserve">B0DBRS4FDL</t>
  </si>
  <si>
    <t xml:space="preserve">LD Silk Pillow case: leave out</t>
  </si>
  <si>
    <t xml:space="preserve">loses $2.51 a unit after ads (not a top seller)</t>
  </si>
  <si>
    <t xml:space="preserve">SILK-PILLOWCASE-STANDARD-GREY-1PCS</t>
  </si>
  <si>
    <t xml:space="preserve">B0DBR948NX</t>
  </si>
  <si>
    <t xml:space="preserve">PED CA: include 5u @ 79.99; B4 CA LD: include 5u @ 84.78</t>
  </si>
  <si>
    <t xml:space="preserve">BAMBOO-CALIFKING-LIGHTGREY</t>
  </si>
  <si>
    <t xml:space="preserve">B08KQLFRVR</t>
  </si>
  <si>
    <t xml:space="preserve">PED CA: include 5u @ 79.99; B4 CA LD: include 5u @ 80.74</t>
  </si>
  <si>
    <t xml:space="preserve">BAMBOO-CALIFKING-MIDGREY</t>
  </si>
  <si>
    <t xml:space="preserve">B0BZPY841G</t>
  </si>
  <si>
    <t xml:space="preserve">PED CA: include 5u @ 79.99; B4 CA LD: include 5u @ 81.99</t>
  </si>
  <si>
    <t xml:space="preserve">BAMBOO-CALIFKING-PURPLE</t>
  </si>
  <si>
    <t xml:space="preserve">B0BZQ5SDNS</t>
  </si>
  <si>
    <t xml:space="preserve">PED CA: leave out; B4 CA LD: leave out</t>
  </si>
  <si>
    <t xml:space="preserve">BAMBOO-CALIFKING-LIGHTOLIVE</t>
  </si>
  <si>
    <t xml:space="preserve">B0BZQ19Z47</t>
  </si>
  <si>
    <t xml:space="preserve">BAMBOO-CALIFKING-CREME</t>
  </si>
  <si>
    <t xml:space="preserve">B08KQLQ7RG</t>
  </si>
  <si>
    <t xml:space="preserve">BAMBOO-QUEEN-LIGHTGREY</t>
  </si>
  <si>
    <t xml:space="preserve">B08KQJDSVC</t>
  </si>
  <si>
    <t xml:space="preserve">PED CA: leave out; B4 CA LD: include 5u @ 80.75</t>
  </si>
  <si>
    <t xml:space="preserve">under 5 units after keeping 30 days of cover (16 fulfillable, 0.2/day)</t>
  </si>
  <si>
    <t xml:space="preserve">BAMBOO-CALIFKING-OLIVE</t>
  </si>
  <si>
    <t xml:space="preserve">B08KQJZHGC</t>
  </si>
  <si>
    <t xml:space="preserve">BAMBOO-CALIFKING-BURGUNDY-NEW</t>
  </si>
  <si>
    <t xml:space="preserve">B0CRHYHS4X</t>
  </si>
  <si>
    <t xml:space="preserve">PED CA: leave out; B4 CA LD: include 5u @ 68.63</t>
  </si>
  <si>
    <t xml:space="preserve">loses C$2.28 a unit after ads (not a top seller)</t>
  </si>
  <si>
    <t xml:space="preserve">BAMBOO-QUEEN-CREME</t>
  </si>
  <si>
    <t xml:space="preserve">B08KQK91X7</t>
  </si>
  <si>
    <t xml:space="preserve">PED CA: include 5u @ 79.99; B4 CA LD: include 6u @ 80.74</t>
  </si>
  <si>
    <t xml:space="preserve">BAMBOO-CALIFKING-SAGE GREEN-6PCS</t>
  </si>
  <si>
    <t xml:space="preserve">B0CQ31LJ3J</t>
  </si>
  <si>
    <t xml:space="preserve">B6 CA BD: leave out</t>
  </si>
  <si>
    <t xml:space="preserve">loses C$1.50 a unit after ads (not a top seller)</t>
  </si>
  <si>
    <t xml:space="preserve">BAMBOO-CALIFKING-MIDGREY-6PCS</t>
  </si>
  <si>
    <t xml:space="preserve">B0CQ316WG1</t>
  </si>
  <si>
    <t xml:space="preserve">not in the deal on the board (below break-even)</t>
  </si>
  <si>
    <t xml:space="preserve">BAMBOO-CALIFKING-NAVYBLUE-6PCS</t>
  </si>
  <si>
    <t xml:space="preserve">B0CQ311QX3</t>
  </si>
  <si>
    <t xml:space="preserve">B6 CA BD: include 5u @ 87.99</t>
  </si>
  <si>
    <t xml:space="preserve">B6 CA BD: include 5u @ 84.99</t>
  </si>
  <si>
    <t xml:space="preserve">BAMBOO-CALIFKING-LIGHTBLUE-6PCS</t>
  </si>
  <si>
    <t xml:space="preserve">B0CQ31L3V7</t>
  </si>
  <si>
    <t xml:space="preserve">BAMBOO-CALIFKING-BURGUNDY-6PCS</t>
  </si>
  <si>
    <t xml:space="preserve">B0CQ33QVZK</t>
  </si>
  <si>
    <t xml:space="preserve">BAMBOO-CALIFKING-LIGHTGREY-6PCS</t>
  </si>
  <si>
    <t xml:space="preserve">B0CQ31X7S5</t>
  </si>
  <si>
    <t xml:space="preserve">BAMBOO-CALIFKING-OLIVE-6PCS</t>
  </si>
  <si>
    <t xml:space="preserve">B0CQ32JY2T</t>
  </si>
  <si>
    <t xml:space="preserve">BAMBOO-KING-LIGHTBLUE-6PCS</t>
  </si>
  <si>
    <t xml:space="preserve">B0CQ31X65Y</t>
  </si>
  <si>
    <t xml:space="preserve">B6 CA BD: include 7u @ 84.99</t>
  </si>
  <si>
    <t xml:space="preserve">BAMBOO-CALIFKING-GREY-6PCS</t>
  </si>
  <si>
    <t xml:space="preserve">B0CQ33T9BL</t>
  </si>
  <si>
    <t xml:space="preserve">SATIN-4PC-RED-QUEEN</t>
  </si>
  <si>
    <t xml:space="preserve">B0CV4D54FV</t>
  </si>
  <si>
    <t xml:space="preserve">S4 CA BD: leave out</t>
  </si>
  <si>
    <t xml:space="preserve">not in the deal on the board (not in CA deal sheet)</t>
  </si>
  <si>
    <t xml:space="preserve">SATIN-4PCS-KING-RED</t>
  </si>
  <si>
    <t xml:space="preserve">B0DBQVGKTV</t>
  </si>
  <si>
    <t xml:space="preserve">SATIN-4PCS-KING-ROSEWOOD</t>
  </si>
  <si>
    <t xml:space="preserve">B0DBR1DWPP</t>
  </si>
  <si>
    <t xml:space="preserve">SATIN-STRIPE-KING-BLUE</t>
  </si>
  <si>
    <t xml:space="preserve">B09G6JGMY9</t>
  </si>
  <si>
    <t xml:space="preserve">SATIN-4PCS-KING-STONEGREY</t>
  </si>
  <si>
    <t xml:space="preserve">B0DBR1X2XQ</t>
  </si>
  <si>
    <t xml:space="preserve">SATIN-4PCS-KING-SEA-TEAL</t>
  </si>
  <si>
    <t xml:space="preserve">B0DBQZ1MMF</t>
  </si>
  <si>
    <t xml:space="preserve">SATIN-4PCS-QUEEN-STRIPE-GRAY</t>
  </si>
  <si>
    <t xml:space="preserve">B0DBR4XYLB</t>
  </si>
  <si>
    <t xml:space="preserve">SATIN-STRIPE-KING-BLACK</t>
  </si>
  <si>
    <t xml:space="preserve">B09G6HZT1K</t>
  </si>
  <si>
    <t xml:space="preserve">SATIN-STRIPE-FULL-BLUE</t>
  </si>
  <si>
    <t xml:space="preserve">B09G6M7WJ2</t>
  </si>
  <si>
    <t xml:space="preserve">S4 CA BD: include 5u @ 42.79</t>
  </si>
  <si>
    <t xml:space="preserve">SATIN-4PC-WHITE-KING</t>
  </si>
  <si>
    <t xml:space="preserve">B0CV4CY67M</t>
  </si>
  <si>
    <t xml:space="preserve">SATIN-STRIPE-FULL-RED</t>
  </si>
  <si>
    <t xml:space="preserve">B09G6KKSK6</t>
  </si>
  <si>
    <t xml:space="preserve">S4 CA BD: include 5u @ 39.59</t>
  </si>
  <si>
    <t xml:space="preserve">SATIN-GOLD-KING-6PCS</t>
  </si>
  <si>
    <t xml:space="preserve">B0C7FMYDFC</t>
  </si>
  <si>
    <t xml:space="preserve">S6 CA BD: include 5u @ 42.74</t>
  </si>
  <si>
    <t xml:space="preserve">SATIN-STRIPE-QUEEN-PINK--6-PCS</t>
  </si>
  <si>
    <t xml:space="preserve">B0C7KD9LMR</t>
  </si>
  <si>
    <t xml:space="preserve">S6 CA BD: include 5u @ 42.23</t>
  </si>
  <si>
    <t xml:space="preserve">SATIN-KING-BLUE-6PCS</t>
  </si>
  <si>
    <t xml:space="preserve">B0C7FBBPL1</t>
  </si>
  <si>
    <t xml:space="preserve">S6 CA BD: leave out</t>
  </si>
  <si>
    <t xml:space="preserve">SATIN-6PC-KING-BURNT ORANGE</t>
  </si>
  <si>
    <t xml:space="preserve">B0D9QTXKQD</t>
  </si>
  <si>
    <t xml:space="preserve">S6 CA BD: include 5u @ 34.19</t>
  </si>
  <si>
    <t xml:space="preserve">SATIN-STRIPE-FULL-RED--6-PCS</t>
  </si>
  <si>
    <t xml:space="preserve">B0C7JYS2K4</t>
  </si>
  <si>
    <t xml:space="preserve">S6 CA BD: include 5u @ 38.75</t>
  </si>
  <si>
    <t xml:space="preserve">SATIN-GOLD-QUEEN-6PCS</t>
  </si>
  <si>
    <t xml:space="preserve">B0C7FPM5CR</t>
  </si>
  <si>
    <t xml:space="preserve">SATIN-6PC-FULL-BURNT ORANGE</t>
  </si>
  <si>
    <t xml:space="preserve">B0D9QRNBSH</t>
  </si>
  <si>
    <t xml:space="preserve">SATIN-TWIN-GREY-6PCS</t>
  </si>
  <si>
    <t xml:space="preserve">B0C7FNVCWM</t>
  </si>
  <si>
    <t xml:space="preserve">SATIN-FULL-BLUE-6PCS</t>
  </si>
  <si>
    <t xml:space="preserve">B0C7FXQZVG</t>
  </si>
  <si>
    <t xml:space="preserve">SATIN-STRIPE-TWIN-PINK--6-PCS</t>
  </si>
  <si>
    <t xml:space="preserve">B0C7KB2CR6</t>
  </si>
  <si>
    <t xml:space="preserve">SATIN-GOLD-TWIN-6PCS</t>
  </si>
  <si>
    <t xml:space="preserve">B0C7FXTXLD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</si>
</sst>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12" min="8" style="0" width="12"/>
  </cols>
  <sheetData>
    <row r="1" customFormat="false" ht="17.3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5" t="n">
        <f aca="false">COUNTIFS('Aged SKUs vs PD'!$A$2:$A$212,$A5,'Aged SKUs vs PD'!$B$2:$B$212,$B5)</f>
        <v>16</v>
      </c>
      <c r="D5" s="5" t="n">
        <f aca="false">SUMIFS('Aged SKUs vs PD'!$E$2:$E$212,'Aged SKUs vs PD'!$A$2:$A$212,$A5,'Aged SKUs vs PD'!$B$2:$B$212,$B5)</f>
        <v>897</v>
      </c>
      <c r="E5" s="5" t="n">
        <f aca="false">SUMIFS('Aged SKUs vs PD'!$N$2:$N$212,'Aged SKUs vs PD'!$A$2:$A$212,$A5,'Aged SKUs vs PD'!$B$2:$B$212,$B5)</f>
        <v>548</v>
      </c>
      <c r="F5" s="6" t="n">
        <f aca="false">SUMIFS('Aged SKUs vs PD'!$O$2:$O$212,'Aged SKUs vs PD'!$A$2:$A$212,$A5,'Aged SKUs vs PD'!$B$2:$B$212,$B5)</f>
        <v>917.87</v>
      </c>
      <c r="G5" s="5" t="n">
        <f aca="false">SUMIFS('Aged SKUs vs PD'!$T$2:$T$212,'Aged SKUs vs PD'!$A$2:$A$212,$A5,'Aged SKUs vs PD'!$B$2:$B$212,$B5)</f>
        <v>228</v>
      </c>
      <c r="H5" s="5" t="n">
        <f aca="false">SUMIFS('Aged SKUs vs PD'!$U$2:$U$212,'Aged SKUs vs PD'!$A$2:$A$212,$A5,'Aged SKUs vs PD'!$B$2:$B$212,$B5)</f>
        <v>673</v>
      </c>
      <c r="I5" s="5" t="n">
        <f aca="false">COUNTIFS('Aged SKUs vs PD'!$A$2:$A$212,$A5,'Aged SKUs vs PD'!$B$2:$B$212,$B5,'Aged SKUs vs PD'!$R$2:$R$212,"In PD – deal covers all aged units")</f>
        <v>1</v>
      </c>
      <c r="J5" s="5" t="n">
        <f aca="false">COUNTIFS('Aged SKUs vs PD'!$A$2:$A$212,$A5,'Aged SKUs vs PD'!$B$2:$B$212,$B5,'Aged SKUs vs PD'!$R$2:$R$212,"In PD – deal covers part of the aged units")</f>
        <v>14</v>
      </c>
      <c r="K5" s="5" t="n">
        <f aca="false">COUNTIFS('Aged SKUs vs PD'!$A$2:$A$212,$A5,'Aged SKUs vs PD'!$B$2:$B$212,$B5,'Aged SKUs vs PD'!$R$2:$R$212,"Left out of PD")</f>
        <v>1</v>
      </c>
      <c r="L5" s="5" t="n">
        <f aca="false">COUNTIFS('Aged SKUs vs PD'!$A$2:$A$212,$A5,'Aged SKUs vs PD'!$B$2:$B$212,$B5,'Aged SKUs vs PD'!$R$2:$R$212,"Not in any PD deal sheet")</f>
        <v>0</v>
      </c>
    </row>
    <row r="6" customFormat="false" ht="15" hidden="false" customHeight="false" outlineLevel="0" collapsed="false">
      <c r="A6" s="4" t="s">
        <v>14</v>
      </c>
      <c r="B6" s="4" t="s">
        <v>16</v>
      </c>
      <c r="C6" s="5" t="n">
        <f aca="false">COUNTIFS('Aged SKUs vs PD'!$A$2:$A$212,$A6,'Aged SKUs vs PD'!$B$2:$B$212,$B6)</f>
        <v>18</v>
      </c>
      <c r="D6" s="5" t="n">
        <f aca="false">SUMIFS('Aged SKUs vs PD'!$E$2:$E$212,'Aged SKUs vs PD'!$A$2:$A$212,$A6,'Aged SKUs vs PD'!$B$2:$B$212,$B6)</f>
        <v>1614</v>
      </c>
      <c r="E6" s="5" t="n">
        <f aca="false">SUMIFS('Aged SKUs vs PD'!$N$2:$N$212,'Aged SKUs vs PD'!$A$2:$A$212,$A6,'Aged SKUs vs PD'!$B$2:$B$212,$B6)</f>
        <v>1294</v>
      </c>
      <c r="F6" s="6" t="n">
        <f aca="false">SUMIFS('Aged SKUs vs PD'!$O$2:$O$212,'Aged SKUs vs PD'!$A$2:$A$212,$A6,'Aged SKUs vs PD'!$B$2:$B$212,$B6)</f>
        <v>2517.19</v>
      </c>
      <c r="G6" s="5" t="n">
        <f aca="false">SUMIFS('Aged SKUs vs PD'!$T$2:$T$212,'Aged SKUs vs PD'!$A$2:$A$212,$A6,'Aged SKUs vs PD'!$B$2:$B$212,$B6)</f>
        <v>257</v>
      </c>
      <c r="H6" s="5" t="n">
        <f aca="false">SUMIFS('Aged SKUs vs PD'!$U$2:$U$212,'Aged SKUs vs PD'!$A$2:$A$212,$A6,'Aged SKUs vs PD'!$B$2:$B$212,$B6)</f>
        <v>1371</v>
      </c>
      <c r="I6" s="5" t="n">
        <f aca="false">COUNTIFS('Aged SKUs vs PD'!$A$2:$A$212,$A6,'Aged SKUs vs PD'!$B$2:$B$212,$B6,'Aged SKUs vs PD'!$R$2:$R$212,"In PD – deal covers all aged units")</f>
        <v>2</v>
      </c>
      <c r="J6" s="5" t="n">
        <f aca="false">COUNTIFS('Aged SKUs vs PD'!$A$2:$A$212,$A6,'Aged SKUs vs PD'!$B$2:$B$212,$B6,'Aged SKUs vs PD'!$R$2:$R$212,"In PD – deal covers part of the aged units")</f>
        <v>14</v>
      </c>
      <c r="K6" s="5" t="n">
        <f aca="false">COUNTIFS('Aged SKUs vs PD'!$A$2:$A$212,$A6,'Aged SKUs vs PD'!$B$2:$B$212,$B6,'Aged SKUs vs PD'!$R$2:$R$212,"Left out of PD")</f>
        <v>2</v>
      </c>
      <c r="L6" s="5" t="n">
        <f aca="false">COUNTIFS('Aged SKUs vs PD'!$A$2:$A$212,$A6,'Aged SKUs vs PD'!$B$2:$B$212,$B6,'Aged SKUs vs PD'!$R$2:$R$212,"Not in any PD deal sheet")</f>
        <v>0</v>
      </c>
    </row>
    <row r="7" customFormat="false" ht="15" hidden="false" customHeight="false" outlineLevel="0" collapsed="false">
      <c r="A7" s="4" t="s">
        <v>14</v>
      </c>
      <c r="B7" s="4" t="s">
        <v>17</v>
      </c>
      <c r="C7" s="5" t="n">
        <f aca="false">COUNTIFS('Aged SKUs vs PD'!$A$2:$A$212,$A7,'Aged SKUs vs PD'!$B$2:$B$212,$B7)</f>
        <v>42</v>
      </c>
      <c r="D7" s="5" t="n">
        <f aca="false">SUMIFS('Aged SKUs vs PD'!$E$2:$E$212,'Aged SKUs vs PD'!$A$2:$A$212,$A7,'Aged SKUs vs PD'!$B$2:$B$212,$B7)</f>
        <v>2919</v>
      </c>
      <c r="E7" s="5" t="n">
        <f aca="false">SUMIFS('Aged SKUs vs PD'!$N$2:$N$212,'Aged SKUs vs PD'!$A$2:$A$212,$A7,'Aged SKUs vs PD'!$B$2:$B$212,$B7)</f>
        <v>672</v>
      </c>
      <c r="F7" s="6" t="n">
        <f aca="false">SUMIFS('Aged SKUs vs PD'!$O$2:$O$212,'Aged SKUs vs PD'!$A$2:$A$212,$A7,'Aged SKUs vs PD'!$B$2:$B$212,$B7)</f>
        <v>1494.26</v>
      </c>
      <c r="G7" s="5" t="n">
        <f aca="false">SUMIFS('Aged SKUs vs PD'!$T$2:$T$212,'Aged SKUs vs PD'!$A$2:$A$212,$A7,'Aged SKUs vs PD'!$B$2:$B$212,$B7)</f>
        <v>590</v>
      </c>
      <c r="H7" s="5" t="n">
        <f aca="false">SUMIFS('Aged SKUs vs PD'!$U$2:$U$212,'Aged SKUs vs PD'!$A$2:$A$212,$A7,'Aged SKUs vs PD'!$B$2:$B$212,$B7)</f>
        <v>2399</v>
      </c>
      <c r="I7" s="5" t="n">
        <f aca="false">COUNTIFS('Aged SKUs vs PD'!$A$2:$A$212,$A7,'Aged SKUs vs PD'!$B$2:$B$212,$B7,'Aged SKUs vs PD'!$R$2:$R$212,"In PD – deal covers all aged units")</f>
        <v>7</v>
      </c>
      <c r="J7" s="5" t="n">
        <f aca="false">COUNTIFS('Aged SKUs vs PD'!$A$2:$A$212,$A7,'Aged SKUs vs PD'!$B$2:$B$212,$B7,'Aged SKUs vs PD'!$R$2:$R$212,"In PD – deal covers part of the aged units")</f>
        <v>27</v>
      </c>
      <c r="K7" s="5" t="n">
        <f aca="false">COUNTIFS('Aged SKUs vs PD'!$A$2:$A$212,$A7,'Aged SKUs vs PD'!$B$2:$B$212,$B7,'Aged SKUs vs PD'!$R$2:$R$212,"Left out of PD")</f>
        <v>8</v>
      </c>
      <c r="L7" s="5" t="n">
        <f aca="false">COUNTIFS('Aged SKUs vs PD'!$A$2:$A$212,$A7,'Aged SKUs vs PD'!$B$2:$B$212,$B7,'Aged SKUs vs PD'!$R$2:$R$212,"Not in any PD deal sheet")</f>
        <v>0</v>
      </c>
    </row>
    <row r="8" customFormat="false" ht="15" hidden="false" customHeight="false" outlineLevel="0" collapsed="false">
      <c r="A8" s="4" t="s">
        <v>14</v>
      </c>
      <c r="B8" s="4" t="s">
        <v>18</v>
      </c>
      <c r="C8" s="5" t="n">
        <f aca="false">COUNTIFS('Aged SKUs vs PD'!$A$2:$A$212,$A8,'Aged SKUs vs PD'!$B$2:$B$212,$B8)</f>
        <v>46</v>
      </c>
      <c r="D8" s="5" t="n">
        <f aca="false">SUMIFS('Aged SKUs vs PD'!$E$2:$E$212,'Aged SKUs vs PD'!$A$2:$A$212,$A8,'Aged SKUs vs PD'!$B$2:$B$212,$B8)</f>
        <v>1062</v>
      </c>
      <c r="E8" s="5" t="n">
        <f aca="false">SUMIFS('Aged SKUs vs PD'!$N$2:$N$212,'Aged SKUs vs PD'!$A$2:$A$212,$A8,'Aged SKUs vs PD'!$B$2:$B$212,$B8)</f>
        <v>821</v>
      </c>
      <c r="F8" s="6" t="n">
        <f aca="false">SUMIFS('Aged SKUs vs PD'!$O$2:$O$212,'Aged SKUs vs PD'!$A$2:$A$212,$A8,'Aged SKUs vs PD'!$B$2:$B$212,$B8)</f>
        <v>1164.75</v>
      </c>
      <c r="G8" s="5" t="n">
        <f aca="false">SUMIFS('Aged SKUs vs PD'!$T$2:$T$212,'Aged SKUs vs PD'!$A$2:$A$212,$A8,'Aged SKUs vs PD'!$B$2:$B$212,$B8)</f>
        <v>0</v>
      </c>
      <c r="H8" s="5" t="n">
        <f aca="false">SUMIFS('Aged SKUs vs PD'!$U$2:$U$212,'Aged SKUs vs PD'!$A$2:$A$212,$A8,'Aged SKUs vs PD'!$B$2:$B$212,$B8)</f>
        <v>1062</v>
      </c>
      <c r="I8" s="5" t="n">
        <f aca="false">COUNTIFS('Aged SKUs vs PD'!$A$2:$A$212,$A8,'Aged SKUs vs PD'!$B$2:$B$212,$B8,'Aged SKUs vs PD'!$R$2:$R$212,"In PD – deal covers all aged units")</f>
        <v>0</v>
      </c>
      <c r="J8" s="5" t="n">
        <f aca="false">COUNTIFS('Aged SKUs vs PD'!$A$2:$A$212,$A8,'Aged SKUs vs PD'!$B$2:$B$212,$B8,'Aged SKUs vs PD'!$R$2:$R$212,"In PD – deal covers part of the aged units")</f>
        <v>0</v>
      </c>
      <c r="K8" s="5" t="n">
        <f aca="false">COUNTIFS('Aged SKUs vs PD'!$A$2:$A$212,$A8,'Aged SKUs vs PD'!$B$2:$B$212,$B8,'Aged SKUs vs PD'!$R$2:$R$212,"Left out of PD")</f>
        <v>0</v>
      </c>
      <c r="L8" s="5" t="n">
        <f aca="false">COUNTIFS('Aged SKUs vs PD'!$A$2:$A$212,$A8,'Aged SKUs vs PD'!$B$2:$B$212,$B8,'Aged SKUs vs PD'!$R$2:$R$212,"Not in any PD deal sheet")</f>
        <v>46</v>
      </c>
    </row>
    <row r="9" customFormat="false" ht="15" hidden="false" customHeight="false" outlineLevel="0" collapsed="false">
      <c r="A9" s="4" t="s">
        <v>14</v>
      </c>
      <c r="B9" s="4" t="s">
        <v>19</v>
      </c>
      <c r="C9" s="5" t="n">
        <f aca="false">COUNTIFS('Aged SKUs vs PD'!$A$2:$A$212,$A9,'Aged SKUs vs PD'!$B$2:$B$212,$B9)</f>
        <v>12</v>
      </c>
      <c r="D9" s="5" t="n">
        <f aca="false">SUMIFS('Aged SKUs vs PD'!$E$2:$E$212,'Aged SKUs vs PD'!$A$2:$A$212,$A9,'Aged SKUs vs PD'!$B$2:$B$212,$B9)</f>
        <v>1963</v>
      </c>
      <c r="E9" s="5" t="n">
        <f aca="false">SUMIFS('Aged SKUs vs PD'!$N$2:$N$212,'Aged SKUs vs PD'!$A$2:$A$212,$A9,'Aged SKUs vs PD'!$B$2:$B$212,$B9)</f>
        <v>1780</v>
      </c>
      <c r="F9" s="6" t="n">
        <f aca="false">SUMIFS('Aged SKUs vs PD'!$O$2:$O$212,'Aged SKUs vs PD'!$A$2:$A$212,$A9,'Aged SKUs vs PD'!$B$2:$B$212,$B9)</f>
        <v>411.65</v>
      </c>
      <c r="G9" s="5" t="n">
        <f aca="false">SUMIFS('Aged SKUs vs PD'!$T$2:$T$212,'Aged SKUs vs PD'!$A$2:$A$212,$A9,'Aged SKUs vs PD'!$B$2:$B$212,$B9)</f>
        <v>110</v>
      </c>
      <c r="H9" s="5" t="n">
        <f aca="false">SUMIFS('Aged SKUs vs PD'!$U$2:$U$212,'Aged SKUs vs PD'!$A$2:$A$212,$A9,'Aged SKUs vs PD'!$B$2:$B$212,$B9)</f>
        <v>1853</v>
      </c>
      <c r="I9" s="5" t="n">
        <f aca="false">COUNTIFS('Aged SKUs vs PD'!$A$2:$A$212,$A9,'Aged SKUs vs PD'!$B$2:$B$212,$B9,'Aged SKUs vs PD'!$R$2:$R$212,"In PD – deal covers all aged units")</f>
        <v>0</v>
      </c>
      <c r="J9" s="5" t="n">
        <f aca="false">COUNTIFS('Aged SKUs vs PD'!$A$2:$A$212,$A9,'Aged SKUs vs PD'!$B$2:$B$212,$B9,'Aged SKUs vs PD'!$R$2:$R$212,"In PD – deal covers part of the aged units")</f>
        <v>11</v>
      </c>
      <c r="K9" s="5" t="n">
        <f aca="false">COUNTIFS('Aged SKUs vs PD'!$A$2:$A$212,$A9,'Aged SKUs vs PD'!$B$2:$B$212,$B9,'Aged SKUs vs PD'!$R$2:$R$212,"Left out of PD")</f>
        <v>1</v>
      </c>
      <c r="L9" s="5" t="n">
        <f aca="false">COUNTIFS('Aged SKUs vs PD'!$A$2:$A$212,$A9,'Aged SKUs vs PD'!$B$2:$B$212,$B9,'Aged SKUs vs PD'!$R$2:$R$212,"Not in any PD deal sheet")</f>
        <v>0</v>
      </c>
    </row>
    <row r="10" customFormat="false" ht="15" hidden="false" customHeight="false" outlineLevel="0" collapsed="false">
      <c r="A10" s="4" t="s">
        <v>20</v>
      </c>
      <c r="B10" s="4" t="s">
        <v>15</v>
      </c>
      <c r="C10" s="5" t="n">
        <f aca="false">COUNTIFS('Aged SKUs vs PD'!$A$2:$A$212,$A10,'Aged SKUs vs PD'!$B$2:$B$212,$B10)</f>
        <v>13</v>
      </c>
      <c r="D10" s="5" t="n">
        <f aca="false">SUMIFS('Aged SKUs vs PD'!$E$2:$E$212,'Aged SKUs vs PD'!$A$2:$A$212,$A10,'Aged SKUs vs PD'!$B$2:$B$212,$B10)</f>
        <v>111</v>
      </c>
      <c r="E10" s="5" t="n">
        <f aca="false">SUMIFS('Aged SKUs vs PD'!$N$2:$N$212,'Aged SKUs vs PD'!$A$2:$A$212,$A10,'Aged SKUs vs PD'!$B$2:$B$212,$B10)</f>
        <v>92</v>
      </c>
      <c r="F10" s="6" t="n">
        <f aca="false">SUMIFS('Aged SKUs vs PD'!$O$2:$O$212,'Aged SKUs vs PD'!$A$2:$A$212,$A10,'Aged SKUs vs PD'!$B$2:$B$212,$B10)</f>
        <v>226.29</v>
      </c>
      <c r="G10" s="5" t="n">
        <f aca="false">SUMIFS('Aged SKUs vs PD'!$T$2:$T$212,'Aged SKUs vs PD'!$A$2:$A$212,$A10,'Aged SKUs vs PD'!$B$2:$B$212,$B10)</f>
        <v>61</v>
      </c>
      <c r="H10" s="5" t="n">
        <f aca="false">SUMIFS('Aged SKUs vs PD'!$U$2:$U$212,'Aged SKUs vs PD'!$A$2:$A$212,$A10,'Aged SKUs vs PD'!$B$2:$B$212,$B10)</f>
        <v>68</v>
      </c>
      <c r="I10" s="5" t="n">
        <f aca="false">COUNTIFS('Aged SKUs vs PD'!$A$2:$A$212,$A10,'Aged SKUs vs PD'!$B$2:$B$212,$B10,'Aged SKUs vs PD'!$R$2:$R$212,"In PD – deal covers all aged units")</f>
        <v>3</v>
      </c>
      <c r="J10" s="5" t="n">
        <f aca="false">COUNTIFS('Aged SKUs vs PD'!$A$2:$A$212,$A10,'Aged SKUs vs PD'!$B$2:$B$212,$B10,'Aged SKUs vs PD'!$R$2:$R$212,"In PD – deal covers part of the aged units")</f>
        <v>4</v>
      </c>
      <c r="K10" s="5" t="n">
        <f aca="false">COUNTIFS('Aged SKUs vs PD'!$A$2:$A$212,$A10,'Aged SKUs vs PD'!$B$2:$B$212,$B10,'Aged SKUs vs PD'!$R$2:$R$212,"Left out of PD")</f>
        <v>6</v>
      </c>
      <c r="L10" s="5" t="n">
        <f aca="false">COUNTIFS('Aged SKUs vs PD'!$A$2:$A$212,$A10,'Aged SKUs vs PD'!$B$2:$B$212,$B10,'Aged SKUs vs PD'!$R$2:$R$212,"Not in any PD deal sheet")</f>
        <v>0</v>
      </c>
    </row>
    <row r="11" customFormat="false" ht="15" hidden="false" customHeight="false" outlineLevel="0" collapsed="false">
      <c r="A11" s="4" t="s">
        <v>20</v>
      </c>
      <c r="B11" s="4" t="s">
        <v>16</v>
      </c>
      <c r="C11" s="5" t="n">
        <f aca="false">COUNTIFS('Aged SKUs vs PD'!$A$2:$A$212,$A11,'Aged SKUs vs PD'!$B$2:$B$212,$B11)</f>
        <v>11</v>
      </c>
      <c r="D11" s="5" t="n">
        <f aca="false">SUMIFS('Aged SKUs vs PD'!$E$2:$E$212,'Aged SKUs vs PD'!$A$2:$A$212,$A11,'Aged SKUs vs PD'!$B$2:$B$212,$B11)</f>
        <v>88</v>
      </c>
      <c r="E11" s="5" t="n">
        <f aca="false">SUMIFS('Aged SKUs vs PD'!$N$2:$N$212,'Aged SKUs vs PD'!$A$2:$A$212,$A11,'Aged SKUs vs PD'!$B$2:$B$212,$B11)</f>
        <v>80</v>
      </c>
      <c r="F11" s="6" t="n">
        <f aca="false">SUMIFS('Aged SKUs vs PD'!$O$2:$O$212,'Aged SKUs vs PD'!$A$2:$A$212,$A11,'Aged SKUs vs PD'!$B$2:$B$212,$B11)</f>
        <v>191.11</v>
      </c>
      <c r="G11" s="5" t="n">
        <f aca="false">SUMIFS('Aged SKUs vs PD'!$T$2:$T$212,'Aged SKUs vs PD'!$A$2:$A$212,$A11,'Aged SKUs vs PD'!$B$2:$B$212,$B11)</f>
        <v>27</v>
      </c>
      <c r="H11" s="5" t="n">
        <f aca="false">SUMIFS('Aged SKUs vs PD'!$U$2:$U$212,'Aged SKUs vs PD'!$A$2:$A$212,$A11,'Aged SKUs vs PD'!$B$2:$B$212,$B11)</f>
        <v>68</v>
      </c>
      <c r="I11" s="5" t="n">
        <f aca="false">COUNTIFS('Aged SKUs vs PD'!$A$2:$A$212,$A11,'Aged SKUs vs PD'!$B$2:$B$212,$B11,'Aged SKUs vs PD'!$R$2:$R$212,"In PD – deal covers all aged units")</f>
        <v>2</v>
      </c>
      <c r="J11" s="5" t="n">
        <f aca="false">COUNTIFS('Aged SKUs vs PD'!$A$2:$A$212,$A11,'Aged SKUs vs PD'!$B$2:$B$212,$B11,'Aged SKUs vs PD'!$R$2:$R$212,"In PD – deal covers part of the aged units")</f>
        <v>3</v>
      </c>
      <c r="K11" s="5" t="n">
        <f aca="false">COUNTIFS('Aged SKUs vs PD'!$A$2:$A$212,$A11,'Aged SKUs vs PD'!$B$2:$B$212,$B11,'Aged SKUs vs PD'!$R$2:$R$212,"Left out of PD")</f>
        <v>6</v>
      </c>
      <c r="L11" s="5" t="n">
        <f aca="false">COUNTIFS('Aged SKUs vs PD'!$A$2:$A$212,$A11,'Aged SKUs vs PD'!$B$2:$B$212,$B11,'Aged SKUs vs PD'!$R$2:$R$212,"Not in any PD deal sheet")</f>
        <v>0</v>
      </c>
    </row>
    <row r="12" customFormat="false" ht="15" hidden="false" customHeight="false" outlineLevel="0" collapsed="false">
      <c r="A12" s="4" t="s">
        <v>20</v>
      </c>
      <c r="B12" s="4" t="s">
        <v>17</v>
      </c>
      <c r="C12" s="5" t="n">
        <f aca="false">COUNTIFS('Aged SKUs vs PD'!$A$2:$A$212,$A12,'Aged SKUs vs PD'!$B$2:$B$212,$B12)</f>
        <v>21</v>
      </c>
      <c r="D12" s="5" t="n">
        <f aca="false">SUMIFS('Aged SKUs vs PD'!$E$2:$E$212,'Aged SKUs vs PD'!$A$2:$A$212,$A12,'Aged SKUs vs PD'!$B$2:$B$212,$B12)</f>
        <v>117</v>
      </c>
      <c r="E12" s="5" t="n">
        <f aca="false">SUMIFS('Aged SKUs vs PD'!$N$2:$N$212,'Aged SKUs vs PD'!$A$2:$A$212,$A12,'Aged SKUs vs PD'!$B$2:$B$212,$B12)</f>
        <v>77</v>
      </c>
      <c r="F12" s="6" t="n">
        <f aca="false">SUMIFS('Aged SKUs vs PD'!$O$2:$O$212,'Aged SKUs vs PD'!$A$2:$A$212,$A12,'Aged SKUs vs PD'!$B$2:$B$212,$B12)</f>
        <v>116.35</v>
      </c>
      <c r="G12" s="5" t="n">
        <f aca="false">SUMIFS('Aged SKUs vs PD'!$T$2:$T$212,'Aged SKUs vs PD'!$A$2:$A$212,$A12,'Aged SKUs vs PD'!$B$2:$B$212,$B12)</f>
        <v>10</v>
      </c>
      <c r="H12" s="5" t="n">
        <f aca="false">SUMIFS('Aged SKUs vs PD'!$U$2:$U$212,'Aged SKUs vs PD'!$A$2:$A$212,$A12,'Aged SKUs vs PD'!$B$2:$B$212,$B12)</f>
        <v>113</v>
      </c>
      <c r="I12" s="5" t="n">
        <f aca="false">COUNTIFS('Aged SKUs vs PD'!$A$2:$A$212,$A12,'Aged SKUs vs PD'!$B$2:$B$212,$B12,'Aged SKUs vs PD'!$R$2:$R$212,"In PD – deal covers all aged units")</f>
        <v>2</v>
      </c>
      <c r="J12" s="5" t="n">
        <f aca="false">COUNTIFS('Aged SKUs vs PD'!$A$2:$A$212,$A12,'Aged SKUs vs PD'!$B$2:$B$212,$B12,'Aged SKUs vs PD'!$R$2:$R$212,"In PD – deal covers part of the aged units")</f>
        <v>0</v>
      </c>
      <c r="K12" s="5" t="n">
        <f aca="false">COUNTIFS('Aged SKUs vs PD'!$A$2:$A$212,$A12,'Aged SKUs vs PD'!$B$2:$B$212,$B12,'Aged SKUs vs PD'!$R$2:$R$212,"Left out of PD")</f>
        <v>19</v>
      </c>
      <c r="L12" s="5" t="n">
        <f aca="false">COUNTIFS('Aged SKUs vs PD'!$A$2:$A$212,$A12,'Aged SKUs vs PD'!$B$2:$B$212,$B12,'Aged SKUs vs PD'!$R$2:$R$212,"Not in any PD deal sheet")</f>
        <v>0</v>
      </c>
    </row>
    <row r="13" customFormat="false" ht="15" hidden="false" customHeight="false" outlineLevel="0" collapsed="false">
      <c r="A13" s="4" t="s">
        <v>20</v>
      </c>
      <c r="B13" s="4" t="s">
        <v>18</v>
      </c>
      <c r="C13" s="5" t="n">
        <f aca="false">COUNTIFS('Aged SKUs vs PD'!$A$2:$A$212,$A13,'Aged SKUs vs PD'!$B$2:$B$212,$B13)</f>
        <v>32</v>
      </c>
      <c r="D13" s="5" t="n">
        <f aca="false">SUMIFS('Aged SKUs vs PD'!$E$2:$E$212,'Aged SKUs vs PD'!$A$2:$A$212,$A13,'Aged SKUs vs PD'!$B$2:$B$212,$B13)</f>
        <v>231</v>
      </c>
      <c r="E13" s="5" t="n">
        <f aca="false">SUMIFS('Aged SKUs vs PD'!$N$2:$N$212,'Aged SKUs vs PD'!$A$2:$A$212,$A13,'Aged SKUs vs PD'!$B$2:$B$212,$B13)</f>
        <v>170</v>
      </c>
      <c r="F13" s="6" t="n">
        <f aca="false">SUMIFS('Aged SKUs vs PD'!$O$2:$O$212,'Aged SKUs vs PD'!$A$2:$A$212,$A13,'Aged SKUs vs PD'!$B$2:$B$212,$B13)</f>
        <v>234.05</v>
      </c>
      <c r="G13" s="5" t="n">
        <f aca="false">SUMIFS('Aged SKUs vs PD'!$T$2:$T$212,'Aged SKUs vs PD'!$A$2:$A$212,$A13,'Aged SKUs vs PD'!$B$2:$B$212,$B13)</f>
        <v>50</v>
      </c>
      <c r="H13" s="5" t="n">
        <f aca="false">SUMIFS('Aged SKUs vs PD'!$U$2:$U$212,'Aged SKUs vs PD'!$A$2:$A$212,$A13,'Aged SKUs vs PD'!$B$2:$B$212,$B13)</f>
        <v>182</v>
      </c>
      <c r="I13" s="5" t="n">
        <f aca="false">COUNTIFS('Aged SKUs vs PD'!$A$2:$A$212,$A13,'Aged SKUs vs PD'!$B$2:$B$212,$B13,'Aged SKUs vs PD'!$R$2:$R$212,"In PD – deal covers all aged units")</f>
        <v>2</v>
      </c>
      <c r="J13" s="5" t="n">
        <f aca="false">COUNTIFS('Aged SKUs vs PD'!$A$2:$A$212,$A13,'Aged SKUs vs PD'!$B$2:$B$212,$B13,'Aged SKUs vs PD'!$R$2:$R$212,"In PD – deal covers part of the aged units")</f>
        <v>8</v>
      </c>
      <c r="K13" s="5" t="n">
        <f aca="false">COUNTIFS('Aged SKUs vs PD'!$A$2:$A$212,$A13,'Aged SKUs vs PD'!$B$2:$B$212,$B13,'Aged SKUs vs PD'!$R$2:$R$212,"Left out of PD")</f>
        <v>22</v>
      </c>
      <c r="L13" s="5" t="n">
        <f aca="false">COUNTIFS('Aged SKUs vs PD'!$A$2:$A$212,$A13,'Aged SKUs vs PD'!$B$2:$B$212,$B13,'Aged SKUs vs PD'!$R$2:$R$212,"Not in any PD deal sheet")</f>
        <v>0</v>
      </c>
    </row>
    <row r="14" customFormat="false" ht="15" hidden="false" customHeight="false" outlineLevel="0" collapsed="false">
      <c r="A14" s="7" t="s">
        <v>14</v>
      </c>
      <c r="B14" s="7" t="s">
        <v>21</v>
      </c>
      <c r="C14" s="8" t="n">
        <f aca="false">C5+C6+C7+C8+C9</f>
        <v>134</v>
      </c>
      <c r="D14" s="8" t="n">
        <f aca="false">D5+D6+D7+D8+D9</f>
        <v>8455</v>
      </c>
      <c r="E14" s="8" t="n">
        <f aca="false">E5+E6+E7+E8+E9</f>
        <v>5115</v>
      </c>
      <c r="F14" s="9" t="n">
        <f aca="false">F5+F6+F7+F8+F9</f>
        <v>6505.72</v>
      </c>
      <c r="G14" s="8" t="n">
        <f aca="false">G5+G6+G7+G8+G9</f>
        <v>1185</v>
      </c>
      <c r="H14" s="8" t="n">
        <f aca="false">H5+H6+H7+H8+H9</f>
        <v>7358</v>
      </c>
      <c r="I14" s="8" t="n">
        <f aca="false">I5+I6+I7+I8+I9</f>
        <v>10</v>
      </c>
      <c r="J14" s="8" t="n">
        <f aca="false">J5+J6+J7+J8+J9</f>
        <v>66</v>
      </c>
      <c r="K14" s="8" t="n">
        <f aca="false">K5+K6+K7+K8+K9</f>
        <v>12</v>
      </c>
      <c r="L14" s="8" t="n">
        <f aca="false">L5+L6+L7+L8+L9</f>
        <v>46</v>
      </c>
    </row>
    <row r="15" customFormat="false" ht="15" hidden="false" customHeight="false" outlineLevel="0" collapsed="false">
      <c r="A15" s="7" t="s">
        <v>20</v>
      </c>
      <c r="B15" s="7" t="s">
        <v>22</v>
      </c>
      <c r="C15" s="8" t="n">
        <f aca="false">C10+C11+C12+C13</f>
        <v>77</v>
      </c>
      <c r="D15" s="8" t="n">
        <f aca="false">D10+D11+D12+D13</f>
        <v>547</v>
      </c>
      <c r="E15" s="8" t="n">
        <f aca="false">E10+E11+E12+E13</f>
        <v>419</v>
      </c>
      <c r="F15" s="9" t="n">
        <f aca="false">F10+F11+F12+F13</f>
        <v>767.8</v>
      </c>
      <c r="G15" s="8" t="n">
        <f aca="false">G10+G11+G12+G13</f>
        <v>148</v>
      </c>
      <c r="H15" s="8" t="n">
        <f aca="false">H10+H11+H12+H13</f>
        <v>431</v>
      </c>
      <c r="I15" s="8" t="n">
        <f aca="false">I10+I11+I12+I13</f>
        <v>9</v>
      </c>
      <c r="J15" s="8" t="n">
        <f aca="false">J10+J11+J12+J13</f>
        <v>15</v>
      </c>
      <c r="K15" s="8" t="n">
        <f aca="false">K10+K11+K12+K13</f>
        <v>53</v>
      </c>
      <c r="L15" s="8" t="n">
        <f aca="false">L10+L11+L12+L13</f>
        <v>0</v>
      </c>
    </row>
    <row r="18" customFormat="false" ht="15" hidden="false" customHeight="false" outlineLevel="0" collapsed="false">
      <c r="A18" s="10" t="s">
        <v>23</v>
      </c>
    </row>
    <row r="19" customFormat="false" ht="42" hidden="false" customHeight="true" outlineLevel="0" collapsed="false">
      <c r="A19" s="3" t="s">
        <v>24</v>
      </c>
      <c r="B19" s="3" t="s">
        <v>3</v>
      </c>
      <c r="C19" s="3" t="s">
        <v>25</v>
      </c>
      <c r="D19" s="3" t="s">
        <v>26</v>
      </c>
      <c r="E19" s="3" t="s">
        <v>27</v>
      </c>
      <c r="F19" s="3" t="s">
        <v>28</v>
      </c>
      <c r="G19" s="3" t="s">
        <v>29</v>
      </c>
      <c r="H19" s="3" t="s">
        <v>30</v>
      </c>
    </row>
    <row r="20" customFormat="false" ht="15" hidden="false" customHeight="false" outlineLevel="0" collapsed="false">
      <c r="A20" s="11" t="s">
        <v>31</v>
      </c>
      <c r="B20" s="11" t="s">
        <v>16</v>
      </c>
      <c r="C20" s="11" t="s">
        <v>32</v>
      </c>
      <c r="D20" s="12" t="n">
        <v>1614</v>
      </c>
      <c r="E20" s="13" t="n">
        <v>2517.2</v>
      </c>
      <c r="F20" s="12" t="n">
        <v>88</v>
      </c>
      <c r="G20" s="13" t="n">
        <v>191.09</v>
      </c>
      <c r="H20" s="11" t="s">
        <v>33</v>
      </c>
    </row>
    <row r="21" customFormat="false" ht="15" hidden="false" customHeight="false" outlineLevel="0" collapsed="false">
      <c r="A21" s="11" t="s">
        <v>34</v>
      </c>
      <c r="B21" s="11" t="s">
        <v>17</v>
      </c>
      <c r="C21" s="11" t="s">
        <v>35</v>
      </c>
      <c r="D21" s="12" t="n">
        <v>2228</v>
      </c>
      <c r="E21" s="13" t="n">
        <v>2340.23</v>
      </c>
      <c r="F21" s="12" t="n">
        <v>86</v>
      </c>
      <c r="G21" s="13" t="n">
        <v>173.77</v>
      </c>
      <c r="H21" s="11" t="s">
        <v>36</v>
      </c>
    </row>
    <row r="22" customFormat="false" ht="15" hidden="false" customHeight="false" outlineLevel="0" collapsed="false">
      <c r="A22" s="11" t="s">
        <v>31</v>
      </c>
      <c r="B22" s="11" t="s">
        <v>37</v>
      </c>
      <c r="C22" s="11" t="s">
        <v>38</v>
      </c>
      <c r="D22" s="12" t="n">
        <v>1206</v>
      </c>
      <c r="E22" s="13" t="n">
        <v>1840.55</v>
      </c>
      <c r="F22" s="12" t="n">
        <v>2</v>
      </c>
      <c r="G22" s="13" t="n">
        <v>2.37</v>
      </c>
      <c r="H22" s="11" t="s">
        <v>36</v>
      </c>
    </row>
    <row r="23" customFormat="false" ht="15" hidden="false" customHeight="false" outlineLevel="0" collapsed="false">
      <c r="A23" s="11" t="s">
        <v>34</v>
      </c>
      <c r="B23" s="11" t="s">
        <v>16</v>
      </c>
      <c r="C23" s="11" t="s">
        <v>32</v>
      </c>
      <c r="D23" s="12" t="n">
        <v>948</v>
      </c>
      <c r="E23" s="13" t="n">
        <v>1751.48</v>
      </c>
      <c r="F23" s="12" t="n">
        <v>0</v>
      </c>
      <c r="G23" s="13" t="n">
        <v>0</v>
      </c>
      <c r="H23" s="11" t="s">
        <v>36</v>
      </c>
    </row>
    <row r="24" customFormat="false" ht="15" hidden="false" customHeight="false" outlineLevel="0" collapsed="false">
      <c r="A24" s="11" t="s">
        <v>31</v>
      </c>
      <c r="B24" s="11" t="s">
        <v>17</v>
      </c>
      <c r="C24" s="11" t="s">
        <v>35</v>
      </c>
      <c r="D24" s="12" t="n">
        <v>2919</v>
      </c>
      <c r="E24" s="13" t="n">
        <v>1494.27</v>
      </c>
      <c r="F24" s="12" t="n">
        <v>117</v>
      </c>
      <c r="G24" s="13" t="n">
        <v>116.36</v>
      </c>
      <c r="H24" s="11" t="s">
        <v>33</v>
      </c>
    </row>
    <row r="25" customFormat="false" ht="15" hidden="false" customHeight="false" outlineLevel="0" collapsed="false">
      <c r="A25" s="11" t="s">
        <v>31</v>
      </c>
      <c r="B25" s="11" t="s">
        <v>18</v>
      </c>
      <c r="C25" s="11" t="s">
        <v>35</v>
      </c>
      <c r="D25" s="12" t="n">
        <v>1062</v>
      </c>
      <c r="E25" s="13" t="n">
        <v>1164.75</v>
      </c>
      <c r="F25" s="12" t="n">
        <v>231</v>
      </c>
      <c r="G25" s="13" t="n">
        <v>234.06</v>
      </c>
      <c r="H25" s="11" t="s">
        <v>39</v>
      </c>
    </row>
    <row r="26" customFormat="false" ht="15" hidden="false" customHeight="false" outlineLevel="0" collapsed="false">
      <c r="A26" s="11" t="s">
        <v>31</v>
      </c>
      <c r="B26" s="11" t="s">
        <v>40</v>
      </c>
      <c r="C26" s="11" t="s">
        <v>35</v>
      </c>
      <c r="D26" s="12" t="n">
        <v>1324</v>
      </c>
      <c r="E26" s="13" t="n">
        <v>941.95</v>
      </c>
      <c r="F26" s="12" t="n">
        <v>82</v>
      </c>
      <c r="G26" s="13" t="n">
        <v>52.19</v>
      </c>
      <c r="H26" s="11" t="s">
        <v>36</v>
      </c>
    </row>
    <row r="27" customFormat="false" ht="15" hidden="false" customHeight="false" outlineLevel="0" collapsed="false">
      <c r="A27" s="11" t="s">
        <v>31</v>
      </c>
      <c r="B27" s="11" t="s">
        <v>15</v>
      </c>
      <c r="C27" s="11" t="s">
        <v>32</v>
      </c>
      <c r="D27" s="12" t="n">
        <v>897</v>
      </c>
      <c r="E27" s="13" t="n">
        <v>917.88</v>
      </c>
      <c r="F27" s="12" t="n">
        <v>111</v>
      </c>
      <c r="G27" s="13" t="n">
        <v>226.31</v>
      </c>
      <c r="H27" s="11" t="s">
        <v>33</v>
      </c>
    </row>
    <row r="28" customFormat="false" ht="15" hidden="false" customHeight="false" outlineLevel="0" collapsed="false">
      <c r="A28" s="11" t="s">
        <v>31</v>
      </c>
      <c r="B28" s="11" t="s">
        <v>41</v>
      </c>
      <c r="C28" s="11" t="s">
        <v>32</v>
      </c>
      <c r="D28" s="12" t="n">
        <v>584</v>
      </c>
      <c r="E28" s="13" t="n">
        <v>698.08</v>
      </c>
      <c r="F28" s="12" t="n">
        <v>0</v>
      </c>
      <c r="G28" s="13" t="n">
        <v>0</v>
      </c>
      <c r="H28" s="11" t="s">
        <v>36</v>
      </c>
    </row>
    <row r="29" customFormat="false" ht="15" hidden="false" customHeight="false" outlineLevel="0" collapsed="false">
      <c r="A29" s="11" t="s">
        <v>31</v>
      </c>
      <c r="B29" s="11" t="s">
        <v>42</v>
      </c>
      <c r="C29" s="11" t="s">
        <v>38</v>
      </c>
      <c r="D29" s="12" t="n">
        <v>179</v>
      </c>
      <c r="E29" s="13" t="n">
        <v>604.54</v>
      </c>
      <c r="F29" s="12" t="n">
        <v>0</v>
      </c>
      <c r="G29" s="13" t="n">
        <v>0</v>
      </c>
      <c r="H29" s="11" t="s">
        <v>36</v>
      </c>
    </row>
    <row r="30" customFormat="false" ht="15" hidden="false" customHeight="false" outlineLevel="0" collapsed="false">
      <c r="A30" s="11" t="s">
        <v>31</v>
      </c>
      <c r="B30" s="11" t="s">
        <v>19</v>
      </c>
      <c r="C30" s="11" t="s">
        <v>32</v>
      </c>
      <c r="D30" s="12" t="n">
        <v>1963</v>
      </c>
      <c r="E30" s="13" t="n">
        <v>411.64</v>
      </c>
      <c r="F30" s="12" t="n">
        <v>0</v>
      </c>
      <c r="G30" s="13" t="n">
        <v>0</v>
      </c>
      <c r="H30" s="11" t="s">
        <v>43</v>
      </c>
    </row>
    <row r="31" customFormat="false" ht="15" hidden="false" customHeight="false" outlineLevel="0" collapsed="false">
      <c r="A31" s="11" t="s">
        <v>34</v>
      </c>
      <c r="B31" s="11" t="s">
        <v>44</v>
      </c>
      <c r="C31" s="11" t="s">
        <v>38</v>
      </c>
      <c r="D31" s="12" t="n">
        <v>65</v>
      </c>
      <c r="E31" s="13" t="n">
        <v>285.92</v>
      </c>
      <c r="F31" s="12" t="n">
        <v>0</v>
      </c>
      <c r="G31" s="13" t="n">
        <v>0</v>
      </c>
      <c r="H31" s="11" t="s">
        <v>36</v>
      </c>
    </row>
    <row r="32" customFormat="false" ht="15" hidden="false" customHeight="false" outlineLevel="0" collapsed="false">
      <c r="A32" s="11" t="s">
        <v>31</v>
      </c>
      <c r="B32" s="11" t="s">
        <v>45</v>
      </c>
      <c r="C32" s="11" t="s">
        <v>38</v>
      </c>
      <c r="D32" s="12" t="n">
        <v>119</v>
      </c>
      <c r="E32" s="13" t="n">
        <v>235.79</v>
      </c>
      <c r="F32" s="12" t="n">
        <v>1</v>
      </c>
      <c r="G32" s="13" t="n">
        <v>2.34</v>
      </c>
      <c r="H32" s="11" t="s">
        <v>36</v>
      </c>
    </row>
    <row r="33" customFormat="false" ht="15" hidden="false" customHeight="false" outlineLevel="0" collapsed="false">
      <c r="A33" s="11" t="s">
        <v>34</v>
      </c>
      <c r="B33" s="11" t="s">
        <v>46</v>
      </c>
      <c r="C33" s="11" t="s">
        <v>32</v>
      </c>
      <c r="D33" s="12" t="n">
        <v>205</v>
      </c>
      <c r="E33" s="13" t="n">
        <v>213.21</v>
      </c>
      <c r="F33" s="12" t="n">
        <v>0</v>
      </c>
      <c r="G33" s="13" t="n">
        <v>0</v>
      </c>
      <c r="H33" s="11" t="s">
        <v>36</v>
      </c>
    </row>
    <row r="34" customFormat="false" ht="15" hidden="false" customHeight="false" outlineLevel="0" collapsed="false">
      <c r="A34" s="11" t="s">
        <v>34</v>
      </c>
      <c r="B34" s="11" t="s">
        <v>47</v>
      </c>
      <c r="C34" s="11" t="s">
        <v>48</v>
      </c>
      <c r="D34" s="12" t="n">
        <v>558</v>
      </c>
      <c r="E34" s="13" t="n">
        <v>209.24</v>
      </c>
      <c r="F34" s="12" t="n">
        <v>0</v>
      </c>
      <c r="G34" s="13" t="n">
        <v>0</v>
      </c>
      <c r="H34" s="11" t="s">
        <v>36</v>
      </c>
    </row>
    <row r="35" customFormat="false" ht="15" hidden="false" customHeight="false" outlineLevel="0" collapsed="false">
      <c r="A35" s="11" t="s">
        <v>31</v>
      </c>
      <c r="B35" s="11" t="s">
        <v>49</v>
      </c>
      <c r="C35" s="11" t="s">
        <v>38</v>
      </c>
      <c r="D35" s="12" t="n">
        <v>162</v>
      </c>
      <c r="E35" s="13" t="n">
        <v>168.35</v>
      </c>
      <c r="F35" s="12" t="n">
        <v>0</v>
      </c>
      <c r="G35" s="13" t="n">
        <v>0</v>
      </c>
      <c r="H35" s="11" t="s">
        <v>36</v>
      </c>
    </row>
    <row r="36" customFormat="false" ht="15" hidden="false" customHeight="false" outlineLevel="0" collapsed="false">
      <c r="A36" s="11" t="s">
        <v>34</v>
      </c>
      <c r="B36" s="11" t="s">
        <v>50</v>
      </c>
      <c r="C36" s="11" t="s">
        <v>32</v>
      </c>
      <c r="D36" s="12" t="n">
        <v>153</v>
      </c>
      <c r="E36" s="13" t="n">
        <v>138.39</v>
      </c>
      <c r="F36" s="12" t="n">
        <v>0</v>
      </c>
      <c r="G36" s="13" t="n">
        <v>0</v>
      </c>
      <c r="H36" s="11" t="s">
        <v>36</v>
      </c>
    </row>
    <row r="37" customFormat="false" ht="15" hidden="false" customHeight="false" outlineLevel="0" collapsed="false">
      <c r="A37" s="11" t="s">
        <v>31</v>
      </c>
      <c r="B37" s="11" t="s">
        <v>51</v>
      </c>
      <c r="C37" s="11" t="s">
        <v>38</v>
      </c>
      <c r="D37" s="12" t="n">
        <v>44</v>
      </c>
      <c r="E37" s="13" t="n">
        <v>88.2</v>
      </c>
      <c r="F37" s="12" t="n">
        <v>0</v>
      </c>
      <c r="G37" s="13" t="n">
        <v>0</v>
      </c>
      <c r="H37" s="11" t="s">
        <v>36</v>
      </c>
    </row>
    <row r="38" customFormat="false" ht="15" hidden="false" customHeight="false" outlineLevel="0" collapsed="false">
      <c r="A38" s="11" t="s">
        <v>31</v>
      </c>
      <c r="B38" s="11" t="s">
        <v>52</v>
      </c>
      <c r="C38" s="11" t="s">
        <v>38</v>
      </c>
      <c r="D38" s="12" t="n">
        <v>19</v>
      </c>
      <c r="E38" s="13" t="n">
        <v>56.65</v>
      </c>
      <c r="F38" s="12" t="n">
        <v>0</v>
      </c>
      <c r="G38" s="13" t="n">
        <v>0</v>
      </c>
      <c r="H38" s="11" t="s">
        <v>36</v>
      </c>
    </row>
    <row r="39" customFormat="false" ht="15" hidden="false" customHeight="false" outlineLevel="0" collapsed="false">
      <c r="A39" s="11" t="s">
        <v>34</v>
      </c>
      <c r="B39" s="11" t="s">
        <v>15</v>
      </c>
      <c r="C39" s="11" t="s">
        <v>53</v>
      </c>
      <c r="D39" s="12" t="n">
        <v>38</v>
      </c>
      <c r="E39" s="13" t="n">
        <v>48.7</v>
      </c>
      <c r="F39" s="12" t="n">
        <v>0</v>
      </c>
      <c r="G39" s="13" t="n">
        <v>0</v>
      </c>
      <c r="H39" s="11" t="s">
        <v>36</v>
      </c>
    </row>
    <row r="40" customFormat="false" ht="15" hidden="false" customHeight="false" outlineLevel="0" collapsed="false">
      <c r="A40" s="11" t="s">
        <v>34</v>
      </c>
      <c r="B40" s="11" t="s">
        <v>41</v>
      </c>
      <c r="C40" s="11" t="s">
        <v>32</v>
      </c>
      <c r="D40" s="12" t="n">
        <v>80</v>
      </c>
      <c r="E40" s="13" t="n">
        <v>13.51</v>
      </c>
      <c r="F40" s="12" t="n">
        <v>0</v>
      </c>
      <c r="G40" s="13" t="n">
        <v>0</v>
      </c>
      <c r="H40" s="11" t="s">
        <v>36</v>
      </c>
    </row>
    <row r="41" customFormat="false" ht="15" hidden="false" customHeight="false" outlineLevel="0" collapsed="false">
      <c r="A41" s="11" t="s">
        <v>34</v>
      </c>
      <c r="B41" s="11" t="s">
        <v>54</v>
      </c>
      <c r="C41" s="11" t="s">
        <v>38</v>
      </c>
      <c r="D41" s="12" t="n">
        <v>53</v>
      </c>
      <c r="E41" s="13" t="n">
        <v>11.04</v>
      </c>
      <c r="F41" s="12" t="n">
        <v>0</v>
      </c>
      <c r="G41" s="13" t="n">
        <v>0</v>
      </c>
      <c r="H41" s="11" t="s">
        <v>36</v>
      </c>
    </row>
    <row r="42" customFormat="false" ht="15" hidden="false" customHeight="false" outlineLevel="0" collapsed="false">
      <c r="A42" s="11" t="s">
        <v>34</v>
      </c>
      <c r="B42" s="11" t="s">
        <v>55</v>
      </c>
      <c r="C42" s="11" t="s">
        <v>32</v>
      </c>
      <c r="D42" s="12" t="n">
        <v>4</v>
      </c>
      <c r="E42" s="13" t="n">
        <v>1.21</v>
      </c>
      <c r="F42" s="12" t="n">
        <v>0</v>
      </c>
      <c r="G42" s="13" t="n">
        <v>0</v>
      </c>
      <c r="H42" s="11" t="s">
        <v>36</v>
      </c>
    </row>
    <row r="43" customFormat="false" ht="15" hidden="false" customHeight="false" outlineLevel="0" collapsed="false">
      <c r="A43" s="14"/>
      <c r="B43" s="14" t="s">
        <v>56</v>
      </c>
      <c r="C43" s="14"/>
      <c r="D43" s="15" t="n">
        <f aca="false">SUM(D20:D42)</f>
        <v>16424</v>
      </c>
      <c r="E43" s="16" t="n">
        <f aca="false">SUM(E20:E42)</f>
        <v>16152.78</v>
      </c>
      <c r="F43" s="15" t="n">
        <f aca="false">SUM(F20:F42)</f>
        <v>718</v>
      </c>
      <c r="G43" s="16" t="n">
        <f aca="false">SUM(G20:G42)</f>
        <v>998.49</v>
      </c>
      <c r="H43" s="14"/>
    </row>
    <row r="44" customFormat="false" ht="15" hidden="false" customHeight="false" outlineLevel="0" collapsed="false">
      <c r="A44" s="17" t="s">
        <v>57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17" min="5" style="0" width="10"/>
    <col collapsed="false" customWidth="true" hidden="false" outlineLevel="0" max="18" min="18" style="0" width="30"/>
    <col collapsed="false" customWidth="true" hidden="false" outlineLevel="0" max="19" min="19" style="0" width="44"/>
    <col collapsed="false" customWidth="true" hidden="false" outlineLevel="0" max="24" min="20" style="0" width="10"/>
    <col collapsed="false" customWidth="true" hidden="false" outlineLevel="0" max="25" min="25" style="0" width="44"/>
    <col collapsed="false" customWidth="true" hidden="false" outlineLevel="0" max="26" min="26" style="0" width="46"/>
  </cols>
  <sheetData>
    <row r="1" customFormat="false" ht="42" hidden="false" customHeight="true" outlineLevel="0" collapsed="false">
      <c r="A1" s="3" t="s">
        <v>2</v>
      </c>
      <c r="B1" s="3" t="s">
        <v>3</v>
      </c>
      <c r="C1" s="3" t="s">
        <v>58</v>
      </c>
      <c r="D1" s="3" t="s">
        <v>59</v>
      </c>
      <c r="E1" s="3" t="s">
        <v>5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</v>
      </c>
      <c r="O1" s="3" t="s">
        <v>68</v>
      </c>
      <c r="P1" s="3" t="s">
        <v>69</v>
      </c>
      <c r="Q1" s="3" t="s">
        <v>70</v>
      </c>
      <c r="R1" s="3" t="s">
        <v>71</v>
      </c>
      <c r="S1" s="3" t="s">
        <v>72</v>
      </c>
      <c r="T1" s="3" t="s">
        <v>73</v>
      </c>
      <c r="U1" s="3" t="s">
        <v>9</v>
      </c>
      <c r="V1" s="3" t="s">
        <v>74</v>
      </c>
      <c r="W1" s="3" t="s">
        <v>75</v>
      </c>
      <c r="X1" s="3" t="s">
        <v>76</v>
      </c>
      <c r="Y1" s="3" t="s">
        <v>77</v>
      </c>
      <c r="Z1" s="3" t="s">
        <v>78</v>
      </c>
    </row>
    <row r="2" customFormat="false" ht="15" hidden="false" customHeight="false" outlineLevel="0" collapsed="false">
      <c r="A2" s="4" t="s">
        <v>14</v>
      </c>
      <c r="B2" s="4" t="s">
        <v>15</v>
      </c>
      <c r="C2" s="4" t="s">
        <v>79</v>
      </c>
      <c r="D2" s="4" t="s">
        <v>80</v>
      </c>
      <c r="E2" s="4" t="n">
        <v>105</v>
      </c>
      <c r="F2" s="4" t="n">
        <v>1</v>
      </c>
      <c r="G2" s="4" t="n">
        <v>1</v>
      </c>
      <c r="H2" s="4" t="n">
        <v>0</v>
      </c>
      <c r="I2" s="4" t="n">
        <v>0</v>
      </c>
      <c r="J2" s="4" t="n">
        <v>0</v>
      </c>
      <c r="K2" s="4" t="n">
        <v>60</v>
      </c>
      <c r="L2" s="4" t="n">
        <v>3</v>
      </c>
      <c r="M2" s="4" t="n">
        <v>40</v>
      </c>
      <c r="N2" s="4" t="n">
        <f aca="false">SUM(I2:M2)</f>
        <v>103</v>
      </c>
      <c r="O2" s="6" t="n">
        <v>165.64</v>
      </c>
      <c r="P2" s="18" t="n">
        <v>3.25</v>
      </c>
      <c r="Q2" s="18" t="n">
        <v>7.54</v>
      </c>
      <c r="R2" s="19" t="s">
        <v>81</v>
      </c>
      <c r="S2" s="4" t="s">
        <v>82</v>
      </c>
      <c r="T2" s="4" t="n">
        <v>10</v>
      </c>
      <c r="U2" s="4" t="n">
        <f aca="false">MAX(E2-T2,0)</f>
        <v>95</v>
      </c>
      <c r="V2" s="20" t="n">
        <v>51.99</v>
      </c>
      <c r="W2" s="20" t="n">
        <v>26.7</v>
      </c>
      <c r="X2" s="4" t="n">
        <v>105</v>
      </c>
      <c r="Y2" s="4"/>
      <c r="Z2" s="4" t="s">
        <v>83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84</v>
      </c>
      <c r="D3" s="4" t="s">
        <v>85</v>
      </c>
      <c r="E3" s="4" t="n">
        <v>74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1</v>
      </c>
      <c r="K3" s="4" t="n">
        <v>73</v>
      </c>
      <c r="L3" s="4" t="n">
        <v>0</v>
      </c>
      <c r="M3" s="4" t="n">
        <v>0</v>
      </c>
      <c r="N3" s="4" t="n">
        <f aca="false">SUM(I3:M3)</f>
        <v>74</v>
      </c>
      <c r="O3" s="6" t="n">
        <v>122.28</v>
      </c>
      <c r="P3" s="18" t="n">
        <v>4.25</v>
      </c>
      <c r="Q3" s="18" t="n">
        <v>4.06</v>
      </c>
      <c r="R3" s="19" t="s">
        <v>81</v>
      </c>
      <c r="S3" s="4" t="s">
        <v>82</v>
      </c>
      <c r="T3" s="4" t="n">
        <v>10</v>
      </c>
      <c r="U3" s="4" t="n">
        <f aca="false">MAX(E3-T3,0)</f>
        <v>64</v>
      </c>
      <c r="V3" s="20" t="n">
        <v>51.99</v>
      </c>
      <c r="W3" s="20" t="n">
        <v>23.47</v>
      </c>
      <c r="X3" s="4" t="n">
        <v>78</v>
      </c>
      <c r="Y3" s="4"/>
      <c r="Z3" s="4" t="s">
        <v>83</v>
      </c>
    </row>
    <row r="4" customFormat="false" ht="15" hidden="false" customHeight="false" outlineLevel="0" collapsed="false">
      <c r="A4" s="4" t="s">
        <v>14</v>
      </c>
      <c r="B4" s="4" t="s">
        <v>15</v>
      </c>
      <c r="C4" s="4" t="s">
        <v>86</v>
      </c>
      <c r="D4" s="4" t="s">
        <v>87</v>
      </c>
      <c r="E4" s="4" t="n">
        <v>122</v>
      </c>
      <c r="F4" s="4" t="n">
        <v>1</v>
      </c>
      <c r="G4" s="4" t="n">
        <v>12</v>
      </c>
      <c r="H4" s="4" t="n">
        <v>48</v>
      </c>
      <c r="I4" s="4" t="n">
        <v>0</v>
      </c>
      <c r="J4" s="4" t="n">
        <v>2</v>
      </c>
      <c r="K4" s="4" t="n">
        <v>12</v>
      </c>
      <c r="L4" s="4" t="n">
        <v>47</v>
      </c>
      <c r="M4" s="4" t="n">
        <v>0</v>
      </c>
      <c r="N4" s="4" t="n">
        <f aca="false">SUM(I4:M4)</f>
        <v>61</v>
      </c>
      <c r="O4" s="6" t="n">
        <v>110.33</v>
      </c>
      <c r="P4" s="18" t="n">
        <v>2.25</v>
      </c>
      <c r="Q4" s="18" t="n">
        <v>12.66</v>
      </c>
      <c r="R4" s="19" t="s">
        <v>81</v>
      </c>
      <c r="S4" s="4" t="s">
        <v>88</v>
      </c>
      <c r="T4" s="4" t="n">
        <v>10</v>
      </c>
      <c r="U4" s="4" t="n">
        <f aca="false">MAX(E4-T4,0)</f>
        <v>112</v>
      </c>
      <c r="V4" s="20" t="n">
        <v>43.99</v>
      </c>
      <c r="W4" s="20" t="n">
        <v>27.79</v>
      </c>
      <c r="X4" s="4" t="n">
        <v>129</v>
      </c>
      <c r="Y4" s="4"/>
      <c r="Z4" s="4" t="s">
        <v>83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89</v>
      </c>
      <c r="D5" s="4" t="s">
        <v>90</v>
      </c>
      <c r="E5" s="4" t="n">
        <v>58</v>
      </c>
      <c r="F5" s="4" t="n">
        <v>0</v>
      </c>
      <c r="G5" s="4" t="n">
        <v>0</v>
      </c>
      <c r="H5" s="4" t="n">
        <v>0</v>
      </c>
      <c r="I5" s="4" t="n">
        <v>58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f aca="false">SUM(I5:M5)</f>
        <v>58</v>
      </c>
      <c r="O5" s="6" t="n">
        <v>90.78</v>
      </c>
      <c r="P5" s="18" t="n">
        <v>0.5</v>
      </c>
      <c r="Q5" s="18" t="n">
        <v>27.1</v>
      </c>
      <c r="R5" s="19" t="s">
        <v>81</v>
      </c>
      <c r="S5" s="4" t="s">
        <v>91</v>
      </c>
      <c r="T5" s="4" t="n">
        <v>10</v>
      </c>
      <c r="U5" s="4" t="n">
        <f aca="false">MAX(E5-T5,0)</f>
        <v>48</v>
      </c>
      <c r="V5" s="20" t="n">
        <v>63.99</v>
      </c>
      <c r="W5" s="20" t="n">
        <v>47.47</v>
      </c>
      <c r="X5" s="4" t="n">
        <v>46</v>
      </c>
      <c r="Y5" s="4"/>
      <c r="Z5" s="4" t="s">
        <v>83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s">
        <v>92</v>
      </c>
      <c r="D6" s="4" t="s">
        <v>93</v>
      </c>
      <c r="E6" s="4" t="n">
        <v>60</v>
      </c>
      <c r="F6" s="4" t="n">
        <v>0</v>
      </c>
      <c r="G6" s="4" t="n">
        <v>1</v>
      </c>
      <c r="H6" s="4" t="n">
        <v>2</v>
      </c>
      <c r="I6" s="4" t="n">
        <v>1</v>
      </c>
      <c r="J6" s="4" t="n">
        <v>2</v>
      </c>
      <c r="K6" s="4" t="n">
        <v>54</v>
      </c>
      <c r="L6" s="4" t="n">
        <v>0</v>
      </c>
      <c r="M6" s="4" t="n">
        <v>0</v>
      </c>
      <c r="N6" s="4" t="n">
        <f aca="false">SUM(I6:M6)</f>
        <v>57</v>
      </c>
      <c r="O6" s="6" t="n">
        <v>85.58</v>
      </c>
      <c r="P6" s="18" t="n">
        <v>7.25</v>
      </c>
      <c r="Q6" s="18" t="n">
        <v>1.93</v>
      </c>
      <c r="R6" s="19" t="s">
        <v>81</v>
      </c>
      <c r="S6" s="4" t="s">
        <v>82</v>
      </c>
      <c r="T6" s="4" t="n">
        <v>10</v>
      </c>
      <c r="U6" s="4" t="n">
        <f aca="false">MAX(E6-T6,0)</f>
        <v>50</v>
      </c>
      <c r="V6" s="20" t="n">
        <v>51.99</v>
      </c>
      <c r="W6" s="20" t="n">
        <v>20.91</v>
      </c>
      <c r="X6" s="4" t="n">
        <v>57</v>
      </c>
      <c r="Y6" s="4"/>
      <c r="Z6" s="4" t="s">
        <v>83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94</v>
      </c>
      <c r="D7" s="4" t="s">
        <v>95</v>
      </c>
      <c r="E7" s="4" t="n">
        <v>57</v>
      </c>
      <c r="F7" s="4" t="n">
        <v>0</v>
      </c>
      <c r="G7" s="4" t="n">
        <v>6</v>
      </c>
      <c r="H7" s="4" t="n">
        <v>24</v>
      </c>
      <c r="I7" s="4" t="n">
        <v>0</v>
      </c>
      <c r="J7" s="4" t="n">
        <v>1</v>
      </c>
      <c r="K7" s="4" t="n">
        <v>0</v>
      </c>
      <c r="L7" s="4" t="n">
        <v>26</v>
      </c>
      <c r="M7" s="4" t="n">
        <v>0</v>
      </c>
      <c r="N7" s="4" t="n">
        <f aca="false">SUM(I7:M7)</f>
        <v>27</v>
      </c>
      <c r="O7" s="6" t="n">
        <v>53.32</v>
      </c>
      <c r="P7" s="18" t="n">
        <v>9.5</v>
      </c>
      <c r="Q7" s="18" t="n">
        <v>1.4</v>
      </c>
      <c r="R7" s="19" t="s">
        <v>81</v>
      </c>
      <c r="S7" s="4" t="s">
        <v>96</v>
      </c>
      <c r="T7" s="4" t="n">
        <v>16</v>
      </c>
      <c r="U7" s="4" t="n">
        <f aca="false">MAX(E7-T7,0)</f>
        <v>41</v>
      </c>
      <c r="V7" s="20" t="n">
        <v>51.34</v>
      </c>
      <c r="W7" s="20" t="n">
        <v>20.99</v>
      </c>
      <c r="X7" s="4" t="n">
        <v>73</v>
      </c>
      <c r="Y7" s="4"/>
      <c r="Z7" s="4" t="s">
        <v>83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97</v>
      </c>
      <c r="D8" s="4" t="s">
        <v>98</v>
      </c>
      <c r="E8" s="4" t="n">
        <v>42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1</v>
      </c>
      <c r="K8" s="4" t="n">
        <v>0</v>
      </c>
      <c r="L8" s="4" t="n">
        <v>41</v>
      </c>
      <c r="M8" s="4" t="n">
        <v>0</v>
      </c>
      <c r="N8" s="4" t="n">
        <f aca="false">SUM(I8:M8)</f>
        <v>42</v>
      </c>
      <c r="O8" s="6" t="n">
        <v>50.27</v>
      </c>
      <c r="P8" s="18" t="n">
        <v>1</v>
      </c>
      <c r="Q8" s="18" t="n">
        <v>9.79</v>
      </c>
      <c r="R8" s="19" t="s">
        <v>81</v>
      </c>
      <c r="S8" s="4" t="s">
        <v>88</v>
      </c>
      <c r="T8" s="4" t="n">
        <v>10</v>
      </c>
      <c r="U8" s="4" t="n">
        <f aca="false">MAX(E8-T8,0)</f>
        <v>32</v>
      </c>
      <c r="V8" s="20" t="n">
        <v>43.99</v>
      </c>
      <c r="W8" s="20" t="n">
        <v>24.01</v>
      </c>
      <c r="X8" s="4" t="n">
        <v>44</v>
      </c>
      <c r="Y8" s="4"/>
      <c r="Z8" s="4" t="s">
        <v>83</v>
      </c>
    </row>
    <row r="9" customFormat="false" ht="15" hidden="false" customHeight="false" outlineLevel="0" collapsed="false">
      <c r="A9" s="4" t="s">
        <v>14</v>
      </c>
      <c r="B9" s="4" t="s">
        <v>15</v>
      </c>
      <c r="C9" s="4" t="s">
        <v>99</v>
      </c>
      <c r="D9" s="4" t="s">
        <v>100</v>
      </c>
      <c r="E9" s="4" t="n">
        <v>43</v>
      </c>
      <c r="F9" s="4" t="n">
        <v>1</v>
      </c>
      <c r="G9" s="4" t="n">
        <v>0</v>
      </c>
      <c r="H9" s="4" t="n">
        <v>1</v>
      </c>
      <c r="I9" s="4" t="n">
        <v>1</v>
      </c>
      <c r="J9" s="4" t="n">
        <v>1</v>
      </c>
      <c r="K9" s="4" t="n">
        <v>39</v>
      </c>
      <c r="L9" s="4" t="n">
        <v>0</v>
      </c>
      <c r="M9" s="4" t="n">
        <v>0</v>
      </c>
      <c r="N9" s="4" t="n">
        <f aca="false">SUM(I9:M9)</f>
        <v>41</v>
      </c>
      <c r="O9" s="6" t="n">
        <v>48.84</v>
      </c>
      <c r="P9" s="18" t="n">
        <v>1</v>
      </c>
      <c r="Q9" s="18" t="n">
        <v>10.02</v>
      </c>
      <c r="R9" s="19" t="s">
        <v>81</v>
      </c>
      <c r="S9" s="4" t="s">
        <v>88</v>
      </c>
      <c r="T9" s="4" t="n">
        <v>10</v>
      </c>
      <c r="U9" s="4" t="n">
        <f aca="false">MAX(E9-T9,0)</f>
        <v>33</v>
      </c>
      <c r="V9" s="20" t="n">
        <v>43.99</v>
      </c>
      <c r="W9" s="20" t="n">
        <v>24.96</v>
      </c>
      <c r="X9" s="4" t="n">
        <v>67</v>
      </c>
      <c r="Y9" s="4"/>
      <c r="Z9" s="4" t="s">
        <v>83</v>
      </c>
    </row>
    <row r="10" customFormat="false" ht="15" hidden="false" customHeight="false" outlineLevel="0" collapsed="false">
      <c r="A10" s="4" t="s">
        <v>14</v>
      </c>
      <c r="B10" s="4" t="s">
        <v>15</v>
      </c>
      <c r="C10" s="4" t="s">
        <v>101</v>
      </c>
      <c r="D10" s="4" t="s">
        <v>102</v>
      </c>
      <c r="E10" s="4" t="n">
        <v>32</v>
      </c>
      <c r="F10" s="4" t="n">
        <v>1</v>
      </c>
      <c r="G10" s="4" t="n">
        <v>1</v>
      </c>
      <c r="H10" s="4" t="n">
        <v>3</v>
      </c>
      <c r="I10" s="4" t="n">
        <v>10</v>
      </c>
      <c r="J10" s="4" t="n">
        <v>11</v>
      </c>
      <c r="K10" s="4" t="n">
        <v>6</v>
      </c>
      <c r="L10" s="4" t="n">
        <v>0</v>
      </c>
      <c r="M10" s="4" t="n">
        <v>0</v>
      </c>
      <c r="N10" s="4" t="n">
        <f aca="false">SUM(I10:M10)</f>
        <v>27</v>
      </c>
      <c r="O10" s="6" t="n">
        <v>42.27</v>
      </c>
      <c r="P10" s="18" t="n">
        <v>18.25</v>
      </c>
      <c r="Q10" s="18" t="n">
        <v>0.41</v>
      </c>
      <c r="R10" s="21" t="s">
        <v>103</v>
      </c>
      <c r="S10" s="4" t="s">
        <v>104</v>
      </c>
      <c r="T10" s="4" t="n">
        <v>36</v>
      </c>
      <c r="U10" s="4" t="n">
        <f aca="false">MAX(E10-T10,0)</f>
        <v>0</v>
      </c>
      <c r="V10" s="20" t="n">
        <v>59.99</v>
      </c>
      <c r="W10" s="20" t="n">
        <v>22.38</v>
      </c>
      <c r="X10" s="4" t="n">
        <v>305</v>
      </c>
      <c r="Y10" s="4"/>
      <c r="Z10" s="4"/>
    </row>
    <row r="11" customFormat="false" ht="15" hidden="false" customHeight="false" outlineLevel="0" collapsed="false">
      <c r="A11" s="4" t="s">
        <v>14</v>
      </c>
      <c r="B11" s="4" t="s">
        <v>15</v>
      </c>
      <c r="C11" s="4" t="s">
        <v>105</v>
      </c>
      <c r="D11" s="4" t="s">
        <v>106</v>
      </c>
      <c r="E11" s="4" t="n">
        <v>82</v>
      </c>
      <c r="F11" s="4" t="n">
        <v>3</v>
      </c>
      <c r="G11" s="4" t="n">
        <v>3</v>
      </c>
      <c r="H11" s="4" t="n">
        <v>76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f aca="false">SUM(I11:M11)</f>
        <v>0</v>
      </c>
      <c r="O11" s="6" t="n">
        <v>31.51</v>
      </c>
      <c r="P11" s="18" t="n">
        <v>18</v>
      </c>
      <c r="Q11" s="18" t="n">
        <v>1.06</v>
      </c>
      <c r="R11" s="19" t="s">
        <v>81</v>
      </c>
      <c r="S11" s="4" t="s">
        <v>107</v>
      </c>
      <c r="T11" s="4" t="n">
        <v>36</v>
      </c>
      <c r="U11" s="4" t="n">
        <f aca="false">MAX(E11-T11,0)</f>
        <v>46</v>
      </c>
      <c r="V11" s="20" t="n">
        <v>63.99</v>
      </c>
      <c r="W11" s="20" t="n">
        <v>23.05</v>
      </c>
      <c r="X11" s="4" t="n">
        <v>390</v>
      </c>
      <c r="Y11" s="4"/>
      <c r="Z11" s="4"/>
    </row>
    <row r="12" customFormat="false" ht="15" hidden="false" customHeight="false" outlineLevel="0" collapsed="false">
      <c r="A12" s="4" t="s">
        <v>14</v>
      </c>
      <c r="B12" s="4" t="s">
        <v>15</v>
      </c>
      <c r="C12" s="4" t="s">
        <v>108</v>
      </c>
      <c r="D12" s="4" t="s">
        <v>109</v>
      </c>
      <c r="E12" s="4" t="n">
        <v>72</v>
      </c>
      <c r="F12" s="4" t="n">
        <v>2</v>
      </c>
      <c r="G12" s="4" t="n">
        <v>44</v>
      </c>
      <c r="H12" s="4" t="n">
        <v>26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f aca="false">SUM(I12:M12)</f>
        <v>0</v>
      </c>
      <c r="O12" s="6" t="n">
        <v>27.61</v>
      </c>
      <c r="P12" s="18" t="n">
        <v>15.25</v>
      </c>
      <c r="Q12" s="18" t="n">
        <v>1.1</v>
      </c>
      <c r="R12" s="19" t="s">
        <v>81</v>
      </c>
      <c r="S12" s="4" t="s">
        <v>110</v>
      </c>
      <c r="T12" s="4" t="n">
        <v>30</v>
      </c>
      <c r="U12" s="4" t="n">
        <f aca="false">MAX(E12-T12,0)</f>
        <v>42</v>
      </c>
      <c r="V12" s="20" t="n">
        <v>63.19</v>
      </c>
      <c r="W12" s="20" t="n">
        <v>23.27</v>
      </c>
      <c r="X12" s="4" t="n">
        <v>278</v>
      </c>
      <c r="Y12" s="4"/>
      <c r="Z12" s="4"/>
    </row>
    <row r="13" customFormat="false" ht="15" hidden="false" customHeight="false" outlineLevel="0" collapsed="false">
      <c r="A13" s="4" t="s">
        <v>14</v>
      </c>
      <c r="B13" s="4" t="s">
        <v>15</v>
      </c>
      <c r="C13" s="4" t="s">
        <v>111</v>
      </c>
      <c r="D13" s="4" t="s">
        <v>112</v>
      </c>
      <c r="E13" s="4" t="n">
        <v>30</v>
      </c>
      <c r="F13" s="4" t="n">
        <v>0</v>
      </c>
      <c r="G13" s="4" t="n">
        <v>0</v>
      </c>
      <c r="H13" s="4" t="n">
        <v>2</v>
      </c>
      <c r="I13" s="4" t="n">
        <v>2</v>
      </c>
      <c r="J13" s="4" t="n">
        <v>1</v>
      </c>
      <c r="K13" s="4" t="n">
        <v>25</v>
      </c>
      <c r="L13" s="4" t="n">
        <v>0</v>
      </c>
      <c r="M13" s="4" t="n">
        <v>0</v>
      </c>
      <c r="N13" s="4" t="n">
        <f aca="false">SUM(I13:M13)</f>
        <v>28</v>
      </c>
      <c r="O13" s="6" t="n">
        <v>27.27</v>
      </c>
      <c r="P13" s="18" t="n">
        <v>3.5</v>
      </c>
      <c r="Q13" s="18" t="n">
        <v>2</v>
      </c>
      <c r="R13" s="19" t="s">
        <v>81</v>
      </c>
      <c r="S13" s="4" t="s">
        <v>88</v>
      </c>
      <c r="T13" s="4" t="n">
        <v>10</v>
      </c>
      <c r="U13" s="4" t="n">
        <f aca="false">MAX(E13-T13,0)</f>
        <v>20</v>
      </c>
      <c r="V13" s="20" t="n">
        <v>43.99</v>
      </c>
      <c r="W13" s="20" t="n">
        <v>18.19</v>
      </c>
      <c r="X13" s="4" t="n">
        <v>36</v>
      </c>
      <c r="Y13" s="4"/>
      <c r="Z13" s="4" t="s">
        <v>83</v>
      </c>
    </row>
    <row r="14" customFormat="false" ht="15" hidden="false" customHeight="false" outlineLevel="0" collapsed="false">
      <c r="A14" s="4" t="s">
        <v>14</v>
      </c>
      <c r="B14" s="4" t="s">
        <v>15</v>
      </c>
      <c r="C14" s="4" t="s">
        <v>113</v>
      </c>
      <c r="D14" s="4" t="s">
        <v>114</v>
      </c>
      <c r="E14" s="4" t="n">
        <v>13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12</v>
      </c>
      <c r="N14" s="4" t="n">
        <f aca="false">SUM(I14:M14)</f>
        <v>13</v>
      </c>
      <c r="O14" s="6" t="n">
        <v>20.2</v>
      </c>
      <c r="P14" s="18" t="n">
        <v>1</v>
      </c>
      <c r="Q14" s="18" t="n">
        <v>3.03</v>
      </c>
      <c r="R14" s="19" t="s">
        <v>81</v>
      </c>
      <c r="S14" s="4" t="s">
        <v>88</v>
      </c>
      <c r="T14" s="4" t="n">
        <v>10</v>
      </c>
      <c r="U14" s="4" t="n">
        <f aca="false">MAX(E14-T14,0)</f>
        <v>3</v>
      </c>
      <c r="V14" s="20" t="n">
        <v>43.99</v>
      </c>
      <c r="W14" s="20" t="n">
        <v>20.58</v>
      </c>
      <c r="X14" s="4" t="n">
        <v>17</v>
      </c>
      <c r="Y14" s="4"/>
      <c r="Z14" s="4"/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115</v>
      </c>
      <c r="D15" s="4" t="s">
        <v>116</v>
      </c>
      <c r="E15" s="4" t="n">
        <v>19</v>
      </c>
      <c r="F15" s="4" t="n">
        <v>3</v>
      </c>
      <c r="G15" s="4" t="n">
        <v>0</v>
      </c>
      <c r="H15" s="4" t="n">
        <v>1</v>
      </c>
      <c r="I15" s="4" t="n">
        <v>0</v>
      </c>
      <c r="J15" s="4" t="n">
        <v>0</v>
      </c>
      <c r="K15" s="4" t="n">
        <v>15</v>
      </c>
      <c r="L15" s="4" t="n">
        <v>0</v>
      </c>
      <c r="M15" s="4" t="n">
        <v>0</v>
      </c>
      <c r="N15" s="4" t="n">
        <f aca="false">SUM(I15:M15)</f>
        <v>15</v>
      </c>
      <c r="O15" s="6" t="n">
        <v>18.28</v>
      </c>
      <c r="P15" s="18" t="n">
        <v>3.25</v>
      </c>
      <c r="Q15" s="18" t="n">
        <v>1.36</v>
      </c>
      <c r="R15" s="22" t="s">
        <v>117</v>
      </c>
      <c r="S15" s="4" t="s">
        <v>118</v>
      </c>
      <c r="T15" s="4" t="n">
        <v>0</v>
      </c>
      <c r="U15" s="4" t="n">
        <f aca="false">MAX(E15-T15,0)</f>
        <v>19</v>
      </c>
      <c r="V15" s="20"/>
      <c r="W15" s="20" t="n">
        <v>18.56</v>
      </c>
      <c r="X15" s="4" t="n">
        <v>24</v>
      </c>
      <c r="Y15" s="4" t="s">
        <v>119</v>
      </c>
      <c r="Z15" s="4" t="s">
        <v>120</v>
      </c>
    </row>
    <row r="16" customFormat="false" ht="15" hidden="false" customHeight="false" outlineLevel="0" collapsed="false">
      <c r="A16" s="4" t="s">
        <v>14</v>
      </c>
      <c r="B16" s="4" t="s">
        <v>15</v>
      </c>
      <c r="C16" s="4" t="s">
        <v>121</v>
      </c>
      <c r="D16" s="4" t="s">
        <v>122</v>
      </c>
      <c r="E16" s="4" t="n">
        <v>40</v>
      </c>
      <c r="F16" s="4" t="n">
        <v>0</v>
      </c>
      <c r="G16" s="4" t="n">
        <v>1</v>
      </c>
      <c r="H16" s="4" t="n">
        <v>37</v>
      </c>
      <c r="I16" s="4" t="n">
        <v>2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f aca="false">SUM(I16:M16)</f>
        <v>2</v>
      </c>
      <c r="O16" s="6" t="n">
        <v>12.29</v>
      </c>
      <c r="P16" s="18" t="n">
        <v>1.75</v>
      </c>
      <c r="Q16" s="18" t="n">
        <v>5.33</v>
      </c>
      <c r="R16" s="19" t="s">
        <v>81</v>
      </c>
      <c r="S16" s="4" t="s">
        <v>88</v>
      </c>
      <c r="T16" s="4" t="n">
        <v>10</v>
      </c>
      <c r="U16" s="4" t="n">
        <f aca="false">MAX(E16-T16,0)</f>
        <v>30</v>
      </c>
      <c r="V16" s="20" t="n">
        <v>43.99</v>
      </c>
      <c r="W16" s="20" t="n">
        <v>19.58</v>
      </c>
      <c r="X16" s="4" t="n">
        <v>44</v>
      </c>
      <c r="Y16" s="4"/>
      <c r="Z16" s="4"/>
    </row>
    <row r="17" customFormat="false" ht="15" hidden="false" customHeight="false" outlineLevel="0" collapsed="false">
      <c r="A17" s="4" t="s">
        <v>14</v>
      </c>
      <c r="B17" s="4" t="s">
        <v>15</v>
      </c>
      <c r="C17" s="4" t="s">
        <v>123</v>
      </c>
      <c r="D17" s="4" t="s">
        <v>124</v>
      </c>
      <c r="E17" s="4" t="n">
        <v>48</v>
      </c>
      <c r="F17" s="4" t="n">
        <v>0</v>
      </c>
      <c r="G17" s="4" t="n">
        <v>12</v>
      </c>
      <c r="H17" s="4" t="n">
        <v>36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f aca="false">SUM(I17:M17)</f>
        <v>0</v>
      </c>
      <c r="O17" s="6" t="n">
        <v>11.4</v>
      </c>
      <c r="P17" s="18" t="n">
        <v>2.25</v>
      </c>
      <c r="Q17" s="18" t="n">
        <v>4.98</v>
      </c>
      <c r="R17" s="19" t="s">
        <v>81</v>
      </c>
      <c r="S17" s="4" t="s">
        <v>88</v>
      </c>
      <c r="T17" s="4" t="n">
        <v>10</v>
      </c>
      <c r="U17" s="4" t="n">
        <f aca="false">MAX(E17-T17,0)</f>
        <v>38</v>
      </c>
      <c r="V17" s="20" t="n">
        <v>43.99</v>
      </c>
      <c r="W17" s="20" t="n">
        <v>18.91</v>
      </c>
      <c r="X17" s="4" t="n">
        <v>48</v>
      </c>
      <c r="Y17" s="4"/>
      <c r="Z17" s="4"/>
    </row>
    <row r="18" customFormat="false" ht="15" hidden="false" customHeight="false" outlineLevel="0" collapsed="false">
      <c r="A18" s="4" t="s">
        <v>14</v>
      </c>
      <c r="B18" s="4" t="s">
        <v>16</v>
      </c>
      <c r="C18" s="4" t="s">
        <v>125</v>
      </c>
      <c r="D18" s="4" t="s">
        <v>126</v>
      </c>
      <c r="E18" s="4" t="n">
        <v>255</v>
      </c>
      <c r="F18" s="4" t="n">
        <v>0</v>
      </c>
      <c r="G18" s="4" t="n">
        <v>6</v>
      </c>
      <c r="H18" s="4" t="n">
        <v>0</v>
      </c>
      <c r="I18" s="4" t="n">
        <v>145</v>
      </c>
      <c r="J18" s="4" t="n">
        <v>1</v>
      </c>
      <c r="K18" s="4" t="n">
        <v>12</v>
      </c>
      <c r="L18" s="4" t="n">
        <v>19</v>
      </c>
      <c r="M18" s="4" t="n">
        <v>72</v>
      </c>
      <c r="N18" s="4" t="n">
        <f aca="false">SUM(I18:M18)</f>
        <v>249</v>
      </c>
      <c r="O18" s="6" t="n">
        <v>570.4</v>
      </c>
      <c r="P18" s="18" t="n">
        <v>3</v>
      </c>
      <c r="Q18" s="18" t="n">
        <v>19.83</v>
      </c>
      <c r="R18" s="19" t="s">
        <v>81</v>
      </c>
      <c r="S18" s="4" t="s">
        <v>127</v>
      </c>
      <c r="T18" s="4" t="n">
        <v>10</v>
      </c>
      <c r="U18" s="4" t="n">
        <f aca="false">MAX(E18-T18,0)</f>
        <v>245</v>
      </c>
      <c r="V18" s="20" t="n">
        <v>55.99</v>
      </c>
      <c r="W18" s="20" t="n">
        <v>47.5</v>
      </c>
      <c r="X18" s="4" t="n">
        <v>257</v>
      </c>
      <c r="Y18" s="4"/>
      <c r="Z18" s="4" t="s">
        <v>83</v>
      </c>
    </row>
    <row r="19" customFormat="false" ht="15" hidden="false" customHeight="false" outlineLevel="0" collapsed="false">
      <c r="A19" s="4" t="s">
        <v>14</v>
      </c>
      <c r="B19" s="4" t="s">
        <v>16</v>
      </c>
      <c r="C19" s="4" t="s">
        <v>128</v>
      </c>
      <c r="D19" s="4" t="s">
        <v>129</v>
      </c>
      <c r="E19" s="4" t="n">
        <v>246</v>
      </c>
      <c r="F19" s="4" t="n">
        <v>3</v>
      </c>
      <c r="G19" s="4" t="n">
        <v>2</v>
      </c>
      <c r="H19" s="4" t="n">
        <v>2</v>
      </c>
      <c r="I19" s="4" t="n">
        <v>206</v>
      </c>
      <c r="J19" s="4" t="n">
        <v>2</v>
      </c>
      <c r="K19" s="4" t="n">
        <v>31</v>
      </c>
      <c r="L19" s="4" t="n">
        <v>0</v>
      </c>
      <c r="M19" s="4" t="n">
        <v>0</v>
      </c>
      <c r="N19" s="4" t="n">
        <f aca="false">SUM(I19:M19)</f>
        <v>239</v>
      </c>
      <c r="O19" s="6" t="n">
        <v>438.87</v>
      </c>
      <c r="P19" s="18" t="n">
        <v>6</v>
      </c>
      <c r="Q19" s="18" t="n">
        <v>9.57</v>
      </c>
      <c r="R19" s="19" t="s">
        <v>81</v>
      </c>
      <c r="S19" s="4" t="s">
        <v>130</v>
      </c>
      <c r="T19" s="4" t="n">
        <v>19</v>
      </c>
      <c r="U19" s="4" t="n">
        <f aca="false">MAX(E19-T19,0)</f>
        <v>227</v>
      </c>
      <c r="V19" s="20" t="n">
        <v>52.49</v>
      </c>
      <c r="W19" s="20" t="n">
        <v>30.65</v>
      </c>
      <c r="X19" s="4" t="n">
        <v>262</v>
      </c>
      <c r="Y19" s="4"/>
      <c r="Z19" s="4" t="s">
        <v>83</v>
      </c>
    </row>
    <row r="20" customFormat="false" ht="15" hidden="false" customHeight="false" outlineLevel="0" collapsed="false">
      <c r="A20" s="4" t="s">
        <v>14</v>
      </c>
      <c r="B20" s="4" t="s">
        <v>16</v>
      </c>
      <c r="C20" s="4" t="s">
        <v>131</v>
      </c>
      <c r="D20" s="4" t="s">
        <v>132</v>
      </c>
      <c r="E20" s="4" t="n">
        <v>263</v>
      </c>
      <c r="F20" s="4" t="n">
        <v>1</v>
      </c>
      <c r="G20" s="4" t="n">
        <v>2</v>
      </c>
      <c r="H20" s="4" t="n">
        <v>3</v>
      </c>
      <c r="I20" s="4" t="n">
        <v>10</v>
      </c>
      <c r="J20" s="4" t="n">
        <v>6</v>
      </c>
      <c r="K20" s="4" t="n">
        <v>189</v>
      </c>
      <c r="L20" s="4" t="n">
        <v>52</v>
      </c>
      <c r="M20" s="4" t="n">
        <v>0</v>
      </c>
      <c r="N20" s="4" t="n">
        <f aca="false">SUM(I20:M20)</f>
        <v>257</v>
      </c>
      <c r="O20" s="6" t="n">
        <v>434.94</v>
      </c>
      <c r="P20" s="18" t="n">
        <v>21.75</v>
      </c>
      <c r="Q20" s="18" t="n">
        <v>2.82</v>
      </c>
      <c r="R20" s="19" t="s">
        <v>81</v>
      </c>
      <c r="S20" s="4" t="s">
        <v>133</v>
      </c>
      <c r="T20" s="4" t="n">
        <v>48</v>
      </c>
      <c r="U20" s="4" t="n">
        <f aca="false">MAX(E20-T20,0)</f>
        <v>215</v>
      </c>
      <c r="V20" s="20" t="n">
        <v>59.99</v>
      </c>
      <c r="W20" s="20" t="n">
        <v>25.2</v>
      </c>
      <c r="X20" s="4" t="n">
        <v>475</v>
      </c>
      <c r="Y20" s="4"/>
      <c r="Z20" s="4" t="s">
        <v>83</v>
      </c>
    </row>
    <row r="21" customFormat="false" ht="15" hidden="false" customHeight="false" outlineLevel="0" collapsed="false">
      <c r="A21" s="4" t="s">
        <v>14</v>
      </c>
      <c r="B21" s="4" t="s">
        <v>16</v>
      </c>
      <c r="C21" s="4" t="s">
        <v>134</v>
      </c>
      <c r="D21" s="4" t="s">
        <v>135</v>
      </c>
      <c r="E21" s="4" t="n">
        <v>125</v>
      </c>
      <c r="F21" s="4" t="n">
        <v>0</v>
      </c>
      <c r="G21" s="4" t="n">
        <v>0</v>
      </c>
      <c r="H21" s="4" t="n">
        <v>3</v>
      </c>
      <c r="I21" s="4" t="n">
        <v>0</v>
      </c>
      <c r="J21" s="4" t="n">
        <v>0</v>
      </c>
      <c r="K21" s="4" t="n">
        <v>18</v>
      </c>
      <c r="L21" s="4" t="n">
        <v>104</v>
      </c>
      <c r="M21" s="4" t="n">
        <v>0</v>
      </c>
      <c r="N21" s="4" t="n">
        <f aca="false">SUM(I21:M21)</f>
        <v>122</v>
      </c>
      <c r="O21" s="6" t="n">
        <v>266.46</v>
      </c>
      <c r="P21" s="18" t="n">
        <v>3.75</v>
      </c>
      <c r="Q21" s="18" t="n">
        <v>7.78</v>
      </c>
      <c r="R21" s="19" t="s">
        <v>81</v>
      </c>
      <c r="S21" s="4" t="s">
        <v>136</v>
      </c>
      <c r="T21" s="4" t="n">
        <v>10</v>
      </c>
      <c r="U21" s="4" t="n">
        <f aca="false">MAX(E21-T21,0)</f>
        <v>115</v>
      </c>
      <c r="V21" s="20" t="n">
        <v>63.19</v>
      </c>
      <c r="W21" s="20" t="n">
        <v>32.5</v>
      </c>
      <c r="X21" s="4" t="n">
        <v>127</v>
      </c>
      <c r="Y21" s="4"/>
      <c r="Z21" s="4" t="s">
        <v>83</v>
      </c>
    </row>
    <row r="22" customFormat="false" ht="15" hidden="false" customHeight="false" outlineLevel="0" collapsed="false">
      <c r="A22" s="4" t="s">
        <v>14</v>
      </c>
      <c r="B22" s="4" t="s">
        <v>16</v>
      </c>
      <c r="C22" s="4" t="s">
        <v>137</v>
      </c>
      <c r="D22" s="4" t="s">
        <v>138</v>
      </c>
      <c r="E22" s="4" t="n">
        <v>190</v>
      </c>
      <c r="F22" s="4" t="n">
        <v>9</v>
      </c>
      <c r="G22" s="4" t="n">
        <v>6</v>
      </c>
      <c r="H22" s="4" t="n">
        <v>68</v>
      </c>
      <c r="I22" s="4" t="n">
        <v>107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f aca="false">SUM(I22:M22)</f>
        <v>107</v>
      </c>
      <c r="O22" s="6" t="n">
        <v>204.45</v>
      </c>
      <c r="P22" s="18" t="n">
        <v>14.5</v>
      </c>
      <c r="Q22" s="18" t="n">
        <v>3.06</v>
      </c>
      <c r="R22" s="19" t="s">
        <v>81</v>
      </c>
      <c r="S22" s="4" t="s">
        <v>139</v>
      </c>
      <c r="T22" s="4" t="n">
        <v>31</v>
      </c>
      <c r="U22" s="4" t="n">
        <f aca="false">MAX(E22-T22,0)</f>
        <v>159</v>
      </c>
      <c r="V22" s="20" t="n">
        <v>59.99</v>
      </c>
      <c r="W22" s="20" t="n">
        <v>24.24</v>
      </c>
      <c r="X22" s="4" t="n">
        <v>179</v>
      </c>
      <c r="Y22" s="4"/>
      <c r="Z22" s="4" t="s">
        <v>83</v>
      </c>
    </row>
    <row r="23" customFormat="false" ht="15" hidden="false" customHeight="false" outlineLevel="0" collapsed="false">
      <c r="A23" s="4" t="s">
        <v>14</v>
      </c>
      <c r="B23" s="4" t="s">
        <v>16</v>
      </c>
      <c r="C23" s="4" t="s">
        <v>140</v>
      </c>
      <c r="D23" s="4" t="s">
        <v>141</v>
      </c>
      <c r="E23" s="4" t="n">
        <v>74</v>
      </c>
      <c r="F23" s="4" t="n">
        <v>0</v>
      </c>
      <c r="G23" s="4" t="n">
        <v>6</v>
      </c>
      <c r="H23" s="4" t="n">
        <v>0</v>
      </c>
      <c r="I23" s="4" t="n">
        <v>0</v>
      </c>
      <c r="J23" s="4" t="n">
        <v>0</v>
      </c>
      <c r="K23" s="4" t="n">
        <v>18</v>
      </c>
      <c r="L23" s="4" t="n">
        <v>42</v>
      </c>
      <c r="M23" s="4" t="n">
        <v>8</v>
      </c>
      <c r="N23" s="4" t="n">
        <f aca="false">SUM(I23:M23)</f>
        <v>68</v>
      </c>
      <c r="O23" s="6" t="n">
        <v>122.53</v>
      </c>
      <c r="P23" s="18" t="n">
        <v>2</v>
      </c>
      <c r="Q23" s="18" t="n">
        <v>8.63</v>
      </c>
      <c r="R23" s="19" t="s">
        <v>81</v>
      </c>
      <c r="S23" s="4" t="s">
        <v>127</v>
      </c>
      <c r="T23" s="4" t="n">
        <v>10</v>
      </c>
      <c r="U23" s="4" t="n">
        <f aca="false">MAX(E23-T23,0)</f>
        <v>64</v>
      </c>
      <c r="V23" s="20" t="n">
        <v>55.99</v>
      </c>
      <c r="W23" s="20" t="n">
        <v>29.27</v>
      </c>
      <c r="X23" s="4" t="n">
        <v>83</v>
      </c>
      <c r="Y23" s="4"/>
      <c r="Z23" s="4" t="s">
        <v>83</v>
      </c>
    </row>
    <row r="24" customFormat="false" ht="15" hidden="false" customHeight="false" outlineLevel="0" collapsed="false">
      <c r="A24" s="4" t="s">
        <v>14</v>
      </c>
      <c r="B24" s="4" t="s">
        <v>16</v>
      </c>
      <c r="C24" s="4" t="s">
        <v>142</v>
      </c>
      <c r="D24" s="4" t="s">
        <v>143</v>
      </c>
      <c r="E24" s="4" t="n">
        <v>64</v>
      </c>
      <c r="F24" s="4" t="n">
        <v>6</v>
      </c>
      <c r="G24" s="4" t="n">
        <v>1</v>
      </c>
      <c r="H24" s="4" t="n">
        <v>0</v>
      </c>
      <c r="I24" s="4" t="n">
        <v>57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f aca="false">SUM(I24:M24)</f>
        <v>57</v>
      </c>
      <c r="O24" s="6" t="n">
        <v>76.33</v>
      </c>
      <c r="P24" s="18" t="n">
        <v>0.25</v>
      </c>
      <c r="Q24" s="18" t="n">
        <v>59.81</v>
      </c>
      <c r="R24" s="19" t="s">
        <v>81</v>
      </c>
      <c r="S24" s="4" t="s">
        <v>144</v>
      </c>
      <c r="T24" s="4" t="n">
        <v>10</v>
      </c>
      <c r="U24" s="4" t="n">
        <f aca="false">MAX(E24-T24,0)</f>
        <v>54</v>
      </c>
      <c r="V24" s="20" t="n">
        <v>59.99</v>
      </c>
      <c r="W24" s="20" t="n">
        <v>41.57</v>
      </c>
      <c r="X24" s="4" t="n">
        <v>97</v>
      </c>
      <c r="Y24" s="4"/>
      <c r="Z24" s="4" t="s">
        <v>83</v>
      </c>
    </row>
    <row r="25" customFormat="false" ht="15" hidden="false" customHeight="false" outlineLevel="0" collapsed="false">
      <c r="A25" s="4" t="s">
        <v>14</v>
      </c>
      <c r="B25" s="4" t="s">
        <v>16</v>
      </c>
      <c r="C25" s="4" t="s">
        <v>145</v>
      </c>
      <c r="D25" s="4" t="s">
        <v>146</v>
      </c>
      <c r="E25" s="4" t="n">
        <v>47</v>
      </c>
      <c r="F25" s="4" t="n">
        <v>0</v>
      </c>
      <c r="G25" s="4" t="n">
        <v>2</v>
      </c>
      <c r="H25" s="4" t="n">
        <v>0</v>
      </c>
      <c r="I25" s="4" t="n">
        <v>45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f aca="false">SUM(I25:M25)</f>
        <v>45</v>
      </c>
      <c r="O25" s="6" t="n">
        <v>72.89</v>
      </c>
      <c r="P25" s="18" t="n">
        <v>1</v>
      </c>
      <c r="Q25" s="18" t="n">
        <v>10.96</v>
      </c>
      <c r="R25" s="22" t="s">
        <v>117</v>
      </c>
      <c r="S25" s="4" t="s">
        <v>118</v>
      </c>
      <c r="T25" s="4" t="n">
        <v>0</v>
      </c>
      <c r="U25" s="4" t="n">
        <f aca="false">MAX(E25-T25,0)</f>
        <v>47</v>
      </c>
      <c r="V25" s="20"/>
      <c r="W25" s="20" t="n">
        <v>31.32</v>
      </c>
      <c r="X25" s="4" t="n">
        <v>51</v>
      </c>
      <c r="Y25" s="4" t="s">
        <v>147</v>
      </c>
      <c r="Z25" s="4" t="s">
        <v>83</v>
      </c>
    </row>
    <row r="26" customFormat="false" ht="15" hidden="false" customHeight="false" outlineLevel="0" collapsed="false">
      <c r="A26" s="4" t="s">
        <v>14</v>
      </c>
      <c r="B26" s="4" t="s">
        <v>16</v>
      </c>
      <c r="C26" s="4" t="s">
        <v>148</v>
      </c>
      <c r="D26" s="4" t="s">
        <v>149</v>
      </c>
      <c r="E26" s="4" t="n">
        <v>37</v>
      </c>
      <c r="F26" s="4" t="n">
        <v>3</v>
      </c>
      <c r="G26" s="4" t="n">
        <v>2</v>
      </c>
      <c r="H26" s="4" t="n">
        <v>0</v>
      </c>
      <c r="I26" s="4" t="n">
        <v>32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f aca="false">SUM(I26:M26)</f>
        <v>32</v>
      </c>
      <c r="O26" s="6" t="n">
        <v>68.46</v>
      </c>
      <c r="P26" s="18" t="n">
        <v>11.25</v>
      </c>
      <c r="Q26" s="18" t="n">
        <v>0.77</v>
      </c>
      <c r="R26" s="19" t="s">
        <v>81</v>
      </c>
      <c r="S26" s="4" t="s">
        <v>150</v>
      </c>
      <c r="T26" s="4" t="n">
        <v>23</v>
      </c>
      <c r="U26" s="4" t="n">
        <f aca="false">MAX(E26-T26,0)</f>
        <v>14</v>
      </c>
      <c r="V26" s="20" t="n">
        <v>67.99</v>
      </c>
      <c r="W26" s="20" t="n">
        <v>24.99</v>
      </c>
      <c r="X26" s="4" t="n">
        <v>39</v>
      </c>
      <c r="Y26" s="4" t="s">
        <v>151</v>
      </c>
      <c r="Z26" s="4"/>
    </row>
    <row r="27" customFormat="false" ht="15" hidden="false" customHeight="false" outlineLevel="0" collapsed="false">
      <c r="A27" s="4" t="s">
        <v>14</v>
      </c>
      <c r="B27" s="4" t="s">
        <v>16</v>
      </c>
      <c r="C27" s="4" t="s">
        <v>152</v>
      </c>
      <c r="D27" s="4" t="s">
        <v>153</v>
      </c>
      <c r="E27" s="4" t="n">
        <v>130</v>
      </c>
      <c r="F27" s="4" t="n">
        <v>0</v>
      </c>
      <c r="G27" s="4" t="n">
        <v>6</v>
      </c>
      <c r="H27" s="4" t="n">
        <v>124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f aca="false">SUM(I27:M27)</f>
        <v>0</v>
      </c>
      <c r="O27" s="6" t="n">
        <v>62.92</v>
      </c>
      <c r="P27" s="18" t="n">
        <v>7.5</v>
      </c>
      <c r="Q27" s="18" t="n">
        <v>4.04</v>
      </c>
      <c r="R27" s="19" t="s">
        <v>81</v>
      </c>
      <c r="S27" s="4" t="s">
        <v>154</v>
      </c>
      <c r="T27" s="4" t="n">
        <v>15</v>
      </c>
      <c r="U27" s="4" t="n">
        <f aca="false">MAX(E27-T27,0)</f>
        <v>115</v>
      </c>
      <c r="V27" s="20" t="n">
        <v>67.99</v>
      </c>
      <c r="W27" s="20" t="n">
        <v>26.84</v>
      </c>
      <c r="X27" s="4" t="n">
        <v>263</v>
      </c>
      <c r="Y27" s="4"/>
      <c r="Z27" s="4"/>
    </row>
    <row r="28" customFormat="false" ht="15" hidden="false" customHeight="false" outlineLevel="0" collapsed="false">
      <c r="A28" s="4" t="s">
        <v>14</v>
      </c>
      <c r="B28" s="4" t="s">
        <v>16</v>
      </c>
      <c r="C28" s="4" t="s">
        <v>155</v>
      </c>
      <c r="D28" s="4" t="s">
        <v>156</v>
      </c>
      <c r="E28" s="4" t="n">
        <v>33</v>
      </c>
      <c r="F28" s="4" t="n">
        <v>0</v>
      </c>
      <c r="G28" s="4" t="n">
        <v>0</v>
      </c>
      <c r="H28" s="4" t="n">
        <v>2</v>
      </c>
      <c r="I28" s="4" t="n">
        <v>1</v>
      </c>
      <c r="J28" s="4" t="n">
        <v>0</v>
      </c>
      <c r="K28" s="4" t="n">
        <v>30</v>
      </c>
      <c r="L28" s="4" t="n">
        <v>0</v>
      </c>
      <c r="M28" s="4" t="n">
        <v>0</v>
      </c>
      <c r="N28" s="4" t="n">
        <f aca="false">SUM(I28:M28)</f>
        <v>31</v>
      </c>
      <c r="O28" s="6" t="n">
        <v>60.36</v>
      </c>
      <c r="P28" s="18" t="n">
        <v>0</v>
      </c>
      <c r="Q28" s="18"/>
      <c r="R28" s="22" t="s">
        <v>117</v>
      </c>
      <c r="S28" s="4" t="s">
        <v>118</v>
      </c>
      <c r="T28" s="4" t="n">
        <v>0</v>
      </c>
      <c r="U28" s="4" t="n">
        <f aca="false">MAX(E28-T28,0)</f>
        <v>33</v>
      </c>
      <c r="V28" s="20"/>
      <c r="W28" s="20"/>
      <c r="X28" s="4" t="n">
        <v>44</v>
      </c>
      <c r="Y28" s="4" t="s">
        <v>147</v>
      </c>
      <c r="Z28" s="4" t="s">
        <v>83</v>
      </c>
    </row>
    <row r="29" customFormat="false" ht="15" hidden="false" customHeight="false" outlineLevel="0" collapsed="false">
      <c r="A29" s="4" t="s">
        <v>14</v>
      </c>
      <c r="B29" s="4" t="s">
        <v>16</v>
      </c>
      <c r="C29" s="4" t="s">
        <v>157</v>
      </c>
      <c r="D29" s="4" t="s">
        <v>158</v>
      </c>
      <c r="E29" s="4" t="n">
        <v>43</v>
      </c>
      <c r="F29" s="4" t="n">
        <v>3</v>
      </c>
      <c r="G29" s="4" t="n">
        <v>5</v>
      </c>
      <c r="H29" s="4" t="n">
        <v>11</v>
      </c>
      <c r="I29" s="4" t="n">
        <v>4</v>
      </c>
      <c r="J29" s="4" t="n">
        <v>20</v>
      </c>
      <c r="K29" s="4" t="n">
        <v>0</v>
      </c>
      <c r="L29" s="4" t="n">
        <v>0</v>
      </c>
      <c r="M29" s="4" t="n">
        <v>0</v>
      </c>
      <c r="N29" s="4" t="n">
        <f aca="false">SUM(I29:M29)</f>
        <v>24</v>
      </c>
      <c r="O29" s="6" t="n">
        <v>41.59</v>
      </c>
      <c r="P29" s="18" t="n">
        <v>10.5</v>
      </c>
      <c r="Q29" s="18" t="n">
        <v>0.96</v>
      </c>
      <c r="R29" s="19" t="s">
        <v>81</v>
      </c>
      <c r="S29" s="4" t="s">
        <v>159</v>
      </c>
      <c r="T29" s="4" t="n">
        <v>21</v>
      </c>
      <c r="U29" s="4" t="n">
        <f aca="false">MAX(E29-T29,0)</f>
        <v>22</v>
      </c>
      <c r="V29" s="20" t="n">
        <v>59.99</v>
      </c>
      <c r="W29" s="20" t="n">
        <v>23.69</v>
      </c>
      <c r="X29" s="4" t="n">
        <v>119</v>
      </c>
      <c r="Y29" s="4"/>
      <c r="Z29" s="4" t="s">
        <v>83</v>
      </c>
    </row>
    <row r="30" customFormat="false" ht="15" hidden="false" customHeight="false" outlineLevel="0" collapsed="false">
      <c r="A30" s="4" t="s">
        <v>14</v>
      </c>
      <c r="B30" s="4" t="s">
        <v>16</v>
      </c>
      <c r="C30" s="4" t="s">
        <v>160</v>
      </c>
      <c r="D30" s="4" t="s">
        <v>161</v>
      </c>
      <c r="E30" s="4" t="n">
        <v>31</v>
      </c>
      <c r="F30" s="4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1</v>
      </c>
      <c r="L30" s="4" t="n">
        <v>29</v>
      </c>
      <c r="M30" s="4" t="n">
        <v>0</v>
      </c>
      <c r="N30" s="4" t="n">
        <f aca="false">SUM(I30:M30)</f>
        <v>30</v>
      </c>
      <c r="O30" s="6" t="n">
        <v>38.1</v>
      </c>
      <c r="P30" s="18" t="n">
        <v>0.75</v>
      </c>
      <c r="Q30" s="18" t="n">
        <v>9.66</v>
      </c>
      <c r="R30" s="19" t="s">
        <v>81</v>
      </c>
      <c r="S30" s="4" t="s">
        <v>162</v>
      </c>
      <c r="T30" s="4" t="n">
        <v>10</v>
      </c>
      <c r="U30" s="4" t="n">
        <f aca="false">MAX(E30-T30,0)</f>
        <v>21</v>
      </c>
      <c r="V30" s="20" t="n">
        <v>47.99</v>
      </c>
      <c r="W30" s="20" t="n">
        <v>25.39</v>
      </c>
      <c r="X30" s="4" t="n">
        <v>35</v>
      </c>
      <c r="Y30" s="4"/>
      <c r="Z30" s="4" t="s">
        <v>83</v>
      </c>
    </row>
    <row r="31" customFormat="false" ht="15" hidden="false" customHeight="false" outlineLevel="0" collapsed="false">
      <c r="A31" s="4" t="s">
        <v>14</v>
      </c>
      <c r="B31" s="4" t="s">
        <v>16</v>
      </c>
      <c r="C31" s="4" t="s">
        <v>163</v>
      </c>
      <c r="D31" s="4" t="s">
        <v>164</v>
      </c>
      <c r="E31" s="4" t="n">
        <v>21</v>
      </c>
      <c r="F31" s="4" t="n">
        <v>0</v>
      </c>
      <c r="G31" s="4" t="n">
        <v>0</v>
      </c>
      <c r="H31" s="4" t="n">
        <v>7</v>
      </c>
      <c r="I31" s="4" t="n">
        <v>1</v>
      </c>
      <c r="J31" s="4" t="n">
        <v>0</v>
      </c>
      <c r="K31" s="4" t="n">
        <v>0</v>
      </c>
      <c r="L31" s="4" t="n">
        <v>13</v>
      </c>
      <c r="M31" s="4" t="n">
        <v>0</v>
      </c>
      <c r="N31" s="4" t="n">
        <f aca="false">SUM(I31:M31)</f>
        <v>14</v>
      </c>
      <c r="O31" s="6" t="n">
        <v>30.09</v>
      </c>
      <c r="P31" s="18" t="n">
        <v>1.75</v>
      </c>
      <c r="Q31" s="18" t="n">
        <v>2.8</v>
      </c>
      <c r="R31" s="19" t="s">
        <v>81</v>
      </c>
      <c r="S31" s="4" t="s">
        <v>127</v>
      </c>
      <c r="T31" s="4" t="n">
        <v>10</v>
      </c>
      <c r="U31" s="4" t="n">
        <f aca="false">MAX(E31-T31,0)</f>
        <v>11</v>
      </c>
      <c r="V31" s="20" t="n">
        <v>55.99</v>
      </c>
      <c r="W31" s="20" t="n">
        <v>23.63</v>
      </c>
      <c r="X31" s="4" t="n">
        <v>24</v>
      </c>
      <c r="Y31" s="4"/>
      <c r="Z31" s="4"/>
    </row>
    <row r="32" customFormat="false" ht="15" hidden="false" customHeight="false" outlineLevel="0" collapsed="false">
      <c r="A32" s="4" t="s">
        <v>14</v>
      </c>
      <c r="B32" s="4" t="s">
        <v>16</v>
      </c>
      <c r="C32" s="4" t="s">
        <v>165</v>
      </c>
      <c r="D32" s="4" t="s">
        <v>166</v>
      </c>
      <c r="E32" s="4" t="n">
        <v>15</v>
      </c>
      <c r="F32" s="4" t="n">
        <v>0</v>
      </c>
      <c r="G32" s="4" t="n">
        <v>1</v>
      </c>
      <c r="H32" s="4" t="n">
        <v>0</v>
      </c>
      <c r="I32" s="4" t="n">
        <v>14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f aca="false">SUM(I32:M32)</f>
        <v>14</v>
      </c>
      <c r="O32" s="6" t="n">
        <v>14.16</v>
      </c>
      <c r="P32" s="18" t="n">
        <v>1.25</v>
      </c>
      <c r="Q32" s="18" t="n">
        <v>2.8</v>
      </c>
      <c r="R32" s="19" t="s">
        <v>81</v>
      </c>
      <c r="S32" s="4" t="s">
        <v>167</v>
      </c>
      <c r="T32" s="4" t="n">
        <v>10</v>
      </c>
      <c r="U32" s="4" t="n">
        <f aca="false">MAX(E32-T32,0)</f>
        <v>5</v>
      </c>
      <c r="V32" s="20" t="n">
        <v>44.39</v>
      </c>
      <c r="W32" s="20" t="n">
        <v>20.37</v>
      </c>
      <c r="X32" s="4" t="n">
        <v>29</v>
      </c>
      <c r="Y32" s="4"/>
      <c r="Z32" s="4"/>
    </row>
    <row r="33" customFormat="false" ht="15" hidden="false" customHeight="false" outlineLevel="0" collapsed="false">
      <c r="A33" s="4" t="s">
        <v>14</v>
      </c>
      <c r="B33" s="4" t="s">
        <v>16</v>
      </c>
      <c r="C33" s="4" t="s">
        <v>168</v>
      </c>
      <c r="D33" s="4" t="s">
        <v>169</v>
      </c>
      <c r="E33" s="4" t="n">
        <v>34</v>
      </c>
      <c r="F33" s="4" t="n">
        <v>3</v>
      </c>
      <c r="G33" s="4" t="n">
        <v>3</v>
      </c>
      <c r="H33" s="4" t="n">
        <v>28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f aca="false">SUM(I33:M33)</f>
        <v>0</v>
      </c>
      <c r="O33" s="6" t="n">
        <v>8.67</v>
      </c>
      <c r="P33" s="18" t="n">
        <v>2.25</v>
      </c>
      <c r="Q33" s="18" t="n">
        <v>3.53</v>
      </c>
      <c r="R33" s="19" t="s">
        <v>81</v>
      </c>
      <c r="S33" s="4" t="s">
        <v>162</v>
      </c>
      <c r="T33" s="4" t="n">
        <v>10</v>
      </c>
      <c r="U33" s="4" t="n">
        <f aca="false">MAX(E33-T33,0)</f>
        <v>24</v>
      </c>
      <c r="V33" s="20" t="n">
        <v>47.99</v>
      </c>
      <c r="W33" s="20" t="n">
        <v>19.78</v>
      </c>
      <c r="X33" s="4" t="n">
        <v>52</v>
      </c>
      <c r="Y33" s="4"/>
      <c r="Z33" s="4"/>
    </row>
    <row r="34" customFormat="false" ht="15" hidden="false" customHeight="false" outlineLevel="0" collapsed="false">
      <c r="A34" s="4" t="s">
        <v>14</v>
      </c>
      <c r="B34" s="4" t="s">
        <v>16</v>
      </c>
      <c r="C34" s="4" t="s">
        <v>170</v>
      </c>
      <c r="D34" s="4" t="s">
        <v>171</v>
      </c>
      <c r="E34" s="4" t="n">
        <v>5</v>
      </c>
      <c r="F34" s="4" t="n">
        <v>0</v>
      </c>
      <c r="G34" s="4" t="n">
        <v>0</v>
      </c>
      <c r="H34" s="4" t="n">
        <v>0</v>
      </c>
      <c r="I34" s="4" t="n">
        <v>2</v>
      </c>
      <c r="J34" s="4" t="n">
        <v>0</v>
      </c>
      <c r="K34" s="4" t="n">
        <v>1</v>
      </c>
      <c r="L34" s="4" t="n">
        <v>2</v>
      </c>
      <c r="M34" s="4" t="n">
        <v>0</v>
      </c>
      <c r="N34" s="4" t="n">
        <f aca="false">SUM(I34:M34)</f>
        <v>5</v>
      </c>
      <c r="O34" s="6" t="n">
        <v>5.65</v>
      </c>
      <c r="P34" s="18" t="n">
        <v>3</v>
      </c>
      <c r="Q34" s="18" t="n">
        <v>0.39</v>
      </c>
      <c r="R34" s="21" t="s">
        <v>103</v>
      </c>
      <c r="S34" s="4" t="s">
        <v>162</v>
      </c>
      <c r="T34" s="4" t="n">
        <v>10</v>
      </c>
      <c r="U34" s="4" t="n">
        <f aca="false">MAX(E34-T34,0)</f>
        <v>0</v>
      </c>
      <c r="V34" s="20" t="n">
        <v>47.99</v>
      </c>
      <c r="W34" s="20" t="n">
        <v>18.92</v>
      </c>
      <c r="X34" s="4" t="n">
        <v>33</v>
      </c>
      <c r="Y34" s="4"/>
      <c r="Z34" s="4"/>
    </row>
    <row r="35" customFormat="false" ht="15" hidden="false" customHeight="false" outlineLevel="0" collapsed="false">
      <c r="A35" s="4" t="s">
        <v>14</v>
      </c>
      <c r="B35" s="4" t="s">
        <v>16</v>
      </c>
      <c r="C35" s="4" t="s">
        <v>172</v>
      </c>
      <c r="D35" s="4" t="s">
        <v>173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f aca="false">SUM(I35:M35)</f>
        <v>0</v>
      </c>
      <c r="O35" s="6" t="n">
        <v>0.32</v>
      </c>
      <c r="P35" s="18" t="n">
        <v>1.25</v>
      </c>
      <c r="Q35" s="18" t="n">
        <v>0.19</v>
      </c>
      <c r="R35" s="21" t="s">
        <v>103</v>
      </c>
      <c r="S35" s="4" t="s">
        <v>162</v>
      </c>
      <c r="T35" s="4" t="n">
        <v>10</v>
      </c>
      <c r="U35" s="4" t="n">
        <f aca="false">MAX(E35-T35,0)</f>
        <v>0</v>
      </c>
      <c r="V35" s="20" t="n">
        <v>47.99</v>
      </c>
      <c r="W35" s="20" t="n">
        <v>18.91</v>
      </c>
      <c r="X35" s="4" t="n">
        <v>25</v>
      </c>
      <c r="Y35" s="4"/>
      <c r="Z35" s="4"/>
    </row>
    <row r="36" customFormat="false" ht="15" hidden="false" customHeight="false" outlineLevel="0" collapsed="false">
      <c r="A36" s="4" t="s">
        <v>14</v>
      </c>
      <c r="B36" s="4" t="s">
        <v>17</v>
      </c>
      <c r="C36" s="4" t="s">
        <v>174</v>
      </c>
      <c r="D36" s="4" t="s">
        <v>175</v>
      </c>
      <c r="E36" s="4" t="n">
        <v>1100</v>
      </c>
      <c r="F36" s="4" t="n">
        <v>36</v>
      </c>
      <c r="G36" s="4" t="n">
        <v>227</v>
      </c>
      <c r="H36" s="4" t="n">
        <v>837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f aca="false">SUM(I36:M36)</f>
        <v>0</v>
      </c>
      <c r="O36" s="6" t="n">
        <v>372.27</v>
      </c>
      <c r="P36" s="18" t="n">
        <v>34</v>
      </c>
      <c r="Q36" s="18" t="n">
        <v>7.55</v>
      </c>
      <c r="R36" s="19" t="s">
        <v>81</v>
      </c>
      <c r="S36" s="4" t="s">
        <v>176</v>
      </c>
      <c r="T36" s="4" t="n">
        <v>41</v>
      </c>
      <c r="U36" s="4" t="n">
        <f aca="false">MAX(E36-T36,0)</f>
        <v>1059</v>
      </c>
      <c r="V36" s="20" t="n">
        <v>23.96</v>
      </c>
      <c r="W36" s="20" t="n">
        <v>16.43</v>
      </c>
      <c r="X36" s="4" t="n">
        <v>1107</v>
      </c>
      <c r="Y36" s="4"/>
      <c r="Z36" s="4"/>
    </row>
    <row r="37" customFormat="false" ht="15" hidden="false" customHeight="false" outlineLevel="0" collapsed="false">
      <c r="A37" s="4" t="s">
        <v>14</v>
      </c>
      <c r="B37" s="4" t="s">
        <v>17</v>
      </c>
      <c r="C37" s="4" t="s">
        <v>177</v>
      </c>
      <c r="D37" s="4" t="s">
        <v>178</v>
      </c>
      <c r="E37" s="4" t="n">
        <v>499</v>
      </c>
      <c r="F37" s="4" t="n">
        <v>1</v>
      </c>
      <c r="G37" s="4" t="n">
        <v>35</v>
      </c>
      <c r="H37" s="4" t="n">
        <v>452</v>
      </c>
      <c r="I37" s="4" t="n">
        <v>2</v>
      </c>
      <c r="J37" s="4" t="n">
        <v>9</v>
      </c>
      <c r="K37" s="4" t="n">
        <v>0</v>
      </c>
      <c r="L37" s="4" t="n">
        <v>0</v>
      </c>
      <c r="M37" s="4" t="n">
        <v>0</v>
      </c>
      <c r="N37" s="4" t="n">
        <f aca="false">SUM(I37:M37)</f>
        <v>11</v>
      </c>
      <c r="O37" s="6" t="n">
        <v>205.41</v>
      </c>
      <c r="P37" s="18" t="n">
        <v>17.25</v>
      </c>
      <c r="Q37" s="18" t="n">
        <v>6.75</v>
      </c>
      <c r="R37" s="22" t="s">
        <v>117</v>
      </c>
      <c r="S37" s="4" t="s">
        <v>179</v>
      </c>
      <c r="T37" s="4" t="n">
        <v>0</v>
      </c>
      <c r="U37" s="4" t="n">
        <f aca="false">MAX(E37-T37,0)</f>
        <v>499</v>
      </c>
      <c r="V37" s="20"/>
      <c r="W37" s="20" t="n">
        <v>16.52</v>
      </c>
      <c r="X37" s="4" t="n">
        <v>814</v>
      </c>
      <c r="Y37" s="4" t="s">
        <v>180</v>
      </c>
      <c r="Z37" s="4"/>
    </row>
    <row r="38" customFormat="false" ht="15" hidden="false" customHeight="false" outlineLevel="0" collapsed="false">
      <c r="A38" s="4" t="s">
        <v>14</v>
      </c>
      <c r="B38" s="4" t="s">
        <v>17</v>
      </c>
      <c r="C38" s="4" t="s">
        <v>181</v>
      </c>
      <c r="D38" s="4" t="s">
        <v>182</v>
      </c>
      <c r="E38" s="4" t="n">
        <v>75</v>
      </c>
      <c r="F38" s="4" t="n">
        <v>0</v>
      </c>
      <c r="G38" s="4" t="n">
        <v>1</v>
      </c>
      <c r="H38" s="4" t="n">
        <v>1</v>
      </c>
      <c r="I38" s="4" t="n">
        <v>30</v>
      </c>
      <c r="J38" s="4" t="n">
        <v>0</v>
      </c>
      <c r="K38" s="4" t="n">
        <v>0</v>
      </c>
      <c r="L38" s="4" t="n">
        <v>0</v>
      </c>
      <c r="M38" s="4" t="n">
        <v>43</v>
      </c>
      <c r="N38" s="4" t="n">
        <f aca="false">SUM(I38:M38)</f>
        <v>73</v>
      </c>
      <c r="O38" s="6" t="n">
        <v>99.12</v>
      </c>
      <c r="P38" s="18" t="n">
        <v>2</v>
      </c>
      <c r="Q38" s="18" t="n">
        <v>8.75</v>
      </c>
      <c r="R38" s="19" t="s">
        <v>81</v>
      </c>
      <c r="S38" s="4" t="s">
        <v>183</v>
      </c>
      <c r="T38" s="4" t="n">
        <v>10</v>
      </c>
      <c r="U38" s="4" t="n">
        <f aca="false">MAX(E38-T38,0)</f>
        <v>65</v>
      </c>
      <c r="V38" s="20" t="n">
        <v>19.91</v>
      </c>
      <c r="W38" s="20" t="n">
        <v>17.31</v>
      </c>
      <c r="X38" s="4" t="n">
        <v>129</v>
      </c>
      <c r="Y38" s="4" t="s">
        <v>184</v>
      </c>
      <c r="Z38" s="4" t="s">
        <v>83</v>
      </c>
    </row>
    <row r="39" customFormat="false" ht="15" hidden="false" customHeight="false" outlineLevel="0" collapsed="false">
      <c r="A39" s="4" t="s">
        <v>14</v>
      </c>
      <c r="B39" s="4" t="s">
        <v>17</v>
      </c>
      <c r="C39" s="4" t="s">
        <v>185</v>
      </c>
      <c r="D39" s="4" t="s">
        <v>186</v>
      </c>
      <c r="E39" s="4" t="n">
        <v>84</v>
      </c>
      <c r="F39" s="4" t="n">
        <v>0</v>
      </c>
      <c r="G39" s="4" t="n">
        <v>1</v>
      </c>
      <c r="H39" s="4" t="n">
        <v>30</v>
      </c>
      <c r="I39" s="4" t="n">
        <v>19</v>
      </c>
      <c r="J39" s="4" t="n">
        <v>0</v>
      </c>
      <c r="K39" s="4" t="n">
        <v>34</v>
      </c>
      <c r="L39" s="4" t="n">
        <v>0</v>
      </c>
      <c r="M39" s="4" t="n">
        <v>0</v>
      </c>
      <c r="N39" s="4" t="n">
        <f aca="false">SUM(I39:M39)</f>
        <v>53</v>
      </c>
      <c r="O39" s="6" t="n">
        <v>83.48</v>
      </c>
      <c r="P39" s="18" t="n">
        <v>3.25</v>
      </c>
      <c r="Q39" s="18" t="n">
        <v>6.03</v>
      </c>
      <c r="R39" s="19" t="s">
        <v>81</v>
      </c>
      <c r="S39" s="4" t="s">
        <v>187</v>
      </c>
      <c r="T39" s="4" t="n">
        <v>20</v>
      </c>
      <c r="U39" s="4" t="n">
        <f aca="false">MAX(E39-T39,0)</f>
        <v>64</v>
      </c>
      <c r="V39" s="20" t="n">
        <v>23.96</v>
      </c>
      <c r="W39" s="20" t="n">
        <v>15.94</v>
      </c>
      <c r="X39" s="4" t="n">
        <v>92</v>
      </c>
      <c r="Y39" s="4"/>
      <c r="Z39" s="4" t="s">
        <v>83</v>
      </c>
    </row>
    <row r="40" customFormat="false" ht="15" hidden="false" customHeight="false" outlineLevel="0" collapsed="false">
      <c r="A40" s="4" t="s">
        <v>14</v>
      </c>
      <c r="B40" s="4" t="s">
        <v>17</v>
      </c>
      <c r="C40" s="4" t="s">
        <v>188</v>
      </c>
      <c r="D40" s="4" t="s">
        <v>189</v>
      </c>
      <c r="E40" s="4" t="n">
        <v>48</v>
      </c>
      <c r="F40" s="4" t="n">
        <v>0</v>
      </c>
      <c r="G40" s="4" t="n">
        <v>1</v>
      </c>
      <c r="H40" s="4" t="n">
        <v>0</v>
      </c>
      <c r="I40" s="4" t="n">
        <v>2</v>
      </c>
      <c r="J40" s="4" t="n">
        <v>0</v>
      </c>
      <c r="K40" s="4" t="n">
        <v>45</v>
      </c>
      <c r="L40" s="4" t="n">
        <v>0</v>
      </c>
      <c r="M40" s="4" t="n">
        <v>0</v>
      </c>
      <c r="N40" s="4" t="n">
        <f aca="false">SUM(I40:M40)</f>
        <v>47</v>
      </c>
      <c r="O40" s="6" t="n">
        <v>70.79</v>
      </c>
      <c r="P40" s="18" t="n">
        <v>7.5</v>
      </c>
      <c r="Q40" s="18" t="n">
        <v>1.49</v>
      </c>
      <c r="R40" s="19" t="s">
        <v>81</v>
      </c>
      <c r="S40" s="4" t="s">
        <v>190</v>
      </c>
      <c r="T40" s="4" t="n">
        <v>10</v>
      </c>
      <c r="U40" s="4" t="n">
        <f aca="false">MAX(E40-T40,0)</f>
        <v>38</v>
      </c>
      <c r="V40" s="20" t="n">
        <v>23.96</v>
      </c>
      <c r="W40" s="20" t="n">
        <v>13.44</v>
      </c>
      <c r="X40" s="4" t="n">
        <v>125</v>
      </c>
      <c r="Y40" s="4" t="s">
        <v>191</v>
      </c>
      <c r="Z40" s="4" t="s">
        <v>83</v>
      </c>
    </row>
    <row r="41" customFormat="false" ht="15" hidden="false" customHeight="false" outlineLevel="0" collapsed="false">
      <c r="A41" s="4" t="s">
        <v>14</v>
      </c>
      <c r="B41" s="4" t="s">
        <v>17</v>
      </c>
      <c r="C41" s="4" t="s">
        <v>192</v>
      </c>
      <c r="D41" s="4" t="s">
        <v>193</v>
      </c>
      <c r="E41" s="4" t="n">
        <v>53</v>
      </c>
      <c r="F41" s="4" t="n">
        <v>0</v>
      </c>
      <c r="G41" s="4" t="n">
        <v>0</v>
      </c>
      <c r="H41" s="4" t="n">
        <v>0</v>
      </c>
      <c r="I41" s="4" t="n">
        <v>3</v>
      </c>
      <c r="J41" s="4" t="n">
        <v>6</v>
      </c>
      <c r="K41" s="4" t="n">
        <v>44</v>
      </c>
      <c r="L41" s="4" t="n">
        <v>0</v>
      </c>
      <c r="M41" s="4" t="n">
        <v>0</v>
      </c>
      <c r="N41" s="4" t="n">
        <f aca="false">SUM(I41:M41)</f>
        <v>53</v>
      </c>
      <c r="O41" s="6" t="n">
        <v>61.22</v>
      </c>
      <c r="P41" s="18" t="n">
        <v>1.5</v>
      </c>
      <c r="Q41" s="18" t="n">
        <v>8.24</v>
      </c>
      <c r="R41" s="19" t="s">
        <v>81</v>
      </c>
      <c r="S41" s="4" t="s">
        <v>194</v>
      </c>
      <c r="T41" s="4" t="n">
        <v>10</v>
      </c>
      <c r="U41" s="4" t="n">
        <f aca="false">MAX(E41-T41,0)</f>
        <v>43</v>
      </c>
      <c r="V41" s="20" t="n">
        <v>21.86</v>
      </c>
      <c r="W41" s="20" t="n">
        <v>16.87</v>
      </c>
      <c r="X41" s="4" t="n">
        <v>46</v>
      </c>
      <c r="Y41" s="4" t="s">
        <v>195</v>
      </c>
      <c r="Z41" s="4" t="s">
        <v>83</v>
      </c>
    </row>
    <row r="42" customFormat="false" ht="15" hidden="false" customHeight="false" outlineLevel="0" collapsed="false">
      <c r="A42" s="4" t="s">
        <v>14</v>
      </c>
      <c r="B42" s="4" t="s">
        <v>17</v>
      </c>
      <c r="C42" s="4" t="s">
        <v>196</v>
      </c>
      <c r="D42" s="4" t="s">
        <v>197</v>
      </c>
      <c r="E42" s="4" t="n">
        <v>36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35</v>
      </c>
      <c r="M42" s="4" t="n">
        <v>0</v>
      </c>
      <c r="N42" s="4" t="n">
        <f aca="false">SUM(I42:M42)</f>
        <v>36</v>
      </c>
      <c r="O42" s="6" t="n">
        <v>43.83</v>
      </c>
      <c r="P42" s="18" t="n">
        <v>1</v>
      </c>
      <c r="Q42" s="18" t="n">
        <v>8.39</v>
      </c>
      <c r="R42" s="19" t="s">
        <v>81</v>
      </c>
      <c r="S42" s="4" t="s">
        <v>187</v>
      </c>
      <c r="T42" s="4" t="n">
        <v>20</v>
      </c>
      <c r="U42" s="4" t="n">
        <f aca="false">MAX(E42-T42,0)</f>
        <v>16</v>
      </c>
      <c r="V42" s="20" t="n">
        <v>23.96</v>
      </c>
      <c r="W42" s="20" t="n">
        <v>16.8</v>
      </c>
      <c r="X42" s="4" t="n">
        <v>39</v>
      </c>
      <c r="Y42" s="4"/>
      <c r="Z42" s="4"/>
    </row>
    <row r="43" customFormat="false" ht="15" hidden="false" customHeight="false" outlineLevel="0" collapsed="false">
      <c r="A43" s="4" t="s">
        <v>14</v>
      </c>
      <c r="B43" s="4" t="s">
        <v>17</v>
      </c>
      <c r="C43" s="4" t="s">
        <v>198</v>
      </c>
      <c r="D43" s="4" t="s">
        <v>199</v>
      </c>
      <c r="E43" s="4" t="n">
        <v>35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12</v>
      </c>
      <c r="L43" s="4" t="n">
        <v>22</v>
      </c>
      <c r="M43" s="4" t="n">
        <v>0</v>
      </c>
      <c r="N43" s="4" t="n">
        <f aca="false">SUM(I43:M43)</f>
        <v>34</v>
      </c>
      <c r="O43" s="6" t="n">
        <v>41.81</v>
      </c>
      <c r="P43" s="18" t="n">
        <v>2</v>
      </c>
      <c r="Q43" s="18" t="n">
        <v>4.08</v>
      </c>
      <c r="R43" s="19" t="s">
        <v>81</v>
      </c>
      <c r="S43" s="4" t="s">
        <v>200</v>
      </c>
      <c r="T43" s="4" t="n">
        <v>20</v>
      </c>
      <c r="U43" s="4" t="n">
        <f aca="false">MAX(E43-T43,0)</f>
        <v>15</v>
      </c>
      <c r="V43" s="20" t="n">
        <v>22.36</v>
      </c>
      <c r="W43" s="20" t="n">
        <v>13.7</v>
      </c>
      <c r="X43" s="4" t="n">
        <v>36</v>
      </c>
      <c r="Y43" s="4"/>
      <c r="Z43" s="4"/>
    </row>
    <row r="44" customFormat="false" ht="15" hidden="false" customHeight="false" outlineLevel="0" collapsed="false">
      <c r="A44" s="4" t="s">
        <v>14</v>
      </c>
      <c r="B44" s="4" t="s">
        <v>17</v>
      </c>
      <c r="C44" s="4" t="s">
        <v>201</v>
      </c>
      <c r="D44" s="4" t="s">
        <v>202</v>
      </c>
      <c r="E44" s="4" t="n">
        <v>83</v>
      </c>
      <c r="F44" s="4" t="n">
        <v>0</v>
      </c>
      <c r="G44" s="4" t="n">
        <v>1</v>
      </c>
      <c r="H44" s="4" t="n">
        <v>61</v>
      </c>
      <c r="I44" s="4" t="n">
        <v>1</v>
      </c>
      <c r="J44" s="4" t="n">
        <v>0</v>
      </c>
      <c r="K44" s="4" t="n">
        <v>20</v>
      </c>
      <c r="L44" s="4" t="n">
        <v>0</v>
      </c>
      <c r="M44" s="4" t="n">
        <v>0</v>
      </c>
      <c r="N44" s="4" t="n">
        <f aca="false">SUM(I44:M44)</f>
        <v>21</v>
      </c>
      <c r="O44" s="6" t="n">
        <v>38.33</v>
      </c>
      <c r="P44" s="18" t="n">
        <v>7</v>
      </c>
      <c r="Q44" s="18" t="n">
        <v>2.77</v>
      </c>
      <c r="R44" s="19" t="s">
        <v>81</v>
      </c>
      <c r="S44" s="4" t="s">
        <v>187</v>
      </c>
      <c r="T44" s="4" t="n">
        <v>20</v>
      </c>
      <c r="U44" s="4" t="n">
        <f aca="false">MAX(E44-T44,0)</f>
        <v>63</v>
      </c>
      <c r="V44" s="20" t="n">
        <v>23.96</v>
      </c>
      <c r="W44" s="20" t="n">
        <v>12.79</v>
      </c>
      <c r="X44" s="4" t="n">
        <v>88</v>
      </c>
      <c r="Y44" s="4"/>
      <c r="Z44" s="4" t="s">
        <v>83</v>
      </c>
    </row>
    <row r="45" customFormat="false" ht="15" hidden="false" customHeight="false" outlineLevel="0" collapsed="false">
      <c r="A45" s="4" t="s">
        <v>14</v>
      </c>
      <c r="B45" s="4" t="s">
        <v>17</v>
      </c>
      <c r="C45" s="4" t="s">
        <v>203</v>
      </c>
      <c r="D45" s="4" t="s">
        <v>204</v>
      </c>
      <c r="E45" s="4" t="n">
        <v>40</v>
      </c>
      <c r="F45" s="4" t="n">
        <v>0</v>
      </c>
      <c r="G45" s="4" t="n">
        <v>2</v>
      </c>
      <c r="H45" s="4" t="n">
        <v>3</v>
      </c>
      <c r="I45" s="4" t="n">
        <v>35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f aca="false">SUM(I45:M45)</f>
        <v>35</v>
      </c>
      <c r="O45" s="6" t="n">
        <v>35.96</v>
      </c>
      <c r="P45" s="18" t="n">
        <v>4.5</v>
      </c>
      <c r="Q45" s="18" t="n">
        <v>2.07</v>
      </c>
      <c r="R45" s="19" t="s">
        <v>81</v>
      </c>
      <c r="S45" s="4" t="s">
        <v>205</v>
      </c>
      <c r="T45" s="4" t="n">
        <v>20</v>
      </c>
      <c r="U45" s="4" t="n">
        <f aca="false">MAX(E45-T45,0)</f>
        <v>20</v>
      </c>
      <c r="V45" s="20" t="n">
        <v>19.84</v>
      </c>
      <c r="W45" s="20" t="n">
        <v>11.96</v>
      </c>
      <c r="X45" s="4" t="n">
        <v>93</v>
      </c>
      <c r="Y45" s="4"/>
      <c r="Z45" s="4" t="s">
        <v>83</v>
      </c>
    </row>
    <row r="46" customFormat="false" ht="15" hidden="false" customHeight="false" outlineLevel="0" collapsed="false">
      <c r="A46" s="4" t="s">
        <v>14</v>
      </c>
      <c r="B46" s="4" t="s">
        <v>17</v>
      </c>
      <c r="C46" s="4" t="s">
        <v>206</v>
      </c>
      <c r="D46" s="4" t="s">
        <v>207</v>
      </c>
      <c r="E46" s="4" t="n">
        <v>71</v>
      </c>
      <c r="F46" s="4" t="n">
        <v>11</v>
      </c>
      <c r="G46" s="4" t="n">
        <v>3</v>
      </c>
      <c r="H46" s="4" t="n">
        <v>57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f aca="false">SUM(I46:M46)</f>
        <v>0</v>
      </c>
      <c r="O46" s="6" t="n">
        <v>34.05</v>
      </c>
      <c r="P46" s="18" t="n">
        <v>27</v>
      </c>
      <c r="Q46" s="18" t="n">
        <v>0.61</v>
      </c>
      <c r="R46" s="19" t="s">
        <v>81</v>
      </c>
      <c r="S46" s="4" t="s">
        <v>208</v>
      </c>
      <c r="T46" s="4" t="n">
        <v>39</v>
      </c>
      <c r="U46" s="4" t="n">
        <f aca="false">MAX(E46-T46,0)</f>
        <v>32</v>
      </c>
      <c r="V46" s="20" t="n">
        <v>27.16</v>
      </c>
      <c r="W46" s="20" t="n">
        <v>13.5</v>
      </c>
      <c r="X46" s="4" t="n">
        <v>1046</v>
      </c>
      <c r="Y46" s="4"/>
      <c r="Z46" s="4"/>
    </row>
    <row r="47" customFormat="false" ht="15" hidden="false" customHeight="false" outlineLevel="0" collapsed="false">
      <c r="A47" s="4" t="s">
        <v>14</v>
      </c>
      <c r="B47" s="4" t="s">
        <v>17</v>
      </c>
      <c r="C47" s="4" t="s">
        <v>209</v>
      </c>
      <c r="D47" s="4" t="s">
        <v>210</v>
      </c>
      <c r="E47" s="4" t="n">
        <v>25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3</v>
      </c>
      <c r="K47" s="4" t="n">
        <v>22</v>
      </c>
      <c r="L47" s="4" t="n">
        <v>0</v>
      </c>
      <c r="M47" s="4" t="n">
        <v>0</v>
      </c>
      <c r="N47" s="4" t="n">
        <f aca="false">SUM(I47:M47)</f>
        <v>25</v>
      </c>
      <c r="O47" s="6" t="n">
        <v>28.75</v>
      </c>
      <c r="P47" s="18" t="n">
        <v>1</v>
      </c>
      <c r="Q47" s="18" t="n">
        <v>5.83</v>
      </c>
      <c r="R47" s="19" t="s">
        <v>81</v>
      </c>
      <c r="S47" s="4" t="s">
        <v>200</v>
      </c>
      <c r="T47" s="4" t="n">
        <v>20</v>
      </c>
      <c r="U47" s="4" t="n">
        <f aca="false">MAX(E47-T47,0)</f>
        <v>5</v>
      </c>
      <c r="V47" s="20" t="n">
        <v>22.36</v>
      </c>
      <c r="W47" s="20" t="n">
        <v>15.25</v>
      </c>
      <c r="X47" s="4" t="n">
        <v>30</v>
      </c>
      <c r="Y47" s="4"/>
      <c r="Z47" s="4"/>
    </row>
    <row r="48" customFormat="false" ht="15" hidden="false" customHeight="false" outlineLevel="0" collapsed="false">
      <c r="A48" s="4" t="s">
        <v>14</v>
      </c>
      <c r="B48" s="4" t="s">
        <v>17</v>
      </c>
      <c r="C48" s="4" t="s">
        <v>211</v>
      </c>
      <c r="D48" s="4" t="s">
        <v>212</v>
      </c>
      <c r="E48" s="4" t="n">
        <v>32</v>
      </c>
      <c r="F48" s="4" t="n">
        <v>0</v>
      </c>
      <c r="G48" s="4" t="n">
        <v>1</v>
      </c>
      <c r="H48" s="4" t="n">
        <v>1</v>
      </c>
      <c r="I48" s="4" t="n">
        <v>30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f aca="false">SUM(I48:M48)</f>
        <v>30</v>
      </c>
      <c r="O48" s="6" t="n">
        <v>28.72</v>
      </c>
      <c r="P48" s="18" t="n">
        <v>3.25</v>
      </c>
      <c r="Q48" s="18" t="n">
        <v>2.3</v>
      </c>
      <c r="R48" s="19" t="s">
        <v>81</v>
      </c>
      <c r="S48" s="4" t="s">
        <v>187</v>
      </c>
      <c r="T48" s="4" t="n">
        <v>20</v>
      </c>
      <c r="U48" s="4" t="n">
        <f aca="false">MAX(E48-T48,0)</f>
        <v>12</v>
      </c>
      <c r="V48" s="20" t="n">
        <v>23.96</v>
      </c>
      <c r="W48" s="20" t="n">
        <v>12.36</v>
      </c>
      <c r="X48" s="4" t="n">
        <v>32</v>
      </c>
      <c r="Y48" s="4"/>
      <c r="Z48" s="4"/>
    </row>
    <row r="49" customFormat="false" ht="15" hidden="false" customHeight="false" outlineLevel="0" collapsed="false">
      <c r="A49" s="4" t="s">
        <v>14</v>
      </c>
      <c r="B49" s="4" t="s">
        <v>17</v>
      </c>
      <c r="C49" s="4" t="s">
        <v>213</v>
      </c>
      <c r="D49" s="4" t="s">
        <v>214</v>
      </c>
      <c r="E49" s="4" t="n">
        <v>141</v>
      </c>
      <c r="F49" s="4" t="n">
        <v>14</v>
      </c>
      <c r="G49" s="4" t="n">
        <v>103</v>
      </c>
      <c r="H49" s="4" t="n">
        <v>24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f aca="false">SUM(I49:M49)</f>
        <v>0</v>
      </c>
      <c r="O49" s="6" t="n">
        <v>27.71</v>
      </c>
      <c r="P49" s="18" t="n">
        <v>11.25</v>
      </c>
      <c r="Q49" s="18" t="n">
        <v>2.92</v>
      </c>
      <c r="R49" s="19" t="s">
        <v>81</v>
      </c>
      <c r="S49" s="4" t="s">
        <v>187</v>
      </c>
      <c r="T49" s="4" t="n">
        <v>20</v>
      </c>
      <c r="U49" s="4" t="n">
        <f aca="false">MAX(E49-T49,0)</f>
        <v>121</v>
      </c>
      <c r="V49" s="20" t="n">
        <v>23.96</v>
      </c>
      <c r="W49" s="20" t="n">
        <v>11.75</v>
      </c>
      <c r="X49" s="4" t="n">
        <v>282</v>
      </c>
      <c r="Y49" s="4"/>
      <c r="Z49" s="4"/>
    </row>
    <row r="50" customFormat="false" ht="15" hidden="false" customHeight="false" outlineLevel="0" collapsed="false">
      <c r="A50" s="4" t="s">
        <v>14</v>
      </c>
      <c r="B50" s="4" t="s">
        <v>17</v>
      </c>
      <c r="C50" s="4" t="s">
        <v>215</v>
      </c>
      <c r="D50" s="4" t="s">
        <v>216</v>
      </c>
      <c r="E50" s="4" t="n">
        <v>25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25</v>
      </c>
      <c r="K50" s="4" t="n">
        <v>0</v>
      </c>
      <c r="L50" s="4" t="n">
        <v>0</v>
      </c>
      <c r="M50" s="4" t="n">
        <v>0</v>
      </c>
      <c r="N50" s="4" t="n">
        <f aca="false">SUM(I50:M50)</f>
        <v>25</v>
      </c>
      <c r="O50" s="6" t="n">
        <v>22.84</v>
      </c>
      <c r="P50" s="18" t="n">
        <v>1.5</v>
      </c>
      <c r="Q50" s="18" t="n">
        <v>3.89</v>
      </c>
      <c r="R50" s="19" t="s">
        <v>81</v>
      </c>
      <c r="S50" s="4" t="s">
        <v>217</v>
      </c>
      <c r="T50" s="4" t="n">
        <v>10</v>
      </c>
      <c r="U50" s="4" t="n">
        <f aca="false">MAX(E50-T50,0)</f>
        <v>15</v>
      </c>
      <c r="V50" s="20" t="n">
        <v>22.36</v>
      </c>
      <c r="W50" s="20" t="n">
        <v>12.57</v>
      </c>
      <c r="X50" s="4" t="n">
        <v>18</v>
      </c>
      <c r="Y50" s="4" t="s">
        <v>218</v>
      </c>
      <c r="Z50" s="4"/>
    </row>
    <row r="51" customFormat="false" ht="15" hidden="false" customHeight="false" outlineLevel="0" collapsed="false">
      <c r="A51" s="4" t="s">
        <v>14</v>
      </c>
      <c r="B51" s="4" t="s">
        <v>17</v>
      </c>
      <c r="C51" s="4" t="s">
        <v>219</v>
      </c>
      <c r="D51" s="4" t="s">
        <v>220</v>
      </c>
      <c r="E51" s="4" t="n">
        <v>19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19</v>
      </c>
      <c r="M51" s="4" t="n">
        <v>0</v>
      </c>
      <c r="N51" s="4" t="n">
        <f aca="false">SUM(I51:M51)</f>
        <v>19</v>
      </c>
      <c r="O51" s="6" t="n">
        <v>22.46</v>
      </c>
      <c r="P51" s="18" t="n">
        <v>2</v>
      </c>
      <c r="Q51" s="18" t="n">
        <v>2.22</v>
      </c>
      <c r="R51" s="19" t="s">
        <v>81</v>
      </c>
      <c r="S51" s="4" t="s">
        <v>217</v>
      </c>
      <c r="T51" s="4" t="n">
        <v>10</v>
      </c>
      <c r="U51" s="4" t="n">
        <f aca="false">MAX(E51-T51,0)</f>
        <v>9</v>
      </c>
      <c r="V51" s="20" t="n">
        <v>22.36</v>
      </c>
      <c r="W51" s="20" t="n">
        <v>12.07</v>
      </c>
      <c r="X51" s="4" t="n">
        <v>21</v>
      </c>
      <c r="Y51" s="4" t="s">
        <v>221</v>
      </c>
      <c r="Z51" s="4"/>
    </row>
    <row r="52" customFormat="false" ht="15" hidden="false" customHeight="false" outlineLevel="0" collapsed="false">
      <c r="A52" s="4" t="s">
        <v>14</v>
      </c>
      <c r="B52" s="4" t="s">
        <v>17</v>
      </c>
      <c r="C52" s="4" t="s">
        <v>222</v>
      </c>
      <c r="D52" s="4" t="s">
        <v>223</v>
      </c>
      <c r="E52" s="4" t="n">
        <v>31</v>
      </c>
      <c r="F52" s="4" t="n">
        <v>1</v>
      </c>
      <c r="G52" s="4" t="n">
        <v>1</v>
      </c>
      <c r="H52" s="4" t="n">
        <v>2</v>
      </c>
      <c r="I52" s="4" t="n">
        <v>27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f aca="false">SUM(I52:M52)</f>
        <v>27</v>
      </c>
      <c r="O52" s="6" t="n">
        <v>21.25</v>
      </c>
      <c r="P52" s="18" t="n">
        <v>0.5</v>
      </c>
      <c r="Q52" s="18" t="n">
        <v>14.49</v>
      </c>
      <c r="R52" s="19" t="s">
        <v>81</v>
      </c>
      <c r="S52" s="4" t="s">
        <v>200</v>
      </c>
      <c r="T52" s="4" t="n">
        <v>20</v>
      </c>
      <c r="U52" s="4" t="n">
        <f aca="false">MAX(E52-T52,0)</f>
        <v>11</v>
      </c>
      <c r="V52" s="20" t="n">
        <v>22.36</v>
      </c>
      <c r="W52" s="20" t="n">
        <v>17.32</v>
      </c>
      <c r="X52" s="4" t="n">
        <v>31</v>
      </c>
      <c r="Y52" s="4"/>
      <c r="Z52" s="4"/>
    </row>
    <row r="53" customFormat="false" ht="15" hidden="false" customHeight="false" outlineLevel="0" collapsed="false">
      <c r="A53" s="4" t="s">
        <v>14</v>
      </c>
      <c r="B53" s="4" t="s">
        <v>17</v>
      </c>
      <c r="C53" s="4" t="s">
        <v>224</v>
      </c>
      <c r="D53" s="4" t="s">
        <v>225</v>
      </c>
      <c r="E53" s="4" t="n">
        <v>19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19</v>
      </c>
      <c r="M53" s="4" t="n">
        <v>0</v>
      </c>
      <c r="N53" s="4" t="n">
        <f aca="false">SUM(I53:M53)</f>
        <v>19</v>
      </c>
      <c r="O53" s="6" t="n">
        <v>19.86</v>
      </c>
      <c r="P53" s="18" t="n">
        <v>0.5</v>
      </c>
      <c r="Q53" s="18" t="n">
        <v>8.88</v>
      </c>
      <c r="R53" s="22" t="s">
        <v>117</v>
      </c>
      <c r="S53" s="4" t="s">
        <v>179</v>
      </c>
      <c r="T53" s="4" t="n">
        <v>0</v>
      </c>
      <c r="U53" s="4" t="n">
        <f aca="false">MAX(E53-T53,0)</f>
        <v>19</v>
      </c>
      <c r="V53" s="20"/>
      <c r="W53" s="20" t="n">
        <v>15.89</v>
      </c>
      <c r="X53" s="4" t="n">
        <v>14</v>
      </c>
      <c r="Y53" s="4" t="s">
        <v>226</v>
      </c>
      <c r="Z53" s="4" t="s">
        <v>120</v>
      </c>
    </row>
    <row r="54" customFormat="false" ht="15" hidden="false" customHeight="false" outlineLevel="0" collapsed="false">
      <c r="A54" s="4" t="s">
        <v>14</v>
      </c>
      <c r="B54" s="4" t="s">
        <v>17</v>
      </c>
      <c r="C54" s="4" t="s">
        <v>227</v>
      </c>
      <c r="D54" s="4" t="s">
        <v>228</v>
      </c>
      <c r="E54" s="4" t="n">
        <v>44</v>
      </c>
      <c r="F54" s="4" t="n">
        <v>0</v>
      </c>
      <c r="G54" s="4" t="n">
        <v>0</v>
      </c>
      <c r="H54" s="4" t="n">
        <v>36</v>
      </c>
      <c r="I54" s="4" t="n">
        <v>1</v>
      </c>
      <c r="J54" s="4" t="n">
        <v>0</v>
      </c>
      <c r="K54" s="4" t="n">
        <v>7</v>
      </c>
      <c r="L54" s="4" t="n">
        <v>0</v>
      </c>
      <c r="M54" s="4" t="n">
        <v>0</v>
      </c>
      <c r="N54" s="4" t="n">
        <f aca="false">SUM(I54:M54)</f>
        <v>8</v>
      </c>
      <c r="O54" s="6" t="n">
        <v>19.2</v>
      </c>
      <c r="P54" s="18" t="n">
        <v>1</v>
      </c>
      <c r="Q54" s="18" t="n">
        <v>10.26</v>
      </c>
      <c r="R54" s="19" t="s">
        <v>81</v>
      </c>
      <c r="S54" s="4" t="s">
        <v>200</v>
      </c>
      <c r="T54" s="4" t="n">
        <v>20</v>
      </c>
      <c r="U54" s="4" t="n">
        <f aca="false">MAX(E54-T54,0)</f>
        <v>24</v>
      </c>
      <c r="V54" s="20" t="n">
        <v>22.36</v>
      </c>
      <c r="W54" s="20" t="n">
        <v>16.79</v>
      </c>
      <c r="X54" s="4" t="n">
        <v>56</v>
      </c>
      <c r="Y54" s="4"/>
      <c r="Z54" s="4"/>
    </row>
    <row r="55" customFormat="false" ht="15" hidden="false" customHeight="false" outlineLevel="0" collapsed="false">
      <c r="A55" s="4" t="s">
        <v>14</v>
      </c>
      <c r="B55" s="4" t="s">
        <v>17</v>
      </c>
      <c r="C55" s="4" t="s">
        <v>229</v>
      </c>
      <c r="D55" s="4" t="s">
        <v>230</v>
      </c>
      <c r="E55" s="4" t="n">
        <v>19</v>
      </c>
      <c r="F55" s="4" t="n">
        <v>0</v>
      </c>
      <c r="G55" s="4" t="n">
        <v>0</v>
      </c>
      <c r="H55" s="4" t="n">
        <v>0</v>
      </c>
      <c r="I55" s="4" t="n">
        <v>6</v>
      </c>
      <c r="J55" s="4" t="n">
        <v>8</v>
      </c>
      <c r="K55" s="4" t="n">
        <v>0</v>
      </c>
      <c r="L55" s="4" t="n">
        <v>0</v>
      </c>
      <c r="M55" s="4" t="n">
        <v>5</v>
      </c>
      <c r="N55" s="4" t="n">
        <f aca="false">SUM(I55:M55)</f>
        <v>19</v>
      </c>
      <c r="O55" s="6" t="n">
        <v>19.11</v>
      </c>
      <c r="P55" s="18" t="n">
        <v>0.5</v>
      </c>
      <c r="Q55" s="18" t="n">
        <v>8.88</v>
      </c>
      <c r="R55" s="21" t="s">
        <v>103</v>
      </c>
      <c r="S55" s="4" t="s">
        <v>200</v>
      </c>
      <c r="T55" s="4" t="n">
        <v>20</v>
      </c>
      <c r="U55" s="4" t="n">
        <f aca="false">MAX(E55-T55,0)</f>
        <v>0</v>
      </c>
      <c r="V55" s="20" t="n">
        <v>22.36</v>
      </c>
      <c r="W55" s="20" t="n">
        <v>16.7</v>
      </c>
      <c r="X55" s="4" t="n">
        <v>20</v>
      </c>
      <c r="Y55" s="4"/>
      <c r="Z55" s="4"/>
    </row>
    <row r="56" customFormat="false" ht="15" hidden="false" customHeight="false" outlineLevel="0" collapsed="false">
      <c r="A56" s="4" t="s">
        <v>14</v>
      </c>
      <c r="B56" s="4" t="s">
        <v>17</v>
      </c>
      <c r="C56" s="4" t="s">
        <v>231</v>
      </c>
      <c r="D56" s="4" t="s">
        <v>232</v>
      </c>
      <c r="E56" s="4" t="n">
        <v>31</v>
      </c>
      <c r="F56" s="4" t="n">
        <v>6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25</v>
      </c>
      <c r="M56" s="4" t="n">
        <v>0</v>
      </c>
      <c r="N56" s="4" t="n">
        <f aca="false">SUM(I56:M56)</f>
        <v>25</v>
      </c>
      <c r="O56" s="6" t="n">
        <v>18.02</v>
      </c>
      <c r="P56" s="18" t="n">
        <v>0</v>
      </c>
      <c r="Q56" s="18"/>
      <c r="R56" s="19" t="s">
        <v>81</v>
      </c>
      <c r="S56" s="4" t="s">
        <v>200</v>
      </c>
      <c r="T56" s="4" t="n">
        <v>20</v>
      </c>
      <c r="U56" s="4" t="n">
        <f aca="false">MAX(E56-T56,0)</f>
        <v>11</v>
      </c>
      <c r="V56" s="20" t="n">
        <v>22.36</v>
      </c>
      <c r="W56" s="20"/>
      <c r="X56" s="4" t="n">
        <v>31</v>
      </c>
      <c r="Y56" s="4"/>
      <c r="Z56" s="4"/>
    </row>
    <row r="57" customFormat="false" ht="15" hidden="false" customHeight="false" outlineLevel="0" collapsed="false">
      <c r="A57" s="4" t="s">
        <v>14</v>
      </c>
      <c r="B57" s="4" t="s">
        <v>17</v>
      </c>
      <c r="C57" s="4" t="s">
        <v>233</v>
      </c>
      <c r="D57" s="4" t="s">
        <v>234</v>
      </c>
      <c r="E57" s="4" t="n">
        <v>20</v>
      </c>
      <c r="F57" s="4" t="n">
        <v>0</v>
      </c>
      <c r="G57" s="4" t="n">
        <v>0</v>
      </c>
      <c r="H57" s="4" t="n">
        <v>0</v>
      </c>
      <c r="I57" s="4" t="n">
        <v>20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f aca="false">SUM(I57:M57)</f>
        <v>20</v>
      </c>
      <c r="O57" s="6" t="n">
        <v>17.96</v>
      </c>
      <c r="P57" s="18" t="n">
        <v>4.25</v>
      </c>
      <c r="Q57" s="18" t="n">
        <v>1.1</v>
      </c>
      <c r="R57" s="22" t="s">
        <v>117</v>
      </c>
      <c r="S57" s="4" t="s">
        <v>179</v>
      </c>
      <c r="T57" s="4" t="n">
        <v>0</v>
      </c>
      <c r="U57" s="4" t="n">
        <f aca="false">MAX(E57-T57,0)</f>
        <v>20</v>
      </c>
      <c r="V57" s="20"/>
      <c r="W57" s="20" t="n">
        <v>11.25</v>
      </c>
      <c r="X57" s="4" t="n">
        <v>26</v>
      </c>
      <c r="Y57" s="4" t="s">
        <v>235</v>
      </c>
      <c r="Z57" s="4" t="s">
        <v>236</v>
      </c>
    </row>
    <row r="58" customFormat="false" ht="15" hidden="false" customHeight="false" outlineLevel="0" collapsed="false">
      <c r="A58" s="4" t="s">
        <v>14</v>
      </c>
      <c r="B58" s="4" t="s">
        <v>17</v>
      </c>
      <c r="C58" s="4" t="s">
        <v>237</v>
      </c>
      <c r="D58" s="4" t="s">
        <v>238</v>
      </c>
      <c r="E58" s="4" t="n">
        <v>64</v>
      </c>
      <c r="F58" s="4" t="n">
        <v>0</v>
      </c>
      <c r="G58" s="4" t="n">
        <v>0</v>
      </c>
      <c r="H58" s="4" t="n">
        <v>64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f aca="false">SUM(I58:M58)</f>
        <v>0</v>
      </c>
      <c r="O58" s="6" t="n">
        <v>17.78</v>
      </c>
      <c r="P58" s="18" t="n">
        <v>1.75</v>
      </c>
      <c r="Q58" s="18" t="n">
        <v>8.53</v>
      </c>
      <c r="R58" s="19" t="s">
        <v>81</v>
      </c>
      <c r="S58" s="4" t="s">
        <v>239</v>
      </c>
      <c r="T58" s="4" t="n">
        <v>20</v>
      </c>
      <c r="U58" s="4" t="n">
        <f aca="false">MAX(E58-T58,0)</f>
        <v>44</v>
      </c>
      <c r="V58" s="20" t="n">
        <v>20.76</v>
      </c>
      <c r="W58" s="20" t="n">
        <v>14.71</v>
      </c>
      <c r="X58" s="4" t="n">
        <v>70</v>
      </c>
      <c r="Y58" s="4"/>
      <c r="Z58" s="4"/>
    </row>
    <row r="59" customFormat="false" ht="15" hidden="false" customHeight="false" outlineLevel="0" collapsed="false">
      <c r="A59" s="4" t="s">
        <v>14</v>
      </c>
      <c r="B59" s="4" t="s">
        <v>17</v>
      </c>
      <c r="C59" s="4" t="s">
        <v>240</v>
      </c>
      <c r="D59" s="4" t="s">
        <v>241</v>
      </c>
      <c r="E59" s="4" t="n">
        <v>45</v>
      </c>
      <c r="F59" s="4" t="n">
        <v>0</v>
      </c>
      <c r="G59" s="4" t="n">
        <v>24</v>
      </c>
      <c r="H59" s="4" t="n">
        <v>6</v>
      </c>
      <c r="I59" s="4" t="n">
        <v>0</v>
      </c>
      <c r="J59" s="4" t="n">
        <v>0</v>
      </c>
      <c r="K59" s="4" t="n">
        <v>15</v>
      </c>
      <c r="L59" s="4" t="n">
        <v>0</v>
      </c>
      <c r="M59" s="4" t="n">
        <v>0</v>
      </c>
      <c r="N59" s="4" t="n">
        <f aca="false">SUM(I59:M59)</f>
        <v>15</v>
      </c>
      <c r="O59" s="6" t="n">
        <v>17.53</v>
      </c>
      <c r="P59" s="18" t="n">
        <v>3.25</v>
      </c>
      <c r="Q59" s="18" t="n">
        <v>3.23</v>
      </c>
      <c r="R59" s="19" t="s">
        <v>81</v>
      </c>
      <c r="S59" s="4" t="s">
        <v>200</v>
      </c>
      <c r="T59" s="4" t="n">
        <v>20</v>
      </c>
      <c r="U59" s="4" t="n">
        <f aca="false">MAX(E59-T59,0)</f>
        <v>25</v>
      </c>
      <c r="V59" s="20" t="n">
        <v>22.36</v>
      </c>
      <c r="W59" s="20" t="n">
        <v>11.46</v>
      </c>
      <c r="X59" s="4" t="n">
        <v>107</v>
      </c>
      <c r="Y59" s="4"/>
      <c r="Z59" s="4"/>
    </row>
    <row r="60" customFormat="false" ht="15" hidden="false" customHeight="false" outlineLevel="0" collapsed="false">
      <c r="A60" s="4" t="s">
        <v>14</v>
      </c>
      <c r="B60" s="4" t="s">
        <v>17</v>
      </c>
      <c r="C60" s="4" t="s">
        <v>242</v>
      </c>
      <c r="D60" s="4" t="s">
        <v>243</v>
      </c>
      <c r="E60" s="4" t="n">
        <v>24</v>
      </c>
      <c r="F60" s="4" t="n">
        <v>0</v>
      </c>
      <c r="G60" s="4" t="n">
        <v>0</v>
      </c>
      <c r="H60" s="4" t="n">
        <v>12</v>
      </c>
      <c r="I60" s="4" t="n">
        <v>12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f aca="false">SUM(I60:M60)</f>
        <v>12</v>
      </c>
      <c r="O60" s="6" t="n">
        <v>15.6</v>
      </c>
      <c r="P60" s="18" t="n">
        <v>1.5</v>
      </c>
      <c r="Q60" s="18" t="n">
        <v>3.73</v>
      </c>
      <c r="R60" s="19" t="s">
        <v>81</v>
      </c>
      <c r="S60" s="4" t="s">
        <v>217</v>
      </c>
      <c r="T60" s="4" t="n">
        <v>10</v>
      </c>
      <c r="U60" s="4" t="n">
        <f aca="false">MAX(E60-T60,0)</f>
        <v>14</v>
      </c>
      <c r="V60" s="20" t="n">
        <v>22.36</v>
      </c>
      <c r="W60" s="20" t="n">
        <v>12.87</v>
      </c>
      <c r="X60" s="4" t="n">
        <v>23</v>
      </c>
      <c r="Y60" s="4" t="s">
        <v>244</v>
      </c>
      <c r="Z60" s="4"/>
    </row>
    <row r="61" customFormat="false" ht="15" hidden="false" customHeight="false" outlineLevel="0" collapsed="false">
      <c r="A61" s="4" t="s">
        <v>14</v>
      </c>
      <c r="B61" s="4" t="s">
        <v>17</v>
      </c>
      <c r="C61" s="4" t="s">
        <v>245</v>
      </c>
      <c r="D61" s="4" t="s">
        <v>246</v>
      </c>
      <c r="E61" s="4" t="n">
        <v>16</v>
      </c>
      <c r="F61" s="4" t="n">
        <v>0</v>
      </c>
      <c r="G61" s="4" t="n">
        <v>0</v>
      </c>
      <c r="H61" s="4" t="n">
        <v>0</v>
      </c>
      <c r="I61" s="4" t="n">
        <v>16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f aca="false">SUM(I61:M61)</f>
        <v>16</v>
      </c>
      <c r="O61" s="6" t="n">
        <v>13.72</v>
      </c>
      <c r="P61" s="18" t="n">
        <v>0.75</v>
      </c>
      <c r="Q61" s="18" t="n">
        <v>4.98</v>
      </c>
      <c r="R61" s="19" t="s">
        <v>81</v>
      </c>
      <c r="S61" s="4" t="s">
        <v>217</v>
      </c>
      <c r="T61" s="4" t="n">
        <v>10</v>
      </c>
      <c r="U61" s="4" t="n">
        <f aca="false">MAX(E61-T61,0)</f>
        <v>6</v>
      </c>
      <c r="V61" s="20" t="n">
        <v>22.36</v>
      </c>
      <c r="W61" s="20" t="n">
        <v>12.87</v>
      </c>
      <c r="X61" s="4" t="n">
        <v>13</v>
      </c>
      <c r="Y61" s="4" t="s">
        <v>247</v>
      </c>
      <c r="Z61" s="4"/>
    </row>
    <row r="62" customFormat="false" ht="15" hidden="false" customHeight="false" outlineLevel="0" collapsed="false">
      <c r="A62" s="4" t="s">
        <v>14</v>
      </c>
      <c r="B62" s="4" t="s">
        <v>17</v>
      </c>
      <c r="C62" s="4" t="s">
        <v>248</v>
      </c>
      <c r="D62" s="4" t="s">
        <v>249</v>
      </c>
      <c r="E62" s="4" t="n">
        <v>10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9</v>
      </c>
      <c r="L62" s="4" t="n">
        <v>0</v>
      </c>
      <c r="M62" s="4" t="n">
        <v>0</v>
      </c>
      <c r="N62" s="4" t="n">
        <f aca="false">SUM(I62:M62)</f>
        <v>9</v>
      </c>
      <c r="O62" s="6" t="n">
        <v>13.71</v>
      </c>
      <c r="P62" s="18" t="n">
        <v>0.25</v>
      </c>
      <c r="Q62" s="18" t="n">
        <v>9.35</v>
      </c>
      <c r="R62" s="22" t="s">
        <v>117</v>
      </c>
      <c r="S62" s="4" t="s">
        <v>179</v>
      </c>
      <c r="T62" s="4" t="n">
        <v>0</v>
      </c>
      <c r="U62" s="4" t="n">
        <f aca="false">MAX(E62-T62,0)</f>
        <v>10</v>
      </c>
      <c r="V62" s="20"/>
      <c r="W62" s="20" t="n">
        <v>19.83</v>
      </c>
      <c r="X62" s="4" t="n">
        <v>9</v>
      </c>
      <c r="Y62" s="4" t="s">
        <v>250</v>
      </c>
      <c r="Z62" s="4"/>
    </row>
    <row r="63" customFormat="false" ht="15" hidden="false" customHeight="false" outlineLevel="0" collapsed="false">
      <c r="A63" s="4" t="s">
        <v>14</v>
      </c>
      <c r="B63" s="4" t="s">
        <v>17</v>
      </c>
      <c r="C63" s="4" t="s">
        <v>251</v>
      </c>
      <c r="D63" s="4" t="s">
        <v>252</v>
      </c>
      <c r="E63" s="4" t="n">
        <v>11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11</v>
      </c>
      <c r="M63" s="4" t="n">
        <v>0</v>
      </c>
      <c r="N63" s="4" t="n">
        <f aca="false">SUM(I63:M63)</f>
        <v>11</v>
      </c>
      <c r="O63" s="6" t="n">
        <v>12.33</v>
      </c>
      <c r="P63" s="18" t="n">
        <v>0.25</v>
      </c>
      <c r="Q63" s="18" t="n">
        <v>10.28</v>
      </c>
      <c r="R63" s="19" t="s">
        <v>81</v>
      </c>
      <c r="S63" s="4" t="s">
        <v>253</v>
      </c>
      <c r="T63" s="4" t="n">
        <v>10</v>
      </c>
      <c r="U63" s="4" t="n">
        <f aca="false">MAX(E63-T63,0)</f>
        <v>1</v>
      </c>
      <c r="V63" s="20" t="n">
        <v>21.36</v>
      </c>
      <c r="W63" s="20" t="n">
        <v>17.03</v>
      </c>
      <c r="X63" s="4" t="n">
        <v>14</v>
      </c>
      <c r="Y63" s="4" t="s">
        <v>254</v>
      </c>
      <c r="Z63" s="4"/>
    </row>
    <row r="64" customFormat="false" ht="15" hidden="false" customHeight="false" outlineLevel="0" collapsed="false">
      <c r="A64" s="4" t="s">
        <v>14</v>
      </c>
      <c r="B64" s="4" t="s">
        <v>17</v>
      </c>
      <c r="C64" s="4" t="s">
        <v>255</v>
      </c>
      <c r="D64" s="4" t="s">
        <v>256</v>
      </c>
      <c r="E64" s="4" t="n">
        <v>8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1</v>
      </c>
      <c r="K64" s="4" t="n">
        <v>0</v>
      </c>
      <c r="L64" s="4" t="n">
        <v>0</v>
      </c>
      <c r="M64" s="4" t="n">
        <v>7</v>
      </c>
      <c r="N64" s="4" t="n">
        <f aca="false">SUM(I64:M64)</f>
        <v>8</v>
      </c>
      <c r="O64" s="6" t="n">
        <v>11.02</v>
      </c>
      <c r="P64" s="18" t="n">
        <v>0.5</v>
      </c>
      <c r="Q64" s="18" t="n">
        <v>3.74</v>
      </c>
      <c r="R64" s="21" t="s">
        <v>103</v>
      </c>
      <c r="S64" s="4" t="s">
        <v>217</v>
      </c>
      <c r="T64" s="4" t="n">
        <v>10</v>
      </c>
      <c r="U64" s="4" t="n">
        <f aca="false">MAX(E64-T64,0)</f>
        <v>0</v>
      </c>
      <c r="V64" s="20" t="n">
        <v>22.36</v>
      </c>
      <c r="W64" s="20" t="n">
        <v>13.43</v>
      </c>
      <c r="X64" s="4" t="n">
        <v>11</v>
      </c>
      <c r="Y64" s="4" t="s">
        <v>257</v>
      </c>
      <c r="Z64" s="4"/>
    </row>
    <row r="65" customFormat="false" ht="15" hidden="false" customHeight="false" outlineLevel="0" collapsed="false">
      <c r="A65" s="4" t="s">
        <v>14</v>
      </c>
      <c r="B65" s="4" t="s">
        <v>17</v>
      </c>
      <c r="C65" s="4" t="s">
        <v>258</v>
      </c>
      <c r="D65" s="4" t="s">
        <v>259</v>
      </c>
      <c r="E65" s="4" t="n">
        <v>53</v>
      </c>
      <c r="F65" s="4" t="n">
        <v>0</v>
      </c>
      <c r="G65" s="4" t="n">
        <v>36</v>
      </c>
      <c r="H65" s="4" t="n">
        <v>17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f aca="false">SUM(I65:M65)</f>
        <v>0</v>
      </c>
      <c r="O65" s="6" t="n">
        <v>10.15</v>
      </c>
      <c r="P65" s="18" t="n">
        <v>0.75</v>
      </c>
      <c r="Q65" s="18" t="n">
        <v>16.51</v>
      </c>
      <c r="R65" s="19" t="s">
        <v>81</v>
      </c>
      <c r="S65" s="4" t="s">
        <v>260</v>
      </c>
      <c r="T65" s="4" t="n">
        <v>20</v>
      </c>
      <c r="U65" s="4" t="n">
        <f aca="false">MAX(E65-T65,0)</f>
        <v>33</v>
      </c>
      <c r="V65" s="20" t="n">
        <v>22.36</v>
      </c>
      <c r="W65" s="20" t="n">
        <v>18.8</v>
      </c>
      <c r="X65" s="4" t="n">
        <v>66</v>
      </c>
      <c r="Y65" s="4"/>
      <c r="Z65" s="4"/>
    </row>
    <row r="66" customFormat="false" ht="15" hidden="false" customHeight="false" outlineLevel="0" collapsed="false">
      <c r="A66" s="4" t="s">
        <v>14</v>
      </c>
      <c r="B66" s="4" t="s">
        <v>17</v>
      </c>
      <c r="C66" s="4" t="s">
        <v>261</v>
      </c>
      <c r="D66" s="4" t="s">
        <v>262</v>
      </c>
      <c r="E66" s="4" t="n">
        <v>7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6</v>
      </c>
      <c r="N66" s="4" t="n">
        <f aca="false">SUM(I66:M66)</f>
        <v>7</v>
      </c>
      <c r="O66" s="6" t="n">
        <v>9.14</v>
      </c>
      <c r="P66" s="18" t="n">
        <v>1.5</v>
      </c>
      <c r="Q66" s="18" t="n">
        <v>1.09</v>
      </c>
      <c r="R66" s="22" t="s">
        <v>117</v>
      </c>
      <c r="S66" s="4" t="s">
        <v>179</v>
      </c>
      <c r="T66" s="4" t="n">
        <v>0</v>
      </c>
      <c r="U66" s="4" t="n">
        <f aca="false">MAX(E66-T66,0)</f>
        <v>7</v>
      </c>
      <c r="V66" s="20"/>
      <c r="W66" s="20" t="n">
        <v>11.48</v>
      </c>
      <c r="X66" s="4" t="n">
        <v>7</v>
      </c>
      <c r="Y66" s="4" t="s">
        <v>250</v>
      </c>
      <c r="Z66" s="4"/>
    </row>
    <row r="67" customFormat="false" ht="15" hidden="false" customHeight="false" outlineLevel="0" collapsed="false">
      <c r="A67" s="4" t="s">
        <v>14</v>
      </c>
      <c r="B67" s="4" t="s">
        <v>17</v>
      </c>
      <c r="C67" s="4" t="s">
        <v>263</v>
      </c>
      <c r="D67" s="4" t="s">
        <v>264</v>
      </c>
      <c r="E67" s="4" t="n">
        <v>10</v>
      </c>
      <c r="F67" s="4" t="n">
        <v>0</v>
      </c>
      <c r="G67" s="4" t="n">
        <v>1</v>
      </c>
      <c r="H67" s="4" t="n">
        <v>1</v>
      </c>
      <c r="I67" s="4" t="n">
        <v>6</v>
      </c>
      <c r="J67" s="4" t="n">
        <v>0</v>
      </c>
      <c r="K67" s="4" t="n">
        <v>1</v>
      </c>
      <c r="L67" s="4" t="n">
        <v>1</v>
      </c>
      <c r="M67" s="4" t="n">
        <v>0</v>
      </c>
      <c r="N67" s="4" t="n">
        <f aca="false">SUM(I67:M67)</f>
        <v>8</v>
      </c>
      <c r="O67" s="6" t="n">
        <v>9.11</v>
      </c>
      <c r="P67" s="18" t="n">
        <v>3.5</v>
      </c>
      <c r="Q67" s="18" t="n">
        <v>0.67</v>
      </c>
      <c r="R67" s="21" t="s">
        <v>103</v>
      </c>
      <c r="S67" s="4" t="s">
        <v>187</v>
      </c>
      <c r="T67" s="4" t="n">
        <v>20</v>
      </c>
      <c r="U67" s="4" t="n">
        <f aca="false">MAX(E67-T67,0)</f>
        <v>0</v>
      </c>
      <c r="V67" s="20" t="n">
        <v>23.96</v>
      </c>
      <c r="W67" s="20" t="n">
        <v>11.77</v>
      </c>
      <c r="X67" s="4" t="n">
        <v>88</v>
      </c>
      <c r="Y67" s="4"/>
      <c r="Z67" s="4"/>
    </row>
    <row r="68" customFormat="false" ht="15" hidden="false" customHeight="false" outlineLevel="0" collapsed="false">
      <c r="A68" s="4" t="s">
        <v>14</v>
      </c>
      <c r="B68" s="4" t="s">
        <v>17</v>
      </c>
      <c r="C68" s="4" t="s">
        <v>265</v>
      </c>
      <c r="D68" s="4" t="s">
        <v>266</v>
      </c>
      <c r="E68" s="4" t="n">
        <v>56</v>
      </c>
      <c r="F68" s="4" t="n">
        <v>7</v>
      </c>
      <c r="G68" s="4" t="n">
        <v>49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f aca="false">SUM(I68:M68)</f>
        <v>0</v>
      </c>
      <c r="O68" s="6" t="n">
        <v>9.11</v>
      </c>
      <c r="P68" s="18" t="n">
        <v>9.25</v>
      </c>
      <c r="Q68" s="18" t="n">
        <v>1.41</v>
      </c>
      <c r="R68" s="19" t="s">
        <v>81</v>
      </c>
      <c r="S68" s="4" t="s">
        <v>190</v>
      </c>
      <c r="T68" s="4" t="n">
        <v>10</v>
      </c>
      <c r="U68" s="4" t="n">
        <f aca="false">MAX(E68-T68,0)</f>
        <v>46</v>
      </c>
      <c r="V68" s="20" t="n">
        <v>23.96</v>
      </c>
      <c r="W68" s="20" t="n">
        <v>11.97</v>
      </c>
      <c r="X68" s="4" t="n">
        <v>57</v>
      </c>
      <c r="Y68" s="4" t="s">
        <v>267</v>
      </c>
      <c r="Z68" s="4"/>
    </row>
    <row r="69" customFormat="false" ht="15" hidden="false" customHeight="false" outlineLevel="0" collapsed="false">
      <c r="A69" s="4" t="s">
        <v>14</v>
      </c>
      <c r="B69" s="4" t="s">
        <v>17</v>
      </c>
      <c r="C69" s="4" t="s">
        <v>268</v>
      </c>
      <c r="D69" s="4" t="s">
        <v>269</v>
      </c>
      <c r="E69" s="4" t="n">
        <v>24</v>
      </c>
      <c r="F69" s="4" t="n">
        <v>0</v>
      </c>
      <c r="G69" s="4" t="n">
        <v>2</v>
      </c>
      <c r="H69" s="4" t="n">
        <v>22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f aca="false">SUM(I69:M69)</f>
        <v>0</v>
      </c>
      <c r="O69" s="6" t="n">
        <v>6.49</v>
      </c>
      <c r="P69" s="18" t="n">
        <v>3.25</v>
      </c>
      <c r="Q69" s="18" t="n">
        <v>1.72</v>
      </c>
      <c r="R69" s="19" t="s">
        <v>81</v>
      </c>
      <c r="S69" s="4" t="s">
        <v>217</v>
      </c>
      <c r="T69" s="4" t="n">
        <v>10</v>
      </c>
      <c r="U69" s="4" t="n">
        <f aca="false">MAX(E69-T69,0)</f>
        <v>14</v>
      </c>
      <c r="V69" s="20" t="n">
        <v>22.36</v>
      </c>
      <c r="W69" s="20" t="n">
        <v>11.17</v>
      </c>
      <c r="X69" s="4" t="n">
        <v>27</v>
      </c>
      <c r="Y69" s="4" t="s">
        <v>270</v>
      </c>
      <c r="Z69" s="4"/>
    </row>
    <row r="70" customFormat="false" ht="15" hidden="false" customHeight="false" outlineLevel="0" collapsed="false">
      <c r="A70" s="4" t="s">
        <v>14</v>
      </c>
      <c r="B70" s="4" t="s">
        <v>17</v>
      </c>
      <c r="C70" s="4" t="s">
        <v>271</v>
      </c>
      <c r="D70" s="4" t="s">
        <v>272</v>
      </c>
      <c r="E70" s="4" t="n">
        <v>23</v>
      </c>
      <c r="F70" s="4" t="n">
        <v>1</v>
      </c>
      <c r="G70" s="4" t="n">
        <v>18</v>
      </c>
      <c r="H70" s="4" t="n">
        <v>4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f aca="false">SUM(I70:M70)</f>
        <v>0</v>
      </c>
      <c r="O70" s="6" t="n">
        <v>4.88</v>
      </c>
      <c r="P70" s="18" t="n">
        <v>4</v>
      </c>
      <c r="Q70" s="18" t="n">
        <v>1.34</v>
      </c>
      <c r="R70" s="19" t="s">
        <v>81</v>
      </c>
      <c r="S70" s="4" t="s">
        <v>217</v>
      </c>
      <c r="T70" s="4" t="n">
        <v>10</v>
      </c>
      <c r="U70" s="4" t="n">
        <f aca="false">MAX(E70-T70,0)</f>
        <v>13</v>
      </c>
      <c r="V70" s="20" t="n">
        <v>22.36</v>
      </c>
      <c r="W70" s="20" t="n">
        <v>11.06</v>
      </c>
      <c r="X70" s="4" t="n">
        <v>25</v>
      </c>
      <c r="Y70" s="4" t="s">
        <v>273</v>
      </c>
      <c r="Z70" s="4"/>
    </row>
    <row r="71" customFormat="false" ht="15" hidden="false" customHeight="false" outlineLevel="0" collapsed="false">
      <c r="A71" s="4" t="s">
        <v>14</v>
      </c>
      <c r="B71" s="4" t="s">
        <v>17</v>
      </c>
      <c r="C71" s="4" t="s">
        <v>274</v>
      </c>
      <c r="D71" s="4" t="s">
        <v>275</v>
      </c>
      <c r="E71" s="4" t="n">
        <v>4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3</v>
      </c>
      <c r="M71" s="4" t="n">
        <v>0</v>
      </c>
      <c r="N71" s="4" t="n">
        <f aca="false">SUM(I71:M71)</f>
        <v>4</v>
      </c>
      <c r="O71" s="6" t="n">
        <v>4.1</v>
      </c>
      <c r="P71" s="18" t="n">
        <v>1.25</v>
      </c>
      <c r="Q71" s="18" t="n">
        <v>0.75</v>
      </c>
      <c r="R71" s="21" t="s">
        <v>103</v>
      </c>
      <c r="S71" s="4" t="s">
        <v>200</v>
      </c>
      <c r="T71" s="4" t="n">
        <v>20</v>
      </c>
      <c r="U71" s="4" t="n">
        <f aca="false">MAX(E71-T71,0)</f>
        <v>0</v>
      </c>
      <c r="V71" s="20" t="n">
        <v>22.36</v>
      </c>
      <c r="W71" s="20" t="n">
        <v>11.16</v>
      </c>
      <c r="X71" s="4" t="n">
        <v>41</v>
      </c>
      <c r="Y71" s="4"/>
      <c r="Z71" s="4"/>
    </row>
    <row r="72" customFormat="false" ht="15" hidden="false" customHeight="false" outlineLevel="0" collapsed="false">
      <c r="A72" s="4" t="s">
        <v>14</v>
      </c>
      <c r="B72" s="4" t="s">
        <v>17</v>
      </c>
      <c r="C72" s="4" t="s">
        <v>276</v>
      </c>
      <c r="D72" s="4" t="s">
        <v>277</v>
      </c>
      <c r="E72" s="4" t="n">
        <v>19</v>
      </c>
      <c r="F72" s="4" t="n">
        <v>0</v>
      </c>
      <c r="G72" s="4" t="n">
        <v>19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f aca="false">SUM(I72:M72)</f>
        <v>0</v>
      </c>
      <c r="O72" s="6" t="n">
        <v>2.93</v>
      </c>
      <c r="P72" s="18" t="n">
        <v>2.5</v>
      </c>
      <c r="Q72" s="18" t="n">
        <v>1.77</v>
      </c>
      <c r="R72" s="22" t="s">
        <v>117</v>
      </c>
      <c r="S72" s="4" t="s">
        <v>179</v>
      </c>
      <c r="T72" s="4" t="n">
        <v>0</v>
      </c>
      <c r="U72" s="4" t="n">
        <f aca="false">MAX(E72-T72,0)</f>
        <v>19</v>
      </c>
      <c r="V72" s="20"/>
      <c r="W72" s="20" t="n">
        <v>11.41</v>
      </c>
      <c r="X72" s="4" t="n">
        <v>20</v>
      </c>
      <c r="Y72" s="4" t="s">
        <v>278</v>
      </c>
      <c r="Z72" s="4" t="s">
        <v>120</v>
      </c>
    </row>
    <row r="73" customFormat="false" ht="15" hidden="false" customHeight="false" outlineLevel="0" collapsed="false">
      <c r="A73" s="4" t="s">
        <v>14</v>
      </c>
      <c r="B73" s="4" t="s">
        <v>17</v>
      </c>
      <c r="C73" s="4" t="s">
        <v>279</v>
      </c>
      <c r="D73" s="4" t="s">
        <v>280</v>
      </c>
      <c r="E73" s="4" t="n">
        <v>2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</v>
      </c>
      <c r="M73" s="4" t="n">
        <v>0</v>
      </c>
      <c r="N73" s="4" t="n">
        <f aca="false">SUM(I73:M73)</f>
        <v>2</v>
      </c>
      <c r="O73" s="6" t="n">
        <v>2.41</v>
      </c>
      <c r="P73" s="18" t="n">
        <v>2.5</v>
      </c>
      <c r="Q73" s="18" t="n">
        <v>0.19</v>
      </c>
      <c r="R73" s="21" t="s">
        <v>103</v>
      </c>
      <c r="S73" s="4" t="s">
        <v>190</v>
      </c>
      <c r="T73" s="4" t="n">
        <v>10</v>
      </c>
      <c r="U73" s="4" t="n">
        <f aca="false">MAX(E73-T73,0)</f>
        <v>0</v>
      </c>
      <c r="V73" s="20" t="n">
        <v>23.96</v>
      </c>
      <c r="W73" s="20" t="n">
        <v>11.38</v>
      </c>
      <c r="X73" s="4" t="n">
        <v>31</v>
      </c>
      <c r="Y73" s="4" t="s">
        <v>281</v>
      </c>
      <c r="Z73" s="4"/>
    </row>
    <row r="74" customFormat="false" ht="15" hidden="false" customHeight="false" outlineLevel="0" collapsed="false">
      <c r="A74" s="4" t="s">
        <v>14</v>
      </c>
      <c r="B74" s="4" t="s">
        <v>17</v>
      </c>
      <c r="C74" s="4" t="s">
        <v>282</v>
      </c>
      <c r="D74" s="4" t="s">
        <v>283</v>
      </c>
      <c r="E74" s="4" t="n">
        <v>4</v>
      </c>
      <c r="F74" s="4" t="n">
        <v>0</v>
      </c>
      <c r="G74" s="4" t="n">
        <v>0</v>
      </c>
      <c r="H74" s="4" t="n">
        <v>4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f aca="false">SUM(I74:M74)</f>
        <v>0</v>
      </c>
      <c r="O74" s="6" t="n">
        <v>0.83</v>
      </c>
      <c r="P74" s="18" t="n">
        <v>1</v>
      </c>
      <c r="Q74" s="18" t="n">
        <v>0.93</v>
      </c>
      <c r="R74" s="21" t="s">
        <v>103</v>
      </c>
      <c r="S74" s="4" t="s">
        <v>200</v>
      </c>
      <c r="T74" s="4" t="n">
        <v>20</v>
      </c>
      <c r="U74" s="4" t="n">
        <f aca="false">MAX(E74-T74,0)</f>
        <v>0</v>
      </c>
      <c r="V74" s="20" t="n">
        <v>22.36</v>
      </c>
      <c r="W74" s="20" t="n">
        <v>10.76</v>
      </c>
      <c r="X74" s="4" t="n">
        <v>28</v>
      </c>
      <c r="Y74" s="4"/>
      <c r="Z74" s="4"/>
    </row>
    <row r="75" customFormat="false" ht="15" hidden="false" customHeight="false" outlineLevel="0" collapsed="false">
      <c r="A75" s="4" t="s">
        <v>14</v>
      </c>
      <c r="B75" s="4" t="s">
        <v>17</v>
      </c>
      <c r="C75" s="4" t="s">
        <v>284</v>
      </c>
      <c r="D75" s="4" t="s">
        <v>285</v>
      </c>
      <c r="E75" s="4" t="n">
        <v>5</v>
      </c>
      <c r="F75" s="4" t="n">
        <v>5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f aca="false">SUM(I75:M75)</f>
        <v>0</v>
      </c>
      <c r="O75" s="6" t="n">
        <v>0.63</v>
      </c>
      <c r="P75" s="18" t="n">
        <v>0.5</v>
      </c>
      <c r="Q75" s="18" t="n">
        <v>2.34</v>
      </c>
      <c r="R75" s="22" t="s">
        <v>117</v>
      </c>
      <c r="S75" s="4" t="s">
        <v>179</v>
      </c>
      <c r="T75" s="4" t="n">
        <v>0</v>
      </c>
      <c r="U75" s="4" t="n">
        <f aca="false">MAX(E75-T75,0)</f>
        <v>5</v>
      </c>
      <c r="V75" s="20"/>
      <c r="W75" s="20" t="n">
        <v>16.67</v>
      </c>
      <c r="X75" s="4" t="n">
        <v>16</v>
      </c>
      <c r="Y75" s="4" t="s">
        <v>286</v>
      </c>
      <c r="Z75" s="4"/>
    </row>
    <row r="76" customFormat="false" ht="15" hidden="false" customHeight="false" outlineLevel="0" collapsed="false">
      <c r="A76" s="4" t="s">
        <v>14</v>
      </c>
      <c r="B76" s="4" t="s">
        <v>17</v>
      </c>
      <c r="C76" s="4" t="s">
        <v>287</v>
      </c>
      <c r="D76" s="4" t="s">
        <v>288</v>
      </c>
      <c r="E76" s="4" t="n">
        <v>3</v>
      </c>
      <c r="F76" s="4" t="n">
        <v>0</v>
      </c>
      <c r="G76" s="4" t="n">
        <v>3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f aca="false">SUM(I76:M76)</f>
        <v>0</v>
      </c>
      <c r="O76" s="6" t="n">
        <v>0.52</v>
      </c>
      <c r="P76" s="18" t="n">
        <v>1.25</v>
      </c>
      <c r="Q76" s="18" t="n">
        <v>0.56</v>
      </c>
      <c r="R76" s="21" t="s">
        <v>103</v>
      </c>
      <c r="S76" s="4" t="s">
        <v>200</v>
      </c>
      <c r="T76" s="4" t="n">
        <v>20</v>
      </c>
      <c r="U76" s="4" t="n">
        <f aca="false">MAX(E76-T76,0)</f>
        <v>0</v>
      </c>
      <c r="V76" s="20" t="n">
        <v>22.36</v>
      </c>
      <c r="W76" s="20" t="n">
        <v>10.81</v>
      </c>
      <c r="X76" s="4" t="n">
        <v>35</v>
      </c>
      <c r="Y76" s="4"/>
      <c r="Z76" s="4"/>
    </row>
    <row r="77" customFormat="false" ht="15" hidden="false" customHeight="false" outlineLevel="0" collapsed="false">
      <c r="A77" s="4" t="s">
        <v>14</v>
      </c>
      <c r="B77" s="4" t="s">
        <v>17</v>
      </c>
      <c r="C77" s="4" t="s">
        <v>289</v>
      </c>
      <c r="D77" s="4" t="s">
        <v>290</v>
      </c>
      <c r="E77" s="4" t="n">
        <v>1</v>
      </c>
      <c r="F77" s="4" t="n">
        <v>1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f aca="false">SUM(I77:M77)</f>
        <v>0</v>
      </c>
      <c r="O77" s="6" t="n">
        <v>0.12</v>
      </c>
      <c r="P77" s="18" t="n">
        <v>0.5</v>
      </c>
      <c r="Q77" s="18" t="n">
        <v>0.47</v>
      </c>
      <c r="R77" s="22" t="s">
        <v>117</v>
      </c>
      <c r="S77" s="4" t="s">
        <v>179</v>
      </c>
      <c r="T77" s="4" t="n">
        <v>0</v>
      </c>
      <c r="U77" s="4" t="n">
        <f aca="false">MAX(E77-T77,0)</f>
        <v>1</v>
      </c>
      <c r="V77" s="20"/>
      <c r="W77" s="20" t="n">
        <v>11.85</v>
      </c>
      <c r="X77" s="4" t="n">
        <v>0</v>
      </c>
      <c r="Y77" s="4" t="s">
        <v>250</v>
      </c>
      <c r="Z77" s="4"/>
    </row>
    <row r="78" customFormat="false" ht="15" hidden="false" customHeight="false" outlineLevel="0" collapsed="false">
      <c r="A78" s="4" t="s">
        <v>14</v>
      </c>
      <c r="B78" s="4" t="s">
        <v>18</v>
      </c>
      <c r="C78" s="4" t="s">
        <v>291</v>
      </c>
      <c r="D78" s="4" t="s">
        <v>292</v>
      </c>
      <c r="E78" s="4" t="n">
        <v>77</v>
      </c>
      <c r="F78" s="4" t="n">
        <v>0</v>
      </c>
      <c r="G78" s="4" t="n">
        <v>4</v>
      </c>
      <c r="H78" s="4" t="n">
        <v>0</v>
      </c>
      <c r="I78" s="4" t="n">
        <v>1</v>
      </c>
      <c r="J78" s="4" t="n">
        <v>0</v>
      </c>
      <c r="K78" s="4" t="n">
        <v>2</v>
      </c>
      <c r="L78" s="4" t="n">
        <v>70</v>
      </c>
      <c r="M78" s="4" t="n">
        <v>0</v>
      </c>
      <c r="N78" s="4" t="n">
        <f aca="false">SUM(I78:M78)</f>
        <v>73</v>
      </c>
      <c r="O78" s="6" t="n">
        <v>132.32</v>
      </c>
      <c r="P78" s="18" t="n">
        <v>2.25</v>
      </c>
      <c r="Q78" s="18" t="n">
        <v>7.99</v>
      </c>
      <c r="R78" s="23" t="s">
        <v>293</v>
      </c>
      <c r="S78" s="4" t="s">
        <v>294</v>
      </c>
      <c r="T78" s="4" t="n">
        <v>0</v>
      </c>
      <c r="U78" s="4" t="n">
        <f aca="false">MAX(E78-T78,0)</f>
        <v>77</v>
      </c>
      <c r="V78" s="20"/>
      <c r="W78" s="20" t="n">
        <v>21.07</v>
      </c>
      <c r="X78" s="4"/>
      <c r="Y78" s="4"/>
      <c r="Z78" s="4" t="s">
        <v>295</v>
      </c>
    </row>
    <row r="79" customFormat="false" ht="15" hidden="false" customHeight="false" outlineLevel="0" collapsed="false">
      <c r="A79" s="4" t="s">
        <v>14</v>
      </c>
      <c r="B79" s="4" t="s">
        <v>18</v>
      </c>
      <c r="C79" s="4" t="s">
        <v>296</v>
      </c>
      <c r="D79" s="4" t="s">
        <v>297</v>
      </c>
      <c r="E79" s="4" t="n">
        <v>72</v>
      </c>
      <c r="F79" s="4" t="n">
        <v>1</v>
      </c>
      <c r="G79" s="4" t="n">
        <v>0</v>
      </c>
      <c r="H79" s="4" t="n">
        <v>0</v>
      </c>
      <c r="I79" s="4" t="n">
        <v>24</v>
      </c>
      <c r="J79" s="4" t="n">
        <v>0</v>
      </c>
      <c r="K79" s="4" t="n">
        <v>0</v>
      </c>
      <c r="L79" s="4" t="n">
        <v>42</v>
      </c>
      <c r="M79" s="4" t="n">
        <v>5</v>
      </c>
      <c r="N79" s="4" t="n">
        <f aca="false">SUM(I79:M79)</f>
        <v>71</v>
      </c>
      <c r="O79" s="6" t="n">
        <v>126.16</v>
      </c>
      <c r="P79" s="18" t="n">
        <v>0.75</v>
      </c>
      <c r="Q79" s="18" t="n">
        <v>22.43</v>
      </c>
      <c r="R79" s="23" t="s">
        <v>293</v>
      </c>
      <c r="S79" s="4" t="s">
        <v>294</v>
      </c>
      <c r="T79" s="4" t="n">
        <v>0</v>
      </c>
      <c r="U79" s="4" t="n">
        <f aca="false">MAX(E79-T79,0)</f>
        <v>72</v>
      </c>
      <c r="V79" s="20"/>
      <c r="W79" s="20" t="n">
        <v>36</v>
      </c>
      <c r="X79" s="4"/>
      <c r="Y79" s="4"/>
      <c r="Z79" s="4" t="s">
        <v>295</v>
      </c>
    </row>
    <row r="80" customFormat="false" ht="15" hidden="false" customHeight="false" outlineLevel="0" collapsed="false">
      <c r="A80" s="4" t="s">
        <v>14</v>
      </c>
      <c r="B80" s="4" t="s">
        <v>18</v>
      </c>
      <c r="C80" s="4" t="s">
        <v>298</v>
      </c>
      <c r="D80" s="4" t="s">
        <v>299</v>
      </c>
      <c r="E80" s="4" t="n">
        <v>72</v>
      </c>
      <c r="F80" s="4" t="n">
        <v>0</v>
      </c>
      <c r="G80" s="4" t="n">
        <v>0</v>
      </c>
      <c r="H80" s="4" t="n">
        <v>0</v>
      </c>
      <c r="I80" s="4" t="n">
        <v>55</v>
      </c>
      <c r="J80" s="4" t="n">
        <v>17</v>
      </c>
      <c r="K80" s="4" t="n">
        <v>0</v>
      </c>
      <c r="L80" s="4" t="n">
        <v>0</v>
      </c>
      <c r="M80" s="4" t="n">
        <v>0</v>
      </c>
      <c r="N80" s="4" t="n">
        <f aca="false">SUM(I80:M80)</f>
        <v>72</v>
      </c>
      <c r="O80" s="6" t="n">
        <v>92.3</v>
      </c>
      <c r="P80" s="18" t="n">
        <v>2.25</v>
      </c>
      <c r="Q80" s="18" t="n">
        <v>7.47</v>
      </c>
      <c r="R80" s="23" t="s">
        <v>293</v>
      </c>
      <c r="S80" s="4" t="s">
        <v>294</v>
      </c>
      <c r="T80" s="4" t="n">
        <v>0</v>
      </c>
      <c r="U80" s="4" t="n">
        <f aca="false">MAX(E80-T80,0)</f>
        <v>72</v>
      </c>
      <c r="V80" s="20"/>
      <c r="W80" s="20" t="n">
        <v>17.88</v>
      </c>
      <c r="X80" s="4"/>
      <c r="Y80" s="4"/>
      <c r="Z80" s="4" t="s">
        <v>295</v>
      </c>
    </row>
    <row r="81" customFormat="false" ht="15" hidden="false" customHeight="false" outlineLevel="0" collapsed="false">
      <c r="A81" s="4" t="s">
        <v>14</v>
      </c>
      <c r="B81" s="4" t="s">
        <v>18</v>
      </c>
      <c r="C81" s="4" t="s">
        <v>300</v>
      </c>
      <c r="D81" s="4" t="s">
        <v>301</v>
      </c>
      <c r="E81" s="4" t="n">
        <v>36</v>
      </c>
      <c r="F81" s="4" t="n">
        <v>0</v>
      </c>
      <c r="G81" s="4" t="n">
        <v>0</v>
      </c>
      <c r="H81" s="4" t="n">
        <v>1</v>
      </c>
      <c r="I81" s="4" t="n">
        <v>0</v>
      </c>
      <c r="J81" s="4" t="n">
        <v>6</v>
      </c>
      <c r="K81" s="4" t="n">
        <v>29</v>
      </c>
      <c r="L81" s="4" t="n">
        <v>0</v>
      </c>
      <c r="M81" s="4" t="n">
        <v>0</v>
      </c>
      <c r="N81" s="4" t="n">
        <f aca="false">SUM(I81:M81)</f>
        <v>35</v>
      </c>
      <c r="O81" s="6" t="n">
        <v>63.92</v>
      </c>
      <c r="P81" s="18" t="n">
        <v>0.75</v>
      </c>
      <c r="Q81" s="18" t="n">
        <v>11.21</v>
      </c>
      <c r="R81" s="23" t="s">
        <v>293</v>
      </c>
      <c r="S81" s="4" t="s">
        <v>294</v>
      </c>
      <c r="T81" s="4" t="n">
        <v>0</v>
      </c>
      <c r="U81" s="4" t="n">
        <f aca="false">MAX(E81-T81,0)</f>
        <v>36</v>
      </c>
      <c r="V81" s="20"/>
      <c r="W81" s="20" t="n">
        <v>24.56</v>
      </c>
      <c r="X81" s="4"/>
      <c r="Y81" s="4"/>
      <c r="Z81" s="4" t="s">
        <v>295</v>
      </c>
    </row>
    <row r="82" customFormat="false" ht="15" hidden="false" customHeight="false" outlineLevel="0" collapsed="false">
      <c r="A82" s="4" t="s">
        <v>14</v>
      </c>
      <c r="B82" s="4" t="s">
        <v>18</v>
      </c>
      <c r="C82" s="4" t="s">
        <v>302</v>
      </c>
      <c r="D82" s="4" t="s">
        <v>303</v>
      </c>
      <c r="E82" s="4" t="n">
        <v>45</v>
      </c>
      <c r="F82" s="4" t="n">
        <v>0</v>
      </c>
      <c r="G82" s="4" t="n">
        <v>1</v>
      </c>
      <c r="H82" s="4" t="n">
        <v>1</v>
      </c>
      <c r="I82" s="4" t="n">
        <v>0</v>
      </c>
      <c r="J82" s="4" t="n">
        <v>0</v>
      </c>
      <c r="K82" s="4" t="n">
        <v>32</v>
      </c>
      <c r="L82" s="4" t="n">
        <v>11</v>
      </c>
      <c r="M82" s="4" t="n">
        <v>0</v>
      </c>
      <c r="N82" s="4" t="n">
        <f aca="false">SUM(I82:M82)</f>
        <v>43</v>
      </c>
      <c r="O82" s="6" t="n">
        <v>62.1</v>
      </c>
      <c r="P82" s="18" t="n">
        <v>1.25</v>
      </c>
      <c r="Q82" s="18" t="n">
        <v>8.4</v>
      </c>
      <c r="R82" s="23" t="s">
        <v>293</v>
      </c>
      <c r="S82" s="4" t="s">
        <v>294</v>
      </c>
      <c r="T82" s="4" t="n">
        <v>0</v>
      </c>
      <c r="U82" s="4" t="n">
        <f aca="false">MAX(E82-T82,0)</f>
        <v>45</v>
      </c>
      <c r="V82" s="20"/>
      <c r="W82" s="20" t="n">
        <v>19.46</v>
      </c>
      <c r="X82" s="4"/>
      <c r="Y82" s="4"/>
      <c r="Z82" s="4" t="s">
        <v>295</v>
      </c>
    </row>
    <row r="83" customFormat="false" ht="15" hidden="false" customHeight="false" outlineLevel="0" collapsed="false">
      <c r="A83" s="4" t="s">
        <v>14</v>
      </c>
      <c r="B83" s="4" t="s">
        <v>18</v>
      </c>
      <c r="C83" s="4" t="s">
        <v>304</v>
      </c>
      <c r="D83" s="4" t="s">
        <v>305</v>
      </c>
      <c r="E83" s="4" t="n">
        <v>46</v>
      </c>
      <c r="F83" s="4" t="n">
        <v>1</v>
      </c>
      <c r="G83" s="4" t="n">
        <v>1</v>
      </c>
      <c r="H83" s="4" t="n">
        <v>0</v>
      </c>
      <c r="I83" s="4" t="n">
        <v>44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f aca="false">SUM(I83:M83)</f>
        <v>44</v>
      </c>
      <c r="O83" s="6" t="n">
        <v>52.24</v>
      </c>
      <c r="P83" s="18" t="n">
        <v>1.75</v>
      </c>
      <c r="Q83" s="18" t="n">
        <v>6.13</v>
      </c>
      <c r="R83" s="23" t="s">
        <v>293</v>
      </c>
      <c r="S83" s="4" t="s">
        <v>294</v>
      </c>
      <c r="T83" s="4" t="n">
        <v>0</v>
      </c>
      <c r="U83" s="4" t="n">
        <f aca="false">MAX(E83-T83,0)</f>
        <v>46</v>
      </c>
      <c r="V83" s="20"/>
      <c r="W83" s="20" t="n">
        <v>16.52</v>
      </c>
      <c r="X83" s="4"/>
      <c r="Y83" s="4"/>
      <c r="Z83" s="4" t="s">
        <v>295</v>
      </c>
    </row>
    <row r="84" customFormat="false" ht="15" hidden="false" customHeight="false" outlineLevel="0" collapsed="false">
      <c r="A84" s="4" t="s">
        <v>14</v>
      </c>
      <c r="B84" s="4" t="s">
        <v>18</v>
      </c>
      <c r="C84" s="4" t="s">
        <v>306</v>
      </c>
      <c r="D84" s="4" t="s">
        <v>307</v>
      </c>
      <c r="E84" s="4" t="n">
        <v>34</v>
      </c>
      <c r="F84" s="4" t="n">
        <v>0</v>
      </c>
      <c r="G84" s="4" t="n">
        <v>1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33</v>
      </c>
      <c r="M84" s="4" t="n">
        <v>0</v>
      </c>
      <c r="N84" s="4" t="n">
        <f aca="false">SUM(I84:M84)</f>
        <v>33</v>
      </c>
      <c r="O84" s="6" t="n">
        <v>47.71</v>
      </c>
      <c r="P84" s="18" t="n">
        <v>1</v>
      </c>
      <c r="Q84" s="18" t="n">
        <v>7.93</v>
      </c>
      <c r="R84" s="23" t="s">
        <v>293</v>
      </c>
      <c r="S84" s="4" t="s">
        <v>294</v>
      </c>
      <c r="T84" s="4" t="n">
        <v>0</v>
      </c>
      <c r="U84" s="4" t="n">
        <f aca="false">MAX(E84-T84,0)</f>
        <v>34</v>
      </c>
      <c r="V84" s="20"/>
      <c r="W84" s="20" t="n">
        <v>18.84</v>
      </c>
      <c r="X84" s="4"/>
      <c r="Y84" s="4"/>
      <c r="Z84" s="4" t="s">
        <v>295</v>
      </c>
    </row>
    <row r="85" customFormat="false" ht="15" hidden="false" customHeight="false" outlineLevel="0" collapsed="false">
      <c r="A85" s="4" t="s">
        <v>14</v>
      </c>
      <c r="B85" s="4" t="s">
        <v>18</v>
      </c>
      <c r="C85" s="4" t="s">
        <v>308</v>
      </c>
      <c r="D85" s="4" t="s">
        <v>309</v>
      </c>
      <c r="E85" s="4" t="n">
        <v>23</v>
      </c>
      <c r="F85" s="4" t="n">
        <v>1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22</v>
      </c>
      <c r="N85" s="4" t="n">
        <f aca="false">SUM(I85:M85)</f>
        <v>22</v>
      </c>
      <c r="O85" s="6" t="n">
        <v>44.19</v>
      </c>
      <c r="P85" s="18" t="n">
        <v>0</v>
      </c>
      <c r="Q85" s="18"/>
      <c r="R85" s="23" t="s">
        <v>293</v>
      </c>
      <c r="S85" s="4" t="s">
        <v>294</v>
      </c>
      <c r="T85" s="4" t="n">
        <v>0</v>
      </c>
      <c r="U85" s="4" t="n">
        <f aca="false">MAX(E85-T85,0)</f>
        <v>23</v>
      </c>
      <c r="V85" s="20"/>
      <c r="W85" s="20"/>
      <c r="X85" s="4"/>
      <c r="Y85" s="4"/>
      <c r="Z85" s="4" t="s">
        <v>295</v>
      </c>
    </row>
    <row r="86" customFormat="false" ht="15" hidden="false" customHeight="false" outlineLevel="0" collapsed="false">
      <c r="A86" s="4" t="s">
        <v>14</v>
      </c>
      <c r="B86" s="4" t="s">
        <v>18</v>
      </c>
      <c r="C86" s="4" t="s">
        <v>310</v>
      </c>
      <c r="D86" s="4" t="s">
        <v>311</v>
      </c>
      <c r="E86" s="4" t="n">
        <v>101</v>
      </c>
      <c r="F86" s="4" t="n">
        <v>7</v>
      </c>
      <c r="G86" s="4" t="n">
        <v>1</v>
      </c>
      <c r="H86" s="4" t="n">
        <v>3</v>
      </c>
      <c r="I86" s="4" t="n">
        <v>1</v>
      </c>
      <c r="J86" s="4" t="n">
        <v>2</v>
      </c>
      <c r="K86" s="4" t="n">
        <v>3</v>
      </c>
      <c r="L86" s="4" t="n">
        <v>84</v>
      </c>
      <c r="M86" s="4" t="n">
        <v>0</v>
      </c>
      <c r="N86" s="4" t="n">
        <f aca="false">SUM(I86:M86)</f>
        <v>90</v>
      </c>
      <c r="O86" s="6" t="n">
        <v>40.19</v>
      </c>
      <c r="P86" s="18" t="n">
        <v>4.25</v>
      </c>
      <c r="Q86" s="18" t="n">
        <v>5.55</v>
      </c>
      <c r="R86" s="23" t="s">
        <v>293</v>
      </c>
      <c r="S86" s="4" t="s">
        <v>294</v>
      </c>
      <c r="T86" s="4" t="n">
        <v>0</v>
      </c>
      <c r="U86" s="4" t="n">
        <f aca="false">MAX(E86-T86,0)</f>
        <v>101</v>
      </c>
      <c r="V86" s="20"/>
      <c r="W86" s="20" t="n">
        <v>14.04</v>
      </c>
      <c r="X86" s="4"/>
      <c r="Y86" s="4"/>
      <c r="Z86" s="4" t="s">
        <v>295</v>
      </c>
    </row>
    <row r="87" customFormat="false" ht="15" hidden="false" customHeight="false" outlineLevel="0" collapsed="false">
      <c r="A87" s="4" t="s">
        <v>14</v>
      </c>
      <c r="B87" s="4" t="s">
        <v>18</v>
      </c>
      <c r="C87" s="4" t="s">
        <v>312</v>
      </c>
      <c r="D87" s="4" t="s">
        <v>313</v>
      </c>
      <c r="E87" s="4" t="n">
        <v>32</v>
      </c>
      <c r="F87" s="4" t="n">
        <v>0</v>
      </c>
      <c r="G87" s="4" t="n">
        <v>1</v>
      </c>
      <c r="H87" s="4" t="n">
        <v>0</v>
      </c>
      <c r="I87" s="4" t="n">
        <v>31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f aca="false">SUM(I87:M87)</f>
        <v>31</v>
      </c>
      <c r="O87" s="6" t="n">
        <v>35.43</v>
      </c>
      <c r="P87" s="18" t="n">
        <v>2</v>
      </c>
      <c r="Q87" s="18" t="n">
        <v>3.73</v>
      </c>
      <c r="R87" s="23" t="s">
        <v>293</v>
      </c>
      <c r="S87" s="4" t="s">
        <v>294</v>
      </c>
      <c r="T87" s="4" t="n">
        <v>0</v>
      </c>
      <c r="U87" s="4" t="n">
        <f aca="false">MAX(E87-T87,0)</f>
        <v>32</v>
      </c>
      <c r="V87" s="20"/>
      <c r="W87" s="20" t="n">
        <v>14.81</v>
      </c>
      <c r="X87" s="4"/>
      <c r="Y87" s="4"/>
      <c r="Z87" s="4" t="s">
        <v>295</v>
      </c>
    </row>
    <row r="88" customFormat="false" ht="15" hidden="false" customHeight="false" outlineLevel="0" collapsed="false">
      <c r="A88" s="4" t="s">
        <v>14</v>
      </c>
      <c r="B88" s="4" t="s">
        <v>18</v>
      </c>
      <c r="C88" s="4" t="s">
        <v>314</v>
      </c>
      <c r="D88" s="4" t="s">
        <v>315</v>
      </c>
      <c r="E88" s="4" t="n">
        <v>25</v>
      </c>
      <c r="F88" s="4" t="n">
        <v>0</v>
      </c>
      <c r="G88" s="4" t="n">
        <v>0</v>
      </c>
      <c r="H88" s="4" t="n">
        <v>7</v>
      </c>
      <c r="I88" s="4" t="n">
        <v>1</v>
      </c>
      <c r="J88" s="4" t="n">
        <v>6</v>
      </c>
      <c r="K88" s="4" t="n">
        <v>11</v>
      </c>
      <c r="L88" s="4" t="n">
        <v>0</v>
      </c>
      <c r="M88" s="4" t="n">
        <v>0</v>
      </c>
      <c r="N88" s="4" t="n">
        <f aca="false">SUM(I88:M88)</f>
        <v>18</v>
      </c>
      <c r="O88" s="6" t="n">
        <v>32.69</v>
      </c>
      <c r="P88" s="18" t="n">
        <v>0.75</v>
      </c>
      <c r="Q88" s="18" t="n">
        <v>7.79</v>
      </c>
      <c r="R88" s="23" t="s">
        <v>293</v>
      </c>
      <c r="S88" s="4" t="s">
        <v>294</v>
      </c>
      <c r="T88" s="4" t="n">
        <v>0</v>
      </c>
      <c r="U88" s="4" t="n">
        <f aca="false">MAX(E88-T88,0)</f>
        <v>25</v>
      </c>
      <c r="V88" s="20"/>
      <c r="W88" s="20" t="n">
        <v>19.5</v>
      </c>
      <c r="X88" s="4"/>
      <c r="Y88" s="4"/>
      <c r="Z88" s="4" t="s">
        <v>316</v>
      </c>
    </row>
    <row r="89" customFormat="false" ht="15" hidden="false" customHeight="false" outlineLevel="0" collapsed="false">
      <c r="A89" s="4" t="s">
        <v>14</v>
      </c>
      <c r="B89" s="4" t="s">
        <v>18</v>
      </c>
      <c r="C89" s="4" t="s">
        <v>317</v>
      </c>
      <c r="D89" s="4" t="s">
        <v>318</v>
      </c>
      <c r="E89" s="4" t="n">
        <v>18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17</v>
      </c>
      <c r="N89" s="4" t="n">
        <f aca="false">SUM(I89:M89)</f>
        <v>17</v>
      </c>
      <c r="O89" s="6" t="n">
        <v>30.42</v>
      </c>
      <c r="P89" s="18" t="n">
        <v>0.5</v>
      </c>
      <c r="Q89" s="18" t="n">
        <v>8.41</v>
      </c>
      <c r="R89" s="23" t="s">
        <v>293</v>
      </c>
      <c r="S89" s="4" t="s">
        <v>294</v>
      </c>
      <c r="T89" s="4" t="n">
        <v>0</v>
      </c>
      <c r="U89" s="4" t="n">
        <f aca="false">MAX(E89-T89,0)</f>
        <v>18</v>
      </c>
      <c r="V89" s="20"/>
      <c r="W89" s="20" t="n">
        <v>19.35</v>
      </c>
      <c r="X89" s="4"/>
      <c r="Y89" s="4"/>
      <c r="Z89" s="4" t="s">
        <v>316</v>
      </c>
    </row>
    <row r="90" customFormat="false" ht="15" hidden="false" customHeight="false" outlineLevel="0" collapsed="false">
      <c r="A90" s="4" t="s">
        <v>14</v>
      </c>
      <c r="B90" s="4" t="s">
        <v>18</v>
      </c>
      <c r="C90" s="4" t="s">
        <v>319</v>
      </c>
      <c r="D90" s="4" t="s">
        <v>320</v>
      </c>
      <c r="E90" s="4" t="n">
        <v>20</v>
      </c>
      <c r="F90" s="4" t="n">
        <v>0</v>
      </c>
      <c r="G90" s="4" t="n">
        <v>0</v>
      </c>
      <c r="H90" s="4" t="n">
        <v>1</v>
      </c>
      <c r="I90" s="4" t="n">
        <v>1</v>
      </c>
      <c r="J90" s="4" t="n">
        <v>0</v>
      </c>
      <c r="K90" s="4" t="n">
        <v>0</v>
      </c>
      <c r="L90" s="4" t="n">
        <v>18</v>
      </c>
      <c r="M90" s="4" t="n">
        <v>0</v>
      </c>
      <c r="N90" s="4" t="n">
        <f aca="false">SUM(I90:M90)</f>
        <v>19</v>
      </c>
      <c r="O90" s="6" t="n">
        <v>29.14</v>
      </c>
      <c r="P90" s="18" t="n">
        <v>2</v>
      </c>
      <c r="Q90" s="18" t="n">
        <v>2.33</v>
      </c>
      <c r="R90" s="23" t="s">
        <v>293</v>
      </c>
      <c r="S90" s="4" t="s">
        <v>294</v>
      </c>
      <c r="T90" s="4" t="n">
        <v>0</v>
      </c>
      <c r="U90" s="4" t="n">
        <f aca="false">MAX(E90-T90,0)</f>
        <v>20</v>
      </c>
      <c r="V90" s="20"/>
      <c r="W90" s="20" t="n">
        <v>14.18</v>
      </c>
      <c r="X90" s="4"/>
      <c r="Y90" s="4"/>
      <c r="Z90" s="4" t="s">
        <v>316</v>
      </c>
    </row>
    <row r="91" customFormat="false" ht="15" hidden="false" customHeight="false" outlineLevel="0" collapsed="false">
      <c r="A91" s="4" t="s">
        <v>14</v>
      </c>
      <c r="B91" s="4" t="s">
        <v>18</v>
      </c>
      <c r="C91" s="4" t="s">
        <v>321</v>
      </c>
      <c r="D91" s="4" t="s">
        <v>322</v>
      </c>
      <c r="E91" s="4" t="n">
        <v>15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6</v>
      </c>
      <c r="K91" s="4" t="n">
        <v>9</v>
      </c>
      <c r="L91" s="4" t="n">
        <v>0</v>
      </c>
      <c r="M91" s="4" t="n">
        <v>0</v>
      </c>
      <c r="N91" s="4" t="n">
        <f aca="false">SUM(I91:M91)</f>
        <v>15</v>
      </c>
      <c r="O91" s="6" t="n">
        <v>28.84</v>
      </c>
      <c r="P91" s="18" t="n">
        <v>0</v>
      </c>
      <c r="Q91" s="18"/>
      <c r="R91" s="23" t="s">
        <v>293</v>
      </c>
      <c r="S91" s="4" t="s">
        <v>294</v>
      </c>
      <c r="T91" s="4" t="n">
        <v>0</v>
      </c>
      <c r="U91" s="4" t="n">
        <f aca="false">MAX(E91-T91,0)</f>
        <v>15</v>
      </c>
      <c r="V91" s="20"/>
      <c r="W91" s="20"/>
      <c r="X91" s="4"/>
      <c r="Y91" s="4"/>
      <c r="Z91" s="4" t="s">
        <v>316</v>
      </c>
    </row>
    <row r="92" customFormat="false" ht="15" hidden="false" customHeight="false" outlineLevel="0" collapsed="false">
      <c r="A92" s="4" t="s">
        <v>14</v>
      </c>
      <c r="B92" s="4" t="s">
        <v>18</v>
      </c>
      <c r="C92" s="4" t="s">
        <v>323</v>
      </c>
      <c r="D92" s="4" t="s">
        <v>324</v>
      </c>
      <c r="E92" s="4" t="n">
        <v>24</v>
      </c>
      <c r="F92" s="4" t="n">
        <v>0</v>
      </c>
      <c r="G92" s="4" t="n">
        <v>0</v>
      </c>
      <c r="H92" s="4" t="n">
        <v>1</v>
      </c>
      <c r="I92" s="4" t="n">
        <v>23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f aca="false">SUM(I92:M92)</f>
        <v>23</v>
      </c>
      <c r="O92" s="6" t="n">
        <v>27.42</v>
      </c>
      <c r="P92" s="18" t="n">
        <v>2</v>
      </c>
      <c r="Q92" s="18" t="n">
        <v>2.8</v>
      </c>
      <c r="R92" s="23" t="s">
        <v>293</v>
      </c>
      <c r="S92" s="4" t="s">
        <v>294</v>
      </c>
      <c r="T92" s="4" t="n">
        <v>0</v>
      </c>
      <c r="U92" s="4" t="n">
        <f aca="false">MAX(E92-T92,0)</f>
        <v>24</v>
      </c>
      <c r="V92" s="20"/>
      <c r="W92" s="20" t="n">
        <v>14.25</v>
      </c>
      <c r="X92" s="4"/>
      <c r="Y92" s="4"/>
      <c r="Z92" s="4" t="s">
        <v>295</v>
      </c>
    </row>
    <row r="93" customFormat="false" ht="15" hidden="false" customHeight="false" outlineLevel="0" collapsed="false">
      <c r="A93" s="4" t="s">
        <v>14</v>
      </c>
      <c r="B93" s="4" t="s">
        <v>18</v>
      </c>
      <c r="C93" s="4" t="s">
        <v>325</v>
      </c>
      <c r="D93" s="4" t="s">
        <v>326</v>
      </c>
      <c r="E93" s="4" t="n">
        <v>18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7</v>
      </c>
      <c r="L93" s="4" t="n">
        <v>11</v>
      </c>
      <c r="M93" s="4" t="n">
        <v>0</v>
      </c>
      <c r="N93" s="4" t="n">
        <f aca="false">SUM(I93:M93)</f>
        <v>18</v>
      </c>
      <c r="O93" s="6" t="n">
        <v>25.47</v>
      </c>
      <c r="P93" s="18" t="n">
        <v>0</v>
      </c>
      <c r="Q93" s="18"/>
      <c r="R93" s="23" t="s">
        <v>293</v>
      </c>
      <c r="S93" s="4" t="s">
        <v>294</v>
      </c>
      <c r="T93" s="4" t="n">
        <v>0</v>
      </c>
      <c r="U93" s="4" t="n">
        <f aca="false">MAX(E93-T93,0)</f>
        <v>18</v>
      </c>
      <c r="V93" s="20"/>
      <c r="W93" s="20"/>
      <c r="X93" s="4"/>
      <c r="Y93" s="4"/>
      <c r="Z93" s="4" t="s">
        <v>316</v>
      </c>
    </row>
    <row r="94" customFormat="false" ht="15" hidden="false" customHeight="false" outlineLevel="0" collapsed="false">
      <c r="A94" s="4" t="s">
        <v>14</v>
      </c>
      <c r="B94" s="4" t="s">
        <v>18</v>
      </c>
      <c r="C94" s="4" t="s">
        <v>327</v>
      </c>
      <c r="D94" s="4" t="s">
        <v>328</v>
      </c>
      <c r="E94" s="4" t="n">
        <v>11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11</v>
      </c>
      <c r="M94" s="4" t="n">
        <v>0</v>
      </c>
      <c r="N94" s="4" t="n">
        <f aca="false">SUM(I94:M94)</f>
        <v>11</v>
      </c>
      <c r="O94" s="6" t="n">
        <v>22.87</v>
      </c>
      <c r="P94" s="18" t="n">
        <v>0</v>
      </c>
      <c r="Q94" s="18"/>
      <c r="R94" s="23" t="s">
        <v>293</v>
      </c>
      <c r="S94" s="4" t="s">
        <v>294</v>
      </c>
      <c r="T94" s="4" t="n">
        <v>0</v>
      </c>
      <c r="U94" s="4" t="n">
        <f aca="false">MAX(E94-T94,0)</f>
        <v>11</v>
      </c>
      <c r="V94" s="20"/>
      <c r="W94" s="20"/>
      <c r="X94" s="4"/>
      <c r="Y94" s="4"/>
      <c r="Z94" s="4" t="s">
        <v>316</v>
      </c>
    </row>
    <row r="95" customFormat="false" ht="15" hidden="false" customHeight="false" outlineLevel="0" collapsed="false">
      <c r="A95" s="4" t="s">
        <v>14</v>
      </c>
      <c r="B95" s="4" t="s">
        <v>18</v>
      </c>
      <c r="C95" s="4" t="s">
        <v>329</v>
      </c>
      <c r="D95" s="4" t="s">
        <v>330</v>
      </c>
      <c r="E95" s="4" t="n">
        <v>13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6</v>
      </c>
      <c r="L95" s="4" t="n">
        <v>7</v>
      </c>
      <c r="M95" s="4" t="n">
        <v>0</v>
      </c>
      <c r="N95" s="4" t="n">
        <f aca="false">SUM(I95:M95)</f>
        <v>13</v>
      </c>
      <c r="O95" s="6" t="n">
        <v>22.15</v>
      </c>
      <c r="P95" s="18" t="n">
        <v>2</v>
      </c>
      <c r="Q95" s="18" t="n">
        <v>1.52</v>
      </c>
      <c r="R95" s="23" t="s">
        <v>293</v>
      </c>
      <c r="S95" s="4" t="s">
        <v>294</v>
      </c>
      <c r="T95" s="4" t="n">
        <v>0</v>
      </c>
      <c r="U95" s="4" t="n">
        <f aca="false">MAX(E95-T95,0)</f>
        <v>13</v>
      </c>
      <c r="V95" s="20"/>
      <c r="W95" s="20" t="n">
        <v>13.96</v>
      </c>
      <c r="X95" s="4"/>
      <c r="Y95" s="4"/>
      <c r="Z95" s="4" t="s">
        <v>316</v>
      </c>
    </row>
    <row r="96" customFormat="false" ht="15" hidden="false" customHeight="false" outlineLevel="0" collapsed="false">
      <c r="A96" s="4" t="s">
        <v>14</v>
      </c>
      <c r="B96" s="4" t="s">
        <v>18</v>
      </c>
      <c r="C96" s="4" t="s">
        <v>331</v>
      </c>
      <c r="D96" s="4" t="s">
        <v>332</v>
      </c>
      <c r="E96" s="4" t="n">
        <v>16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16</v>
      </c>
      <c r="M96" s="4" t="n">
        <v>0</v>
      </c>
      <c r="N96" s="4" t="n">
        <f aca="false">SUM(I96:M96)</f>
        <v>16</v>
      </c>
      <c r="O96" s="6" t="n">
        <v>21.34</v>
      </c>
      <c r="P96" s="18" t="n">
        <v>0.75</v>
      </c>
      <c r="Q96" s="18" t="n">
        <v>4.98</v>
      </c>
      <c r="R96" s="23" t="s">
        <v>293</v>
      </c>
      <c r="S96" s="4" t="s">
        <v>294</v>
      </c>
      <c r="T96" s="4" t="n">
        <v>0</v>
      </c>
      <c r="U96" s="4" t="n">
        <f aca="false">MAX(E96-T96,0)</f>
        <v>16</v>
      </c>
      <c r="V96" s="20"/>
      <c r="W96" s="20" t="n">
        <v>15.27</v>
      </c>
      <c r="X96" s="4"/>
      <c r="Y96" s="4"/>
      <c r="Z96" s="4" t="s">
        <v>316</v>
      </c>
    </row>
    <row r="97" customFormat="false" ht="15" hidden="false" customHeight="false" outlineLevel="0" collapsed="false">
      <c r="A97" s="4" t="s">
        <v>14</v>
      </c>
      <c r="B97" s="4" t="s">
        <v>18</v>
      </c>
      <c r="C97" s="4" t="s">
        <v>333</v>
      </c>
      <c r="D97" s="4" t="s">
        <v>334</v>
      </c>
      <c r="E97" s="4" t="n">
        <v>20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20</v>
      </c>
      <c r="N97" s="4" t="n">
        <f aca="false">SUM(I97:M97)</f>
        <v>20</v>
      </c>
      <c r="O97" s="6" t="n">
        <v>16.23</v>
      </c>
      <c r="P97" s="18" t="n">
        <v>0.25</v>
      </c>
      <c r="Q97" s="18" t="n">
        <v>18.69</v>
      </c>
      <c r="R97" s="23" t="s">
        <v>293</v>
      </c>
      <c r="S97" s="4" t="s">
        <v>294</v>
      </c>
      <c r="T97" s="4" t="n">
        <v>0</v>
      </c>
      <c r="U97" s="4" t="n">
        <f aca="false">MAX(E97-T97,0)</f>
        <v>20</v>
      </c>
      <c r="V97" s="20"/>
      <c r="W97" s="20" t="n">
        <v>18.51</v>
      </c>
      <c r="X97" s="4"/>
      <c r="Y97" s="4"/>
      <c r="Z97" s="4" t="s">
        <v>295</v>
      </c>
    </row>
    <row r="98" customFormat="false" ht="15" hidden="false" customHeight="false" outlineLevel="0" collapsed="false">
      <c r="A98" s="4" t="s">
        <v>14</v>
      </c>
      <c r="B98" s="4" t="s">
        <v>18</v>
      </c>
      <c r="C98" s="4" t="s">
        <v>335</v>
      </c>
      <c r="D98" s="4" t="s">
        <v>336</v>
      </c>
      <c r="E98" s="4" t="n">
        <v>14</v>
      </c>
      <c r="F98" s="4" t="n">
        <v>2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8</v>
      </c>
      <c r="M98" s="4" t="n">
        <v>0</v>
      </c>
      <c r="N98" s="4" t="n">
        <f aca="false">SUM(I98:M98)</f>
        <v>10</v>
      </c>
      <c r="O98" s="6" t="n">
        <v>14.78</v>
      </c>
      <c r="P98" s="18" t="n">
        <v>3</v>
      </c>
      <c r="Q98" s="18" t="n">
        <v>1.09</v>
      </c>
      <c r="R98" s="23" t="s">
        <v>293</v>
      </c>
      <c r="S98" s="4" t="s">
        <v>294</v>
      </c>
      <c r="T98" s="4" t="n">
        <v>0</v>
      </c>
      <c r="U98" s="4" t="n">
        <f aca="false">MAX(E98-T98,0)</f>
        <v>14</v>
      </c>
      <c r="V98" s="20"/>
      <c r="W98" s="20" t="n">
        <v>12.44</v>
      </c>
      <c r="X98" s="4"/>
      <c r="Y98" s="4"/>
      <c r="Z98" s="4" t="s">
        <v>316</v>
      </c>
    </row>
    <row r="99" customFormat="false" ht="15" hidden="false" customHeight="false" outlineLevel="0" collapsed="false">
      <c r="A99" s="4" t="s">
        <v>14</v>
      </c>
      <c r="B99" s="4" t="s">
        <v>18</v>
      </c>
      <c r="C99" s="4" t="s">
        <v>337</v>
      </c>
      <c r="D99" s="4" t="s">
        <v>338</v>
      </c>
      <c r="E99" s="4" t="n">
        <v>8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7</v>
      </c>
      <c r="M99" s="4" t="n">
        <v>0</v>
      </c>
      <c r="N99" s="4" t="n">
        <f aca="false">SUM(I99:M99)</f>
        <v>8</v>
      </c>
      <c r="O99" s="6" t="n">
        <v>14.46</v>
      </c>
      <c r="P99" s="18" t="n">
        <v>2</v>
      </c>
      <c r="Q99" s="18" t="n">
        <v>0.93</v>
      </c>
      <c r="R99" s="23" t="s">
        <v>293</v>
      </c>
      <c r="S99" s="4" t="s">
        <v>294</v>
      </c>
      <c r="T99" s="4" t="n">
        <v>0</v>
      </c>
      <c r="U99" s="4" t="n">
        <f aca="false">MAX(E99-T99,0)</f>
        <v>8</v>
      </c>
      <c r="V99" s="20"/>
      <c r="W99" s="20" t="n">
        <v>13.95</v>
      </c>
      <c r="X99" s="4"/>
      <c r="Y99" s="4"/>
      <c r="Z99" s="4" t="s">
        <v>316</v>
      </c>
    </row>
    <row r="100" customFormat="false" ht="15" hidden="false" customHeight="false" outlineLevel="0" collapsed="false">
      <c r="A100" s="4" t="s">
        <v>14</v>
      </c>
      <c r="B100" s="4" t="s">
        <v>18</v>
      </c>
      <c r="C100" s="4" t="s">
        <v>339</v>
      </c>
      <c r="D100" s="4" t="s">
        <v>340</v>
      </c>
      <c r="E100" s="4" t="n">
        <v>7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7</v>
      </c>
      <c r="M100" s="4" t="n">
        <v>0</v>
      </c>
      <c r="N100" s="4" t="n">
        <f aca="false">SUM(I100:M100)</f>
        <v>7</v>
      </c>
      <c r="O100" s="6" t="n">
        <v>14.37</v>
      </c>
      <c r="P100" s="18" t="n">
        <v>1.25</v>
      </c>
      <c r="Q100" s="18" t="n">
        <v>1.31</v>
      </c>
      <c r="R100" s="23" t="s">
        <v>293</v>
      </c>
      <c r="S100" s="4" t="s">
        <v>294</v>
      </c>
      <c r="T100" s="4" t="n">
        <v>0</v>
      </c>
      <c r="U100" s="4" t="n">
        <f aca="false">MAX(E100-T100,0)</f>
        <v>7</v>
      </c>
      <c r="V100" s="20"/>
      <c r="W100" s="20" t="n">
        <v>13.83</v>
      </c>
      <c r="X100" s="4"/>
      <c r="Y100" s="4"/>
      <c r="Z100" s="4" t="s">
        <v>316</v>
      </c>
    </row>
    <row r="101" customFormat="false" ht="15" hidden="false" customHeight="false" outlineLevel="0" collapsed="false">
      <c r="A101" s="4" t="s">
        <v>14</v>
      </c>
      <c r="B101" s="4" t="s">
        <v>18</v>
      </c>
      <c r="C101" s="4" t="s">
        <v>341</v>
      </c>
      <c r="D101" s="4" t="s">
        <v>342</v>
      </c>
      <c r="E101" s="4" t="n">
        <v>16</v>
      </c>
      <c r="F101" s="4" t="n">
        <v>0</v>
      </c>
      <c r="G101" s="4" t="n">
        <v>0</v>
      </c>
      <c r="H101" s="4" t="n">
        <v>2</v>
      </c>
      <c r="I101" s="4" t="n">
        <v>1</v>
      </c>
      <c r="J101" s="4" t="n">
        <v>6</v>
      </c>
      <c r="K101" s="4" t="n">
        <v>7</v>
      </c>
      <c r="L101" s="4" t="n">
        <v>0</v>
      </c>
      <c r="M101" s="4" t="n">
        <v>0</v>
      </c>
      <c r="N101" s="4" t="n">
        <f aca="false">SUM(I101:M101)</f>
        <v>14</v>
      </c>
      <c r="O101" s="6" t="n">
        <v>14.36</v>
      </c>
      <c r="P101" s="18" t="n">
        <v>0</v>
      </c>
      <c r="Q101" s="18"/>
      <c r="R101" s="23" t="s">
        <v>293</v>
      </c>
      <c r="S101" s="4" t="s">
        <v>294</v>
      </c>
      <c r="T101" s="4" t="n">
        <v>0</v>
      </c>
      <c r="U101" s="4" t="n">
        <f aca="false">MAX(E101-T101,0)</f>
        <v>16</v>
      </c>
      <c r="V101" s="20"/>
      <c r="W101" s="20"/>
      <c r="X101" s="4"/>
      <c r="Y101" s="4"/>
      <c r="Z101" s="4" t="s">
        <v>316</v>
      </c>
    </row>
    <row r="102" customFormat="false" ht="15" hidden="false" customHeight="false" outlineLevel="0" collapsed="false">
      <c r="A102" s="4" t="s">
        <v>14</v>
      </c>
      <c r="B102" s="4" t="s">
        <v>18</v>
      </c>
      <c r="C102" s="4" t="s">
        <v>343</v>
      </c>
      <c r="D102" s="4" t="s">
        <v>344</v>
      </c>
      <c r="E102" s="4" t="n">
        <v>12</v>
      </c>
      <c r="F102" s="4" t="n">
        <v>0</v>
      </c>
      <c r="G102" s="4" t="n">
        <v>0</v>
      </c>
      <c r="H102" s="4" t="n">
        <v>1</v>
      </c>
      <c r="I102" s="4" t="n">
        <v>0</v>
      </c>
      <c r="J102" s="4" t="n">
        <v>0</v>
      </c>
      <c r="K102" s="4" t="n">
        <v>7</v>
      </c>
      <c r="L102" s="4" t="n">
        <v>4</v>
      </c>
      <c r="M102" s="4" t="n">
        <v>0</v>
      </c>
      <c r="N102" s="4" t="n">
        <f aca="false">SUM(I102:M102)</f>
        <v>11</v>
      </c>
      <c r="O102" s="6" t="n">
        <v>14.16</v>
      </c>
      <c r="P102" s="18" t="n">
        <v>0.5</v>
      </c>
      <c r="Q102" s="18" t="n">
        <v>5.61</v>
      </c>
      <c r="R102" s="23" t="s">
        <v>293</v>
      </c>
      <c r="S102" s="4" t="s">
        <v>294</v>
      </c>
      <c r="T102" s="4" t="n">
        <v>0</v>
      </c>
      <c r="U102" s="4" t="n">
        <f aca="false">MAX(E102-T102,0)</f>
        <v>12</v>
      </c>
      <c r="V102" s="20"/>
      <c r="W102" s="20" t="n">
        <v>15.85</v>
      </c>
      <c r="X102" s="4"/>
      <c r="Y102" s="4"/>
      <c r="Z102" s="4" t="s">
        <v>316</v>
      </c>
    </row>
    <row r="103" customFormat="false" ht="15" hidden="false" customHeight="false" outlineLevel="0" collapsed="false">
      <c r="A103" s="4" t="s">
        <v>14</v>
      </c>
      <c r="B103" s="4" t="s">
        <v>18</v>
      </c>
      <c r="C103" s="4" t="s">
        <v>345</v>
      </c>
      <c r="D103" s="4" t="s">
        <v>346</v>
      </c>
      <c r="E103" s="4" t="n">
        <v>10</v>
      </c>
      <c r="F103" s="4" t="n">
        <v>0</v>
      </c>
      <c r="G103" s="4" t="n">
        <v>0</v>
      </c>
      <c r="H103" s="4" t="n">
        <v>0</v>
      </c>
      <c r="I103" s="4" t="n">
        <v>2</v>
      </c>
      <c r="J103" s="4" t="n">
        <v>0</v>
      </c>
      <c r="K103" s="4" t="n">
        <v>6</v>
      </c>
      <c r="L103" s="4" t="n">
        <v>2</v>
      </c>
      <c r="M103" s="4" t="n">
        <v>0</v>
      </c>
      <c r="N103" s="4" t="n">
        <f aca="false">SUM(I103:M103)</f>
        <v>10</v>
      </c>
      <c r="O103" s="6" t="n">
        <v>11.91</v>
      </c>
      <c r="P103" s="18" t="n">
        <v>0.75</v>
      </c>
      <c r="Q103" s="18" t="n">
        <v>3.12</v>
      </c>
      <c r="R103" s="23" t="s">
        <v>293</v>
      </c>
      <c r="S103" s="4" t="s">
        <v>294</v>
      </c>
      <c r="T103" s="4" t="n">
        <v>0</v>
      </c>
      <c r="U103" s="4" t="n">
        <f aca="false">MAX(E103-T103,0)</f>
        <v>10</v>
      </c>
      <c r="V103" s="20"/>
      <c r="W103" s="20" t="n">
        <v>14.32</v>
      </c>
      <c r="X103" s="4"/>
      <c r="Y103" s="4"/>
      <c r="Z103" s="4" t="s">
        <v>316</v>
      </c>
    </row>
    <row r="104" customFormat="false" ht="15" hidden="false" customHeight="false" outlineLevel="0" collapsed="false">
      <c r="A104" s="4" t="s">
        <v>14</v>
      </c>
      <c r="B104" s="4" t="s">
        <v>18</v>
      </c>
      <c r="C104" s="4" t="s">
        <v>347</v>
      </c>
      <c r="D104" s="4" t="s">
        <v>348</v>
      </c>
      <c r="E104" s="4" t="n">
        <v>39</v>
      </c>
      <c r="F104" s="4" t="n">
        <v>6</v>
      </c>
      <c r="G104" s="4" t="n">
        <v>30</v>
      </c>
      <c r="H104" s="4" t="n">
        <v>0</v>
      </c>
      <c r="I104" s="4" t="n">
        <v>0</v>
      </c>
      <c r="J104" s="4" t="n">
        <v>0</v>
      </c>
      <c r="K104" s="4" t="n">
        <v>3</v>
      </c>
      <c r="L104" s="4" t="n">
        <v>0</v>
      </c>
      <c r="M104" s="4" t="n">
        <v>0</v>
      </c>
      <c r="N104" s="4" t="n">
        <f aca="false">SUM(I104:M104)</f>
        <v>3</v>
      </c>
      <c r="O104" s="6" t="n">
        <v>10.69</v>
      </c>
      <c r="P104" s="18" t="n">
        <v>0.25</v>
      </c>
      <c r="Q104" s="18" t="n">
        <v>36.45</v>
      </c>
      <c r="R104" s="23" t="s">
        <v>293</v>
      </c>
      <c r="S104" s="4" t="s">
        <v>294</v>
      </c>
      <c r="T104" s="4" t="n">
        <v>0</v>
      </c>
      <c r="U104" s="4" t="n">
        <f aca="false">MAX(E104-T104,0)</f>
        <v>39</v>
      </c>
      <c r="V104" s="20"/>
      <c r="W104" s="20" t="n">
        <v>26.24</v>
      </c>
      <c r="X104" s="4"/>
      <c r="Y104" s="4"/>
      <c r="Z104" s="4" t="s">
        <v>316</v>
      </c>
    </row>
    <row r="105" customFormat="false" ht="15" hidden="false" customHeight="false" outlineLevel="0" collapsed="false">
      <c r="A105" s="4" t="s">
        <v>14</v>
      </c>
      <c r="B105" s="4" t="s">
        <v>18</v>
      </c>
      <c r="C105" s="4" t="s">
        <v>349</v>
      </c>
      <c r="D105" s="4" t="s">
        <v>350</v>
      </c>
      <c r="E105" s="4" t="n">
        <v>13</v>
      </c>
      <c r="F105" s="4" t="n">
        <v>6</v>
      </c>
      <c r="G105" s="4" t="n">
        <v>0</v>
      </c>
      <c r="H105" s="4" t="n">
        <v>0</v>
      </c>
      <c r="I105" s="4" t="n">
        <v>7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f aca="false">SUM(I105:M105)</f>
        <v>7</v>
      </c>
      <c r="O105" s="6" t="n">
        <v>10.6</v>
      </c>
      <c r="P105" s="18" t="n">
        <v>0.75</v>
      </c>
      <c r="Q105" s="18" t="n">
        <v>4.05</v>
      </c>
      <c r="R105" s="23" t="s">
        <v>293</v>
      </c>
      <c r="S105" s="4" t="s">
        <v>294</v>
      </c>
      <c r="T105" s="4" t="n">
        <v>0</v>
      </c>
      <c r="U105" s="4" t="n">
        <f aca="false">MAX(E105-T105,0)</f>
        <v>13</v>
      </c>
      <c r="V105" s="20"/>
      <c r="W105" s="20" t="n">
        <v>14.64</v>
      </c>
      <c r="X105" s="4"/>
      <c r="Y105" s="4"/>
      <c r="Z105" s="4" t="s">
        <v>316</v>
      </c>
    </row>
    <row r="106" customFormat="false" ht="15" hidden="false" customHeight="false" outlineLevel="0" collapsed="false">
      <c r="A106" s="4" t="s">
        <v>14</v>
      </c>
      <c r="B106" s="4" t="s">
        <v>18</v>
      </c>
      <c r="C106" s="4" t="s">
        <v>351</v>
      </c>
      <c r="D106" s="4" t="s">
        <v>352</v>
      </c>
      <c r="E106" s="4" t="n">
        <v>13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13</v>
      </c>
      <c r="N106" s="4" t="n">
        <f aca="false">SUM(I106:M106)</f>
        <v>13</v>
      </c>
      <c r="O106" s="6" t="n">
        <v>10.55</v>
      </c>
      <c r="P106" s="18" t="n">
        <v>0.75</v>
      </c>
      <c r="Q106" s="18" t="n">
        <v>4.05</v>
      </c>
      <c r="R106" s="23" t="s">
        <v>293</v>
      </c>
      <c r="S106" s="4" t="s">
        <v>294</v>
      </c>
      <c r="T106" s="4" t="n">
        <v>0</v>
      </c>
      <c r="U106" s="4" t="n">
        <f aca="false">MAX(E106-T106,0)</f>
        <v>13</v>
      </c>
      <c r="V106" s="20"/>
      <c r="W106" s="20" t="n">
        <v>12.7</v>
      </c>
      <c r="X106" s="4"/>
      <c r="Y106" s="4"/>
      <c r="Z106" s="4" t="s">
        <v>316</v>
      </c>
    </row>
    <row r="107" customFormat="false" ht="15" hidden="false" customHeight="false" outlineLevel="0" collapsed="false">
      <c r="A107" s="4" t="s">
        <v>14</v>
      </c>
      <c r="B107" s="4" t="s">
        <v>18</v>
      </c>
      <c r="C107" s="4" t="s">
        <v>353</v>
      </c>
      <c r="D107" s="4" t="s">
        <v>354</v>
      </c>
      <c r="E107" s="4" t="n">
        <v>44</v>
      </c>
      <c r="F107" s="4" t="n">
        <v>24</v>
      </c>
      <c r="G107" s="4" t="n">
        <v>20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f aca="false">SUM(I107:M107)</f>
        <v>0</v>
      </c>
      <c r="O107" s="6" t="n">
        <v>9.83</v>
      </c>
      <c r="P107" s="18" t="n">
        <v>3</v>
      </c>
      <c r="Q107" s="18" t="n">
        <v>3.42</v>
      </c>
      <c r="R107" s="23" t="s">
        <v>293</v>
      </c>
      <c r="S107" s="4" t="s">
        <v>294</v>
      </c>
      <c r="T107" s="4" t="n">
        <v>0</v>
      </c>
      <c r="U107" s="4" t="n">
        <f aca="false">MAX(E107-T107,0)</f>
        <v>44</v>
      </c>
      <c r="V107" s="20"/>
      <c r="W107" s="20" t="n">
        <v>12.78</v>
      </c>
      <c r="X107" s="4"/>
      <c r="Y107" s="4"/>
      <c r="Z107" s="4" t="s">
        <v>316</v>
      </c>
    </row>
    <row r="108" customFormat="false" ht="15" hidden="false" customHeight="false" outlineLevel="0" collapsed="false">
      <c r="A108" s="4" t="s">
        <v>14</v>
      </c>
      <c r="B108" s="4" t="s">
        <v>18</v>
      </c>
      <c r="C108" s="4" t="s">
        <v>355</v>
      </c>
      <c r="D108" s="4" t="s">
        <v>356</v>
      </c>
      <c r="E108" s="4" t="n">
        <v>7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</v>
      </c>
      <c r="M108" s="4" t="n">
        <v>6</v>
      </c>
      <c r="N108" s="4" t="n">
        <f aca="false">SUM(I108:M108)</f>
        <v>7</v>
      </c>
      <c r="O108" s="6" t="n">
        <v>9.59</v>
      </c>
      <c r="P108" s="18" t="n">
        <v>0.25</v>
      </c>
      <c r="Q108" s="18" t="n">
        <v>6.54</v>
      </c>
      <c r="R108" s="23" t="s">
        <v>293</v>
      </c>
      <c r="S108" s="4" t="s">
        <v>294</v>
      </c>
      <c r="T108" s="4" t="n">
        <v>0</v>
      </c>
      <c r="U108" s="4" t="n">
        <f aca="false">MAX(E108-T108,0)</f>
        <v>7</v>
      </c>
      <c r="V108" s="20"/>
      <c r="W108" s="20" t="n">
        <v>15.62</v>
      </c>
      <c r="X108" s="4"/>
      <c r="Y108" s="4"/>
      <c r="Z108" s="4" t="s">
        <v>316</v>
      </c>
    </row>
    <row r="109" customFormat="false" ht="15" hidden="false" customHeight="false" outlineLevel="0" collapsed="false">
      <c r="A109" s="4" t="s">
        <v>14</v>
      </c>
      <c r="B109" s="4" t="s">
        <v>18</v>
      </c>
      <c r="C109" s="4" t="s">
        <v>357</v>
      </c>
      <c r="D109" s="4" t="s">
        <v>358</v>
      </c>
      <c r="E109" s="4" t="n">
        <v>8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8</v>
      </c>
      <c r="L109" s="4" t="n">
        <v>0</v>
      </c>
      <c r="M109" s="4" t="n">
        <v>0</v>
      </c>
      <c r="N109" s="4" t="n">
        <f aca="false">SUM(I109:M109)</f>
        <v>8</v>
      </c>
      <c r="O109" s="6" t="n">
        <v>9.49</v>
      </c>
      <c r="P109" s="18" t="n">
        <v>1.5</v>
      </c>
      <c r="Q109" s="18" t="n">
        <v>1.24</v>
      </c>
      <c r="R109" s="23" t="s">
        <v>293</v>
      </c>
      <c r="S109" s="4" t="s">
        <v>294</v>
      </c>
      <c r="T109" s="4" t="n">
        <v>0</v>
      </c>
      <c r="U109" s="4" t="n">
        <f aca="false">MAX(E109-T109,0)</f>
        <v>8</v>
      </c>
      <c r="V109" s="20"/>
      <c r="W109" s="20" t="n">
        <v>11.67</v>
      </c>
      <c r="X109" s="4"/>
      <c r="Y109" s="4"/>
      <c r="Z109" s="4" t="s">
        <v>316</v>
      </c>
    </row>
    <row r="110" customFormat="false" ht="15" hidden="false" customHeight="false" outlineLevel="0" collapsed="false">
      <c r="A110" s="4" t="s">
        <v>14</v>
      </c>
      <c r="B110" s="4" t="s">
        <v>18</v>
      </c>
      <c r="C110" s="4" t="s">
        <v>359</v>
      </c>
      <c r="D110" s="4" t="s">
        <v>360</v>
      </c>
      <c r="E110" s="4" t="n">
        <v>6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0</v>
      </c>
      <c r="L110" s="4" t="n">
        <v>5</v>
      </c>
      <c r="M110" s="4" t="n">
        <v>0</v>
      </c>
      <c r="N110" s="4" t="n">
        <f aca="false">SUM(I110:M110)</f>
        <v>6</v>
      </c>
      <c r="O110" s="6" t="n">
        <v>8.79</v>
      </c>
      <c r="P110" s="18" t="n">
        <v>0.75</v>
      </c>
      <c r="Q110" s="18" t="n">
        <v>1.87</v>
      </c>
      <c r="R110" s="23" t="s">
        <v>293</v>
      </c>
      <c r="S110" s="4" t="s">
        <v>294</v>
      </c>
      <c r="T110" s="4" t="n">
        <v>0</v>
      </c>
      <c r="U110" s="4" t="n">
        <f aca="false">MAX(E110-T110,0)</f>
        <v>6</v>
      </c>
      <c r="V110" s="20"/>
      <c r="W110" s="20" t="n">
        <v>13.27</v>
      </c>
      <c r="X110" s="4"/>
      <c r="Y110" s="4"/>
      <c r="Z110" s="4" t="s">
        <v>316</v>
      </c>
    </row>
    <row r="111" customFormat="false" ht="15" hidden="false" customHeight="false" outlineLevel="0" collapsed="false">
      <c r="A111" s="4" t="s">
        <v>14</v>
      </c>
      <c r="B111" s="4" t="s">
        <v>18</v>
      </c>
      <c r="C111" s="4" t="s">
        <v>361</v>
      </c>
      <c r="D111" s="4" t="s">
        <v>362</v>
      </c>
      <c r="E111" s="4" t="n">
        <v>6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6</v>
      </c>
      <c r="N111" s="4" t="n">
        <f aca="false">SUM(I111:M111)</f>
        <v>6</v>
      </c>
      <c r="O111" s="6" t="n">
        <v>8.41</v>
      </c>
      <c r="P111" s="18" t="n">
        <v>0.5</v>
      </c>
      <c r="Q111" s="18" t="n">
        <v>2.8</v>
      </c>
      <c r="R111" s="23" t="s">
        <v>293</v>
      </c>
      <c r="S111" s="4" t="s">
        <v>294</v>
      </c>
      <c r="T111" s="4" t="n">
        <v>0</v>
      </c>
      <c r="U111" s="4" t="n">
        <f aca="false">MAX(E111-T111,0)</f>
        <v>6</v>
      </c>
      <c r="V111" s="20"/>
      <c r="W111" s="20" t="n">
        <v>12.73</v>
      </c>
      <c r="X111" s="4"/>
      <c r="Y111" s="4"/>
      <c r="Z111" s="4" t="s">
        <v>316</v>
      </c>
    </row>
    <row r="112" customFormat="false" ht="15" hidden="false" customHeight="false" outlineLevel="0" collapsed="false">
      <c r="A112" s="4" t="s">
        <v>14</v>
      </c>
      <c r="B112" s="4" t="s">
        <v>18</v>
      </c>
      <c r="C112" s="4" t="s">
        <v>363</v>
      </c>
      <c r="D112" s="4" t="s">
        <v>364</v>
      </c>
      <c r="E112" s="4" t="n">
        <v>6</v>
      </c>
      <c r="F112" s="4" t="n">
        <v>0</v>
      </c>
      <c r="G112" s="4" t="n">
        <v>1</v>
      </c>
      <c r="H112" s="4" t="n">
        <v>0</v>
      </c>
      <c r="I112" s="4" t="n">
        <v>1</v>
      </c>
      <c r="J112" s="4" t="n">
        <v>0</v>
      </c>
      <c r="K112" s="4" t="n">
        <v>0</v>
      </c>
      <c r="L112" s="4" t="n">
        <v>0</v>
      </c>
      <c r="M112" s="4" t="n">
        <v>4</v>
      </c>
      <c r="N112" s="4" t="n">
        <f aca="false">SUM(I112:M112)</f>
        <v>5</v>
      </c>
      <c r="O112" s="6" t="n">
        <v>7.21</v>
      </c>
      <c r="P112" s="18" t="n">
        <v>0.25</v>
      </c>
      <c r="Q112" s="18" t="n">
        <v>5.61</v>
      </c>
      <c r="R112" s="23" t="s">
        <v>293</v>
      </c>
      <c r="S112" s="4" t="s">
        <v>294</v>
      </c>
      <c r="T112" s="4" t="n">
        <v>0</v>
      </c>
      <c r="U112" s="4" t="n">
        <f aca="false">MAX(E112-T112,0)</f>
        <v>6</v>
      </c>
      <c r="V112" s="20"/>
      <c r="W112" s="20" t="n">
        <v>14.88</v>
      </c>
      <c r="X112" s="4"/>
      <c r="Y112" s="4"/>
      <c r="Z112" s="4" t="s">
        <v>316</v>
      </c>
    </row>
    <row r="113" customFormat="false" ht="15" hidden="false" customHeight="false" outlineLevel="0" collapsed="false">
      <c r="A113" s="4" t="s">
        <v>14</v>
      </c>
      <c r="B113" s="4" t="s">
        <v>18</v>
      </c>
      <c r="C113" s="4" t="s">
        <v>365</v>
      </c>
      <c r="D113" s="4" t="s">
        <v>366</v>
      </c>
      <c r="E113" s="4" t="n">
        <v>8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8</v>
      </c>
      <c r="M113" s="4" t="n">
        <v>0</v>
      </c>
      <c r="N113" s="4" t="n">
        <f aca="false">SUM(I113:M113)</f>
        <v>8</v>
      </c>
      <c r="O113" s="6" t="n">
        <v>5.67</v>
      </c>
      <c r="P113" s="18" t="n">
        <v>1</v>
      </c>
      <c r="Q113" s="18" t="n">
        <v>1.86</v>
      </c>
      <c r="R113" s="23" t="s">
        <v>293</v>
      </c>
      <c r="S113" s="4" t="s">
        <v>294</v>
      </c>
      <c r="T113" s="4" t="n">
        <v>0</v>
      </c>
      <c r="U113" s="4" t="n">
        <f aca="false">MAX(E113-T113,0)</f>
        <v>8</v>
      </c>
      <c r="V113" s="20"/>
      <c r="W113" s="20" t="n">
        <v>11.59</v>
      </c>
      <c r="X113" s="4"/>
      <c r="Y113" s="4"/>
      <c r="Z113" s="4" t="s">
        <v>316</v>
      </c>
    </row>
    <row r="114" customFormat="false" ht="15" hidden="false" customHeight="false" outlineLevel="0" collapsed="false">
      <c r="A114" s="4" t="s">
        <v>14</v>
      </c>
      <c r="B114" s="4" t="s">
        <v>18</v>
      </c>
      <c r="C114" s="4" t="s">
        <v>367</v>
      </c>
      <c r="D114" s="4" t="s">
        <v>368</v>
      </c>
      <c r="E114" s="4" t="n">
        <v>34</v>
      </c>
      <c r="F114" s="4" t="n">
        <v>18</v>
      </c>
      <c r="G114" s="4" t="n">
        <v>12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4</v>
      </c>
      <c r="M114" s="4" t="n">
        <v>0</v>
      </c>
      <c r="N114" s="4" t="n">
        <f aca="false">SUM(I114:M114)</f>
        <v>4</v>
      </c>
      <c r="O114" s="6" t="n">
        <v>4.99</v>
      </c>
      <c r="P114" s="18" t="n">
        <v>0.5</v>
      </c>
      <c r="Q114" s="18" t="n">
        <v>15.89</v>
      </c>
      <c r="R114" s="23" t="s">
        <v>293</v>
      </c>
      <c r="S114" s="4" t="s">
        <v>294</v>
      </c>
      <c r="T114" s="4" t="n">
        <v>0</v>
      </c>
      <c r="U114" s="4" t="n">
        <f aca="false">MAX(E114-T114,0)</f>
        <v>34</v>
      </c>
      <c r="V114" s="20"/>
      <c r="W114" s="20" t="n">
        <v>15.02</v>
      </c>
      <c r="X114" s="4"/>
      <c r="Y114" s="4"/>
      <c r="Z114" s="4" t="s">
        <v>316</v>
      </c>
    </row>
    <row r="115" customFormat="false" ht="15" hidden="false" customHeight="false" outlineLevel="0" collapsed="false">
      <c r="A115" s="4" t="s">
        <v>14</v>
      </c>
      <c r="B115" s="4" t="s">
        <v>18</v>
      </c>
      <c r="C115" s="4" t="s">
        <v>369</v>
      </c>
      <c r="D115" s="4" t="s">
        <v>370</v>
      </c>
      <c r="E115" s="4" t="n">
        <v>20</v>
      </c>
      <c r="F115" s="4" t="n">
        <v>0</v>
      </c>
      <c r="G115" s="4" t="n">
        <v>1</v>
      </c>
      <c r="H115" s="4" t="n">
        <v>19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f aca="false">SUM(I115:M115)</f>
        <v>0</v>
      </c>
      <c r="O115" s="6" t="n">
        <v>4.72</v>
      </c>
      <c r="P115" s="18" t="n">
        <v>0.25</v>
      </c>
      <c r="Q115" s="18" t="n">
        <v>18.69</v>
      </c>
      <c r="R115" s="23" t="s">
        <v>293</v>
      </c>
      <c r="S115" s="4" t="s">
        <v>294</v>
      </c>
      <c r="T115" s="4" t="n">
        <v>0</v>
      </c>
      <c r="U115" s="4" t="n">
        <f aca="false">MAX(E115-T115,0)</f>
        <v>20</v>
      </c>
      <c r="V115" s="20"/>
      <c r="W115" s="20" t="n">
        <v>20.31</v>
      </c>
      <c r="X115" s="4"/>
      <c r="Y115" s="4"/>
      <c r="Z115" s="4" t="s">
        <v>316</v>
      </c>
    </row>
    <row r="116" customFormat="false" ht="15" hidden="false" customHeight="false" outlineLevel="0" collapsed="false">
      <c r="A116" s="4" t="s">
        <v>14</v>
      </c>
      <c r="B116" s="4" t="s">
        <v>18</v>
      </c>
      <c r="C116" s="4" t="s">
        <v>371</v>
      </c>
      <c r="D116" s="4" t="s">
        <v>372</v>
      </c>
      <c r="E116" s="4" t="n">
        <v>30</v>
      </c>
      <c r="F116" s="4" t="n">
        <v>1</v>
      </c>
      <c r="G116" s="4" t="n">
        <v>29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f aca="false">SUM(I116:M116)</f>
        <v>0</v>
      </c>
      <c r="O116" s="6" t="n">
        <v>4.56</v>
      </c>
      <c r="P116" s="18" t="n">
        <v>0.75</v>
      </c>
      <c r="Q116" s="18" t="n">
        <v>9.35</v>
      </c>
      <c r="R116" s="23" t="s">
        <v>293</v>
      </c>
      <c r="S116" s="4" t="s">
        <v>294</v>
      </c>
      <c r="T116" s="4" t="n">
        <v>0</v>
      </c>
      <c r="U116" s="4" t="n">
        <f aca="false">MAX(E116-T116,0)</f>
        <v>30</v>
      </c>
      <c r="V116" s="20"/>
      <c r="W116" s="20" t="n">
        <v>13.49</v>
      </c>
      <c r="X116" s="4"/>
      <c r="Y116" s="4"/>
      <c r="Z116" s="4" t="s">
        <v>316</v>
      </c>
    </row>
    <row r="117" customFormat="false" ht="15" hidden="false" customHeight="false" outlineLevel="0" collapsed="false">
      <c r="A117" s="4" t="s">
        <v>14</v>
      </c>
      <c r="B117" s="4" t="s">
        <v>18</v>
      </c>
      <c r="C117" s="4" t="s">
        <v>373</v>
      </c>
      <c r="D117" s="4" t="s">
        <v>374</v>
      </c>
      <c r="E117" s="4" t="n">
        <v>3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1</v>
      </c>
      <c r="K117" s="4" t="n">
        <v>0</v>
      </c>
      <c r="L117" s="4" t="n">
        <v>0</v>
      </c>
      <c r="M117" s="4" t="n">
        <v>2</v>
      </c>
      <c r="N117" s="4" t="n">
        <f aca="false">SUM(I117:M117)</f>
        <v>3</v>
      </c>
      <c r="O117" s="6" t="n">
        <v>4.46</v>
      </c>
      <c r="P117" s="18" t="n">
        <v>0.5</v>
      </c>
      <c r="Q117" s="18" t="n">
        <v>1.4</v>
      </c>
      <c r="R117" s="23" t="s">
        <v>293</v>
      </c>
      <c r="S117" s="4" t="s">
        <v>294</v>
      </c>
      <c r="T117" s="4" t="n">
        <v>0</v>
      </c>
      <c r="U117" s="4" t="n">
        <f aca="false">MAX(E117-T117,0)</f>
        <v>3</v>
      </c>
      <c r="V117" s="20"/>
      <c r="W117" s="20" t="n">
        <v>12.23</v>
      </c>
      <c r="X117" s="4"/>
      <c r="Y117" s="4"/>
      <c r="Z117" s="4" t="s">
        <v>316</v>
      </c>
    </row>
    <row r="118" customFormat="false" ht="15" hidden="false" customHeight="false" outlineLevel="0" collapsed="false">
      <c r="A118" s="4" t="s">
        <v>14</v>
      </c>
      <c r="B118" s="4" t="s">
        <v>18</v>
      </c>
      <c r="C118" s="4" t="s">
        <v>375</v>
      </c>
      <c r="D118" s="4" t="s">
        <v>376</v>
      </c>
      <c r="E118" s="4" t="n">
        <v>6</v>
      </c>
      <c r="F118" s="4" t="n">
        <v>1</v>
      </c>
      <c r="G118" s="4" t="n">
        <v>0</v>
      </c>
      <c r="H118" s="4" t="n">
        <v>2</v>
      </c>
      <c r="I118" s="4" t="n">
        <v>1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f aca="false">SUM(I118:M118)</f>
        <v>3</v>
      </c>
      <c r="O118" s="6" t="n">
        <v>4.41</v>
      </c>
      <c r="P118" s="18" t="n">
        <v>1</v>
      </c>
      <c r="Q118" s="18" t="n">
        <v>1.4</v>
      </c>
      <c r="R118" s="23" t="s">
        <v>293</v>
      </c>
      <c r="S118" s="4" t="s">
        <v>294</v>
      </c>
      <c r="T118" s="4" t="n">
        <v>0</v>
      </c>
      <c r="U118" s="4" t="n">
        <f aca="false">MAX(E118-T118,0)</f>
        <v>6</v>
      </c>
      <c r="V118" s="20"/>
      <c r="W118" s="20" t="n">
        <v>12.76</v>
      </c>
      <c r="X118" s="4"/>
      <c r="Y118" s="4"/>
      <c r="Z118" s="4" t="s">
        <v>316</v>
      </c>
    </row>
    <row r="119" customFormat="false" ht="15" hidden="false" customHeight="false" outlineLevel="0" collapsed="false">
      <c r="A119" s="4" t="s">
        <v>14</v>
      </c>
      <c r="B119" s="4" t="s">
        <v>18</v>
      </c>
      <c r="C119" s="4" t="s">
        <v>377</v>
      </c>
      <c r="D119" s="4" t="s">
        <v>378</v>
      </c>
      <c r="E119" s="4" t="n">
        <v>2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0</v>
      </c>
      <c r="N119" s="4" t="n">
        <f aca="false">SUM(I119:M119)</f>
        <v>2</v>
      </c>
      <c r="O119" s="6" t="n">
        <v>4.25</v>
      </c>
      <c r="P119" s="18" t="n">
        <v>2</v>
      </c>
      <c r="Q119" s="18" t="n">
        <v>0.23</v>
      </c>
      <c r="R119" s="23" t="s">
        <v>293</v>
      </c>
      <c r="S119" s="4" t="s">
        <v>294</v>
      </c>
      <c r="T119" s="4" t="n">
        <v>0</v>
      </c>
      <c r="U119" s="4" t="n">
        <f aca="false">MAX(E119-T119,0)</f>
        <v>2</v>
      </c>
      <c r="V119" s="20"/>
      <c r="W119" s="20" t="n">
        <v>12.66</v>
      </c>
      <c r="X119" s="4"/>
      <c r="Y119" s="4"/>
      <c r="Z119" s="4" t="s">
        <v>316</v>
      </c>
    </row>
    <row r="120" customFormat="false" ht="15" hidden="false" customHeight="false" outlineLevel="0" collapsed="false">
      <c r="A120" s="4" t="s">
        <v>14</v>
      </c>
      <c r="B120" s="4" t="s">
        <v>18</v>
      </c>
      <c r="C120" s="4" t="s">
        <v>379</v>
      </c>
      <c r="D120" s="4" t="s">
        <v>380</v>
      </c>
      <c r="E120" s="4" t="n">
        <v>11</v>
      </c>
      <c r="F120" s="4" t="n">
        <v>0</v>
      </c>
      <c r="G120" s="4" t="n">
        <v>0</v>
      </c>
      <c r="H120" s="4" t="n">
        <v>11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f aca="false">SUM(I120:M120)</f>
        <v>0</v>
      </c>
      <c r="O120" s="6" t="n">
        <v>3.42</v>
      </c>
      <c r="P120" s="18" t="n">
        <v>1.5</v>
      </c>
      <c r="Q120" s="18" t="n">
        <v>1.71</v>
      </c>
      <c r="R120" s="23" t="s">
        <v>293</v>
      </c>
      <c r="S120" s="4" t="s">
        <v>294</v>
      </c>
      <c r="T120" s="4" t="n">
        <v>0</v>
      </c>
      <c r="U120" s="4" t="n">
        <f aca="false">MAX(E120-T120,0)</f>
        <v>11</v>
      </c>
      <c r="V120" s="20"/>
      <c r="W120" s="20" t="n">
        <v>12.43</v>
      </c>
      <c r="X120" s="4"/>
      <c r="Y120" s="4"/>
      <c r="Z120" s="4" t="s">
        <v>316</v>
      </c>
    </row>
    <row r="121" customFormat="false" ht="15" hidden="false" customHeight="false" outlineLevel="0" collapsed="false">
      <c r="A121" s="4" t="s">
        <v>14</v>
      </c>
      <c r="B121" s="4" t="s">
        <v>18</v>
      </c>
      <c r="C121" s="4" t="s">
        <v>381</v>
      </c>
      <c r="D121" s="4" t="s">
        <v>382</v>
      </c>
      <c r="E121" s="4" t="n">
        <v>18</v>
      </c>
      <c r="F121" s="4" t="n">
        <v>0</v>
      </c>
      <c r="G121" s="4" t="n">
        <v>18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f aca="false">SUM(I121:M121)</f>
        <v>0</v>
      </c>
      <c r="O121" s="6" t="n">
        <v>3.08</v>
      </c>
      <c r="P121" s="18" t="n">
        <v>1</v>
      </c>
      <c r="Q121" s="18" t="n">
        <v>4.2</v>
      </c>
      <c r="R121" s="23" t="s">
        <v>293</v>
      </c>
      <c r="S121" s="4" t="s">
        <v>294</v>
      </c>
      <c r="T121" s="4" t="n">
        <v>0</v>
      </c>
      <c r="U121" s="4" t="n">
        <f aca="false">MAX(E121-T121,0)</f>
        <v>18</v>
      </c>
      <c r="V121" s="20"/>
      <c r="W121" s="20" t="n">
        <v>11.28</v>
      </c>
      <c r="X121" s="4"/>
      <c r="Y121" s="4"/>
      <c r="Z121" s="4" t="s">
        <v>316</v>
      </c>
    </row>
    <row r="122" customFormat="false" ht="15" hidden="false" customHeight="false" outlineLevel="0" collapsed="false">
      <c r="A122" s="4" t="s">
        <v>14</v>
      </c>
      <c r="B122" s="4" t="s">
        <v>18</v>
      </c>
      <c r="C122" s="4" t="s">
        <v>383</v>
      </c>
      <c r="D122" s="4" t="s">
        <v>384</v>
      </c>
      <c r="E122" s="4" t="n">
        <v>2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0</v>
      </c>
      <c r="N122" s="4" t="n">
        <f aca="false">SUM(I122:M122)</f>
        <v>2</v>
      </c>
      <c r="O122" s="6" t="n">
        <v>2.75</v>
      </c>
      <c r="P122" s="18" t="n">
        <v>0</v>
      </c>
      <c r="Q122" s="18"/>
      <c r="R122" s="23" t="s">
        <v>293</v>
      </c>
      <c r="S122" s="4" t="s">
        <v>294</v>
      </c>
      <c r="T122" s="4" t="n">
        <v>0</v>
      </c>
      <c r="U122" s="4" t="n">
        <f aca="false">MAX(E122-T122,0)</f>
        <v>2</v>
      </c>
      <c r="V122" s="20"/>
      <c r="W122" s="20"/>
      <c r="X122" s="4"/>
      <c r="Y122" s="4"/>
      <c r="Z122" s="4" t="s">
        <v>316</v>
      </c>
    </row>
    <row r="123" customFormat="false" ht="15" hidden="false" customHeight="false" outlineLevel="0" collapsed="false">
      <c r="A123" s="4" t="s">
        <v>14</v>
      </c>
      <c r="B123" s="4" t="s">
        <v>18</v>
      </c>
      <c r="C123" s="4" t="s">
        <v>385</v>
      </c>
      <c r="D123" s="4" t="s">
        <v>386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f aca="false">SUM(I123:M123)</f>
        <v>0</v>
      </c>
      <c r="O123" s="6" t="n">
        <v>0.11</v>
      </c>
      <c r="P123" s="18" t="n">
        <v>2.75</v>
      </c>
      <c r="Q123" s="18" t="n">
        <v>0.08</v>
      </c>
      <c r="R123" s="23" t="s">
        <v>293</v>
      </c>
      <c r="S123" s="4" t="s">
        <v>294</v>
      </c>
      <c r="T123" s="4" t="n">
        <v>0</v>
      </c>
      <c r="U123" s="4" t="n">
        <f aca="false">MAX(E123-T123,0)</f>
        <v>1</v>
      </c>
      <c r="V123" s="20"/>
      <c r="W123" s="20" t="n">
        <v>12.58</v>
      </c>
      <c r="X123" s="4"/>
      <c r="Y123" s="4"/>
      <c r="Z123" s="4" t="s">
        <v>316</v>
      </c>
    </row>
    <row r="124" customFormat="false" ht="15" hidden="false" customHeight="false" outlineLevel="0" collapsed="false">
      <c r="A124" s="4" t="s">
        <v>14</v>
      </c>
      <c r="B124" s="4" t="s">
        <v>19</v>
      </c>
      <c r="C124" s="4" t="s">
        <v>387</v>
      </c>
      <c r="D124" s="4" t="s">
        <v>388</v>
      </c>
      <c r="E124" s="4" t="n">
        <v>298</v>
      </c>
      <c r="F124" s="4" t="n">
        <v>0</v>
      </c>
      <c r="G124" s="4" t="n">
        <v>17</v>
      </c>
      <c r="H124" s="4" t="n">
        <v>2</v>
      </c>
      <c r="I124" s="4" t="n">
        <v>6</v>
      </c>
      <c r="J124" s="4" t="n">
        <v>2</v>
      </c>
      <c r="K124" s="4" t="n">
        <v>0</v>
      </c>
      <c r="L124" s="4" t="n">
        <v>16</v>
      </c>
      <c r="M124" s="4" t="n">
        <v>255</v>
      </c>
      <c r="N124" s="4" t="n">
        <f aca="false">SUM(I124:M124)</f>
        <v>279</v>
      </c>
      <c r="O124" s="6" t="n">
        <v>95.93</v>
      </c>
      <c r="P124" s="18" t="n">
        <v>2.25</v>
      </c>
      <c r="Q124" s="18" t="n">
        <v>30.91</v>
      </c>
      <c r="R124" s="19" t="s">
        <v>81</v>
      </c>
      <c r="S124" s="4" t="s">
        <v>389</v>
      </c>
      <c r="T124" s="4" t="n">
        <v>10</v>
      </c>
      <c r="U124" s="4" t="n">
        <f aca="false">MAX(E124-T124,0)</f>
        <v>288</v>
      </c>
      <c r="V124" s="20" t="n">
        <v>35.96</v>
      </c>
      <c r="W124" s="20" t="n">
        <v>16.19</v>
      </c>
      <c r="X124" s="4" t="n">
        <v>311</v>
      </c>
      <c r="Y124" s="4"/>
      <c r="Z124" s="4" t="s">
        <v>83</v>
      </c>
    </row>
    <row r="125" customFormat="false" ht="15" hidden="false" customHeight="false" outlineLevel="0" collapsed="false">
      <c r="A125" s="4" t="s">
        <v>14</v>
      </c>
      <c r="B125" s="4" t="s">
        <v>19</v>
      </c>
      <c r="C125" s="4" t="s">
        <v>390</v>
      </c>
      <c r="D125" s="4" t="s">
        <v>391</v>
      </c>
      <c r="E125" s="4" t="n">
        <v>431</v>
      </c>
      <c r="F125" s="4" t="n">
        <v>1</v>
      </c>
      <c r="G125" s="4" t="n">
        <v>0</v>
      </c>
      <c r="H125" s="4" t="n">
        <v>0</v>
      </c>
      <c r="I125" s="4" t="n">
        <v>374</v>
      </c>
      <c r="J125" s="4" t="n">
        <v>0</v>
      </c>
      <c r="K125" s="4" t="n">
        <v>1</v>
      </c>
      <c r="L125" s="4" t="n">
        <v>55</v>
      </c>
      <c r="M125" s="4" t="n">
        <v>0</v>
      </c>
      <c r="N125" s="4" t="n">
        <f aca="false">SUM(I125:M125)</f>
        <v>430</v>
      </c>
      <c r="O125" s="6" t="n">
        <v>80.7</v>
      </c>
      <c r="P125" s="18" t="n">
        <v>2.5</v>
      </c>
      <c r="Q125" s="18" t="n">
        <v>40.24</v>
      </c>
      <c r="R125" s="19" t="s">
        <v>81</v>
      </c>
      <c r="S125" s="4" t="s">
        <v>392</v>
      </c>
      <c r="T125" s="4" t="n">
        <v>10</v>
      </c>
      <c r="U125" s="4" t="n">
        <f aca="false">MAX(E125-T125,0)</f>
        <v>421</v>
      </c>
      <c r="V125" s="20" t="n">
        <v>43.96</v>
      </c>
      <c r="W125" s="20" t="n">
        <v>17.51</v>
      </c>
      <c r="X125" s="4" t="n">
        <v>433</v>
      </c>
      <c r="Y125" s="4"/>
      <c r="Z125" s="4" t="s">
        <v>83</v>
      </c>
    </row>
    <row r="126" customFormat="false" ht="15" hidden="false" customHeight="false" outlineLevel="0" collapsed="false">
      <c r="A126" s="4" t="s">
        <v>14</v>
      </c>
      <c r="B126" s="4" t="s">
        <v>19</v>
      </c>
      <c r="C126" s="4" t="s">
        <v>393</v>
      </c>
      <c r="D126" s="4" t="s">
        <v>394</v>
      </c>
      <c r="E126" s="4" t="n">
        <v>217</v>
      </c>
      <c r="F126" s="4" t="n">
        <v>0</v>
      </c>
      <c r="G126" s="4" t="n">
        <v>4</v>
      </c>
      <c r="H126" s="4" t="n">
        <v>4</v>
      </c>
      <c r="I126" s="4" t="n">
        <v>2</v>
      </c>
      <c r="J126" s="4" t="n">
        <v>2</v>
      </c>
      <c r="K126" s="4" t="n">
        <v>0</v>
      </c>
      <c r="L126" s="4" t="n">
        <v>107</v>
      </c>
      <c r="M126" s="4" t="n">
        <v>98</v>
      </c>
      <c r="N126" s="4" t="n">
        <f aca="false">SUM(I126:M126)</f>
        <v>209</v>
      </c>
      <c r="O126" s="6" t="n">
        <v>67.36</v>
      </c>
      <c r="P126" s="18" t="n">
        <v>2.5</v>
      </c>
      <c r="Q126" s="18" t="n">
        <v>20.26</v>
      </c>
      <c r="R126" s="19" t="s">
        <v>81</v>
      </c>
      <c r="S126" s="4" t="s">
        <v>389</v>
      </c>
      <c r="T126" s="4" t="n">
        <v>10</v>
      </c>
      <c r="U126" s="4" t="n">
        <f aca="false">MAX(E126-T126,0)</f>
        <v>207</v>
      </c>
      <c r="V126" s="20" t="n">
        <v>35.96</v>
      </c>
      <c r="W126" s="20" t="n">
        <v>15.49</v>
      </c>
      <c r="X126" s="4" t="n">
        <v>218</v>
      </c>
      <c r="Y126" s="4"/>
      <c r="Z126" s="4" t="s">
        <v>83</v>
      </c>
    </row>
    <row r="127" customFormat="false" ht="15" hidden="false" customHeight="false" outlineLevel="0" collapsed="false">
      <c r="A127" s="4" t="s">
        <v>14</v>
      </c>
      <c r="B127" s="4" t="s">
        <v>19</v>
      </c>
      <c r="C127" s="4" t="s">
        <v>395</v>
      </c>
      <c r="D127" s="4" t="s">
        <v>396</v>
      </c>
      <c r="E127" s="4" t="n">
        <v>213</v>
      </c>
      <c r="F127" s="4" t="n">
        <v>1</v>
      </c>
      <c r="G127" s="4" t="n">
        <v>3</v>
      </c>
      <c r="H127" s="4" t="n">
        <v>0</v>
      </c>
      <c r="I127" s="4" t="n">
        <v>209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f aca="false">SUM(I127:M127)</f>
        <v>209</v>
      </c>
      <c r="O127" s="6" t="n">
        <v>43.99</v>
      </c>
      <c r="P127" s="18" t="n">
        <v>1.75</v>
      </c>
      <c r="Q127" s="18" t="n">
        <v>28.4</v>
      </c>
      <c r="R127" s="19" t="s">
        <v>81</v>
      </c>
      <c r="S127" s="4" t="s">
        <v>397</v>
      </c>
      <c r="T127" s="4" t="n">
        <v>10</v>
      </c>
      <c r="U127" s="4" t="n">
        <f aca="false">MAX(E127-T127,0)</f>
        <v>203</v>
      </c>
      <c r="V127" s="20" t="n">
        <v>39.96</v>
      </c>
      <c r="W127" s="20" t="n">
        <v>16.5</v>
      </c>
      <c r="X127" s="4" t="n">
        <v>252</v>
      </c>
      <c r="Y127" s="4"/>
      <c r="Z127" s="4" t="s">
        <v>83</v>
      </c>
    </row>
    <row r="128" customFormat="false" ht="15" hidden="false" customHeight="false" outlineLevel="0" collapsed="false">
      <c r="A128" s="4" t="s">
        <v>14</v>
      </c>
      <c r="B128" s="4" t="s">
        <v>19</v>
      </c>
      <c r="C128" s="4" t="s">
        <v>398</v>
      </c>
      <c r="D128" s="4" t="s">
        <v>399</v>
      </c>
      <c r="E128" s="4" t="n">
        <v>256</v>
      </c>
      <c r="F128" s="4" t="n">
        <v>6</v>
      </c>
      <c r="G128" s="4" t="n">
        <v>5</v>
      </c>
      <c r="H128" s="4" t="n">
        <v>37</v>
      </c>
      <c r="I128" s="4" t="n">
        <v>208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f aca="false">SUM(I128:M128)</f>
        <v>208</v>
      </c>
      <c r="O128" s="6" t="n">
        <v>34.96</v>
      </c>
      <c r="P128" s="18" t="n">
        <v>5.5</v>
      </c>
      <c r="Q128" s="18" t="n">
        <v>10.86</v>
      </c>
      <c r="R128" s="19" t="s">
        <v>81</v>
      </c>
      <c r="S128" s="4" t="s">
        <v>389</v>
      </c>
      <c r="T128" s="4" t="n">
        <v>10</v>
      </c>
      <c r="U128" s="4" t="n">
        <f aca="false">MAX(E128-T128,0)</f>
        <v>246</v>
      </c>
      <c r="V128" s="20" t="n">
        <v>35.96</v>
      </c>
      <c r="W128" s="20" t="n">
        <v>13.22</v>
      </c>
      <c r="X128" s="4" t="n">
        <v>413</v>
      </c>
      <c r="Y128" s="4"/>
      <c r="Z128" s="4" t="s">
        <v>83</v>
      </c>
    </row>
    <row r="129" customFormat="false" ht="15" hidden="false" customHeight="false" outlineLevel="0" collapsed="false">
      <c r="A129" s="4" t="s">
        <v>14</v>
      </c>
      <c r="B129" s="4" t="s">
        <v>19</v>
      </c>
      <c r="C129" s="4" t="s">
        <v>400</v>
      </c>
      <c r="D129" s="4" t="s">
        <v>401</v>
      </c>
      <c r="E129" s="4" t="n">
        <v>120</v>
      </c>
      <c r="F129" s="4" t="n">
        <v>0</v>
      </c>
      <c r="G129" s="4" t="n">
        <v>3</v>
      </c>
      <c r="H129" s="4" t="n">
        <v>4</v>
      </c>
      <c r="I129" s="4" t="n">
        <v>90</v>
      </c>
      <c r="J129" s="4" t="n">
        <v>23</v>
      </c>
      <c r="K129" s="4" t="n">
        <v>0</v>
      </c>
      <c r="L129" s="4" t="n">
        <v>0</v>
      </c>
      <c r="M129" s="4" t="n">
        <v>0</v>
      </c>
      <c r="N129" s="4" t="n">
        <f aca="false">SUM(I129:M129)</f>
        <v>113</v>
      </c>
      <c r="O129" s="6" t="n">
        <v>24.15</v>
      </c>
      <c r="P129" s="18" t="n">
        <v>2</v>
      </c>
      <c r="Q129" s="18" t="n">
        <v>14</v>
      </c>
      <c r="R129" s="19" t="s">
        <v>81</v>
      </c>
      <c r="S129" s="4" t="s">
        <v>397</v>
      </c>
      <c r="T129" s="4" t="n">
        <v>10</v>
      </c>
      <c r="U129" s="4" t="n">
        <f aca="false">MAX(E129-T129,0)</f>
        <v>110</v>
      </c>
      <c r="V129" s="20" t="n">
        <v>39.96</v>
      </c>
      <c r="W129" s="20" t="n">
        <v>14.74</v>
      </c>
      <c r="X129" s="4" t="n">
        <v>123</v>
      </c>
      <c r="Y129" s="4"/>
      <c r="Z129" s="4" t="s">
        <v>83</v>
      </c>
    </row>
    <row r="130" customFormat="false" ht="15" hidden="false" customHeight="false" outlineLevel="0" collapsed="false">
      <c r="A130" s="4" t="s">
        <v>14</v>
      </c>
      <c r="B130" s="4" t="s">
        <v>19</v>
      </c>
      <c r="C130" s="4" t="s">
        <v>402</v>
      </c>
      <c r="D130" s="4" t="s">
        <v>403</v>
      </c>
      <c r="E130" s="4" t="n">
        <v>150</v>
      </c>
      <c r="F130" s="4" t="n">
        <v>2</v>
      </c>
      <c r="G130" s="4" t="n">
        <v>1</v>
      </c>
      <c r="H130" s="4" t="n">
        <v>63</v>
      </c>
      <c r="I130" s="4" t="n">
        <v>84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f aca="false">SUM(I130:M130)</f>
        <v>84</v>
      </c>
      <c r="O130" s="6" t="n">
        <v>20.84</v>
      </c>
      <c r="P130" s="18" t="n">
        <v>2.75</v>
      </c>
      <c r="Q130" s="18" t="n">
        <v>12.72</v>
      </c>
      <c r="R130" s="19" t="s">
        <v>81</v>
      </c>
      <c r="S130" s="4" t="s">
        <v>397</v>
      </c>
      <c r="T130" s="4" t="n">
        <v>10</v>
      </c>
      <c r="U130" s="4" t="n">
        <f aca="false">MAX(E130-T130,0)</f>
        <v>140</v>
      </c>
      <c r="V130" s="20" t="n">
        <v>39.96</v>
      </c>
      <c r="W130" s="20" t="n">
        <v>14.41</v>
      </c>
      <c r="X130" s="4" t="n">
        <v>149</v>
      </c>
      <c r="Y130" s="4"/>
      <c r="Z130" s="4" t="s">
        <v>83</v>
      </c>
    </row>
    <row r="131" customFormat="false" ht="15" hidden="false" customHeight="false" outlineLevel="0" collapsed="false">
      <c r="A131" s="4" t="s">
        <v>14</v>
      </c>
      <c r="B131" s="4" t="s">
        <v>19</v>
      </c>
      <c r="C131" s="4" t="s">
        <v>404</v>
      </c>
      <c r="D131" s="4" t="s">
        <v>405</v>
      </c>
      <c r="E131" s="4" t="n">
        <v>109</v>
      </c>
      <c r="F131" s="4" t="n">
        <v>1</v>
      </c>
      <c r="G131" s="4" t="n">
        <v>0</v>
      </c>
      <c r="H131" s="4" t="n">
        <v>8</v>
      </c>
      <c r="I131" s="4" t="n">
        <v>5</v>
      </c>
      <c r="J131" s="4" t="n">
        <v>95</v>
      </c>
      <c r="K131" s="4" t="n">
        <v>0</v>
      </c>
      <c r="L131" s="4" t="n">
        <v>0</v>
      </c>
      <c r="M131" s="4" t="n">
        <v>0</v>
      </c>
      <c r="N131" s="4" t="n">
        <f aca="false">SUM(I131:M131)</f>
        <v>100</v>
      </c>
      <c r="O131" s="6" t="n">
        <v>17.21</v>
      </c>
      <c r="P131" s="18" t="n">
        <v>2</v>
      </c>
      <c r="Q131" s="18" t="n">
        <v>12.72</v>
      </c>
      <c r="R131" s="19" t="s">
        <v>81</v>
      </c>
      <c r="S131" s="4" t="s">
        <v>397</v>
      </c>
      <c r="T131" s="4" t="n">
        <v>10</v>
      </c>
      <c r="U131" s="4" t="n">
        <f aca="false">MAX(E131-T131,0)</f>
        <v>99</v>
      </c>
      <c r="V131" s="20" t="n">
        <v>39.96</v>
      </c>
      <c r="W131" s="20" t="n">
        <v>14.3</v>
      </c>
      <c r="X131" s="4" t="n">
        <v>142</v>
      </c>
      <c r="Y131" s="4"/>
      <c r="Z131" s="4" t="s">
        <v>83</v>
      </c>
    </row>
    <row r="132" customFormat="false" ht="15" hidden="false" customHeight="false" outlineLevel="0" collapsed="false">
      <c r="A132" s="4" t="s">
        <v>14</v>
      </c>
      <c r="B132" s="4" t="s">
        <v>19</v>
      </c>
      <c r="C132" s="4" t="s">
        <v>406</v>
      </c>
      <c r="D132" s="4" t="s">
        <v>407</v>
      </c>
      <c r="E132" s="4" t="n">
        <v>86</v>
      </c>
      <c r="F132" s="4" t="n">
        <v>0</v>
      </c>
      <c r="G132" s="4" t="n">
        <v>1</v>
      </c>
      <c r="H132" s="4" t="n">
        <v>0</v>
      </c>
      <c r="I132" s="4" t="n">
        <v>60</v>
      </c>
      <c r="J132" s="4" t="n">
        <v>25</v>
      </c>
      <c r="K132" s="4" t="n">
        <v>0</v>
      </c>
      <c r="L132" s="4" t="n">
        <v>0</v>
      </c>
      <c r="M132" s="4" t="n">
        <v>0</v>
      </c>
      <c r="N132" s="4" t="n">
        <f aca="false">SUM(I132:M132)</f>
        <v>85</v>
      </c>
      <c r="O132" s="6" t="n">
        <v>13.79</v>
      </c>
      <c r="P132" s="18" t="n">
        <v>1</v>
      </c>
      <c r="Q132" s="18" t="n">
        <v>20.05</v>
      </c>
      <c r="R132" s="19" t="s">
        <v>81</v>
      </c>
      <c r="S132" s="4" t="s">
        <v>397</v>
      </c>
      <c r="T132" s="4" t="n">
        <v>10</v>
      </c>
      <c r="U132" s="4" t="n">
        <f aca="false">MAX(E132-T132,0)</f>
        <v>76</v>
      </c>
      <c r="V132" s="20" t="n">
        <v>39.96</v>
      </c>
      <c r="W132" s="20" t="n">
        <v>15.65</v>
      </c>
      <c r="X132" s="4" t="n">
        <v>89</v>
      </c>
      <c r="Y132" s="4"/>
      <c r="Z132" s="4" t="s">
        <v>83</v>
      </c>
    </row>
    <row r="133" customFormat="false" ht="15" hidden="false" customHeight="false" outlineLevel="0" collapsed="false">
      <c r="A133" s="4" t="s">
        <v>14</v>
      </c>
      <c r="B133" s="4" t="s">
        <v>19</v>
      </c>
      <c r="C133" s="4" t="s">
        <v>408</v>
      </c>
      <c r="D133" s="4" t="s">
        <v>409</v>
      </c>
      <c r="E133" s="4" t="n">
        <v>33</v>
      </c>
      <c r="F133" s="4" t="n">
        <v>0</v>
      </c>
      <c r="G133" s="4" t="n">
        <v>2</v>
      </c>
      <c r="H133" s="4" t="n">
        <v>3</v>
      </c>
      <c r="I133" s="4" t="n">
        <v>28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f aca="false">SUM(I133:M133)</f>
        <v>28</v>
      </c>
      <c r="O133" s="6" t="n">
        <v>6.09</v>
      </c>
      <c r="P133" s="18" t="n">
        <v>0.75</v>
      </c>
      <c r="Q133" s="18" t="n">
        <v>10.28</v>
      </c>
      <c r="R133" s="19" t="s">
        <v>81</v>
      </c>
      <c r="S133" s="4" t="s">
        <v>397</v>
      </c>
      <c r="T133" s="4" t="n">
        <v>10</v>
      </c>
      <c r="U133" s="4" t="n">
        <f aca="false">MAX(E133-T133,0)</f>
        <v>23</v>
      </c>
      <c r="V133" s="20" t="n">
        <v>39.96</v>
      </c>
      <c r="W133" s="20" t="n">
        <v>13.88</v>
      </c>
      <c r="X133" s="4" t="n">
        <v>34</v>
      </c>
      <c r="Y133" s="4"/>
      <c r="Z133" s="4" t="s">
        <v>83</v>
      </c>
    </row>
    <row r="134" customFormat="false" ht="15" hidden="false" customHeight="false" outlineLevel="0" collapsed="false">
      <c r="A134" s="4" t="s">
        <v>14</v>
      </c>
      <c r="B134" s="4" t="s">
        <v>19</v>
      </c>
      <c r="C134" s="4" t="s">
        <v>410</v>
      </c>
      <c r="D134" s="4" t="s">
        <v>411</v>
      </c>
      <c r="E134" s="4" t="n">
        <v>34</v>
      </c>
      <c r="F134" s="4" t="n">
        <v>0</v>
      </c>
      <c r="G134" s="4" t="n">
        <v>4</v>
      </c>
      <c r="H134" s="4" t="n">
        <v>2</v>
      </c>
      <c r="I134" s="4" t="n">
        <v>28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f aca="false">SUM(I134:M134)</f>
        <v>28</v>
      </c>
      <c r="O134" s="6" t="n">
        <v>4.72</v>
      </c>
      <c r="P134" s="18" t="n">
        <v>1.75</v>
      </c>
      <c r="Q134" s="18" t="n">
        <v>4.53</v>
      </c>
      <c r="R134" s="22" t="s">
        <v>117</v>
      </c>
      <c r="S134" s="4" t="s">
        <v>412</v>
      </c>
      <c r="T134" s="4" t="n">
        <v>0</v>
      </c>
      <c r="U134" s="4" t="n">
        <f aca="false">MAX(E134-T134,0)</f>
        <v>34</v>
      </c>
      <c r="V134" s="20"/>
      <c r="W134" s="20" t="n">
        <v>12.37</v>
      </c>
      <c r="X134" s="4" t="n">
        <v>38</v>
      </c>
      <c r="Y134" s="4" t="s">
        <v>413</v>
      </c>
      <c r="Z134" s="4" t="s">
        <v>83</v>
      </c>
    </row>
    <row r="135" customFormat="false" ht="15" hidden="false" customHeight="false" outlineLevel="0" collapsed="false">
      <c r="A135" s="4" t="s">
        <v>14</v>
      </c>
      <c r="B135" s="4" t="s">
        <v>19</v>
      </c>
      <c r="C135" s="4" t="s">
        <v>414</v>
      </c>
      <c r="D135" s="4" t="s">
        <v>415</v>
      </c>
      <c r="E135" s="4" t="n">
        <v>16</v>
      </c>
      <c r="F135" s="4" t="n">
        <v>0</v>
      </c>
      <c r="G135" s="4" t="n">
        <v>3</v>
      </c>
      <c r="H135" s="4" t="n">
        <v>6</v>
      </c>
      <c r="I135" s="4" t="n">
        <v>7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f aca="false">SUM(I135:M135)</f>
        <v>7</v>
      </c>
      <c r="O135" s="6" t="n">
        <v>1.91</v>
      </c>
      <c r="P135" s="18" t="n">
        <v>2.5</v>
      </c>
      <c r="Q135" s="18" t="n">
        <v>1.49</v>
      </c>
      <c r="R135" s="19" t="s">
        <v>81</v>
      </c>
      <c r="S135" s="4" t="s">
        <v>389</v>
      </c>
      <c r="T135" s="4" t="n">
        <v>10</v>
      </c>
      <c r="U135" s="4" t="n">
        <f aca="false">MAX(E135-T135,0)</f>
        <v>6</v>
      </c>
      <c r="V135" s="20" t="n">
        <v>35.96</v>
      </c>
      <c r="W135" s="20" t="n">
        <v>12.03</v>
      </c>
      <c r="X135" s="4" t="n">
        <v>21</v>
      </c>
      <c r="Y135" s="4"/>
      <c r="Z135" s="4"/>
    </row>
    <row r="136" customFormat="false" ht="15" hidden="false" customHeight="false" outlineLevel="0" collapsed="false">
      <c r="A136" s="4" t="s">
        <v>20</v>
      </c>
      <c r="B136" s="4" t="s">
        <v>15</v>
      </c>
      <c r="C136" s="4" t="s">
        <v>101</v>
      </c>
      <c r="D136" s="4" t="s">
        <v>102</v>
      </c>
      <c r="E136" s="4" t="n">
        <v>49</v>
      </c>
      <c r="F136" s="4" t="n">
        <v>0</v>
      </c>
      <c r="G136" s="4" t="n">
        <v>0</v>
      </c>
      <c r="H136" s="4" t="n">
        <v>1</v>
      </c>
      <c r="I136" s="4" t="n">
        <v>3</v>
      </c>
      <c r="J136" s="4" t="n">
        <v>2</v>
      </c>
      <c r="K136" s="4" t="n">
        <v>0</v>
      </c>
      <c r="L136" s="4" t="n">
        <v>43</v>
      </c>
      <c r="M136" s="4" t="n">
        <v>0</v>
      </c>
      <c r="N136" s="4" t="n">
        <f aca="false">SUM(I136:M136)</f>
        <v>48</v>
      </c>
      <c r="O136" s="6" t="n">
        <v>113.7</v>
      </c>
      <c r="P136" s="18" t="n">
        <v>18.25</v>
      </c>
      <c r="Q136" s="18" t="n">
        <v>0.63</v>
      </c>
      <c r="R136" s="19" t="s">
        <v>81</v>
      </c>
      <c r="S136" s="4" t="s">
        <v>416</v>
      </c>
      <c r="T136" s="4" t="n">
        <v>10</v>
      </c>
      <c r="U136" s="4" t="n">
        <f aca="false">MAX(E136-T136,0)</f>
        <v>39</v>
      </c>
      <c r="V136" s="20" t="n">
        <v>79.99</v>
      </c>
      <c r="W136" s="20" t="n">
        <v>29.58</v>
      </c>
      <c r="X136" s="4" t="n">
        <v>57</v>
      </c>
      <c r="Y136" s="4"/>
      <c r="Z136" s="4" t="s">
        <v>83</v>
      </c>
    </row>
    <row r="137" customFormat="false" ht="15" hidden="false" customHeight="false" outlineLevel="0" collapsed="false">
      <c r="A137" s="4" t="s">
        <v>20</v>
      </c>
      <c r="B137" s="4" t="s">
        <v>15</v>
      </c>
      <c r="C137" s="4" t="s">
        <v>417</v>
      </c>
      <c r="D137" s="4" t="s">
        <v>418</v>
      </c>
      <c r="E137" s="4" t="n">
        <v>11</v>
      </c>
      <c r="F137" s="4" t="n">
        <v>1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10</v>
      </c>
      <c r="M137" s="4" t="n">
        <v>0</v>
      </c>
      <c r="N137" s="4" t="n">
        <f aca="false">SUM(I137:M137)</f>
        <v>10</v>
      </c>
      <c r="O137" s="6" t="n">
        <v>37.41</v>
      </c>
      <c r="P137" s="18" t="n">
        <v>2.25</v>
      </c>
      <c r="Q137" s="18" t="n">
        <v>1.14</v>
      </c>
      <c r="R137" s="19" t="s">
        <v>81</v>
      </c>
      <c r="S137" s="4" t="s">
        <v>419</v>
      </c>
      <c r="T137" s="4" t="n">
        <v>10</v>
      </c>
      <c r="U137" s="4" t="n">
        <f aca="false">MAX(E137-T137,0)</f>
        <v>1</v>
      </c>
      <c r="V137" s="20" t="n">
        <v>79.99</v>
      </c>
      <c r="W137" s="20" t="n">
        <v>30.59</v>
      </c>
      <c r="X137" s="4" t="n">
        <v>17</v>
      </c>
      <c r="Y137" s="4"/>
      <c r="Z137" s="4"/>
    </row>
    <row r="138" customFormat="false" ht="15" hidden="false" customHeight="false" outlineLevel="0" collapsed="false">
      <c r="A138" s="4" t="s">
        <v>20</v>
      </c>
      <c r="B138" s="4" t="s">
        <v>15</v>
      </c>
      <c r="C138" s="4" t="s">
        <v>420</v>
      </c>
      <c r="D138" s="4" t="s">
        <v>421</v>
      </c>
      <c r="E138" s="4" t="n">
        <v>11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6</v>
      </c>
      <c r="K138" s="4" t="n">
        <v>1</v>
      </c>
      <c r="L138" s="4" t="n">
        <v>4</v>
      </c>
      <c r="M138" s="4" t="n">
        <v>0</v>
      </c>
      <c r="N138" s="4" t="n">
        <f aca="false">SUM(I138:M138)</f>
        <v>11</v>
      </c>
      <c r="O138" s="6" t="n">
        <v>21.44</v>
      </c>
      <c r="P138" s="18" t="n">
        <v>2.25</v>
      </c>
      <c r="Q138" s="18" t="n">
        <v>1.14</v>
      </c>
      <c r="R138" s="19" t="s">
        <v>81</v>
      </c>
      <c r="S138" s="4" t="s">
        <v>422</v>
      </c>
      <c r="T138" s="4" t="n">
        <v>10</v>
      </c>
      <c r="U138" s="4" t="n">
        <f aca="false">MAX(E138-T138,0)</f>
        <v>1</v>
      </c>
      <c r="V138" s="20" t="n">
        <v>79.99</v>
      </c>
      <c r="W138" s="20" t="n">
        <v>29.84</v>
      </c>
      <c r="X138" s="4" t="n">
        <v>11</v>
      </c>
      <c r="Y138" s="4"/>
      <c r="Z138" s="4"/>
    </row>
    <row r="139" customFormat="false" ht="15" hidden="false" customHeight="false" outlineLevel="0" collapsed="false">
      <c r="A139" s="4" t="s">
        <v>20</v>
      </c>
      <c r="B139" s="4" t="s">
        <v>15</v>
      </c>
      <c r="C139" s="4" t="s">
        <v>423</v>
      </c>
      <c r="D139" s="4" t="s">
        <v>424</v>
      </c>
      <c r="E139" s="4" t="n">
        <v>5</v>
      </c>
      <c r="F139" s="4" t="n">
        <v>0</v>
      </c>
      <c r="G139" s="4" t="n">
        <v>0</v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4</v>
      </c>
      <c r="M139" s="4" t="n">
        <v>0</v>
      </c>
      <c r="N139" s="4" t="n">
        <f aca="false">SUM(I139:M139)</f>
        <v>4</v>
      </c>
      <c r="O139" s="6" t="n">
        <v>11.42</v>
      </c>
      <c r="P139" s="18" t="n">
        <v>2</v>
      </c>
      <c r="Q139" s="18" t="n">
        <v>0.58</v>
      </c>
      <c r="R139" s="22" t="s">
        <v>117</v>
      </c>
      <c r="S139" s="4" t="s">
        <v>425</v>
      </c>
      <c r="T139" s="4" t="n">
        <v>0</v>
      </c>
      <c r="U139" s="4" t="n">
        <f aca="false">MAX(E139-T139,0)</f>
        <v>5</v>
      </c>
      <c r="V139" s="20"/>
      <c r="W139" s="20" t="n">
        <v>29.96</v>
      </c>
      <c r="X139" s="4" t="n">
        <v>4</v>
      </c>
      <c r="Y139" s="4" t="s">
        <v>250</v>
      </c>
      <c r="Z139" s="4"/>
    </row>
    <row r="140" customFormat="false" ht="15" hidden="false" customHeight="false" outlineLevel="0" collapsed="false">
      <c r="A140" s="4" t="s">
        <v>20</v>
      </c>
      <c r="B140" s="4" t="s">
        <v>15</v>
      </c>
      <c r="C140" s="4" t="s">
        <v>426</v>
      </c>
      <c r="D140" s="4" t="s">
        <v>427</v>
      </c>
      <c r="E140" s="4" t="n">
        <v>5</v>
      </c>
      <c r="F140" s="4" t="n">
        <v>0</v>
      </c>
      <c r="G140" s="4" t="n">
        <v>0</v>
      </c>
      <c r="H140" s="4" t="n">
        <v>0</v>
      </c>
      <c r="I140" s="4" t="n">
        <v>1</v>
      </c>
      <c r="J140" s="4" t="n">
        <v>1</v>
      </c>
      <c r="K140" s="4" t="n">
        <v>0</v>
      </c>
      <c r="L140" s="4" t="n">
        <v>3</v>
      </c>
      <c r="M140" s="4" t="n">
        <v>0</v>
      </c>
      <c r="N140" s="4" t="n">
        <f aca="false">SUM(I140:M140)</f>
        <v>5</v>
      </c>
      <c r="O140" s="6" t="n">
        <v>10.7</v>
      </c>
      <c r="P140" s="18" t="n">
        <v>1</v>
      </c>
      <c r="Q140" s="18" t="n">
        <v>1.17</v>
      </c>
      <c r="R140" s="22" t="s">
        <v>117</v>
      </c>
      <c r="S140" s="4" t="s">
        <v>425</v>
      </c>
      <c r="T140" s="4" t="n">
        <v>0</v>
      </c>
      <c r="U140" s="4" t="n">
        <f aca="false">MAX(E140-T140,0)</f>
        <v>5</v>
      </c>
      <c r="V140" s="20"/>
      <c r="W140" s="20" t="n">
        <v>30.82</v>
      </c>
      <c r="X140" s="4" t="n">
        <v>5</v>
      </c>
      <c r="Y140" s="4" t="s">
        <v>250</v>
      </c>
      <c r="Z140" s="4"/>
    </row>
    <row r="141" customFormat="false" ht="15" hidden="false" customHeight="false" outlineLevel="0" collapsed="false">
      <c r="A141" s="4" t="s">
        <v>20</v>
      </c>
      <c r="B141" s="4" t="s">
        <v>15</v>
      </c>
      <c r="C141" s="4" t="s">
        <v>428</v>
      </c>
      <c r="D141" s="4" t="s">
        <v>429</v>
      </c>
      <c r="E141" s="4" t="n">
        <v>6</v>
      </c>
      <c r="F141" s="4" t="n">
        <v>0</v>
      </c>
      <c r="G141" s="4" t="n">
        <v>0</v>
      </c>
      <c r="H141" s="4" t="n">
        <v>1</v>
      </c>
      <c r="I141" s="4" t="n">
        <v>0</v>
      </c>
      <c r="J141" s="4" t="n">
        <v>0</v>
      </c>
      <c r="K141" s="4" t="n">
        <v>5</v>
      </c>
      <c r="L141" s="4" t="n">
        <v>0</v>
      </c>
      <c r="M141" s="4" t="n">
        <v>0</v>
      </c>
      <c r="N141" s="4" t="n">
        <f aca="false">SUM(I141:M141)</f>
        <v>5</v>
      </c>
      <c r="O141" s="6" t="n">
        <v>9.48</v>
      </c>
      <c r="P141" s="18" t="n">
        <v>3</v>
      </c>
      <c r="Q141" s="18" t="n">
        <v>0.47</v>
      </c>
      <c r="R141" s="21" t="s">
        <v>103</v>
      </c>
      <c r="S141" s="4" t="s">
        <v>422</v>
      </c>
      <c r="T141" s="4" t="n">
        <v>10</v>
      </c>
      <c r="U141" s="4" t="n">
        <f aca="false">MAX(E141-T141,0)</f>
        <v>0</v>
      </c>
      <c r="V141" s="20" t="n">
        <v>79.99</v>
      </c>
      <c r="W141" s="20" t="n">
        <v>29.67</v>
      </c>
      <c r="X141" s="4" t="n">
        <v>16</v>
      </c>
      <c r="Y141" s="4"/>
      <c r="Z141" s="4"/>
    </row>
    <row r="142" customFormat="false" ht="15" hidden="false" customHeight="false" outlineLevel="0" collapsed="false">
      <c r="A142" s="4" t="s">
        <v>20</v>
      </c>
      <c r="B142" s="4" t="s">
        <v>15</v>
      </c>
      <c r="C142" s="4" t="s">
        <v>430</v>
      </c>
      <c r="D142" s="4" t="s">
        <v>431</v>
      </c>
      <c r="E142" s="4" t="n">
        <v>12</v>
      </c>
      <c r="F142" s="4" t="n">
        <v>1</v>
      </c>
      <c r="G142" s="4" t="n">
        <v>9</v>
      </c>
      <c r="H142" s="4" t="n">
        <v>0</v>
      </c>
      <c r="I142" s="4" t="n">
        <v>1</v>
      </c>
      <c r="J142" s="4" t="n">
        <v>0</v>
      </c>
      <c r="K142" s="4" t="n">
        <v>1</v>
      </c>
      <c r="L142" s="4" t="n">
        <v>0</v>
      </c>
      <c r="M142" s="4" t="n">
        <v>0</v>
      </c>
      <c r="N142" s="4" t="n">
        <f aca="false">SUM(I142:M142)</f>
        <v>2</v>
      </c>
      <c r="O142" s="6" t="n">
        <v>6.57</v>
      </c>
      <c r="P142" s="18" t="n">
        <v>6.5</v>
      </c>
      <c r="Q142" s="18" t="n">
        <v>0.43</v>
      </c>
      <c r="R142" s="19" t="s">
        <v>81</v>
      </c>
      <c r="S142" s="4" t="s">
        <v>432</v>
      </c>
      <c r="T142" s="4" t="n">
        <v>5</v>
      </c>
      <c r="U142" s="4" t="n">
        <f aca="false">MAX(E142-T142,0)</f>
        <v>7</v>
      </c>
      <c r="V142" s="20" t="n">
        <v>80.75</v>
      </c>
      <c r="W142" s="20" t="n">
        <v>28.97</v>
      </c>
      <c r="X142" s="4" t="n">
        <v>16</v>
      </c>
      <c r="Y142" s="4" t="s">
        <v>433</v>
      </c>
      <c r="Z142" s="4"/>
    </row>
    <row r="143" customFormat="false" ht="15" hidden="false" customHeight="false" outlineLevel="0" collapsed="false">
      <c r="A143" s="4" t="s">
        <v>20</v>
      </c>
      <c r="B143" s="4" t="s">
        <v>15</v>
      </c>
      <c r="C143" s="4" t="s">
        <v>434</v>
      </c>
      <c r="D143" s="4" t="s">
        <v>435</v>
      </c>
      <c r="E143" s="4" t="n">
        <v>3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0</v>
      </c>
      <c r="N143" s="4" t="n">
        <f aca="false">SUM(I143:M143)</f>
        <v>2</v>
      </c>
      <c r="O143" s="6" t="n">
        <v>4.2</v>
      </c>
      <c r="P143" s="18" t="n">
        <v>5.25</v>
      </c>
      <c r="Q143" s="18" t="n">
        <v>0.13</v>
      </c>
      <c r="R143" s="22" t="s">
        <v>117</v>
      </c>
      <c r="S143" s="4" t="s">
        <v>425</v>
      </c>
      <c r="T143" s="4" t="n">
        <v>0</v>
      </c>
      <c r="U143" s="4" t="n">
        <f aca="false">MAX(E143-T143,0)</f>
        <v>3</v>
      </c>
      <c r="V143" s="20"/>
      <c r="W143" s="20" t="n">
        <v>28.8</v>
      </c>
      <c r="X143" s="4" t="n">
        <v>3</v>
      </c>
      <c r="Y143" s="4" t="s">
        <v>250</v>
      </c>
      <c r="Z143" s="4"/>
    </row>
    <row r="144" customFormat="false" ht="15" hidden="false" customHeight="false" outlineLevel="0" collapsed="false">
      <c r="A144" s="4" t="s">
        <v>20</v>
      </c>
      <c r="B144" s="4" t="s">
        <v>15</v>
      </c>
      <c r="C144" s="4" t="s">
        <v>89</v>
      </c>
      <c r="D144" s="4" t="s">
        <v>90</v>
      </c>
      <c r="E144" s="4" t="n">
        <v>2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0</v>
      </c>
      <c r="N144" s="4" t="n">
        <f aca="false">SUM(I144:M144)</f>
        <v>2</v>
      </c>
      <c r="O144" s="6" t="n">
        <v>3.07</v>
      </c>
      <c r="P144" s="18" t="n">
        <v>0.5</v>
      </c>
      <c r="Q144" s="18" t="n">
        <v>0.93</v>
      </c>
      <c r="R144" s="22" t="s">
        <v>117</v>
      </c>
      <c r="S144" s="4" t="s">
        <v>425</v>
      </c>
      <c r="T144" s="4" t="n">
        <v>0</v>
      </c>
      <c r="U144" s="4" t="n">
        <f aca="false">MAX(E144-T144,0)</f>
        <v>2</v>
      </c>
      <c r="V144" s="20"/>
      <c r="W144" s="20" t="n">
        <v>29.71</v>
      </c>
      <c r="X144" s="4" t="n">
        <v>2</v>
      </c>
      <c r="Y144" s="4" t="s">
        <v>250</v>
      </c>
      <c r="Z144" s="4"/>
    </row>
    <row r="145" customFormat="false" ht="15" hidden="false" customHeight="false" outlineLevel="0" collapsed="false">
      <c r="A145" s="4" t="s">
        <v>20</v>
      </c>
      <c r="B145" s="4" t="s">
        <v>15</v>
      </c>
      <c r="C145" s="4" t="s">
        <v>436</v>
      </c>
      <c r="D145" s="4" t="s">
        <v>437</v>
      </c>
      <c r="E145" s="4" t="n">
        <v>1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f aca="false">SUM(I145:M145)</f>
        <v>1</v>
      </c>
      <c r="O145" s="6" t="n">
        <v>3.05</v>
      </c>
      <c r="P145" s="18" t="n">
        <v>3.5</v>
      </c>
      <c r="Q145" s="18" t="n">
        <v>0.07</v>
      </c>
      <c r="R145" s="22" t="s">
        <v>117</v>
      </c>
      <c r="S145" s="4" t="s">
        <v>425</v>
      </c>
      <c r="T145" s="4" t="n">
        <v>0</v>
      </c>
      <c r="U145" s="4" t="n">
        <f aca="false">MAX(E145-T145,0)</f>
        <v>1</v>
      </c>
      <c r="V145" s="20"/>
      <c r="W145" s="20" t="n">
        <v>29.36</v>
      </c>
      <c r="X145" s="4" t="n">
        <v>6</v>
      </c>
      <c r="Y145" s="4" t="s">
        <v>250</v>
      </c>
      <c r="Z145" s="4"/>
    </row>
    <row r="146" customFormat="false" ht="15" hidden="false" customHeight="false" outlineLevel="0" collapsed="false">
      <c r="A146" s="4" t="s">
        <v>20</v>
      </c>
      <c r="B146" s="4" t="s">
        <v>15</v>
      </c>
      <c r="C146" s="4" t="s">
        <v>94</v>
      </c>
      <c r="D146" s="4" t="s">
        <v>95</v>
      </c>
      <c r="E146" s="4" t="n">
        <v>1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f aca="false">SUM(I146:M146)</f>
        <v>1</v>
      </c>
      <c r="O146" s="6" t="n">
        <v>2.19</v>
      </c>
      <c r="P146" s="18" t="n">
        <v>9.5</v>
      </c>
      <c r="Q146" s="18" t="n">
        <v>0.02</v>
      </c>
      <c r="R146" s="21" t="s">
        <v>103</v>
      </c>
      <c r="S146" s="4" t="s">
        <v>438</v>
      </c>
      <c r="T146" s="4" t="n">
        <v>5</v>
      </c>
      <c r="U146" s="4" t="n">
        <f aca="false">MAX(E146-T146,0)</f>
        <v>0</v>
      </c>
      <c r="V146" s="20" t="n">
        <v>68.63</v>
      </c>
      <c r="W146" s="20" t="n">
        <v>30.7</v>
      </c>
      <c r="X146" s="4" t="n">
        <v>73</v>
      </c>
      <c r="Y146" s="4" t="s">
        <v>439</v>
      </c>
      <c r="Z146" s="4"/>
    </row>
    <row r="147" customFormat="false" ht="15" hidden="false" customHeight="false" outlineLevel="0" collapsed="false">
      <c r="A147" s="4" t="s">
        <v>20</v>
      </c>
      <c r="B147" s="4" t="s">
        <v>15</v>
      </c>
      <c r="C147" s="4" t="s">
        <v>440</v>
      </c>
      <c r="D147" s="4" t="s">
        <v>441</v>
      </c>
      <c r="E147" s="4" t="n">
        <v>4</v>
      </c>
      <c r="F147" s="4" t="n">
        <v>1</v>
      </c>
      <c r="G147" s="4" t="n">
        <v>1</v>
      </c>
      <c r="H147" s="4" t="n">
        <v>2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f aca="false">SUM(I147:M147)</f>
        <v>0</v>
      </c>
      <c r="O147" s="6" t="n">
        <v>1.64</v>
      </c>
      <c r="P147" s="18" t="n">
        <v>12.75</v>
      </c>
      <c r="Q147" s="18" t="n">
        <v>0.07</v>
      </c>
      <c r="R147" s="22" t="s">
        <v>117</v>
      </c>
      <c r="S147" s="4" t="s">
        <v>425</v>
      </c>
      <c r="T147" s="4" t="n">
        <v>0</v>
      </c>
      <c r="U147" s="4" t="n">
        <f aca="false">MAX(E147-T147,0)</f>
        <v>4</v>
      </c>
      <c r="V147" s="20"/>
      <c r="W147" s="20" t="n">
        <v>28.9</v>
      </c>
      <c r="X147" s="4" t="n">
        <v>4</v>
      </c>
      <c r="Y147" s="4" t="s">
        <v>250</v>
      </c>
      <c r="Z147" s="4"/>
    </row>
    <row r="148" customFormat="false" ht="15" hidden="false" customHeight="false" outlineLevel="0" collapsed="false">
      <c r="A148" s="4" t="s">
        <v>20</v>
      </c>
      <c r="B148" s="4" t="s">
        <v>15</v>
      </c>
      <c r="C148" s="4" t="s">
        <v>105</v>
      </c>
      <c r="D148" s="4" t="s">
        <v>106</v>
      </c>
      <c r="E148" s="4" t="n">
        <v>1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f aca="false">SUM(I148:M148)</f>
        <v>1</v>
      </c>
      <c r="O148" s="6" t="n">
        <v>1.42</v>
      </c>
      <c r="P148" s="18" t="n">
        <v>18</v>
      </c>
      <c r="Q148" s="18" t="n">
        <v>0.01</v>
      </c>
      <c r="R148" s="21" t="s">
        <v>103</v>
      </c>
      <c r="S148" s="4" t="s">
        <v>442</v>
      </c>
      <c r="T148" s="4" t="n">
        <v>11</v>
      </c>
      <c r="U148" s="4" t="n">
        <f aca="false">MAX(E148-T148,0)</f>
        <v>0</v>
      </c>
      <c r="V148" s="20" t="n">
        <v>79.99</v>
      </c>
      <c r="W148" s="20" t="n">
        <v>28.72</v>
      </c>
      <c r="X148" s="4" t="n">
        <v>101</v>
      </c>
      <c r="Y148" s="4"/>
      <c r="Z148" s="4"/>
    </row>
    <row r="149" customFormat="false" ht="15" hidden="false" customHeight="false" outlineLevel="0" collapsed="false">
      <c r="A149" s="4" t="s">
        <v>20</v>
      </c>
      <c r="B149" s="4" t="s">
        <v>16</v>
      </c>
      <c r="C149" s="4" t="s">
        <v>443</v>
      </c>
      <c r="D149" s="4" t="s">
        <v>444</v>
      </c>
      <c r="E149" s="4" t="n">
        <v>27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12</v>
      </c>
      <c r="L149" s="4" t="n">
        <v>15</v>
      </c>
      <c r="M149" s="4" t="n">
        <v>0</v>
      </c>
      <c r="N149" s="4" t="n">
        <f aca="false">SUM(I149:M149)</f>
        <v>27</v>
      </c>
      <c r="O149" s="6" t="n">
        <v>64.4</v>
      </c>
      <c r="P149" s="18" t="n">
        <v>0.75</v>
      </c>
      <c r="Q149" s="18" t="n">
        <v>8.41</v>
      </c>
      <c r="R149" s="22" t="s">
        <v>117</v>
      </c>
      <c r="S149" s="4" t="s">
        <v>445</v>
      </c>
      <c r="T149" s="4" t="n">
        <v>0</v>
      </c>
      <c r="U149" s="4" t="n">
        <f aca="false">MAX(E149-T149,0)</f>
        <v>27</v>
      </c>
      <c r="V149" s="20"/>
      <c r="W149" s="20" t="n">
        <v>41.74</v>
      </c>
      <c r="X149" s="4" t="n">
        <v>27</v>
      </c>
      <c r="Y149" s="4" t="s">
        <v>446</v>
      </c>
      <c r="Z149" s="4" t="s">
        <v>83</v>
      </c>
    </row>
    <row r="150" customFormat="false" ht="15" hidden="false" customHeight="false" outlineLevel="0" collapsed="false">
      <c r="A150" s="4" t="s">
        <v>20</v>
      </c>
      <c r="B150" s="4" t="s">
        <v>16</v>
      </c>
      <c r="C150" s="4" t="s">
        <v>447</v>
      </c>
      <c r="D150" s="4" t="s">
        <v>448</v>
      </c>
      <c r="E150" s="4" t="n">
        <v>17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17</v>
      </c>
      <c r="M150" s="4" t="n">
        <v>0</v>
      </c>
      <c r="N150" s="4" t="n">
        <f aca="false">SUM(I150:M150)</f>
        <v>17</v>
      </c>
      <c r="O150" s="6" t="n">
        <v>46</v>
      </c>
      <c r="P150" s="18" t="n">
        <v>1</v>
      </c>
      <c r="Q150" s="18" t="n">
        <v>3.96</v>
      </c>
      <c r="R150" s="22" t="s">
        <v>117</v>
      </c>
      <c r="S150" s="4" t="s">
        <v>445</v>
      </c>
      <c r="T150" s="4" t="n">
        <v>0</v>
      </c>
      <c r="U150" s="4" t="n">
        <f aca="false">MAX(E150-T150,0)</f>
        <v>17</v>
      </c>
      <c r="V150" s="20"/>
      <c r="W150" s="20" t="n">
        <v>34.72</v>
      </c>
      <c r="X150" s="4" t="n">
        <v>17</v>
      </c>
      <c r="Y150" s="4" t="s">
        <v>449</v>
      </c>
      <c r="Z150" s="4"/>
    </row>
    <row r="151" customFormat="false" ht="15" hidden="false" customHeight="false" outlineLevel="0" collapsed="false">
      <c r="A151" s="4" t="s">
        <v>20</v>
      </c>
      <c r="B151" s="4" t="s">
        <v>16</v>
      </c>
      <c r="C151" s="4" t="s">
        <v>450</v>
      </c>
      <c r="D151" s="4" t="s">
        <v>451</v>
      </c>
      <c r="E151" s="4" t="n">
        <v>10</v>
      </c>
      <c r="F151" s="4" t="n">
        <v>1</v>
      </c>
      <c r="G151" s="4" t="n">
        <v>4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5</v>
      </c>
      <c r="M151" s="4" t="n">
        <v>0</v>
      </c>
      <c r="N151" s="4" t="n">
        <f aca="false">SUM(I151:M151)</f>
        <v>5</v>
      </c>
      <c r="O151" s="6" t="n">
        <v>19.24</v>
      </c>
      <c r="P151" s="18" t="n">
        <v>4</v>
      </c>
      <c r="Q151" s="18" t="n">
        <v>0.58</v>
      </c>
      <c r="R151" s="19" t="s">
        <v>81</v>
      </c>
      <c r="S151" s="4" t="s">
        <v>452</v>
      </c>
      <c r="T151" s="4" t="n">
        <v>5</v>
      </c>
      <c r="U151" s="4" t="n">
        <f aca="false">MAX(E151-T151,0)</f>
        <v>5</v>
      </c>
      <c r="V151" s="20" t="n">
        <v>87.99</v>
      </c>
      <c r="W151" s="20" t="n">
        <v>29.83</v>
      </c>
      <c r="X151" s="4" t="n">
        <v>10</v>
      </c>
      <c r="Y151" s="4"/>
      <c r="Z151" s="4"/>
    </row>
    <row r="152" customFormat="false" ht="15" hidden="false" customHeight="false" outlineLevel="0" collapsed="false">
      <c r="A152" s="4" t="s">
        <v>20</v>
      </c>
      <c r="B152" s="4" t="s">
        <v>16</v>
      </c>
      <c r="C152" s="4" t="s">
        <v>134</v>
      </c>
      <c r="D152" s="4" t="s">
        <v>135</v>
      </c>
      <c r="E152" s="4" t="n">
        <v>9</v>
      </c>
      <c r="F152" s="4" t="n">
        <v>0</v>
      </c>
      <c r="G152" s="4" t="n">
        <v>1</v>
      </c>
      <c r="H152" s="4" t="n">
        <v>0</v>
      </c>
      <c r="I152" s="4" t="n">
        <v>1</v>
      </c>
      <c r="J152" s="4" t="n">
        <v>0</v>
      </c>
      <c r="K152" s="4" t="n">
        <v>6</v>
      </c>
      <c r="L152" s="4" t="n">
        <v>1</v>
      </c>
      <c r="M152" s="4" t="n">
        <v>0</v>
      </c>
      <c r="N152" s="4" t="n">
        <f aca="false">SUM(I152:M152)</f>
        <v>8</v>
      </c>
      <c r="O152" s="6" t="n">
        <v>15.19</v>
      </c>
      <c r="P152" s="18" t="n">
        <v>3.75</v>
      </c>
      <c r="Q152" s="18" t="n">
        <v>0.56</v>
      </c>
      <c r="R152" s="19" t="s">
        <v>81</v>
      </c>
      <c r="S152" s="4" t="s">
        <v>453</v>
      </c>
      <c r="T152" s="4" t="n">
        <v>5</v>
      </c>
      <c r="U152" s="4" t="n">
        <f aca="false">MAX(E152-T152,0)</f>
        <v>4</v>
      </c>
      <c r="V152" s="20" t="n">
        <v>84.99</v>
      </c>
      <c r="W152" s="20" t="n">
        <v>29.74</v>
      </c>
      <c r="X152" s="4" t="n">
        <v>46</v>
      </c>
      <c r="Y152" s="4"/>
      <c r="Z152" s="4"/>
    </row>
    <row r="153" customFormat="false" ht="15" hidden="false" customHeight="false" outlineLevel="0" collapsed="false">
      <c r="A153" s="4" t="s">
        <v>20</v>
      </c>
      <c r="B153" s="4" t="s">
        <v>16</v>
      </c>
      <c r="C153" s="4" t="s">
        <v>454</v>
      </c>
      <c r="D153" s="4" t="s">
        <v>455</v>
      </c>
      <c r="E153" s="4" t="n">
        <v>8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8</v>
      </c>
      <c r="L153" s="4" t="n">
        <v>0</v>
      </c>
      <c r="M153" s="4" t="n">
        <v>0</v>
      </c>
      <c r="N153" s="4" t="n">
        <f aca="false">SUM(I153:M153)</f>
        <v>8</v>
      </c>
      <c r="O153" s="6" t="n">
        <v>13.17</v>
      </c>
      <c r="P153" s="18" t="n">
        <v>2.25</v>
      </c>
      <c r="Q153" s="18" t="n">
        <v>0.83</v>
      </c>
      <c r="R153" s="19" t="s">
        <v>81</v>
      </c>
      <c r="S153" s="4" t="s">
        <v>452</v>
      </c>
      <c r="T153" s="4" t="n">
        <v>5</v>
      </c>
      <c r="U153" s="4" t="n">
        <f aca="false">MAX(E153-T153,0)</f>
        <v>3</v>
      </c>
      <c r="V153" s="20" t="n">
        <v>87.99</v>
      </c>
      <c r="W153" s="20" t="n">
        <v>30.6</v>
      </c>
      <c r="X153" s="4" t="n">
        <v>12</v>
      </c>
      <c r="Y153" s="4"/>
      <c r="Z153" s="4"/>
    </row>
    <row r="154" customFormat="false" ht="15" hidden="false" customHeight="false" outlineLevel="0" collapsed="false">
      <c r="A154" s="4" t="s">
        <v>20</v>
      </c>
      <c r="B154" s="4" t="s">
        <v>16</v>
      </c>
      <c r="C154" s="4" t="s">
        <v>456</v>
      </c>
      <c r="D154" s="4" t="s">
        <v>457</v>
      </c>
      <c r="E154" s="4" t="n">
        <v>3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3</v>
      </c>
      <c r="M154" s="4" t="n">
        <v>0</v>
      </c>
      <c r="N154" s="4" t="n">
        <f aca="false">SUM(I154:M154)</f>
        <v>3</v>
      </c>
      <c r="O154" s="6" t="n">
        <v>8.21</v>
      </c>
      <c r="P154" s="18" t="n">
        <v>1.25</v>
      </c>
      <c r="Q154" s="18" t="n">
        <v>0.56</v>
      </c>
      <c r="R154" s="22" t="s">
        <v>117</v>
      </c>
      <c r="S154" s="4" t="s">
        <v>445</v>
      </c>
      <c r="T154" s="4" t="n">
        <v>0</v>
      </c>
      <c r="U154" s="4" t="n">
        <f aca="false">MAX(E154-T154,0)</f>
        <v>3</v>
      </c>
      <c r="V154" s="20"/>
      <c r="W154" s="20" t="n">
        <v>30.13</v>
      </c>
      <c r="X154" s="4" t="n">
        <v>7</v>
      </c>
      <c r="Y154" s="4" t="s">
        <v>250</v>
      </c>
      <c r="Z154" s="4"/>
    </row>
    <row r="155" customFormat="false" ht="15" hidden="false" customHeight="false" outlineLevel="0" collapsed="false">
      <c r="A155" s="4" t="s">
        <v>20</v>
      </c>
      <c r="B155" s="4" t="s">
        <v>16</v>
      </c>
      <c r="C155" s="4" t="s">
        <v>458</v>
      </c>
      <c r="D155" s="4" t="s">
        <v>459</v>
      </c>
      <c r="E155" s="4" t="n">
        <v>3</v>
      </c>
      <c r="F155" s="4" t="n">
        <v>0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2</v>
      </c>
      <c r="M155" s="4" t="n">
        <v>0</v>
      </c>
      <c r="N155" s="4" t="n">
        <f aca="false">SUM(I155:M155)</f>
        <v>2</v>
      </c>
      <c r="O155" s="6" t="n">
        <v>6.25</v>
      </c>
      <c r="P155" s="18" t="n">
        <v>0.25</v>
      </c>
      <c r="Q155" s="18" t="n">
        <v>2.8</v>
      </c>
      <c r="R155" s="22" t="s">
        <v>117</v>
      </c>
      <c r="S155" s="4" t="s">
        <v>445</v>
      </c>
      <c r="T155" s="4" t="n">
        <v>0</v>
      </c>
      <c r="U155" s="4" t="n">
        <f aca="false">MAX(E155-T155,0)</f>
        <v>3</v>
      </c>
      <c r="V155" s="20"/>
      <c r="W155" s="20" t="n">
        <v>32.1</v>
      </c>
      <c r="X155" s="4" t="n">
        <v>3</v>
      </c>
      <c r="Y155" s="4" t="s">
        <v>250</v>
      </c>
      <c r="Z155" s="4"/>
    </row>
    <row r="156" customFormat="false" ht="15" hidden="false" customHeight="false" outlineLevel="0" collapsed="false">
      <c r="A156" s="4" t="s">
        <v>20</v>
      </c>
      <c r="B156" s="4" t="s">
        <v>16</v>
      </c>
      <c r="C156" s="4" t="s">
        <v>460</v>
      </c>
      <c r="D156" s="4" t="s">
        <v>461</v>
      </c>
      <c r="E156" s="4" t="n">
        <v>3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3</v>
      </c>
      <c r="L156" s="4" t="n">
        <v>0</v>
      </c>
      <c r="M156" s="4" t="n">
        <v>0</v>
      </c>
      <c r="N156" s="4" t="n">
        <f aca="false">SUM(I156:M156)</f>
        <v>3</v>
      </c>
      <c r="O156" s="6" t="n">
        <v>5.69</v>
      </c>
      <c r="P156" s="18" t="n">
        <v>0.75</v>
      </c>
      <c r="Q156" s="18" t="n">
        <v>0.93</v>
      </c>
      <c r="R156" s="22" t="s">
        <v>117</v>
      </c>
      <c r="S156" s="4" t="s">
        <v>445</v>
      </c>
      <c r="T156" s="4" t="n">
        <v>0</v>
      </c>
      <c r="U156" s="4" t="n">
        <f aca="false">MAX(E156-T156,0)</f>
        <v>3</v>
      </c>
      <c r="V156" s="20"/>
      <c r="W156" s="20" t="n">
        <v>30.34</v>
      </c>
      <c r="X156" s="4" t="n">
        <v>3</v>
      </c>
      <c r="Y156" s="4" t="s">
        <v>250</v>
      </c>
      <c r="Z156" s="4"/>
    </row>
    <row r="157" customFormat="false" ht="15" hidden="false" customHeight="false" outlineLevel="0" collapsed="false">
      <c r="A157" s="4" t="s">
        <v>20</v>
      </c>
      <c r="B157" s="4" t="s">
        <v>16</v>
      </c>
      <c r="C157" s="4" t="s">
        <v>160</v>
      </c>
      <c r="D157" s="4" t="s">
        <v>161</v>
      </c>
      <c r="E157" s="4" t="n">
        <v>3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3</v>
      </c>
      <c r="M157" s="4" t="n">
        <v>0</v>
      </c>
      <c r="N157" s="4" t="n">
        <f aca="false">SUM(I157:M157)</f>
        <v>3</v>
      </c>
      <c r="O157" s="6" t="n">
        <v>5.17</v>
      </c>
      <c r="P157" s="18" t="n">
        <v>0.75</v>
      </c>
      <c r="Q157" s="18" t="n">
        <v>0.93</v>
      </c>
      <c r="R157" s="22" t="s">
        <v>117</v>
      </c>
      <c r="S157" s="4" t="s">
        <v>445</v>
      </c>
      <c r="T157" s="4" t="n">
        <v>0</v>
      </c>
      <c r="U157" s="4" t="n">
        <f aca="false">MAX(E157-T157,0)</f>
        <v>3</v>
      </c>
      <c r="V157" s="20"/>
      <c r="W157" s="20" t="n">
        <v>25.13</v>
      </c>
      <c r="X157" s="4" t="n">
        <v>3</v>
      </c>
      <c r="Y157" s="4" t="s">
        <v>250</v>
      </c>
      <c r="Z157" s="4"/>
    </row>
    <row r="158" customFormat="false" ht="15" hidden="false" customHeight="false" outlineLevel="0" collapsed="false">
      <c r="A158" s="4" t="s">
        <v>20</v>
      </c>
      <c r="B158" s="4" t="s">
        <v>16</v>
      </c>
      <c r="C158" s="4" t="s">
        <v>462</v>
      </c>
      <c r="D158" s="4" t="s">
        <v>463</v>
      </c>
      <c r="E158" s="4" t="n">
        <v>4</v>
      </c>
      <c r="F158" s="4" t="n">
        <v>0</v>
      </c>
      <c r="G158" s="4" t="n">
        <v>0</v>
      </c>
      <c r="H158" s="4" t="n">
        <v>1</v>
      </c>
      <c r="I158" s="4" t="n">
        <v>3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f aca="false">SUM(I158:M158)</f>
        <v>3</v>
      </c>
      <c r="O158" s="6" t="n">
        <v>4.95</v>
      </c>
      <c r="P158" s="18" t="n">
        <v>17.25</v>
      </c>
      <c r="Q158" s="18" t="n">
        <v>0.05</v>
      </c>
      <c r="R158" s="21" t="s">
        <v>103</v>
      </c>
      <c r="S158" s="4" t="s">
        <v>464</v>
      </c>
      <c r="T158" s="4" t="n">
        <v>7</v>
      </c>
      <c r="U158" s="4" t="n">
        <f aca="false">MAX(E158-T158,0)</f>
        <v>0</v>
      </c>
      <c r="V158" s="20" t="n">
        <v>84.99</v>
      </c>
      <c r="W158" s="20" t="n">
        <v>29.53</v>
      </c>
      <c r="X158" s="4" t="n">
        <v>23</v>
      </c>
      <c r="Y158" s="4"/>
      <c r="Z158" s="4"/>
    </row>
    <row r="159" customFormat="false" ht="15" hidden="false" customHeight="false" outlineLevel="0" collapsed="false">
      <c r="A159" s="4" t="s">
        <v>20</v>
      </c>
      <c r="B159" s="4" t="s">
        <v>16</v>
      </c>
      <c r="C159" s="4" t="s">
        <v>465</v>
      </c>
      <c r="D159" s="4" t="s">
        <v>466</v>
      </c>
      <c r="E159" s="4" t="n">
        <v>1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1</v>
      </c>
      <c r="M159" s="4" t="n">
        <v>0</v>
      </c>
      <c r="N159" s="4" t="n">
        <f aca="false">SUM(I159:M159)</f>
        <v>1</v>
      </c>
      <c r="O159" s="6" t="n">
        <v>2.84</v>
      </c>
      <c r="P159" s="18" t="n">
        <v>2.25</v>
      </c>
      <c r="Q159" s="18" t="n">
        <v>0.1</v>
      </c>
      <c r="R159" s="21" t="s">
        <v>103</v>
      </c>
      <c r="S159" s="4" t="s">
        <v>452</v>
      </c>
      <c r="T159" s="4" t="n">
        <v>5</v>
      </c>
      <c r="U159" s="4" t="n">
        <f aca="false">MAX(E159-T159,0)</f>
        <v>0</v>
      </c>
      <c r="V159" s="20" t="n">
        <v>87.99</v>
      </c>
      <c r="W159" s="20" t="n">
        <v>29.51</v>
      </c>
      <c r="X159" s="4" t="n">
        <v>38</v>
      </c>
      <c r="Y159" s="4"/>
      <c r="Z159" s="4"/>
    </row>
    <row r="160" customFormat="false" ht="15" hidden="false" customHeight="false" outlineLevel="0" collapsed="false">
      <c r="A160" s="4" t="s">
        <v>20</v>
      </c>
      <c r="B160" s="4" t="s">
        <v>17</v>
      </c>
      <c r="C160" s="4" t="s">
        <v>467</v>
      </c>
      <c r="D160" s="4" t="s">
        <v>468</v>
      </c>
      <c r="E160" s="4" t="n">
        <v>26</v>
      </c>
      <c r="F160" s="4" t="n">
        <v>1</v>
      </c>
      <c r="G160" s="4" t="n">
        <v>1</v>
      </c>
      <c r="H160" s="4" t="n">
        <v>0</v>
      </c>
      <c r="I160" s="4" t="n">
        <v>0</v>
      </c>
      <c r="J160" s="4" t="n">
        <v>24</v>
      </c>
      <c r="K160" s="4" t="n">
        <v>0</v>
      </c>
      <c r="L160" s="4" t="n">
        <v>0</v>
      </c>
      <c r="M160" s="4" t="n">
        <v>0</v>
      </c>
      <c r="N160" s="4" t="n">
        <f aca="false">SUM(I160:M160)</f>
        <v>24</v>
      </c>
      <c r="O160" s="6" t="n">
        <v>25.14</v>
      </c>
      <c r="P160" s="18" t="n">
        <v>19.75</v>
      </c>
      <c r="Q160" s="18" t="n">
        <v>0.31</v>
      </c>
      <c r="R160" s="22" t="s">
        <v>117</v>
      </c>
      <c r="S160" s="4" t="s">
        <v>469</v>
      </c>
      <c r="T160" s="4" t="n">
        <v>0</v>
      </c>
      <c r="U160" s="4" t="n">
        <f aca="false">MAX(E160-T160,0)</f>
        <v>26</v>
      </c>
      <c r="V160" s="20"/>
      <c r="W160" s="20" t="n">
        <v>18.05</v>
      </c>
      <c r="X160" s="4" t="n">
        <v>28</v>
      </c>
      <c r="Y160" s="4" t="s">
        <v>470</v>
      </c>
      <c r="Z160" s="4" t="s">
        <v>83</v>
      </c>
    </row>
    <row r="161" customFormat="false" ht="15" hidden="false" customHeight="false" outlineLevel="0" collapsed="false">
      <c r="A161" s="4" t="s">
        <v>20</v>
      </c>
      <c r="B161" s="4" t="s">
        <v>17</v>
      </c>
      <c r="C161" s="4" t="s">
        <v>471</v>
      </c>
      <c r="D161" s="4" t="s">
        <v>472</v>
      </c>
      <c r="E161" s="4" t="n">
        <v>14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14</v>
      </c>
      <c r="K161" s="4" t="n">
        <v>0</v>
      </c>
      <c r="L161" s="4" t="n">
        <v>0</v>
      </c>
      <c r="M161" s="4" t="n">
        <v>0</v>
      </c>
      <c r="N161" s="4" t="n">
        <f aca="false">SUM(I161:M161)</f>
        <v>14</v>
      </c>
      <c r="O161" s="6" t="n">
        <v>18.96</v>
      </c>
      <c r="P161" s="18" t="n">
        <v>21.75</v>
      </c>
      <c r="Q161" s="18" t="n">
        <v>0.15</v>
      </c>
      <c r="R161" s="22" t="s">
        <v>117</v>
      </c>
      <c r="S161" s="4" t="s">
        <v>469</v>
      </c>
      <c r="T161" s="4" t="n">
        <v>0</v>
      </c>
      <c r="U161" s="4" t="n">
        <f aca="false">MAX(E161-T161,0)</f>
        <v>14</v>
      </c>
      <c r="V161" s="20"/>
      <c r="W161" s="20" t="n">
        <v>19.65</v>
      </c>
      <c r="X161" s="4" t="n">
        <v>13</v>
      </c>
      <c r="Y161" s="4" t="s">
        <v>470</v>
      </c>
      <c r="Z161" s="4"/>
    </row>
    <row r="162" customFormat="false" ht="15" hidden="false" customHeight="false" outlineLevel="0" collapsed="false">
      <c r="A162" s="4" t="s">
        <v>20</v>
      </c>
      <c r="B162" s="4" t="s">
        <v>17</v>
      </c>
      <c r="C162" s="4" t="s">
        <v>473</v>
      </c>
      <c r="D162" s="4" t="s">
        <v>474</v>
      </c>
      <c r="E162" s="4" t="n">
        <v>6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1</v>
      </c>
      <c r="L162" s="4" t="n">
        <v>5</v>
      </c>
      <c r="M162" s="4" t="n">
        <v>0</v>
      </c>
      <c r="N162" s="4" t="n">
        <f aca="false">SUM(I162:M162)</f>
        <v>6</v>
      </c>
      <c r="O162" s="6" t="n">
        <v>17.66</v>
      </c>
      <c r="P162" s="18" t="n">
        <v>3.5</v>
      </c>
      <c r="Q162" s="18" t="n">
        <v>0.4</v>
      </c>
      <c r="R162" s="22" t="s">
        <v>117</v>
      </c>
      <c r="S162" s="4" t="s">
        <v>469</v>
      </c>
      <c r="T162" s="4" t="n">
        <v>0</v>
      </c>
      <c r="U162" s="4" t="n">
        <f aca="false">MAX(E162-T162,0)</f>
        <v>6</v>
      </c>
      <c r="V162" s="20"/>
      <c r="W162" s="20" t="n">
        <v>20.13</v>
      </c>
      <c r="X162" s="4" t="n">
        <v>54</v>
      </c>
      <c r="Y162" s="4" t="s">
        <v>470</v>
      </c>
      <c r="Z162" s="4"/>
    </row>
    <row r="163" customFormat="false" ht="15" hidden="false" customHeight="false" outlineLevel="0" collapsed="false">
      <c r="A163" s="4" t="s">
        <v>20</v>
      </c>
      <c r="B163" s="4" t="s">
        <v>17</v>
      </c>
      <c r="C163" s="4" t="s">
        <v>475</v>
      </c>
      <c r="D163" s="4" t="s">
        <v>476</v>
      </c>
      <c r="E163" s="4" t="n">
        <v>5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5</v>
      </c>
      <c r="M163" s="4" t="n">
        <v>0</v>
      </c>
      <c r="N163" s="4" t="n">
        <f aca="false">SUM(I163:M163)</f>
        <v>5</v>
      </c>
      <c r="O163" s="6" t="n">
        <v>13.27</v>
      </c>
      <c r="P163" s="18" t="n">
        <v>0</v>
      </c>
      <c r="Q163" s="18"/>
      <c r="R163" s="22" t="s">
        <v>117</v>
      </c>
      <c r="S163" s="4" t="s">
        <v>469</v>
      </c>
      <c r="T163" s="4" t="n">
        <v>0</v>
      </c>
      <c r="U163" s="4" t="n">
        <f aca="false">MAX(E163-T163,0)</f>
        <v>5</v>
      </c>
      <c r="V163" s="20"/>
      <c r="W163" s="20"/>
      <c r="X163" s="4" t="n">
        <v>5</v>
      </c>
      <c r="Y163" s="4" t="s">
        <v>470</v>
      </c>
      <c r="Z163" s="4"/>
    </row>
    <row r="164" customFormat="false" ht="15" hidden="false" customHeight="false" outlineLevel="0" collapsed="false">
      <c r="A164" s="4" t="s">
        <v>20</v>
      </c>
      <c r="B164" s="4" t="s">
        <v>17</v>
      </c>
      <c r="C164" s="4" t="s">
        <v>477</v>
      </c>
      <c r="D164" s="4" t="s">
        <v>478</v>
      </c>
      <c r="E164" s="4" t="n">
        <v>8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8</v>
      </c>
      <c r="L164" s="4" t="n">
        <v>0</v>
      </c>
      <c r="M164" s="4" t="n">
        <v>0</v>
      </c>
      <c r="N164" s="4" t="n">
        <f aca="false">SUM(I164:M164)</f>
        <v>8</v>
      </c>
      <c r="O164" s="6" t="n">
        <v>9.99</v>
      </c>
      <c r="P164" s="18" t="n">
        <v>5.25</v>
      </c>
      <c r="Q164" s="18" t="n">
        <v>0.36</v>
      </c>
      <c r="R164" s="22" t="s">
        <v>117</v>
      </c>
      <c r="S164" s="4" t="s">
        <v>469</v>
      </c>
      <c r="T164" s="4" t="n">
        <v>0</v>
      </c>
      <c r="U164" s="4" t="n">
        <f aca="false">MAX(E164-T164,0)</f>
        <v>8</v>
      </c>
      <c r="V164" s="20"/>
      <c r="W164" s="20" t="n">
        <v>20.23</v>
      </c>
      <c r="X164" s="4" t="n">
        <v>8</v>
      </c>
      <c r="Y164" s="4" t="s">
        <v>470</v>
      </c>
      <c r="Z164" s="4"/>
    </row>
    <row r="165" customFormat="false" ht="15" hidden="false" customHeight="false" outlineLevel="0" collapsed="false">
      <c r="A165" s="4" t="s">
        <v>20</v>
      </c>
      <c r="B165" s="4" t="s">
        <v>17</v>
      </c>
      <c r="C165" s="4" t="s">
        <v>196</v>
      </c>
      <c r="D165" s="4" t="s">
        <v>197</v>
      </c>
      <c r="E165" s="4" t="n">
        <v>6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1</v>
      </c>
      <c r="K165" s="4" t="n">
        <v>5</v>
      </c>
      <c r="L165" s="4" t="n">
        <v>0</v>
      </c>
      <c r="M165" s="4" t="n">
        <v>0</v>
      </c>
      <c r="N165" s="4" t="n">
        <f aca="false">SUM(I165:M165)</f>
        <v>6</v>
      </c>
      <c r="O165" s="6" t="n">
        <v>5.61</v>
      </c>
      <c r="P165" s="18" t="n">
        <v>1</v>
      </c>
      <c r="Q165" s="18" t="n">
        <v>1.4</v>
      </c>
      <c r="R165" s="22" t="s">
        <v>117</v>
      </c>
      <c r="S165" s="4" t="s">
        <v>469</v>
      </c>
      <c r="T165" s="4" t="n">
        <v>0</v>
      </c>
      <c r="U165" s="4" t="n">
        <f aca="false">MAX(E165-T165,0)</f>
        <v>6</v>
      </c>
      <c r="V165" s="20"/>
      <c r="W165" s="20" t="n">
        <v>17.28</v>
      </c>
      <c r="X165" s="4" t="n">
        <v>5</v>
      </c>
      <c r="Y165" s="4" t="s">
        <v>250</v>
      </c>
      <c r="Z165" s="4"/>
    </row>
    <row r="166" customFormat="false" ht="15" hidden="false" customHeight="false" outlineLevel="0" collapsed="false">
      <c r="A166" s="4" t="s">
        <v>20</v>
      </c>
      <c r="B166" s="4" t="s">
        <v>17</v>
      </c>
      <c r="C166" s="4" t="s">
        <v>479</v>
      </c>
      <c r="D166" s="4" t="s">
        <v>480</v>
      </c>
      <c r="E166" s="4" t="n">
        <v>2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2</v>
      </c>
      <c r="M166" s="4" t="n">
        <v>0</v>
      </c>
      <c r="N166" s="4" t="n">
        <f aca="false">SUM(I166:M166)</f>
        <v>2</v>
      </c>
      <c r="O166" s="6" t="n">
        <v>4.94</v>
      </c>
      <c r="P166" s="18" t="n">
        <v>0</v>
      </c>
      <c r="Q166" s="18"/>
      <c r="R166" s="22" t="s">
        <v>117</v>
      </c>
      <c r="S166" s="4" t="s">
        <v>469</v>
      </c>
      <c r="T166" s="4" t="n">
        <v>0</v>
      </c>
      <c r="U166" s="4" t="n">
        <f aca="false">MAX(E166-T166,0)</f>
        <v>2</v>
      </c>
      <c r="V166" s="20"/>
      <c r="W166" s="20"/>
      <c r="X166" s="4" t="n">
        <v>15</v>
      </c>
      <c r="Y166" s="4" t="s">
        <v>470</v>
      </c>
      <c r="Z166" s="4"/>
    </row>
    <row r="167" customFormat="false" ht="15" hidden="false" customHeight="false" outlineLevel="0" collapsed="false">
      <c r="A167" s="4" t="s">
        <v>20</v>
      </c>
      <c r="B167" s="4" t="s">
        <v>17</v>
      </c>
      <c r="C167" s="4" t="s">
        <v>233</v>
      </c>
      <c r="D167" s="4" t="s">
        <v>234</v>
      </c>
      <c r="E167" s="4" t="n">
        <v>5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5</v>
      </c>
      <c r="L167" s="4" t="n">
        <v>0</v>
      </c>
      <c r="M167" s="4" t="n">
        <v>0</v>
      </c>
      <c r="N167" s="4" t="n">
        <f aca="false">SUM(I167:M167)</f>
        <v>5</v>
      </c>
      <c r="O167" s="6" t="n">
        <v>4.41</v>
      </c>
      <c r="P167" s="18" t="n">
        <v>4.25</v>
      </c>
      <c r="Q167" s="18" t="n">
        <v>0.27</v>
      </c>
      <c r="R167" s="22" t="s">
        <v>117</v>
      </c>
      <c r="S167" s="4" t="s">
        <v>469</v>
      </c>
      <c r="T167" s="4" t="n">
        <v>0</v>
      </c>
      <c r="U167" s="4" t="n">
        <f aca="false">MAX(E167-T167,0)</f>
        <v>5</v>
      </c>
      <c r="V167" s="20"/>
      <c r="W167" s="20" t="n">
        <v>15.56</v>
      </c>
      <c r="X167" s="4" t="n">
        <v>4</v>
      </c>
      <c r="Y167" s="4" t="s">
        <v>250</v>
      </c>
      <c r="Z167" s="4"/>
    </row>
    <row r="168" customFormat="false" ht="15" hidden="false" customHeight="false" outlineLevel="0" collapsed="false">
      <c r="A168" s="4" t="s">
        <v>20</v>
      </c>
      <c r="B168" s="4" t="s">
        <v>17</v>
      </c>
      <c r="C168" s="4" t="s">
        <v>201</v>
      </c>
      <c r="D168" s="4" t="s">
        <v>202</v>
      </c>
      <c r="E168" s="4" t="n">
        <v>4</v>
      </c>
      <c r="F168" s="4" t="n">
        <v>0</v>
      </c>
      <c r="G168" s="4" t="n">
        <v>0</v>
      </c>
      <c r="H168" s="4" t="n">
        <v>0</v>
      </c>
      <c r="I168" s="4" t="n">
        <v>1</v>
      </c>
      <c r="J168" s="4" t="n">
        <v>0</v>
      </c>
      <c r="K168" s="4" t="n">
        <v>3</v>
      </c>
      <c r="L168" s="4" t="n">
        <v>0</v>
      </c>
      <c r="M168" s="4" t="n">
        <v>0</v>
      </c>
      <c r="N168" s="4" t="n">
        <f aca="false">SUM(I168:M168)</f>
        <v>4</v>
      </c>
      <c r="O168" s="6" t="n">
        <v>3.63</v>
      </c>
      <c r="P168" s="18" t="n">
        <v>7</v>
      </c>
      <c r="Q168" s="18" t="n">
        <v>0.13</v>
      </c>
      <c r="R168" s="22" t="s">
        <v>117</v>
      </c>
      <c r="S168" s="4" t="s">
        <v>469</v>
      </c>
      <c r="T168" s="4" t="n">
        <v>0</v>
      </c>
      <c r="U168" s="4" t="n">
        <f aca="false">MAX(E168-T168,0)</f>
        <v>4</v>
      </c>
      <c r="V168" s="20"/>
      <c r="W168" s="20" t="n">
        <v>16.88</v>
      </c>
      <c r="X168" s="4" t="n">
        <v>4</v>
      </c>
      <c r="Y168" s="4" t="s">
        <v>250</v>
      </c>
      <c r="Z168" s="4"/>
    </row>
    <row r="169" customFormat="false" ht="15" hidden="false" customHeight="false" outlineLevel="0" collapsed="false">
      <c r="A169" s="4" t="s">
        <v>20</v>
      </c>
      <c r="B169" s="4" t="s">
        <v>17</v>
      </c>
      <c r="C169" s="4" t="s">
        <v>481</v>
      </c>
      <c r="D169" s="4" t="s">
        <v>482</v>
      </c>
      <c r="E169" s="4" t="n">
        <v>11</v>
      </c>
      <c r="F169" s="4" t="n">
        <v>0</v>
      </c>
      <c r="G169" s="4" t="n">
        <v>11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f aca="false">SUM(I169:M169)</f>
        <v>0</v>
      </c>
      <c r="O169" s="6" t="n">
        <v>3.56</v>
      </c>
      <c r="P169" s="18" t="n">
        <v>6.25</v>
      </c>
      <c r="Q169" s="18" t="n">
        <v>0.41</v>
      </c>
      <c r="R169" s="22" t="s">
        <v>117</v>
      </c>
      <c r="S169" s="4" t="s">
        <v>469</v>
      </c>
      <c r="T169" s="4" t="n">
        <v>0</v>
      </c>
      <c r="U169" s="4" t="n">
        <f aca="false">MAX(E169-T169,0)</f>
        <v>11</v>
      </c>
      <c r="V169" s="20"/>
      <c r="W169" s="20" t="n">
        <v>17.65</v>
      </c>
      <c r="X169" s="4" t="n">
        <v>11</v>
      </c>
      <c r="Y169" s="4" t="s">
        <v>470</v>
      </c>
      <c r="Z169" s="4"/>
    </row>
    <row r="170" customFormat="false" ht="15" hidden="false" customHeight="false" outlineLevel="0" collapsed="false">
      <c r="A170" s="4" t="s">
        <v>20</v>
      </c>
      <c r="B170" s="4" t="s">
        <v>17</v>
      </c>
      <c r="C170" s="4" t="s">
        <v>177</v>
      </c>
      <c r="D170" s="4" t="s">
        <v>178</v>
      </c>
      <c r="E170" s="4" t="n">
        <v>3</v>
      </c>
      <c r="F170" s="4" t="n">
        <v>1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2</v>
      </c>
      <c r="L170" s="4" t="n">
        <v>0</v>
      </c>
      <c r="M170" s="4" t="n">
        <v>0</v>
      </c>
      <c r="N170" s="4" t="n">
        <f aca="false">SUM(I170:M170)</f>
        <v>2</v>
      </c>
      <c r="O170" s="6" t="n">
        <v>3.01</v>
      </c>
      <c r="P170" s="18" t="n">
        <v>17.25</v>
      </c>
      <c r="Q170" s="18" t="n">
        <v>0.04</v>
      </c>
      <c r="R170" s="22" t="s">
        <v>117</v>
      </c>
      <c r="S170" s="4" t="s">
        <v>469</v>
      </c>
      <c r="T170" s="4" t="n">
        <v>0</v>
      </c>
      <c r="U170" s="4" t="n">
        <f aca="false">MAX(E170-T170,0)</f>
        <v>3</v>
      </c>
      <c r="V170" s="20"/>
      <c r="W170" s="20" t="n">
        <v>18.12</v>
      </c>
      <c r="X170" s="4" t="n">
        <v>3</v>
      </c>
      <c r="Y170" s="4" t="s">
        <v>470</v>
      </c>
      <c r="Z170" s="4"/>
    </row>
    <row r="171" customFormat="false" ht="15" hidden="false" customHeight="false" outlineLevel="0" collapsed="false">
      <c r="A171" s="4" t="s">
        <v>20</v>
      </c>
      <c r="B171" s="4" t="s">
        <v>17</v>
      </c>
      <c r="C171" s="4" t="s">
        <v>483</v>
      </c>
      <c r="D171" s="4" t="s">
        <v>484</v>
      </c>
      <c r="E171" s="4" t="n">
        <v>7</v>
      </c>
      <c r="F171" s="4" t="n">
        <v>7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f aca="false">SUM(I171:M171)</f>
        <v>0</v>
      </c>
      <c r="O171" s="6" t="n">
        <v>1.09</v>
      </c>
      <c r="P171" s="18" t="n">
        <v>1.75</v>
      </c>
      <c r="Q171" s="18" t="n">
        <v>0.93</v>
      </c>
      <c r="R171" s="22" t="s">
        <v>117</v>
      </c>
      <c r="S171" s="4" t="s">
        <v>469</v>
      </c>
      <c r="T171" s="4" t="n">
        <v>0</v>
      </c>
      <c r="U171" s="4" t="n">
        <f aca="false">MAX(E171-T171,0)</f>
        <v>7</v>
      </c>
      <c r="V171" s="20"/>
      <c r="W171" s="20" t="n">
        <v>19.52</v>
      </c>
      <c r="X171" s="4" t="n">
        <v>7</v>
      </c>
      <c r="Y171" s="4" t="s">
        <v>250</v>
      </c>
      <c r="Z171" s="4"/>
    </row>
    <row r="172" customFormat="false" ht="15" hidden="false" customHeight="false" outlineLevel="0" collapsed="false">
      <c r="A172" s="4" t="s">
        <v>20</v>
      </c>
      <c r="B172" s="4" t="s">
        <v>17</v>
      </c>
      <c r="C172" s="4" t="s">
        <v>227</v>
      </c>
      <c r="D172" s="4" t="s">
        <v>228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0</v>
      </c>
      <c r="M172" s="4" t="n">
        <v>0</v>
      </c>
      <c r="N172" s="4" t="n">
        <f aca="false">SUM(I172:M172)</f>
        <v>1</v>
      </c>
      <c r="O172" s="6" t="n">
        <v>0.93</v>
      </c>
      <c r="P172" s="18" t="n">
        <v>1</v>
      </c>
      <c r="Q172" s="18"/>
      <c r="R172" s="22" t="s">
        <v>117</v>
      </c>
      <c r="S172" s="4" t="s">
        <v>469</v>
      </c>
      <c r="T172" s="4" t="n">
        <v>0</v>
      </c>
      <c r="U172" s="4" t="n">
        <f aca="false">MAX(E172-T172,0)</f>
        <v>1</v>
      </c>
      <c r="V172" s="20"/>
      <c r="W172" s="20"/>
      <c r="X172" s="4" t="n">
        <v>0</v>
      </c>
      <c r="Y172" s="4" t="s">
        <v>250</v>
      </c>
      <c r="Z172" s="4"/>
    </row>
    <row r="173" customFormat="false" ht="15" hidden="false" customHeight="false" outlineLevel="0" collapsed="false">
      <c r="A173" s="4" t="s">
        <v>20</v>
      </c>
      <c r="B173" s="4" t="s">
        <v>17</v>
      </c>
      <c r="C173" s="4" t="s">
        <v>213</v>
      </c>
      <c r="D173" s="4" t="s">
        <v>214</v>
      </c>
      <c r="E173" s="4" t="n">
        <v>4</v>
      </c>
      <c r="F173" s="4" t="n">
        <v>1</v>
      </c>
      <c r="G173" s="4" t="n">
        <v>3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f aca="false">SUM(I173:M173)</f>
        <v>0</v>
      </c>
      <c r="O173" s="6" t="n">
        <v>0.9</v>
      </c>
      <c r="P173" s="18" t="n">
        <v>11.25</v>
      </c>
      <c r="Q173" s="18" t="n">
        <v>0.08</v>
      </c>
      <c r="R173" s="22" t="s">
        <v>117</v>
      </c>
      <c r="S173" s="4" t="s">
        <v>469</v>
      </c>
      <c r="T173" s="4" t="n">
        <v>0</v>
      </c>
      <c r="U173" s="4" t="n">
        <f aca="false">MAX(E173-T173,0)</f>
        <v>4</v>
      </c>
      <c r="V173" s="20"/>
      <c r="W173" s="20" t="n">
        <v>16.83</v>
      </c>
      <c r="X173" s="4" t="n">
        <v>1</v>
      </c>
      <c r="Y173" s="4" t="s">
        <v>250</v>
      </c>
      <c r="Z173" s="4"/>
    </row>
    <row r="174" customFormat="false" ht="15" hidden="false" customHeight="false" outlineLevel="0" collapsed="false">
      <c r="A174" s="4" t="s">
        <v>20</v>
      </c>
      <c r="B174" s="4" t="s">
        <v>17</v>
      </c>
      <c r="C174" s="4" t="s">
        <v>485</v>
      </c>
      <c r="D174" s="4" t="s">
        <v>486</v>
      </c>
      <c r="E174" s="4" t="n">
        <v>2</v>
      </c>
      <c r="F174" s="4" t="n">
        <v>1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f aca="false">SUM(I174:M174)</f>
        <v>0</v>
      </c>
      <c r="O174" s="6" t="n">
        <v>0.78</v>
      </c>
      <c r="P174" s="18" t="n">
        <v>0.25</v>
      </c>
      <c r="Q174" s="18" t="n">
        <v>1.87</v>
      </c>
      <c r="R174" s="22" t="s">
        <v>117</v>
      </c>
      <c r="S174" s="4" t="s">
        <v>469</v>
      </c>
      <c r="T174" s="4" t="n">
        <v>0</v>
      </c>
      <c r="U174" s="4" t="n">
        <f aca="false">MAX(E174-T174,0)</f>
        <v>2</v>
      </c>
      <c r="V174" s="20"/>
      <c r="W174" s="20" t="n">
        <v>18.56</v>
      </c>
      <c r="X174" s="4" t="n">
        <v>2</v>
      </c>
      <c r="Y174" s="4" t="s">
        <v>250</v>
      </c>
      <c r="Z174" s="4"/>
    </row>
    <row r="175" customFormat="false" ht="15" hidden="false" customHeight="false" outlineLevel="0" collapsed="false">
      <c r="A175" s="4" t="s">
        <v>20</v>
      </c>
      <c r="B175" s="4" t="s">
        <v>17</v>
      </c>
      <c r="C175" s="4" t="s">
        <v>224</v>
      </c>
      <c r="D175" s="4" t="s">
        <v>225</v>
      </c>
      <c r="E175" s="4" t="n">
        <v>3</v>
      </c>
      <c r="F175" s="4" t="n">
        <v>0</v>
      </c>
      <c r="G175" s="4" t="n">
        <v>3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f aca="false">SUM(I175:M175)</f>
        <v>0</v>
      </c>
      <c r="O175" s="6" t="n">
        <v>0.62</v>
      </c>
      <c r="P175" s="18" t="n">
        <v>0.5</v>
      </c>
      <c r="Q175" s="18" t="n">
        <v>1.4</v>
      </c>
      <c r="R175" s="22" t="s">
        <v>117</v>
      </c>
      <c r="S175" s="4" t="s">
        <v>469</v>
      </c>
      <c r="T175" s="4" t="n">
        <v>0</v>
      </c>
      <c r="U175" s="4" t="n">
        <f aca="false">MAX(E175-T175,0)</f>
        <v>3</v>
      </c>
      <c r="V175" s="20"/>
      <c r="W175" s="20" t="n">
        <v>15.58</v>
      </c>
      <c r="X175" s="4" t="n">
        <v>8</v>
      </c>
      <c r="Y175" s="4" t="s">
        <v>250</v>
      </c>
      <c r="Z175" s="4"/>
    </row>
    <row r="176" customFormat="false" ht="15" hidden="false" customHeight="false" outlineLevel="0" collapsed="false">
      <c r="A176" s="4" t="s">
        <v>20</v>
      </c>
      <c r="B176" s="4" t="s">
        <v>17</v>
      </c>
      <c r="C176" s="4" t="s">
        <v>206</v>
      </c>
      <c r="D176" s="4" t="s">
        <v>207</v>
      </c>
      <c r="E176" s="4" t="n">
        <v>2</v>
      </c>
      <c r="F176" s="4" t="n">
        <v>2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f aca="false">SUM(I176:M176)</f>
        <v>0</v>
      </c>
      <c r="O176" s="6" t="n">
        <v>0.49</v>
      </c>
      <c r="P176" s="18" t="n">
        <v>27</v>
      </c>
      <c r="Q176" s="18" t="n">
        <v>0.02</v>
      </c>
      <c r="R176" s="21" t="s">
        <v>103</v>
      </c>
      <c r="S176" s="4" t="s">
        <v>487</v>
      </c>
      <c r="T176" s="4" t="n">
        <v>5</v>
      </c>
      <c r="U176" s="4" t="n">
        <f aca="false">MAX(E176-T176,0)</f>
        <v>0</v>
      </c>
      <c r="V176" s="20" t="n">
        <v>42.79</v>
      </c>
      <c r="W176" s="20" t="n">
        <v>19.92</v>
      </c>
      <c r="X176" s="4" t="n">
        <v>60</v>
      </c>
      <c r="Y176" s="4"/>
      <c r="Z176" s="4"/>
    </row>
    <row r="177" customFormat="false" ht="15" hidden="false" customHeight="false" outlineLevel="0" collapsed="false">
      <c r="A177" s="4" t="s">
        <v>20</v>
      </c>
      <c r="B177" s="4" t="s">
        <v>17</v>
      </c>
      <c r="C177" s="4" t="s">
        <v>488</v>
      </c>
      <c r="D177" s="4" t="s">
        <v>489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f aca="false">SUM(I177:M177)</f>
        <v>0</v>
      </c>
      <c r="O177" s="6" t="n">
        <v>0.46</v>
      </c>
      <c r="P177" s="18" t="n">
        <v>10</v>
      </c>
      <c r="Q177" s="18" t="n">
        <v>0.02</v>
      </c>
      <c r="R177" s="22" t="s">
        <v>117</v>
      </c>
      <c r="S177" s="4" t="s">
        <v>469</v>
      </c>
      <c r="T177" s="4" t="n">
        <v>0</v>
      </c>
      <c r="U177" s="4" t="n">
        <f aca="false">MAX(E177-T177,0)</f>
        <v>1</v>
      </c>
      <c r="V177" s="20"/>
      <c r="W177" s="20" t="n">
        <v>19.56</v>
      </c>
      <c r="X177" s="4" t="n">
        <v>31</v>
      </c>
      <c r="Y177" s="4" t="s">
        <v>470</v>
      </c>
      <c r="Z177" s="4"/>
    </row>
    <row r="178" customFormat="false" ht="15" hidden="false" customHeight="false" outlineLevel="0" collapsed="false">
      <c r="A178" s="4" t="s">
        <v>20</v>
      </c>
      <c r="B178" s="4" t="s">
        <v>17</v>
      </c>
      <c r="C178" s="4" t="s">
        <v>490</v>
      </c>
      <c r="D178" s="4" t="s">
        <v>491</v>
      </c>
      <c r="E178" s="4" t="n">
        <v>4</v>
      </c>
      <c r="F178" s="4" t="n">
        <v>4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f aca="false">SUM(I178:M178)</f>
        <v>0</v>
      </c>
      <c r="O178" s="6" t="n">
        <v>0.45</v>
      </c>
      <c r="P178" s="18" t="n">
        <v>2.25</v>
      </c>
      <c r="Q178" s="18" t="n">
        <v>0.41</v>
      </c>
      <c r="R178" s="22" t="s">
        <v>117</v>
      </c>
      <c r="S178" s="4" t="s">
        <v>469</v>
      </c>
      <c r="T178" s="4" t="n">
        <v>0</v>
      </c>
      <c r="U178" s="4" t="n">
        <f aca="false">MAX(E178-T178,0)</f>
        <v>4</v>
      </c>
      <c r="V178" s="20"/>
      <c r="W178" s="20" t="n">
        <v>16.64</v>
      </c>
      <c r="X178" s="4" t="n">
        <v>5</v>
      </c>
      <c r="Y178" s="4" t="s">
        <v>250</v>
      </c>
      <c r="Z178" s="4"/>
    </row>
    <row r="179" customFormat="false" ht="15" hidden="false" customHeight="false" outlineLevel="0" collapsed="false">
      <c r="A179" s="4" t="s">
        <v>20</v>
      </c>
      <c r="B179" s="4" t="s">
        <v>17</v>
      </c>
      <c r="C179" s="4" t="s">
        <v>265</v>
      </c>
      <c r="D179" s="4" t="s">
        <v>266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f aca="false">SUM(I179:M179)</f>
        <v>0</v>
      </c>
      <c r="O179" s="6" t="n">
        <v>0.24</v>
      </c>
      <c r="P179" s="18" t="n">
        <v>9.25</v>
      </c>
      <c r="Q179" s="18" t="n">
        <v>0.03</v>
      </c>
      <c r="R179" s="22" t="s">
        <v>117</v>
      </c>
      <c r="S179" s="4" t="s">
        <v>469</v>
      </c>
      <c r="T179" s="4" t="n">
        <v>0</v>
      </c>
      <c r="U179" s="4" t="n">
        <f aca="false">MAX(E179-T179,0)</f>
        <v>1</v>
      </c>
      <c r="V179" s="20"/>
      <c r="W179" s="20" t="n">
        <v>16.82</v>
      </c>
      <c r="X179" s="4" t="n">
        <v>1</v>
      </c>
      <c r="Y179" s="4" t="s">
        <v>250</v>
      </c>
      <c r="Z179" s="4"/>
    </row>
    <row r="180" customFormat="false" ht="15" hidden="false" customHeight="false" outlineLevel="0" collapsed="false">
      <c r="A180" s="4" t="s">
        <v>20</v>
      </c>
      <c r="B180" s="4" t="s">
        <v>17</v>
      </c>
      <c r="C180" s="4" t="s">
        <v>276</v>
      </c>
      <c r="D180" s="4" t="s">
        <v>277</v>
      </c>
      <c r="E180" s="4" t="n">
        <v>2</v>
      </c>
      <c r="F180" s="4" t="n">
        <v>2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f aca="false">SUM(I180:M180)</f>
        <v>0</v>
      </c>
      <c r="O180" s="6" t="n">
        <v>0.21</v>
      </c>
      <c r="P180" s="18" t="n">
        <v>2.5</v>
      </c>
      <c r="Q180" s="18" t="n">
        <v>0.19</v>
      </c>
      <c r="R180" s="21" t="s">
        <v>103</v>
      </c>
      <c r="S180" s="4" t="s">
        <v>492</v>
      </c>
      <c r="T180" s="4" t="n">
        <v>5</v>
      </c>
      <c r="U180" s="4" t="n">
        <f aca="false">MAX(E180-T180,0)</f>
        <v>0</v>
      </c>
      <c r="V180" s="20" t="n">
        <v>39.59</v>
      </c>
      <c r="W180" s="20" t="n">
        <v>16.63</v>
      </c>
      <c r="X180" s="4" t="n">
        <v>20</v>
      </c>
      <c r="Y180" s="4"/>
      <c r="Z180" s="4"/>
    </row>
    <row r="181" customFormat="false" ht="15" hidden="false" customHeight="false" outlineLevel="0" collapsed="false">
      <c r="A181" s="4" t="s">
        <v>20</v>
      </c>
      <c r="B181" s="4" t="s">
        <v>18</v>
      </c>
      <c r="C181" s="4" t="s">
        <v>493</v>
      </c>
      <c r="D181" s="4" t="s">
        <v>494</v>
      </c>
      <c r="E181" s="4" t="n">
        <v>26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25</v>
      </c>
      <c r="K181" s="4" t="n">
        <v>0</v>
      </c>
      <c r="L181" s="4" t="n">
        <v>0</v>
      </c>
      <c r="M181" s="4" t="n">
        <v>0</v>
      </c>
      <c r="N181" s="4" t="n">
        <f aca="false">SUM(I181:M181)</f>
        <v>26</v>
      </c>
      <c r="O181" s="6" t="n">
        <v>33.23</v>
      </c>
      <c r="P181" s="18" t="n">
        <v>3.75</v>
      </c>
      <c r="Q181" s="18" t="n">
        <v>1.62</v>
      </c>
      <c r="R181" s="19" t="s">
        <v>81</v>
      </c>
      <c r="S181" s="4" t="s">
        <v>495</v>
      </c>
      <c r="T181" s="4" t="n">
        <v>5</v>
      </c>
      <c r="U181" s="4" t="n">
        <f aca="false">MAX(E181-T181,0)</f>
        <v>21</v>
      </c>
      <c r="V181" s="20" t="n">
        <v>42.74</v>
      </c>
      <c r="W181" s="20" t="n">
        <v>20.26</v>
      </c>
      <c r="X181" s="4" t="n">
        <v>27</v>
      </c>
      <c r="Y181" s="4"/>
      <c r="Z181" s="4" t="s">
        <v>83</v>
      </c>
    </row>
    <row r="182" customFormat="false" ht="15" hidden="false" customHeight="false" outlineLevel="0" collapsed="false">
      <c r="A182" s="4" t="s">
        <v>20</v>
      </c>
      <c r="B182" s="4" t="s">
        <v>18</v>
      </c>
      <c r="C182" s="4" t="s">
        <v>359</v>
      </c>
      <c r="D182" s="4" t="s">
        <v>360</v>
      </c>
      <c r="E182" s="4" t="n">
        <v>22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21</v>
      </c>
      <c r="L182" s="4" t="n">
        <v>0</v>
      </c>
      <c r="M182" s="4" t="n">
        <v>0</v>
      </c>
      <c r="N182" s="4" t="n">
        <f aca="false">SUM(I182:M182)</f>
        <v>21</v>
      </c>
      <c r="O182" s="6" t="n">
        <v>25</v>
      </c>
      <c r="P182" s="18" t="n">
        <v>0.75</v>
      </c>
      <c r="Q182" s="18" t="n">
        <v>6.85</v>
      </c>
      <c r="R182" s="19" t="s">
        <v>81</v>
      </c>
      <c r="S182" s="4" t="s">
        <v>495</v>
      </c>
      <c r="T182" s="4" t="n">
        <v>5</v>
      </c>
      <c r="U182" s="4" t="n">
        <f aca="false">MAX(E182-T182,0)</f>
        <v>17</v>
      </c>
      <c r="V182" s="20" t="n">
        <v>42.74</v>
      </c>
      <c r="W182" s="20" t="n">
        <v>22.98</v>
      </c>
      <c r="X182" s="4" t="n">
        <v>22</v>
      </c>
      <c r="Y182" s="4"/>
      <c r="Z182" s="4"/>
    </row>
    <row r="183" customFormat="false" ht="15" hidden="false" customHeight="false" outlineLevel="0" collapsed="false">
      <c r="A183" s="4" t="s">
        <v>20</v>
      </c>
      <c r="B183" s="4" t="s">
        <v>18</v>
      </c>
      <c r="C183" s="4" t="s">
        <v>496</v>
      </c>
      <c r="D183" s="4" t="s">
        <v>497</v>
      </c>
      <c r="E183" s="4" t="n">
        <v>16</v>
      </c>
      <c r="F183" s="4" t="n">
        <v>0</v>
      </c>
      <c r="G183" s="4" t="n">
        <v>0</v>
      </c>
      <c r="H183" s="4" t="n">
        <v>1</v>
      </c>
      <c r="I183" s="4" t="n">
        <v>2</v>
      </c>
      <c r="J183" s="4" t="n">
        <v>0</v>
      </c>
      <c r="K183" s="4" t="n">
        <v>13</v>
      </c>
      <c r="L183" s="4" t="n">
        <v>0</v>
      </c>
      <c r="M183" s="4" t="n">
        <v>0</v>
      </c>
      <c r="N183" s="4" t="n">
        <f aca="false">SUM(I183:M183)</f>
        <v>15</v>
      </c>
      <c r="O183" s="6" t="n">
        <v>17.45</v>
      </c>
      <c r="P183" s="18" t="n">
        <v>0.25</v>
      </c>
      <c r="Q183" s="18" t="n">
        <v>14.95</v>
      </c>
      <c r="R183" s="19" t="s">
        <v>81</v>
      </c>
      <c r="S183" s="4" t="s">
        <v>498</v>
      </c>
      <c r="T183" s="4" t="n">
        <v>5</v>
      </c>
      <c r="U183" s="4" t="n">
        <f aca="false">MAX(E183-T183,0)</f>
        <v>11</v>
      </c>
      <c r="V183" s="20" t="n">
        <v>42.23</v>
      </c>
      <c r="W183" s="20" t="n">
        <v>31.31</v>
      </c>
      <c r="X183" s="4" t="n">
        <v>16</v>
      </c>
      <c r="Y183" s="4"/>
      <c r="Z183" s="4"/>
    </row>
    <row r="184" customFormat="false" ht="15" hidden="false" customHeight="false" outlineLevel="0" collapsed="false">
      <c r="A184" s="4" t="s">
        <v>20</v>
      </c>
      <c r="B184" s="4" t="s">
        <v>18</v>
      </c>
      <c r="C184" s="4" t="s">
        <v>499</v>
      </c>
      <c r="D184" s="4" t="s">
        <v>500</v>
      </c>
      <c r="E184" s="4" t="n">
        <v>7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7</v>
      </c>
      <c r="M184" s="4" t="n">
        <v>0</v>
      </c>
      <c r="N184" s="4" t="n">
        <f aca="false">SUM(I184:M184)</f>
        <v>7</v>
      </c>
      <c r="O184" s="6" t="n">
        <v>16.42</v>
      </c>
      <c r="P184" s="18" t="n">
        <v>3.25</v>
      </c>
      <c r="Q184" s="18" t="n">
        <v>0.5</v>
      </c>
      <c r="R184" s="22" t="s">
        <v>117</v>
      </c>
      <c r="S184" s="4" t="s">
        <v>501</v>
      </c>
      <c r="T184" s="4" t="n">
        <v>0</v>
      </c>
      <c r="U184" s="4" t="n">
        <f aca="false">MAX(E184-T184,0)</f>
        <v>7</v>
      </c>
      <c r="V184" s="20"/>
      <c r="W184" s="20" t="n">
        <v>20.14</v>
      </c>
      <c r="X184" s="4" t="n">
        <v>9</v>
      </c>
      <c r="Y184" s="4" t="s">
        <v>250</v>
      </c>
      <c r="Z184" s="4"/>
    </row>
    <row r="185" customFormat="false" ht="15" hidden="false" customHeight="false" outlineLevel="0" collapsed="false">
      <c r="A185" s="4" t="s">
        <v>20</v>
      </c>
      <c r="B185" s="4" t="s">
        <v>18</v>
      </c>
      <c r="C185" s="4" t="s">
        <v>502</v>
      </c>
      <c r="D185" s="4" t="s">
        <v>503</v>
      </c>
      <c r="E185" s="4" t="n">
        <v>9</v>
      </c>
      <c r="F185" s="4" t="n">
        <v>0</v>
      </c>
      <c r="G185" s="4" t="n">
        <v>0</v>
      </c>
      <c r="H185" s="4" t="n">
        <v>1</v>
      </c>
      <c r="I185" s="4" t="n">
        <v>1</v>
      </c>
      <c r="J185" s="4" t="n">
        <v>7</v>
      </c>
      <c r="K185" s="4" t="n">
        <v>0</v>
      </c>
      <c r="L185" s="4" t="n">
        <v>0</v>
      </c>
      <c r="M185" s="4" t="n">
        <v>0</v>
      </c>
      <c r="N185" s="4" t="n">
        <f aca="false">SUM(I185:M185)</f>
        <v>8</v>
      </c>
      <c r="O185" s="6" t="n">
        <v>14.91</v>
      </c>
      <c r="P185" s="18" t="n">
        <v>1.25</v>
      </c>
      <c r="Q185" s="18" t="n">
        <v>1.68</v>
      </c>
      <c r="R185" s="22" t="s">
        <v>117</v>
      </c>
      <c r="S185" s="4" t="s">
        <v>501</v>
      </c>
      <c r="T185" s="4" t="n">
        <v>0</v>
      </c>
      <c r="U185" s="4" t="n">
        <f aca="false">MAX(E185-T185,0)</f>
        <v>9</v>
      </c>
      <c r="V185" s="20"/>
      <c r="W185" s="20" t="n">
        <v>21.28</v>
      </c>
      <c r="X185" s="4" t="n">
        <v>3</v>
      </c>
      <c r="Y185" s="4" t="s">
        <v>250</v>
      </c>
      <c r="Z185" s="4"/>
    </row>
    <row r="186" customFormat="false" ht="15" hidden="false" customHeight="false" outlineLevel="0" collapsed="false">
      <c r="A186" s="4" t="s">
        <v>20</v>
      </c>
      <c r="B186" s="4" t="s">
        <v>18</v>
      </c>
      <c r="C186" s="4" t="s">
        <v>319</v>
      </c>
      <c r="D186" s="4" t="s">
        <v>320</v>
      </c>
      <c r="E186" s="4" t="n">
        <v>7</v>
      </c>
      <c r="F186" s="4" t="n">
        <v>1</v>
      </c>
      <c r="G186" s="4" t="n">
        <v>0</v>
      </c>
      <c r="H186" s="4" t="n">
        <v>0</v>
      </c>
      <c r="I186" s="4" t="n">
        <v>1</v>
      </c>
      <c r="J186" s="4" t="n">
        <v>0</v>
      </c>
      <c r="K186" s="4" t="n">
        <v>0</v>
      </c>
      <c r="L186" s="4" t="n">
        <v>5</v>
      </c>
      <c r="M186" s="4" t="n">
        <v>0</v>
      </c>
      <c r="N186" s="4" t="n">
        <f aca="false">SUM(I186:M186)</f>
        <v>6</v>
      </c>
      <c r="O186" s="6" t="n">
        <v>11.51</v>
      </c>
      <c r="P186" s="18" t="n">
        <v>2</v>
      </c>
      <c r="Q186" s="18" t="n">
        <v>0.82</v>
      </c>
      <c r="R186" s="22" t="s">
        <v>117</v>
      </c>
      <c r="S186" s="4" t="s">
        <v>501</v>
      </c>
      <c r="T186" s="4" t="n">
        <v>0</v>
      </c>
      <c r="U186" s="4" t="n">
        <f aca="false">MAX(E186-T186,0)</f>
        <v>7</v>
      </c>
      <c r="V186" s="20"/>
      <c r="W186" s="20" t="n">
        <v>18.08</v>
      </c>
      <c r="X186" s="4" t="n">
        <v>8</v>
      </c>
      <c r="Y186" s="4" t="s">
        <v>250</v>
      </c>
      <c r="Z186" s="4"/>
    </row>
    <row r="187" customFormat="false" ht="15" hidden="false" customHeight="false" outlineLevel="0" collapsed="false">
      <c r="A187" s="4" t="s">
        <v>20</v>
      </c>
      <c r="B187" s="4" t="s">
        <v>18</v>
      </c>
      <c r="C187" s="4" t="s">
        <v>300</v>
      </c>
      <c r="D187" s="4" t="s">
        <v>301</v>
      </c>
      <c r="E187" s="4" t="n">
        <v>7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7</v>
      </c>
      <c r="K187" s="4" t="n">
        <v>0</v>
      </c>
      <c r="L187" s="4" t="n">
        <v>0</v>
      </c>
      <c r="M187" s="4" t="n">
        <v>0</v>
      </c>
      <c r="N187" s="4" t="n">
        <f aca="false">SUM(I187:M187)</f>
        <v>7</v>
      </c>
      <c r="O187" s="6" t="n">
        <v>10.54</v>
      </c>
      <c r="P187" s="18" t="n">
        <v>0.75</v>
      </c>
      <c r="Q187" s="18" t="n">
        <v>2.18</v>
      </c>
      <c r="R187" s="22" t="s">
        <v>117</v>
      </c>
      <c r="S187" s="4" t="s">
        <v>501</v>
      </c>
      <c r="T187" s="4" t="n">
        <v>0</v>
      </c>
      <c r="U187" s="4" t="n">
        <f aca="false">MAX(E187-T187,0)</f>
        <v>7</v>
      </c>
      <c r="V187" s="20"/>
      <c r="W187" s="20" t="n">
        <v>19.93</v>
      </c>
      <c r="X187" s="4" t="n">
        <v>8</v>
      </c>
      <c r="Y187" s="4" t="s">
        <v>250</v>
      </c>
      <c r="Z187" s="4"/>
    </row>
    <row r="188" customFormat="false" ht="15" hidden="false" customHeight="false" outlineLevel="0" collapsed="false">
      <c r="A188" s="4" t="s">
        <v>20</v>
      </c>
      <c r="B188" s="4" t="s">
        <v>18</v>
      </c>
      <c r="C188" s="4" t="s">
        <v>373</v>
      </c>
      <c r="D188" s="4" t="s">
        <v>374</v>
      </c>
      <c r="E188" s="4" t="n">
        <v>5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5</v>
      </c>
      <c r="M188" s="4" t="n">
        <v>0</v>
      </c>
      <c r="N188" s="4" t="n">
        <f aca="false">SUM(I188:M188)</f>
        <v>5</v>
      </c>
      <c r="O188" s="6" t="n">
        <v>9.69</v>
      </c>
      <c r="P188" s="18" t="n">
        <v>0.5</v>
      </c>
      <c r="Q188" s="18" t="n">
        <v>2.34</v>
      </c>
      <c r="R188" s="21" t="s">
        <v>103</v>
      </c>
      <c r="S188" s="4" t="s">
        <v>504</v>
      </c>
      <c r="T188" s="4" t="n">
        <v>5</v>
      </c>
      <c r="U188" s="4" t="n">
        <f aca="false">MAX(E188-T188,0)</f>
        <v>0</v>
      </c>
      <c r="V188" s="20" t="n">
        <v>34.19</v>
      </c>
      <c r="W188" s="20" t="n">
        <v>18.22</v>
      </c>
      <c r="X188" s="4" t="n">
        <v>11</v>
      </c>
      <c r="Y188" s="4"/>
      <c r="Z188" s="4"/>
    </row>
    <row r="189" customFormat="false" ht="15" hidden="false" customHeight="false" outlineLevel="0" collapsed="false">
      <c r="A189" s="4" t="s">
        <v>20</v>
      </c>
      <c r="B189" s="4" t="s">
        <v>18</v>
      </c>
      <c r="C189" s="4" t="s">
        <v>321</v>
      </c>
      <c r="D189" s="4" t="s">
        <v>322</v>
      </c>
      <c r="E189" s="4" t="n">
        <v>3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3</v>
      </c>
      <c r="M189" s="4" t="n">
        <v>0</v>
      </c>
      <c r="N189" s="4" t="n">
        <f aca="false">SUM(I189:M189)</f>
        <v>3</v>
      </c>
      <c r="O189" s="6" t="n">
        <v>9.26</v>
      </c>
      <c r="P189" s="18" t="n">
        <v>0</v>
      </c>
      <c r="Q189" s="18"/>
      <c r="R189" s="22" t="s">
        <v>117</v>
      </c>
      <c r="S189" s="4" t="s">
        <v>501</v>
      </c>
      <c r="T189" s="4" t="n">
        <v>0</v>
      </c>
      <c r="U189" s="4" t="n">
        <f aca="false">MAX(E189-T189,0)</f>
        <v>3</v>
      </c>
      <c r="V189" s="20"/>
      <c r="W189" s="20"/>
      <c r="X189" s="4" t="n">
        <v>9</v>
      </c>
      <c r="Y189" s="4" t="s">
        <v>250</v>
      </c>
      <c r="Z189" s="4"/>
    </row>
    <row r="190" customFormat="false" ht="15" hidden="false" customHeight="false" outlineLevel="0" collapsed="false">
      <c r="A190" s="4" t="s">
        <v>20</v>
      </c>
      <c r="B190" s="4" t="s">
        <v>18</v>
      </c>
      <c r="C190" s="4" t="s">
        <v>505</v>
      </c>
      <c r="D190" s="4" t="s">
        <v>506</v>
      </c>
      <c r="E190" s="4" t="n">
        <v>6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6</v>
      </c>
      <c r="K190" s="4" t="n">
        <v>0</v>
      </c>
      <c r="L190" s="4" t="n">
        <v>0</v>
      </c>
      <c r="M190" s="4" t="n">
        <v>0</v>
      </c>
      <c r="N190" s="4" t="n">
        <f aca="false">SUM(I190:M190)</f>
        <v>6</v>
      </c>
      <c r="O190" s="6" t="n">
        <v>9.21</v>
      </c>
      <c r="P190" s="18" t="n">
        <v>0</v>
      </c>
      <c r="Q190" s="18"/>
      <c r="R190" s="22" t="s">
        <v>117</v>
      </c>
      <c r="S190" s="4" t="s">
        <v>501</v>
      </c>
      <c r="T190" s="4" t="n">
        <v>0</v>
      </c>
      <c r="U190" s="4" t="n">
        <f aca="false">MAX(E190-T190,0)</f>
        <v>6</v>
      </c>
      <c r="V190" s="20"/>
      <c r="W190" s="20"/>
      <c r="X190" s="4" t="n">
        <v>6</v>
      </c>
      <c r="Y190" s="4" t="s">
        <v>250</v>
      </c>
      <c r="Z190" s="4"/>
    </row>
    <row r="191" customFormat="false" ht="15" hidden="false" customHeight="false" outlineLevel="0" collapsed="false">
      <c r="A191" s="4" t="s">
        <v>20</v>
      </c>
      <c r="B191" s="4" t="s">
        <v>18</v>
      </c>
      <c r="C191" s="4" t="s">
        <v>310</v>
      </c>
      <c r="D191" s="4" t="s">
        <v>311</v>
      </c>
      <c r="E191" s="4" t="n">
        <v>29</v>
      </c>
      <c r="F191" s="4" t="n">
        <v>1</v>
      </c>
      <c r="G191" s="4" t="n">
        <v>0</v>
      </c>
      <c r="H191" s="4" t="n">
        <v>3</v>
      </c>
      <c r="I191" s="4" t="n">
        <v>2</v>
      </c>
      <c r="J191" s="4" t="n">
        <v>0</v>
      </c>
      <c r="K191" s="4" t="n">
        <v>23</v>
      </c>
      <c r="L191" s="4" t="n">
        <v>0</v>
      </c>
      <c r="M191" s="4" t="n">
        <v>0</v>
      </c>
      <c r="N191" s="4" t="n">
        <f aca="false">SUM(I191:M191)</f>
        <v>25</v>
      </c>
      <c r="O191" s="6" t="n">
        <v>8.95</v>
      </c>
      <c r="P191" s="18" t="n">
        <v>4.25</v>
      </c>
      <c r="Q191" s="18" t="n">
        <v>1.59</v>
      </c>
      <c r="R191" s="19" t="s">
        <v>81</v>
      </c>
      <c r="S191" s="4" t="s">
        <v>507</v>
      </c>
      <c r="T191" s="4" t="n">
        <v>5</v>
      </c>
      <c r="U191" s="4" t="n">
        <f aca="false">MAX(E191-T191,0)</f>
        <v>24</v>
      </c>
      <c r="V191" s="20" t="n">
        <v>38.75</v>
      </c>
      <c r="W191" s="20" t="n">
        <v>19.18</v>
      </c>
      <c r="X191" s="4" t="n">
        <v>40</v>
      </c>
      <c r="Y191" s="4"/>
      <c r="Z191" s="4" t="s">
        <v>83</v>
      </c>
    </row>
    <row r="192" customFormat="false" ht="15" hidden="false" customHeight="false" outlineLevel="0" collapsed="false">
      <c r="A192" s="4" t="s">
        <v>20</v>
      </c>
      <c r="B192" s="4" t="s">
        <v>18</v>
      </c>
      <c r="C192" s="4" t="s">
        <v>317</v>
      </c>
      <c r="D192" s="4" t="s">
        <v>318</v>
      </c>
      <c r="E192" s="4" t="n">
        <v>5</v>
      </c>
      <c r="F192" s="4" t="n">
        <v>0</v>
      </c>
      <c r="G192" s="4" t="n">
        <v>1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4</v>
      </c>
      <c r="M192" s="4" t="n">
        <v>0</v>
      </c>
      <c r="N192" s="4" t="n">
        <f aca="false">SUM(I192:M192)</f>
        <v>4</v>
      </c>
      <c r="O192" s="6" t="n">
        <v>8.74</v>
      </c>
      <c r="P192" s="18" t="n">
        <v>0.5</v>
      </c>
      <c r="Q192" s="18" t="n">
        <v>2.34</v>
      </c>
      <c r="R192" s="22" t="s">
        <v>117</v>
      </c>
      <c r="S192" s="4" t="s">
        <v>501</v>
      </c>
      <c r="T192" s="4" t="n">
        <v>0</v>
      </c>
      <c r="U192" s="4" t="n">
        <f aca="false">MAX(E192-T192,0)</f>
        <v>5</v>
      </c>
      <c r="V192" s="20"/>
      <c r="W192" s="20" t="n">
        <v>19.53</v>
      </c>
      <c r="X192" s="4" t="n">
        <v>5</v>
      </c>
      <c r="Y192" s="4" t="s">
        <v>250</v>
      </c>
      <c r="Z192" s="4"/>
    </row>
    <row r="193" customFormat="false" ht="15" hidden="false" customHeight="false" outlineLevel="0" collapsed="false">
      <c r="A193" s="4" t="s">
        <v>20</v>
      </c>
      <c r="B193" s="4" t="s">
        <v>18</v>
      </c>
      <c r="C193" s="4" t="s">
        <v>508</v>
      </c>
      <c r="D193" s="4" t="s">
        <v>509</v>
      </c>
      <c r="E193" s="4" t="n">
        <v>8</v>
      </c>
      <c r="F193" s="4" t="n">
        <v>0</v>
      </c>
      <c r="G193" s="4" t="n">
        <v>0</v>
      </c>
      <c r="H193" s="4" t="n">
        <v>1</v>
      </c>
      <c r="I193" s="4" t="n">
        <v>0</v>
      </c>
      <c r="J193" s="4" t="n">
        <v>7</v>
      </c>
      <c r="K193" s="4" t="n">
        <v>0</v>
      </c>
      <c r="L193" s="4" t="n">
        <v>0</v>
      </c>
      <c r="M193" s="4" t="n">
        <v>0</v>
      </c>
      <c r="N193" s="4" t="n">
        <f aca="false">SUM(I193:M193)</f>
        <v>7</v>
      </c>
      <c r="O193" s="6" t="n">
        <v>8.49</v>
      </c>
      <c r="P193" s="18" t="n">
        <v>1.75</v>
      </c>
      <c r="Q193" s="18" t="n">
        <v>1.07</v>
      </c>
      <c r="R193" s="19" t="s">
        <v>81</v>
      </c>
      <c r="S193" s="4" t="s">
        <v>498</v>
      </c>
      <c r="T193" s="4" t="n">
        <v>5</v>
      </c>
      <c r="U193" s="4" t="n">
        <f aca="false">MAX(E193-T193,0)</f>
        <v>3</v>
      </c>
      <c r="V193" s="20" t="n">
        <v>42.23</v>
      </c>
      <c r="W193" s="20" t="n">
        <v>18.39</v>
      </c>
      <c r="X193" s="4" t="n">
        <v>11</v>
      </c>
      <c r="Y193" s="4"/>
      <c r="Z193" s="4"/>
    </row>
    <row r="194" customFormat="false" ht="15" hidden="false" customHeight="false" outlineLevel="0" collapsed="false">
      <c r="A194" s="4" t="s">
        <v>20</v>
      </c>
      <c r="B194" s="4" t="s">
        <v>18</v>
      </c>
      <c r="C194" s="4" t="s">
        <v>337</v>
      </c>
      <c r="D194" s="4" t="s">
        <v>338</v>
      </c>
      <c r="E194" s="4" t="n">
        <v>4</v>
      </c>
      <c r="F194" s="4" t="n">
        <v>0</v>
      </c>
      <c r="G194" s="4" t="n">
        <v>0</v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3</v>
      </c>
      <c r="M194" s="4" t="n">
        <v>0</v>
      </c>
      <c r="N194" s="4" t="n">
        <f aca="false">SUM(I194:M194)</f>
        <v>3</v>
      </c>
      <c r="O194" s="6" t="n">
        <v>8.02</v>
      </c>
      <c r="P194" s="18" t="n">
        <v>2</v>
      </c>
      <c r="Q194" s="18" t="n">
        <v>0.47</v>
      </c>
      <c r="R194" s="21" t="s">
        <v>103</v>
      </c>
      <c r="S194" s="4" t="s">
        <v>495</v>
      </c>
      <c r="T194" s="4" t="n">
        <v>5</v>
      </c>
      <c r="U194" s="4" t="n">
        <f aca="false">MAX(E194-T194,0)</f>
        <v>0</v>
      </c>
      <c r="V194" s="20" t="n">
        <v>42.74</v>
      </c>
      <c r="W194" s="20" t="n">
        <v>19.8</v>
      </c>
      <c r="X194" s="4" t="n">
        <v>16</v>
      </c>
      <c r="Y194" s="4"/>
      <c r="Z194" s="4"/>
    </row>
    <row r="195" customFormat="false" ht="15" hidden="false" customHeight="false" outlineLevel="0" collapsed="false">
      <c r="A195" s="4" t="s">
        <v>20</v>
      </c>
      <c r="B195" s="4" t="s">
        <v>18</v>
      </c>
      <c r="C195" s="4" t="s">
        <v>363</v>
      </c>
      <c r="D195" s="4" t="s">
        <v>364</v>
      </c>
      <c r="E195" s="4" t="n">
        <v>6</v>
      </c>
      <c r="F195" s="4" t="n">
        <v>0</v>
      </c>
      <c r="G195" s="4" t="n">
        <v>1</v>
      </c>
      <c r="H195" s="4" t="n">
        <v>0</v>
      </c>
      <c r="I195" s="4" t="n">
        <v>0</v>
      </c>
      <c r="J195" s="4" t="n">
        <v>0</v>
      </c>
      <c r="K195" s="4" t="n">
        <v>5</v>
      </c>
      <c r="L195" s="4" t="n">
        <v>0</v>
      </c>
      <c r="M195" s="4" t="n">
        <v>0</v>
      </c>
      <c r="N195" s="4" t="n">
        <f aca="false">SUM(I195:M195)</f>
        <v>5</v>
      </c>
      <c r="O195" s="6" t="n">
        <v>5.33</v>
      </c>
      <c r="P195" s="18" t="n">
        <v>0.25</v>
      </c>
      <c r="Q195" s="18" t="n">
        <v>5.61</v>
      </c>
      <c r="R195" s="22" t="s">
        <v>117</v>
      </c>
      <c r="S195" s="4" t="s">
        <v>501</v>
      </c>
      <c r="T195" s="4" t="n">
        <v>0</v>
      </c>
      <c r="U195" s="4" t="n">
        <f aca="false">MAX(E195-T195,0)</f>
        <v>6</v>
      </c>
      <c r="V195" s="20"/>
      <c r="W195" s="20" t="n">
        <v>19.04</v>
      </c>
      <c r="X195" s="4" t="n">
        <v>7</v>
      </c>
      <c r="Y195" s="4" t="s">
        <v>250</v>
      </c>
      <c r="Z195" s="4"/>
    </row>
    <row r="196" customFormat="false" ht="15" hidden="false" customHeight="false" outlineLevel="0" collapsed="false">
      <c r="A196" s="4" t="s">
        <v>20</v>
      </c>
      <c r="B196" s="4" t="s">
        <v>18</v>
      </c>
      <c r="C196" s="4" t="s">
        <v>377</v>
      </c>
      <c r="D196" s="4" t="s">
        <v>378</v>
      </c>
      <c r="E196" s="4" t="n">
        <v>12</v>
      </c>
      <c r="F196" s="4" t="n">
        <v>0</v>
      </c>
      <c r="G196" s="4" t="n">
        <v>12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f aca="false">SUM(I196:M196)</f>
        <v>0</v>
      </c>
      <c r="O196" s="6" t="n">
        <v>5.02</v>
      </c>
      <c r="P196" s="18" t="n">
        <v>2</v>
      </c>
      <c r="Q196" s="18" t="n">
        <v>1.4</v>
      </c>
      <c r="R196" s="19" t="s">
        <v>81</v>
      </c>
      <c r="S196" s="4" t="s">
        <v>495</v>
      </c>
      <c r="T196" s="4" t="n">
        <v>5</v>
      </c>
      <c r="U196" s="4" t="n">
        <f aca="false">MAX(E196-T196,0)</f>
        <v>7</v>
      </c>
      <c r="V196" s="20" t="n">
        <v>42.74</v>
      </c>
      <c r="W196" s="20" t="n">
        <v>18.57</v>
      </c>
      <c r="X196" s="4" t="n">
        <v>12</v>
      </c>
      <c r="Y196" s="4"/>
      <c r="Z196" s="4"/>
    </row>
    <row r="197" customFormat="false" ht="15" hidden="false" customHeight="false" outlineLevel="0" collapsed="false">
      <c r="A197" s="4" t="s">
        <v>20</v>
      </c>
      <c r="B197" s="4" t="s">
        <v>18</v>
      </c>
      <c r="C197" s="4" t="s">
        <v>302</v>
      </c>
      <c r="D197" s="4" t="s">
        <v>303</v>
      </c>
      <c r="E197" s="4" t="n">
        <v>14</v>
      </c>
      <c r="F197" s="4" t="n">
        <v>0</v>
      </c>
      <c r="G197" s="4" t="n">
        <v>14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f aca="false">SUM(I197:M197)</f>
        <v>0</v>
      </c>
      <c r="O197" s="6" t="n">
        <v>4.42</v>
      </c>
      <c r="P197" s="18" t="n">
        <v>1.25</v>
      </c>
      <c r="Q197" s="18" t="n">
        <v>2.61</v>
      </c>
      <c r="R197" s="19" t="s">
        <v>81</v>
      </c>
      <c r="S197" s="4" t="s">
        <v>498</v>
      </c>
      <c r="T197" s="4" t="n">
        <v>5</v>
      </c>
      <c r="U197" s="4" t="n">
        <f aca="false">MAX(E197-T197,0)</f>
        <v>9</v>
      </c>
      <c r="V197" s="20" t="n">
        <v>42.23</v>
      </c>
      <c r="W197" s="20" t="n">
        <v>19.44</v>
      </c>
      <c r="X197" s="4" t="n">
        <v>21</v>
      </c>
      <c r="Y197" s="4"/>
      <c r="Z197" s="4"/>
    </row>
    <row r="198" customFormat="false" ht="15" hidden="false" customHeight="false" outlineLevel="0" collapsed="false">
      <c r="A198" s="4" t="s">
        <v>20</v>
      </c>
      <c r="B198" s="4" t="s">
        <v>18</v>
      </c>
      <c r="C198" s="4" t="s">
        <v>333</v>
      </c>
      <c r="D198" s="4" t="s">
        <v>334</v>
      </c>
      <c r="E198" s="4" t="n">
        <v>4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4</v>
      </c>
      <c r="M198" s="4" t="n">
        <v>0</v>
      </c>
      <c r="N198" s="4" t="n">
        <f aca="false">SUM(I198:M198)</f>
        <v>4</v>
      </c>
      <c r="O198" s="6" t="n">
        <v>3.84</v>
      </c>
      <c r="P198" s="18" t="n">
        <v>0.25</v>
      </c>
      <c r="Q198" s="18" t="n">
        <v>3.74</v>
      </c>
      <c r="R198" s="22" t="s">
        <v>117</v>
      </c>
      <c r="S198" s="4" t="s">
        <v>501</v>
      </c>
      <c r="T198" s="4" t="n">
        <v>0</v>
      </c>
      <c r="U198" s="4" t="n">
        <f aca="false">MAX(E198-T198,0)</f>
        <v>4</v>
      </c>
      <c r="V198" s="20"/>
      <c r="W198" s="20" t="n">
        <v>17.31</v>
      </c>
      <c r="X198" s="4" t="n">
        <v>4</v>
      </c>
      <c r="Y198" s="4" t="s">
        <v>250</v>
      </c>
      <c r="Z198" s="4"/>
    </row>
    <row r="199" customFormat="false" ht="15" hidden="false" customHeight="false" outlineLevel="0" collapsed="false">
      <c r="A199" s="4" t="s">
        <v>20</v>
      </c>
      <c r="B199" s="4" t="s">
        <v>18</v>
      </c>
      <c r="C199" s="4" t="s">
        <v>355</v>
      </c>
      <c r="D199" s="4" t="s">
        <v>356</v>
      </c>
      <c r="E199" s="4" t="n">
        <v>4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4</v>
      </c>
      <c r="L199" s="4" t="n">
        <v>0</v>
      </c>
      <c r="M199" s="4" t="n">
        <v>0</v>
      </c>
      <c r="N199" s="4" t="n">
        <f aca="false">SUM(I199:M199)</f>
        <v>4</v>
      </c>
      <c r="O199" s="6" t="n">
        <v>3.78</v>
      </c>
      <c r="P199" s="18" t="n">
        <v>0.25</v>
      </c>
      <c r="Q199" s="18" t="n">
        <v>3.74</v>
      </c>
      <c r="R199" s="22" t="s">
        <v>117</v>
      </c>
      <c r="S199" s="4" t="s">
        <v>501</v>
      </c>
      <c r="T199" s="4" t="n">
        <v>0</v>
      </c>
      <c r="U199" s="4" t="n">
        <f aca="false">MAX(E199-T199,0)</f>
        <v>4</v>
      </c>
      <c r="V199" s="20"/>
      <c r="W199" s="20" t="n">
        <v>18.06</v>
      </c>
      <c r="X199" s="4" t="n">
        <v>4</v>
      </c>
      <c r="Y199" s="4" t="s">
        <v>250</v>
      </c>
      <c r="Z199" s="4"/>
    </row>
    <row r="200" customFormat="false" ht="15" hidden="false" customHeight="false" outlineLevel="0" collapsed="false">
      <c r="A200" s="4" t="s">
        <v>20</v>
      </c>
      <c r="B200" s="4" t="s">
        <v>18</v>
      </c>
      <c r="C200" s="4" t="s">
        <v>345</v>
      </c>
      <c r="D200" s="4" t="s">
        <v>346</v>
      </c>
      <c r="E200" s="4" t="n">
        <v>2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0</v>
      </c>
      <c r="N200" s="4" t="n">
        <f aca="false">SUM(I200:M200)</f>
        <v>2</v>
      </c>
      <c r="O200" s="6" t="n">
        <v>3.7</v>
      </c>
      <c r="P200" s="18" t="n">
        <v>0.75</v>
      </c>
      <c r="Q200" s="18" t="n">
        <v>0.62</v>
      </c>
      <c r="R200" s="22" t="s">
        <v>117</v>
      </c>
      <c r="S200" s="4" t="s">
        <v>501</v>
      </c>
      <c r="T200" s="4" t="n">
        <v>0</v>
      </c>
      <c r="U200" s="4" t="n">
        <f aca="false">MAX(E200-T200,0)</f>
        <v>2</v>
      </c>
      <c r="V200" s="20"/>
      <c r="W200" s="20" t="n">
        <v>17.85</v>
      </c>
      <c r="X200" s="4" t="n">
        <v>3</v>
      </c>
      <c r="Y200" s="4" t="s">
        <v>250</v>
      </c>
      <c r="Z200" s="4"/>
    </row>
    <row r="201" customFormat="false" ht="15" hidden="false" customHeight="false" outlineLevel="0" collapsed="false">
      <c r="A201" s="4" t="s">
        <v>20</v>
      </c>
      <c r="B201" s="4" t="s">
        <v>18</v>
      </c>
      <c r="C201" s="4" t="s">
        <v>353</v>
      </c>
      <c r="D201" s="4" t="s">
        <v>354</v>
      </c>
      <c r="E201" s="4" t="n">
        <v>13</v>
      </c>
      <c r="F201" s="4" t="n">
        <v>12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f aca="false">SUM(I201:M201)</f>
        <v>0</v>
      </c>
      <c r="O201" s="6" t="n">
        <v>2.92</v>
      </c>
      <c r="P201" s="18" t="n">
        <v>3</v>
      </c>
      <c r="Q201" s="18" t="n">
        <v>1.01</v>
      </c>
      <c r="R201" s="19" t="s">
        <v>81</v>
      </c>
      <c r="S201" s="4" t="s">
        <v>495</v>
      </c>
      <c r="T201" s="4" t="n">
        <v>5</v>
      </c>
      <c r="U201" s="4" t="n">
        <f aca="false">MAX(E201-T201,0)</f>
        <v>8</v>
      </c>
      <c r="V201" s="20" t="n">
        <v>42.74</v>
      </c>
      <c r="W201" s="20" t="n">
        <v>18.39</v>
      </c>
      <c r="X201" s="4" t="n">
        <v>20</v>
      </c>
      <c r="Y201" s="4"/>
      <c r="Z201" s="4"/>
    </row>
    <row r="202" customFormat="false" ht="15" hidden="false" customHeight="false" outlineLevel="0" collapsed="false">
      <c r="A202" s="4" t="s">
        <v>20</v>
      </c>
      <c r="B202" s="4" t="s">
        <v>18</v>
      </c>
      <c r="C202" s="4" t="s">
        <v>510</v>
      </c>
      <c r="D202" s="4" t="s">
        <v>511</v>
      </c>
      <c r="E202" s="4" t="n">
        <v>2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0</v>
      </c>
      <c r="N202" s="4" t="n">
        <f aca="false">SUM(I202:M202)</f>
        <v>2</v>
      </c>
      <c r="O202" s="6" t="n">
        <v>2.88</v>
      </c>
      <c r="P202" s="18" t="n">
        <v>0.25</v>
      </c>
      <c r="Q202" s="18" t="n">
        <v>1.87</v>
      </c>
      <c r="R202" s="22" t="s">
        <v>117</v>
      </c>
      <c r="S202" s="4" t="s">
        <v>501</v>
      </c>
      <c r="T202" s="4" t="n">
        <v>0</v>
      </c>
      <c r="U202" s="4" t="n">
        <f aca="false">MAX(E202-T202,0)</f>
        <v>2</v>
      </c>
      <c r="V202" s="20"/>
      <c r="W202" s="20" t="n">
        <v>17.64</v>
      </c>
      <c r="X202" s="4" t="n">
        <v>2</v>
      </c>
      <c r="Y202" s="4" t="s">
        <v>250</v>
      </c>
      <c r="Z202" s="4"/>
    </row>
    <row r="203" customFormat="false" ht="15" hidden="false" customHeight="false" outlineLevel="0" collapsed="false">
      <c r="A203" s="4" t="s">
        <v>20</v>
      </c>
      <c r="B203" s="4" t="s">
        <v>18</v>
      </c>
      <c r="C203" s="4" t="s">
        <v>369</v>
      </c>
      <c r="D203" s="4" t="s">
        <v>370</v>
      </c>
      <c r="E203" s="4" t="n">
        <v>3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3</v>
      </c>
      <c r="K203" s="4" t="n">
        <v>0</v>
      </c>
      <c r="L203" s="4" t="n">
        <v>0</v>
      </c>
      <c r="M203" s="4" t="n">
        <v>0</v>
      </c>
      <c r="N203" s="4" t="n">
        <f aca="false">SUM(I203:M203)</f>
        <v>3</v>
      </c>
      <c r="O203" s="6" t="n">
        <v>2.34</v>
      </c>
      <c r="P203" s="18" t="n">
        <v>0.25</v>
      </c>
      <c r="Q203" s="18" t="n">
        <v>2.8</v>
      </c>
      <c r="R203" s="22" t="s">
        <v>117</v>
      </c>
      <c r="S203" s="4" t="s">
        <v>501</v>
      </c>
      <c r="T203" s="4" t="n">
        <v>0</v>
      </c>
      <c r="U203" s="4" t="n">
        <f aca="false">MAX(E203-T203,0)</f>
        <v>3</v>
      </c>
      <c r="V203" s="20"/>
      <c r="W203" s="20" t="n">
        <v>16.8</v>
      </c>
      <c r="X203" s="4" t="n">
        <v>3</v>
      </c>
      <c r="Y203" s="4" t="s">
        <v>250</v>
      </c>
      <c r="Z203" s="4"/>
    </row>
    <row r="204" customFormat="false" ht="15" hidden="false" customHeight="false" outlineLevel="0" collapsed="false">
      <c r="A204" s="4" t="s">
        <v>20</v>
      </c>
      <c r="B204" s="4" t="s">
        <v>18</v>
      </c>
      <c r="C204" s="4" t="s">
        <v>351</v>
      </c>
      <c r="D204" s="4" t="s">
        <v>352</v>
      </c>
      <c r="E204" s="4" t="n">
        <v>2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</v>
      </c>
      <c r="M204" s="4" t="n">
        <v>0</v>
      </c>
      <c r="N204" s="4" t="n">
        <f aca="false">SUM(I204:M204)</f>
        <v>2</v>
      </c>
      <c r="O204" s="6" t="n">
        <v>1.92</v>
      </c>
      <c r="P204" s="18" t="n">
        <v>0.75</v>
      </c>
      <c r="Q204" s="18" t="n">
        <v>0.62</v>
      </c>
      <c r="R204" s="22" t="s">
        <v>117</v>
      </c>
      <c r="S204" s="4" t="s">
        <v>501</v>
      </c>
      <c r="T204" s="4" t="n">
        <v>0</v>
      </c>
      <c r="U204" s="4" t="n">
        <f aca="false">MAX(E204-T204,0)</f>
        <v>2</v>
      </c>
      <c r="V204" s="20"/>
      <c r="W204" s="20" t="n">
        <v>15.98</v>
      </c>
      <c r="X204" s="4" t="n">
        <v>1</v>
      </c>
      <c r="Y204" s="4" t="s">
        <v>250</v>
      </c>
      <c r="Z204" s="4"/>
    </row>
    <row r="205" customFormat="false" ht="15" hidden="false" customHeight="false" outlineLevel="0" collapsed="false">
      <c r="A205" s="4" t="s">
        <v>20</v>
      </c>
      <c r="B205" s="4" t="s">
        <v>18</v>
      </c>
      <c r="C205" s="4" t="s">
        <v>361</v>
      </c>
      <c r="D205" s="4" t="s">
        <v>362</v>
      </c>
      <c r="E205" s="4" t="n">
        <v>2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2</v>
      </c>
      <c r="L205" s="4" t="n">
        <v>0</v>
      </c>
      <c r="M205" s="4" t="n">
        <v>0</v>
      </c>
      <c r="N205" s="4" t="n">
        <f aca="false">SUM(I205:M205)</f>
        <v>2</v>
      </c>
      <c r="O205" s="6" t="n">
        <v>1.9</v>
      </c>
      <c r="P205" s="18" t="n">
        <v>0.5</v>
      </c>
      <c r="Q205" s="18" t="n">
        <v>0.93</v>
      </c>
      <c r="R205" s="22" t="s">
        <v>117</v>
      </c>
      <c r="S205" s="4" t="s">
        <v>501</v>
      </c>
      <c r="T205" s="4" t="n">
        <v>0</v>
      </c>
      <c r="U205" s="4" t="n">
        <f aca="false">MAX(E205-T205,0)</f>
        <v>2</v>
      </c>
      <c r="V205" s="20"/>
      <c r="W205" s="20" t="n">
        <v>15.88</v>
      </c>
      <c r="X205" s="4" t="n">
        <v>2</v>
      </c>
      <c r="Y205" s="4" t="s">
        <v>250</v>
      </c>
      <c r="Z205" s="4"/>
    </row>
    <row r="206" customFormat="false" ht="15" hidden="false" customHeight="false" outlineLevel="0" collapsed="false">
      <c r="A206" s="4" t="s">
        <v>20</v>
      </c>
      <c r="B206" s="4" t="s">
        <v>18</v>
      </c>
      <c r="C206" s="4" t="s">
        <v>375</v>
      </c>
      <c r="D206" s="4" t="s">
        <v>376</v>
      </c>
      <c r="E206" s="4" t="n">
        <v>1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f aca="false">SUM(I206:M206)</f>
        <v>1</v>
      </c>
      <c r="O206" s="6" t="n">
        <v>1.04</v>
      </c>
      <c r="P206" s="18" t="n">
        <v>1</v>
      </c>
      <c r="Q206" s="18" t="n">
        <v>0.23</v>
      </c>
      <c r="R206" s="22" t="s">
        <v>117</v>
      </c>
      <c r="S206" s="4" t="s">
        <v>501</v>
      </c>
      <c r="T206" s="4" t="n">
        <v>0</v>
      </c>
      <c r="U206" s="4" t="n">
        <f aca="false">MAX(E206-T206,0)</f>
        <v>1</v>
      </c>
      <c r="V206" s="20"/>
      <c r="W206" s="20" t="n">
        <v>17.39</v>
      </c>
      <c r="X206" s="4" t="n">
        <v>1</v>
      </c>
      <c r="Y206" s="4" t="s">
        <v>250</v>
      </c>
      <c r="Z206" s="4"/>
    </row>
    <row r="207" customFormat="false" ht="15" hidden="false" customHeight="false" outlineLevel="0" collapsed="false">
      <c r="A207" s="4" t="s">
        <v>20</v>
      </c>
      <c r="B207" s="4" t="s">
        <v>18</v>
      </c>
      <c r="C207" s="4" t="s">
        <v>512</v>
      </c>
      <c r="D207" s="4" t="s">
        <v>513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f aca="false">SUM(I207:M207)</f>
        <v>1</v>
      </c>
      <c r="O207" s="6" t="n">
        <v>0.88</v>
      </c>
      <c r="P207" s="18" t="n">
        <v>0.5</v>
      </c>
      <c r="Q207" s="18" t="n">
        <v>0.47</v>
      </c>
      <c r="R207" s="22" t="s">
        <v>117</v>
      </c>
      <c r="S207" s="4" t="s">
        <v>501</v>
      </c>
      <c r="T207" s="4" t="n">
        <v>0</v>
      </c>
      <c r="U207" s="4" t="n">
        <f aca="false">MAX(E207-T207,0)</f>
        <v>1</v>
      </c>
      <c r="V207" s="20"/>
      <c r="W207" s="20" t="n">
        <v>15.89</v>
      </c>
      <c r="X207" s="4" t="n">
        <v>7</v>
      </c>
      <c r="Y207" s="4" t="s">
        <v>250</v>
      </c>
      <c r="Z207" s="4"/>
    </row>
    <row r="208" customFormat="false" ht="15" hidden="false" customHeight="false" outlineLevel="0" collapsed="false">
      <c r="A208" s="4" t="s">
        <v>20</v>
      </c>
      <c r="B208" s="4" t="s">
        <v>18</v>
      </c>
      <c r="C208" s="4" t="s">
        <v>514</v>
      </c>
      <c r="D208" s="4" t="s">
        <v>515</v>
      </c>
      <c r="E208" s="4" t="n">
        <v>3</v>
      </c>
      <c r="F208" s="4" t="n">
        <v>0</v>
      </c>
      <c r="G208" s="4" t="n">
        <v>3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f aca="false">SUM(I208:M208)</f>
        <v>0</v>
      </c>
      <c r="O208" s="6" t="n">
        <v>0.85</v>
      </c>
      <c r="P208" s="18" t="n">
        <v>0.5</v>
      </c>
      <c r="Q208" s="18" t="n">
        <v>1.4</v>
      </c>
      <c r="R208" s="22" t="s">
        <v>117</v>
      </c>
      <c r="S208" s="4" t="s">
        <v>501</v>
      </c>
      <c r="T208" s="4" t="n">
        <v>0</v>
      </c>
      <c r="U208" s="4" t="n">
        <f aca="false">MAX(E208-T208,0)</f>
        <v>3</v>
      </c>
      <c r="V208" s="20"/>
      <c r="W208" s="20" t="n">
        <v>17.79</v>
      </c>
      <c r="X208" s="4" t="n">
        <v>3</v>
      </c>
      <c r="Y208" s="4" t="s">
        <v>250</v>
      </c>
      <c r="Z208" s="4"/>
    </row>
    <row r="209" customFormat="false" ht="15" hidden="false" customHeight="false" outlineLevel="0" collapsed="false">
      <c r="A209" s="4" t="s">
        <v>20</v>
      </c>
      <c r="B209" s="4" t="s">
        <v>18</v>
      </c>
      <c r="C209" s="4" t="s">
        <v>365</v>
      </c>
      <c r="D209" s="4" t="s">
        <v>366</v>
      </c>
      <c r="E209" s="4" t="n">
        <v>2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f aca="false">SUM(I209:M209)</f>
        <v>1</v>
      </c>
      <c r="O209" s="6" t="n">
        <v>0.76</v>
      </c>
      <c r="P209" s="18" t="n">
        <v>1</v>
      </c>
      <c r="Q209" s="18" t="n">
        <v>0.47</v>
      </c>
      <c r="R209" s="22" t="s">
        <v>117</v>
      </c>
      <c r="S209" s="4" t="s">
        <v>501</v>
      </c>
      <c r="T209" s="4" t="n">
        <v>0</v>
      </c>
      <c r="U209" s="4" t="n">
        <f aca="false">MAX(E209-T209,0)</f>
        <v>2</v>
      </c>
      <c r="V209" s="20"/>
      <c r="W209" s="20" t="n">
        <v>15.64</v>
      </c>
      <c r="X209" s="4" t="n">
        <v>2</v>
      </c>
      <c r="Y209" s="4" t="s">
        <v>250</v>
      </c>
      <c r="Z209" s="4"/>
    </row>
    <row r="210" customFormat="false" ht="15" hidden="false" customHeight="false" outlineLevel="0" collapsed="false">
      <c r="A210" s="4" t="s">
        <v>20</v>
      </c>
      <c r="B210" s="4" t="s">
        <v>18</v>
      </c>
      <c r="C210" s="4" t="s">
        <v>381</v>
      </c>
      <c r="D210" s="4" t="s">
        <v>382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f aca="false">SUM(I210:M210)</f>
        <v>0</v>
      </c>
      <c r="O210" s="6" t="n">
        <v>0.47</v>
      </c>
      <c r="P210" s="18" t="n">
        <v>1</v>
      </c>
      <c r="Q210" s="18" t="n">
        <v>0.47</v>
      </c>
      <c r="R210" s="22" t="s">
        <v>117</v>
      </c>
      <c r="S210" s="4" t="s">
        <v>501</v>
      </c>
      <c r="T210" s="4" t="n">
        <v>0</v>
      </c>
      <c r="U210" s="4" t="n">
        <f aca="false">MAX(E210-T210,0)</f>
        <v>2</v>
      </c>
      <c r="V210" s="20"/>
      <c r="W210" s="20" t="n">
        <v>15.57</v>
      </c>
      <c r="X210" s="4" t="n">
        <v>3</v>
      </c>
      <c r="Y210" s="4" t="s">
        <v>250</v>
      </c>
      <c r="Z210" s="4"/>
    </row>
    <row r="211" customFormat="false" ht="15" hidden="false" customHeight="false" outlineLevel="0" collapsed="false">
      <c r="A211" s="4" t="s">
        <v>20</v>
      </c>
      <c r="B211" s="4" t="s">
        <v>18</v>
      </c>
      <c r="C211" s="4" t="s">
        <v>516</v>
      </c>
      <c r="D211" s="4" t="s">
        <v>517</v>
      </c>
      <c r="E211" s="4" t="n">
        <v>3</v>
      </c>
      <c r="F211" s="4" t="n">
        <v>1</v>
      </c>
      <c r="G211" s="4" t="n">
        <v>2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f aca="false">SUM(I211:M211)</f>
        <v>0</v>
      </c>
      <c r="O211" s="6" t="n">
        <v>0.35</v>
      </c>
      <c r="P211" s="18" t="n">
        <v>0</v>
      </c>
      <c r="Q211" s="18"/>
      <c r="R211" s="22" t="s">
        <v>117</v>
      </c>
      <c r="S211" s="4" t="s">
        <v>501</v>
      </c>
      <c r="T211" s="4" t="n">
        <v>0</v>
      </c>
      <c r="U211" s="4" t="n">
        <f aca="false">MAX(E211-T211,0)</f>
        <v>3</v>
      </c>
      <c r="V211" s="20"/>
      <c r="W211" s="20"/>
      <c r="X211" s="4" t="n">
        <v>3</v>
      </c>
      <c r="Y211" s="4" t="s">
        <v>250</v>
      </c>
      <c r="Z211" s="4"/>
    </row>
    <row r="212" customFormat="false" ht="15" hidden="false" customHeight="false" outlineLevel="0" collapsed="false">
      <c r="A212" s="4" t="s">
        <v>20</v>
      </c>
      <c r="B212" s="4" t="s">
        <v>18</v>
      </c>
      <c r="C212" s="4" t="s">
        <v>518</v>
      </c>
      <c r="D212" s="4" t="s">
        <v>519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f aca="false">SUM(I212:M212)</f>
        <v>0</v>
      </c>
      <c r="O212" s="6" t="n">
        <v>0.23</v>
      </c>
      <c r="P212" s="18" t="n">
        <v>1.25</v>
      </c>
      <c r="Q212" s="18" t="n">
        <v>0.19</v>
      </c>
      <c r="R212" s="22" t="s">
        <v>117</v>
      </c>
      <c r="S212" s="4" t="s">
        <v>501</v>
      </c>
      <c r="T212" s="4" t="n">
        <v>0</v>
      </c>
      <c r="U212" s="4" t="n">
        <f aca="false">MAX(E212-T212,0)</f>
        <v>1</v>
      </c>
      <c r="V212" s="20"/>
      <c r="W212" s="20" t="n">
        <v>15.54</v>
      </c>
      <c r="X212" s="4" t="n">
        <v>1</v>
      </c>
      <c r="Y212" s="4" t="s">
        <v>250</v>
      </c>
      <c r="Z212" s="4"/>
    </row>
  </sheetData>
  <autoFilter ref="A1:Z2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2026-10-06T12:10:21Z</dcterms:created>
  <dc:creator>openpyxl</dc:creator>
  <dc:description/>
  <dc:language>en-US</dc:language>
  <cp:lastModifiedBy/>
  <dcterms:modified xsi:type="dcterms:W3CDTF">2026-10-06T12:10:21Z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